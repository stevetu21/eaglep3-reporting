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Enforcements!$A$6:$AC$49</definedName>
    <definedName name="_xlnm._FilterDatabase" localSheetId="2" hidden="1">'Missing Trips'!$A$2:$J$26</definedName>
    <definedName name="_xlnm._FilterDatabase" localSheetId="0" hidden="1">'Train Runs'!$A$12:$AG$285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7" i="1" l="1"/>
  <c r="L187" i="1"/>
  <c r="M187" i="1"/>
  <c r="N187" i="1" s="1"/>
  <c r="V187" i="1"/>
  <c r="AA187" i="1"/>
  <c r="AB187" i="1"/>
  <c r="AC187" i="1"/>
  <c r="AD187" i="1"/>
  <c r="T187" i="1" s="1"/>
  <c r="AE187" i="1"/>
  <c r="AF187" i="1"/>
  <c r="AH187" i="1"/>
  <c r="AM187" i="1"/>
  <c r="AN187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K133" i="1"/>
  <c r="L133" i="1"/>
  <c r="M133" i="1"/>
  <c r="N133" i="1" s="1"/>
  <c r="V133" i="1"/>
  <c r="AA133" i="1"/>
  <c r="AB133" i="1"/>
  <c r="AC133" i="1"/>
  <c r="AD133" i="1"/>
  <c r="T133" i="1" s="1"/>
  <c r="AE133" i="1"/>
  <c r="AF133" i="1"/>
  <c r="AH133" i="1"/>
  <c r="AM133" i="1"/>
  <c r="AN133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AN11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R17" i="3" s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18" i="3" s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13" i="3" s="1"/>
  <c r="AF61" i="1"/>
  <c r="AH61" i="1"/>
  <c r="AM61" i="1"/>
  <c r="AN61" i="1"/>
  <c r="K62" i="1"/>
  <c r="L62" i="1"/>
  <c r="M62" i="1"/>
  <c r="N62" i="1" s="1"/>
  <c r="T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R11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16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R19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12" i="3" s="1"/>
  <c r="Y88" i="1"/>
  <c r="Z88" i="1"/>
  <c r="AB88" i="1"/>
  <c r="AC88" i="1"/>
  <c r="AD88" i="1"/>
  <c r="T88" i="1" s="1"/>
  <c r="AE88" i="1"/>
  <c r="R12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7" i="3" s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15" i="3" s="1"/>
  <c r="Y101" i="1"/>
  <c r="Z101" i="1"/>
  <c r="AB101" i="1"/>
  <c r="AC101" i="1"/>
  <c r="AD101" i="1"/>
  <c r="T101" i="1" s="1"/>
  <c r="AE101" i="1"/>
  <c r="R15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X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T110" i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P118" i="1" s="1"/>
  <c r="V118" i="1"/>
  <c r="Y118" i="1"/>
  <c r="AA118" i="1" s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9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AA131" i="1" s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S8" i="3" s="1"/>
  <c r="Y136" i="1"/>
  <c r="Z136" i="1"/>
  <c r="AB136" i="1"/>
  <c r="AC136" i="1"/>
  <c r="AD136" i="1"/>
  <c r="T136" i="1" s="1"/>
  <c r="AE136" i="1"/>
  <c r="R8" i="3" s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S21" i="3" s="1"/>
  <c r="Y144" i="1"/>
  <c r="AA144" i="1" s="1"/>
  <c r="Z144" i="1"/>
  <c r="AB144" i="1"/>
  <c r="AC144" i="1"/>
  <c r="AD144" i="1"/>
  <c r="T144" i="1" s="1"/>
  <c r="AE144" i="1"/>
  <c r="R20" i="3" s="1"/>
  <c r="AF144" i="1"/>
  <c r="AH144" i="1"/>
  <c r="AM144" i="1"/>
  <c r="AN144" i="1"/>
  <c r="K145" i="1"/>
  <c r="L145" i="1"/>
  <c r="M145" i="1"/>
  <c r="N145" i="1" s="1"/>
  <c r="V145" i="1"/>
  <c r="S10" i="3" s="1"/>
  <c r="Y145" i="1"/>
  <c r="Z145" i="1"/>
  <c r="AB145" i="1"/>
  <c r="AC145" i="1"/>
  <c r="AD145" i="1"/>
  <c r="T145" i="1" s="1"/>
  <c r="AE145" i="1"/>
  <c r="R10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T152" i="1" s="1"/>
  <c r="AE152" i="1"/>
  <c r="R22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0" i="1"/>
  <c r="AM160" i="1"/>
  <c r="AN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K212" i="1"/>
  <c r="L212" i="1"/>
  <c r="M212" i="1"/>
  <c r="N212" i="1" s="1"/>
  <c r="T212" i="1"/>
  <c r="V212" i="1"/>
  <c r="Y212" i="1"/>
  <c r="Z212" i="1"/>
  <c r="AB212" i="1"/>
  <c r="AC212" i="1"/>
  <c r="AD212" i="1"/>
  <c r="AE212" i="1"/>
  <c r="AF212" i="1"/>
  <c r="AH162" i="1"/>
  <c r="AM162" i="1"/>
  <c r="AN16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3" i="1"/>
  <c r="AM163" i="1"/>
  <c r="AN16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6" i="1"/>
  <c r="AM166" i="1"/>
  <c r="AN166" i="1"/>
  <c r="K217" i="1"/>
  <c r="L217" i="1"/>
  <c r="M217" i="1"/>
  <c r="N217" i="1" s="1"/>
  <c r="V217" i="1"/>
  <c r="X217" i="1"/>
  <c r="Y217" i="1"/>
  <c r="Z217" i="1"/>
  <c r="AB217" i="1"/>
  <c r="AC217" i="1"/>
  <c r="AD217" i="1"/>
  <c r="T217" i="1" s="1"/>
  <c r="AE217" i="1"/>
  <c r="AF217" i="1"/>
  <c r="AH167" i="1"/>
  <c r="AM167" i="1"/>
  <c r="AN167" i="1"/>
  <c r="K218" i="1"/>
  <c r="L218" i="1"/>
  <c r="M218" i="1"/>
  <c r="N218" i="1" s="1"/>
  <c r="V218" i="1"/>
  <c r="S26" i="3" s="1"/>
  <c r="Y218" i="1"/>
  <c r="Z218" i="1"/>
  <c r="AB218" i="1"/>
  <c r="AC218" i="1"/>
  <c r="AD218" i="1"/>
  <c r="T218" i="1" s="1"/>
  <c r="AE218" i="1"/>
  <c r="R26" i="3" s="1"/>
  <c r="AF218" i="1"/>
  <c r="AH168" i="1"/>
  <c r="AM168" i="1"/>
  <c r="AN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70" i="1"/>
  <c r="AM170" i="1"/>
  <c r="AN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2" i="1"/>
  <c r="AM172" i="1"/>
  <c r="AN17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3" i="1"/>
  <c r="AM173" i="1"/>
  <c r="AN173" i="1"/>
  <c r="K230" i="1"/>
  <c r="L230" i="1"/>
  <c r="M230" i="1"/>
  <c r="N230" i="1" s="1"/>
  <c r="T230" i="1"/>
  <c r="V230" i="1"/>
  <c r="Y230" i="1"/>
  <c r="Z230" i="1"/>
  <c r="AB230" i="1"/>
  <c r="AC230" i="1"/>
  <c r="AD230" i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K233" i="1"/>
  <c r="L233" i="1"/>
  <c r="M233" i="1"/>
  <c r="N233" i="1" s="1"/>
  <c r="V233" i="1"/>
  <c r="S32" i="3" s="1"/>
  <c r="Y233" i="1"/>
  <c r="Z233" i="1"/>
  <c r="AB233" i="1"/>
  <c r="AC233" i="1"/>
  <c r="AD233" i="1"/>
  <c r="AE233" i="1"/>
  <c r="R33" i="3" s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S30" i="3" s="1"/>
  <c r="Y237" i="1"/>
  <c r="Z237" i="1"/>
  <c r="AB237" i="1"/>
  <c r="AC237" i="1"/>
  <c r="AD237" i="1"/>
  <c r="T237" i="1" s="1"/>
  <c r="AE237" i="1"/>
  <c r="R30" i="3" s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AE240" i="1"/>
  <c r="R34" i="3" s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R37" i="3" s="1"/>
  <c r="AF242" i="1"/>
  <c r="AH186" i="1"/>
  <c r="AM186" i="1"/>
  <c r="AN186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V244" i="1"/>
  <c r="S38" i="3" s="1"/>
  <c r="Y244" i="1"/>
  <c r="Z244" i="1"/>
  <c r="AB244" i="1"/>
  <c r="AC244" i="1"/>
  <c r="AD244" i="1"/>
  <c r="T244" i="1" s="1"/>
  <c r="AE244" i="1"/>
  <c r="R38" i="3" s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0" i="1"/>
  <c r="AM190" i="1"/>
  <c r="AN190" i="1"/>
  <c r="K246" i="1"/>
  <c r="L246" i="1"/>
  <c r="M246" i="1"/>
  <c r="N246" i="1" s="1"/>
  <c r="V246" i="1"/>
  <c r="S40" i="3" s="1"/>
  <c r="Y246" i="1"/>
  <c r="Z246" i="1"/>
  <c r="AB246" i="1"/>
  <c r="AC246" i="1"/>
  <c r="AD246" i="1"/>
  <c r="T246" i="1" s="1"/>
  <c r="AE246" i="1"/>
  <c r="R40" i="3" s="1"/>
  <c r="AF246" i="1"/>
  <c r="AH191" i="1"/>
  <c r="AM191" i="1"/>
  <c r="AN191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5" i="1"/>
  <c r="AM195" i="1"/>
  <c r="AN1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2" i="1"/>
  <c r="AM192" i="1"/>
  <c r="AN19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6" i="1"/>
  <c r="AM196" i="1"/>
  <c r="AN1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8" i="1"/>
  <c r="AM198" i="1"/>
  <c r="AN1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9" i="1"/>
  <c r="AM199" i="1"/>
  <c r="AN1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0" i="1"/>
  <c r="AM200" i="1"/>
  <c r="AN200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201" i="1"/>
  <c r="AM201" i="1"/>
  <c r="AN20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2" i="1"/>
  <c r="AM202" i="1"/>
  <c r="AN2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3" i="1"/>
  <c r="AM203" i="1"/>
  <c r="AN2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4" i="1"/>
  <c r="AM204" i="1"/>
  <c r="AN2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5" i="1"/>
  <c r="AM205" i="1"/>
  <c r="AN2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6" i="1"/>
  <c r="AM206" i="1"/>
  <c r="AN206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207" i="1"/>
  <c r="AM207" i="1"/>
  <c r="AN2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8" i="1"/>
  <c r="AM208" i="1"/>
  <c r="AN208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9" i="1"/>
  <c r="AM209" i="1"/>
  <c r="AN2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0" i="1"/>
  <c r="AM210" i="1"/>
  <c r="AN210" i="1"/>
  <c r="K176" i="1"/>
  <c r="L176" i="1"/>
  <c r="M176" i="1"/>
  <c r="N176" i="1" s="1"/>
  <c r="V176" i="1"/>
  <c r="S23" i="3" s="1"/>
  <c r="Y176" i="1"/>
  <c r="Z176" i="1"/>
  <c r="AB176" i="1"/>
  <c r="AC176" i="1"/>
  <c r="AD176" i="1"/>
  <c r="T176" i="1" s="1"/>
  <c r="AE176" i="1"/>
  <c r="R23" i="3" s="1"/>
  <c r="AF176" i="1"/>
  <c r="AH211" i="1"/>
  <c r="AM211" i="1"/>
  <c r="AN2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2" i="1"/>
  <c r="AM212" i="1"/>
  <c r="AN2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13" i="1"/>
  <c r="AM213" i="1"/>
  <c r="AN2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4" i="1"/>
  <c r="AM214" i="1"/>
  <c r="AN214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15" i="1"/>
  <c r="AM215" i="1"/>
  <c r="AN215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6" i="1"/>
  <c r="AM216" i="1"/>
  <c r="AN2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7" i="1"/>
  <c r="AM217" i="1"/>
  <c r="AN2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8" i="1"/>
  <c r="AM218" i="1"/>
  <c r="AN2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9" i="1"/>
  <c r="AM219" i="1"/>
  <c r="AN2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0" i="1"/>
  <c r="AM220" i="1"/>
  <c r="AN2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1" i="1"/>
  <c r="AM221" i="1"/>
  <c r="AN2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2" i="1"/>
  <c r="AM222" i="1"/>
  <c r="AN22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3" i="1"/>
  <c r="AM223" i="1"/>
  <c r="AN223" i="1"/>
  <c r="K190" i="1"/>
  <c r="L190" i="1"/>
  <c r="M190" i="1"/>
  <c r="V190" i="1"/>
  <c r="Y190" i="1"/>
  <c r="Z190" i="1"/>
  <c r="AB190" i="1"/>
  <c r="AC190" i="1"/>
  <c r="AD190" i="1"/>
  <c r="AE190" i="1"/>
  <c r="AF190" i="1"/>
  <c r="AH224" i="1"/>
  <c r="AM224" i="1"/>
  <c r="AN22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5" i="1"/>
  <c r="AM225" i="1"/>
  <c r="AN22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6" i="1"/>
  <c r="AM226" i="1"/>
  <c r="AN226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27" i="1"/>
  <c r="AM227" i="1"/>
  <c r="AN22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8" i="1"/>
  <c r="AM228" i="1"/>
  <c r="AN228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29" i="1"/>
  <c r="AM229" i="1"/>
  <c r="AN229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30" i="1"/>
  <c r="AM230" i="1"/>
  <c r="AN230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31" i="1"/>
  <c r="AM231" i="1"/>
  <c r="AN231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32" i="1"/>
  <c r="AM232" i="1"/>
  <c r="AN23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3" i="1"/>
  <c r="AM233" i="1"/>
  <c r="AN23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4" i="1"/>
  <c r="AM234" i="1"/>
  <c r="AN23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5" i="1"/>
  <c r="AM235" i="1"/>
  <c r="AN23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6" i="1"/>
  <c r="AM236" i="1"/>
  <c r="AN23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7" i="1"/>
  <c r="AM237" i="1"/>
  <c r="AN23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8" i="1"/>
  <c r="AM238" i="1"/>
  <c r="AN23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9" i="1"/>
  <c r="AM239" i="1"/>
  <c r="AN239" i="1"/>
  <c r="K206" i="1"/>
  <c r="L206" i="1"/>
  <c r="M206" i="1"/>
  <c r="N206" i="1" s="1"/>
  <c r="V206" i="1"/>
  <c r="S24" i="3" s="1"/>
  <c r="Y206" i="1"/>
  <c r="Z206" i="1"/>
  <c r="AB206" i="1"/>
  <c r="AC206" i="1"/>
  <c r="AD206" i="1"/>
  <c r="AE206" i="1"/>
  <c r="R24" i="3" s="1"/>
  <c r="AF206" i="1"/>
  <c r="AH240" i="1"/>
  <c r="AM240" i="1"/>
  <c r="AN24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1" i="1"/>
  <c r="AM241" i="1"/>
  <c r="AN241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42" i="1"/>
  <c r="AM242" i="1"/>
  <c r="AN24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43" i="1"/>
  <c r="AM243" i="1"/>
  <c r="AN24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44" i="1"/>
  <c r="AM244" i="1"/>
  <c r="AN244" i="1"/>
  <c r="K225" i="1"/>
  <c r="L225" i="1"/>
  <c r="M225" i="1"/>
  <c r="N225" i="1" s="1"/>
  <c r="T225" i="1"/>
  <c r="V225" i="1"/>
  <c r="Y225" i="1"/>
  <c r="Z225" i="1"/>
  <c r="AA225" i="1" s="1"/>
  <c r="AB225" i="1"/>
  <c r="AC225" i="1"/>
  <c r="AD225" i="1"/>
  <c r="AE225" i="1"/>
  <c r="AF225" i="1"/>
  <c r="AH245" i="1"/>
  <c r="AM245" i="1"/>
  <c r="AN24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6" i="1"/>
  <c r="AM246" i="1"/>
  <c r="AN246" i="1"/>
  <c r="K227" i="1"/>
  <c r="L227" i="1"/>
  <c r="M227" i="1"/>
  <c r="N227" i="1" s="1"/>
  <c r="V227" i="1"/>
  <c r="S28" i="3" s="1"/>
  <c r="Y227" i="1"/>
  <c r="Z227" i="1"/>
  <c r="AB227" i="1"/>
  <c r="AC227" i="1"/>
  <c r="AD227" i="1"/>
  <c r="T227" i="1" s="1"/>
  <c r="AE227" i="1"/>
  <c r="R28" i="3" s="1"/>
  <c r="AF227" i="1"/>
  <c r="AH247" i="1"/>
  <c r="AM247" i="1"/>
  <c r="AN24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48" i="1"/>
  <c r="AM248" i="1"/>
  <c r="AN24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49" i="1"/>
  <c r="AM249" i="1"/>
  <c r="AN249" i="1"/>
  <c r="M25" i="3"/>
  <c r="U25" i="3"/>
  <c r="T25" i="3" s="1"/>
  <c r="V25" i="3"/>
  <c r="X25" i="3"/>
  <c r="M26" i="3"/>
  <c r="U26" i="3"/>
  <c r="V26" i="3"/>
  <c r="X26" i="3"/>
  <c r="M17" i="3"/>
  <c r="S17" i="3"/>
  <c r="U17" i="3"/>
  <c r="AC17" i="3" s="1"/>
  <c r="V17" i="3"/>
  <c r="X17" i="3"/>
  <c r="M18" i="3"/>
  <c r="R18" i="3"/>
  <c r="U18" i="3"/>
  <c r="AC18" i="3" s="1"/>
  <c r="V18" i="3"/>
  <c r="X18" i="3"/>
  <c r="M34" i="3"/>
  <c r="U34" i="3"/>
  <c r="T34" i="3" s="1"/>
  <c r="V34" i="3"/>
  <c r="X34" i="3"/>
  <c r="M30" i="3"/>
  <c r="U30" i="3"/>
  <c r="AC30" i="3" s="1"/>
  <c r="V30" i="3"/>
  <c r="X30" i="3"/>
  <c r="M31" i="3"/>
  <c r="R31" i="3"/>
  <c r="U31" i="3"/>
  <c r="AC31" i="3" s="1"/>
  <c r="V31" i="3"/>
  <c r="X31" i="3"/>
  <c r="M23" i="3"/>
  <c r="U23" i="3"/>
  <c r="AC23" i="3" s="1"/>
  <c r="V23" i="3"/>
  <c r="X23" i="3"/>
  <c r="M13" i="3"/>
  <c r="S13" i="3"/>
  <c r="U13" i="3"/>
  <c r="T13" i="3" s="1"/>
  <c r="V13" i="3"/>
  <c r="X13" i="3"/>
  <c r="M35" i="3"/>
  <c r="U35" i="3"/>
  <c r="AD35" i="3" s="1"/>
  <c r="V35" i="3"/>
  <c r="X35" i="3"/>
  <c r="M32" i="3"/>
  <c r="U32" i="3"/>
  <c r="AC32" i="3" s="1"/>
  <c r="V32" i="3"/>
  <c r="X32" i="3"/>
  <c r="M33" i="3"/>
  <c r="S33" i="3"/>
  <c r="U33" i="3"/>
  <c r="AC33" i="3" s="1"/>
  <c r="V33" i="3"/>
  <c r="X33" i="3"/>
  <c r="M29" i="3"/>
  <c r="U29" i="3"/>
  <c r="T29" i="3" s="1"/>
  <c r="V29" i="3"/>
  <c r="X29" i="3"/>
  <c r="M11" i="3"/>
  <c r="S11" i="3"/>
  <c r="U11" i="3"/>
  <c r="V11" i="3"/>
  <c r="X11" i="3"/>
  <c r="M19" i="3"/>
  <c r="S19" i="3"/>
  <c r="U19" i="3"/>
  <c r="AC19" i="3" s="1"/>
  <c r="V19" i="3"/>
  <c r="X19" i="3"/>
  <c r="M36" i="3"/>
  <c r="U36" i="3"/>
  <c r="AC36" i="3" s="1"/>
  <c r="V36" i="3"/>
  <c r="X36" i="3"/>
  <c r="M37" i="3"/>
  <c r="U37" i="3"/>
  <c r="T37" i="3" s="1"/>
  <c r="V37" i="3"/>
  <c r="X37" i="3"/>
  <c r="M7" i="3"/>
  <c r="R7" i="3"/>
  <c r="U7" i="3"/>
  <c r="V7" i="3"/>
  <c r="X7" i="3"/>
  <c r="M16" i="3"/>
  <c r="S16" i="3"/>
  <c r="U16" i="3"/>
  <c r="AC16" i="3" s="1"/>
  <c r="V16" i="3"/>
  <c r="X16" i="3"/>
  <c r="M12" i="3"/>
  <c r="U12" i="3"/>
  <c r="AC12" i="3" s="1"/>
  <c r="V12" i="3"/>
  <c r="X12" i="3"/>
  <c r="M38" i="3"/>
  <c r="U38" i="3"/>
  <c r="T38" i="3" s="1"/>
  <c r="V38" i="3"/>
  <c r="X38" i="3"/>
  <c r="M15" i="3"/>
  <c r="U15" i="3"/>
  <c r="V15" i="3"/>
  <c r="X15" i="3"/>
  <c r="M28" i="3"/>
  <c r="U28" i="3"/>
  <c r="AC28" i="3" s="1"/>
  <c r="V28" i="3"/>
  <c r="X28" i="3"/>
  <c r="M39" i="3"/>
  <c r="U39" i="3"/>
  <c r="AC39" i="3" s="1"/>
  <c r="V39" i="3"/>
  <c r="X39" i="3"/>
  <c r="M40" i="3"/>
  <c r="U40" i="3"/>
  <c r="T40" i="3" s="1"/>
  <c r="V40" i="3"/>
  <c r="X40" i="3"/>
  <c r="M9" i="3"/>
  <c r="S9" i="3"/>
  <c r="U9" i="3"/>
  <c r="V9" i="3"/>
  <c r="X9" i="3"/>
  <c r="M8" i="3"/>
  <c r="U8" i="3"/>
  <c r="AC8" i="3" s="1"/>
  <c r="V8" i="3"/>
  <c r="X8" i="3"/>
  <c r="M14" i="3"/>
  <c r="S14" i="3"/>
  <c r="U14" i="3"/>
  <c r="AC14" i="3" s="1"/>
  <c r="V14" i="3"/>
  <c r="X14" i="3"/>
  <c r="M24" i="3"/>
  <c r="U24" i="3"/>
  <c r="T24" i="3" s="1"/>
  <c r="V24" i="3"/>
  <c r="X24" i="3"/>
  <c r="M20" i="3"/>
  <c r="U20" i="3"/>
  <c r="V20" i="3"/>
  <c r="X20" i="3"/>
  <c r="M21" i="3"/>
  <c r="U21" i="3"/>
  <c r="AC21" i="3" s="1"/>
  <c r="V21" i="3"/>
  <c r="X21" i="3"/>
  <c r="M10" i="3"/>
  <c r="U10" i="3"/>
  <c r="AC10" i="3" s="1"/>
  <c r="V10" i="3"/>
  <c r="X10" i="3"/>
  <c r="M22" i="3"/>
  <c r="U22" i="3"/>
  <c r="T22" i="3" s="1"/>
  <c r="V22" i="3"/>
  <c r="X22" i="3"/>
  <c r="W11" i="3"/>
  <c r="W20" i="3"/>
  <c r="W37" i="3"/>
  <c r="W17" i="3"/>
  <c r="W16" i="3"/>
  <c r="W36" i="3"/>
  <c r="W33" i="3"/>
  <c r="W29" i="3"/>
  <c r="W26" i="3"/>
  <c r="W7" i="3"/>
  <c r="W39" i="3"/>
  <c r="W38" i="3"/>
  <c r="W31" i="3"/>
  <c r="W28" i="3"/>
  <c r="W12" i="3"/>
  <c r="W25" i="3"/>
  <c r="W40" i="3"/>
  <c r="W30" i="3"/>
  <c r="W15" i="3"/>
  <c r="W14" i="3"/>
  <c r="W24" i="3"/>
  <c r="W32" i="3"/>
  <c r="W8" i="3"/>
  <c r="W18" i="3"/>
  <c r="W34" i="3"/>
  <c r="W35" i="3"/>
  <c r="W9" i="3"/>
  <c r="W10" i="3"/>
  <c r="W22" i="3"/>
  <c r="W19" i="3"/>
  <c r="W21" i="3"/>
  <c r="W23" i="3"/>
  <c r="W13" i="3"/>
  <c r="AG133" i="1"/>
  <c r="AG52" i="1"/>
  <c r="AG22" i="1"/>
  <c r="AG41" i="1"/>
  <c r="AG74" i="1"/>
  <c r="AG64" i="1"/>
  <c r="AG96" i="1"/>
  <c r="AG124" i="1"/>
  <c r="AG211" i="1"/>
  <c r="AG134" i="1"/>
  <c r="AG154" i="1"/>
  <c r="AG184" i="1"/>
  <c r="AG171" i="1"/>
  <c r="AG166" i="1"/>
  <c r="AG247" i="1"/>
  <c r="AG24" i="1"/>
  <c r="AG43" i="1"/>
  <c r="AG28" i="1"/>
  <c r="AG47" i="1"/>
  <c r="AG17" i="1"/>
  <c r="AG83" i="1"/>
  <c r="AG77" i="1"/>
  <c r="AG105" i="1"/>
  <c r="AG99" i="1"/>
  <c r="AG136" i="1"/>
  <c r="AG152" i="1"/>
  <c r="AG128" i="1"/>
  <c r="AG160" i="1"/>
  <c r="AG35" i="1"/>
  <c r="AG65" i="1"/>
  <c r="AG123" i="1"/>
  <c r="AG175" i="1"/>
  <c r="AG48" i="1"/>
  <c r="AG87" i="1"/>
  <c r="AG109" i="1"/>
  <c r="AG140" i="1"/>
  <c r="AG132" i="1"/>
  <c r="AG232" i="1"/>
  <c r="AG248" i="1"/>
  <c r="AG169" i="1"/>
  <c r="AG51" i="1"/>
  <c r="AG78" i="1"/>
  <c r="AG100" i="1"/>
  <c r="AG215" i="1"/>
  <c r="AG158" i="1"/>
  <c r="AG249" i="1"/>
  <c r="AG174" i="1"/>
  <c r="AG185" i="1"/>
  <c r="AG29" i="1"/>
  <c r="AG89" i="1"/>
  <c r="AG111" i="1"/>
  <c r="AG214" i="1"/>
  <c r="AG172" i="1"/>
  <c r="AG193" i="1"/>
  <c r="AG207" i="1"/>
  <c r="AG37" i="1"/>
  <c r="AG222" i="1"/>
  <c r="AG241" i="1"/>
  <c r="AG161" i="1"/>
  <c r="AG173" i="1"/>
  <c r="AG116" i="1"/>
  <c r="AG145" i="1"/>
  <c r="AG50" i="1"/>
  <c r="AG139" i="1"/>
  <c r="AG18" i="1"/>
  <c r="AG108" i="1"/>
  <c r="AG216" i="1"/>
  <c r="AG178" i="1"/>
  <c r="AG58" i="1"/>
  <c r="AG95" i="1"/>
  <c r="AG246" i="1"/>
  <c r="AG192" i="1"/>
  <c r="AG63" i="1"/>
  <c r="AG115" i="1"/>
  <c r="AG205" i="1"/>
  <c r="AG243" i="1"/>
  <c r="AG213" i="1"/>
  <c r="AG202" i="1"/>
  <c r="AG231" i="1"/>
  <c r="AG190" i="1"/>
  <c r="AG15" i="1"/>
  <c r="AG82" i="1"/>
  <c r="AG102" i="1"/>
  <c r="AG212" i="1"/>
  <c r="AG92" i="1"/>
  <c r="AG21" i="1"/>
  <c r="AG156" i="1"/>
  <c r="AG112" i="1"/>
  <c r="AG23" i="1"/>
  <c r="AG38" i="1"/>
  <c r="AG57" i="1"/>
  <c r="AG90" i="1"/>
  <c r="AG80" i="1"/>
  <c r="AG113" i="1"/>
  <c r="AG110" i="1"/>
  <c r="AG233" i="1"/>
  <c r="AG151" i="1"/>
  <c r="AG220" i="1"/>
  <c r="AG201" i="1"/>
  <c r="AG188" i="1"/>
  <c r="AG182" i="1"/>
  <c r="AG40" i="1"/>
  <c r="AG59" i="1"/>
  <c r="AG44" i="1"/>
  <c r="AG14" i="1"/>
  <c r="AG33" i="1"/>
  <c r="AG66" i="1"/>
  <c r="AG93" i="1"/>
  <c r="AG122" i="1"/>
  <c r="AG153" i="1"/>
  <c r="AG218" i="1"/>
  <c r="AG176" i="1"/>
  <c r="AG60" i="1"/>
  <c r="AG236" i="1"/>
  <c r="AG86" i="1"/>
  <c r="AG223" i="1"/>
  <c r="AG163" i="1"/>
  <c r="AG195" i="1"/>
  <c r="AG73" i="1"/>
  <c r="AG147" i="1"/>
  <c r="AG179" i="1"/>
  <c r="AG224" i="1"/>
  <c r="AG84" i="1"/>
  <c r="AG155" i="1"/>
  <c r="AG226" i="1"/>
  <c r="AG126" i="1"/>
  <c r="AG196" i="1"/>
  <c r="AG20" i="1"/>
  <c r="AG75" i="1"/>
  <c r="AG97" i="1"/>
  <c r="AG127" i="1"/>
  <c r="AG217" i="1"/>
  <c r="AG204" i="1"/>
  <c r="AG56" i="1"/>
  <c r="AG30" i="1"/>
  <c r="AG72" i="1"/>
  <c r="AG219" i="1"/>
  <c r="AG194" i="1"/>
  <c r="AG150" i="1"/>
  <c r="AG81" i="1"/>
  <c r="AG164" i="1"/>
  <c r="AG187" i="1"/>
  <c r="AG39" i="1"/>
  <c r="AG54" i="1"/>
  <c r="AG69" i="1"/>
  <c r="AG129" i="1"/>
  <c r="AG143" i="1"/>
  <c r="AG242" i="1"/>
  <c r="AG199" i="1"/>
  <c r="AG26" i="1"/>
  <c r="AG49" i="1"/>
  <c r="AG104" i="1"/>
  <c r="AG142" i="1"/>
  <c r="AG71" i="1"/>
  <c r="AG191" i="1"/>
  <c r="AG103" i="1"/>
  <c r="AG183" i="1"/>
  <c r="AG25" i="1"/>
  <c r="AG107" i="1"/>
  <c r="AG168" i="1"/>
  <c r="AG206" i="1"/>
  <c r="AG46" i="1"/>
  <c r="AG121" i="1"/>
  <c r="AG234" i="1"/>
  <c r="AG209" i="1"/>
  <c r="AG106" i="1"/>
  <c r="AG203" i="1"/>
  <c r="AG45" i="1"/>
  <c r="AG98" i="1"/>
  <c r="AG189" i="1"/>
  <c r="AG235" i="1"/>
  <c r="AG62" i="1"/>
  <c r="AG148" i="1"/>
  <c r="AG237" i="1"/>
  <c r="AG177" i="1"/>
  <c r="AG238" i="1"/>
  <c r="AG240" i="1"/>
  <c r="AG162" i="1"/>
  <c r="AG55" i="1"/>
  <c r="AG114" i="1"/>
  <c r="AG137" i="1"/>
  <c r="AG229" i="1"/>
  <c r="AG31" i="1"/>
  <c r="AG88" i="1"/>
  <c r="AG159" i="1"/>
  <c r="AG125" i="1"/>
  <c r="AG76" i="1"/>
  <c r="AG208" i="1"/>
  <c r="AG32" i="1"/>
  <c r="AG101" i="1"/>
  <c r="AG221" i="1"/>
  <c r="AG244" i="1"/>
  <c r="AG34" i="1"/>
  <c r="AG117" i="1"/>
  <c r="AG230" i="1"/>
  <c r="AG186" i="1"/>
  <c r="AG157" i="1"/>
  <c r="AG225" i="1"/>
  <c r="AG149" i="1"/>
  <c r="AG91" i="1"/>
  <c r="AG144" i="1"/>
  <c r="AG245" i="1"/>
  <c r="AG27" i="1"/>
  <c r="AG67" i="1"/>
  <c r="AG119" i="1"/>
  <c r="AG16" i="1"/>
  <c r="AG181" i="1"/>
  <c r="AG146" i="1"/>
  <c r="AG239" i="1"/>
  <c r="AG79" i="1"/>
  <c r="AG131" i="1"/>
  <c r="AG227" i="1"/>
  <c r="AG165" i="1"/>
  <c r="AG94" i="1"/>
  <c r="AG130" i="1"/>
  <c r="AG167" i="1"/>
  <c r="AG198" i="1"/>
  <c r="AG180" i="1"/>
  <c r="AG36" i="1"/>
  <c r="AG85" i="1"/>
  <c r="AG210" i="1"/>
  <c r="AG42" i="1"/>
  <c r="AG61" i="1"/>
  <c r="AG135" i="1"/>
  <c r="AG70" i="1"/>
  <c r="AG53" i="1"/>
  <c r="AG197" i="1"/>
  <c r="AG228" i="1"/>
  <c r="AG68" i="1"/>
  <c r="AG138" i="1"/>
  <c r="AG200" i="1"/>
  <c r="AG19" i="1"/>
  <c r="AG118" i="1"/>
  <c r="AG141" i="1"/>
  <c r="AG120" i="1"/>
  <c r="AG170" i="1"/>
  <c r="X190" i="1" l="1"/>
  <c r="AA188" i="1"/>
  <c r="AA212" i="1"/>
  <c r="AA121" i="1"/>
  <c r="W121" i="1" s="1"/>
  <c r="AA115" i="1"/>
  <c r="AA113" i="1"/>
  <c r="AA110" i="1"/>
  <c r="X99" i="1"/>
  <c r="S20" i="3"/>
  <c r="R25" i="3"/>
  <c r="X203" i="1"/>
  <c r="AA183" i="1"/>
  <c r="AA158" i="1"/>
  <c r="X140" i="1"/>
  <c r="X50" i="1"/>
  <c r="X25" i="1"/>
  <c r="AA14" i="1"/>
  <c r="AA206" i="1"/>
  <c r="AA249" i="1"/>
  <c r="AA247" i="1"/>
  <c r="W247" i="1" s="1"/>
  <c r="AA243" i="1"/>
  <c r="AA239" i="1"/>
  <c r="AA235" i="1"/>
  <c r="AA211" i="1"/>
  <c r="W211" i="1" s="1"/>
  <c r="AA159" i="1"/>
  <c r="AA150" i="1"/>
  <c r="AA147" i="1"/>
  <c r="AA143" i="1"/>
  <c r="AA139" i="1"/>
  <c r="AA135" i="1"/>
  <c r="AA130" i="1"/>
  <c r="AA61" i="1"/>
  <c r="W61" i="1" s="1"/>
  <c r="AA57" i="1"/>
  <c r="AA53" i="1"/>
  <c r="AA49" i="1"/>
  <c r="AA41" i="1"/>
  <c r="W41" i="1" s="1"/>
  <c r="AA30" i="1"/>
  <c r="AA28" i="1"/>
  <c r="T200" i="1"/>
  <c r="X200" i="1"/>
  <c r="X201" i="1"/>
  <c r="S36" i="3"/>
  <c r="S37" i="3"/>
  <c r="S35" i="3"/>
  <c r="S34" i="3"/>
  <c r="X87" i="1"/>
  <c r="AA78" i="1"/>
  <c r="AA67" i="1"/>
  <c r="W67" i="1" s="1"/>
  <c r="X42" i="1"/>
  <c r="X39" i="1"/>
  <c r="X196" i="1"/>
  <c r="AA195" i="1"/>
  <c r="AA210" i="1"/>
  <c r="X162" i="1"/>
  <c r="AA216" i="1"/>
  <c r="AA214" i="1"/>
  <c r="T91" i="1"/>
  <c r="T69" i="1"/>
  <c r="AA35" i="1"/>
  <c r="X199" i="1"/>
  <c r="X195" i="1"/>
  <c r="X191" i="1"/>
  <c r="AA228" i="1"/>
  <c r="X229" i="1"/>
  <c r="AA207" i="1"/>
  <c r="AA200" i="1"/>
  <c r="AA198" i="1"/>
  <c r="X181" i="1"/>
  <c r="AA177" i="1"/>
  <c r="X173" i="1"/>
  <c r="AA169" i="1"/>
  <c r="AA165" i="1"/>
  <c r="W165" i="1" s="1"/>
  <c r="AA215" i="1"/>
  <c r="AA97" i="1"/>
  <c r="T87" i="1"/>
  <c r="AA59" i="1"/>
  <c r="W59" i="1" s="1"/>
  <c r="AA47" i="1"/>
  <c r="T42" i="1"/>
  <c r="AA36" i="1"/>
  <c r="AA27" i="1"/>
  <c r="W27" i="1" s="1"/>
  <c r="X197" i="1"/>
  <c r="X193" i="1"/>
  <c r="X189" i="1"/>
  <c r="X225" i="1"/>
  <c r="X221" i="1"/>
  <c r="AA126" i="1"/>
  <c r="AA103" i="1"/>
  <c r="X83" i="1"/>
  <c r="X55" i="1"/>
  <c r="X47" i="1"/>
  <c r="AA43" i="1"/>
  <c r="W43" i="1" s="1"/>
  <c r="AA40" i="1"/>
  <c r="W40" i="1" s="1"/>
  <c r="AA19" i="1"/>
  <c r="X188" i="1"/>
  <c r="T229" i="1"/>
  <c r="X206" i="1"/>
  <c r="AA202" i="1"/>
  <c r="AA185" i="1"/>
  <c r="X178" i="1"/>
  <c r="X165" i="1"/>
  <c r="AA161" i="1"/>
  <c r="AA230" i="1"/>
  <c r="X159" i="1"/>
  <c r="R32" i="3"/>
  <c r="AA229" i="1"/>
  <c r="X207" i="1"/>
  <c r="T192" i="1"/>
  <c r="U192" i="1" s="1"/>
  <c r="S192" i="1" s="1"/>
  <c r="AA181" i="1"/>
  <c r="AA175" i="1"/>
  <c r="AA173" i="1"/>
  <c r="AA164" i="1"/>
  <c r="W164" i="1" s="1"/>
  <c r="X247" i="1"/>
  <c r="X239" i="1"/>
  <c r="AA233" i="1"/>
  <c r="X220" i="1"/>
  <c r="AA217" i="1"/>
  <c r="W217" i="1" s="1"/>
  <c r="X155" i="1"/>
  <c r="X154" i="1"/>
  <c r="AA148" i="1"/>
  <c r="W148" i="1" s="1"/>
  <c r="X145" i="1"/>
  <c r="X132" i="1"/>
  <c r="AA129" i="1"/>
  <c r="AA127" i="1"/>
  <c r="X124" i="1"/>
  <c r="AA122" i="1"/>
  <c r="AA104" i="1"/>
  <c r="AA102" i="1"/>
  <c r="W102" i="1" s="1"/>
  <c r="AA73" i="1"/>
  <c r="X62" i="1"/>
  <c r="T50" i="1"/>
  <c r="AA46" i="1"/>
  <c r="X33" i="1"/>
  <c r="AA31" i="1"/>
  <c r="X20" i="1"/>
  <c r="X113" i="1"/>
  <c r="X134" i="1"/>
  <c r="X149" i="1"/>
  <c r="AA199" i="1"/>
  <c r="AA192" i="1"/>
  <c r="W192" i="1" s="1"/>
  <c r="AA193" i="1"/>
  <c r="AA190" i="1"/>
  <c r="AA182" i="1"/>
  <c r="AA167" i="1"/>
  <c r="W167" i="1" s="1"/>
  <c r="AA248" i="1"/>
  <c r="AA246" i="1"/>
  <c r="AA240" i="1"/>
  <c r="AA238" i="1"/>
  <c r="W238" i="1" s="1"/>
  <c r="AA223" i="1"/>
  <c r="AA221" i="1"/>
  <c r="AA157" i="1"/>
  <c r="AA154" i="1"/>
  <c r="W154" i="1" s="1"/>
  <c r="X151" i="1"/>
  <c r="X148" i="1"/>
  <c r="AA136" i="1"/>
  <c r="X127" i="1"/>
  <c r="T83" i="1"/>
  <c r="U83" i="1" s="1"/>
  <c r="S83" i="1" s="1"/>
  <c r="AA82" i="1"/>
  <c r="X79" i="1"/>
  <c r="AA65" i="1"/>
  <c r="X61" i="1"/>
  <c r="T55" i="1"/>
  <c r="AA54" i="1"/>
  <c r="AA34" i="1"/>
  <c r="AA32" i="1"/>
  <c r="AA18" i="1"/>
  <c r="AA15" i="1"/>
  <c r="S25" i="3"/>
  <c r="AD33" i="3"/>
  <c r="AE39" i="3"/>
  <c r="U187" i="1"/>
  <c r="S187" i="1" s="1"/>
  <c r="AI187" i="1"/>
  <c r="W187" i="1"/>
  <c r="X187" i="1"/>
  <c r="R39" i="3"/>
  <c r="AD29" i="3"/>
  <c r="AD23" i="3"/>
  <c r="R35" i="3"/>
  <c r="AI149" i="1"/>
  <c r="U149" i="1"/>
  <c r="S149" i="1" s="1"/>
  <c r="W149" i="1"/>
  <c r="S29" i="3"/>
  <c r="R21" i="3"/>
  <c r="AD37" i="3"/>
  <c r="R36" i="3"/>
  <c r="S31" i="3"/>
  <c r="R14" i="3"/>
  <c r="AD32" i="3"/>
  <c r="AD39" i="3"/>
  <c r="S39" i="3"/>
  <c r="R29" i="3"/>
  <c r="AI133" i="1"/>
  <c r="U133" i="1"/>
  <c r="S133" i="1" s="1"/>
  <c r="W133" i="1"/>
  <c r="X133" i="1"/>
  <c r="AI112" i="1"/>
  <c r="U112" i="1"/>
  <c r="S112" i="1" s="1"/>
  <c r="W112" i="1"/>
  <c r="X112" i="1"/>
  <c r="AD40" i="3"/>
  <c r="AE31" i="3"/>
  <c r="AC25" i="3"/>
  <c r="AC40" i="3"/>
  <c r="AC34" i="3"/>
  <c r="AD25" i="3"/>
  <c r="AE23" i="3"/>
  <c r="AE35" i="3"/>
  <c r="AE11" i="3"/>
  <c r="AC29" i="3"/>
  <c r="AA151" i="1"/>
  <c r="AA119" i="1"/>
  <c r="T116" i="1"/>
  <c r="U116" i="1" s="1"/>
  <c r="S116" i="1" s="1"/>
  <c r="AA105" i="1"/>
  <c r="X102" i="1"/>
  <c r="X94" i="1"/>
  <c r="AA92" i="1"/>
  <c r="W92" i="1" s="1"/>
  <c r="T79" i="1"/>
  <c r="U79" i="1" s="1"/>
  <c r="S79" i="1" s="1"/>
  <c r="AA74" i="1"/>
  <c r="AA72" i="1"/>
  <c r="X71" i="1"/>
  <c r="X54" i="1"/>
  <c r="X46" i="1"/>
  <c r="X35" i="1"/>
  <c r="X32" i="1"/>
  <c r="AA203" i="1"/>
  <c r="W203" i="1" s="1"/>
  <c r="T203" i="1"/>
  <c r="U203" i="1" s="1"/>
  <c r="S203" i="1" s="1"/>
  <c r="X186" i="1"/>
  <c r="AA178" i="1"/>
  <c r="W178" i="1" s="1"/>
  <c r="T178" i="1"/>
  <c r="U178" i="1" s="1"/>
  <c r="S178" i="1" s="1"/>
  <c r="X174" i="1"/>
  <c r="AA171" i="1"/>
  <c r="X170" i="1"/>
  <c r="AA162" i="1"/>
  <c r="W162" i="1" s="1"/>
  <c r="T162" i="1"/>
  <c r="U162" i="1" s="1"/>
  <c r="S162" i="1" s="1"/>
  <c r="X248" i="1"/>
  <c r="AA245" i="1"/>
  <c r="W245" i="1" s="1"/>
  <c r="X244" i="1"/>
  <c r="X240" i="1"/>
  <c r="X236" i="1"/>
  <c r="AA222" i="1"/>
  <c r="W222" i="1" s="1"/>
  <c r="X137" i="1"/>
  <c r="T132" i="1"/>
  <c r="AA123" i="1"/>
  <c r="AA45" i="1"/>
  <c r="W45" i="1" s="1"/>
  <c r="X28" i="1"/>
  <c r="X27" i="1"/>
  <c r="X24" i="1"/>
  <c r="AA22" i="1"/>
  <c r="W22" i="1" s="1"/>
  <c r="AA20" i="1"/>
  <c r="W20" i="1" s="1"/>
  <c r="AA224" i="1"/>
  <c r="AA213" i="1"/>
  <c r="AA141" i="1"/>
  <c r="W141" i="1" s="1"/>
  <c r="T140" i="1"/>
  <c r="U140" i="1" s="1"/>
  <c r="S140" i="1" s="1"/>
  <c r="X119" i="1"/>
  <c r="X110" i="1"/>
  <c r="AA101" i="1"/>
  <c r="W101" i="1" s="1"/>
  <c r="AA95" i="1"/>
  <c r="W95" i="1" s="1"/>
  <c r="AA75" i="1"/>
  <c r="X67" i="1"/>
  <c r="AA51" i="1"/>
  <c r="W51" i="1" s="1"/>
  <c r="X228" i="1"/>
  <c r="AA226" i="1"/>
  <c r="X224" i="1"/>
  <c r="AA208" i="1"/>
  <c r="W208" i="1" s="1"/>
  <c r="AA204" i="1"/>
  <c r="W204" i="1" s="1"/>
  <c r="AA191" i="1"/>
  <c r="AA186" i="1"/>
  <c r="X182" i="1"/>
  <c r="AA179" i="1"/>
  <c r="W179" i="1" s="1"/>
  <c r="T174" i="1"/>
  <c r="U174" i="1" s="1"/>
  <c r="S174" i="1" s="1"/>
  <c r="AA170" i="1"/>
  <c r="X166" i="1"/>
  <c r="AA163" i="1"/>
  <c r="T248" i="1"/>
  <c r="U248" i="1" s="1"/>
  <c r="S248" i="1" s="1"/>
  <c r="T240" i="1"/>
  <c r="X233" i="1"/>
  <c r="X231" i="1"/>
  <c r="T151" i="1"/>
  <c r="T150" i="1"/>
  <c r="AA140" i="1"/>
  <c r="W140" i="1" s="1"/>
  <c r="AA134" i="1"/>
  <c r="W134" i="1" s="1"/>
  <c r="AA128" i="1"/>
  <c r="X120" i="1"/>
  <c r="AA120" i="1"/>
  <c r="W120" i="1" s="1"/>
  <c r="AA114" i="1"/>
  <c r="W114" i="1" s="1"/>
  <c r="AA106" i="1"/>
  <c r="AA96" i="1"/>
  <c r="AA94" i="1"/>
  <c r="W94" i="1" s="1"/>
  <c r="AA90" i="1"/>
  <c r="AA88" i="1"/>
  <c r="AA84" i="1"/>
  <c r="X78" i="1"/>
  <c r="AA76" i="1"/>
  <c r="W76" i="1" s="1"/>
  <c r="X75" i="1"/>
  <c r="X73" i="1"/>
  <c r="AA71" i="1"/>
  <c r="W71" i="1" s="1"/>
  <c r="AA69" i="1"/>
  <c r="W69" i="1" s="1"/>
  <c r="AA64" i="1"/>
  <c r="AA62" i="1"/>
  <c r="X58" i="1"/>
  <c r="AA50" i="1"/>
  <c r="W50" i="1" s="1"/>
  <c r="AA42" i="1"/>
  <c r="AA39" i="1"/>
  <c r="X36" i="1"/>
  <c r="AA26" i="1"/>
  <c r="AA24" i="1"/>
  <c r="AA23" i="1"/>
  <c r="AA16" i="1"/>
  <c r="T201" i="1"/>
  <c r="U201" i="1" s="1"/>
  <c r="S201" i="1" s="1"/>
  <c r="X202" i="1"/>
  <c r="T184" i="1"/>
  <c r="U184" i="1" s="1"/>
  <c r="S184" i="1" s="1"/>
  <c r="X185" i="1"/>
  <c r="T194" i="1"/>
  <c r="U194" i="1" s="1"/>
  <c r="S194" i="1" s="1"/>
  <c r="T111" i="1"/>
  <c r="X111" i="1"/>
  <c r="T59" i="1"/>
  <c r="U59" i="1" s="1"/>
  <c r="S59" i="1" s="1"/>
  <c r="X59" i="1"/>
  <c r="T37" i="1"/>
  <c r="X37" i="1"/>
  <c r="T21" i="1"/>
  <c r="U21" i="1" s="1"/>
  <c r="S21" i="1" s="1"/>
  <c r="X21" i="1"/>
  <c r="T228" i="1"/>
  <c r="U228" i="1" s="1"/>
  <c r="S228" i="1" s="1"/>
  <c r="AA227" i="1"/>
  <c r="T206" i="1"/>
  <c r="U206" i="1" s="1"/>
  <c r="S206" i="1" s="1"/>
  <c r="AA205" i="1"/>
  <c r="T198" i="1"/>
  <c r="U198" i="1" s="1"/>
  <c r="S198" i="1" s="1"/>
  <c r="AA197" i="1"/>
  <c r="T190" i="1"/>
  <c r="U190" i="1" s="1"/>
  <c r="AA189" i="1"/>
  <c r="W189" i="1" s="1"/>
  <c r="T181" i="1"/>
  <c r="U181" i="1" s="1"/>
  <c r="S181" i="1" s="1"/>
  <c r="X177" i="1"/>
  <c r="T173" i="1"/>
  <c r="U173" i="1" s="1"/>
  <c r="S173" i="1" s="1"/>
  <c r="X169" i="1"/>
  <c r="T165" i="1"/>
  <c r="U165" i="1" s="1"/>
  <c r="S165" i="1" s="1"/>
  <c r="X161" i="1"/>
  <c r="T247" i="1"/>
  <c r="U247" i="1" s="1"/>
  <c r="S247" i="1" s="1"/>
  <c r="X243" i="1"/>
  <c r="T239" i="1"/>
  <c r="U239" i="1" s="1"/>
  <c r="S239" i="1" s="1"/>
  <c r="AA237" i="1"/>
  <c r="T233" i="1"/>
  <c r="U233" i="1" s="1"/>
  <c r="S233" i="1" s="1"/>
  <c r="X212" i="1"/>
  <c r="AA156" i="1"/>
  <c r="T148" i="1"/>
  <c r="X144" i="1"/>
  <c r="T63" i="1"/>
  <c r="U63" i="1" s="1"/>
  <c r="S63" i="1" s="1"/>
  <c r="X63" i="1"/>
  <c r="T51" i="1"/>
  <c r="X51" i="1"/>
  <c r="T43" i="1"/>
  <c r="U43" i="1" s="1"/>
  <c r="S43" i="1" s="1"/>
  <c r="X43" i="1"/>
  <c r="T40" i="1"/>
  <c r="X40" i="1"/>
  <c r="AA244" i="1"/>
  <c r="AA241" i="1"/>
  <c r="AA236" i="1"/>
  <c r="AA234" i="1"/>
  <c r="W234" i="1" s="1"/>
  <c r="AA232" i="1"/>
  <c r="W232" i="1" s="1"/>
  <c r="X216" i="1"/>
  <c r="X213" i="1"/>
  <c r="T128" i="1"/>
  <c r="U128" i="1" s="1"/>
  <c r="S128" i="1" s="1"/>
  <c r="X128" i="1"/>
  <c r="T127" i="1"/>
  <c r="T95" i="1"/>
  <c r="X95" i="1"/>
  <c r="T94" i="1"/>
  <c r="U94" i="1" s="1"/>
  <c r="S94" i="1" s="1"/>
  <c r="T73" i="1"/>
  <c r="T65" i="1"/>
  <c r="T29" i="1"/>
  <c r="U29" i="1" s="1"/>
  <c r="S29" i="1" s="1"/>
  <c r="X29" i="1"/>
  <c r="T28" i="1"/>
  <c r="AA209" i="1"/>
  <c r="AA201" i="1"/>
  <c r="W201" i="1" s="1"/>
  <c r="AA194" i="1"/>
  <c r="W194" i="1" s="1"/>
  <c r="AA184" i="1"/>
  <c r="AA176" i="1"/>
  <c r="AA168" i="1"/>
  <c r="W168" i="1" s="1"/>
  <c r="AA160" i="1"/>
  <c r="W160" i="1" s="1"/>
  <c r="AA242" i="1"/>
  <c r="X235" i="1"/>
  <c r="AA142" i="1"/>
  <c r="W142" i="1" s="1"/>
  <c r="X141" i="1"/>
  <c r="AA70" i="1"/>
  <c r="AA219" i="1"/>
  <c r="AA218" i="1"/>
  <c r="W218" i="1" s="1"/>
  <c r="X158" i="1"/>
  <c r="AA155" i="1"/>
  <c r="AA153" i="1"/>
  <c r="AA152" i="1"/>
  <c r="W152" i="1" s="1"/>
  <c r="AA146" i="1"/>
  <c r="AA145" i="1"/>
  <c r="X136" i="1"/>
  <c r="X131" i="1"/>
  <c r="X123" i="1"/>
  <c r="T120" i="1"/>
  <c r="AA117" i="1"/>
  <c r="AA116" i="1"/>
  <c r="X106" i="1"/>
  <c r="T103" i="1"/>
  <c r="AA100" i="1"/>
  <c r="AA99" i="1"/>
  <c r="W99" i="1" s="1"/>
  <c r="AA93" i="1"/>
  <c r="W93" i="1" s="1"/>
  <c r="X90" i="1"/>
  <c r="AA87" i="1"/>
  <c r="AA85" i="1"/>
  <c r="W85" i="1" s="1"/>
  <c r="X82" i="1"/>
  <c r="AA79" i="1"/>
  <c r="AA77" i="1"/>
  <c r="X74" i="1"/>
  <c r="X70" i="1"/>
  <c r="X66" i="1"/>
  <c r="AA52" i="1"/>
  <c r="AA44" i="1"/>
  <c r="W44" i="1" s="1"/>
  <c r="AA38" i="1"/>
  <c r="W38" i="1" s="1"/>
  <c r="AA33" i="1"/>
  <c r="T33" i="1"/>
  <c r="X31" i="1"/>
  <c r="AA25" i="1"/>
  <c r="T25" i="1"/>
  <c r="X23" i="1"/>
  <c r="X16" i="1"/>
  <c r="AA80" i="1"/>
  <c r="W80" i="1" s="1"/>
  <c r="AA55" i="1"/>
  <c r="AA138" i="1"/>
  <c r="AA137" i="1"/>
  <c r="W137" i="1" s="1"/>
  <c r="AA132" i="1"/>
  <c r="W132" i="1" s="1"/>
  <c r="AA125" i="1"/>
  <c r="AA124" i="1"/>
  <c r="X115" i="1"/>
  <c r="AA108" i="1"/>
  <c r="W108" i="1" s="1"/>
  <c r="AA107" i="1"/>
  <c r="X98" i="1"/>
  <c r="AA91" i="1"/>
  <c r="W91" i="1" s="1"/>
  <c r="AA89" i="1"/>
  <c r="W89" i="1" s="1"/>
  <c r="X86" i="1"/>
  <c r="AA83" i="1"/>
  <c r="AA81" i="1"/>
  <c r="W81" i="1" s="1"/>
  <c r="AA63" i="1"/>
  <c r="AA56" i="1"/>
  <c r="AA48" i="1"/>
  <c r="AA37" i="1"/>
  <c r="AA29" i="1"/>
  <c r="AA17" i="1"/>
  <c r="AI248" i="1"/>
  <c r="AI244" i="1"/>
  <c r="U224" i="1"/>
  <c r="S224" i="1" s="1"/>
  <c r="AI240" i="1"/>
  <c r="AI236" i="1"/>
  <c r="U202" i="1"/>
  <c r="S202" i="1" s="1"/>
  <c r="AI232" i="1"/>
  <c r="AI228" i="1"/>
  <c r="U195" i="1"/>
  <c r="S195" i="1" s="1"/>
  <c r="AI224" i="1"/>
  <c r="AI220" i="1"/>
  <c r="U185" i="1"/>
  <c r="S185" i="1" s="1"/>
  <c r="AI216" i="1"/>
  <c r="AI212" i="1"/>
  <c r="U177" i="1"/>
  <c r="S177" i="1" s="1"/>
  <c r="AI208" i="1"/>
  <c r="AI204" i="1"/>
  <c r="U169" i="1"/>
  <c r="S169" i="1" s="1"/>
  <c r="AI200" i="1"/>
  <c r="AI196" i="1"/>
  <c r="U161" i="1"/>
  <c r="S161" i="1" s="1"/>
  <c r="AI193" i="1"/>
  <c r="AI188" i="1"/>
  <c r="U243" i="1"/>
  <c r="S243" i="1" s="1"/>
  <c r="AI183" i="1"/>
  <c r="AI179" i="1"/>
  <c r="U235" i="1"/>
  <c r="S235" i="1" s="1"/>
  <c r="AI249" i="1"/>
  <c r="U229" i="1"/>
  <c r="S229" i="1" s="1"/>
  <c r="AI245" i="1"/>
  <c r="U225" i="1"/>
  <c r="S225" i="1" s="1"/>
  <c r="AI241" i="1"/>
  <c r="U207" i="1"/>
  <c r="S207" i="1" s="1"/>
  <c r="AI237" i="1"/>
  <c r="AI233" i="1"/>
  <c r="U199" i="1"/>
  <c r="S199" i="1" s="1"/>
  <c r="AI229" i="1"/>
  <c r="AI225" i="1"/>
  <c r="U191" i="1"/>
  <c r="S191" i="1" s="1"/>
  <c r="AI221" i="1"/>
  <c r="U186" i="1"/>
  <c r="S186" i="1" s="1"/>
  <c r="AI217" i="1"/>
  <c r="U182" i="1"/>
  <c r="S182" i="1" s="1"/>
  <c r="AI213" i="1"/>
  <c r="AI209" i="1"/>
  <c r="AI205" i="1"/>
  <c r="U170" i="1"/>
  <c r="S170" i="1" s="1"/>
  <c r="AI201" i="1"/>
  <c r="U166" i="1"/>
  <c r="S166" i="1" s="1"/>
  <c r="AI197" i="1"/>
  <c r="AI194" i="1"/>
  <c r="AI189" i="1"/>
  <c r="U244" i="1"/>
  <c r="S244" i="1" s="1"/>
  <c r="AI184" i="1"/>
  <c r="U240" i="1"/>
  <c r="S240" i="1" s="1"/>
  <c r="AI180" i="1"/>
  <c r="U236" i="1"/>
  <c r="S236" i="1" s="1"/>
  <c r="U226" i="1"/>
  <c r="S226" i="1" s="1"/>
  <c r="AI246" i="1"/>
  <c r="U208" i="1"/>
  <c r="S208" i="1" s="1"/>
  <c r="AI242" i="1"/>
  <c r="U204" i="1"/>
  <c r="S204" i="1" s="1"/>
  <c r="AI238" i="1"/>
  <c r="U200" i="1"/>
  <c r="S200" i="1" s="1"/>
  <c r="AI234" i="1"/>
  <c r="U196" i="1"/>
  <c r="S196" i="1" s="1"/>
  <c r="AI230" i="1"/>
  <c r="U193" i="1"/>
  <c r="S193" i="1" s="1"/>
  <c r="AI226" i="1"/>
  <c r="U188" i="1"/>
  <c r="S188" i="1" s="1"/>
  <c r="AI222" i="1"/>
  <c r="U183" i="1"/>
  <c r="S183" i="1" s="1"/>
  <c r="AI218" i="1"/>
  <c r="U179" i="1"/>
  <c r="S179" i="1" s="1"/>
  <c r="AI214" i="1"/>
  <c r="U175" i="1"/>
  <c r="S175" i="1" s="1"/>
  <c r="AI210" i="1"/>
  <c r="U171" i="1"/>
  <c r="S171" i="1" s="1"/>
  <c r="AI206" i="1"/>
  <c r="U167" i="1"/>
  <c r="S167" i="1" s="1"/>
  <c r="AI202" i="1"/>
  <c r="U163" i="1"/>
  <c r="S163" i="1" s="1"/>
  <c r="AI198" i="1"/>
  <c r="U249" i="1"/>
  <c r="S249" i="1" s="1"/>
  <c r="AI195" i="1"/>
  <c r="U245" i="1"/>
  <c r="S245" i="1" s="1"/>
  <c r="AI190" i="1"/>
  <c r="U241" i="1"/>
  <c r="S241" i="1" s="1"/>
  <c r="AI185" i="1"/>
  <c r="U237" i="1"/>
  <c r="S237" i="1" s="1"/>
  <c r="AI181" i="1"/>
  <c r="AI176" i="1"/>
  <c r="AI175" i="1"/>
  <c r="U231" i="1"/>
  <c r="S231" i="1" s="1"/>
  <c r="U227" i="1"/>
  <c r="S227" i="1" s="1"/>
  <c r="AI247" i="1"/>
  <c r="U209" i="1"/>
  <c r="S209" i="1" s="1"/>
  <c r="AI243" i="1"/>
  <c r="U205" i="1"/>
  <c r="S205" i="1" s="1"/>
  <c r="AI239" i="1"/>
  <c r="AI235" i="1"/>
  <c r="U197" i="1"/>
  <c r="S197" i="1" s="1"/>
  <c r="AI231" i="1"/>
  <c r="AI227" i="1"/>
  <c r="U189" i="1"/>
  <c r="S189" i="1" s="1"/>
  <c r="AI223" i="1"/>
  <c r="AI219" i="1"/>
  <c r="U180" i="1"/>
  <c r="S180" i="1" s="1"/>
  <c r="AI215" i="1"/>
  <c r="U176" i="1"/>
  <c r="S176" i="1" s="1"/>
  <c r="AI211" i="1"/>
  <c r="U172" i="1"/>
  <c r="S172" i="1" s="1"/>
  <c r="AI207" i="1"/>
  <c r="U168" i="1"/>
  <c r="S168" i="1" s="1"/>
  <c r="AI203" i="1"/>
  <c r="U164" i="1"/>
  <c r="S164" i="1" s="1"/>
  <c r="AI199" i="1"/>
  <c r="U160" i="1"/>
  <c r="S160" i="1" s="1"/>
  <c r="AI192" i="1"/>
  <c r="U246" i="1"/>
  <c r="S246" i="1" s="1"/>
  <c r="AI191" i="1"/>
  <c r="U242" i="1"/>
  <c r="S242" i="1" s="1"/>
  <c r="AI186" i="1"/>
  <c r="U238" i="1"/>
  <c r="S238" i="1" s="1"/>
  <c r="AI182" i="1"/>
  <c r="AI178" i="1"/>
  <c r="U230" i="1"/>
  <c r="S230" i="1" s="1"/>
  <c r="AI174" i="1"/>
  <c r="AI170" i="1"/>
  <c r="U220" i="1"/>
  <c r="S220" i="1" s="1"/>
  <c r="AI166" i="1"/>
  <c r="U216" i="1"/>
  <c r="S216" i="1" s="1"/>
  <c r="AI162" i="1"/>
  <c r="U212" i="1"/>
  <c r="S212" i="1" s="1"/>
  <c r="AI158" i="1"/>
  <c r="U158" i="1"/>
  <c r="S158" i="1" s="1"/>
  <c r="AI154" i="1"/>
  <c r="U154" i="1"/>
  <c r="S154" i="1" s="1"/>
  <c r="AI150" i="1"/>
  <c r="U150" i="1"/>
  <c r="S150" i="1" s="1"/>
  <c r="AI145" i="1"/>
  <c r="U145" i="1"/>
  <c r="S145" i="1" s="1"/>
  <c r="AI141" i="1"/>
  <c r="U141" i="1"/>
  <c r="S141" i="1" s="1"/>
  <c r="AI137" i="1"/>
  <c r="U137" i="1"/>
  <c r="S137" i="1" s="1"/>
  <c r="AI132" i="1"/>
  <c r="U132" i="1"/>
  <c r="S132" i="1" s="1"/>
  <c r="AI128" i="1"/>
  <c r="AI171" i="1"/>
  <c r="U221" i="1"/>
  <c r="S221" i="1" s="1"/>
  <c r="AI167" i="1"/>
  <c r="U217" i="1"/>
  <c r="S217" i="1" s="1"/>
  <c r="AI163" i="1"/>
  <c r="U213" i="1"/>
  <c r="S213" i="1" s="1"/>
  <c r="AI159" i="1"/>
  <c r="U159" i="1"/>
  <c r="S159" i="1" s="1"/>
  <c r="AI155" i="1"/>
  <c r="U155" i="1"/>
  <c r="S155" i="1" s="1"/>
  <c r="AI151" i="1"/>
  <c r="U151" i="1"/>
  <c r="S151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U222" i="1"/>
  <c r="S222" i="1" s="1"/>
  <c r="AI172" i="1"/>
  <c r="U218" i="1"/>
  <c r="S218" i="1" s="1"/>
  <c r="AI168" i="1"/>
  <c r="U214" i="1"/>
  <c r="S214" i="1" s="1"/>
  <c r="AI164" i="1"/>
  <c r="U210" i="1"/>
  <c r="S210" i="1" s="1"/>
  <c r="AI160" i="1"/>
  <c r="U156" i="1"/>
  <c r="S156" i="1" s="1"/>
  <c r="AI156" i="1"/>
  <c r="U152" i="1"/>
  <c r="S152" i="1" s="1"/>
  <c r="AI152" i="1"/>
  <c r="U147" i="1"/>
  <c r="S147" i="1" s="1"/>
  <c r="AI147" i="1"/>
  <c r="U143" i="1"/>
  <c r="S143" i="1" s="1"/>
  <c r="AI143" i="1"/>
  <c r="U139" i="1"/>
  <c r="S139" i="1" s="1"/>
  <c r="AI139" i="1"/>
  <c r="U135" i="1"/>
  <c r="S135" i="1" s="1"/>
  <c r="AI135" i="1"/>
  <c r="U130" i="1"/>
  <c r="S130" i="1" s="1"/>
  <c r="AI130" i="1"/>
  <c r="AI177" i="1"/>
  <c r="AI173" i="1"/>
  <c r="AI169" i="1"/>
  <c r="AI165" i="1"/>
  <c r="AI161" i="1"/>
  <c r="AI157" i="1"/>
  <c r="AI153" i="1"/>
  <c r="U148" i="1"/>
  <c r="S148" i="1" s="1"/>
  <c r="AI148" i="1"/>
  <c r="U144" i="1"/>
  <c r="S144" i="1" s="1"/>
  <c r="AI144" i="1"/>
  <c r="AI140" i="1"/>
  <c r="U136" i="1"/>
  <c r="S136" i="1" s="1"/>
  <c r="AI136" i="1"/>
  <c r="U131" i="1"/>
  <c r="S131" i="1" s="1"/>
  <c r="AI131" i="1"/>
  <c r="AI127" i="1"/>
  <c r="U127" i="1"/>
  <c r="S127" i="1" s="1"/>
  <c r="AI123" i="1"/>
  <c r="U123" i="1"/>
  <c r="S123" i="1" s="1"/>
  <c r="AI119" i="1"/>
  <c r="U119" i="1"/>
  <c r="AI115" i="1"/>
  <c r="U115" i="1"/>
  <c r="S115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124" i="1"/>
  <c r="U124" i="1"/>
  <c r="S124" i="1" s="1"/>
  <c r="AI120" i="1"/>
  <c r="U120" i="1"/>
  <c r="S120" i="1" s="1"/>
  <c r="AI116" i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U95" i="1"/>
  <c r="S95" i="1" s="1"/>
  <c r="AI95" i="1"/>
  <c r="AI129" i="1"/>
  <c r="U125" i="1"/>
  <c r="S125" i="1" s="1"/>
  <c r="AI125" i="1"/>
  <c r="U121" i="1"/>
  <c r="S121" i="1" s="1"/>
  <c r="AI121" i="1"/>
  <c r="U117" i="1"/>
  <c r="S117" i="1" s="1"/>
  <c r="AI117" i="1"/>
  <c r="U113" i="1"/>
  <c r="S113" i="1" s="1"/>
  <c r="AI113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126" i="1"/>
  <c r="S126" i="1" s="1"/>
  <c r="AI126" i="1"/>
  <c r="U122" i="1"/>
  <c r="S122" i="1" s="1"/>
  <c r="AI122" i="1"/>
  <c r="U118" i="1"/>
  <c r="AI118" i="1"/>
  <c r="U114" i="1"/>
  <c r="S114" i="1" s="1"/>
  <c r="AI114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AI92" i="1"/>
  <c r="U92" i="1"/>
  <c r="S92" i="1" s="1"/>
  <c r="AI88" i="1"/>
  <c r="U88" i="1"/>
  <c r="S88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AI64" i="1"/>
  <c r="U64" i="1"/>
  <c r="S64" i="1" s="1"/>
  <c r="AI60" i="1"/>
  <c r="U60" i="1"/>
  <c r="S60" i="1" s="1"/>
  <c r="AI93" i="1"/>
  <c r="U93" i="1"/>
  <c r="S93" i="1" s="1"/>
  <c r="AI89" i="1"/>
  <c r="U89" i="1"/>
  <c r="S89" i="1" s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94" i="1"/>
  <c r="U90" i="1"/>
  <c r="S90" i="1" s="1"/>
  <c r="AI90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91" i="1"/>
  <c r="S91" i="1" s="1"/>
  <c r="AI91" i="1"/>
  <c r="U87" i="1"/>
  <c r="S87" i="1" s="1"/>
  <c r="AI87" i="1"/>
  <c r="AI83" i="1"/>
  <c r="AI79" i="1"/>
  <c r="U75" i="1"/>
  <c r="S75" i="1" s="1"/>
  <c r="AI75" i="1"/>
  <c r="U71" i="1"/>
  <c r="S71" i="1" s="1"/>
  <c r="AI71" i="1"/>
  <c r="U67" i="1"/>
  <c r="S67" i="1" s="1"/>
  <c r="AI67" i="1"/>
  <c r="AI63" i="1"/>
  <c r="AI57" i="1"/>
  <c r="U57" i="1"/>
  <c r="S57" i="1" s="1"/>
  <c r="AI53" i="1"/>
  <c r="U53" i="1"/>
  <c r="S53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AI25" i="1"/>
  <c r="U25" i="1"/>
  <c r="S25" i="1" s="1"/>
  <c r="AI21" i="1"/>
  <c r="AI17" i="1"/>
  <c r="U17" i="1"/>
  <c r="S17" i="1" s="1"/>
  <c r="AI58" i="1"/>
  <c r="U58" i="1"/>
  <c r="S58" i="1" s="1"/>
  <c r="AI54" i="1"/>
  <c r="U54" i="1"/>
  <c r="S54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9" i="1"/>
  <c r="U55" i="1"/>
  <c r="S55" i="1" s="1"/>
  <c r="AI55" i="1"/>
  <c r="U51" i="1"/>
  <c r="S51" i="1" s="1"/>
  <c r="AI51" i="1"/>
  <c r="U47" i="1"/>
  <c r="S47" i="1" s="1"/>
  <c r="AI47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AI23" i="1"/>
  <c r="U19" i="1"/>
  <c r="S19" i="1" s="1"/>
  <c r="AI19" i="1"/>
  <c r="U15" i="1"/>
  <c r="S15" i="1" s="1"/>
  <c r="AI15" i="1"/>
  <c r="U56" i="1"/>
  <c r="S56" i="1" s="1"/>
  <c r="AI56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AI24" i="1"/>
  <c r="U20" i="1"/>
  <c r="S20" i="1" s="1"/>
  <c r="AI20" i="1"/>
  <c r="U16" i="1"/>
  <c r="S16" i="1" s="1"/>
  <c r="AI16" i="1"/>
  <c r="W229" i="1"/>
  <c r="W228" i="1"/>
  <c r="W226" i="1"/>
  <c r="W207" i="1"/>
  <c r="W206" i="1"/>
  <c r="W199" i="1"/>
  <c r="W198" i="1"/>
  <c r="W196" i="1"/>
  <c r="W191" i="1"/>
  <c r="W190" i="1"/>
  <c r="W188" i="1"/>
  <c r="W182" i="1"/>
  <c r="W181" i="1"/>
  <c r="W174" i="1"/>
  <c r="W173" i="1"/>
  <c r="W171" i="1"/>
  <c r="W166" i="1"/>
  <c r="W163" i="1"/>
  <c r="W248" i="1"/>
  <c r="W240" i="1"/>
  <c r="W239" i="1"/>
  <c r="W233" i="1"/>
  <c r="W230" i="1"/>
  <c r="W227" i="1"/>
  <c r="W205" i="1"/>
  <c r="W197" i="1"/>
  <c r="W180" i="1"/>
  <c r="W172" i="1"/>
  <c r="W246" i="1"/>
  <c r="W237" i="1"/>
  <c r="W225" i="1"/>
  <c r="W224" i="1"/>
  <c r="W202" i="1"/>
  <c r="W200" i="1"/>
  <c r="W195" i="1"/>
  <c r="W193" i="1"/>
  <c r="W186" i="1"/>
  <c r="W185" i="1"/>
  <c r="W183" i="1"/>
  <c r="W177" i="1"/>
  <c r="W175" i="1"/>
  <c r="W170" i="1"/>
  <c r="W169" i="1"/>
  <c r="W161" i="1"/>
  <c r="W249" i="1"/>
  <c r="W244" i="1"/>
  <c r="W243" i="1"/>
  <c r="W241" i="1"/>
  <c r="W236" i="1"/>
  <c r="W235" i="1"/>
  <c r="W209" i="1"/>
  <c r="W184" i="1"/>
  <c r="W176" i="1"/>
  <c r="W242" i="1"/>
  <c r="X227" i="1"/>
  <c r="X209" i="1"/>
  <c r="X205" i="1"/>
  <c r="X184" i="1"/>
  <c r="X180" i="1"/>
  <c r="X176" i="1"/>
  <c r="X172" i="1"/>
  <c r="X168" i="1"/>
  <c r="X164" i="1"/>
  <c r="X160" i="1"/>
  <c r="X246" i="1"/>
  <c r="X242" i="1"/>
  <c r="X238" i="1"/>
  <c r="X234" i="1"/>
  <c r="T234" i="1"/>
  <c r="U234" i="1" s="1"/>
  <c r="S234" i="1" s="1"/>
  <c r="AA231" i="1"/>
  <c r="W231" i="1" s="1"/>
  <c r="W223" i="1"/>
  <c r="W159" i="1"/>
  <c r="W158" i="1"/>
  <c r="W157" i="1"/>
  <c r="W156" i="1"/>
  <c r="W144" i="1"/>
  <c r="W135" i="1"/>
  <c r="W130" i="1"/>
  <c r="T232" i="1"/>
  <c r="U232" i="1" s="1"/>
  <c r="S232" i="1" s="1"/>
  <c r="X232" i="1"/>
  <c r="X230" i="1"/>
  <c r="T223" i="1"/>
  <c r="U223" i="1" s="1"/>
  <c r="S223" i="1" s="1"/>
  <c r="X223" i="1"/>
  <c r="W221" i="1"/>
  <c r="W220" i="1"/>
  <c r="W219" i="1"/>
  <c r="W155" i="1"/>
  <c r="W153" i="1"/>
  <c r="W147" i="1"/>
  <c r="W146" i="1"/>
  <c r="W145" i="1"/>
  <c r="W216" i="1"/>
  <c r="W215" i="1"/>
  <c r="W214" i="1"/>
  <c r="W151" i="1"/>
  <c r="W150" i="1"/>
  <c r="W143" i="1"/>
  <c r="W136" i="1"/>
  <c r="W131" i="1"/>
  <c r="X226" i="1"/>
  <c r="X208" i="1"/>
  <c r="X204" i="1"/>
  <c r="X183" i="1"/>
  <c r="X179" i="1"/>
  <c r="X175" i="1"/>
  <c r="X171" i="1"/>
  <c r="X167" i="1"/>
  <c r="X163" i="1"/>
  <c r="X249" i="1"/>
  <c r="X245" i="1"/>
  <c r="X241" i="1"/>
  <c r="X237" i="1"/>
  <c r="W213" i="1"/>
  <c r="W212" i="1"/>
  <c r="W210" i="1"/>
  <c r="W139" i="1"/>
  <c r="W138" i="1"/>
  <c r="X219" i="1"/>
  <c r="T219" i="1"/>
  <c r="U219" i="1" s="1"/>
  <c r="S219" i="1" s="1"/>
  <c r="X215" i="1"/>
  <c r="T215" i="1"/>
  <c r="U215" i="1" s="1"/>
  <c r="S215" i="1" s="1"/>
  <c r="X211" i="1"/>
  <c r="T211" i="1"/>
  <c r="U211" i="1" s="1"/>
  <c r="S211" i="1" s="1"/>
  <c r="X157" i="1"/>
  <c r="T157" i="1"/>
  <c r="U157" i="1" s="1"/>
  <c r="S157" i="1" s="1"/>
  <c r="X153" i="1"/>
  <c r="T153" i="1"/>
  <c r="U153" i="1" s="1"/>
  <c r="S153" i="1" s="1"/>
  <c r="W126" i="1"/>
  <c r="W115" i="1"/>
  <c r="W113" i="1"/>
  <c r="W111" i="1"/>
  <c r="W109" i="1"/>
  <c r="W98" i="1"/>
  <c r="W96" i="1"/>
  <c r="W119" i="1"/>
  <c r="W117" i="1"/>
  <c r="W116" i="1"/>
  <c r="W100" i="1"/>
  <c r="W97" i="1"/>
  <c r="X146" i="1"/>
  <c r="X142" i="1"/>
  <c r="X138" i="1"/>
  <c r="W129" i="1"/>
  <c r="W123" i="1"/>
  <c r="W118" i="1"/>
  <c r="W106" i="1"/>
  <c r="W104" i="1"/>
  <c r="W103" i="1"/>
  <c r="X222" i="1"/>
  <c r="X218" i="1"/>
  <c r="X214" i="1"/>
  <c r="X210" i="1"/>
  <c r="X156" i="1"/>
  <c r="X152" i="1"/>
  <c r="X147" i="1"/>
  <c r="X143" i="1"/>
  <c r="X139" i="1"/>
  <c r="X135" i="1"/>
  <c r="X130" i="1"/>
  <c r="T129" i="1"/>
  <c r="U129" i="1" s="1"/>
  <c r="S129" i="1" s="1"/>
  <c r="X129" i="1"/>
  <c r="W128" i="1"/>
  <c r="W127" i="1"/>
  <c r="W125" i="1"/>
  <c r="W124" i="1"/>
  <c r="W122" i="1"/>
  <c r="W110" i="1"/>
  <c r="W107" i="1"/>
  <c r="W105" i="1"/>
  <c r="X126" i="1"/>
  <c r="X122" i="1"/>
  <c r="X118" i="1"/>
  <c r="X114" i="1"/>
  <c r="X109" i="1"/>
  <c r="X105" i="1"/>
  <c r="X101" i="1"/>
  <c r="X97" i="1"/>
  <c r="W86" i="1"/>
  <c r="W84" i="1"/>
  <c r="W78" i="1"/>
  <c r="W72" i="1"/>
  <c r="W68" i="1"/>
  <c r="W64" i="1"/>
  <c r="W87" i="1"/>
  <c r="W79" i="1"/>
  <c r="W77" i="1"/>
  <c r="W60" i="1"/>
  <c r="W90" i="1"/>
  <c r="W88" i="1"/>
  <c r="W82" i="1"/>
  <c r="W74" i="1"/>
  <c r="W70" i="1"/>
  <c r="W66" i="1"/>
  <c r="X125" i="1"/>
  <c r="X121" i="1"/>
  <c r="X117" i="1"/>
  <c r="X108" i="1"/>
  <c r="X104" i="1"/>
  <c r="X100" i="1"/>
  <c r="X96" i="1"/>
  <c r="W83" i="1"/>
  <c r="W75" i="1"/>
  <c r="W73" i="1"/>
  <c r="W65" i="1"/>
  <c r="W63" i="1"/>
  <c r="W62" i="1"/>
  <c r="W57" i="1"/>
  <c r="W49" i="1"/>
  <c r="W35" i="1"/>
  <c r="W30" i="1"/>
  <c r="W21" i="1"/>
  <c r="W19" i="1"/>
  <c r="W18" i="1"/>
  <c r="X92" i="1"/>
  <c r="X88" i="1"/>
  <c r="X84" i="1"/>
  <c r="X80" i="1"/>
  <c r="X76" i="1"/>
  <c r="X72" i="1"/>
  <c r="X68" i="1"/>
  <c r="X64" i="1"/>
  <c r="X60" i="1"/>
  <c r="W54" i="1"/>
  <c r="W52" i="1"/>
  <c r="W46" i="1"/>
  <c r="W33" i="1"/>
  <c r="W32" i="1"/>
  <c r="W25" i="1"/>
  <c r="W24" i="1"/>
  <c r="X93" i="1"/>
  <c r="X89" i="1"/>
  <c r="X85" i="1"/>
  <c r="X81" i="1"/>
  <c r="X77" i="1"/>
  <c r="W55" i="1"/>
  <c r="W53" i="1"/>
  <c r="W47" i="1"/>
  <c r="W34" i="1"/>
  <c r="W31" i="1"/>
  <c r="W26" i="1"/>
  <c r="W23" i="1"/>
  <c r="W16" i="1"/>
  <c r="W14" i="1"/>
  <c r="W58" i="1"/>
  <c r="W56" i="1"/>
  <c r="W48" i="1"/>
  <c r="W42" i="1"/>
  <c r="W39" i="1"/>
  <c r="W37" i="1"/>
  <c r="W36" i="1"/>
  <c r="W29" i="1"/>
  <c r="W28" i="1"/>
  <c r="W17" i="1"/>
  <c r="W15" i="1"/>
  <c r="X56" i="1"/>
  <c r="X52" i="1"/>
  <c r="X48" i="1"/>
  <c r="X44" i="1"/>
  <c r="X57" i="1"/>
  <c r="X53" i="1"/>
  <c r="X49" i="1"/>
  <c r="X45" i="1"/>
  <c r="X41" i="1"/>
  <c r="X38" i="1"/>
  <c r="X34" i="1"/>
  <c r="X30" i="1"/>
  <c r="X26" i="1"/>
  <c r="X22" i="1"/>
  <c r="X18" i="1"/>
  <c r="X19" i="1"/>
  <c r="X15" i="1"/>
  <c r="AD28" i="3"/>
  <c r="AE19" i="3"/>
  <c r="AD17" i="3"/>
  <c r="AD13" i="3"/>
  <c r="T10" i="3"/>
  <c r="AE40" i="3"/>
  <c r="AE28" i="3"/>
  <c r="AD19" i="3"/>
  <c r="T33" i="3"/>
  <c r="AC35" i="3"/>
  <c r="AD16" i="3"/>
  <c r="AD15" i="3"/>
  <c r="T23" i="3"/>
  <c r="AD12" i="3"/>
  <c r="AD21" i="3"/>
  <c r="AD9" i="3"/>
  <c r="AC20" i="3"/>
  <c r="AD36" i="3"/>
  <c r="T14" i="3"/>
  <c r="AC9" i="3"/>
  <c r="AC38" i="3"/>
  <c r="AC7" i="3"/>
  <c r="AD24" i="3"/>
  <c r="T36" i="3"/>
  <c r="AC11" i="3"/>
  <c r="AD20" i="3"/>
  <c r="AE15" i="3"/>
  <c r="AD11" i="3"/>
  <c r="T18" i="3"/>
  <c r="AC26" i="3"/>
  <c r="AD8" i="3"/>
  <c r="AC22" i="3"/>
  <c r="AE32" i="3"/>
  <c r="AD31" i="3"/>
  <c r="T39" i="3"/>
  <c r="AC15" i="3"/>
  <c r="AC37" i="3"/>
  <c r="AC13" i="3"/>
  <c r="AE36" i="3"/>
  <c r="AC24" i="3"/>
  <c r="T12" i="3"/>
  <c r="Y40" i="3"/>
  <c r="Y29" i="3"/>
  <c r="Y13" i="3"/>
  <c r="Y34" i="3"/>
  <c r="Y25" i="3"/>
  <c r="Y33" i="3"/>
  <c r="Y23" i="3"/>
  <c r="Y18" i="3"/>
  <c r="Y12" i="3"/>
  <c r="Y36" i="3"/>
  <c r="Y21" i="3"/>
  <c r="Y8" i="3"/>
  <c r="Y28" i="3"/>
  <c r="Y16" i="3"/>
  <c r="Y19" i="3"/>
  <c r="Y32" i="3"/>
  <c r="Y31" i="3"/>
  <c r="Y17" i="3"/>
  <c r="Y22" i="3"/>
  <c r="Y24" i="3"/>
  <c r="Y38" i="3"/>
  <c r="Y37" i="3"/>
  <c r="Y10" i="3"/>
  <c r="Y14" i="3"/>
  <c r="Y39" i="3"/>
  <c r="Y20" i="3"/>
  <c r="Y9" i="3"/>
  <c r="Y15" i="3"/>
  <c r="Y7" i="3"/>
  <c r="Y11" i="3"/>
  <c r="Y35" i="3"/>
  <c r="Y30" i="3"/>
  <c r="Y26" i="3"/>
  <c r="AE38" i="3"/>
  <c r="T21" i="3"/>
  <c r="AE34" i="3"/>
  <c r="T8" i="3"/>
  <c r="AE30" i="3"/>
  <c r="T28" i="3"/>
  <c r="AE26" i="3"/>
  <c r="T16" i="3"/>
  <c r="AE22" i="3"/>
  <c r="T19" i="3"/>
  <c r="AE18" i="3"/>
  <c r="T32" i="3"/>
  <c r="AE14" i="3"/>
  <c r="T31" i="3"/>
  <c r="AE10" i="3"/>
  <c r="T17" i="3"/>
  <c r="AD38" i="3"/>
  <c r="AE37" i="3"/>
  <c r="T20" i="3"/>
  <c r="AD34" i="3"/>
  <c r="AE33" i="3"/>
  <c r="T9" i="3"/>
  <c r="AD30" i="3"/>
  <c r="AE29" i="3"/>
  <c r="T15" i="3"/>
  <c r="AD26" i="3"/>
  <c r="AE25" i="3"/>
  <c r="T7" i="3"/>
  <c r="AD22" i="3"/>
  <c r="AE21" i="3"/>
  <c r="T11" i="3"/>
  <c r="AD18" i="3"/>
  <c r="AE17" i="3"/>
  <c r="T35" i="3"/>
  <c r="AD14" i="3"/>
  <c r="AE13" i="3"/>
  <c r="T30" i="3"/>
  <c r="AD10" i="3"/>
  <c r="AE9" i="3"/>
  <c r="T26" i="3"/>
  <c r="AE24" i="3"/>
  <c r="AE20" i="3"/>
  <c r="AE16" i="3"/>
  <c r="AE12" i="3"/>
  <c r="AE8" i="3"/>
  <c r="S23" i="1" l="1"/>
  <c r="S118" i="1"/>
  <c r="R27" i="3"/>
  <c r="M27" i="3"/>
  <c r="S27" i="3"/>
  <c r="U27" i="3"/>
  <c r="V27" i="3"/>
  <c r="X27" i="3"/>
  <c r="W27" i="3"/>
  <c r="AC27" i="3" l="1"/>
  <c r="AE27" i="3"/>
  <c r="AD27" i="3"/>
  <c r="T27" i="3"/>
  <c r="Y27" i="3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N10" i="3" s="1"/>
  <c r="G225" i="4"/>
  <c r="G226" i="4"/>
  <c r="G227" i="4"/>
  <c r="G228" i="4"/>
  <c r="G229" i="4"/>
  <c r="G230" i="4"/>
  <c r="N22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7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18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3" i="3" s="1"/>
  <c r="G88" i="4"/>
  <c r="G89" i="4"/>
  <c r="G90" i="4"/>
  <c r="G91" i="4"/>
  <c r="G92" i="4"/>
  <c r="N23" i="3" s="1"/>
  <c r="G93" i="4"/>
  <c r="N11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19" i="3" s="1"/>
  <c r="G112" i="4"/>
  <c r="G113" i="4"/>
  <c r="G114" i="4"/>
  <c r="G115" i="4"/>
  <c r="G116" i="4"/>
  <c r="G117" i="4"/>
  <c r="G118" i="4"/>
  <c r="G119" i="4"/>
  <c r="G120" i="4"/>
  <c r="N16" i="3" s="1"/>
  <c r="G121" i="4"/>
  <c r="G122" i="4"/>
  <c r="G123" i="4"/>
  <c r="G124" i="4"/>
  <c r="G125" i="4"/>
  <c r="N7" i="3" s="1"/>
  <c r="G126" i="4"/>
  <c r="G127" i="4"/>
  <c r="G128" i="4"/>
  <c r="N12" i="3" s="1"/>
  <c r="G129" i="4"/>
  <c r="G130" i="4"/>
  <c r="G131" i="4"/>
  <c r="N38" i="3" s="1"/>
  <c r="G132" i="4"/>
  <c r="G133" i="4"/>
  <c r="G134" i="4"/>
  <c r="G135" i="4"/>
  <c r="G136" i="4"/>
  <c r="G137" i="4"/>
  <c r="G138" i="4"/>
  <c r="G139" i="4"/>
  <c r="G140" i="4"/>
  <c r="N15" i="3" s="1"/>
  <c r="G141" i="4"/>
  <c r="G142" i="4"/>
  <c r="G143" i="4"/>
  <c r="G144" i="4"/>
  <c r="G145" i="4"/>
  <c r="G146" i="4"/>
  <c r="G147" i="4"/>
  <c r="N28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9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24" i="3" s="1"/>
  <c r="G221" i="4"/>
  <c r="G222" i="4"/>
  <c r="G223" i="4"/>
  <c r="G2" i="4"/>
  <c r="N36" i="3" l="1"/>
  <c r="N37" i="3"/>
  <c r="N29" i="3"/>
  <c r="N30" i="3"/>
  <c r="N31" i="3"/>
  <c r="N34" i="3"/>
  <c r="N35" i="3"/>
  <c r="N14" i="3"/>
  <c r="N8" i="3"/>
  <c r="N20" i="3"/>
  <c r="N21" i="3"/>
  <c r="N40" i="3"/>
  <c r="N39" i="3"/>
  <c r="N33" i="3"/>
  <c r="N32" i="3"/>
  <c r="N25" i="3"/>
  <c r="N26" i="3"/>
  <c r="N2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<sst xmlns="http://schemas.openxmlformats.org/spreadsheetml/2006/main" count="2739" uniqueCount="1012">
  <si>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</si>
  <si>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</si>
  <si>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</si>
  <si>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</si>
  <si>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</si>
  <si>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</si>
  <si>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</si>
  <si>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</si>
  <si>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</si>
  <si>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</si>
  <si>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</si>
  <si>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</si>
  <si>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</si>
  <si>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</si>
  <si>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</si>
  <si>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</si>
  <si>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</si>
  <si>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</si>
  <si>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</si>
  <si>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</si>
  <si>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</si>
  <si>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</si>
  <si>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</si>
  <si>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</si>
  <si>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</si>
  <si>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</si>
  <si>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</si>
  <si>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</si>
  <si>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</si>
  <si>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</si>
  <si>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</si>
  <si>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</si>
  <si>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</si>
  <si>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</si>
  <si>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</si>
  <si>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</si>
  <si>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</si>
  <si>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</si>
  <si>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</si>
  <si>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</si>
  <si>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</si>
  <si>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</si>
  <si>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</si>
  <si>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</si>
  <si>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</si>
  <si>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</si>
  <si>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</si>
  <si>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</si>
  <si>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</si>
  <si>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</si>
  <si>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</si>
  <si>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</si>
  <si>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</si>
  <si>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</si>
  <si>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</si>
  <si>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</si>
  <si>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</si>
  <si>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</si>
  <si>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</si>
  <si>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</si>
  <si>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</si>
  <si>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</si>
  <si>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</si>
  <si>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</si>
  <si>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</si>
  <si>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</si>
  <si>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</si>
  <si>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</si>
  <si>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</si>
  <si>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</si>
  <si>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</si>
  <si>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</si>
  <si>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</si>
  <si>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</si>
  <si>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</si>
  <si>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</si>
  <si>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</si>
  <si>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</si>
  <si>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</si>
  <si>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</si>
  <si>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</si>
  <si>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</si>
  <si>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</si>
  <si>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</si>
  <si>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</si>
  <si>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</si>
  <si>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</si>
  <si>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</si>
  <si>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</si>
  <si>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</si>
  <si>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</si>
  <si>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</si>
  <si>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</si>
  <si>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</si>
  <si>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</si>
  <si>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</si>
  <si>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</si>
  <si>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</si>
  <si>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</si>
  <si>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</si>
  <si>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</si>
  <si>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</si>
  <si>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</si>
  <si>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</si>
  <si>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</si>
  <si>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</si>
  <si>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</si>
  <si>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</si>
  <si>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</si>
  <si>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</si>
  <si>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</si>
  <si>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</si>
  <si>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</si>
  <si>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</si>
  <si>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</si>
  <si>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</si>
  <si>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</si>
  <si>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</si>
  <si>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</si>
  <si>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</si>
  <si>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</si>
  <si>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</si>
  <si>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</si>
  <si>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</si>
  <si>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</si>
  <si>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</si>
  <si>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</si>
  <si>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</si>
  <si>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</si>
  <si>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</si>
  <si>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</si>
  <si>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</si>
  <si>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</si>
  <si>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</si>
  <si>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</si>
  <si>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</si>
  <si>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</si>
  <si>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</si>
  <si>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</si>
  <si>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</si>
  <si>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</si>
  <si>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</si>
  <si>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</si>
  <si>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</si>
  <si>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</si>
  <si>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</si>
  <si>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</si>
  <si>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</si>
  <si>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</si>
  <si>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</si>
  <si>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</si>
  <si>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</si>
  <si>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</si>
  <si>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</si>
  <si>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</si>
  <si>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</si>
  <si>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</si>
  <si>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</si>
  <si>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</si>
  <si>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</si>
  <si>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</si>
  <si>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</si>
  <si>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</si>
  <si>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</si>
  <si>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</si>
  <si>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</si>
  <si>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</si>
  <si>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</si>
  <si>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</si>
  <si>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</si>
  <si>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</si>
  <si>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</si>
  <si>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</si>
  <si>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</si>
  <si>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</si>
  <si>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</si>
  <si>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</si>
  <si>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</si>
  <si>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</si>
  <si>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</si>
  <si>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</si>
  <si>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</si>
  <si>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</si>
  <si>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</si>
  <si>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</si>
  <si>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</si>
  <si>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</si>
  <si>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</si>
  <si>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</si>
  <si>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</si>
  <si>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</si>
  <si>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</si>
  <si>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</si>
  <si>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</si>
  <si>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</si>
  <si>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</si>
  <si>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</si>
  <si>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</si>
  <si>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</si>
  <si>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</si>
  <si>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</si>
  <si>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</si>
  <si>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</si>
  <si>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</si>
  <si>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</si>
  <si>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</si>
  <si>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</si>
  <si>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</si>
  <si>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</si>
  <si>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</si>
  <si>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</si>
  <si>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</si>
  <si>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</si>
  <si>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</si>
  <si>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</si>
  <si>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</si>
  <si>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</si>
  <si>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</si>
  <si>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</si>
  <si>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</si>
  <si>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</si>
  <si>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</si>
  <si>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</si>
  <si>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</si>
  <si>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</si>
  <si>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</si>
  <si>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</si>
  <si>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</si>
  <si>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</si>
  <si>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</si>
  <si>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</si>
  <si>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</si>
  <si>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</si>
  <si>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</si>
  <si>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</si>
  <si>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</si>
  <si>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</si>
  <si>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</si>
  <si>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</si>
  <si>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</si>
  <si>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</si>
  <si>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</si>
  <si>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</si>
  <si>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</si>
  <si>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</si>
  <si>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</si>
  <si>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</si>
  <si>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</si>
  <si>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</si>
  <si>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</si>
  <si>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</si>
  <si>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</si>
  <si>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</si>
  <si>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</si>
  <si>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</si>
  <si>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</si>
  <si>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</si>
  <si>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</si>
  <si>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</si>
  <si>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</si>
  <si>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</si>
  <si>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</si>
  <si>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</si>
  <si>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</si>
  <si>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</si>
  <si>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</si>
  <si>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</si>
  <si>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</si>
  <si>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</si>
  <si>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</si>
  <si>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</si>
  <si>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</si>
  <si>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</si>
  <si>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</si>
  <si>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</si>
  <si>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</si>
  <si>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</si>
  <si>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</si>
  <si>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</si>
  <si>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</si>
  <si>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</si>
  <si>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</si>
  <si>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</si>
  <si>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</si>
  <si>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</si>
  <si>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</si>
  <si>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</si>
  <si>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</si>
  <si>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</si>
  <si>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</si>
  <si>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</si>
  <si>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</si>
  <si>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</si>
  <si>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</si>
  <si>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</si>
  <si>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</si>
  <si>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</si>
  <si>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</si>
  <si>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</si>
  <si>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</si>
  <si>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</si>
  <si>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</si>
  <si>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</si>
  <si>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</si>
  <si>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</si>
  <si>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</si>
  <si>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</si>
  <si>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</si>
  <si>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</si>
  <si>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</si>
  <si>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</si>
  <si>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</si>
  <si>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</si>
  <si>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</si>
  <si>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</si>
  <si>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</si>
  <si>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</si>
  <si>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</si>
  <si>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</si>
  <si>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</si>
  <si>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</si>
  <si>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</si>
  <si>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</si>
  <si>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</si>
  <si>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</si>
  <si>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</si>
  <si>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</si>
  <si>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</si>
  <si>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</si>
  <si>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</si>
  <si>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</si>
  <si>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</si>
  <si>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</si>
  <si>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</si>
  <si>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</si>
  <si>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</si>
  <si>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</si>
  <si>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</si>
  <si>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</si>
  <si>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</si>
  <si>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</si>
  <si>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</si>
  <si>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</si>
  <si>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</si>
  <si>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</si>
  <si>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</si>
  <si>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</si>
  <si>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</si>
  <si>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</si>
  <si>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</si>
  <si>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</si>
  <si>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</si>
  <si>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</si>
  <si>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</si>
  <si>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</si>
  <si>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</si>
  <si>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</si>
  <si>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</si>
  <si>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</si>
  <si>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</si>
  <si>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</si>
  <si>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</si>
  <si>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</si>
  <si>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</si>
  <si>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</si>
  <si>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</si>
  <si>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</si>
  <si>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</si>
  <si>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</si>
  <si>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</si>
  <si>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</si>
  <si>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</si>
  <si>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</si>
  <si>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</si>
  <si>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</si>
  <si>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</si>
  <si>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</si>
  <si>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</si>
  <si>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</si>
  <si>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</si>
  <si>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</si>
  <si>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</si>
  <si>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</si>
  <si>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</si>
  <si>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</si>
  <si>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</si>
  <si>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</si>
  <si>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LEVERE</t>
  </si>
  <si>
    <t>CRAIG</t>
  </si>
  <si>
    <t>rtdc.l.rtdc.4032:itc</t>
  </si>
  <si>
    <t>204:232994</t>
  </si>
  <si>
    <t>204:233314</t>
  </si>
  <si>
    <t>rtdc.l.rtdc.4009:itc</t>
  </si>
  <si>
    <t>rtdc.l.rtdc.4010:itc</t>
  </si>
  <si>
    <t>DUNCAN</t>
  </si>
  <si>
    <t>SHEILA</t>
  </si>
  <si>
    <t>rtdc.l.rtdc.4061:itc</t>
  </si>
  <si>
    <t>204:134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</si>
  <si>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</si>
  <si>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</si>
  <si>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</si>
  <si>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</si>
  <si>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</si>
  <si>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</si>
  <si>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</si>
  <si>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</si>
  <si>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</si>
  <si>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204:233310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</si>
  <si>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</si>
  <si>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</si>
  <si>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</si>
  <si>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</si>
  <si>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</si>
  <si>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</si>
  <si>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</si>
  <si>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</si>
  <si>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</si>
  <si>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</si>
  <si>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</si>
  <si>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</si>
  <si>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</si>
  <si>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</si>
  <si>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</si>
  <si>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</si>
  <si>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</si>
  <si>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</si>
  <si>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</si>
  <si>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</si>
  <si>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</si>
  <si>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</si>
  <si>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</si>
  <si>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</si>
  <si>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</si>
  <si>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</si>
  <si>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</si>
  <si>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</si>
  <si>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</si>
  <si>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</si>
  <si>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204:232987</t>
  </si>
  <si>
    <t>204:136</t>
  </si>
  <si>
    <t>204:163</t>
  </si>
  <si>
    <t>204:462</t>
  </si>
  <si>
    <t>204:232996</t>
  </si>
  <si>
    <t>204:451</t>
  </si>
  <si>
    <t>204:444</t>
  </si>
  <si>
    <t>204:962</t>
  </si>
  <si>
    <t>rtdc.l.rtdc.4002:itc</t>
  </si>
  <si>
    <t>rtdc.l.rtdc.4029:itc</t>
  </si>
  <si>
    <t>rtdc.l.rtdc.4006:itc</t>
  </si>
  <si>
    <t>rtdc.l.rtdc.4026:itc</t>
  </si>
  <si>
    <t>204:233289</t>
  </si>
  <si>
    <t>204:233291</t>
  </si>
  <si>
    <t>204:165</t>
  </si>
  <si>
    <t>rtdc.l.rtdc.4054:itc</t>
  </si>
  <si>
    <t>GUZMAN</t>
  </si>
  <si>
    <t>DANNY</t>
  </si>
  <si>
    <t>ANDERS</t>
  </si>
  <si>
    <t>STEVEN</t>
  </si>
  <si>
    <t>204:233312</t>
  </si>
  <si>
    <t>204:232989</t>
  </si>
  <si>
    <t>204:471</t>
  </si>
  <si>
    <t>204:974</t>
  </si>
  <si>
    <t>204:232998</t>
  </si>
  <si>
    <t>rtdc.l.rtdc.4056:itc</t>
  </si>
  <si>
    <t>ROMERO</t>
  </si>
  <si>
    <t>CHAD</t>
  </si>
  <si>
    <t>STAMBAUGH</t>
  </si>
  <si>
    <t>204:233311</t>
  </si>
  <si>
    <t>204:233308</t>
  </si>
  <si>
    <t>204:233013</t>
  </si>
  <si>
    <t>204:232980</t>
  </si>
  <si>
    <t>204:708</t>
  </si>
  <si>
    <t>300:58675</t>
  </si>
  <si>
    <t>204:233340</t>
  </si>
  <si>
    <t>204:233021</t>
  </si>
  <si>
    <t>rtdc.l.rtdc.4066:itc</t>
  </si>
  <si>
    <t>rtdc.l.rtdc.4065:itc</t>
  </si>
  <si>
    <t>SPECTOR</t>
  </si>
  <si>
    <t>BONDS</t>
  </si>
  <si>
    <t>REYNALDO</t>
  </si>
  <si>
    <t>STARKS</t>
  </si>
  <si>
    <t>ANGELINA</t>
  </si>
  <si>
    <t>YANG</t>
  </si>
  <si>
    <t>JAN</t>
  </si>
  <si>
    <t>YANAI</t>
  </si>
  <si>
    <t>IAN</t>
  </si>
  <si>
    <t>rtdc.l.rtdc.4058:itc</t>
  </si>
  <si>
    <t>204:154</t>
  </si>
  <si>
    <t>204:233307</t>
  </si>
  <si>
    <t>204:232981</t>
  </si>
  <si>
    <t>204:232971</t>
  </si>
  <si>
    <t>204:233315</t>
  </si>
  <si>
    <t>204:232967</t>
  </si>
  <si>
    <t>204:125</t>
  </si>
  <si>
    <t>204:233301</t>
  </si>
  <si>
    <t>204:233008</t>
  </si>
  <si>
    <t>204:437</t>
  </si>
  <si>
    <t>204:233318</t>
  </si>
  <si>
    <t>204:233297</t>
  </si>
  <si>
    <t>204:233286</t>
  </si>
  <si>
    <t>204:466</t>
  </si>
  <si>
    <t>204:233329</t>
  </si>
  <si>
    <t>204:233334</t>
  </si>
  <si>
    <t>204:233321</t>
  </si>
  <si>
    <t>204:232988</t>
  </si>
  <si>
    <t>300:23302</t>
  </si>
  <si>
    <t>204:967</t>
  </si>
  <si>
    <t>204:691</t>
  </si>
  <si>
    <t>204:969</t>
  </si>
  <si>
    <t>204:680</t>
  </si>
  <si>
    <t>204:694</t>
  </si>
  <si>
    <t>rtdc.l.rtdc.4028:itc</t>
  </si>
  <si>
    <t>rtdc.l.rtdc.4027:itc</t>
  </si>
  <si>
    <t>rtdc.l.rtdc.4005:itc</t>
  </si>
  <si>
    <t>313-12</t>
  </si>
  <si>
    <t>rtdc.l.rtdc.4011:itc</t>
  </si>
  <si>
    <t>FORTUNATO</t>
  </si>
  <si>
    <t>FRANK</t>
  </si>
  <si>
    <t>NEWELL</t>
  </si>
  <si>
    <t>BRUDER</t>
  </si>
  <si>
    <t>RICHARD</t>
  </si>
  <si>
    <t>MOSES</t>
  </si>
  <si>
    <t>BRADLEY</t>
  </si>
  <si>
    <t>LEVIN</t>
  </si>
  <si>
    <t>SCOTT</t>
  </si>
  <si>
    <t>ZEWDU</t>
  </si>
  <si>
    <t>DEREJE</t>
  </si>
  <si>
    <t>BIRKHOLZ</t>
  </si>
  <si>
    <t>NADINE</t>
  </si>
  <si>
    <t>309-12</t>
  </si>
  <si>
    <t>244-12</t>
  </si>
  <si>
    <t>311-12</t>
  </si>
  <si>
    <t>204:233283</t>
  </si>
  <si>
    <t>204:233004</t>
  </si>
  <si>
    <t>204:233017</t>
  </si>
  <si>
    <t>204:232961</t>
  </si>
  <si>
    <t>204:233295</t>
  </si>
  <si>
    <t>204:232969</t>
  </si>
  <si>
    <t>204:447</t>
  </si>
  <si>
    <t>204:233293</t>
  </si>
  <si>
    <t>204:424</t>
  </si>
  <si>
    <t>204:233353</t>
  </si>
  <si>
    <t>204:233336</t>
  </si>
  <si>
    <t>204:486</t>
  </si>
  <si>
    <t>204:233009</t>
  </si>
  <si>
    <t>204:232978</t>
  </si>
  <si>
    <t>204:233036</t>
  </si>
  <si>
    <t>204:438</t>
  </si>
  <si>
    <t>204:435</t>
  </si>
  <si>
    <t>204:233319</t>
  </si>
  <si>
    <t>204:232991</t>
  </si>
  <si>
    <t>204:477</t>
  </si>
  <si>
    <t>204:233347</t>
  </si>
  <si>
    <t>204:130</t>
  </si>
  <si>
    <t>204:233306</t>
  </si>
  <si>
    <t>204:433</t>
  </si>
  <si>
    <t>300:23346</t>
  </si>
  <si>
    <t>300:23310</t>
  </si>
  <si>
    <t>300:23301</t>
  </si>
  <si>
    <t>204:1147</t>
  </si>
  <si>
    <t>300:24233</t>
  </si>
  <si>
    <t>300:58632</t>
  </si>
  <si>
    <t>300:58948</t>
  </si>
  <si>
    <t>204:979</t>
  </si>
  <si>
    <t>300:58984</t>
  </si>
  <si>
    <t>204:1000</t>
  </si>
  <si>
    <t>204:703</t>
  </si>
  <si>
    <t>204:990</t>
  </si>
  <si>
    <t>204:983</t>
  </si>
  <si>
    <t>300:58924</t>
  </si>
  <si>
    <t>204:699</t>
  </si>
  <si>
    <t>204:992</t>
  </si>
  <si>
    <t>300:58933</t>
  </si>
  <si>
    <t>300:58634</t>
  </si>
  <si>
    <t>204:685</t>
  </si>
  <si>
    <t>300:58950</t>
  </si>
  <si>
    <t>300:58636</t>
  </si>
  <si>
    <t>204:687</t>
  </si>
  <si>
    <t>300:58946</t>
  </si>
  <si>
    <t>302-13</t>
  </si>
  <si>
    <t>rtdc.l.rtdc.4043:itc</t>
  </si>
  <si>
    <t>308-13</t>
  </si>
  <si>
    <t>111-13</t>
  </si>
  <si>
    <t>rtdc.l.rtdc.4044:itc</t>
  </si>
  <si>
    <t>123-13</t>
  </si>
  <si>
    <t>63-13</t>
  </si>
  <si>
    <t>62-13</t>
  </si>
  <si>
    <t>816-13</t>
  </si>
  <si>
    <t>148-13</t>
  </si>
  <si>
    <t>rtdc.l.rtdc.4017:itc</t>
  </si>
  <si>
    <t>54-13</t>
  </si>
  <si>
    <t>150-13</t>
  </si>
  <si>
    <t>169-13</t>
  </si>
  <si>
    <t>65-13</t>
  </si>
  <si>
    <t>177-13</t>
  </si>
  <si>
    <t>168-13</t>
  </si>
  <si>
    <t>rtdc.l.rtdc.4055:itc</t>
  </si>
  <si>
    <t>174-13</t>
  </si>
  <si>
    <t>71-13</t>
  </si>
  <si>
    <t>187-13</t>
  </si>
  <si>
    <t>rtdc.l.rtdc.4025:itc</t>
  </si>
  <si>
    <t>904-13</t>
  </si>
  <si>
    <t>73-13</t>
  </si>
  <si>
    <t>209-13</t>
  </si>
  <si>
    <t>221-13</t>
  </si>
  <si>
    <t>845-13</t>
  </si>
  <si>
    <t>229-13</t>
  </si>
  <si>
    <t>230-13</t>
  </si>
  <si>
    <t>237-13</t>
  </si>
  <si>
    <t>rtdc.l.rtdc.4039:itc</t>
  </si>
  <si>
    <t>300-13</t>
  </si>
  <si>
    <t>rtdc.l.rtdc.4040:itc</t>
  </si>
  <si>
    <t>51-13</t>
  </si>
  <si>
    <t>101-13</t>
  </si>
  <si>
    <t>52-13</t>
  </si>
  <si>
    <t>103-13</t>
  </si>
  <si>
    <t>304-13</t>
  </si>
  <si>
    <t>YORK</t>
  </si>
  <si>
    <t>EDGAR</t>
  </si>
  <si>
    <t>105-13</t>
  </si>
  <si>
    <t>306-13</t>
  </si>
  <si>
    <t>102-13</t>
  </si>
  <si>
    <t>WENDY</t>
  </si>
  <si>
    <t>107-13</t>
  </si>
  <si>
    <t>104-13</t>
  </si>
  <si>
    <t>109-13</t>
  </si>
  <si>
    <t>310-13</t>
  </si>
  <si>
    <t>106-13</t>
  </si>
  <si>
    <t>901-13</t>
  </si>
  <si>
    <t>HUFFSMITH</t>
  </si>
  <si>
    <t>MONTY</t>
  </si>
  <si>
    <t>113-13</t>
  </si>
  <si>
    <t>800-13</t>
  </si>
  <si>
    <t>312-13</t>
  </si>
  <si>
    <t>108-13</t>
  </si>
  <si>
    <t>115-13</t>
  </si>
  <si>
    <t>110-13</t>
  </si>
  <si>
    <t>801-13</t>
  </si>
  <si>
    <t>117-13</t>
  </si>
  <si>
    <t>902-13</t>
  </si>
  <si>
    <t>GEBRETEKLE</t>
  </si>
  <si>
    <t>DAGNEW</t>
  </si>
  <si>
    <t>119-13</t>
  </si>
  <si>
    <t>114-13</t>
  </si>
  <si>
    <t>112-13</t>
  </si>
  <si>
    <t>802-13</t>
  </si>
  <si>
    <t>803-13</t>
  </si>
  <si>
    <t>121-13</t>
  </si>
  <si>
    <t>116-13</t>
  </si>
  <si>
    <t>118-13</t>
  </si>
  <si>
    <t>804-13</t>
  </si>
  <si>
    <t>805-13</t>
  </si>
  <si>
    <t>120-13</t>
  </si>
  <si>
    <t>125-13</t>
  </si>
  <si>
    <t>127-13</t>
  </si>
  <si>
    <t>PAGE</t>
  </si>
  <si>
    <t>MARCUS</t>
  </si>
  <si>
    <t>807-13</t>
  </si>
  <si>
    <t>806-13</t>
  </si>
  <si>
    <t>122-13</t>
  </si>
  <si>
    <t>129-13</t>
  </si>
  <si>
    <t>124-13</t>
  </si>
  <si>
    <t>131-13</t>
  </si>
  <si>
    <t>808-13</t>
  </si>
  <si>
    <t>809-13</t>
  </si>
  <si>
    <t>133-13</t>
  </si>
  <si>
    <t>126-13</t>
  </si>
  <si>
    <t>128-13</t>
  </si>
  <si>
    <t>135-13</t>
  </si>
  <si>
    <t>810-13</t>
  </si>
  <si>
    <t>130-13</t>
  </si>
  <si>
    <t>811-13</t>
  </si>
  <si>
    <t>137-13</t>
  </si>
  <si>
    <t>132-13</t>
  </si>
  <si>
    <t>134-13</t>
  </si>
  <si>
    <t>812-13</t>
  </si>
  <si>
    <t>139-13</t>
  </si>
  <si>
    <t>903-13</t>
  </si>
  <si>
    <t>141-13</t>
  </si>
  <si>
    <t>136-13</t>
  </si>
  <si>
    <t>143-13</t>
  </si>
  <si>
    <t>813-13</t>
  </si>
  <si>
    <t>138-13</t>
  </si>
  <si>
    <t>145-13</t>
  </si>
  <si>
    <t>147-13</t>
  </si>
  <si>
    <t>140-13</t>
  </si>
  <si>
    <t>142-13</t>
  </si>
  <si>
    <t>814-13</t>
  </si>
  <si>
    <t>149-13</t>
  </si>
  <si>
    <t>144-13</t>
  </si>
  <si>
    <t>151-13</t>
  </si>
  <si>
    <t>146-13</t>
  </si>
  <si>
    <t>815-13</t>
  </si>
  <si>
    <t>153-13</t>
  </si>
  <si>
    <t>155-13</t>
  </si>
  <si>
    <t>157-13</t>
  </si>
  <si>
    <t>152-13</t>
  </si>
  <si>
    <t>159-13</t>
  </si>
  <si>
    <t>817-13</t>
  </si>
  <si>
    <t>154-13</t>
  </si>
  <si>
    <t>156-13</t>
  </si>
  <si>
    <t>161-13</t>
  </si>
  <si>
    <t>163-13</t>
  </si>
  <si>
    <t>rtdc.l.rtdc.4018:itc</t>
  </si>
  <si>
    <t>55-13</t>
  </si>
  <si>
    <t>818-13</t>
  </si>
  <si>
    <t>165-13</t>
  </si>
  <si>
    <t>160-13</t>
  </si>
  <si>
    <t>158-13</t>
  </si>
  <si>
    <t>167-13</t>
  </si>
  <si>
    <t>819-13</t>
  </si>
  <si>
    <t>DELGADO</t>
  </si>
  <si>
    <t>DIANAH</t>
  </si>
  <si>
    <t>162-13</t>
  </si>
  <si>
    <t>61-13</t>
  </si>
  <si>
    <t>BROWN</t>
  </si>
  <si>
    <t>JACOB</t>
  </si>
  <si>
    <t>166-13</t>
  </si>
  <si>
    <t>PELLITIER</t>
  </si>
  <si>
    <t>GEORGE</t>
  </si>
  <si>
    <t>164-13</t>
  </si>
  <si>
    <t>820-13</t>
  </si>
  <si>
    <t>171-13</t>
  </si>
  <si>
    <t>ROBINSON</t>
  </si>
  <si>
    <t>KADDIBA</t>
  </si>
  <si>
    <t>173-13</t>
  </si>
  <si>
    <t>HOLCOMB</t>
  </si>
  <si>
    <t>KAMDEN</t>
  </si>
  <si>
    <t>175-13</t>
  </si>
  <si>
    <t>60-13</t>
  </si>
  <si>
    <t>821-13</t>
  </si>
  <si>
    <t>170-13</t>
  </si>
  <si>
    <t>172-13</t>
  </si>
  <si>
    <t>179-13</t>
  </si>
  <si>
    <t>822-13</t>
  </si>
  <si>
    <t>181-13</t>
  </si>
  <si>
    <t>MAGEE</t>
  </si>
  <si>
    <t>KENYA</t>
  </si>
  <si>
    <t>183-13</t>
  </si>
  <si>
    <t>176-13</t>
  </si>
  <si>
    <t>823-13</t>
  </si>
  <si>
    <t>178-13</t>
  </si>
  <si>
    <t>180-13</t>
  </si>
  <si>
    <t>185-13</t>
  </si>
  <si>
    <t>70-13</t>
  </si>
  <si>
    <t>824-13</t>
  </si>
  <si>
    <t>182-13</t>
  </si>
  <si>
    <t>189-13</t>
  </si>
  <si>
    <t>KILLION</t>
  </si>
  <si>
    <t>DAVID</t>
  </si>
  <si>
    <t>184-13</t>
  </si>
  <si>
    <t>191-13</t>
  </si>
  <si>
    <t>825-13</t>
  </si>
  <si>
    <t>BERLING</t>
  </si>
  <si>
    <t>GARY</t>
  </si>
  <si>
    <t>193-13</t>
  </si>
  <si>
    <t>186-13</t>
  </si>
  <si>
    <t>188-13</t>
  </si>
  <si>
    <t>826-13</t>
  </si>
  <si>
    <t>195-13</t>
  </si>
  <si>
    <t>190-13</t>
  </si>
  <si>
    <t>827-13</t>
  </si>
  <si>
    <t>197-13</t>
  </si>
  <si>
    <t>72-13</t>
  </si>
  <si>
    <t>192-13</t>
  </si>
  <si>
    <t>194-13</t>
  </si>
  <si>
    <t>199-13</t>
  </si>
  <si>
    <t>828-13</t>
  </si>
  <si>
    <t>829-13</t>
  </si>
  <si>
    <t>201-13</t>
  </si>
  <si>
    <t>196-13</t>
  </si>
  <si>
    <t>203-13</t>
  </si>
  <si>
    <t>830-13</t>
  </si>
  <si>
    <t>198-13</t>
  </si>
  <si>
    <t>835-13</t>
  </si>
  <si>
    <t>205-13</t>
  </si>
  <si>
    <t>75-13</t>
  </si>
  <si>
    <t>207-13</t>
  </si>
  <si>
    <t>200-13</t>
  </si>
  <si>
    <t>832-13</t>
  </si>
  <si>
    <t>833-13</t>
  </si>
  <si>
    <t>77-13</t>
  </si>
  <si>
    <t>LOPES</t>
  </si>
  <si>
    <t>KIMBERLY</t>
  </si>
  <si>
    <t>202-13</t>
  </si>
  <si>
    <t>211-13</t>
  </si>
  <si>
    <t>204-13</t>
  </si>
  <si>
    <t>834-13</t>
  </si>
  <si>
    <t>206-13</t>
  </si>
  <si>
    <t>50-13</t>
  </si>
  <si>
    <t>213-13</t>
  </si>
  <si>
    <t>208-13</t>
  </si>
  <si>
    <t>215-13</t>
  </si>
  <si>
    <t>836-13</t>
  </si>
  <si>
    <t>837-13</t>
  </si>
  <si>
    <t>210-13</t>
  </si>
  <si>
    <t>217-13</t>
  </si>
  <si>
    <t>212-13</t>
  </si>
  <si>
    <t>219-13</t>
  </si>
  <si>
    <t>214-13</t>
  </si>
  <si>
    <t>838-13</t>
  </si>
  <si>
    <t>839-13</t>
  </si>
  <si>
    <t>301-13</t>
  </si>
  <si>
    <t>216-13</t>
  </si>
  <si>
    <t>906-13</t>
  </si>
  <si>
    <t>303-13</t>
  </si>
  <si>
    <t>841-13</t>
  </si>
  <si>
    <t>218-13</t>
  </si>
  <si>
    <t>220-13</t>
  </si>
  <si>
    <t>223-13</t>
  </si>
  <si>
    <t>840-13</t>
  </si>
  <si>
    <t>305-13</t>
  </si>
  <si>
    <t>222-13</t>
  </si>
  <si>
    <t>225-13</t>
  </si>
  <si>
    <t>843-13</t>
  </si>
  <si>
    <t>224-13</t>
  </si>
  <si>
    <t>227-13</t>
  </si>
  <si>
    <t>842-13</t>
  </si>
  <si>
    <t>226-13</t>
  </si>
  <si>
    <t>231-13</t>
  </si>
  <si>
    <t>228-13</t>
  </si>
  <si>
    <t>844-13</t>
  </si>
  <si>
    <t>233-13</t>
  </si>
  <si>
    <t>847-13</t>
  </si>
  <si>
    <t>232-13</t>
  </si>
  <si>
    <t>846-13</t>
  </si>
  <si>
    <t>235-13</t>
  </si>
  <si>
    <t>234-13</t>
  </si>
  <si>
    <t>849-13</t>
  </si>
  <si>
    <t>239-13</t>
  </si>
  <si>
    <t>908-13</t>
  </si>
  <si>
    <t>236-13</t>
  </si>
  <si>
    <t>238-13</t>
  </si>
  <si>
    <t>241-13</t>
  </si>
  <si>
    <t>240-13</t>
  </si>
  <si>
    <t>243-13</t>
  </si>
  <si>
    <t>307-13</t>
  </si>
  <si>
    <t>242-13</t>
  </si>
  <si>
    <t>309-13</t>
  </si>
  <si>
    <t>244-13</t>
  </si>
  <si>
    <t>311-13</t>
  </si>
  <si>
    <t>313-13</t>
  </si>
  <si>
    <t>rtdc.l.rtdc.4003:itc</t>
  </si>
  <si>
    <t>300-14</t>
  </si>
  <si>
    <t>ROCHA</t>
  </si>
  <si>
    <t>YAOTL</t>
  </si>
  <si>
    <t>precipType</t>
  </si>
  <si>
    <t>partly-cloudy-day</t>
  </si>
  <si>
    <t>Partly Cloudy</t>
  </si>
  <si>
    <t>rain</t>
  </si>
  <si>
    <t>204:726</t>
  </si>
  <si>
    <t>204:232983</t>
  </si>
  <si>
    <t>204:233281</t>
  </si>
  <si>
    <t>204:37185</t>
  </si>
  <si>
    <t>204:233302</t>
  </si>
  <si>
    <t>204:482</t>
  </si>
  <si>
    <t>204:232972</t>
  </si>
  <si>
    <t>204:233300</t>
  </si>
  <si>
    <t>204:233238</t>
  </si>
  <si>
    <t>204:232930</t>
  </si>
  <si>
    <t>204:194</t>
  </si>
  <si>
    <t>204:232990</t>
  </si>
  <si>
    <t>204:233303</t>
  </si>
  <si>
    <t>204:232974</t>
  </si>
  <si>
    <t>204:233304</t>
  </si>
  <si>
    <t>204:233299</t>
  </si>
  <si>
    <t>204:232976</t>
  </si>
  <si>
    <t>204:478</t>
  </si>
  <si>
    <t>204:233006</t>
  </si>
  <si>
    <t>204:233264</t>
  </si>
  <si>
    <t>204:233023</t>
  </si>
  <si>
    <t>204:233366</t>
  </si>
  <si>
    <t>204:232975</t>
  </si>
  <si>
    <t>204:233007</t>
  </si>
  <si>
    <t>204:233010</t>
  </si>
  <si>
    <t>204:233282</t>
  </si>
  <si>
    <t>204:233042</t>
  </si>
  <si>
    <t>204:233362</t>
  </si>
  <si>
    <t>204:233040</t>
  </si>
  <si>
    <t>204:233397</t>
  </si>
  <si>
    <t>204:233030</t>
  </si>
  <si>
    <t>204:233330</t>
  </si>
  <si>
    <t>204:473</t>
  </si>
  <si>
    <t>204:228578</t>
  </si>
  <si>
    <t>204:127851</t>
  </si>
  <si>
    <t>204:233317</t>
  </si>
  <si>
    <t>204:233320</t>
  </si>
  <si>
    <t>204:174</t>
  </si>
  <si>
    <t>204:233342</t>
  </si>
  <si>
    <t>204:233323</t>
  </si>
  <si>
    <t>204:233276</t>
  </si>
  <si>
    <t>204:132</t>
  </si>
  <si>
    <t>204:233331</t>
  </si>
  <si>
    <t>204:233189</t>
  </si>
  <si>
    <t>204:232872</t>
  </si>
  <si>
    <t>204:167</t>
  </si>
  <si>
    <t>300:23497</t>
  </si>
  <si>
    <t>300:20142</t>
  </si>
  <si>
    <t>300:23383</t>
  </si>
  <si>
    <t>300:23306</t>
  </si>
  <si>
    <t>300:23502</t>
  </si>
  <si>
    <t>300:23295</t>
  </si>
  <si>
    <t>300:22508</t>
  </si>
  <si>
    <t>300:21799</t>
  </si>
  <si>
    <t>300:23660</t>
  </si>
  <si>
    <t>204:493</t>
  </si>
  <si>
    <t>300:23299</t>
  </si>
  <si>
    <t>300:23629</t>
  </si>
  <si>
    <t>300:23239</t>
  </si>
  <si>
    <t>204:1116</t>
  </si>
  <si>
    <t>204:429</t>
  </si>
  <si>
    <t>204:3574</t>
  </si>
  <si>
    <t>204:3243</t>
  </si>
  <si>
    <t>204:1179</t>
  </si>
  <si>
    <t>300:22106</t>
  </si>
  <si>
    <t>204:1015</t>
  </si>
  <si>
    <t>204:1326</t>
  </si>
  <si>
    <t>300:112206</t>
  </si>
  <si>
    <t>204:95</t>
  </si>
  <si>
    <t>300:4904</t>
  </si>
  <si>
    <t>300:112204</t>
  </si>
  <si>
    <t>300:111618</t>
  </si>
  <si>
    <t>300:111500</t>
  </si>
  <si>
    <t>300:112199</t>
  </si>
  <si>
    <t>204:144</t>
  </si>
  <si>
    <t>300:30006</t>
  </si>
  <si>
    <t>300:112515</t>
  </si>
  <si>
    <t>204:423</t>
  </si>
  <si>
    <t>300:112513</t>
  </si>
  <si>
    <t>300:4879</t>
  </si>
  <si>
    <t>300:112511</t>
  </si>
  <si>
    <t>300:112189</t>
  </si>
  <si>
    <t>204:166</t>
  </si>
  <si>
    <t>204:403</t>
  </si>
  <si>
    <t>300:112504</t>
  </si>
  <si>
    <t>300:112197</t>
  </si>
  <si>
    <t>300:28789</t>
  </si>
  <si>
    <t>204:1501</t>
  </si>
  <si>
    <t>300:58660</t>
  </si>
  <si>
    <t>204:741</t>
  </si>
  <si>
    <t>204:1037</t>
  </si>
  <si>
    <t>300:58975</t>
  </si>
  <si>
    <t>300:58666</t>
  </si>
  <si>
    <t>204:1004</t>
  </si>
  <si>
    <t>300:58969</t>
  </si>
  <si>
    <t>300:58653</t>
  </si>
  <si>
    <t>204:1027</t>
  </si>
  <si>
    <t>300:58672</t>
  </si>
  <si>
    <t>300:58982</t>
  </si>
  <si>
    <t>204:1014</t>
  </si>
  <si>
    <t>300:58980</t>
  </si>
  <si>
    <t>300:58664</t>
  </si>
  <si>
    <t>204:727</t>
  </si>
  <si>
    <t>300:58976</t>
  </si>
  <si>
    <t>204:717</t>
  </si>
  <si>
    <t>300:58973</t>
  </si>
  <si>
    <t>300:58662</t>
  </si>
  <si>
    <t>300:58655</t>
  </si>
  <si>
    <t>204:663</t>
  </si>
  <si>
    <t>300:58954</t>
  </si>
  <si>
    <t>300:58638</t>
  </si>
  <si>
    <t>204:995</t>
  </si>
  <si>
    <t>300:58958</t>
  </si>
  <si>
    <t>300:58647</t>
  </si>
  <si>
    <t>204:677</t>
  </si>
  <si>
    <t>300:58608</t>
  </si>
  <si>
    <t>204:750</t>
  </si>
  <si>
    <t>204:1035</t>
  </si>
  <si>
    <t>300:58621</t>
  </si>
  <si>
    <t>204:617</t>
  </si>
  <si>
    <t>300:58658</t>
  </si>
  <si>
    <t>204:710</t>
  </si>
  <si>
    <t>204:904</t>
  </si>
  <si>
    <t>204:673</t>
  </si>
  <si>
    <t>204:986</t>
  </si>
  <si>
    <t>300:58978</t>
  </si>
  <si>
    <t>204:955</t>
  </si>
  <si>
    <t>300:58649</t>
  </si>
  <si>
    <t>204:720</t>
  </si>
  <si>
    <t>204:981</t>
  </si>
  <si>
    <t>300:58967</t>
  </si>
  <si>
    <t>300:58630</t>
  </si>
  <si>
    <t>204:1007</t>
  </si>
  <si>
    <t>300:58939</t>
  </si>
  <si>
    <t>204:689</t>
  </si>
  <si>
    <t>204:946</t>
  </si>
  <si>
    <t>300:30091</t>
  </si>
  <si>
    <t>300:23586</t>
  </si>
  <si>
    <t>204:1013</t>
  </si>
  <si>
    <t>300:24226</t>
  </si>
  <si>
    <t>300:23713</t>
  </si>
  <si>
    <t>204:745</t>
  </si>
  <si>
    <t>300:28763</t>
  </si>
  <si>
    <t>300:28797</t>
  </si>
  <si>
    <t>start /low /b %USERPROFILE%\Documents\GitHub\eaglep3\Utilities\DownloadLogsFromS3.py --loco 4006 --day 2017-09-13</t>
  </si>
  <si>
    <t>start /low /b %USERPROFILE%\Documents\GitHub\eaglep3\Utilities\DownloadLogsFromS3.py --loco 4010 --day 2017-09-13</t>
  </si>
  <si>
    <t>start /low /b %USERPROFILE%\Documents\GitHub\eaglep3\Utilities\DownloadLogsFromS3.py --loco 4027 --day 2017-09-13</t>
  </si>
  <si>
    <t>start /low /b %USERPROFILE%\Documents\GitHub\eaglep3\Utilities\DownloadLogsFromS3.py --loco 4060 --day 2017-09-13</t>
  </si>
  <si>
    <t>start /low /b %USERPROFILE%\Documents\GitHub\eaglep3\Utilities\DownloadLogsFromS3.py --loco 4016 --day 2017-09-13</t>
  </si>
  <si>
    <t>start /low /b %USERPROFILE%\Documents\GitHub\eaglep3\Utilities\DownloadLogsFromS3.py --loco 4006 --day 2017-09-14</t>
  </si>
  <si>
    <t>start /low /b %USERPROFILE%\Documents\GitHub\eaglep3\Utilities\DownloadLogsFromS3.py --loco 4005 --day 2017-09-14</t>
  </si>
  <si>
    <t>start /low /b %USERPROFILE%\Documents\GitHub\eaglep3\Utilities\DownloadLogsFromS3.py --loco 4015 --day 2017-09-13</t>
  </si>
  <si>
    <t>start /low /b %USERPROFILE%\Documents\GitHub\eaglep3\Utilities\DownloadLogsFromS3.py --loco 4055 --day 2017-09-13</t>
  </si>
  <si>
    <t>start /low /b %USERPROFILE%\Documents\GitHub\eaglep3\Utilities\DownloadLogsFromS3.py --loco 4056 --day 2017-09-13</t>
  </si>
  <si>
    <t>start /low /b %USERPROFILE%\Documents\GitHub\eaglep3\Utilities\DownloadLogsFromS3.py --loco 4005 --day 2017-09-13</t>
  </si>
  <si>
    <t>start /low /b %USERPROFILE%\Documents\GitHub\eaglep3\Utilities\DownloadLogsFromS3.py --loco 4044 --day 2017-09-13</t>
  </si>
  <si>
    <t>start /low /b %USERPROFILE%\Documents\GitHub\eaglep3\Utilities\DownloadLogsFromS3.py --loco 4059 --day 2017-09-13</t>
  </si>
  <si>
    <t>start /low /b %USERPROFILE%\Documents\GitHub\eaglep3\Utilities\DownloadLogsFromS3.py --loco 4060 --day 2017-09-14</t>
  </si>
  <si>
    <t>Onboard in-route failure</t>
  </si>
  <si>
    <t>Should have selected 831-13</t>
  </si>
  <si>
    <t>Unhealthy banner @ Chambers due to train stop</t>
  </si>
  <si>
    <t>Consist spam observed, issue resolved after operating day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</si>
</sst>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90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42991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42991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COUNTIFS($N$13:$N$9333,"&gt;0",$AG$13:$AG$9333,I1)</f>
        <v>142</v>
      </c>
      <c r="K5" s="39"/>
      <c r="L5" s="184"/>
      <c r="M5" s="40">
        <f>AVERAGEIFS($N$13:$N$9333,$AG$13:$AG$9333,I1)</f>
        <v>36.923591550070675</v>
      </c>
      <c r="N5" s="38">
        <f t="array" ref="N5">MIN(IF($AG$13:$AG$9333=I1,IF(ISNUMBER($N$13:$N$9333),IF($N$13:$N$9333&gt;0,$N$13:$N$9333))))</f>
        <v>33.900000003632158</v>
      </c>
      <c r="O5" s="3">
        <f t="array" ref="O5">MAX(IF($AG$13:$AG$9333=I1,IF(ISNUMBER($N$13:$N$9333),IF($N$13:$N$9333&gt;0,$N$13:$N$9333))))</f>
        <v>41.083333329297602</v>
      </c>
      <c r="P5" s="2"/>
      <c r="R5" s="163" t="s">
        <v>17</v>
      </c>
      <c r="S5" s="183">
        <f>COUNTIFS($N$13:$N$9333,"&gt;0",$AG$13:$AG$9333,R1)</f>
        <v>49</v>
      </c>
      <c r="T5" s="184"/>
      <c r="U5" s="184"/>
      <c r="V5" s="180">
        <f>AVERAGEIFS($N$13:$N$9333,$AG$13:$AG$9333,R1)</f>
        <v>14.999319727660859</v>
      </c>
      <c r="W5" s="181">
        <f t="array" ref="W5">MIN(IF($AG$13:$AG$9333=R1,IF(ISNUMBER($N$13:$N$9333),IF($N$13:$N$9333&gt;0,$N$13:$N$9333))))</f>
        <v>11.25</v>
      </c>
      <c r="X5" s="182">
        <f t="array" ref="X5">MAX(IF($AG$13:$AG$9333=R1,IF(ISNUMBER($N$13:$N$9333),IF($N$13:$N$9333&gt;0,$N$13:$N$9333))))</f>
        <v>23.816666660131887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COUNT($O$13:$O$138)</f>
        <v>0</v>
      </c>
      <c r="K6" s="39"/>
      <c r="L6" s="184"/>
      <c r="M6" s="40">
        <f>IFERROR(AVERAGE($O$13:$O$138),0)</f>
        <v>0</v>
      </c>
      <c r="N6" s="38">
        <f>MIN($O$13:$O$138)</f>
        <v>0</v>
      </c>
      <c r="O6" s="3">
        <f>MAX($O$13:$O$138)</f>
        <v>0</v>
      </c>
      <c r="P6" s="2"/>
      <c r="R6" s="164" t="s">
        <v>43</v>
      </c>
      <c r="S6" s="183">
        <f>COUNT($O$13:$O$138)</f>
        <v>0</v>
      </c>
      <c r="T6" s="184"/>
      <c r="U6" s="184"/>
      <c r="V6" s="180">
        <f>IFERROR(AVERAGE($O$13:$O$138),0)</f>
        <v>0</v>
      </c>
      <c r="W6" s="181">
        <f>MIN($O$13:$O$138)</f>
        <v>0</v>
      </c>
      <c r="X6" s="182">
        <f>MAX($O$13:$O$138)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COUNTIFS($P$13:$P$9333,"&gt;0",$AG$13:$AG$9333,I1)</f>
        <v>2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COUNTIFS($P$13:$P$9333,"&gt;0",$AG$13:$AG$9333,R1)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84"/>
      <c r="M8" s="40">
        <f>M5</f>
        <v>36.923591550070675</v>
      </c>
      <c r="N8" s="38">
        <f>N5</f>
        <v>33.900000003632158</v>
      </c>
      <c r="O8" s="3">
        <f>O5</f>
        <v>41.083333329297602</v>
      </c>
      <c r="P8" s="2"/>
      <c r="R8" s="163" t="s">
        <v>16</v>
      </c>
      <c r="S8" s="183">
        <f>S5</f>
        <v>49</v>
      </c>
      <c r="T8" s="184"/>
      <c r="U8" s="184"/>
      <c r="V8" s="180">
        <f>V5</f>
        <v>14.999319727660859</v>
      </c>
      <c r="W8" s="181">
        <f>W5</f>
        <v>11.25</v>
      </c>
      <c r="X8" s="182">
        <f>X5</f>
        <v>23.816666660131887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21" t="str">
        <f>"Eagle P3 System Performance - "&amp;TEXT(Variables!A2,"yyyy-mm-dd")</f>
        <v>Eagle P3 System Performance - 2017-09-13</v>
      </c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S11" s="208">
        <f>AVERAGE(S13:S106)</f>
        <v>0.99728260869565222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613</v>
      </c>
      <c r="B13" s="7">
        <v>4006</v>
      </c>
      <c r="C13" s="21" t="s">
        <v>197</v>
      </c>
      <c r="D13" s="21" t="s">
        <v>850</v>
      </c>
      <c r="E13" s="13">
        <v>42991.126319444447</v>
      </c>
      <c r="F13" s="13">
        <v>42991.135613425926</v>
      </c>
      <c r="G13" s="7">
        <v>75</v>
      </c>
      <c r="H13" s="21" t="s">
        <v>498</v>
      </c>
      <c r="I13" s="13">
        <v>42991.161134259259</v>
      </c>
      <c r="J13" s="7">
        <v>0</v>
      </c>
      <c r="K13" s="89" t="str">
        <f t="shared" ref="K13:K76" si="0">IF(ISEVEN(B13),(B13-1)&amp;"/"&amp;B13,B13&amp;"/"&amp;(B13+1))</f>
        <v>4005/4006</v>
      </c>
      <c r="L13" s="214" t="str">
        <f>VLOOKUP(A13,'Trips&amp;Operators'!$C$1:$G$99911,5,FALSE)</f>
        <v>BONDS REYNALDO</v>
      </c>
      <c r="M13" s="6">
        <f t="shared" ref="M13:M76" si="1">I13-F13</f>
        <v>2.5520833332848269E-2</v>
      </c>
      <c r="N13" s="7">
        <f t="shared" ref="N13:N22" si="2">24*60*SUM($M13:$M13)</f>
        <v>36.749999999301508</v>
      </c>
      <c r="O13" s="7"/>
      <c r="P13" s="7"/>
      <c r="Q13" s="22"/>
      <c r="R13" s="167"/>
      <c r="S13" s="210">
        <f t="shared" ref="S13:S22" si="3">1/IF(AG13="EC",12,1)*SUM(U13:U13)</f>
        <v>1</v>
      </c>
      <c r="T13" s="192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-13T02:01:54-0600',mode:absolute,to:'2017-09-13T04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94" t="str">
        <f>IF(AA13&lt;VLOOKUP(AG13,Variables!$AC$3:$AD$8,2,FALSE),"Y","N")</f>
        <v>N</v>
      </c>
      <c r="X13" s="194" t="e">
        <f t="shared" ref="X13:X44" si="6">VALUE(LEFT(AD13,4))-VALUE(LEFT(AD12,4))</f>
        <v>#VALUE!</v>
      </c>
      <c r="Y13" s="194">
        <f t="shared" ref="Y13:Y44" si="7">RIGHT(D13,LEN(D13)-4)/10000</f>
        <v>7.2599999999999998E-2</v>
      </c>
      <c r="Z13" s="194">
        <f t="shared" ref="Z13:Z44" si="8">RIGHT(H13,LEN(H13)-4)/10000</f>
        <v>23.329699999999999</v>
      </c>
      <c r="AA13" s="194">
        <f t="shared" ref="AA13:AA76" si="9">ABS(Z13-Y13)</f>
        <v>23.257099999999998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/stypes="app*4006*20170913*" /stext=" 09:.+((SYSTEM_STATE.+slice.+state.+changed )|(ment ac)|(multiple cpu faults)|(system.+state.+changed )|(\[timeout)|(PRM\|1\|D)|(kpr)|(kdp)|(train st.+moving)|(\|lc)|(penalty))"</v>
      </c>
      <c r="AG13" s="206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4006 --swversion DE.1.0.9.0 --startMP 204:726 --initTime 2017-09-13T03:01:54 --startdatetime 2017-09-13T03:15:17 --delay 75 --endMP 204:233297 --enddatetime 2017-09-13T03:52:02 --enforcementcount 0 &gt;&gt;C:\Users\stu\Documents\GitHub\eaglep3-reporting\EC\2017-09-13-refined-times.txt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{"issue":{"subject":"","project_id":79,"tracker_id":40,"status_id":1,"priority_id":2,"assigned_to_id":338,"start_date":"2017-09-13","description":"","custom_fields":[{"id":1,"name":"Subdivision","value":"EC"},{"id":4,"name":"Milepost","value":"23.3297"},{"id":17,"name":"Train ID","value":"101-13"},{"id":16,"name":"Locomotive ID","value":"4006"},{"id":130,"name":"Impact","value":""},{"id":150,"name":"Time of Event (Mountain Time)","value":"03:52:02"},{"id":151,"name":"Denver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4006 --day 2017-09-13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621</v>
      </c>
      <c r="B14" s="7">
        <v>4005</v>
      </c>
      <c r="C14" s="21" t="s">
        <v>197</v>
      </c>
      <c r="D14" s="21" t="s">
        <v>489</v>
      </c>
      <c r="E14" s="13">
        <v>42991.171620370369</v>
      </c>
      <c r="F14" s="13">
        <v>42991.175185185188</v>
      </c>
      <c r="G14" s="7">
        <v>66</v>
      </c>
      <c r="H14" s="21" t="s">
        <v>487</v>
      </c>
      <c r="I14" s="13">
        <v>42991.201956018522</v>
      </c>
      <c r="J14" s="7">
        <v>0</v>
      </c>
      <c r="K14" s="89" t="str">
        <f t="shared" si="0"/>
        <v>4005/4006</v>
      </c>
      <c r="L14" s="214" t="str">
        <f>VLOOKUP(A14,'Trips&amp;Operators'!$C$1:$G$99911,5,FALSE)</f>
        <v>BONDS REYNALDO</v>
      </c>
      <c r="M14" s="6">
        <f t="shared" si="1"/>
        <v>2.6770833334012423E-2</v>
      </c>
      <c r="N14" s="7">
        <f t="shared" si="2"/>
        <v>38.550000000977889</v>
      </c>
      <c r="O14" s="7"/>
      <c r="P14" s="7"/>
      <c r="Q14" s="22"/>
      <c r="R14" s="167"/>
      <c r="S14" s="210">
        <f t="shared" si="3"/>
        <v>1</v>
      </c>
      <c r="T14" s="192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-09-13T03:07:08-0600',mode:absolute,to:'2017-09-13T05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4" t="str">
        <f>IF(AA14&lt;VLOOKUP(AG14,Variables!$AC$3:$AD$8,2,FALSE),"Y","N")</f>
        <v>N</v>
      </c>
      <c r="X14" s="194">
        <f t="shared" si="6"/>
        <v>1</v>
      </c>
      <c r="Y14" s="194">
        <f t="shared" si="7"/>
        <v>23.298100000000002</v>
      </c>
      <c r="Z14" s="194">
        <f t="shared" si="8"/>
        <v>1.54E-2</v>
      </c>
      <c r="AA14" s="194">
        <f t="shared" si="9"/>
        <v>23.282700000000002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 t="shared" si="10"/>
        <v>102</v>
      </c>
      <c r="AE14" s="77" t="str">
        <f t="shared" si="11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4" s="74" t="str">
        <f t="shared" si="12"/>
        <v>"C:\Program Files (x86)\AstroGrep\AstroGrep.exe" /e /r /s /spath="%USERPROFILE%\AppData\Local\Temp\OnboardLogs" /stypes="app*4005*20170913*" /stext=" 10:.+((SYSTEM_STATE.+slice.+state.+changed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4005 --swversion DE.1.0.9.0 --startMP 204:232981 --initTime 2017-09-13T04:07:08 --startdatetime 2017-09-13T04:12:16 --delay 66 --endMP 204:154 --enddatetime 2017-09-13T04:50:49 --enforcementcount 0 &gt;&gt;C:\Users\stu\Documents\GitHub\eaglep3-reporting\EC\2017-09-13-refined-times.txt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{"issue":{"subject":"","project_id":79,"tracker_id":40,"status_id":1,"priority_id":2,"assigned_to_id":338,"start_date":"2017-09-13","description":"","custom_fields":[{"id":1,"name":"Subdivision","value":"EC"},{"id":4,"name":"Milepost","value":"0.0154"},{"id":17,"name":"Train ID","value":"102-13"},{"id":16,"name":"Locomotive ID","value":"4005"},{"id":130,"name":"Impact","value":""},{"id":150,"name":"Time of Event (Mountain Time)","value":"04:50:49"},{"id":151,"name":"Denver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4005 --day 2017-09-13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615</v>
      </c>
      <c r="B15" s="7">
        <v>4020</v>
      </c>
      <c r="C15" s="21" t="s">
        <v>197</v>
      </c>
      <c r="D15" s="21" t="s">
        <v>350</v>
      </c>
      <c r="E15" s="13">
        <v>42991.152615740742</v>
      </c>
      <c r="F15" s="13">
        <v>42991.156550925924</v>
      </c>
      <c r="G15" s="7">
        <v>69</v>
      </c>
      <c r="H15" s="21" t="s">
        <v>554</v>
      </c>
      <c r="I15" s="13">
        <v>42991.182349537034</v>
      </c>
      <c r="J15" s="7">
        <v>0</v>
      </c>
      <c r="K15" s="89" t="str">
        <f t="shared" si="0"/>
        <v>4019/4020</v>
      </c>
      <c r="L15" s="214" t="str">
        <f>VLOOKUP(A15,'Trips&amp;Operators'!$C$1:$G$99911,5,FALSE)</f>
        <v>STARKS ANGELINA</v>
      </c>
      <c r="M15" s="6">
        <f t="shared" si="1"/>
        <v>2.5798611110076308E-2</v>
      </c>
      <c r="N15" s="7">
        <f t="shared" si="2"/>
        <v>37.149999998509884</v>
      </c>
      <c r="O15" s="7"/>
      <c r="P15" s="7"/>
      <c r="Q15" s="22"/>
      <c r="R15" s="167"/>
      <c r="S15" s="210">
        <f t="shared" si="3"/>
        <v>1</v>
      </c>
      <c r="T15" s="192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-09-13T02:39:46-0600',mode:absolute,to:'2017-09-13T05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194" t="str">
        <f>IF(AA15&lt;VLOOKUP(AG15,Variables!$AC$3:$AD$8,2,FALSE),"Y","N")</f>
        <v>N</v>
      </c>
      <c r="X15" s="194">
        <f t="shared" si="6"/>
        <v>1</v>
      </c>
      <c r="Y15" s="194">
        <f t="shared" si="7"/>
        <v>4.5499999999999999E-2</v>
      </c>
      <c r="Z15" s="194">
        <f t="shared" si="8"/>
        <v>23.3306</v>
      </c>
      <c r="AA15" s="194">
        <f t="shared" si="9"/>
        <v>23.2851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 t="shared" si="10"/>
        <v>103</v>
      </c>
      <c r="AE15" s="77" t="str">
        <f t="shared" si="11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5" s="74" t="str">
        <f t="shared" si="12"/>
        <v>"C:\Program Files (x86)\AstroGrep\AstroGrep.exe" /e /r /s /spath="%USERPROFILE%\AppData\Local\Temp\OnboardLogs" /stypes="app*4020*20170913*" /stext=" 10:.+((SYSTEM_STATE.+slice.+state.+changed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78" t="str">
        <f t="shared" si="18"/>
        <v>"%USERPROFILE%\Documents\GitHub\eaglep3\Utilities\RefineRTDCRunTimes.py" --tripid 103-13 --locoid 4020 --swversion DE.1.0.9.0 --startMP 204:455 --initTime 2017-09-13T03:39:46 --startdatetime 2017-09-13T03:45:26 --delay 69 --endMP 204:233306 --enddatetime 2017-09-13T04:22:35 --enforcementcount 0 &gt;&gt;C:\Users\stu\Documents\GitHub\eaglep3-reporting\EC\2017-09-13-refined-times.txt</v>
      </c>
      <c r="AI1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{"issue":{"subject":"","project_id":79,"tracker_id":40,"status_id":1,"priority_id":2,"assigned_to_id":338,"start_date":"2017-09-13","description":"","custom_fields":[{"id":1,"name":"Subdivision","value":"EC"},{"id":4,"name":"Milepost","value":"23.3306"},{"id":17,"name":"Train ID","value":"103-13"},{"id":16,"name":"Locomotive ID","value":"4020"},{"id":130,"name":"Impact","value":""},{"id":150,"name":"Time of Event (Mountain Time)","value":"04:22:35"},{"id":151,"name":"Denver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4020 --day 2017-09-13</v>
      </c>
      <c r="AN1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624</v>
      </c>
      <c r="B16" s="7">
        <v>4019</v>
      </c>
      <c r="C16" s="21" t="s">
        <v>197</v>
      </c>
      <c r="D16" s="21" t="s">
        <v>851</v>
      </c>
      <c r="E16" s="13">
        <v>42991.185520833336</v>
      </c>
      <c r="F16" s="13">
        <v>42991.196018518516</v>
      </c>
      <c r="G16" s="7">
        <v>126</v>
      </c>
      <c r="H16" s="21" t="s">
        <v>343</v>
      </c>
      <c r="I16" s="13">
        <v>42991.22246527778</v>
      </c>
      <c r="J16" s="7">
        <v>0</v>
      </c>
      <c r="K16" s="89" t="str">
        <f t="shared" si="0"/>
        <v>4019/4020</v>
      </c>
      <c r="L16" s="214" t="str">
        <f>VLOOKUP(A16,'Trips&amp;Operators'!$C$1:$G$99911,5,FALSE)</f>
        <v>STARKS ANGELINA</v>
      </c>
      <c r="M16" s="6">
        <f t="shared" si="1"/>
        <v>2.644675926421769E-2</v>
      </c>
      <c r="N16" s="7">
        <f t="shared" si="2"/>
        <v>38.083333340473473</v>
      </c>
      <c r="O16" s="7"/>
      <c r="P16" s="7"/>
      <c r="Q16" s="22"/>
      <c r="R16" s="167"/>
      <c r="S16" s="210">
        <f t="shared" si="3"/>
        <v>1</v>
      </c>
      <c r="T16" s="192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-09-13T03:27:09-0600',mode:absolute,to:'2017-09-13T06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94" t="str">
        <f>IF(AA16&lt;VLOOKUP(AG16,Variables!$AC$3:$AD$8,2,FALSE),"Y","N")</f>
        <v>N</v>
      </c>
      <c r="X16" s="194">
        <f t="shared" si="6"/>
        <v>1</v>
      </c>
      <c r="Y16" s="194">
        <f t="shared" si="7"/>
        <v>23.298300000000001</v>
      </c>
      <c r="Z16" s="194">
        <f t="shared" si="8"/>
        <v>1.47E-2</v>
      </c>
      <c r="AA16" s="194">
        <f t="shared" si="9"/>
        <v>23.2836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 t="shared" si="10"/>
        <v>104</v>
      </c>
      <c r="AE16" s="77" t="str">
        <f t="shared" si="11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6" s="74" t="str">
        <f t="shared" si="12"/>
        <v>"C:\Program Files (x86)\AstroGrep\AstroGrep.exe" /e /r /s /spath="%USERPROFILE%\AppData\Local\Temp\OnboardLogs" /stypes="app*4019*20170913*" /stext=" 11:.+((SYSTEM_STATE.+slice.+state.+changed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78" t="str">
        <f t="shared" si="18"/>
        <v>"%USERPROFILE%\Documents\GitHub\eaglep3\Utilities\RefineRTDCRunTimes.py" --tripid 104-13 --locoid 4019 --swversion DE.1.0.9.0 --startMP 204:232983 --initTime 2017-09-13T04:27:09 --startdatetime 2017-09-13T04:42:16 --delay 126 --endMP 204:147 --enddatetime 2017-09-13T05:20:21 --enforcementcount 0 &gt;&gt;C:\Users\stu\Documents\GitHub\eaglep3-reporting\EC\2017-09-13-refined-times.txt</v>
      </c>
      <c r="AI1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ID","value":"104-13"},{"id":16,"name":"Locomotive ID","value":"4019"},{"id":130,"name":"Impact","value":""},{"id":150,"name":"Time of Event (Mountain Time)","value":"05:20:21"},{"id":151,"name":"Denver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4019 --day 2017-09-13</v>
      </c>
      <c r="AN1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619</v>
      </c>
      <c r="B17" s="7">
        <v>4028</v>
      </c>
      <c r="C17" s="21" t="s">
        <v>197</v>
      </c>
      <c r="D17" s="21" t="s">
        <v>365</v>
      </c>
      <c r="E17" s="13">
        <v>42991.162129629629</v>
      </c>
      <c r="F17" s="13">
        <v>42991.177256944444</v>
      </c>
      <c r="G17" s="7">
        <v>55</v>
      </c>
      <c r="H17" s="21" t="s">
        <v>451</v>
      </c>
      <c r="I17" s="13">
        <v>42991.20103009259</v>
      </c>
      <c r="J17" s="7">
        <v>0</v>
      </c>
      <c r="K17" s="89" t="str">
        <f t="shared" si="0"/>
        <v>4027/4028</v>
      </c>
      <c r="L17" s="214" t="str">
        <f>VLOOKUP(A17,'Trips&amp;Operators'!$C$1:$G$99911,5,FALSE)</f>
        <v>YORK EDGAR</v>
      </c>
      <c r="M17" s="6">
        <f t="shared" si="1"/>
        <v>2.3773148146574385E-2</v>
      </c>
      <c r="N17" s="7">
        <f t="shared" si="2"/>
        <v>34.233333331067115</v>
      </c>
      <c r="O17" s="7"/>
      <c r="P17" s="7"/>
      <c r="Q17" s="22"/>
      <c r="R17" s="167"/>
      <c r="S17" s="210">
        <f t="shared" si="3"/>
        <v>1</v>
      </c>
      <c r="T17" s="192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-09-13T02:53:28-0600',mode:absolute,to:'2017-09-13T05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4" t="str">
        <f>IF(AA17&lt;VLOOKUP(AG17,Variables!$AC$3:$AD$8,2,FALSE),"Y","N")</f>
        <v>N</v>
      </c>
      <c r="X17" s="194">
        <f t="shared" si="6"/>
        <v>1</v>
      </c>
      <c r="Y17" s="194">
        <f t="shared" si="7"/>
        <v>4.6399999999999997E-2</v>
      </c>
      <c r="Z17" s="194">
        <f t="shared" si="8"/>
        <v>23.3291</v>
      </c>
      <c r="AA17" s="194">
        <f t="shared" si="9"/>
        <v>23.282700000000002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 t="shared" si="10"/>
        <v>105</v>
      </c>
      <c r="AE17" s="77" t="str">
        <f t="shared" si="11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7" s="74" t="str">
        <f t="shared" si="12"/>
        <v>"C:\Program Files (x86)\AstroGrep\AstroGrep.exe" /e /r /s /spath="%USERPROFILE%\AppData\Local\Temp\OnboardLogs" /stypes="app*4028*20170913*" /stext=" 10:.+((SYSTEM_STATE.+slice.+state.+changed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78" t="str">
        <f t="shared" si="18"/>
        <v>"%USERPROFILE%\Documents\GitHub\eaglep3\Utilities\RefineRTDCRunTimes.py" --tripid 105-13 --locoid 4028 --swversion DE.1.0.9.0 --startMP 204:464 --initTime 2017-09-13T03:53:28 --startdatetime 2017-09-13T04:15:15 --delay 55 --endMP 204:233291 --enddatetime 2017-09-13T04:49:29 --enforcementcount 0 &gt;&gt;C:\Users\stu\Documents\GitHub\eaglep3-reporting\EC\2017-09-13-refined-times.txt</v>
      </c>
      <c r="AI1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{"issue":{"subject":"","project_id":79,"tracker_id":40,"status_id":1,"priority_id":2,"assigned_to_id":338,"start_date":"2017-09-13","description":"","custom_fields":[{"id":1,"name":"Subdivision","value":"EC"},{"id":4,"name":"Milepost","value":"23.3291"},{"id":17,"name":"Train ID","value":"105-13"},{"id":16,"name":"Locomotive ID","value":"4028"},{"id":130,"name":"Impact","value":""},{"id":150,"name":"Time of Event (Mountain Time)","value":"04:49:29"},{"id":151,"name":"Denver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4028 --day 2017-09-13</v>
      </c>
      <c r="AN1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627</v>
      </c>
      <c r="B18" s="7">
        <v>4027</v>
      </c>
      <c r="C18" s="21" t="s">
        <v>197</v>
      </c>
      <c r="D18" s="21" t="s">
        <v>378</v>
      </c>
      <c r="E18" s="13">
        <v>42991.201944444445</v>
      </c>
      <c r="F18" s="13">
        <v>42991.216851851852</v>
      </c>
      <c r="G18" s="7">
        <v>53</v>
      </c>
      <c r="H18" s="21" t="s">
        <v>372</v>
      </c>
      <c r="I18" s="13">
        <v>42991.242604166669</v>
      </c>
      <c r="J18" s="7">
        <v>0</v>
      </c>
      <c r="K18" s="89" t="str">
        <f t="shared" si="0"/>
        <v>4027/4028</v>
      </c>
      <c r="L18" s="214" t="str">
        <f>VLOOKUP(A18,'Trips&amp;Operators'!$C$1:$G$99911,5,FALSE)</f>
        <v>YORK EDGAR</v>
      </c>
      <c r="M18" s="6">
        <f t="shared" si="1"/>
        <v>2.5752314817509614E-2</v>
      </c>
      <c r="N18" s="7">
        <f t="shared" si="2"/>
        <v>37.083333337213844</v>
      </c>
      <c r="O18" s="7"/>
      <c r="P18" s="7"/>
      <c r="Q18" s="22"/>
      <c r="R18" s="167"/>
      <c r="S18" s="210">
        <f t="shared" si="3"/>
        <v>1</v>
      </c>
      <c r="T18" s="192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-09-13T03:50:48-0600',mode:absolute,to:'2017-09-13T06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4" t="str">
        <f>IF(AA18&lt;VLOOKUP(AG18,Variables!$AC$3:$AD$8,2,FALSE),"Y","N")</f>
        <v>N</v>
      </c>
      <c r="X18" s="194">
        <f t="shared" si="6"/>
        <v>1</v>
      </c>
      <c r="Y18" s="194">
        <f t="shared" si="7"/>
        <v>23.297699999999999</v>
      </c>
      <c r="Z18" s="194">
        <f t="shared" si="8"/>
        <v>1.5599999999999999E-2</v>
      </c>
      <c r="AA18" s="194">
        <f t="shared" si="9"/>
        <v>23.2821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 t="shared" si="10"/>
        <v>106</v>
      </c>
      <c r="AE18" s="77" t="str">
        <f t="shared" si="11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8" s="74" t="str">
        <f t="shared" si="12"/>
        <v>"C:\Program Files (x86)\AstroGrep\AstroGrep.exe" /e /r /s /spath="%USERPROFILE%\AppData\Local\Temp\OnboardLogs" /stypes="app*4027*20170913*" /stext=" 11:.+((SYSTEM_STATE.+slice.+state.+changed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78" t="str">
        <f t="shared" si="18"/>
        <v>"%USERPROFILE%\Documents\GitHub\eaglep3\Utilities\RefineRTDCRunTimes.py" --tripid 106-13 --locoid 4027 --swversion DE.1.0.9.0 --startMP 204:232977 --initTime 2017-09-13T04:50:48 --startdatetime 2017-09-13T05:12:16 --delay 53 --endMP 204:156 --enddatetime 2017-09-13T05:49:21 --enforcementcount 0 &gt;&gt;C:\Users\stu\Documents\GitHub\eaglep3-reporting\EC\2017-09-13-refined-times.txt</v>
      </c>
      <c r="AI1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ID","value":"106-13"},{"id":16,"name":"Locomotive ID","value":"4027"},{"id":130,"name":"Impact","value":""},{"id":150,"name":"Time of Event (Mountain Time)","value":"05:49:21"},{"id":151,"name":"Denver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4027 --day 2017-09-13</v>
      </c>
      <c r="AN1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623</v>
      </c>
      <c r="B19" s="7">
        <v>4016</v>
      </c>
      <c r="C19" s="21" t="s">
        <v>197</v>
      </c>
      <c r="D19" s="21" t="s">
        <v>441</v>
      </c>
      <c r="E19" s="13">
        <v>42991.18241898148</v>
      </c>
      <c r="F19" s="13">
        <v>42991.187673611108</v>
      </c>
      <c r="G19" s="7">
        <v>96</v>
      </c>
      <c r="H19" s="21" t="s">
        <v>852</v>
      </c>
      <c r="I19" s="13">
        <v>42991.212962962964</v>
      </c>
      <c r="J19" s="7">
        <v>0</v>
      </c>
      <c r="K19" s="89" t="str">
        <f t="shared" si="0"/>
        <v>4015/4016</v>
      </c>
      <c r="L19" s="214" t="str">
        <f>VLOOKUP(A19,'Trips&amp;Operators'!$C$1:$G$99911,5,FALSE)</f>
        <v>YANG JAN</v>
      </c>
      <c r="M19" s="6">
        <f t="shared" si="1"/>
        <v>2.5289351855462883E-2</v>
      </c>
      <c r="N19" s="7">
        <f t="shared" si="2"/>
        <v>36.416666671866551</v>
      </c>
      <c r="O19" s="7"/>
      <c r="P19" s="7"/>
      <c r="Q19" s="22"/>
      <c r="R19" s="167"/>
      <c r="S19" s="210">
        <f t="shared" si="3"/>
        <v>1</v>
      </c>
      <c r="T19" s="192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-09-13T03:22:41-0600',mode:absolute,to:'2017-09-13T06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4" t="str">
        <f>IF(AA19&lt;VLOOKUP(AG19,Variables!$AC$3:$AD$8,2,FALSE),"Y","N")</f>
        <v>N</v>
      </c>
      <c r="X19" s="194">
        <f t="shared" si="6"/>
        <v>1</v>
      </c>
      <c r="Y19" s="194">
        <f t="shared" si="7"/>
        <v>4.6199999999999998E-2</v>
      </c>
      <c r="Z19" s="194">
        <f t="shared" si="8"/>
        <v>23.328099999999999</v>
      </c>
      <c r="AA19" s="194">
        <f t="shared" si="9"/>
        <v>23.2819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 t="shared" si="10"/>
        <v>107</v>
      </c>
      <c r="AE19" s="77" t="str">
        <f t="shared" si="11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9" s="74" t="str">
        <f t="shared" si="12"/>
        <v>"C:\Program Files (x86)\AstroGrep\AstroGrep.exe" /e /r /s /spath="%USERPROFILE%\AppData\Local\Temp\OnboardLogs" /stypes="app*4016*20170913*" /stext=" 11:.+((SYSTEM_STATE.+slice.+state.+changed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78" t="str">
        <f t="shared" si="18"/>
        <v>"%USERPROFILE%\Documents\GitHub\eaglep3\Utilities\RefineRTDCRunTimes.py" --tripid 107-13 --locoid 4016 --swversion DE.1.0.9.0 --startMP 204:462 --initTime 2017-09-13T04:22:41 --startdatetime 2017-09-13T04:30:15 --delay 96 --endMP 204:233281 --enddatetime 2017-09-13T05:06:40 --enforcementcount 0 &gt;&gt;C:\Users\stu\Documents\GitHub\eaglep3-reporting\EC\2017-09-13-refined-times.txt</v>
      </c>
      <c r="AI1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{"issue":{"subject":"","project_id":79,"tracker_id":40,"status_id":1,"priority_id":2,"assigned_to_id":338,"start_date":"2017-09-13","description":"","custom_fields":[{"id":1,"name":"Subdivision","value":"EC"},{"id":4,"name":"Milepost","value":"23.3281"},{"id":17,"name":"Train ID","value":"107-13"},{"id":16,"name":"Locomotive ID","value":"4016"},{"id":130,"name":"Impact","value":""},{"id":150,"name":"Time of Event (Mountain Time)","value":"05:06:40"},{"id":151,"name":"Denver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4016 --day 2017-09-13</v>
      </c>
      <c r="AN1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634</v>
      </c>
      <c r="B20" s="7">
        <v>4015</v>
      </c>
      <c r="C20" s="21" t="s">
        <v>197</v>
      </c>
      <c r="D20" s="21" t="s">
        <v>462</v>
      </c>
      <c r="E20" s="13">
        <v>42991.223217592589</v>
      </c>
      <c r="F20" s="13">
        <v>42991.227256944447</v>
      </c>
      <c r="G20" s="7">
        <v>71</v>
      </c>
      <c r="H20" s="21" t="s">
        <v>338</v>
      </c>
      <c r="I20" s="13">
        <v>42991.254386574074</v>
      </c>
      <c r="J20" s="7">
        <v>0</v>
      </c>
      <c r="K20" s="89" t="str">
        <f t="shared" si="0"/>
        <v>4015/4016</v>
      </c>
      <c r="L20" s="214" t="str">
        <f>VLOOKUP(A20,'Trips&amp;Operators'!$C$1:$G$99911,5,FALSE)</f>
        <v>YANG JAN</v>
      </c>
      <c r="M20" s="6">
        <f t="shared" si="1"/>
        <v>2.7129629626870155E-2</v>
      </c>
      <c r="N20" s="7">
        <f t="shared" si="2"/>
        <v>39.066666662693024</v>
      </c>
      <c r="O20" s="7"/>
      <c r="P20" s="7"/>
      <c r="Q20" s="22"/>
      <c r="R20" s="167"/>
      <c r="S20" s="210">
        <f t="shared" si="3"/>
        <v>1</v>
      </c>
      <c r="T20" s="192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-09-13T04:21:26-0600',mode:absolute,to:'2017-09-13T07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4" t="str">
        <f>IF(AA20&lt;VLOOKUP(AG20,Variables!$AC$3:$AD$8,2,FALSE),"Y","N")</f>
        <v>N</v>
      </c>
      <c r="X20" s="194">
        <f t="shared" si="6"/>
        <v>1</v>
      </c>
      <c r="Y20" s="194">
        <f t="shared" si="7"/>
        <v>23.299800000000001</v>
      </c>
      <c r="Z20" s="194">
        <f t="shared" si="8"/>
        <v>1.4999999999999999E-2</v>
      </c>
      <c r="AA20" s="194">
        <f t="shared" si="9"/>
        <v>23.284800000000001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 t="shared" si="10"/>
        <v>108</v>
      </c>
      <c r="AE20" s="77" t="str">
        <f t="shared" si="11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20" s="74" t="str">
        <f t="shared" si="12"/>
        <v>"C:\Program Files (x86)\AstroGrep\AstroGrep.exe" /e /r /s /spath="%USERPROFILE%\AppData\Local\Temp\OnboardLogs" /stypes="app*4015*20170913*" /stext=" 12:.+((SYSTEM_STATE.+slice.+state.+changed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78" t="str">
        <f t="shared" si="18"/>
        <v>"%USERPROFILE%\Documents\GitHub\eaglep3\Utilities\RefineRTDCRunTimes.py" --tripid 108-13 --locoid 4015 --swversion DE.1.0.9.0 --startMP 204:232998 --initTime 2017-09-13T05:21:26 --startdatetime 2017-09-13T05:27:15 --delay 71 --endMP 204:150 --enddatetime 2017-09-13T06:06:19 --enforcementcount 0 &gt;&gt;C:\Users\stu\Documents\GitHub\eaglep3-reporting\EC\2017-09-13-refined-times.txt</v>
      </c>
      <c r="AI2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{"issue":{"subject":"","project_id":79,"tracker_id":40,"status_id":1,"priority_id":2,"assigned_to_id":338,"start_date":"2017-09-13","description":"","custom_fields":[{"id":1,"name":"Subdivision","value":"EC"},{"id":4,"name":"Milepost","value":"0.015"},{"id":17,"name":"Train ID","value":"108-13"},{"id":16,"name":"Locomotive ID","value":"4015"},{"id":130,"name":"Impact","value":""},{"id":150,"name":"Time of Event (Mountain Time)","value":"06:06:19"},{"id":151,"name":"Denver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4015 --day 2017-09-13</v>
      </c>
      <c r="AN2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625</v>
      </c>
      <c r="B21" s="7">
        <v>4044</v>
      </c>
      <c r="C21" s="21" t="s">
        <v>197</v>
      </c>
      <c r="D21" s="21" t="s">
        <v>385</v>
      </c>
      <c r="E21" s="13">
        <v>42991.193460648145</v>
      </c>
      <c r="F21" s="13">
        <v>42991.198078703703</v>
      </c>
      <c r="G21" s="7">
        <v>79</v>
      </c>
      <c r="H21" s="21" t="s">
        <v>494</v>
      </c>
      <c r="I21" s="13">
        <v>42991.224733796298</v>
      </c>
      <c r="J21" s="7">
        <v>0</v>
      </c>
      <c r="K21" s="89" t="str">
        <f t="shared" si="0"/>
        <v>4043/4044</v>
      </c>
      <c r="L21" s="214" t="str">
        <f>VLOOKUP(A21,'Trips&amp;Operators'!$C$1:$G$99911,5,FALSE)</f>
        <v>DAVIS WENDY</v>
      </c>
      <c r="M21" s="6">
        <f t="shared" si="1"/>
        <v>2.6655092595319729E-2</v>
      </c>
      <c r="N21" s="7">
        <f t="shared" si="2"/>
        <v>38.38333333726041</v>
      </c>
      <c r="O21" s="7"/>
      <c r="P21" s="7"/>
      <c r="Q21" s="22"/>
      <c r="R21" s="167"/>
      <c r="S21" s="210">
        <f t="shared" si="3"/>
        <v>1</v>
      </c>
      <c r="T21" s="192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-09-13T03:38:35-0600',mode:absolute,to:'2017-09-13T06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94" t="str">
        <f>IF(AA21&lt;VLOOKUP(AG21,Variables!$AC$3:$AD$8,2,FALSE),"Y","N")</f>
        <v>N</v>
      </c>
      <c r="X21" s="194">
        <f t="shared" si="6"/>
        <v>1</v>
      </c>
      <c r="Y21" s="194">
        <f t="shared" si="7"/>
        <v>4.5999999999999999E-2</v>
      </c>
      <c r="Z21" s="194">
        <f t="shared" si="8"/>
        <v>23.330100000000002</v>
      </c>
      <c r="AA21" s="194">
        <f t="shared" si="9"/>
        <v>23.284100000000002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 t="shared" si="10"/>
        <v>109</v>
      </c>
      <c r="AE21" s="77" t="str">
        <f t="shared" si="11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21" s="74" t="str">
        <f t="shared" si="12"/>
        <v>"C:\Program Files (x86)\AstroGrep\AstroGrep.exe" /e /r /s /spath="%USERPROFILE%\AppData\Local\Temp\OnboardLogs" /stypes="app*4044*20170913*" /stext=" 11:.+((SYSTEM_STATE.+slice.+state.+changed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78" t="str">
        <f t="shared" si="18"/>
        <v>"%USERPROFILE%\Documents\GitHub\eaglep3\Utilities\RefineRTDCRunTimes.py" --tripid 109-13 --locoid 4044 --swversion DE.1.0.9.0 --startMP 204:460 --initTime 2017-09-13T04:38:35 --startdatetime 2017-09-13T04:45:14 --delay 79 --endMP 204:233301 --enddatetime 2017-09-13T05:23:37 --enforcementcount 0 &gt;&gt;C:\Users\stu\Documents\GitHub\eaglep3-reporting\EC\2017-09-13-refined-times.txt</v>
      </c>
      <c r="AI2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{"issue":{"subject":"","project_id":79,"tracker_id":40,"status_id":1,"priority_id":2,"assigned_to_id":338,"start_date":"2017-09-13","description":"","custom_fields":[{"id":1,"name":"Subdivision","value":"EC"},{"id":4,"name":"Milepost","value":"23.3301"},{"id":17,"name":"Train ID","value":"109-13"},{"id":16,"name":"Locomotive ID","value":"4044"},{"id":130,"name":"Impact","value":""},{"id":150,"name":"Time of Event (Mountain Time)","value":"05:23:37"},{"id":151,"name":"Denver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4044 --day 2017-09-13</v>
      </c>
      <c r="AN2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636</v>
      </c>
      <c r="B22" s="7">
        <v>4043</v>
      </c>
      <c r="C22" s="21" t="s">
        <v>197</v>
      </c>
      <c r="D22" s="21" t="s">
        <v>405</v>
      </c>
      <c r="E22" s="13">
        <v>42991.226504629631</v>
      </c>
      <c r="F22" s="13">
        <v>42991.237650462965</v>
      </c>
      <c r="G22" s="7">
        <v>48</v>
      </c>
      <c r="H22" s="21" t="s">
        <v>372</v>
      </c>
      <c r="I22" s="13">
        <v>42991.266180555554</v>
      </c>
      <c r="J22" s="7">
        <v>0</v>
      </c>
      <c r="K22" s="89" t="str">
        <f t="shared" si="0"/>
        <v>4043/4044</v>
      </c>
      <c r="L22" s="214" t="str">
        <f>VLOOKUP(A22,'Trips&amp;Operators'!$C$1:$G$99911,5,FALSE)</f>
        <v>DAVIS WENDY</v>
      </c>
      <c r="M22" s="6">
        <f t="shared" si="1"/>
        <v>2.8530092589790002E-2</v>
      </c>
      <c r="N22" s="7">
        <f t="shared" si="2"/>
        <v>41.083333329297602</v>
      </c>
      <c r="O22" s="7"/>
      <c r="P22" s="7"/>
      <c r="Q22" s="22"/>
      <c r="R22" s="167"/>
      <c r="S22" s="210">
        <f t="shared" si="3"/>
        <v>1</v>
      </c>
      <c r="T22" s="192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-09-13T04:26:10-0600',mode:absolute,to:'2017-09-13T07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94" t="str">
        <f>IF(AA22&lt;VLOOKUP(AG22,Variables!$AC$3:$AD$8,2,FALSE),"Y","N")</f>
        <v>N</v>
      </c>
      <c r="X22" s="194">
        <f t="shared" si="6"/>
        <v>1</v>
      </c>
      <c r="Y22" s="194">
        <f t="shared" si="7"/>
        <v>23.3</v>
      </c>
      <c r="Z22" s="194">
        <f t="shared" si="8"/>
        <v>1.5599999999999999E-2</v>
      </c>
      <c r="AA22" s="194">
        <f t="shared" si="9"/>
        <v>23.284400000000002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 t="shared" si="10"/>
        <v>110</v>
      </c>
      <c r="AE22" s="77" t="str">
        <f t="shared" si="11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22" s="74" t="str">
        <f t="shared" si="12"/>
        <v>"C:\Program Files (x86)\AstroGrep\AstroGrep.exe" /e /r /s /spath="%USERPROFILE%\AppData\Local\Temp\OnboardLogs" /stypes="app*4043*20170913*" /stext=" 12:.+((SYSTEM_STATE.+slice.+state.+changed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78" t="str">
        <f t="shared" si="18"/>
        <v>"%USERPROFILE%\Documents\GitHub\eaglep3\Utilities\RefineRTDCRunTimes.py" --tripid 110-13 --locoid 4043 --swversion DE.1.0.9.0 --startMP 204:233000 --initTime 2017-09-13T05:26:10 --startdatetime 2017-09-13T05:42:13 --delay 48 --endMP 204:156 --enddatetime 2017-09-13T06:23:18 --enforcementcount 0 &gt;&gt;C:\Users\stu\Documents\GitHub\eaglep3-reporting\EC\2017-09-13-refined-times.txt</v>
      </c>
      <c r="AI2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ID","value":"110-13"},{"id":16,"name":"Locomotive ID","value":"4043"},{"id":130,"name":"Impact","value":""},{"id":150,"name":"Time of Event (Mountain Time)","value":"06:23:18"},{"id":151,"name":"Denver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4043 --day 2017-09-13</v>
      </c>
      <c r="AN2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582</v>
      </c>
      <c r="B23" s="7">
        <v>4006</v>
      </c>
      <c r="C23" s="21" t="s">
        <v>197</v>
      </c>
      <c r="D23" s="21" t="s">
        <v>373</v>
      </c>
      <c r="E23" s="13">
        <v>42991.203483796293</v>
      </c>
      <c r="F23" s="13">
        <v>42991.216840277775</v>
      </c>
      <c r="G23" s="7">
        <v>53</v>
      </c>
      <c r="H23" s="21" t="s">
        <v>373</v>
      </c>
      <c r="I23" s="13">
        <v>42991.236608796295</v>
      </c>
      <c r="J23" s="7">
        <v>0</v>
      </c>
      <c r="K23" s="89" t="str">
        <f t="shared" si="0"/>
        <v>4005/4006</v>
      </c>
      <c r="L23" s="214" t="str">
        <f>VLOOKUP(A23,'Trips&amp;Operators'!$C$1:$G$99911,5,FALSE)</f>
        <v>BONDS REYNALDO</v>
      </c>
      <c r="M23" s="6">
        <f t="shared" si="1"/>
        <v>1.9768518519413192E-2</v>
      </c>
      <c r="N23" s="7"/>
      <c r="O23" s="7"/>
      <c r="P23" s="7">
        <f>24*60*SUM($M23:$M23)</f>
        <v>28.466666667954996</v>
      </c>
      <c r="Q23" s="22"/>
      <c r="R23" s="167" t="s">
        <v>1008</v>
      </c>
      <c r="S23" s="210">
        <f>1/IF(AG23="EC",12,1)*SUM(U23:U24)</f>
        <v>0.75</v>
      </c>
      <c r="T23" s="192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-09-13T03:53:01-0600',mode:absolute,to:'2017-09-13T06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94" t="str">
        <f>IF(AA23&lt;VLOOKUP(AG23,Variables!$AC$3:$AD$8,2,FALSE),"Y","N")</f>
        <v>Y</v>
      </c>
      <c r="X23" s="194">
        <f t="shared" si="6"/>
        <v>1</v>
      </c>
      <c r="Y23" s="194">
        <f t="shared" si="7"/>
        <v>4.6699999999999998E-2</v>
      </c>
      <c r="Z23" s="194">
        <f t="shared" si="8"/>
        <v>4.6699999999999998E-2</v>
      </c>
      <c r="AA23" s="194">
        <f t="shared" si="9"/>
        <v>0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 t="shared" si="10"/>
        <v>111</v>
      </c>
      <c r="AE23" s="77" t="str">
        <f t="shared" si="11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23" s="74" t="str">
        <f t="shared" si="12"/>
        <v>"C:\Program Files (x86)\AstroGrep\AstroGrep.exe" /e /r /s /spath="%USERPROFILE%\AppData\Local\Temp\OnboardLogs" /stypes="app*4006*20170913*" /stext=" 11:.+((SYSTEM_STATE.+slice.+state.+changed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78" t="str">
        <f t="shared" si="18"/>
        <v>"%USERPROFILE%\Documents\GitHub\eaglep3\Utilities\RefineRTDCRunTimes.py" --tripid 111-13 --locoid 4006 --swversion DE.1.0.9.0 --startMP 204:467 --initTime 2017-09-13T04:53:01 --startdatetime 2017-09-13T05:12:15 --delay 53 --endMP 204:467 --enddatetime 2017-09-13T05:40:43 --enforcementcount 0 &gt;&gt;C:\Users\stu\Documents\GitHub\eaglep3-reporting\EC\2017-09-13-refined-times.txt</v>
      </c>
      <c r="AI23" s="96" t="str">
        <f t="shared" si="19"/>
        <v>echo {"issue":{"subject":"Onboard in-route failure","project_id":79,"tracker_id":40,"status_id":1,"priority_id":2,"assigned_to_id":338,"start_date":"2017-09-13","description":"","custom_fields":[{"id":1,"name":"Subdivision","value":"EC"},{"id":4,"name":"Milepost","value":"0.0467"},{"id":17,"name":"Train ID","value":"111-13"},{"id":16,"name":"Locomotive ID","value":"4006"},{"id":130,"name":"Impact","value":""},{"id":150,"name":"Time of Event (Mountain Time)","value":"05:40:43"},{"id":151,"name":"Denver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4006 --day 2017-09-13</v>
      </c>
      <c r="AN23" s="151" t="str">
        <f t="shared" si="21"/>
        <v>echo {"issue":{"subject":"Onboard in-route failure","project_id":30,"tracker_id":4,"status_id":1,"priority_id":1,"assigned_to_id":10,"start_date":"2017-09-13","description":"","custom_fields":[{"id":30,"name":"Category","value":"Issue"},{"id":3,"name":"Functional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582</v>
      </c>
      <c r="B24" s="7">
        <v>4006</v>
      </c>
      <c r="C24" s="21" t="s">
        <v>197</v>
      </c>
      <c r="D24" s="21" t="s">
        <v>853</v>
      </c>
      <c r="E24" s="13">
        <v>42991.215462962966</v>
      </c>
      <c r="F24" s="13">
        <v>42991.216840277775</v>
      </c>
      <c r="G24" s="7">
        <v>65</v>
      </c>
      <c r="H24" s="21" t="s">
        <v>854</v>
      </c>
      <c r="I24" s="13">
        <v>42991.236608796295</v>
      </c>
      <c r="J24" s="7">
        <v>0</v>
      </c>
      <c r="K24" s="89" t="str">
        <f t="shared" si="0"/>
        <v>4005/4006</v>
      </c>
      <c r="L24" s="214" t="str">
        <f>VLOOKUP(A24,'Trips&amp;Operators'!$C$1:$G$99911,5,FALSE)</f>
        <v>BONDS REYNALDO</v>
      </c>
      <c r="M24" s="6">
        <f t="shared" si="1"/>
        <v>1.9768518519413192E-2</v>
      </c>
      <c r="N24" s="7"/>
      <c r="O24" s="7"/>
      <c r="P24" s="7"/>
      <c r="Q24" s="22"/>
      <c r="R24" s="167"/>
      <c r="S24" s="210"/>
      <c r="T24" s="192" t="str">
        <f t="shared" si="4"/>
        <v>NorthBound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9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-09-13T04:10:16-0600',mode:absolute,to:'2017-09-13T06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" s="194" t="str">
        <f>IF(AA24&lt;VLOOKUP(AG24,Variables!$AC$3:$AD$8,2,FALSE),"Y","N")</f>
        <v>Y</v>
      </c>
      <c r="X24" s="194">
        <f t="shared" si="6"/>
        <v>0</v>
      </c>
      <c r="Y24" s="194">
        <f t="shared" si="7"/>
        <v>3.7185000000000001</v>
      </c>
      <c r="Z24" s="194">
        <f t="shared" si="8"/>
        <v>23.330200000000001</v>
      </c>
      <c r="AA24" s="194">
        <f t="shared" si="9"/>
        <v>19.611700000000003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 t="shared" si="10"/>
        <v>111</v>
      </c>
      <c r="AE24" s="77" t="str">
        <f t="shared" si="11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24" s="74" t="str">
        <f t="shared" si="12"/>
        <v>"C:\Program Files (x86)\AstroGrep\AstroGrep.exe" /e /r /s /spath="%USERPROFILE%\AppData\Local\Temp\OnboardLogs" /stypes="app*4006*20170913*" /stext=" 11:.+((SYSTEM_STATE.+slice.+state.+changed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78" t="str">
        <f t="shared" si="18"/>
        <v>"%USERPROFILE%\Documents\GitHub\eaglep3\Utilities\RefineRTDCRunTimes.py" --tripid 111-13 --locoid 4006 --swversion DE.1.0.9.0 --startMP 204:37185 --initTime 2017-09-13T05:10:16 --startdatetime 2017-09-13T05:12:15 --delay 65 --endMP 204:233302 --enddatetime 2017-09-13T05:40:43 --enforcementcount 0 &gt;&gt;C:\Users\stu\Documents\GitHub\eaglep3-reporting\EC\2017-09-13-refined-times.txt</v>
      </c>
      <c r="AI2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{"issue":{"subject":"","project_id":79,"tracker_id":40,"status_id":1,"priority_id":2,"assigned_to_id":338,"start_date":"2017-09-13","description":"","custom_fields":[{"id":1,"name":"Subdivision","value":"EC"},{"id":4,"name":"Milepost","value":"23.3302"},{"id":17,"name":"Train ID","value":"111-13"},{"id":16,"name":"Locomotive ID","value":"4006"},{"id":130,"name":"Impact","value":""},{"id":150,"name":"Time of Event (Mountain Time)","value":"05:40:43"},{"id":151,"name":"Denver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4006 --day 2017-09-13</v>
      </c>
      <c r="AN2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11:40:43"},{"id":29,"name":"Sharepoint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644</v>
      </c>
      <c r="B25" s="7">
        <v>4005</v>
      </c>
      <c r="C25" s="21" t="s">
        <v>197</v>
      </c>
      <c r="D25" s="21" t="s">
        <v>459</v>
      </c>
      <c r="E25" s="13">
        <v>42991.244212962964</v>
      </c>
      <c r="F25" s="13">
        <v>42991.248113425929</v>
      </c>
      <c r="G25" s="7">
        <v>55</v>
      </c>
      <c r="H25" s="21" t="s">
        <v>406</v>
      </c>
      <c r="I25" s="13">
        <v>42991.274571759262</v>
      </c>
      <c r="J25" s="7">
        <v>0</v>
      </c>
      <c r="K25" s="89" t="str">
        <f t="shared" si="0"/>
        <v>4005/4006</v>
      </c>
      <c r="L25" s="214" t="str">
        <f>VLOOKUP(A25,'Trips&amp;Operators'!$C$1:$G$99911,5,FALSE)</f>
        <v>BONDS REYNALDO</v>
      </c>
      <c r="M25" s="6">
        <f t="shared" si="1"/>
        <v>2.6458333333721384E-2</v>
      </c>
      <c r="N25" s="7">
        <f t="shared" ref="N25:N67" si="22">24*60*SUM($M25:$M25)</f>
        <v>38.100000000558794</v>
      </c>
      <c r="O25" s="7"/>
      <c r="P25" s="7"/>
      <c r="Q25" s="22"/>
      <c r="R25" s="167"/>
      <c r="S25" s="210">
        <f t="shared" ref="S25:S67" si="23">1/IF(AG25="EC",12,1)*SUM(U25:U25)</f>
        <v>1</v>
      </c>
      <c r="T25" s="192" t="str">
        <f t="shared" si="4"/>
        <v>Southbound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-09-13T04:51:40-0600',mode:absolute,to:'2017-09-13T07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" s="194" t="str">
        <f>IF(AA25&lt;VLOOKUP(AG25,Variables!$AC$3:$AD$8,2,FALSE),"Y","N")</f>
        <v>N</v>
      </c>
      <c r="X25" s="194">
        <f t="shared" si="6"/>
        <v>1</v>
      </c>
      <c r="Y25" s="194">
        <f t="shared" si="7"/>
        <v>23.2989</v>
      </c>
      <c r="Z25" s="194">
        <f t="shared" si="8"/>
        <v>1.3899999999999999E-2</v>
      </c>
      <c r="AA25" s="194">
        <f t="shared" si="9"/>
        <v>23.285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 t="shared" si="10"/>
        <v>112</v>
      </c>
      <c r="AE25" s="77" t="str">
        <f t="shared" si="11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25" s="74" t="str">
        <f t="shared" si="12"/>
        <v>"C:\Program Files (x86)\AstroGrep\AstroGrep.exe" /e /r /s /spath="%USERPROFILE%\AppData\Local\Temp\OnboardLogs" /stypes="app*4005*20170913*" /stext=" 12:.+((SYSTEM_STATE.+slice.+state.+changed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78" t="str">
        <f t="shared" si="18"/>
        <v>"%USERPROFILE%\Documents\GitHub\eaglep3\Utilities\RefineRTDCRunTimes.py" --tripid 112-13 --locoid 4005 --swversion DE.1.0.9.0 --startMP 204:232989 --initTime 2017-09-13T05:51:40 --startdatetime 2017-09-13T05:57:17 --delay 55 --endMP 204:139 --enddatetime 2017-09-13T06:35:23 --enforcementcount 0 &gt;&gt;C:\Users\stu\Documents\GitHub\eaglep3-reporting\EC\2017-09-13-refined-times.txt</v>
      </c>
      <c r="AI2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{"issue":{"subject":"","project_id":79,"tracker_id":40,"status_id":1,"priority_id":2,"assigned_to_id":338,"start_date":"2017-09-13","description":"","custom_fields":[{"id":1,"name":"Subdivision","value":"EC"},{"id":4,"name":"Milepost","value":"0.0139"},{"id":17,"name":"Train ID","value":"112-13"},{"id":16,"name":"Locomotive ID","value":"4005"},{"id":130,"name":"Impact","value":""},{"id":150,"name":"Time of Event (Mountain Time)","value":"06:35:23"},{"id":151,"name":"Denver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4005 --day 2017-09-13</v>
      </c>
      <c r="AN2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631</v>
      </c>
      <c r="B26" s="7">
        <v>4010</v>
      </c>
      <c r="C26" s="21" t="s">
        <v>197</v>
      </c>
      <c r="D26" s="21" t="s">
        <v>855</v>
      </c>
      <c r="E26" s="13">
        <v>42991.209131944444</v>
      </c>
      <c r="F26" s="13">
        <v>42991.218900462962</v>
      </c>
      <c r="G26" s="7">
        <v>72</v>
      </c>
      <c r="H26" s="21" t="s">
        <v>494</v>
      </c>
      <c r="I26" s="13">
        <v>42991.242974537039</v>
      </c>
      <c r="J26" s="7">
        <v>0</v>
      </c>
      <c r="K26" s="89" t="str">
        <f t="shared" si="0"/>
        <v>4009/4010</v>
      </c>
      <c r="L26" s="214" t="str">
        <f>VLOOKUP(A26,'Trips&amp;Operators'!$C$1:$G$99911,5,FALSE)</f>
        <v>YANAI IAN</v>
      </c>
      <c r="M26" s="6">
        <f t="shared" si="1"/>
        <v>2.4074074077361729E-2</v>
      </c>
      <c r="N26" s="7">
        <f t="shared" si="22"/>
        <v>34.66666667140089</v>
      </c>
      <c r="O26" s="7"/>
      <c r="P26" s="7"/>
      <c r="Q26" s="22"/>
      <c r="R26" s="167"/>
      <c r="S26" s="210">
        <f t="shared" si="23"/>
        <v>1</v>
      </c>
      <c r="T26" s="192" t="str">
        <f t="shared" si="4"/>
        <v>NorthBound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-09-13T04:01:09-0600',mode:absolute,to:'2017-09-13T06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194" t="str">
        <f>IF(AA26&lt;VLOOKUP(AG26,Variables!$AC$3:$AD$8,2,FALSE),"Y","N")</f>
        <v>N</v>
      </c>
      <c r="X26" s="194">
        <f t="shared" si="6"/>
        <v>1</v>
      </c>
      <c r="Y26" s="194">
        <f t="shared" si="7"/>
        <v>4.82E-2</v>
      </c>
      <c r="Z26" s="194">
        <f t="shared" si="8"/>
        <v>23.330100000000002</v>
      </c>
      <c r="AA26" s="194">
        <f t="shared" si="9"/>
        <v>23.2819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 t="shared" si="10"/>
        <v>113</v>
      </c>
      <c r="AE26" s="77" t="str">
        <f t="shared" si="11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26" s="74" t="str">
        <f t="shared" si="12"/>
        <v>"C:\Program Files (x86)\AstroGrep\AstroGrep.exe" /e /r /s /spath="%USERPROFILE%\AppData\Local\Temp\OnboardLogs" /stypes="app*4010*20170913*" /stext=" 11:.+((SYSTEM_STATE.+slice.+state.+changed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78" t="str">
        <f t="shared" si="18"/>
        <v>"%USERPROFILE%\Documents\GitHub\eaglep3\Utilities\RefineRTDCRunTimes.py" --tripid 113-13 --locoid 4010 --swversion DE.1.0.9.0 --startMP 204:482 --initTime 2017-09-13T05:01:09 --startdatetime 2017-09-13T05:15:13 --delay 72 --endMP 204:233301 --enddatetime 2017-09-13T05:49:53 --enforcementcount 0 &gt;&gt;C:\Users\stu\Documents\GitHub\eaglep3-reporting\EC\2017-09-13-refined-times.txt</v>
      </c>
      <c r="AI2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{"issue":{"subject":"","project_id":79,"tracker_id":40,"status_id":1,"priority_id":2,"assigned_to_id":338,"start_date":"2017-09-13","description":"","custom_fields":[{"id":1,"name":"Subdivision","value":"EC"},{"id":4,"name":"Milepost","value":"23.3301"},{"id":17,"name":"Train ID","value":"113-13"},{"id":16,"name":"Locomotive ID","value":"4010"},{"id":130,"name":"Impact","value":""},{"id":150,"name":"Time of Event (Mountain Time)","value":"05:49:53"},{"id":151,"name":"Denver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4010 --day 2017-09-13</v>
      </c>
      <c r="AN2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643</v>
      </c>
      <c r="B27" s="7">
        <v>4009</v>
      </c>
      <c r="C27" s="21" t="s">
        <v>197</v>
      </c>
      <c r="D27" s="21" t="s">
        <v>537</v>
      </c>
      <c r="E27" s="13">
        <v>42991.24417824074</v>
      </c>
      <c r="F27" s="13">
        <v>42991.25849537037</v>
      </c>
      <c r="G27" s="7">
        <v>53</v>
      </c>
      <c r="H27" s="21" t="s">
        <v>338</v>
      </c>
      <c r="I27" s="13">
        <v>42991.284699074073</v>
      </c>
      <c r="J27" s="7">
        <v>0</v>
      </c>
      <c r="K27" s="89" t="str">
        <f t="shared" si="0"/>
        <v>4009/4010</v>
      </c>
      <c r="L27" s="214" t="str">
        <f>VLOOKUP(A27,'Trips&amp;Operators'!$C$1:$G$99911,5,FALSE)</f>
        <v>YANAI IAN</v>
      </c>
      <c r="M27" s="6">
        <f t="shared" si="1"/>
        <v>2.6203703702776693E-2</v>
      </c>
      <c r="N27" s="7">
        <f t="shared" si="22"/>
        <v>37.733333331998438</v>
      </c>
      <c r="O27" s="7"/>
      <c r="P27" s="7"/>
      <c r="Q27" s="22"/>
      <c r="R27" s="167"/>
      <c r="S27" s="210">
        <f t="shared" si="23"/>
        <v>1</v>
      </c>
      <c r="T27" s="192" t="str">
        <f t="shared" si="4"/>
        <v>Southbound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-09-13T04:51:37-0600',mode:absolute,to:'2017-09-13T07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194" t="str">
        <f>IF(AA27&lt;VLOOKUP(AG27,Variables!$AC$3:$AD$8,2,FALSE),"Y","N")</f>
        <v>N</v>
      </c>
      <c r="X27" s="194">
        <f t="shared" si="6"/>
        <v>1</v>
      </c>
      <c r="Y27" s="194">
        <f t="shared" si="7"/>
        <v>23.296900000000001</v>
      </c>
      <c r="Z27" s="194">
        <f t="shared" si="8"/>
        <v>1.4999999999999999E-2</v>
      </c>
      <c r="AA27" s="194">
        <f t="shared" si="9"/>
        <v>23.2819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 t="shared" si="10"/>
        <v>114</v>
      </c>
      <c r="AE27" s="77" t="str">
        <f t="shared" si="11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27" s="74" t="str">
        <f t="shared" si="12"/>
        <v>"C:\Program Files (x86)\AstroGrep\AstroGrep.exe" /e /r /s /spath="%USERPROFILE%\AppData\Local\Temp\OnboardLogs" /stypes="app*4009*20170913*" /stext=" 12:.+((SYSTEM_STATE.+slice.+state.+changed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78" t="str">
        <f t="shared" si="18"/>
        <v>"%USERPROFILE%\Documents\GitHub\eaglep3\Utilities\RefineRTDCRunTimes.py" --tripid 114-13 --locoid 4009 --swversion DE.1.0.9.0 --startMP 204:232969 --initTime 2017-09-13T05:51:37 --startdatetime 2017-09-13T06:12:14 --delay 53 --endMP 204:150 --enddatetime 2017-09-13T06:49:58 --enforcementcount 0 &gt;&gt;C:\Users\stu\Documents\GitHub\eaglep3-reporting\EC\2017-09-13-refined-times.txt</v>
      </c>
      <c r="AI2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{"issue":{"subject":"","project_id":79,"tracker_id":40,"status_id":1,"priority_id":2,"assigned_to_id":338,"start_date":"2017-09-13","description":"","custom_fields":[{"id":1,"name":"Subdivision","value":"EC"},{"id":4,"name":"Milepost","value":"0.015"},{"id":17,"name":"Train ID","value":"114-13"},{"id":16,"name":"Locomotive ID","value":"4009"},{"id":130,"name":"Impact","value":""},{"id":150,"name":"Time of Event (Mountain Time)","value":"06:49:58"},{"id":151,"name":"Denver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4009 --day 2017-09-13</v>
      </c>
      <c r="AN2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635</v>
      </c>
      <c r="B28" s="7">
        <v>4020</v>
      </c>
      <c r="C28" s="21" t="s">
        <v>197</v>
      </c>
      <c r="D28" s="21" t="s">
        <v>361</v>
      </c>
      <c r="E28" s="13">
        <v>42991.224409722221</v>
      </c>
      <c r="F28" s="13">
        <v>42991.229791666665</v>
      </c>
      <c r="G28" s="7">
        <v>62</v>
      </c>
      <c r="H28" s="21" t="s">
        <v>532</v>
      </c>
      <c r="I28" s="13">
        <v>42991.255694444444</v>
      </c>
      <c r="J28" s="7">
        <v>0</v>
      </c>
      <c r="K28" s="89" t="str">
        <f t="shared" si="0"/>
        <v>4019/4020</v>
      </c>
      <c r="L28" s="214" t="str">
        <f>VLOOKUP(A28,'Trips&amp;Operators'!$C$1:$G$99911,5,FALSE)</f>
        <v>STARKS ANGELINA</v>
      </c>
      <c r="M28" s="6">
        <f t="shared" si="1"/>
        <v>2.5902777779265307E-2</v>
      </c>
      <c r="N28" s="7">
        <f t="shared" si="22"/>
        <v>37.300000002142042</v>
      </c>
      <c r="O28" s="7"/>
      <c r="P28" s="7"/>
      <c r="Q28" s="22"/>
      <c r="R28" s="167"/>
      <c r="S28" s="210">
        <f t="shared" si="23"/>
        <v>1</v>
      </c>
      <c r="T28" s="192" t="str">
        <f t="shared" si="4"/>
        <v>NorthBound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-09-13T04:23:09-0600',mode:absolute,to:'2017-09-13T07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8" s="194" t="str">
        <f>IF(AA28&lt;VLOOKUP(AG28,Variables!$AC$3:$AD$8,2,FALSE),"Y","N")</f>
        <v>N</v>
      </c>
      <c r="X28" s="194">
        <f t="shared" si="6"/>
        <v>1</v>
      </c>
      <c r="Y28" s="194">
        <f t="shared" si="7"/>
        <v>4.4900000000000002E-2</v>
      </c>
      <c r="Z28" s="194">
        <f t="shared" si="8"/>
        <v>23.328299999999999</v>
      </c>
      <c r="AA28" s="194">
        <f t="shared" si="9"/>
        <v>23.2834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 t="shared" si="10"/>
        <v>115</v>
      </c>
      <c r="AE28" s="77" t="str">
        <f t="shared" si="11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28" s="74" t="str">
        <f t="shared" si="12"/>
        <v>"C:\Program Files (x86)\AstroGrep\AstroGrep.exe" /e /r /s /spath="%USERPROFILE%\AppData\Local\Temp\OnboardLogs" /stypes="app*4020*20170913*" /stext=" 12:.+((SYSTEM_STATE.+slice.+state.+changed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78" t="str">
        <f t="shared" si="18"/>
        <v>"%USERPROFILE%\Documents\GitHub\eaglep3\Utilities\RefineRTDCRunTimes.py" --tripid 115-13 --locoid 4020 --swversion DE.1.0.9.0 --startMP 204:449 --initTime 2017-09-13T05:23:09 --startdatetime 2017-09-13T05:30:54 --delay 62 --endMP 204:233283 --enddatetime 2017-09-13T06:08:12 --enforcementcount 0 &gt;&gt;C:\Users\stu\Documents\GitHub\eaglep3-reporting\EC\2017-09-13-refined-times.txt</v>
      </c>
      <c r="AI2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{"issue":{"subject":"","project_id":79,"tracker_id":40,"status_id":1,"priority_id":2,"assigned_to_id":338,"start_date":"2017-09-13","description":"","custom_fields":[{"id":1,"name":"Subdivision","value":"EC"},{"id":4,"name":"Milepost","value":"23.3283"},{"id":17,"name":"Train ID","value":"115-13"},{"id":16,"name":"Locomotive ID","value":"4020"},{"id":130,"name":"Impact","value":""},{"id":150,"name":"Time of Event (Mountain Time)","value":"06:08:12"},{"id":151,"name":"Denver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4020 --day 2017-09-13</v>
      </c>
      <c r="AN2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648</v>
      </c>
      <c r="B29" s="7">
        <v>4019</v>
      </c>
      <c r="C29" s="21" t="s">
        <v>197</v>
      </c>
      <c r="D29" s="21" t="s">
        <v>856</v>
      </c>
      <c r="E29" s="13">
        <v>42991.265347222223</v>
      </c>
      <c r="F29" s="13">
        <v>42991.268923611111</v>
      </c>
      <c r="G29" s="7">
        <v>50</v>
      </c>
      <c r="H29" s="21" t="s">
        <v>343</v>
      </c>
      <c r="I29" s="13">
        <v>42991.295405092591</v>
      </c>
      <c r="J29" s="7">
        <v>0</v>
      </c>
      <c r="K29" s="89" t="str">
        <f t="shared" si="0"/>
        <v>4019/4020</v>
      </c>
      <c r="L29" s="214" t="str">
        <f>VLOOKUP(A29,'Trips&amp;Operators'!$C$1:$G$99911,5,FALSE)</f>
        <v>STARKS ANGELINA</v>
      </c>
      <c r="M29" s="6">
        <f t="shared" si="1"/>
        <v>2.6481481480004732E-2</v>
      </c>
      <c r="N29" s="7">
        <f t="shared" si="22"/>
        <v>38.133333331206813</v>
      </c>
      <c r="O29" s="7"/>
      <c r="P29" s="7"/>
      <c r="Q29" s="22"/>
      <c r="R29" s="167"/>
      <c r="S29" s="210">
        <f t="shared" si="23"/>
        <v>1</v>
      </c>
      <c r="T29" s="192" t="str">
        <f t="shared" si="4"/>
        <v>Southbound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-09-13T05:22:06-0600',mode:absolute,to:'2017-09-13T08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9" s="194" t="str">
        <f>IF(AA29&lt;VLOOKUP(AG29,Variables!$AC$3:$AD$8,2,FALSE),"Y","N")</f>
        <v>N</v>
      </c>
      <c r="X29" s="194">
        <f t="shared" si="6"/>
        <v>1</v>
      </c>
      <c r="Y29" s="194">
        <f t="shared" si="7"/>
        <v>23.2972</v>
      </c>
      <c r="Z29" s="194">
        <f t="shared" si="8"/>
        <v>1.47E-2</v>
      </c>
      <c r="AA29" s="194">
        <f t="shared" si="9"/>
        <v>23.282499999999999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 t="shared" si="10"/>
        <v>116</v>
      </c>
      <c r="AE29" s="77" t="str">
        <f t="shared" si="11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29" s="74" t="str">
        <f t="shared" si="12"/>
        <v>"C:\Program Files (x86)\AstroGrep\AstroGrep.exe" /e /r /s /spath="%USERPROFILE%\AppData\Local\Temp\OnboardLogs" /stypes="app*4019*20170913*" /stext=" 13:.+((SYSTEM_STATE.+slice.+state.+changed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78" t="str">
        <f t="shared" si="18"/>
        <v>"%USERPROFILE%\Documents\GitHub\eaglep3\Utilities\RefineRTDCRunTimes.py" --tripid 116-13 --locoid 4019 --swversion DE.1.0.9.0 --startMP 204:232972 --initTime 2017-09-13T06:22:06 --startdatetime 2017-09-13T06:27:15 --delay 50 --endMP 204:147 --enddatetime 2017-09-13T07:05:23 --enforcementcount 0 &gt;&gt;C:\Users\stu\Documents\GitHub\eaglep3-reporting\EC\2017-09-13-refined-times.txt</v>
      </c>
      <c r="AI2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ID","value":"116-13"},{"id":16,"name":"Locomotive ID","value":"4019"},{"id":130,"name":"Impact","value":""},{"id":150,"name":"Time of Event (Mountain Time)","value":"07:05:23"},{"id":151,"name":"Denver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4019 --day 2017-09-13</v>
      </c>
      <c r="AN2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638</v>
      </c>
      <c r="B30" s="7">
        <v>4056</v>
      </c>
      <c r="C30" s="21" t="s">
        <v>197</v>
      </c>
      <c r="D30" s="21" t="s">
        <v>441</v>
      </c>
      <c r="E30" s="13">
        <v>42991.234918981485</v>
      </c>
      <c r="F30" s="13">
        <v>42991.239745370367</v>
      </c>
      <c r="G30" s="7">
        <v>94</v>
      </c>
      <c r="H30" s="21" t="s">
        <v>498</v>
      </c>
      <c r="I30" s="13">
        <v>42991.26425925926</v>
      </c>
      <c r="J30" s="7">
        <v>0</v>
      </c>
      <c r="K30" s="89" t="str">
        <f t="shared" si="0"/>
        <v>4055/4056</v>
      </c>
      <c r="L30" s="214" t="str">
        <f>VLOOKUP(A30,'Trips&amp;Operators'!$C$1:$G$99911,5,FALSE)</f>
        <v>FORTUNATO FRANK</v>
      </c>
      <c r="M30" s="6">
        <f t="shared" si="1"/>
        <v>2.4513888893125113E-2</v>
      </c>
      <c r="N30" s="7">
        <f t="shared" si="22"/>
        <v>35.300000006100163</v>
      </c>
      <c r="O30" s="7"/>
      <c r="P30" s="7"/>
      <c r="Q30" s="22"/>
      <c r="R30" s="167"/>
      <c r="S30" s="210">
        <f t="shared" si="23"/>
        <v>1</v>
      </c>
      <c r="T30" s="192" t="str">
        <f t="shared" si="4"/>
        <v>NorthBound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-09-13T04:38:17-0600',mode:absolute,to:'2017-09-13T07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0" s="194" t="str">
        <f>IF(AA30&lt;VLOOKUP(AG30,Variables!$AC$3:$AD$8,2,FALSE),"Y","N")</f>
        <v>N</v>
      </c>
      <c r="X30" s="194">
        <f t="shared" si="6"/>
        <v>1</v>
      </c>
      <c r="Y30" s="194">
        <f t="shared" si="7"/>
        <v>4.6199999999999998E-2</v>
      </c>
      <c r="Z30" s="194">
        <f t="shared" si="8"/>
        <v>23.329699999999999</v>
      </c>
      <c r="AA30" s="194">
        <f t="shared" si="9"/>
        <v>23.2835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 t="shared" si="10"/>
        <v>117</v>
      </c>
      <c r="AE30" s="77" t="str">
        <f t="shared" si="11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30" s="74" t="str">
        <f t="shared" si="12"/>
        <v>"C:\Program Files (x86)\AstroGrep\AstroGrep.exe" /e /r /s /spath="%USERPROFILE%\AppData\Local\Temp\OnboardLogs" /stypes="app*4056*20170913*" /stext=" 12:.+((SYSTEM_STATE.+slice.+state.+changed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78" t="str">
        <f t="shared" si="18"/>
        <v>"%USERPROFILE%\Documents\GitHub\eaglep3\Utilities\RefineRTDCRunTimes.py" --tripid 117-13 --locoid 4056 --swversion DE.1.0.9.0 --startMP 204:462 --initTime 2017-09-13T05:38:17 --startdatetime 2017-09-13T05:45:14 --delay 94 --endMP 204:233297 --enddatetime 2017-09-13T06:20:32 --enforcementcount 0 &gt;&gt;C:\Users\stu\Documents\GitHub\eaglep3-reporting\EC\2017-09-13-refined-times.txt</v>
      </c>
      <c r="AI3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{"issue":{"subject":"","project_id":79,"tracker_id":40,"status_id":1,"priority_id":2,"assigned_to_id":338,"start_date":"2017-09-13","description":"","custom_fields":[{"id":1,"name":"Subdivision","value":"EC"},{"id":4,"name":"Milepost","value":"23.3297"},{"id":17,"name":"Train ID","value":"117-13"},{"id":16,"name":"Locomotive ID","value":"4056"},{"id":130,"name":"Impact","value":""},{"id":150,"name":"Time of Event (Mountain Time)","value":"06:20:32"},{"id":151,"name":"Denver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4056 --day 2017-09-13</v>
      </c>
      <c r="AN3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4055</v>
      </c>
      <c r="C31" s="21" t="s">
        <v>197</v>
      </c>
      <c r="D31" s="21" t="s">
        <v>535</v>
      </c>
      <c r="E31" s="13">
        <v>42991.265740740739</v>
      </c>
      <c r="F31" s="13">
        <v>42991.279305555552</v>
      </c>
      <c r="G31" s="7">
        <v>68</v>
      </c>
      <c r="H31" s="21" t="s">
        <v>384</v>
      </c>
      <c r="I31" s="13">
        <v>42991.305590277778</v>
      </c>
      <c r="J31" s="7">
        <v>0</v>
      </c>
      <c r="K31" s="89" t="str">
        <f t="shared" si="0"/>
        <v>4055/4056</v>
      </c>
      <c r="L31" s="214" t="str">
        <f>VLOOKUP(A31,'Trips&amp;Operators'!$C$1:$G$99911,5,FALSE)</f>
        <v>FORTUNATO FRANK</v>
      </c>
      <c r="M31" s="6">
        <f t="shared" si="1"/>
        <v>2.6284722225682344E-2</v>
      </c>
      <c r="N31" s="7">
        <f t="shared" si="22"/>
        <v>37.850000004982576</v>
      </c>
      <c r="O31" s="7"/>
      <c r="P31" s="7"/>
      <c r="Q31" s="22"/>
      <c r="R31" s="167"/>
      <c r="S31" s="210">
        <f t="shared" si="23"/>
        <v>1</v>
      </c>
      <c r="T31" s="192" t="str">
        <f t="shared" si="4"/>
        <v>Southbound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-09-13T05:22:40-0600',mode:absolute,to:'2017-09-13T08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1" s="194" t="str">
        <f>IF(AA31&lt;VLOOKUP(AG31,Variables!$AC$3:$AD$8,2,FALSE),"Y","N")</f>
        <v>N</v>
      </c>
      <c r="X31" s="194">
        <f t="shared" si="6"/>
        <v>1</v>
      </c>
      <c r="Y31" s="194">
        <f t="shared" si="7"/>
        <v>23.296099999999999</v>
      </c>
      <c r="Z31" s="194">
        <f t="shared" si="8"/>
        <v>1.6E-2</v>
      </c>
      <c r="AA31" s="194">
        <f t="shared" si="9"/>
        <v>23.280100000000001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 t="shared" si="10"/>
        <v>118</v>
      </c>
      <c r="AE31" s="77" t="str">
        <f t="shared" si="11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31" s="74" t="str">
        <f t="shared" si="12"/>
        <v>"C:\Program Files (x86)\AstroGrep\AstroGrep.exe" /e /r /s /spath="%USERPROFILE%\AppData\Local\Temp\OnboardLogs" /stypes="app*4055*20170913*" /stext=" 13:.+((SYSTEM_STATE.+slice.+state.+changed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78" t="str">
        <f t="shared" si="18"/>
        <v>"%USERPROFILE%\Documents\GitHub\eaglep3\Utilities\RefineRTDCRunTimes.py" --tripid 118-13 --locoid 4055 --swversion DE.1.0.9.0 --startMP 204:232961 --initTime 2017-09-13T06:22:40 --startdatetime 2017-09-13T06:42:12 --delay 68 --endMP 204:160 --enddatetime 2017-09-13T07:20:03 --enforcementcount 0 &gt;&gt;C:\Users\stu\Documents\GitHub\eaglep3-reporting\EC\2017-09-13-refined-times.txt</v>
      </c>
      <c r="AI3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{"issue":{"subject":"","project_id":79,"tracker_id":40,"status_id":1,"priority_id":2,"assigned_to_id":338,"start_date":"2017-09-13","description":"","custom_fields":[{"id":1,"name":"Subdivision","value":"EC"},{"id":4,"name":"Milepost","value":"0.016"},{"id":17,"name":"Train ID","value":"118-13"},{"id":16,"name":"Locomotive ID","value":"4055"},{"id":130,"name":"Impact","value":""},{"id":150,"name":"Time of Event (Mountain Time)","value":"07:20:03"},{"id":151,"name":"Denver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4055 --day 2017-09-13</v>
      </c>
      <c r="AN3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642</v>
      </c>
      <c r="B32" s="7">
        <v>4028</v>
      </c>
      <c r="C32" s="21" t="s">
        <v>197</v>
      </c>
      <c r="D32" s="21" t="s">
        <v>460</v>
      </c>
      <c r="E32" s="13">
        <v>42991.243506944447</v>
      </c>
      <c r="F32" s="13">
        <v>42991.250243055554</v>
      </c>
      <c r="G32" s="7">
        <v>41</v>
      </c>
      <c r="H32" s="21" t="s">
        <v>857</v>
      </c>
      <c r="I32" s="13">
        <v>42991.27547453704</v>
      </c>
      <c r="J32" s="7">
        <v>0</v>
      </c>
      <c r="K32" s="89" t="str">
        <f t="shared" si="0"/>
        <v>4027/4028</v>
      </c>
      <c r="L32" s="214" t="str">
        <f>VLOOKUP(A32,'Trips&amp;Operators'!$C$1:$G$99911,5,FALSE)</f>
        <v>YORK EDGAR</v>
      </c>
      <c r="M32" s="6">
        <f t="shared" si="1"/>
        <v>2.5231481486116536E-2</v>
      </c>
      <c r="N32" s="7">
        <f t="shared" si="22"/>
        <v>36.333333340007812</v>
      </c>
      <c r="O32" s="7"/>
      <c r="P32" s="7"/>
      <c r="Q32" s="22"/>
      <c r="R32" s="167"/>
      <c r="S32" s="210">
        <f t="shared" si="23"/>
        <v>1</v>
      </c>
      <c r="T32" s="192" t="str">
        <f t="shared" si="4"/>
        <v>NorthBound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-09-13T04:50:39-0600',mode:absolute,to:'2017-09-13T07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94" t="str">
        <f>IF(AA32&lt;VLOOKUP(AG32,Variables!$AC$3:$AD$8,2,FALSE),"Y","N")</f>
        <v>N</v>
      </c>
      <c r="X32" s="194">
        <f t="shared" si="6"/>
        <v>1</v>
      </c>
      <c r="Y32" s="194">
        <f t="shared" si="7"/>
        <v>4.7100000000000003E-2</v>
      </c>
      <c r="Z32" s="194">
        <f t="shared" si="8"/>
        <v>23.33</v>
      </c>
      <c r="AA32" s="194">
        <f t="shared" si="9"/>
        <v>23.282899999999998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 t="shared" si="10"/>
        <v>119</v>
      </c>
      <c r="AE32" s="77" t="str">
        <f t="shared" si="11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32" s="74" t="str">
        <f t="shared" si="12"/>
        <v>"C:\Program Files (x86)\AstroGrep\AstroGrep.exe" /e /r /s /spath="%USERPROFILE%\AppData\Local\Temp\OnboardLogs" /stypes="app*4028*20170913*" /stext=" 12:.+((SYSTEM_STATE.+slice.+state.+changed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78" t="str">
        <f t="shared" si="18"/>
        <v>"%USERPROFILE%\Documents\GitHub\eaglep3\Utilities\RefineRTDCRunTimes.py" --tripid 119-13 --locoid 4028 --swversion DE.1.0.9.0 --startMP 204:471 --initTime 2017-09-13T05:50:39 --startdatetime 2017-09-13T06:00:21 --delay 41 --endMP 204:233300 --enddatetime 2017-09-13T06:36:41 --enforcementcount 0 &gt;&gt;C:\Users\stu\Documents\GitHub\eaglep3-reporting\EC\2017-09-13-refined-times.txt</v>
      </c>
      <c r="AI3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{"issue":{"subject":"","project_id":79,"tracker_id":40,"status_id":1,"priority_id":2,"assigned_to_id":338,"start_date":"2017-09-13","description":"","custom_fields":[{"id":1,"name":"Subdivision","value":"EC"},{"id":4,"name":"Milepost","value":"23.33"},{"id":17,"name":"Train ID","value":"119-13"},{"id":16,"name":"Locomotive ID","value":"4028"},{"id":130,"name":"Impact","value":""},{"id":150,"name":"Time of Event (Mountain Time)","value":"06:36:41"},{"id":151,"name":"Denver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4028 --day 2017-09-13</v>
      </c>
      <c r="AN3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652</v>
      </c>
      <c r="B33" s="7">
        <v>4027</v>
      </c>
      <c r="C33" s="21" t="s">
        <v>197</v>
      </c>
      <c r="D33" s="21" t="s">
        <v>851</v>
      </c>
      <c r="E33" s="13">
        <v>42991.276307870372</v>
      </c>
      <c r="F33" s="13">
        <v>42991.289780092593</v>
      </c>
      <c r="G33" s="7">
        <v>42</v>
      </c>
      <c r="H33" s="21" t="s">
        <v>384</v>
      </c>
      <c r="I33" s="13">
        <v>42991.315254629626</v>
      </c>
      <c r="J33" s="7">
        <v>0</v>
      </c>
      <c r="K33" s="89" t="str">
        <f t="shared" si="0"/>
        <v>4027/4028</v>
      </c>
      <c r="L33" s="214" t="str">
        <f>VLOOKUP(A33,'Trips&amp;Operators'!$C$1:$G$99911,5,FALSE)</f>
        <v>YORK EDGAR</v>
      </c>
      <c r="M33" s="6">
        <f t="shared" si="1"/>
        <v>2.5474537033005618E-2</v>
      </c>
      <c r="N33" s="7">
        <f t="shared" si="22"/>
        <v>36.683333327528089</v>
      </c>
      <c r="O33" s="7"/>
      <c r="P33" s="7"/>
      <c r="Q33" s="22"/>
      <c r="R33" s="167"/>
      <c r="S33" s="210">
        <f t="shared" si="23"/>
        <v>1</v>
      </c>
      <c r="T33" s="192" t="str">
        <f t="shared" si="4"/>
        <v>Southbound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-09-13T05:37:53-0600',mode:absolute,to:'2017-09-13T08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94" t="str">
        <f>IF(AA33&lt;VLOOKUP(AG33,Variables!$AC$3:$AD$8,2,FALSE),"Y","N")</f>
        <v>N</v>
      </c>
      <c r="X33" s="194">
        <f t="shared" si="6"/>
        <v>1</v>
      </c>
      <c r="Y33" s="194">
        <f t="shared" si="7"/>
        <v>23.298300000000001</v>
      </c>
      <c r="Z33" s="194">
        <f t="shared" si="8"/>
        <v>1.6E-2</v>
      </c>
      <c r="AA33" s="194">
        <f t="shared" si="9"/>
        <v>23.282300000000003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 t="shared" si="10"/>
        <v>120</v>
      </c>
      <c r="AE33" s="77" t="str">
        <f t="shared" si="11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33" s="74" t="str">
        <f t="shared" si="12"/>
        <v>"C:\Program Files (x86)\AstroGrep\AstroGrep.exe" /e /r /s /spath="%USERPROFILE%\AppData\Local\Temp\OnboardLogs" /stypes="app*4027*20170913*" /stext=" 13:.+((SYSTEM_STATE.+slice.+state.+changed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78" t="str">
        <f t="shared" si="18"/>
        <v>"%USERPROFILE%\Documents\GitHub\eaglep3\Utilities\RefineRTDCRunTimes.py" --tripid 120-13 --locoid 4027 --swversion DE.1.0.9.0 --startMP 204:232983 --initTime 2017-09-13T06:37:53 --startdatetime 2017-09-13T06:57:17 --delay 42 --endMP 204:160 --enddatetime 2017-09-13T07:33:58 --enforcementcount 0 &gt;&gt;C:\Users\stu\Documents\GitHub\eaglep3-reporting\EC\2017-09-13-refined-times.txt</v>
      </c>
      <c r="AI33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{"issue":{"subject":"","project_id":79,"tracker_id":40,"status_id":1,"priority_id":2,"assigned_to_id":338,"start_date":"2017-09-13","description":"","custom_fields":[{"id":1,"name":"Subdivision","value":"EC"},{"id":4,"name":"Milepost","value":"0.016"},{"id":17,"name":"Train ID","value":"120-13"},{"id":16,"name":"Locomotive ID","value":"4027"},{"id":130,"name":"Impact","value":""},{"id":150,"name":"Time of Event (Mountain Time)","value":"07:33:58"},{"id":151,"name":"Denver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4027 --day 2017-09-13</v>
      </c>
      <c r="AN33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647</v>
      </c>
      <c r="B34" s="7">
        <v>4016</v>
      </c>
      <c r="C34" s="21" t="s">
        <v>197</v>
      </c>
      <c r="D34" s="21" t="s">
        <v>404</v>
      </c>
      <c r="E34" s="13">
        <v>42991.256539351853</v>
      </c>
      <c r="F34" s="13">
        <v>42991.260578703703</v>
      </c>
      <c r="G34" s="7">
        <v>71</v>
      </c>
      <c r="H34" s="21" t="s">
        <v>494</v>
      </c>
      <c r="I34" s="13">
        <v>42991.28533564815</v>
      </c>
      <c r="J34" s="7">
        <v>0</v>
      </c>
      <c r="K34" s="89" t="str">
        <f t="shared" si="0"/>
        <v>4015/4016</v>
      </c>
      <c r="L34" s="214" t="str">
        <f>VLOOKUP(A34,'Trips&amp;Operators'!$C$1:$G$99911,5,FALSE)</f>
        <v>YANG JAN</v>
      </c>
      <c r="M34" s="6">
        <f t="shared" si="1"/>
        <v>2.4756944447290152E-2</v>
      </c>
      <c r="N34" s="7">
        <f t="shared" si="22"/>
        <v>35.650000004097819</v>
      </c>
      <c r="O34" s="7"/>
      <c r="P34" s="7"/>
      <c r="Q34" s="22"/>
      <c r="R34" s="167"/>
      <c r="S34" s="210">
        <f t="shared" si="23"/>
        <v>1</v>
      </c>
      <c r="T34" s="192" t="str">
        <f t="shared" si="4"/>
        <v>NorthBound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-09-13T05:09:25-0600',mode:absolute,to:'2017-09-13T07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4" s="194" t="str">
        <f>IF(AA34&lt;VLOOKUP(AG34,Variables!$AC$3:$AD$8,2,FALSE),"Y","N")</f>
        <v>N</v>
      </c>
      <c r="X34" s="194">
        <f t="shared" si="6"/>
        <v>1</v>
      </c>
      <c r="Y34" s="194">
        <f t="shared" si="7"/>
        <v>4.3999999999999997E-2</v>
      </c>
      <c r="Z34" s="194">
        <f t="shared" si="8"/>
        <v>23.330100000000002</v>
      </c>
      <c r="AA34" s="194">
        <f t="shared" si="9"/>
        <v>23.286100000000001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 t="shared" si="10"/>
        <v>121</v>
      </c>
      <c r="AE34" s="77" t="str">
        <f t="shared" si="11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34" s="74" t="str">
        <f t="shared" si="12"/>
        <v>"C:\Program Files (x86)\AstroGrep\AstroGrep.exe" /e /r /s /spath="%USERPROFILE%\AppData\Local\Temp\OnboardLogs" /stypes="app*4016*20170913*" /stext=" 12:.+((SYSTEM_STATE.+slice.+state.+changed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78" t="str">
        <f t="shared" si="18"/>
        <v>"%USERPROFILE%\Documents\GitHub\eaglep3\Utilities\RefineRTDCRunTimes.py" --tripid 121-13 --locoid 4016 --swversion DE.1.0.9.0 --startMP 204:440 --initTime 2017-09-13T06:09:25 --startdatetime 2017-09-13T06:15:14 --delay 71 --endMP 204:233301 --enddatetime 2017-09-13T06:50:53 --enforcementcount 0 &gt;&gt;C:\Users\stu\Documents\GitHub\eaglep3-reporting\EC\2017-09-13-refined-times.txt</v>
      </c>
      <c r="AI3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{"issue":{"subject":"","project_id":79,"tracker_id":40,"status_id":1,"priority_id":2,"assigned_to_id":338,"start_date":"2017-09-13","description":"","custom_fields":[{"id":1,"name":"Subdivision","value":"EC"},{"id":4,"name":"Milepost","value":"23.3301"},{"id":17,"name":"Train ID","value":"121-13"},{"id":16,"name":"Locomotive ID","value":"4016"},{"id":130,"name":"Impact","value":""},{"id":150,"name":"Time of Event (Mountain Time)","value":"06:50:53"},{"id":151,"name":"Denver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4016 --day 2017-09-13</v>
      </c>
      <c r="AN3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659</v>
      </c>
      <c r="B35" s="7">
        <v>4015</v>
      </c>
      <c r="C35" s="21" t="s">
        <v>197</v>
      </c>
      <c r="D35" s="21" t="s">
        <v>470</v>
      </c>
      <c r="E35" s="13">
        <v>42991.293738425928</v>
      </c>
      <c r="F35" s="13">
        <v>42991.300196759257</v>
      </c>
      <c r="G35" s="7">
        <v>61</v>
      </c>
      <c r="H35" s="21" t="s">
        <v>372</v>
      </c>
      <c r="I35" s="13">
        <v>42991.326840277776</v>
      </c>
      <c r="J35" s="7">
        <v>0</v>
      </c>
      <c r="K35" s="89" t="str">
        <f t="shared" si="0"/>
        <v>4015/4016</v>
      </c>
      <c r="L35" s="214" t="str">
        <f>VLOOKUP(A35,'Trips&amp;Operators'!$C$1:$G$99911,5,FALSE)</f>
        <v>YANG JAN</v>
      </c>
      <c r="M35" s="6">
        <f t="shared" si="1"/>
        <v>2.6643518518540077E-2</v>
      </c>
      <c r="N35" s="7">
        <f t="shared" si="22"/>
        <v>38.366666666697711</v>
      </c>
      <c r="O35" s="7"/>
      <c r="P35" s="7"/>
      <c r="Q35" s="22"/>
      <c r="R35" s="167"/>
      <c r="S35" s="210">
        <f t="shared" si="23"/>
        <v>1</v>
      </c>
      <c r="T35" s="192" t="str">
        <f t="shared" si="4"/>
        <v>Southbound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-09-13T06:02:59-0600',mode:absolute,to:'2017-09-13T08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5" s="194" t="str">
        <f>IF(AA35&lt;VLOOKUP(AG35,Variables!$AC$3:$AD$8,2,FALSE),"Y","N")</f>
        <v>N</v>
      </c>
      <c r="X35" s="194">
        <f t="shared" si="6"/>
        <v>1</v>
      </c>
      <c r="Y35" s="194">
        <f t="shared" si="7"/>
        <v>23.297999999999998</v>
      </c>
      <c r="Z35" s="194">
        <f t="shared" si="8"/>
        <v>1.5599999999999999E-2</v>
      </c>
      <c r="AA35" s="194">
        <f t="shared" si="9"/>
        <v>23.282399999999999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 t="shared" si="10"/>
        <v>122</v>
      </c>
      <c r="AE35" s="77" t="str">
        <f t="shared" si="11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35" s="74" t="str">
        <f t="shared" si="12"/>
        <v>"C:\Program Files (x86)\AstroGrep\AstroGrep.exe" /e /r /s /spath="%USERPROFILE%\AppData\Local\Temp\OnboardLogs" /stypes="app*4015*20170913*" /stext=" 13:.+((SYSTEM_STATE.+slice.+state.+changed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78" t="str">
        <f t="shared" si="18"/>
        <v>"%USERPROFILE%\Documents\GitHub\eaglep3\Utilities\RefineRTDCRunTimes.py" --tripid 122-13 --locoid 4015 --swversion DE.1.0.9.0 --startMP 204:232980 --initTime 2017-09-13T07:02:59 --startdatetime 2017-09-13T07:12:17 --delay 61 --endMP 204:156 --enddatetime 2017-09-13T07:50:39 --enforcementcount 0 &gt;&gt;C:\Users\stu\Documents\GitHub\eaglep3-reporting\EC\2017-09-13-refined-times.txt</v>
      </c>
      <c r="AI3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ID","value":"122-13"},{"id":16,"name":"Locomotive ID","value":"4015"},{"id":130,"name":"Impact","value":""},{"id":150,"name":"Time of Event (Mountain Time)","value":"07:50:39"},{"id":151,"name":"Denver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4015 --day 2017-09-13</v>
      </c>
      <c r="AN3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584</v>
      </c>
      <c r="B36" s="7">
        <v>4044</v>
      </c>
      <c r="C36" s="21" t="s">
        <v>197</v>
      </c>
      <c r="D36" s="21" t="s">
        <v>385</v>
      </c>
      <c r="E36" s="13">
        <v>42991.267928240741</v>
      </c>
      <c r="F36" s="13">
        <v>42991.271006944444</v>
      </c>
      <c r="G36" s="7">
        <v>63</v>
      </c>
      <c r="H36" s="21" t="s">
        <v>858</v>
      </c>
      <c r="I36" s="13">
        <v>42991.297291666669</v>
      </c>
      <c r="J36" s="7">
        <v>0</v>
      </c>
      <c r="K36" s="89" t="str">
        <f t="shared" si="0"/>
        <v>4043/4044</v>
      </c>
      <c r="L36" s="214" t="str">
        <f>VLOOKUP(A36,'Trips&amp;Operators'!$C$1:$G$99911,5,FALSE)</f>
        <v>DAVIS WENDY</v>
      </c>
      <c r="M36" s="6">
        <f t="shared" si="1"/>
        <v>2.6284722225682344E-2</v>
      </c>
      <c r="N36" s="7">
        <f t="shared" si="22"/>
        <v>37.850000004982576</v>
      </c>
      <c r="O36" s="7"/>
      <c r="P36" s="7"/>
      <c r="Q36" s="22"/>
      <c r="R36" s="167"/>
      <c r="S36" s="210">
        <f t="shared" si="23"/>
        <v>1</v>
      </c>
      <c r="T36" s="192" t="str">
        <f t="shared" si="4"/>
        <v>NorthBound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-09-13T05:25:49-0600',mode:absolute,to:'2017-09-13T08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6" s="194" t="str">
        <f>IF(AA36&lt;VLOOKUP(AG36,Variables!$AC$3:$AD$8,2,FALSE),"Y","N")</f>
        <v>N</v>
      </c>
      <c r="X36" s="194">
        <f t="shared" si="6"/>
        <v>1</v>
      </c>
      <c r="Y36" s="194">
        <f t="shared" si="7"/>
        <v>4.5999999999999999E-2</v>
      </c>
      <c r="Z36" s="194">
        <f t="shared" si="8"/>
        <v>23.323799999999999</v>
      </c>
      <c r="AA36" s="194">
        <f t="shared" si="9"/>
        <v>23.277799999999999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 t="shared" si="10"/>
        <v>123</v>
      </c>
      <c r="AE36" s="77" t="str">
        <f t="shared" si="11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36" s="74" t="str">
        <f t="shared" si="12"/>
        <v>"C:\Program Files (x86)\AstroGrep\AstroGrep.exe" /e /r /s /spath="%USERPROFILE%\AppData\Local\Temp\OnboardLogs" /stypes="app*4044*20170913*" /stext=" 13:.+((SYSTEM_STATE.+slice.+state.+changed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78" t="str">
        <f t="shared" si="18"/>
        <v>"%USERPROFILE%\Documents\GitHub\eaglep3\Utilities\RefineRTDCRunTimes.py" --tripid 123-13 --locoid 4044 --swversion DE.1.0.9.0 --startMP 204:460 --initTime 2017-09-13T06:25:49 --startdatetime 2017-09-13T06:30:15 --delay 63 --endMP 204:233238 --enddatetime 2017-09-13T07:08:06 --enforcementcount 0 &gt;&gt;C:\Users\stu\Documents\GitHub\eaglep3-reporting\EC\2017-09-13-refined-times.txt</v>
      </c>
      <c r="AI3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{"issue":{"subject":"","project_id":79,"tracker_id":40,"status_id":1,"priority_id":2,"assigned_to_id":338,"start_date":"2017-09-13","description":"","custom_fields":[{"id":1,"name":"Subdivision","value":"EC"},{"id":4,"name":"Milepost","value":"23.3238"},{"id":17,"name":"Train ID","value":"123-13"},{"id":16,"name":"Locomotive ID","value":"4044"},{"id":130,"name":"Impact","value":""},{"id":150,"name":"Time of Event (Mountain Time)","value":"07:08:06"},{"id":151,"name":"Denver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4044 --day 2017-09-13</v>
      </c>
      <c r="AN3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4043</v>
      </c>
      <c r="C37" s="21" t="s">
        <v>197</v>
      </c>
      <c r="D37" s="21" t="s">
        <v>859</v>
      </c>
      <c r="E37" s="13">
        <v>42991.302766203706</v>
      </c>
      <c r="F37" s="13">
        <v>42991.310590277775</v>
      </c>
      <c r="G37" s="7">
        <v>50</v>
      </c>
      <c r="H37" s="21" t="s">
        <v>487</v>
      </c>
      <c r="I37" s="13">
        <v>42991.337418981479</v>
      </c>
      <c r="J37" s="7">
        <v>0</v>
      </c>
      <c r="K37" s="89" t="str">
        <f t="shared" si="0"/>
        <v>4043/4044</v>
      </c>
      <c r="L37" s="214" t="str">
        <f>VLOOKUP(A37,'Trips&amp;Operators'!$C$1:$G$99911,5,FALSE)</f>
        <v>DAVIS WENDY</v>
      </c>
      <c r="M37" s="6">
        <f t="shared" si="1"/>
        <v>2.6828703703358769E-2</v>
      </c>
      <c r="N37" s="7">
        <f t="shared" si="22"/>
        <v>38.633333332836628</v>
      </c>
      <c r="O37" s="7"/>
      <c r="P37" s="7"/>
      <c r="Q37" s="22"/>
      <c r="R37" s="167"/>
      <c r="S37" s="210">
        <f t="shared" si="23"/>
        <v>1</v>
      </c>
      <c r="T37" s="192" t="str">
        <f t="shared" si="4"/>
        <v>Southbound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-09-13T06:15:59-0600',mode:absolute,to:'2017-09-13T09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7" s="194" t="str">
        <f>IF(AA37&lt;VLOOKUP(AG37,Variables!$AC$3:$AD$8,2,FALSE),"Y","N")</f>
        <v>N</v>
      </c>
      <c r="X37" s="194">
        <f t="shared" si="6"/>
        <v>1</v>
      </c>
      <c r="Y37" s="194">
        <f t="shared" si="7"/>
        <v>23.292999999999999</v>
      </c>
      <c r="Z37" s="194">
        <f t="shared" si="8"/>
        <v>1.54E-2</v>
      </c>
      <c r="AA37" s="194">
        <f t="shared" si="9"/>
        <v>23.2776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 t="shared" si="10"/>
        <v>124</v>
      </c>
      <c r="AE37" s="77" t="str">
        <f t="shared" si="11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37" s="74" t="str">
        <f t="shared" si="12"/>
        <v>"C:\Program Files (x86)\AstroGrep\AstroGrep.exe" /e /r /s /spath="%USERPROFILE%\AppData\Local\Temp\OnboardLogs" /stypes="app*4043*20170913*" /stext=" 14:.+((SYSTEM_STATE.+slice.+state.+changed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78" t="str">
        <f t="shared" si="18"/>
        <v>"%USERPROFILE%\Documents\GitHub\eaglep3\Utilities\RefineRTDCRunTimes.py" --tripid 124-13 --locoid 4043 --swversion DE.1.0.9.0 --startMP 204:232930 --initTime 2017-09-13T07:15:59 --startdatetime 2017-09-13T07:27:15 --delay 50 --endMP 204:154 --enddatetime 2017-09-13T08:05:53 --enforcementcount 0 &gt;&gt;C:\Users\stu\Documents\GitHub\eaglep3-reporting\EC\2017-09-13-refined-times.txt</v>
      </c>
      <c r="AI3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{"issue":{"subject":"","project_id":79,"tracker_id":40,"status_id":1,"priority_id":2,"assigned_to_id":338,"start_date":"2017-09-13","description":"","custom_fields":[{"id":1,"name":"Subdivision","value":"EC"},{"id":4,"name":"Milepost","value":"0.0154"},{"id":17,"name":"Train ID","value":"124-13"},{"id":16,"name":"Locomotive ID","value":"4043"},{"id":130,"name":"Impact","value":""},{"id":150,"name":"Time of Event (Mountain Time)","value":"08:05:53"},{"id":151,"name":"Denver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4043 --day 2017-09-13</v>
      </c>
      <c r="AN3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653</v>
      </c>
      <c r="B38" s="7">
        <v>4006</v>
      </c>
      <c r="C38" s="21" t="s">
        <v>197</v>
      </c>
      <c r="D38" s="21" t="s">
        <v>547</v>
      </c>
      <c r="E38" s="13">
        <v>42991.277685185189</v>
      </c>
      <c r="F38" s="13">
        <v>42991.281423611108</v>
      </c>
      <c r="G38" s="7">
        <v>53</v>
      </c>
      <c r="H38" s="21" t="s">
        <v>542</v>
      </c>
      <c r="I38" s="13">
        <v>42991.305879629632</v>
      </c>
      <c r="J38" s="7">
        <v>0</v>
      </c>
      <c r="K38" s="89" t="str">
        <f t="shared" si="0"/>
        <v>4005/4006</v>
      </c>
      <c r="L38" s="214" t="str">
        <f>VLOOKUP(A38,'Trips&amp;Operators'!$C$1:$G$99911,5,FALSE)</f>
        <v>BONDS REYNALDO</v>
      </c>
      <c r="M38" s="6">
        <f t="shared" si="1"/>
        <v>2.4456018523778766E-2</v>
      </c>
      <c r="N38" s="7">
        <f t="shared" si="22"/>
        <v>35.216666674241424</v>
      </c>
      <c r="O38" s="7"/>
      <c r="P38" s="7"/>
      <c r="Q38" s="22"/>
      <c r="R38" s="167"/>
      <c r="S38" s="210">
        <f t="shared" si="23"/>
        <v>1</v>
      </c>
      <c r="T38" s="192" t="str">
        <f t="shared" si="4"/>
        <v>NorthBound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-09-13T05:39:52-0600',mode:absolute,to:'2017-09-13T08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8" s="194" t="str">
        <f>IF(AA38&lt;VLOOKUP(AG38,Variables!$AC$3:$AD$8,2,FALSE),"Y","N")</f>
        <v>N</v>
      </c>
      <c r="X38" s="194">
        <f t="shared" si="6"/>
        <v>1</v>
      </c>
      <c r="Y38" s="194">
        <f t="shared" si="7"/>
        <v>4.3799999999999999E-2</v>
      </c>
      <c r="Z38" s="194">
        <f t="shared" si="8"/>
        <v>23.333600000000001</v>
      </c>
      <c r="AA38" s="194">
        <f t="shared" si="9"/>
        <v>23.2898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 t="shared" si="10"/>
        <v>125</v>
      </c>
      <c r="AE38" s="77" t="str">
        <f t="shared" si="11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38" s="74" t="str">
        <f t="shared" si="12"/>
        <v>"C:\Program Files (x86)\AstroGrep\AstroGrep.exe" /e /r /s /spath="%USERPROFILE%\AppData\Local\Temp\OnboardLogs" /stypes="app*4006*20170913*" /stext=" 13:.+((SYSTEM_STATE.+slice.+state.+changed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78" t="str">
        <f t="shared" si="18"/>
        <v>"%USERPROFILE%\Documents\GitHub\eaglep3\Utilities\RefineRTDCRunTimes.py" --tripid 125-13 --locoid 4006 --swversion DE.1.0.9.0 --startMP 204:438 --initTime 2017-09-13T06:39:52 --startdatetime 2017-09-13T06:45:15 --delay 53 --endMP 204:233336 --enddatetime 2017-09-13T07:20:28 --enforcementcount 0 &gt;&gt;C:\Users\stu\Documents\GitHub\eaglep3-reporting\EC\2017-09-13-refined-times.txt</v>
      </c>
      <c r="AI3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{"issue":{"subject":"","project_id":79,"tracker_id":40,"status_id":1,"priority_id":2,"assigned_to_id":338,"start_date":"2017-09-13","description":"","custom_fields":[{"id":1,"name":"Subdivision","value":"EC"},{"id":4,"name":"Milepost","value":"23.3336"},{"id":17,"name":"Train ID","value":"125-13"},{"id":16,"name":"Locomotive ID","value":"4006"},{"id":130,"name":"Impact","value":""},{"id":150,"name":"Time of Event (Mountain Time)","value":"07:20:28"},{"id":151,"name":"Denver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4006 --day 2017-09-13</v>
      </c>
      <c r="AN3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4005</v>
      </c>
      <c r="C39" s="21" t="s">
        <v>197</v>
      </c>
      <c r="D39" s="21" t="s">
        <v>545</v>
      </c>
      <c r="E39" s="13">
        <v>42991.317557870374</v>
      </c>
      <c r="F39" s="13">
        <v>42991.321053240739</v>
      </c>
      <c r="G39" s="7">
        <v>67</v>
      </c>
      <c r="H39" s="21" t="s">
        <v>360</v>
      </c>
      <c r="I39" s="13">
        <v>42991.347905092596</v>
      </c>
      <c r="J39" s="7">
        <v>0</v>
      </c>
      <c r="K39" s="89" t="str">
        <f t="shared" si="0"/>
        <v>4005/4006</v>
      </c>
      <c r="L39" s="214" t="str">
        <f>VLOOKUP(A39,'Trips&amp;Operators'!$C$1:$G$99911,5,FALSE)</f>
        <v>BONDS REYNALDO</v>
      </c>
      <c r="M39" s="6">
        <f t="shared" si="1"/>
        <v>2.6851851856918074E-2</v>
      </c>
      <c r="N39" s="7">
        <f t="shared" si="22"/>
        <v>38.666666673962027</v>
      </c>
      <c r="O39" s="7"/>
      <c r="P39" s="7"/>
      <c r="Q39" s="22"/>
      <c r="R39" s="167"/>
      <c r="S39" s="210">
        <f t="shared" si="23"/>
        <v>1</v>
      </c>
      <c r="T39" s="192" t="str">
        <f t="shared" si="4"/>
        <v>Southbound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-09-13T06:37:17-0600',mode:absolute,to:'2017-09-13T09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94" t="str">
        <f>IF(AA39&lt;VLOOKUP(AG39,Variables!$AC$3:$AD$8,2,FALSE),"Y","N")</f>
        <v>N</v>
      </c>
      <c r="X39" s="194">
        <f t="shared" si="6"/>
        <v>1</v>
      </c>
      <c r="Y39" s="194">
        <f t="shared" si="7"/>
        <v>23.297799999999999</v>
      </c>
      <c r="Z39" s="194">
        <f t="shared" si="8"/>
        <v>1.52E-2</v>
      </c>
      <c r="AA39" s="194">
        <f t="shared" si="9"/>
        <v>23.282599999999999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 t="shared" si="10"/>
        <v>126</v>
      </c>
      <c r="AE39" s="77" t="str">
        <f t="shared" si="11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39" s="74" t="str">
        <f t="shared" si="12"/>
        <v>"C:\Program Files (x86)\AstroGrep\AstroGrep.exe" /e /r /s /spath="%USERPROFILE%\AppData\Local\Temp\OnboardLogs" /stypes="app*4005*20170913*" /stext=" 14:.+((SYSTEM_STATE.+slice.+state.+changed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78" t="str">
        <f t="shared" si="18"/>
        <v>"%USERPROFILE%\Documents\GitHub\eaglep3\Utilities\RefineRTDCRunTimes.py" --tripid 126-13 --locoid 4005 --swversion DE.1.0.9.0 --startMP 204:232978 --initTime 2017-09-13T07:37:17 --startdatetime 2017-09-13T07:42:19 --delay 67 --endMP 204:152 --enddatetime 2017-09-13T08:20:59 --enforcementcount 0 &gt;&gt;C:\Users\stu\Documents\GitHub\eaglep3-reporting\EC\2017-09-13-refined-times.txt</v>
      </c>
      <c r="AI3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{"issue":{"subject":"","project_id":79,"tracker_id":40,"status_id":1,"priority_id":2,"assigned_to_id":338,"start_date":"2017-09-13","description":"","custom_fields":[{"id":1,"name":"Subdivision","value":"EC"},{"id":4,"name":"Milepost","value":"0.0152"},{"id":17,"name":"Train ID","value":"126-13"},{"id":16,"name":"Locomotive ID","value":"4005"},{"id":130,"name":"Impact","value":""},{"id":150,"name":"Time of Event (Mountain Time)","value":"08:20:59"},{"id":151,"name":"Denver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4005 --day 2017-09-13</v>
      </c>
      <c r="AN3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654</v>
      </c>
      <c r="B40" s="7">
        <v>4010</v>
      </c>
      <c r="C40" s="21" t="s">
        <v>197</v>
      </c>
      <c r="D40" s="21" t="s">
        <v>538</v>
      </c>
      <c r="E40" s="13">
        <v>42991.28696759259</v>
      </c>
      <c r="F40" s="13">
        <v>42991.291828703703</v>
      </c>
      <c r="G40" s="7">
        <v>112</v>
      </c>
      <c r="H40" s="21" t="s">
        <v>854</v>
      </c>
      <c r="I40" s="13">
        <v>42991.317488425928</v>
      </c>
      <c r="J40" s="7">
        <v>0</v>
      </c>
      <c r="K40" s="89" t="str">
        <f t="shared" si="0"/>
        <v>4009/4010</v>
      </c>
      <c r="L40" s="214" t="str">
        <f>VLOOKUP(A40,'Trips&amp;Operators'!$C$1:$G$99911,5,FALSE)</f>
        <v>PAGE MARCUS</v>
      </c>
      <c r="M40" s="6">
        <f t="shared" si="1"/>
        <v>2.5659722225100268E-2</v>
      </c>
      <c r="N40" s="7">
        <f t="shared" si="22"/>
        <v>36.950000004144385</v>
      </c>
      <c r="O40" s="7"/>
      <c r="P40" s="7"/>
      <c r="Q40" s="22"/>
      <c r="R40" s="167"/>
      <c r="S40" s="210">
        <f t="shared" si="23"/>
        <v>1</v>
      </c>
      <c r="T40" s="192" t="str">
        <f t="shared" si="4"/>
        <v>NorthBound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-09-13T05:53:14-0600',mode:absolute,to:'2017-09-13T08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194" t="str">
        <f>IF(AA40&lt;VLOOKUP(AG40,Variables!$AC$3:$AD$8,2,FALSE),"Y","N")</f>
        <v>N</v>
      </c>
      <c r="X40" s="194">
        <f t="shared" si="6"/>
        <v>1</v>
      </c>
      <c r="Y40" s="194">
        <f t="shared" si="7"/>
        <v>4.4699999999999997E-2</v>
      </c>
      <c r="Z40" s="194">
        <f t="shared" si="8"/>
        <v>23.330200000000001</v>
      </c>
      <c r="AA40" s="194">
        <f t="shared" si="9"/>
        <v>23.285500000000003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 t="shared" si="10"/>
        <v>127</v>
      </c>
      <c r="AE40" s="77" t="str">
        <f t="shared" si="11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40" s="74" t="str">
        <f t="shared" si="12"/>
        <v>"C:\Program Files (x86)\AstroGrep\AstroGrep.exe" /e /r /s /spath="%USERPROFILE%\AppData\Local\Temp\OnboardLogs" /stypes="app*4010*20170913*" /stext=" 13:.+((SYSTEM_STATE.+slice.+state.+changed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78" t="str">
        <f t="shared" si="18"/>
        <v>"%USERPROFILE%\Documents\GitHub\eaglep3\Utilities\RefineRTDCRunTimes.py" --tripid 127-13 --locoid 4010 --swversion DE.1.0.9.0 --startMP 204:447 --initTime 2017-09-13T06:53:14 --startdatetime 2017-09-13T07:00:14 --delay 112 --endMP 204:233302 --enddatetime 2017-09-13T07:37:11 --enforcementcount 0 &gt;&gt;C:\Users\stu\Documents\GitHub\eaglep3-reporting\EC\2017-09-13-refined-times.txt</v>
      </c>
      <c r="AI4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{"issue":{"subject":"","project_id":79,"tracker_id":40,"status_id":1,"priority_id":2,"assigned_to_id":338,"start_date":"2017-09-13","description":"","custom_fields":[{"id":1,"name":"Subdivision","value":"EC"},{"id":4,"name":"Milepost","value":"23.3302"},{"id":17,"name":"Train ID","value":"127-13"},{"id":16,"name":"Locomotive ID","value":"4010"},{"id":130,"name":"Impact","value":""},{"id":150,"name":"Time of Event (Mountain Time)","value":"07:37:11"},{"id":151,"name":"Denver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4010 --day 2017-09-13</v>
      </c>
      <c r="AN4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667</v>
      </c>
      <c r="B41" s="7">
        <v>4009</v>
      </c>
      <c r="C41" s="21" t="s">
        <v>197</v>
      </c>
      <c r="D41" s="21" t="s">
        <v>438</v>
      </c>
      <c r="E41" s="13">
        <v>42991.328333333331</v>
      </c>
      <c r="F41" s="13">
        <v>42991.331423611111</v>
      </c>
      <c r="G41" s="7">
        <v>73</v>
      </c>
      <c r="H41" s="21" t="s">
        <v>860</v>
      </c>
      <c r="I41" s="13">
        <v>42991.357754629629</v>
      </c>
      <c r="J41" s="7">
        <v>0</v>
      </c>
      <c r="K41" s="89" t="str">
        <f t="shared" si="0"/>
        <v>4009/4010</v>
      </c>
      <c r="L41" s="214" t="str">
        <f>VLOOKUP(A41,'Trips&amp;Operators'!$C$1:$G$99911,5,FALSE)</f>
        <v>PAGE MARCUS</v>
      </c>
      <c r="M41" s="6">
        <f t="shared" si="1"/>
        <v>2.6331018518249039E-2</v>
      </c>
      <c r="N41" s="7">
        <f t="shared" si="22"/>
        <v>37.916666666278616</v>
      </c>
      <c r="O41" s="7"/>
      <c r="P41" s="7"/>
      <c r="Q41" s="22"/>
      <c r="R41" s="167"/>
      <c r="S41" s="210">
        <f t="shared" si="23"/>
        <v>1</v>
      </c>
      <c r="T41" s="192" t="str">
        <f t="shared" si="4"/>
        <v>Southbound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-09-13T06:52:48-0600',mode:absolute,to:'2017-09-13T09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1" s="194" t="str">
        <f>IF(AA41&lt;VLOOKUP(AG41,Variables!$AC$3:$AD$8,2,FALSE),"Y","N")</f>
        <v>N</v>
      </c>
      <c r="X41" s="194">
        <f t="shared" si="6"/>
        <v>1</v>
      </c>
      <c r="Y41" s="194">
        <f t="shared" si="7"/>
        <v>23.2987</v>
      </c>
      <c r="Z41" s="194">
        <f t="shared" si="8"/>
        <v>1.9400000000000001E-2</v>
      </c>
      <c r="AA41" s="194">
        <f t="shared" si="9"/>
        <v>23.279299999999999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 t="shared" si="10"/>
        <v>128</v>
      </c>
      <c r="AE41" s="77" t="str">
        <f t="shared" si="11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41" s="74" t="str">
        <f t="shared" si="12"/>
        <v>"C:\Program Files (x86)\AstroGrep\AstroGrep.exe" /e /r /s /spath="%USERPROFILE%\AppData\Local\Temp\OnboardLogs" /stypes="app*4009*20170913*" /stext=" 14:.+((SYSTEM_STATE.+slice.+state.+changed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78" t="str">
        <f t="shared" si="18"/>
        <v>"%USERPROFILE%\Documents\GitHub\eaglep3\Utilities\RefineRTDCRunTimes.py" --tripid 128-13 --locoid 4009 --swversion DE.1.0.9.0 --startMP 204:232987 --initTime 2017-09-13T07:52:48 --startdatetime 2017-09-13T07:57:15 --delay 73 --endMP 204:194 --enddatetime 2017-09-13T08:35:10 --enforcementcount 0 &gt;&gt;C:\Users\stu\Documents\GitHub\eaglep3-reporting\EC\2017-09-13-refined-times.txt</v>
      </c>
      <c r="AI4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{"issue":{"subject":"","project_id":79,"tracker_id":40,"status_id":1,"priority_id":2,"assigned_to_id":338,"start_date":"2017-09-13","description":"","custom_fields":[{"id":1,"name":"Subdivision","value":"EC"},{"id":4,"name":"Milepost","value":"0.0194"},{"id":17,"name":"Train ID","value":"128-13"},{"id":16,"name":"Locomotive ID","value":"4009"},{"id":130,"name":"Impact","value":""},{"id":150,"name":"Time of Event (Mountain Time)","value":"08:35:10"},{"id":151,"name":"Denver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4009 --day 2017-09-13</v>
      </c>
      <c r="AN4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660</v>
      </c>
      <c r="B42" s="7">
        <v>4020</v>
      </c>
      <c r="C42" s="21" t="s">
        <v>197</v>
      </c>
      <c r="D42" s="21" t="s">
        <v>538</v>
      </c>
      <c r="E42" s="13">
        <v>42991.296782407408</v>
      </c>
      <c r="F42" s="13">
        <v>42991.302476851852</v>
      </c>
      <c r="G42" s="7">
        <v>68</v>
      </c>
      <c r="H42" s="21" t="s">
        <v>450</v>
      </c>
      <c r="I42" s="13">
        <v>42991.327222222222</v>
      </c>
      <c r="J42" s="7">
        <v>0</v>
      </c>
      <c r="K42" s="89" t="str">
        <f t="shared" si="0"/>
        <v>4019/4020</v>
      </c>
      <c r="L42" s="214" t="str">
        <f>VLOOKUP(A42,'Trips&amp;Operators'!$C$1:$G$99911,5,FALSE)</f>
        <v>STARKS ANGELINA</v>
      </c>
      <c r="M42" s="6">
        <f t="shared" si="1"/>
        <v>2.47453703705105E-2</v>
      </c>
      <c r="N42" s="7">
        <f t="shared" si="22"/>
        <v>35.63333333353512</v>
      </c>
      <c r="O42" s="7"/>
      <c r="P42" s="7"/>
      <c r="Q42" s="22"/>
      <c r="R42" s="167"/>
      <c r="S42" s="210">
        <f t="shared" si="23"/>
        <v>1</v>
      </c>
      <c r="T42" s="192" t="str">
        <f t="shared" si="4"/>
        <v>NorthBound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-09-13T06:07:22-0600',mode:absolute,to:'2017-09-13T08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2" s="194" t="str">
        <f>IF(AA42&lt;VLOOKUP(AG42,Variables!$AC$3:$AD$8,2,FALSE),"Y","N")</f>
        <v>N</v>
      </c>
      <c r="X42" s="194">
        <f t="shared" si="6"/>
        <v>1</v>
      </c>
      <c r="Y42" s="194">
        <f t="shared" si="7"/>
        <v>4.4699999999999997E-2</v>
      </c>
      <c r="Z42" s="194">
        <f t="shared" si="8"/>
        <v>23.328900000000001</v>
      </c>
      <c r="AA42" s="194">
        <f t="shared" si="9"/>
        <v>23.284200000000002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 t="shared" si="10"/>
        <v>129</v>
      </c>
      <c r="AE42" s="77" t="str">
        <f t="shared" si="11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42" s="74" t="str">
        <f t="shared" si="12"/>
        <v>"C:\Program Files (x86)\AstroGrep\AstroGrep.exe" /e /r /s /spath="%USERPROFILE%\AppData\Local\Temp\OnboardLogs" /stypes="app*4020*20170913*" /stext=" 13:.+((SYSTEM_STATE.+slice.+state.+changed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78" t="str">
        <f t="shared" si="18"/>
        <v>"%USERPROFILE%\Documents\GitHub\eaglep3\Utilities\RefineRTDCRunTimes.py" --tripid 129-13 --locoid 4020 --swversion DE.1.0.9.0 --startMP 204:447 --initTime 2017-09-13T07:07:22 --startdatetime 2017-09-13T07:15:34 --delay 68 --endMP 204:233289 --enddatetime 2017-09-13T07:51:12 --enforcementcount 0 &gt;&gt;C:\Users\stu\Documents\GitHub\eaglep3-reporting\EC\2017-09-13-refined-times.txt</v>
      </c>
      <c r="AI4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{"issue":{"subject":"","project_id":79,"tracker_id":40,"status_id":1,"priority_id":2,"assigned_to_id":338,"start_date":"2017-09-13","description":"","custom_fields":[{"id":1,"name":"Subdivision","value":"EC"},{"id":4,"name":"Milepost","value":"23.3289"},{"id":17,"name":"Train ID","value":"129-13"},{"id":16,"name":"Locomotive ID","value":"4020"},{"id":130,"name":"Impact","value":""},{"id":150,"name":"Time of Event (Mountain Time)","value":"07:51:12"},{"id":151,"name":"Denver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4020 --day 2017-09-13</v>
      </c>
      <c r="AN4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670</v>
      </c>
      <c r="B43" s="7">
        <v>4019</v>
      </c>
      <c r="C43" s="21" t="s">
        <v>197</v>
      </c>
      <c r="D43" s="21" t="s">
        <v>545</v>
      </c>
      <c r="E43" s="13">
        <v>42991.331111111111</v>
      </c>
      <c r="F43" s="13">
        <v>42991.341828703706</v>
      </c>
      <c r="G43" s="7">
        <v>67</v>
      </c>
      <c r="H43" s="21" t="s">
        <v>366</v>
      </c>
      <c r="I43" s="13">
        <v>42991.36922453704</v>
      </c>
      <c r="J43" s="7">
        <v>0</v>
      </c>
      <c r="K43" s="89" t="str">
        <f t="shared" si="0"/>
        <v>4019/4020</v>
      </c>
      <c r="L43" s="214" t="str">
        <f>VLOOKUP(A43,'Trips&amp;Operators'!$C$1:$G$99911,5,FALSE)</f>
        <v>STARKS ANGELINA</v>
      </c>
      <c r="M43" s="6">
        <f t="shared" si="1"/>
        <v>2.7395833334594499E-2</v>
      </c>
      <c r="N43" s="7">
        <f t="shared" si="22"/>
        <v>39.450000001816079</v>
      </c>
      <c r="O43" s="7"/>
      <c r="P43" s="7"/>
      <c r="Q43" s="22"/>
      <c r="R43" s="167"/>
      <c r="S43" s="210">
        <f t="shared" si="23"/>
        <v>1</v>
      </c>
      <c r="T43" s="192" t="str">
        <f t="shared" si="4"/>
        <v>Southbound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-09-13T06:56:48-0600',mode:absolute,to:'2017-09-13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3" s="194" t="str">
        <f>IF(AA43&lt;VLOOKUP(AG43,Variables!$AC$3:$AD$8,2,FALSE),"Y","N")</f>
        <v>N</v>
      </c>
      <c r="X43" s="194">
        <f t="shared" si="6"/>
        <v>1</v>
      </c>
      <c r="Y43" s="194">
        <f t="shared" si="7"/>
        <v>23.297799999999999</v>
      </c>
      <c r="Z43" s="194">
        <f t="shared" si="8"/>
        <v>1.4500000000000001E-2</v>
      </c>
      <c r="AA43" s="194">
        <f t="shared" si="9"/>
        <v>23.283299999999997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 t="shared" si="10"/>
        <v>130</v>
      </c>
      <c r="AE43" s="77" t="str">
        <f t="shared" si="11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43" s="74" t="str">
        <f t="shared" si="12"/>
        <v>"C:\Program Files (x86)\AstroGrep\AstroGrep.exe" /e /r /s /spath="%USERPROFILE%\AppData\Local\Temp\OnboardLogs" /stypes="app*4019*20170913*" /stext=" 14:.+((SYSTEM_STATE.+slice.+state.+changed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78" t="str">
        <f t="shared" si="18"/>
        <v>"%USERPROFILE%\Documents\GitHub\eaglep3\Utilities\RefineRTDCRunTimes.py" --tripid 130-13 --locoid 4019 --swversion DE.1.0.9.0 --startMP 204:232978 --initTime 2017-09-13T07:56:48 --startdatetime 2017-09-13T08:12:14 --delay 67 --endMP 204:145 --enddatetime 2017-09-13T08:51:41 --enforcementcount 0 &gt;&gt;C:\Users\stu\Documents\GitHub\eaglep3-reporting\EC\2017-09-13-refined-times.txt</v>
      </c>
      <c r="AI43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{"issue":{"subject":"","project_id":79,"tracker_id":40,"status_id":1,"priority_id":2,"assigned_to_id":338,"start_date":"2017-09-13","description":"","custom_fields":[{"id":1,"name":"Subdivision","value":"EC"},{"id":4,"name":"Milepost","value":"0.0145"},{"id":17,"name":"Train ID","value":"130-13"},{"id":16,"name":"Locomotive ID","value":"4019"},{"id":130,"name":"Impact","value":""},{"id":150,"name":"Time of Event (Mountain Time)","value":"08:51:41"},{"id":151,"name":"Denver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4019 --day 2017-09-13</v>
      </c>
      <c r="AN43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662</v>
      </c>
      <c r="B44" s="7">
        <v>4056</v>
      </c>
      <c r="C44" s="21" t="s">
        <v>197</v>
      </c>
      <c r="D44" s="21" t="s">
        <v>365</v>
      </c>
      <c r="E44" s="13">
        <v>42991.30777777778</v>
      </c>
      <c r="F44" s="13">
        <v>42991.312662037039</v>
      </c>
      <c r="G44" s="7">
        <v>64</v>
      </c>
      <c r="H44" s="21" t="s">
        <v>391</v>
      </c>
      <c r="I44" s="13">
        <v>42991.33803240741</v>
      </c>
      <c r="J44" s="7">
        <v>0</v>
      </c>
      <c r="K44" s="89" t="str">
        <f t="shared" si="0"/>
        <v>4055/4056</v>
      </c>
      <c r="L44" s="214" t="str">
        <f>VLOOKUP(A44,'Trips&amp;Operators'!$C$1:$G$99911,5,FALSE)</f>
        <v>FORTUNATO FRANK</v>
      </c>
      <c r="M44" s="6">
        <f t="shared" si="1"/>
        <v>2.5370370371092577E-2</v>
      </c>
      <c r="N44" s="7">
        <f t="shared" si="22"/>
        <v>36.53333333437331</v>
      </c>
      <c r="O44" s="7"/>
      <c r="P44" s="7"/>
      <c r="Q44" s="22"/>
      <c r="R44" s="167"/>
      <c r="S44" s="210">
        <f t="shared" si="23"/>
        <v>1</v>
      </c>
      <c r="T44" s="192" t="str">
        <f t="shared" si="4"/>
        <v>NorthBound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-09-13T06:23:12-0600',mode:absolute,to:'2017-09-13T09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4" s="194" t="str">
        <f>IF(AA44&lt;VLOOKUP(AG44,Variables!$AC$3:$AD$8,2,FALSE),"Y","N")</f>
        <v>N</v>
      </c>
      <c r="X44" s="194">
        <f t="shared" si="6"/>
        <v>1</v>
      </c>
      <c r="Y44" s="194">
        <f t="shared" si="7"/>
        <v>4.6399999999999997E-2</v>
      </c>
      <c r="Z44" s="194">
        <f t="shared" si="8"/>
        <v>23.331399999999999</v>
      </c>
      <c r="AA44" s="194">
        <f t="shared" si="9"/>
        <v>23.285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 t="shared" si="10"/>
        <v>131</v>
      </c>
      <c r="AE44" s="77" t="str">
        <f t="shared" si="11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44" s="74" t="str">
        <f t="shared" si="12"/>
        <v>"C:\Program Files (x86)\AstroGrep\AstroGrep.exe" /e /r /s /spath="%USERPROFILE%\AppData\Local\Temp\OnboardLogs" /stypes="app*4056*20170913*" /stext=" 14:.+((SYSTEM_STATE.+slice.+state.+changed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78" t="str">
        <f t="shared" si="18"/>
        <v>"%USERPROFILE%\Documents\GitHub\eaglep3\Utilities\RefineRTDCRunTimes.py" --tripid 131-13 --locoid 4056 --swversion DE.1.0.9.0 --startMP 204:464 --initTime 2017-09-13T07:23:12 --startdatetime 2017-09-13T07:30:14 --delay 64 --endMP 204:233314 --enddatetime 2017-09-13T08:06:46 --enforcementcount 0 &gt;&gt;C:\Users\stu\Documents\GitHub\eaglep3-reporting\EC\2017-09-13-refined-times.txt</v>
      </c>
      <c r="AI4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{"issue":{"subject":"","project_id":79,"tracker_id":40,"status_id":1,"priority_id":2,"assigned_to_id":338,"start_date":"2017-09-13","description":"","custom_fields":[{"id":1,"name":"Subdivision","value":"EC"},{"id":4,"name":"Milepost","value":"23.3314"},{"id":17,"name":"Train ID","value":"131-13"},{"id":16,"name":"Locomotive ID","value":"4056"},{"id":130,"name":"Impact","value":""},{"id":150,"name":"Time of Event (Mountain Time)","value":"08:06:46"},{"id":151,"name":"Denver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4056 --day 2017-09-13</v>
      </c>
      <c r="AN4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673</v>
      </c>
      <c r="B45" s="7">
        <v>4055</v>
      </c>
      <c r="C45" s="21" t="s">
        <v>197</v>
      </c>
      <c r="D45" s="21" t="s">
        <v>405</v>
      </c>
      <c r="E45" s="13">
        <v>42991.339305555557</v>
      </c>
      <c r="F45" s="13">
        <v>42991.352210648147</v>
      </c>
      <c r="G45" s="7">
        <v>59</v>
      </c>
      <c r="H45" s="21" t="s">
        <v>397</v>
      </c>
      <c r="I45" s="13">
        <v>42991.378159722219</v>
      </c>
      <c r="J45" s="7">
        <v>0</v>
      </c>
      <c r="K45" s="89" t="str">
        <f t="shared" si="0"/>
        <v>4055/4056</v>
      </c>
      <c r="L45" s="214" t="str">
        <f>VLOOKUP(A45,'Trips&amp;Operators'!$C$1:$G$99911,5,FALSE)</f>
        <v>FORTUNATO FRANK</v>
      </c>
      <c r="M45" s="6">
        <f t="shared" si="1"/>
        <v>2.5949074071832001E-2</v>
      </c>
      <c r="N45" s="7">
        <f t="shared" si="22"/>
        <v>37.366666663438082</v>
      </c>
      <c r="O45" s="7"/>
      <c r="P45" s="7"/>
      <c r="Q45" s="22"/>
      <c r="R45" s="167"/>
      <c r="S45" s="210">
        <f t="shared" si="23"/>
        <v>1</v>
      </c>
      <c r="T45" s="192" t="str">
        <f t="shared" si="4"/>
        <v>Southbound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-09-13T07:08:36-0600',mode:absolute,to:'2017-09-13T10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5" s="194" t="str">
        <f>IF(AA45&lt;VLOOKUP(AG45,Variables!$AC$3:$AD$8,2,FALSE),"Y","N")</f>
        <v>N</v>
      </c>
      <c r="X45" s="194">
        <f t="shared" ref="X45:X76" si="24">VALUE(LEFT(AD45,4))-VALUE(LEFT(AD44,4))</f>
        <v>1</v>
      </c>
      <c r="Y45" s="194">
        <f t="shared" ref="Y45:Y76" si="25">RIGHT(D45,LEN(D45)-4)/10000</f>
        <v>23.3</v>
      </c>
      <c r="Z45" s="194">
        <f t="shared" ref="Z45:Z76" si="26">RIGHT(H45,LEN(H45)-4)/10000</f>
        <v>1.34E-2</v>
      </c>
      <c r="AA45" s="194">
        <f t="shared" si="9"/>
        <v>23.2866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 t="shared" si="10"/>
        <v>132</v>
      </c>
      <c r="AE45" s="77" t="str">
        <f t="shared" si="11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45" s="74" t="str">
        <f t="shared" si="12"/>
        <v>"C:\Program Files (x86)\AstroGrep\AstroGrep.exe" /e /r /s /spath="%USERPROFILE%\AppData\Local\Temp\OnboardLogs" /stypes="app*4055*20170913*" /stext=" 15:.+((SYSTEM_STATE.+slice.+state.+changed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78" t="str">
        <f t="shared" si="18"/>
        <v>"%USERPROFILE%\Documents\GitHub\eaglep3\Utilities\RefineRTDCRunTimes.py" --tripid 132-13 --locoid 4055 --swversion DE.1.0.9.0 --startMP 204:233000 --initTime 2017-09-13T08:08:36 --startdatetime 2017-09-13T08:27:11 --delay 59 --endMP 204:134 --enddatetime 2017-09-13T09:04:33 --enforcementcount 0 &gt;&gt;C:\Users\stu\Documents\GitHub\eaglep3-reporting\EC\2017-09-13-refined-times.txt</v>
      </c>
      <c r="AI4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{"issue":{"subject":"","project_id":79,"tracker_id":40,"status_id":1,"priority_id":2,"assigned_to_id":338,"start_date":"2017-09-13","description":"","custom_fields":[{"id":1,"name":"Subdivision","value":"EC"},{"id":4,"name":"Milepost","value":"0.0134"},{"id":17,"name":"Train ID","value":"132-13"},{"id":16,"name":"Locomotive ID","value":"4055"},{"id":130,"name":"Impact","value":""},{"id":150,"name":"Time of Event (Mountain Time)","value":"09:04:33"},{"id":151,"name":"Denver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4055 --day 2017-09-13</v>
      </c>
      <c r="AN4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665</v>
      </c>
      <c r="B46" s="7">
        <v>4028</v>
      </c>
      <c r="C46" s="21" t="s">
        <v>197</v>
      </c>
      <c r="D46" s="21" t="s">
        <v>373</v>
      </c>
      <c r="E46" s="13">
        <v>42991.316365740742</v>
      </c>
      <c r="F46" s="13">
        <v>42991.323101851849</v>
      </c>
      <c r="G46" s="7">
        <v>48</v>
      </c>
      <c r="H46" s="21" t="s">
        <v>391</v>
      </c>
      <c r="I46" s="13">
        <v>42991.346643518518</v>
      </c>
      <c r="J46" s="7">
        <v>0</v>
      </c>
      <c r="K46" s="89" t="str">
        <f t="shared" si="0"/>
        <v>4027/4028</v>
      </c>
      <c r="L46" s="214" t="str">
        <f>VLOOKUP(A46,'Trips&amp;Operators'!$C$1:$G$99911,5,FALSE)</f>
        <v>YORK EDGAR</v>
      </c>
      <c r="M46" s="6">
        <f t="shared" si="1"/>
        <v>2.3541666669188999E-2</v>
      </c>
      <c r="N46" s="7">
        <f t="shared" si="22"/>
        <v>33.900000003632158</v>
      </c>
      <c r="O46" s="7"/>
      <c r="P46" s="7"/>
      <c r="Q46" s="22"/>
      <c r="R46" s="167"/>
      <c r="S46" s="210">
        <f t="shared" si="23"/>
        <v>1</v>
      </c>
      <c r="T46" s="192" t="str">
        <f t="shared" si="4"/>
        <v>NorthBound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-09-13T06:35:34-0600',mode:absolute,to:'2017-09-13T09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94" t="str">
        <f>IF(AA46&lt;VLOOKUP(AG46,Variables!$AC$3:$AD$8,2,FALSE),"Y","N")</f>
        <v>N</v>
      </c>
      <c r="X46" s="194">
        <f t="shared" si="24"/>
        <v>1</v>
      </c>
      <c r="Y46" s="194">
        <f t="shared" si="25"/>
        <v>4.6699999999999998E-2</v>
      </c>
      <c r="Z46" s="194">
        <f t="shared" si="26"/>
        <v>23.331399999999999</v>
      </c>
      <c r="AA46" s="194">
        <f t="shared" si="9"/>
        <v>23.284699999999997</v>
      </c>
      <c r="AB46" s="54" t="e">
        <f>VLOOKUP(A46,Enforcements!$C$7:$K$11,8,0)</f>
        <v>#N/A</v>
      </c>
      <c r="AC46" s="51" t="e">
        <f>VLOOKUP(A46,Enforcements!$C$7:$E$11,3,0)</f>
        <v>#N/A</v>
      </c>
      <c r="AD46" s="203">
        <f t="shared" si="10"/>
        <v>133</v>
      </c>
      <c r="AE46" s="77" t="str">
        <f t="shared" si="11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46" s="74" t="str">
        <f t="shared" si="12"/>
        <v>"C:\Program Files (x86)\AstroGrep\AstroGrep.exe" /e /r /s /spath="%USERPROFILE%\AppData\Local\Temp\OnboardLogs" /stypes="app*4028*20170913*" /stext=" 14:.+((SYSTEM_STATE.+slice.+state.+changed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78" t="str">
        <f t="shared" si="18"/>
        <v>"%USERPROFILE%\Documents\GitHub\eaglep3\Utilities\RefineRTDCRunTimes.py" --tripid 133-13 --locoid 4028 --swversion DE.1.0.9.0 --startMP 204:467 --initTime 2017-09-13T07:35:34 --startdatetime 2017-09-13T07:45:16 --delay 48 --endMP 204:233314 --enddatetime 2017-09-13T08:19:10 --enforcementcount 0 &gt;&gt;C:\Users\stu\Documents\GitHub\eaglep3-reporting\EC\2017-09-13-refined-times.txt</v>
      </c>
      <c r="AI4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{"issue":{"subject":"","project_id":79,"tracker_id":40,"status_id":1,"priority_id":2,"assigned_to_id":338,"start_date":"2017-09-13","description":"","custom_fields":[{"id":1,"name":"Subdivision","value":"EC"},{"id":4,"name":"Milepost","value":"23.3314"},{"id":17,"name":"Train ID","value":"133-13"},{"id":16,"name":"Locomotive ID","value":"4028"},{"id":130,"name":"Impact","value":""},{"id":150,"name":"Time of Event (Mountain Time)","value":"08:19:10"},{"id":151,"name":"Denver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4028 --day 2017-09-13</v>
      </c>
      <c r="AN4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674</v>
      </c>
      <c r="B47" s="7">
        <v>4027</v>
      </c>
      <c r="C47" s="21" t="s">
        <v>197</v>
      </c>
      <c r="D47" s="21" t="s">
        <v>492</v>
      </c>
      <c r="E47" s="13">
        <v>42991.348969907405</v>
      </c>
      <c r="F47" s="13">
        <v>42991.362800925926</v>
      </c>
      <c r="G47" s="7">
        <v>55</v>
      </c>
      <c r="H47" s="21" t="s">
        <v>360</v>
      </c>
      <c r="I47" s="13">
        <v>42991.388402777775</v>
      </c>
      <c r="J47" s="7">
        <v>0</v>
      </c>
      <c r="K47" s="89" t="str">
        <f t="shared" si="0"/>
        <v>4027/4028</v>
      </c>
      <c r="L47" s="214" t="str">
        <f>VLOOKUP(A47,'Trips&amp;Operators'!$C$1:$G$99911,5,FALSE)</f>
        <v>YORK EDGAR</v>
      </c>
      <c r="M47" s="6">
        <f t="shared" si="1"/>
        <v>2.5601851848477963E-2</v>
      </c>
      <c r="N47" s="7">
        <f t="shared" si="22"/>
        <v>36.866666661808267</v>
      </c>
      <c r="O47" s="7"/>
      <c r="P47" s="7"/>
      <c r="Q47" s="22"/>
      <c r="R47" s="167"/>
      <c r="S47" s="210">
        <f t="shared" si="23"/>
        <v>1</v>
      </c>
      <c r="T47" s="192" t="str">
        <f t="shared" si="4"/>
        <v>Southbound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-09-13T07:22:31-0600',mode:absolute,to:'2017-09-13T10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94" t="str">
        <f>IF(AA47&lt;VLOOKUP(AG47,Variables!$AC$3:$AD$8,2,FALSE),"Y","N")</f>
        <v>N</v>
      </c>
      <c r="X47" s="194">
        <f t="shared" si="24"/>
        <v>1</v>
      </c>
      <c r="Y47" s="194">
        <f t="shared" si="25"/>
        <v>23.296700000000001</v>
      </c>
      <c r="Z47" s="194">
        <f t="shared" si="26"/>
        <v>1.52E-2</v>
      </c>
      <c r="AA47" s="194">
        <f t="shared" si="9"/>
        <v>23.281500000000001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 t="shared" si="10"/>
        <v>134</v>
      </c>
      <c r="AE47" s="77" t="str">
        <f t="shared" si="11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47" s="74" t="str">
        <f t="shared" si="12"/>
        <v>"C:\Program Files (x86)\AstroGrep\AstroGrep.exe" /e /r /s /spath="%USERPROFILE%\AppData\Local\Temp\OnboardLogs" /stypes="app*4027*20170913*" /stext=" 15:.+((SYSTEM_STATE.+slice.+state.+changed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78" t="str">
        <f t="shared" si="18"/>
        <v>"%USERPROFILE%\Documents\GitHub\eaglep3\Utilities\RefineRTDCRunTimes.py" --tripid 134-13 --locoid 4027 --swversion DE.1.0.9.0 --startMP 204:232967 --initTime 2017-09-13T08:22:31 --startdatetime 2017-09-13T08:42:26 --delay 55 --endMP 204:152 --enddatetime 2017-09-13T09:19:18 --enforcementcount 0 &gt;&gt;C:\Users\stu\Documents\GitHub\eaglep3-reporting\EC\2017-09-13-refined-times.txt</v>
      </c>
      <c r="AI4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{"issue":{"subject":"","project_id":79,"tracker_id":40,"status_id":1,"priority_id":2,"assigned_to_id":338,"start_date":"2017-09-13","description":"","custom_fields":[{"id":1,"name":"Subdivision","value":"EC"},{"id":4,"name":"Milepost","value":"0.0152"},{"id":17,"name":"Train ID","value":"134-13"},{"id":16,"name":"Locomotive ID","value":"4027"},{"id":130,"name":"Impact","value":""},{"id":150,"name":"Time of Event (Mountain Time)","value":"09:19:18"},{"id":151,"name":"Denver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4027 --day 2017-09-13</v>
      </c>
      <c r="AN4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668</v>
      </c>
      <c r="B48" s="7">
        <v>4016</v>
      </c>
      <c r="C48" s="21" t="s">
        <v>197</v>
      </c>
      <c r="D48" s="21" t="s">
        <v>404</v>
      </c>
      <c r="E48" s="13">
        <v>42991.329641203702</v>
      </c>
      <c r="F48" s="13">
        <v>42991.333831018521</v>
      </c>
      <c r="G48" s="7">
        <v>73</v>
      </c>
      <c r="H48" s="21" t="s">
        <v>491</v>
      </c>
      <c r="I48" s="13">
        <v>42991.358900462961</v>
      </c>
      <c r="J48" s="7">
        <v>0</v>
      </c>
      <c r="K48" s="89" t="str">
        <f t="shared" si="0"/>
        <v>4015/4016</v>
      </c>
      <c r="L48" s="214" t="str">
        <f>VLOOKUP(A48,'Trips&amp;Operators'!$C$1:$G$99911,5,FALSE)</f>
        <v>YANG JAN</v>
      </c>
      <c r="M48" s="6">
        <f t="shared" si="1"/>
        <v>2.5069444440305233E-2</v>
      </c>
      <c r="N48" s="7">
        <f t="shared" si="22"/>
        <v>36.099999994039536</v>
      </c>
      <c r="O48" s="7"/>
      <c r="P48" s="7"/>
      <c r="Q48" s="22"/>
      <c r="R48" s="167"/>
      <c r="S48" s="210">
        <f t="shared" si="23"/>
        <v>1</v>
      </c>
      <c r="T48" s="192" t="str">
        <f t="shared" si="4"/>
        <v>NorthBound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-09-13T06:54:41-0600',mode:absolute,to:'2017-09-13T09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8" s="194" t="str">
        <f>IF(AA48&lt;VLOOKUP(AG48,Variables!$AC$3:$AD$8,2,FALSE),"Y","N")</f>
        <v>N</v>
      </c>
      <c r="X48" s="194">
        <f t="shared" si="24"/>
        <v>1</v>
      </c>
      <c r="Y48" s="194">
        <f t="shared" si="25"/>
        <v>4.3999999999999997E-2</v>
      </c>
      <c r="Z48" s="194">
        <f t="shared" si="26"/>
        <v>23.331499999999998</v>
      </c>
      <c r="AA48" s="194">
        <f t="shared" si="9"/>
        <v>23.287499999999998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 t="shared" si="10"/>
        <v>135</v>
      </c>
      <c r="AE48" s="77" t="str">
        <f t="shared" si="11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48" s="74" t="str">
        <f t="shared" si="12"/>
        <v>"C:\Program Files (x86)\AstroGrep\AstroGrep.exe" /e /r /s /spath="%USERPROFILE%\AppData\Local\Temp\OnboardLogs" /stypes="app*4016*20170913*" /stext=" 14:.+((SYSTEM_STATE.+slice.+state.+changed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78" t="str">
        <f t="shared" si="18"/>
        <v>"%USERPROFILE%\Documents\GitHub\eaglep3\Utilities\RefineRTDCRunTimes.py" --tripid 135-13 --locoid 4016 --swversion DE.1.0.9.0 --startMP 204:440 --initTime 2017-09-13T07:54:41 --startdatetime 2017-09-13T08:00:43 --delay 73 --endMP 204:233315 --enddatetime 2017-09-13T08:36:49 --enforcementcount 0 &gt;&gt;C:\Users\stu\Documents\GitHub\eaglep3-reporting\EC\2017-09-13-refined-times.txt</v>
      </c>
      <c r="AI4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{"issue":{"subject":"","project_id":79,"tracker_id":40,"status_id":1,"priority_id":2,"assigned_to_id":338,"start_date":"2017-09-13","description":"","custom_fields":[{"id":1,"name":"Subdivision","value":"EC"},{"id":4,"name":"Milepost","value":"23.3315"},{"id":17,"name":"Train ID","value":"135-13"},{"id":16,"name":"Locomotive ID","value":"4016"},{"id":130,"name":"Impact","value":""},{"id":150,"name":"Time of Event (Mountain Time)","value":"08:36:49"},{"id":151,"name":"Denver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4016 --day 2017-09-13</v>
      </c>
      <c r="AN4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679</v>
      </c>
      <c r="B49" s="7">
        <v>4015</v>
      </c>
      <c r="C49" s="21" t="s">
        <v>197</v>
      </c>
      <c r="D49" s="21" t="s">
        <v>550</v>
      </c>
      <c r="E49" s="13">
        <v>42991.367025462961</v>
      </c>
      <c r="F49" s="13">
        <v>42991.373333333337</v>
      </c>
      <c r="G49" s="7">
        <v>91</v>
      </c>
      <c r="H49" s="21" t="s">
        <v>367</v>
      </c>
      <c r="I49" s="13">
        <v>42991.399618055555</v>
      </c>
      <c r="J49" s="7">
        <v>0</v>
      </c>
      <c r="K49" s="89" t="str">
        <f t="shared" si="0"/>
        <v>4015/4016</v>
      </c>
      <c r="L49" s="214" t="str">
        <f>VLOOKUP(A49,'Trips&amp;Operators'!$C$1:$G$99911,5,FALSE)</f>
        <v>YANG JAN</v>
      </c>
      <c r="M49" s="6">
        <f t="shared" si="1"/>
        <v>2.6284722218406387E-2</v>
      </c>
      <c r="N49" s="7">
        <f t="shared" si="22"/>
        <v>37.849999994505197</v>
      </c>
      <c r="O49" s="7"/>
      <c r="P49" s="7"/>
      <c r="Q49" s="22"/>
      <c r="R49" s="167"/>
      <c r="S49" s="210">
        <f t="shared" si="23"/>
        <v>1</v>
      </c>
      <c r="T49" s="192" t="str">
        <f t="shared" si="4"/>
        <v>Southbound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-09-13T07:48:31-0600',mode:absolute,to:'2017-09-13T10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9" s="194" t="str">
        <f>IF(AA49&lt;VLOOKUP(AG49,Variables!$AC$3:$AD$8,2,FALSE),"Y","N")</f>
        <v>N</v>
      </c>
      <c r="X49" s="194">
        <f t="shared" si="24"/>
        <v>1</v>
      </c>
      <c r="Y49" s="194">
        <f t="shared" si="25"/>
        <v>23.299099999999999</v>
      </c>
      <c r="Z49" s="194">
        <f t="shared" si="26"/>
        <v>1.38E-2</v>
      </c>
      <c r="AA49" s="194">
        <f t="shared" si="9"/>
        <v>23.285299999999999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 t="shared" si="10"/>
        <v>136</v>
      </c>
      <c r="AE49" s="77" t="str">
        <f t="shared" si="11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49" s="74" t="str">
        <f t="shared" si="12"/>
        <v>"C:\Program Files (x86)\AstroGrep\AstroGrep.exe" /e /r /s /spath="%USERPROFILE%\AppData\Local\Temp\OnboardLogs" /stypes="app*4015*20170913*" /stext=" 15:.+((SYSTEM_STATE.+slice.+state.+changed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78" t="str">
        <f t="shared" si="18"/>
        <v>"%USERPROFILE%\Documents\GitHub\eaglep3\Utilities\RefineRTDCRunTimes.py" --tripid 136-13 --locoid 4015 --swversion DE.1.0.9.0 --startMP 204:232991 --initTime 2017-09-13T08:48:31 --startdatetime 2017-09-13T08:57:36 --delay 91 --endMP 204:138 --enddatetime 2017-09-13T09:35:27 --enforcementcount 0 &gt;&gt;C:\Users\stu\Documents\GitHub\eaglep3-reporting\EC\2017-09-13-refined-times.txt</v>
      </c>
      <c r="AI4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ID","value":"136-13"},{"id":16,"name":"Locomotive ID","value":"4015"},{"id":130,"name":"Impact","value":""},{"id":150,"name":"Time of Event (Mountain Time)","value":"09:35:27"},{"id":151,"name":"Denver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4015 --day 2017-09-13</v>
      </c>
      <c r="AN4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672</v>
      </c>
      <c r="B50" s="7">
        <v>4044</v>
      </c>
      <c r="C50" s="21" t="s">
        <v>197</v>
      </c>
      <c r="D50" s="21" t="s">
        <v>543</v>
      </c>
      <c r="E50" s="13">
        <v>42991.339224537034</v>
      </c>
      <c r="F50" s="13">
        <v>42991.343912037039</v>
      </c>
      <c r="G50" s="7">
        <v>49</v>
      </c>
      <c r="H50" s="21" t="s">
        <v>499</v>
      </c>
      <c r="I50" s="13">
        <v>42991.369768518518</v>
      </c>
      <c r="J50" s="7">
        <v>0</v>
      </c>
      <c r="K50" s="89" t="str">
        <f t="shared" si="0"/>
        <v>4043/4044</v>
      </c>
      <c r="L50" s="214" t="str">
        <f>VLOOKUP(A50,'Trips&amp;Operators'!$C$1:$G$99911,5,FALSE)</f>
        <v>DAVIS WENDY</v>
      </c>
      <c r="M50" s="6">
        <f t="shared" si="1"/>
        <v>2.5856481479422655E-2</v>
      </c>
      <c r="N50" s="7">
        <f t="shared" si="22"/>
        <v>37.233333330368623</v>
      </c>
      <c r="O50" s="7"/>
      <c r="P50" s="7"/>
      <c r="Q50" s="22"/>
      <c r="R50" s="167"/>
      <c r="S50" s="210">
        <f t="shared" si="23"/>
        <v>1</v>
      </c>
      <c r="T50" s="192" t="str">
        <f t="shared" si="4"/>
        <v>NorthBound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-09-13T07:08:29-0600',mode:absolute,to:'2017-09-13T09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0" s="194" t="str">
        <f>IF(AA50&lt;VLOOKUP(AG50,Variables!$AC$3:$AD$8,2,FALSE),"Y","N")</f>
        <v>N</v>
      </c>
      <c r="X50" s="194">
        <f t="shared" si="24"/>
        <v>1</v>
      </c>
      <c r="Y50" s="194">
        <f t="shared" si="25"/>
        <v>4.8599999999999997E-2</v>
      </c>
      <c r="Z50" s="194">
        <f t="shared" si="26"/>
        <v>23.328600000000002</v>
      </c>
      <c r="AA50" s="194">
        <f t="shared" si="9"/>
        <v>23.28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 t="shared" si="10"/>
        <v>137</v>
      </c>
      <c r="AE50" s="77" t="str">
        <f t="shared" si="11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50" s="74" t="str">
        <f t="shared" si="12"/>
        <v>"C:\Program Files (x86)\AstroGrep\AstroGrep.exe" /e /r /s /spath="%USERPROFILE%\AppData\Local\Temp\OnboardLogs" /stypes="app*4044*20170913*" /stext=" 14:.+((SYSTEM_STATE.+slice.+state.+changed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78" t="str">
        <f t="shared" si="18"/>
        <v>"%USERPROFILE%\Documents\GitHub\eaglep3\Utilities\RefineRTDCRunTimes.py" --tripid 137-13 --locoid 4044 --swversion DE.1.0.9.0 --startMP 204:486 --initTime 2017-09-13T08:08:29 --startdatetime 2017-09-13T08:15:14 --delay 49 --endMP 204:233286 --enddatetime 2017-09-13T08:52:28 --enforcementcount 0 &gt;&gt;C:\Users\stu\Documents\GitHub\eaglep3-reporting\EC\2017-09-13-refined-times.txt</v>
      </c>
      <c r="AI5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{"issue":{"subject":"","project_id":79,"tracker_id":40,"status_id":1,"priority_id":2,"assigned_to_id":338,"start_date":"2017-09-13","description":"","custom_fields":[{"id":1,"name":"Subdivision","value":"EC"},{"id":4,"name":"Milepost","value":"23.3286"},{"id":17,"name":"Train ID","value":"137-13"},{"id":16,"name":"Locomotive ID","value":"4044"},{"id":130,"name":"Impact","value":""},{"id":150,"name":"Time of Event (Mountain Time)","value":"08:52:28"},{"id":151,"name":"Denver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4044 --day 2017-09-13</v>
      </c>
      <c r="AN5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682</v>
      </c>
      <c r="B51" s="7">
        <v>4043</v>
      </c>
      <c r="C51" s="21" t="s">
        <v>197</v>
      </c>
      <c r="D51" s="21" t="s">
        <v>861</v>
      </c>
      <c r="E51" s="13">
        <v>42991.380150462966</v>
      </c>
      <c r="F51" s="13">
        <v>42991.383483796293</v>
      </c>
      <c r="G51" s="7">
        <v>117</v>
      </c>
      <c r="H51" s="21" t="s">
        <v>372</v>
      </c>
      <c r="I51" s="13">
        <v>42991.410740740743</v>
      </c>
      <c r="J51" s="7">
        <v>0</v>
      </c>
      <c r="K51" s="89" t="str">
        <f t="shared" si="0"/>
        <v>4043/4044</v>
      </c>
      <c r="L51" s="214" t="str">
        <f>VLOOKUP(A51,'Trips&amp;Operators'!$C$1:$G$99911,5,FALSE)</f>
        <v>DAVIS WENDY</v>
      </c>
      <c r="M51" s="6">
        <f t="shared" si="1"/>
        <v>2.7256944449618459E-2</v>
      </c>
      <c r="N51" s="7">
        <f t="shared" si="22"/>
        <v>39.250000007450581</v>
      </c>
      <c r="O51" s="7"/>
      <c r="P51" s="7"/>
      <c r="Q51" s="22"/>
      <c r="R51" s="167"/>
      <c r="S51" s="210">
        <f t="shared" si="23"/>
        <v>1</v>
      </c>
      <c r="T51" s="192" t="str">
        <f t="shared" si="4"/>
        <v>Southbound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-09-13T08:07:25-0600',mode:absolute,to:'2017-09-13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1" s="194" t="str">
        <f>IF(AA51&lt;VLOOKUP(AG51,Variables!$AC$3:$AD$8,2,FALSE),"Y","N")</f>
        <v>N</v>
      </c>
      <c r="X51" s="194">
        <f t="shared" si="24"/>
        <v>1</v>
      </c>
      <c r="Y51" s="194">
        <f t="shared" si="25"/>
        <v>23.298999999999999</v>
      </c>
      <c r="Z51" s="194">
        <f t="shared" si="26"/>
        <v>1.5599999999999999E-2</v>
      </c>
      <c r="AA51" s="194">
        <f t="shared" si="9"/>
        <v>23.2834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 t="shared" si="10"/>
        <v>138</v>
      </c>
      <c r="AE51" s="77" t="str">
        <f t="shared" si="11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51" s="74" t="str">
        <f t="shared" si="12"/>
        <v>"C:\Program Files (x86)\AstroGrep\AstroGrep.exe" /e /r /s /spath="%USERPROFILE%\AppData\Local\Temp\OnboardLogs" /stypes="app*4043*20170913*" /stext=" 15:.+((SYSTEM_STATE.+slice.+state.+changed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78" t="str">
        <f t="shared" si="18"/>
        <v>"%USERPROFILE%\Documents\GitHub\eaglep3\Utilities\RefineRTDCRunTimes.py" --tripid 138-13 --locoid 4043 --swversion DE.1.0.9.0 --startMP 204:232990 --initTime 2017-09-13T09:07:25 --startdatetime 2017-09-13T09:12:13 --delay 117 --endMP 204:156 --enddatetime 2017-09-13T09:51:28 --enforcementcount 0 &gt;&gt;C:\Users\stu\Documents\GitHub\eaglep3-reporting\EC\2017-09-13-refined-times.txt</v>
      </c>
      <c r="AI5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ID","value":"138-13"},{"id":16,"name":"Locomotive ID","value":"4043"},{"id":130,"name":"Impact","value":""},{"id":150,"name":"Time of Event (Mountain Time)","value":"09:51:28"},{"id":151,"name":"Denver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4043 --day 2017-09-13</v>
      </c>
      <c r="AN5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676</v>
      </c>
      <c r="B52" s="7">
        <v>4006</v>
      </c>
      <c r="C52" s="21" t="s">
        <v>197</v>
      </c>
      <c r="D52" s="21" t="s">
        <v>538</v>
      </c>
      <c r="E52" s="13">
        <v>42991.35193287037</v>
      </c>
      <c r="F52" s="13">
        <v>42991.35434027778</v>
      </c>
      <c r="G52" s="7">
        <v>52</v>
      </c>
      <c r="H52" s="21" t="s">
        <v>536</v>
      </c>
      <c r="I52" s="13">
        <v>42991.380567129629</v>
      </c>
      <c r="J52" s="7">
        <v>0</v>
      </c>
      <c r="K52" s="89" t="str">
        <f t="shared" si="0"/>
        <v>4005/4006</v>
      </c>
      <c r="L52" s="214" t="str">
        <f>VLOOKUP(A52,'Trips&amp;Operators'!$C$1:$G$99911,5,FALSE)</f>
        <v>BONDS REYNALDO</v>
      </c>
      <c r="M52" s="6">
        <f t="shared" si="1"/>
        <v>2.622685184906004E-2</v>
      </c>
      <c r="N52" s="7">
        <f t="shared" si="22"/>
        <v>37.766666662646458</v>
      </c>
      <c r="O52" s="7"/>
      <c r="P52" s="7"/>
      <c r="Q52" s="22"/>
      <c r="R52" s="167"/>
      <c r="S52" s="210">
        <f t="shared" si="23"/>
        <v>1</v>
      </c>
      <c r="T52" s="192" t="str">
        <f t="shared" si="4"/>
        <v>NorthBound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-09-13T07:26:47-0600',mode:absolute,to:'2017-09-13T10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94" t="str">
        <f>IF(AA52&lt;VLOOKUP(AG52,Variables!$AC$3:$AD$8,2,FALSE),"Y","N")</f>
        <v>N</v>
      </c>
      <c r="X52" s="194">
        <f t="shared" si="24"/>
        <v>1</v>
      </c>
      <c r="Y52" s="194">
        <f t="shared" si="25"/>
        <v>4.4699999999999997E-2</v>
      </c>
      <c r="Z52" s="194">
        <f t="shared" si="26"/>
        <v>23.329499999999999</v>
      </c>
      <c r="AA52" s="194">
        <f t="shared" si="9"/>
        <v>23.284800000000001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 t="shared" si="10"/>
        <v>139</v>
      </c>
      <c r="AE52" s="77" t="str">
        <f t="shared" si="11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52" s="74" t="str">
        <f t="shared" si="12"/>
        <v>"C:\Program Files (x86)\AstroGrep\AstroGrep.exe" /e /r /s /spath="%USERPROFILE%\AppData\Local\Temp\OnboardLogs" /stypes="app*4006*20170913*" /stext=" 15:.+((SYSTEM_STATE.+slice.+state.+changed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78" t="str">
        <f t="shared" si="18"/>
        <v>"%USERPROFILE%\Documents\GitHub\eaglep3\Utilities\RefineRTDCRunTimes.py" --tripid 139-13 --locoid 4006 --swversion DE.1.0.9.0 --startMP 204:447 --initTime 2017-09-13T08:26:47 --startdatetime 2017-09-13T08:30:15 --delay 52 --endMP 204:233295 --enddatetime 2017-09-13T09:08:01 --enforcementcount 0 &gt;&gt;C:\Users\stu\Documents\GitHub\eaglep3-reporting\EC\2017-09-13-refined-times.txt</v>
      </c>
      <c r="AI5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{"issue":{"subject":"","project_id":79,"tracker_id":40,"status_id":1,"priority_id":2,"assigned_to_id":338,"start_date":"2017-09-13","description":"","custom_fields":[{"id":1,"name":"Subdivision","value":"EC"},{"id":4,"name":"Milepost","value":"23.3295"},{"id":17,"name":"Train ID","value":"139-13"},{"id":16,"name":"Locomotive ID","value":"4006"},{"id":130,"name":"Impact","value":""},{"id":150,"name":"Time of Event (Mountain Time)","value":"09:08:01"},{"id":151,"name":"Denver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4006 --day 2017-09-13</v>
      </c>
      <c r="AN5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685</v>
      </c>
      <c r="B53" s="7">
        <v>4005</v>
      </c>
      <c r="C53" s="21" t="s">
        <v>197</v>
      </c>
      <c r="D53" s="21" t="s">
        <v>405</v>
      </c>
      <c r="E53" s="13">
        <v>42991.390162037038</v>
      </c>
      <c r="F53" s="13">
        <v>42991.393900462965</v>
      </c>
      <c r="G53" s="7">
        <v>48</v>
      </c>
      <c r="H53" s="21" t="s">
        <v>338</v>
      </c>
      <c r="I53" s="13">
        <v>42991.42082175926</v>
      </c>
      <c r="J53" s="7">
        <v>0</v>
      </c>
      <c r="K53" s="89" t="str">
        <f t="shared" si="0"/>
        <v>4005/4006</v>
      </c>
      <c r="L53" s="214" t="str">
        <f>VLOOKUP(A53,'Trips&amp;Operators'!$C$1:$G$99911,5,FALSE)</f>
        <v>BONDS REYNALDO</v>
      </c>
      <c r="M53" s="6">
        <f t="shared" si="1"/>
        <v>2.6921296295768116E-2</v>
      </c>
      <c r="N53" s="7">
        <f t="shared" si="22"/>
        <v>38.766666665906087</v>
      </c>
      <c r="O53" s="7"/>
      <c r="P53" s="7"/>
      <c r="Q53" s="22"/>
      <c r="R53" s="167"/>
      <c r="S53" s="210">
        <f t="shared" si="23"/>
        <v>1</v>
      </c>
      <c r="T53" s="192" t="str">
        <f t="shared" si="4"/>
        <v>Southbound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-09-13T08:21:50-0600',mode:absolute,to:'2017-09-13T11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94" t="str">
        <f>IF(AA53&lt;VLOOKUP(AG53,Variables!$AC$3:$AD$8,2,FALSE),"Y","N")</f>
        <v>N</v>
      </c>
      <c r="X53" s="194">
        <f t="shared" si="24"/>
        <v>1</v>
      </c>
      <c r="Y53" s="194">
        <f t="shared" si="25"/>
        <v>23.3</v>
      </c>
      <c r="Z53" s="194">
        <f t="shared" si="26"/>
        <v>1.4999999999999999E-2</v>
      </c>
      <c r="AA53" s="194">
        <f t="shared" si="9"/>
        <v>23.285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 t="shared" si="10"/>
        <v>140</v>
      </c>
      <c r="AE53" s="77" t="str">
        <f t="shared" si="11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53" s="74" t="str">
        <f t="shared" si="12"/>
        <v>"C:\Program Files (x86)\AstroGrep\AstroGrep.exe" /e /r /s /spath="%USERPROFILE%\AppData\Local\Temp\OnboardLogs" /stypes="app*4005*20170913*" /stext=" 16:.+((SYSTEM_STATE.+slice.+state.+changed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78" t="str">
        <f t="shared" si="18"/>
        <v>"%USERPROFILE%\Documents\GitHub\eaglep3\Utilities\RefineRTDCRunTimes.py" --tripid 140-13 --locoid 4005 --swversion DE.1.0.9.0 --startMP 204:233000 --initTime 2017-09-13T09:21:50 --startdatetime 2017-09-13T09:27:13 --delay 48 --endMP 204:150 --enddatetime 2017-09-13T10:05:59 --enforcementcount 0 &gt;&gt;C:\Users\stu\Documents\GitHub\eaglep3-reporting\EC\2017-09-13-refined-times.txt</v>
      </c>
      <c r="AI53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{"issue":{"subject":"","project_id":79,"tracker_id":40,"status_id":1,"priority_id":2,"assigned_to_id":338,"start_date":"2017-09-13","description":"","custom_fields":[{"id":1,"name":"Subdivision","value":"EC"},{"id":4,"name":"Milepost","value":"0.015"},{"id":17,"name":"Train ID","value":"140-13"},{"id":16,"name":"Locomotive ID","value":"4005"},{"id":130,"name":"Impact","value":""},{"id":150,"name":"Time of Event (Mountain Time)","value":"10:05:59"},{"id":151,"name":"Denver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4005 --day 2017-09-13</v>
      </c>
      <c r="AN53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678</v>
      </c>
      <c r="B54" s="7">
        <v>4010</v>
      </c>
      <c r="C54" s="21" t="s">
        <v>197</v>
      </c>
      <c r="D54" s="21" t="s">
        <v>362</v>
      </c>
      <c r="E54" s="13">
        <v>42991.359317129631</v>
      </c>
      <c r="F54" s="13">
        <v>42991.364733796298</v>
      </c>
      <c r="G54" s="7">
        <v>76</v>
      </c>
      <c r="H54" s="21" t="s">
        <v>862</v>
      </c>
      <c r="I54" s="13">
        <v>42991.388356481482</v>
      </c>
      <c r="J54" s="7">
        <v>0</v>
      </c>
      <c r="K54" s="89" t="str">
        <f t="shared" si="0"/>
        <v>4009/4010</v>
      </c>
      <c r="L54" s="214" t="str">
        <f>VLOOKUP(A54,'Trips&amp;Operators'!$C$1:$G$99911,5,FALSE)</f>
        <v>YANAI IAN</v>
      </c>
      <c r="M54" s="6">
        <f t="shared" si="1"/>
        <v>2.3622685184818693E-2</v>
      </c>
      <c r="N54" s="7">
        <f t="shared" si="22"/>
        <v>34.016666666138917</v>
      </c>
      <c r="O54" s="7"/>
      <c r="P54" s="7"/>
      <c r="Q54" s="22"/>
      <c r="R54" s="167"/>
      <c r="S54" s="210">
        <f t="shared" si="23"/>
        <v>1</v>
      </c>
      <c r="T54" s="192" t="str">
        <f t="shared" si="4"/>
        <v>NorthBound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-09-13T07:37:25-0600',mode:absolute,to:'2017-09-13T10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194" t="str">
        <f>IF(AA54&lt;VLOOKUP(AG54,Variables!$AC$3:$AD$8,2,FALSE),"Y","N")</f>
        <v>N</v>
      </c>
      <c r="X54" s="194">
        <f t="shared" si="24"/>
        <v>1</v>
      </c>
      <c r="Y54" s="194">
        <f t="shared" si="25"/>
        <v>4.5699999999999998E-2</v>
      </c>
      <c r="Z54" s="194">
        <f t="shared" si="26"/>
        <v>23.330300000000001</v>
      </c>
      <c r="AA54" s="194">
        <f t="shared" si="9"/>
        <v>23.284600000000001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 t="shared" si="10"/>
        <v>141</v>
      </c>
      <c r="AE54" s="77" t="str">
        <f t="shared" si="11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54" s="74" t="str">
        <f t="shared" si="12"/>
        <v>"C:\Program Files (x86)\AstroGrep\AstroGrep.exe" /e /r /s /spath="%USERPROFILE%\AppData\Local\Temp\OnboardLogs" /stypes="app*4010*20170913*" /stext=" 15:.+((SYSTEM_STATE.+slice.+state.+changed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78" t="str">
        <f t="shared" si="18"/>
        <v>"%USERPROFILE%\Documents\GitHub\eaglep3\Utilities\RefineRTDCRunTimes.py" --tripid 141-13 --locoid 4010 --swversion DE.1.0.9.0 --startMP 204:457 --initTime 2017-09-13T08:37:25 --startdatetime 2017-09-13T08:45:13 --delay 76 --endMP 204:233303 --enddatetime 2017-09-13T09:19:14 --enforcementcount 0 &gt;&gt;C:\Users\stu\Documents\GitHub\eaglep3-reporting\EC\2017-09-13-refined-times.txt</v>
      </c>
      <c r="AI5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{"issue":{"subject":"","project_id":79,"tracker_id":40,"status_id":1,"priority_id":2,"assigned_to_id":338,"start_date":"2017-09-13","description":"","custom_fields":[{"id":1,"name":"Subdivision","value":"EC"},{"id":4,"name":"Milepost","value":"23.3303"},{"id":17,"name":"Train ID","value":"141-13"},{"id":16,"name":"Locomotive ID","value":"4010"},{"id":130,"name":"Impact","value":""},{"id":150,"name":"Time of Event (Mountain Time)","value":"09:19:14"},{"id":151,"name":"Denver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4010 --day 2017-09-13</v>
      </c>
      <c r="AN5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686</v>
      </c>
      <c r="B55" s="7">
        <v>4009</v>
      </c>
      <c r="C55" s="21" t="s">
        <v>197</v>
      </c>
      <c r="D55" s="21" t="s">
        <v>490</v>
      </c>
      <c r="E55" s="13">
        <v>42991.389988425923</v>
      </c>
      <c r="F55" s="13">
        <v>42991.404328703706</v>
      </c>
      <c r="G55" s="7">
        <v>67</v>
      </c>
      <c r="H55" s="21" t="s">
        <v>339</v>
      </c>
      <c r="I55" s="13">
        <v>42991.429907407408</v>
      </c>
      <c r="J55" s="7">
        <v>0</v>
      </c>
      <c r="K55" s="89" t="str">
        <f t="shared" si="0"/>
        <v>4009/4010</v>
      </c>
      <c r="L55" s="214" t="str">
        <f>VLOOKUP(A55,'Trips&amp;Operators'!$C$1:$G$99911,5,FALSE)</f>
        <v>YANAI IAN</v>
      </c>
      <c r="M55" s="6">
        <f t="shared" si="1"/>
        <v>2.5578703702194616E-2</v>
      </c>
      <c r="N55" s="7">
        <f t="shared" si="22"/>
        <v>36.833333331160247</v>
      </c>
      <c r="O55" s="7"/>
      <c r="P55" s="7"/>
      <c r="Q55" s="22"/>
      <c r="R55" s="167"/>
      <c r="S55" s="210">
        <f t="shared" si="23"/>
        <v>1</v>
      </c>
      <c r="T55" s="192" t="str">
        <f t="shared" si="4"/>
        <v>Southbound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-09-13T08:21:35-0600',mode:absolute,to:'2017-09-13T11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5" s="194" t="str">
        <f>IF(AA55&lt;VLOOKUP(AG55,Variables!$AC$3:$AD$8,2,FALSE),"Y","N")</f>
        <v>N</v>
      </c>
      <c r="X55" s="194">
        <f t="shared" si="24"/>
        <v>1</v>
      </c>
      <c r="Y55" s="194">
        <f t="shared" si="25"/>
        <v>23.2971</v>
      </c>
      <c r="Z55" s="194">
        <f t="shared" si="26"/>
        <v>1.49E-2</v>
      </c>
      <c r="AA55" s="194">
        <f t="shared" si="9"/>
        <v>23.2822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 t="shared" si="10"/>
        <v>142</v>
      </c>
      <c r="AE55" s="77" t="str">
        <f t="shared" si="11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55" s="74" t="str">
        <f t="shared" si="12"/>
        <v>"C:\Program Files (x86)\AstroGrep\AstroGrep.exe" /e /r /s /spath="%USERPROFILE%\AppData\Local\Temp\OnboardLogs" /stypes="app*4009*20170913*" /stext=" 16:.+((SYSTEM_STATE.+slice.+state.+changed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78" t="str">
        <f t="shared" si="18"/>
        <v>"%USERPROFILE%\Documents\GitHub\eaglep3\Utilities\RefineRTDCRunTimes.py" --tripid 142-13 --locoid 4009 --swversion DE.1.0.9.0 --startMP 204:232971 --initTime 2017-09-13T09:21:35 --startdatetime 2017-09-13T09:42:14 --delay 67 --endMP 204:149 --enddatetime 2017-09-13T10:19:04 --enforcementcount 0 &gt;&gt;C:\Users\stu\Documents\GitHub\eaglep3-reporting\EC\2017-09-13-refined-times.txt</v>
      </c>
      <c r="AI5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{"issue":{"subject":"","project_id":79,"tracker_id":40,"status_id":1,"priority_id":2,"assigned_to_id":338,"start_date":"2017-09-13","description":"","custom_fields":[{"id":1,"name":"Subdivision","value":"EC"},{"id":4,"name":"Milepost","value":"0.0149"},{"id":17,"name":"Train ID","value":"142-13"},{"id":16,"name":"Locomotive ID","value":"4009"},{"id":130,"name":"Impact","value":""},{"id":150,"name":"Time of Event (Mountain Time)","value":"10:19:04"},{"id":151,"name":"Denver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4009 --day 2017-09-13</v>
      </c>
      <c r="AN5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680</v>
      </c>
      <c r="B56" s="7">
        <v>4020</v>
      </c>
      <c r="C56" s="21" t="s">
        <v>197</v>
      </c>
      <c r="D56" s="21" t="s">
        <v>359</v>
      </c>
      <c r="E56" s="13">
        <v>42991.372766203705</v>
      </c>
      <c r="F56" s="13">
        <v>42991.375347222223</v>
      </c>
      <c r="G56" s="7">
        <v>68</v>
      </c>
      <c r="H56" s="21" t="s">
        <v>554</v>
      </c>
      <c r="I56" s="13">
        <v>42991.402013888888</v>
      </c>
      <c r="J56" s="7">
        <v>0</v>
      </c>
      <c r="K56" s="89" t="str">
        <f t="shared" si="0"/>
        <v>4019/4020</v>
      </c>
      <c r="L56" s="214" t="str">
        <f>VLOOKUP(A56,'Trips&amp;Operators'!$C$1:$G$99911,5,FALSE)</f>
        <v>STARKS ANGELINA</v>
      </c>
      <c r="M56" s="6">
        <f t="shared" si="1"/>
        <v>2.6666666664823424E-2</v>
      </c>
      <c r="N56" s="7">
        <f t="shared" si="22"/>
        <v>38.399999997345731</v>
      </c>
      <c r="O56" s="7"/>
      <c r="P56" s="7"/>
      <c r="Q56" s="22"/>
      <c r="R56" s="167"/>
      <c r="S56" s="210">
        <f t="shared" si="23"/>
        <v>1</v>
      </c>
      <c r="T56" s="192" t="str">
        <f t="shared" si="4"/>
        <v>NorthBound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-09-13T07:56:47-0600',mode:absolute,to:'2017-09-13T10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6" s="194" t="str">
        <f>IF(AA56&lt;VLOOKUP(AG56,Variables!$AC$3:$AD$8,2,FALSE),"Y","N")</f>
        <v>N</v>
      </c>
      <c r="X56" s="194">
        <f t="shared" si="24"/>
        <v>1</v>
      </c>
      <c r="Y56" s="194">
        <f t="shared" si="25"/>
        <v>4.58E-2</v>
      </c>
      <c r="Z56" s="194">
        <f t="shared" si="26"/>
        <v>23.3306</v>
      </c>
      <c r="AA56" s="194">
        <f t="shared" si="9"/>
        <v>23.284800000000001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 t="shared" si="10"/>
        <v>143</v>
      </c>
      <c r="AE56" s="77" t="str">
        <f t="shared" si="11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56" s="74" t="str">
        <f t="shared" si="12"/>
        <v>"C:\Program Files (x86)\AstroGrep\AstroGrep.exe" /e /r /s /spath="%USERPROFILE%\AppData\Local\Temp\OnboardLogs" /stypes="app*4020*20170913*" /stext=" 15:.+((SYSTEM_STATE.+slice.+state.+changed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78" t="str">
        <f t="shared" si="18"/>
        <v>"%USERPROFILE%\Documents\GitHub\eaglep3\Utilities\RefineRTDCRunTimes.py" --tripid 143-13 --locoid 4020 --swversion DE.1.0.9.0 --startMP 204:458 --initTime 2017-09-13T08:56:47 --startdatetime 2017-09-13T09:00:30 --delay 68 --endMP 204:233306 --enddatetime 2017-09-13T09:38:54 --enforcementcount 0 &gt;&gt;C:\Users\stu\Documents\GitHub\eaglep3-reporting\EC\2017-09-13-refined-times.txt</v>
      </c>
      <c r="AI5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{"issue":{"subject":"","project_id":79,"tracker_id":40,"status_id":1,"priority_id":2,"assigned_to_id":338,"start_date":"2017-09-13","description":"","custom_fields":[{"id":1,"name":"Subdivision","value":"EC"},{"id":4,"name":"Milepost","value":"23.3306"},{"id":17,"name":"Train ID","value":"143-13"},{"id":16,"name":"Locomotive ID","value":"4020"},{"id":130,"name":"Impact","value":""},{"id":150,"name":"Time of Event (Mountain Time)","value":"09:38:54"},{"id":151,"name":"Denver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4020 --day 2017-09-13</v>
      </c>
      <c r="AN5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4019</v>
      </c>
      <c r="C57" s="21" t="s">
        <v>197</v>
      </c>
      <c r="D57" s="21" t="s">
        <v>863</v>
      </c>
      <c r="E57" s="13">
        <v>42991.412141203706</v>
      </c>
      <c r="F57" s="13">
        <v>42991.414756944447</v>
      </c>
      <c r="G57" s="7">
        <v>68</v>
      </c>
      <c r="H57" s="21" t="s">
        <v>343</v>
      </c>
      <c r="I57" s="13">
        <v>42991.441400462965</v>
      </c>
      <c r="J57" s="7">
        <v>0</v>
      </c>
      <c r="K57" s="89" t="str">
        <f t="shared" si="0"/>
        <v>4019/4020</v>
      </c>
      <c r="L57" s="214" t="str">
        <f>VLOOKUP(A57,'Trips&amp;Operators'!$C$1:$G$99911,5,FALSE)</f>
        <v>STARKS ANGELINA</v>
      </c>
      <c r="M57" s="6">
        <f t="shared" si="1"/>
        <v>2.6643518518540077E-2</v>
      </c>
      <c r="N57" s="7">
        <f t="shared" si="22"/>
        <v>38.366666666697711</v>
      </c>
      <c r="O57" s="7"/>
      <c r="P57" s="7"/>
      <c r="Q57" s="22"/>
      <c r="R57" s="167"/>
      <c r="S57" s="210">
        <f t="shared" si="23"/>
        <v>1</v>
      </c>
      <c r="T57" s="192" t="str">
        <f t="shared" si="4"/>
        <v>Southbound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-09-13T08:53:29-0600',mode:absolute,to:'2017-09-13T11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7" s="194" t="str">
        <f>IF(AA57&lt;VLOOKUP(AG57,Variables!$AC$3:$AD$8,2,FALSE),"Y","N")</f>
        <v>N</v>
      </c>
      <c r="X57" s="194">
        <f t="shared" si="24"/>
        <v>1</v>
      </c>
      <c r="Y57" s="194">
        <f t="shared" si="25"/>
        <v>23.2974</v>
      </c>
      <c r="Z57" s="194">
        <f t="shared" si="26"/>
        <v>1.47E-2</v>
      </c>
      <c r="AA57" s="194">
        <f t="shared" si="9"/>
        <v>23.282699999999998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 t="shared" si="10"/>
        <v>144</v>
      </c>
      <c r="AE57" s="77" t="str">
        <f t="shared" si="11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57" s="74" t="str">
        <f t="shared" si="12"/>
        <v>"C:\Program Files (x86)\AstroGrep\AstroGrep.exe" /e /r /s /spath="%USERPROFILE%\AppData\Local\Temp\OnboardLogs" /stypes="app*4019*20170913*" /stext=" 16:.+((SYSTEM_STATE.+slice.+state.+changed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78" t="str">
        <f t="shared" si="18"/>
        <v>"%USERPROFILE%\Documents\GitHub\eaglep3\Utilities\RefineRTDCRunTimes.py" --tripid 144-13 --locoid 4019 --swversion DE.1.0.9.0 --startMP 204:232974 --initTime 2017-09-13T09:53:29 --startdatetime 2017-09-13T09:57:15 --delay 68 --endMP 204:147 --enddatetime 2017-09-13T10:35:37 --enforcementcount 0 &gt;&gt;C:\Users\stu\Documents\GitHub\eaglep3-reporting\EC\2017-09-13-refined-times.txt</v>
      </c>
      <c r="AI5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ID","value":"144-13"},{"id":16,"name":"Locomotive ID","value":"4019"},{"id":130,"name":"Impact","value":""},{"id":150,"name":"Time of Event (Mountain Time)","value":"10:35:37"},{"id":151,"name":"Denver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4019 --day 2017-09-13</v>
      </c>
      <c r="AN5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683</v>
      </c>
      <c r="B58" s="7">
        <v>4056</v>
      </c>
      <c r="C58" s="21" t="s">
        <v>197</v>
      </c>
      <c r="D58" s="21" t="s">
        <v>350</v>
      </c>
      <c r="E58" s="13">
        <v>42991.381898148145</v>
      </c>
      <c r="F58" s="13">
        <v>42991.385648148149</v>
      </c>
      <c r="G58" s="7">
        <v>62</v>
      </c>
      <c r="H58" s="21" t="s">
        <v>536</v>
      </c>
      <c r="I58" s="13">
        <v>42991.410162037035</v>
      </c>
      <c r="J58" s="7">
        <v>0</v>
      </c>
      <c r="K58" s="89" t="str">
        <f t="shared" si="0"/>
        <v>4055/4056</v>
      </c>
      <c r="L58" s="214" t="str">
        <f>VLOOKUP(A58,'Trips&amp;Operators'!$C$1:$G$99911,5,FALSE)</f>
        <v>FORTUNATO FRANK</v>
      </c>
      <c r="M58" s="6">
        <f t="shared" si="1"/>
        <v>2.4513888885849155E-2</v>
      </c>
      <c r="N58" s="7">
        <f t="shared" si="22"/>
        <v>35.299999995622784</v>
      </c>
      <c r="O58" s="7"/>
      <c r="P58" s="7"/>
      <c r="Q58" s="22"/>
      <c r="R58" s="167"/>
      <c r="S58" s="210">
        <f t="shared" si="23"/>
        <v>1</v>
      </c>
      <c r="T58" s="192" t="str">
        <f t="shared" si="4"/>
        <v>NorthBound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-09-13T08:09:56-0600',mode:absolute,to:'2017-09-13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8" s="194" t="str">
        <f>IF(AA58&lt;VLOOKUP(AG58,Variables!$AC$3:$AD$8,2,FALSE),"Y","N")</f>
        <v>N</v>
      </c>
      <c r="X58" s="194">
        <f t="shared" si="24"/>
        <v>1</v>
      </c>
      <c r="Y58" s="194">
        <f t="shared" si="25"/>
        <v>4.5499999999999999E-2</v>
      </c>
      <c r="Z58" s="194">
        <f t="shared" si="26"/>
        <v>23.329499999999999</v>
      </c>
      <c r="AA58" s="194">
        <f t="shared" si="9"/>
        <v>23.283999999999999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 t="shared" si="10"/>
        <v>145</v>
      </c>
      <c r="AE58" s="77" t="str">
        <f t="shared" si="11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58" s="74" t="str">
        <f t="shared" si="12"/>
        <v>"C:\Program Files (x86)\AstroGrep\AstroGrep.exe" /e /r /s /spath="%USERPROFILE%\AppData\Local\Temp\OnboardLogs" /stypes="app*4056*20170913*" /stext=" 15:.+((SYSTEM_STATE.+slice.+state.+changed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78" t="str">
        <f t="shared" si="18"/>
        <v>"%USERPROFILE%\Documents\GitHub\eaglep3\Utilities\RefineRTDCRunTimes.py" --tripid 145-13 --locoid 4056 --swversion DE.1.0.9.0 --startMP 204:455 --initTime 2017-09-13T09:09:56 --startdatetime 2017-09-13T09:15:20 --delay 62 --endMP 204:233295 --enddatetime 2017-09-13T09:50:38 --enforcementcount 0 &gt;&gt;C:\Users\stu\Documents\GitHub\eaglep3-reporting\EC\2017-09-13-refined-times.txt</v>
      </c>
      <c r="AI5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{"issue":{"subject":"","project_id":79,"tracker_id":40,"status_id":1,"priority_id":2,"assigned_to_id":338,"start_date":"2017-09-13","description":"","custom_fields":[{"id":1,"name":"Subdivision","value":"EC"},{"id":4,"name":"Milepost","value":"23.3295"},{"id":17,"name":"Train ID","value":"145-13"},{"id":16,"name":"Locomotive ID","value":"4056"},{"id":130,"name":"Impact","value":""},{"id":150,"name":"Time of Event (Mountain Time)","value":"09:50:38"},{"id":151,"name":"Denver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4056 --day 2017-09-13</v>
      </c>
      <c r="AN5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691</v>
      </c>
      <c r="B59" s="7">
        <v>4055</v>
      </c>
      <c r="C59" s="21" t="s">
        <v>197</v>
      </c>
      <c r="D59" s="21" t="s">
        <v>861</v>
      </c>
      <c r="E59" s="13">
        <v>42991.412638888891</v>
      </c>
      <c r="F59" s="13">
        <v>42991.425266203703</v>
      </c>
      <c r="G59" s="7">
        <v>86</v>
      </c>
      <c r="H59" s="21" t="s">
        <v>452</v>
      </c>
      <c r="I59" s="13">
        <v>42991.45175925926</v>
      </c>
      <c r="J59" s="7">
        <v>0</v>
      </c>
      <c r="K59" s="89" t="str">
        <f t="shared" si="0"/>
        <v>4055/4056</v>
      </c>
      <c r="L59" s="214" t="str">
        <f>VLOOKUP(A59,'Trips&amp;Operators'!$C$1:$G$99911,5,FALSE)</f>
        <v>FORTUNATO FRANK</v>
      </c>
      <c r="M59" s="6">
        <f t="shared" si="1"/>
        <v>2.6493055556784384E-2</v>
      </c>
      <c r="N59" s="7">
        <f t="shared" si="22"/>
        <v>38.150000001769513</v>
      </c>
      <c r="O59" s="7"/>
      <c r="P59" s="7"/>
      <c r="Q59" s="22"/>
      <c r="R59" s="167"/>
      <c r="S59" s="210">
        <f t="shared" si="23"/>
        <v>1</v>
      </c>
      <c r="T59" s="192" t="str">
        <f t="shared" si="4"/>
        <v>Southbound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-09-13T08:54:12-0600',mode:absolute,to:'2017-09-13T11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9" s="194" t="str">
        <f>IF(AA59&lt;VLOOKUP(AG59,Variables!$AC$3:$AD$8,2,FALSE),"Y","N")</f>
        <v>N</v>
      </c>
      <c r="X59" s="194">
        <f t="shared" si="24"/>
        <v>1</v>
      </c>
      <c r="Y59" s="194">
        <f t="shared" si="25"/>
        <v>23.298999999999999</v>
      </c>
      <c r="Z59" s="194">
        <f t="shared" si="26"/>
        <v>1.6500000000000001E-2</v>
      </c>
      <c r="AA59" s="194">
        <f t="shared" si="9"/>
        <v>23.282499999999999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 t="shared" si="10"/>
        <v>146</v>
      </c>
      <c r="AE59" s="77" t="str">
        <f t="shared" si="11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59" s="74" t="str">
        <f t="shared" si="12"/>
        <v>"C:\Program Files (x86)\AstroGrep\AstroGrep.exe" /e /r /s /spath="%USERPROFILE%\AppData\Local\Temp\OnboardLogs" /stypes="app*4055*20170913*" /stext=" 16:.+((SYSTEM_STATE.+slice.+state.+changed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78" t="str">
        <f t="shared" si="18"/>
        <v>"%USERPROFILE%\Documents\GitHub\eaglep3\Utilities\RefineRTDCRunTimes.py" --tripid 146-13 --locoid 4055 --swversion DE.1.0.9.0 --startMP 204:232990 --initTime 2017-09-13T09:54:12 --startdatetime 2017-09-13T10:12:23 --delay 86 --endMP 204:165 --enddatetime 2017-09-13T10:50:32 --enforcementcount 0 &gt;&gt;C:\Users\stu\Documents\GitHub\eaglep3-reporting\EC\2017-09-13-refined-times.txt</v>
      </c>
      <c r="AI5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{"issue":{"subject":"","project_id":79,"tracker_id":40,"status_id":1,"priority_id":2,"assigned_to_id":338,"start_date":"2017-09-13","description":"","custom_fields":[{"id":1,"name":"Subdivision","value":"EC"},{"id":4,"name":"Milepost","value":"0.0165"},{"id":17,"name":"Train ID","value":"146-13"},{"id":16,"name":"Locomotive ID","value":"4055"},{"id":130,"name":"Impact","value":""},{"id":150,"name":"Time of Event (Mountain Time)","value":"10:50:32"},{"id":151,"name":"Denver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4055 --day 2017-09-13</v>
      </c>
      <c r="AN5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684</v>
      </c>
      <c r="B60" s="7">
        <v>4028</v>
      </c>
      <c r="C60" s="21" t="s">
        <v>197</v>
      </c>
      <c r="D60" s="21" t="s">
        <v>350</v>
      </c>
      <c r="E60" s="13">
        <v>42991.389178240737</v>
      </c>
      <c r="F60" s="13">
        <v>42991.396006944444</v>
      </c>
      <c r="G60" s="7">
        <v>47</v>
      </c>
      <c r="H60" s="21" t="s">
        <v>864</v>
      </c>
      <c r="I60" s="13">
        <v>42991.420694444445</v>
      </c>
      <c r="J60" s="7">
        <v>0</v>
      </c>
      <c r="K60" s="89" t="str">
        <f t="shared" si="0"/>
        <v>4027/4028</v>
      </c>
      <c r="L60" s="214" t="str">
        <f>VLOOKUP(A60,'Trips&amp;Operators'!$C$1:$G$99911,5,FALSE)</f>
        <v>YORK EDGAR</v>
      </c>
      <c r="M60" s="6">
        <f t="shared" si="1"/>
        <v>2.4687500001164153E-2</v>
      </c>
      <c r="N60" s="7">
        <f t="shared" si="22"/>
        <v>35.550000001676381</v>
      </c>
      <c r="O60" s="7"/>
      <c r="P60" s="7"/>
      <c r="Q60" s="22"/>
      <c r="R60" s="167"/>
      <c r="S60" s="210">
        <f t="shared" si="23"/>
        <v>1</v>
      </c>
      <c r="T60" s="192" t="str">
        <f t="shared" si="4"/>
        <v>NorthBound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-09-13T08:20:25-0600',mode:absolute,to:'2017-09-13T11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94" t="str">
        <f>IF(AA60&lt;VLOOKUP(AG60,Variables!$AC$3:$AD$8,2,FALSE),"Y","N")</f>
        <v>N</v>
      </c>
      <c r="X60" s="194">
        <f t="shared" si="24"/>
        <v>1</v>
      </c>
      <c r="Y60" s="194">
        <f t="shared" si="25"/>
        <v>4.5499999999999999E-2</v>
      </c>
      <c r="Z60" s="194">
        <f t="shared" si="26"/>
        <v>23.330400000000001</v>
      </c>
      <c r="AA60" s="194">
        <f t="shared" si="9"/>
        <v>23.2849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 t="shared" si="10"/>
        <v>147</v>
      </c>
      <c r="AE60" s="77" t="str">
        <f t="shared" si="11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60" s="74" t="str">
        <f t="shared" si="12"/>
        <v>"C:\Program Files (x86)\AstroGrep\AstroGrep.exe" /e /r /s /spath="%USERPROFILE%\AppData\Local\Temp\OnboardLogs" /stypes="app*4028*20170913*" /stext=" 16:.+((SYSTEM_STATE.+slice.+state.+changed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78" t="str">
        <f t="shared" si="18"/>
        <v>"%USERPROFILE%\Documents\GitHub\eaglep3\Utilities\RefineRTDCRunTimes.py" --tripid 147-13 --locoid 4028 --swversion DE.1.0.9.0 --startMP 204:455 --initTime 2017-09-13T09:20:25 --startdatetime 2017-09-13T09:30:15 --delay 47 --endMP 204:233304 --enddatetime 2017-09-13T10:05:48 --enforcementcount 0 &gt;&gt;C:\Users\stu\Documents\GitHub\eaglep3-reporting\EC\2017-09-13-refined-times.txt</v>
      </c>
      <c r="AI6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{"issue":{"subject":"","project_id":79,"tracker_id":40,"status_id":1,"priority_id":2,"assigned_to_id":338,"start_date":"2017-09-13","description":"","custom_fields":[{"id":1,"name":"Subdivision","value":"EC"},{"id":4,"name":"Milepost","value":"23.3304"},{"id":17,"name":"Train ID","value":"147-13"},{"id":16,"name":"Locomotive ID","value":"4028"},{"id":130,"name":"Impact","value":""},{"id":150,"name":"Time of Event (Mountain Time)","value":"10:05:48"},{"id":151,"name":"Denver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4028 --day 2017-09-13</v>
      </c>
      <c r="AN6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588</v>
      </c>
      <c r="B61" s="7">
        <v>4027</v>
      </c>
      <c r="C61" s="21" t="s">
        <v>197</v>
      </c>
      <c r="D61" s="21" t="s">
        <v>438</v>
      </c>
      <c r="E61" s="13">
        <v>42991.421597222223</v>
      </c>
      <c r="F61" s="13">
        <v>42991.435613425929</v>
      </c>
      <c r="G61" s="7">
        <v>42</v>
      </c>
      <c r="H61" s="21" t="s">
        <v>367</v>
      </c>
      <c r="I61" s="13">
        <v>42991.462847222225</v>
      </c>
      <c r="J61" s="7">
        <v>0</v>
      </c>
      <c r="K61" s="89" t="str">
        <f t="shared" si="0"/>
        <v>4027/4028</v>
      </c>
      <c r="L61" s="214" t="str">
        <f>VLOOKUP(A61,'Trips&amp;Operators'!$C$1:$G$99911,5,FALSE)</f>
        <v>YORK EDGAR</v>
      </c>
      <c r="M61" s="6">
        <f t="shared" si="1"/>
        <v>2.7233796296059154E-2</v>
      </c>
      <c r="N61" s="7">
        <f t="shared" si="22"/>
        <v>39.216666666325182</v>
      </c>
      <c r="O61" s="7"/>
      <c r="P61" s="7"/>
      <c r="Q61" s="22"/>
      <c r="R61" s="167"/>
      <c r="S61" s="210">
        <f t="shared" si="23"/>
        <v>1</v>
      </c>
      <c r="T61" s="192" t="str">
        <f t="shared" si="4"/>
        <v>Southbound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-09-13T09:07:06-0600',mode:absolute,to:'2017-09-13T12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4" t="str">
        <f>IF(AA61&lt;VLOOKUP(AG61,Variables!$AC$3:$AD$8,2,FALSE),"Y","N")</f>
        <v>N</v>
      </c>
      <c r="X61" s="194">
        <f t="shared" si="24"/>
        <v>1</v>
      </c>
      <c r="Y61" s="194">
        <f t="shared" si="25"/>
        <v>23.2987</v>
      </c>
      <c r="Z61" s="194">
        <f t="shared" si="26"/>
        <v>1.38E-2</v>
      </c>
      <c r="AA61" s="194">
        <f t="shared" si="9"/>
        <v>23.2849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 t="shared" si="10"/>
        <v>148</v>
      </c>
      <c r="AE61" s="77" t="str">
        <f t="shared" si="11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61" s="74" t="str">
        <f t="shared" si="12"/>
        <v>"C:\Program Files (x86)\AstroGrep\AstroGrep.exe" /e /r /s /spath="%USERPROFILE%\AppData\Local\Temp\OnboardLogs" /stypes="app*4027*20170913*" /stext=" 17:.+((SYSTEM_STATE.+slice.+state.+changed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78" t="str">
        <f t="shared" si="18"/>
        <v>"%USERPROFILE%\Documents\GitHub\eaglep3\Utilities\RefineRTDCRunTimes.py" --tripid 148-13 --locoid 4027 --swversion DE.1.0.9.0 --startMP 204:232987 --initTime 2017-09-13T10:07:06 --startdatetime 2017-09-13T10:27:17 --delay 42 --endMP 204:138 --enddatetime 2017-09-13T11:06:30 --enforcementcount 0 &gt;&gt;C:\Users\stu\Documents\GitHub\eaglep3-reporting\EC\2017-09-13-refined-times.txt</v>
      </c>
      <c r="AI6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ID","value":"148-13"},{"id":16,"name":"Locomotive ID","value":"4027"},{"id":130,"name":"Impact","value":""},{"id":150,"name":"Time of Event (Mountain Time)","value":"11:06:30"},{"id":151,"name":"Denver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4027 --day 2017-09-13</v>
      </c>
      <c r="AN6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688</v>
      </c>
      <c r="B62" s="7">
        <v>4016</v>
      </c>
      <c r="C62" s="21" t="s">
        <v>197</v>
      </c>
      <c r="D62" s="21" t="s">
        <v>373</v>
      </c>
      <c r="E62" s="13">
        <v>42991.402199074073</v>
      </c>
      <c r="F62" s="13">
        <v>42991.406493055554</v>
      </c>
      <c r="G62" s="7">
        <v>53</v>
      </c>
      <c r="H62" s="21" t="s">
        <v>865</v>
      </c>
      <c r="I62" s="13">
        <v>42991.430925925924</v>
      </c>
      <c r="J62" s="7">
        <v>0</v>
      </c>
      <c r="K62" s="89" t="str">
        <f t="shared" si="0"/>
        <v>4015/4016</v>
      </c>
      <c r="L62" s="214" t="str">
        <f>VLOOKUP(A62,'Trips&amp;Operators'!$C$1:$G$99911,5,FALSE)</f>
        <v>YANG JAN</v>
      </c>
      <c r="M62" s="6">
        <f t="shared" si="1"/>
        <v>2.4432870370219462E-2</v>
      </c>
      <c r="N62" s="7">
        <f t="shared" si="22"/>
        <v>35.183333333116025</v>
      </c>
      <c r="O62" s="7"/>
      <c r="P62" s="7"/>
      <c r="Q62" s="22"/>
      <c r="R62" s="167"/>
      <c r="S62" s="210">
        <f t="shared" si="23"/>
        <v>1</v>
      </c>
      <c r="T62" s="192" t="str">
        <f t="shared" si="4"/>
        <v>NorthBound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-09-13T08:39:10-0600',mode:absolute,to:'2017-09-13T11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4" t="str">
        <f>IF(AA62&lt;VLOOKUP(AG62,Variables!$AC$3:$AD$8,2,FALSE),"Y","N")</f>
        <v>N</v>
      </c>
      <c r="X62" s="194">
        <f t="shared" si="24"/>
        <v>1</v>
      </c>
      <c r="Y62" s="194">
        <f t="shared" si="25"/>
        <v>4.6699999999999998E-2</v>
      </c>
      <c r="Z62" s="194">
        <f t="shared" si="26"/>
        <v>23.329899999999999</v>
      </c>
      <c r="AA62" s="194">
        <f t="shared" si="9"/>
        <v>23.283199999999997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 t="shared" si="10"/>
        <v>149</v>
      </c>
      <c r="AE62" s="77" t="str">
        <f t="shared" si="11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62" s="74" t="str">
        <f t="shared" si="12"/>
        <v>"C:\Program Files (x86)\AstroGrep\AstroGrep.exe" /e /r /s /spath="%USERPROFILE%\AppData\Local\Temp\OnboardLogs" /stypes="app*4016*20170913*" /stext=" 16:.+((SYSTEM_STATE.+slice.+state.+changed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78" t="str">
        <f t="shared" si="18"/>
        <v>"%USERPROFILE%\Documents\GitHub\eaglep3\Utilities\RefineRTDCRunTimes.py" --tripid 149-13 --locoid 4016 --swversion DE.1.0.9.0 --startMP 204:467 --initTime 2017-09-13T09:39:10 --startdatetime 2017-09-13T09:45:21 --delay 53 --endMP 204:233299 --enddatetime 2017-09-13T10:20:32 --enforcementcount 0 &gt;&gt;C:\Users\stu\Documents\GitHub\eaglep3-reporting\EC\2017-09-13-refined-times.txt</v>
      </c>
      <c r="AI6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{"issue":{"subject":"","project_id":79,"tracker_id":40,"status_id":1,"priority_id":2,"assigned_to_id":338,"start_date":"2017-09-13","description":"","custom_fields":[{"id":1,"name":"Subdivision","value":"EC"},{"id":4,"name":"Milepost","value":"23.3299"},{"id":17,"name":"Train ID","value":"149-13"},{"id":16,"name":"Locomotive ID","value":"4016"},{"id":130,"name":"Impact","value":""},{"id":150,"name":"Time of Event (Mountain Time)","value":"10:20:32"},{"id":151,"name":"Denver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4016 --day 2017-09-13</v>
      </c>
      <c r="AN6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591</v>
      </c>
      <c r="B63" s="7">
        <v>4015</v>
      </c>
      <c r="C63" s="21" t="s">
        <v>197</v>
      </c>
      <c r="D63" s="21" t="s">
        <v>504</v>
      </c>
      <c r="E63" s="13">
        <v>42991.440879629627</v>
      </c>
      <c r="F63" s="13">
        <v>42991.446006944447</v>
      </c>
      <c r="G63" s="7">
        <v>63</v>
      </c>
      <c r="H63" s="21" t="s">
        <v>360</v>
      </c>
      <c r="I63" s="13">
        <v>42991.473194444443</v>
      </c>
      <c r="J63" s="7">
        <v>0</v>
      </c>
      <c r="K63" s="89" t="str">
        <f t="shared" si="0"/>
        <v>4015/4016</v>
      </c>
      <c r="L63" s="214" t="str">
        <f>VLOOKUP(A63,'Trips&amp;Operators'!$C$1:$G$99911,5,FALSE)</f>
        <v>YANG JAN</v>
      </c>
      <c r="M63" s="6">
        <f t="shared" si="1"/>
        <v>2.7187499996216502E-2</v>
      </c>
      <c r="N63" s="7">
        <f t="shared" si="22"/>
        <v>39.149999994551763</v>
      </c>
      <c r="O63" s="7"/>
      <c r="P63" s="7"/>
      <c r="Q63" s="22"/>
      <c r="R63" s="167"/>
      <c r="S63" s="210">
        <f t="shared" si="23"/>
        <v>1</v>
      </c>
      <c r="T63" s="192" t="str">
        <f t="shared" si="4"/>
        <v>Southbound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-09-13T09:34:52-0600',mode:absolute,to:'2017-09-13T12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4" t="str">
        <f>IF(AA63&lt;VLOOKUP(AG63,Variables!$AC$3:$AD$8,2,FALSE),"Y","N")</f>
        <v>N</v>
      </c>
      <c r="X63" s="194">
        <f t="shared" si="24"/>
        <v>1</v>
      </c>
      <c r="Y63" s="194">
        <f t="shared" si="25"/>
        <v>23.2988</v>
      </c>
      <c r="Z63" s="194">
        <f t="shared" si="26"/>
        <v>1.52E-2</v>
      </c>
      <c r="AA63" s="194">
        <f t="shared" si="9"/>
        <v>23.2836</v>
      </c>
      <c r="AB63" s="54" t="str">
        <f>VLOOKUP(A63,Enforcements!$C$7:$K$11,8,0)</f>
        <v>Bulletin (2)</v>
      </c>
      <c r="AC63" s="51" t="str">
        <f>VLOOKUP(A63,Enforcements!$C$7:$E$11,3,0)</f>
        <v>GRADE CROSSING</v>
      </c>
      <c r="AD63" s="203">
        <f t="shared" si="10"/>
        <v>150</v>
      </c>
      <c r="AE63" s="77" t="str">
        <f t="shared" si="11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63" s="74" t="str">
        <f t="shared" si="12"/>
        <v>"C:\Program Files (x86)\AstroGrep\AstroGrep.exe" /e /r /s /spath="%USERPROFILE%\AppData\Local\Temp\OnboardLogs" /stypes="app*4015*20170913*" /stext=" 17:.+((SYSTEM_STATE.+slice.+state.+changed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78" t="str">
        <f t="shared" si="18"/>
        <v>"%USERPROFILE%\Documents\GitHub\eaglep3\Utilities\RefineRTDCRunTimes.py" --tripid 150-13 --locoid 4015 --swversion DE.1.0.9.0 --startMP 204:232988 --initTime 2017-09-13T10:34:52 --startdatetime 2017-09-13T10:42:15 --delay 63 --endMP 204:152 --enddatetime 2017-09-13T11:21:24 --enforcementcount 0 &gt;&gt;C:\Users\stu\Documents\GitHub\eaglep3-reporting\EC\2017-09-13-refined-times.txt</v>
      </c>
      <c r="AI63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{"issue":{"subject":"","project_id":79,"tracker_id":40,"status_id":1,"priority_id":2,"assigned_to_id":338,"start_date":"2017-09-13","description":"","custom_fields":[{"id":1,"name":"Subdivision","value":"EC"},{"id":4,"name":"Milepost","value":"0.0152"},{"id":17,"name":"Train ID","value":"150-13"},{"id":16,"name":"Locomotive ID","value":"4015"},{"id":130,"name":"Impact","value":""},{"id":150,"name":"Time of Event (Mountain Time)","value":"11:21:24"},{"id":151,"name":"Denver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4015 --day 2017-09-13</v>
      </c>
      <c r="AN63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690</v>
      </c>
      <c r="B64" s="7">
        <v>4044</v>
      </c>
      <c r="C64" s="21" t="s">
        <v>197</v>
      </c>
      <c r="D64" s="21" t="s">
        <v>443</v>
      </c>
      <c r="E64" s="13">
        <v>42991.412141203706</v>
      </c>
      <c r="F64" s="13">
        <v>42991.416851851849</v>
      </c>
      <c r="G64" s="7">
        <v>64</v>
      </c>
      <c r="H64" s="21" t="s">
        <v>854</v>
      </c>
      <c r="I64" s="13">
        <v>42991.444687499999</v>
      </c>
      <c r="J64" s="7">
        <v>0</v>
      </c>
      <c r="K64" s="89" t="str">
        <f t="shared" si="0"/>
        <v>4043/4044</v>
      </c>
      <c r="L64" s="214" t="str">
        <f>VLOOKUP(A64,'Trips&amp;Operators'!$C$1:$G$99911,5,FALSE)</f>
        <v>DAVIS WENDY</v>
      </c>
      <c r="M64" s="6">
        <f t="shared" si="1"/>
        <v>2.7835648150357883E-2</v>
      </c>
      <c r="N64" s="7">
        <f t="shared" si="22"/>
        <v>40.083333336515352</v>
      </c>
      <c r="O64" s="7"/>
      <c r="P64" s="7"/>
      <c r="Q64" s="22"/>
      <c r="R64" s="167"/>
      <c r="S64" s="210">
        <f t="shared" si="23"/>
        <v>1</v>
      </c>
      <c r="T64" s="192" t="str">
        <f t="shared" si="4"/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-09-13T08:53:29-0600',mode:absolute,to:'2017-09-13T11:40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194" t="str">
        <f>IF(AA64&lt;VLOOKUP(AG64,Variables!$AC$3:$AD$8,2,FALSE),"Y","N")</f>
        <v>N</v>
      </c>
      <c r="X64" s="194">
        <f t="shared" si="24"/>
        <v>1</v>
      </c>
      <c r="Y64" s="194">
        <f t="shared" si="25"/>
        <v>4.5100000000000001E-2</v>
      </c>
      <c r="Z64" s="194">
        <f t="shared" si="26"/>
        <v>23.330200000000001</v>
      </c>
      <c r="AA64" s="194">
        <f t="shared" si="9"/>
        <v>23.2851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 t="shared" si="10"/>
        <v>151</v>
      </c>
      <c r="AE64" s="77" t="str">
        <f t="shared" si="11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64" s="74" t="str">
        <f t="shared" si="12"/>
        <v>"C:\Program Files (x86)\AstroGrep\AstroGrep.exe" /e /r /s /spath="%USERPROFILE%\AppData\Local\Temp\OnboardLogs" /stypes="app*4044*20170913*" /stext=" 16:.+((SYSTEM_STATE.+slice.+state.+changed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78" t="str">
        <f t="shared" si="18"/>
        <v>"%USERPROFILE%\Documents\GitHub\eaglep3\Utilities\RefineRTDCRunTimes.py" --tripid 151-13 --locoid 4044 --swversion DE.1.0.9.0 --startMP 204:451 --initTime 2017-09-13T09:53:29 --startdatetime 2017-09-13T10:00:16 --delay 64 --endMP 204:233302 --enddatetime 2017-09-13T10:40:21 --enforcementcount 0 &gt;&gt;C:\Users\stu\Documents\GitHub\eaglep3-reporting\EC\2017-09-13-refined-times.txt</v>
      </c>
      <c r="AI6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{"issue":{"subject":"","project_id":79,"tracker_id":40,"status_id":1,"priority_id":2,"assigned_to_id":338,"start_date":"2017-09-13","description":"","custom_fields":[{"id":1,"name":"Subdivision","value":"EC"},{"id":4,"name":"Milepost","value":"23.3302"},{"id":17,"name":"Train ID","value":"151-13"},{"id":16,"name":"Locomotive ID","value":"4044"},{"id":130,"name":"Impact","value":""},{"id":150,"name":"Time of Event (Mountain Time)","value":"10:40:21"},{"id":151,"name":"Denver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4044 --day 2017-09-13</v>
      </c>
      <c r="AN6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16:40:21"},{"id":29,"name":"Sharepoint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696</v>
      </c>
      <c r="B65" s="7">
        <v>4043</v>
      </c>
      <c r="C65" s="21" t="s">
        <v>197</v>
      </c>
      <c r="D65" s="21" t="s">
        <v>378</v>
      </c>
      <c r="E65" s="13">
        <v>42991.446898148148</v>
      </c>
      <c r="F65" s="13">
        <v>42991.456412037034</v>
      </c>
      <c r="G65" s="7">
        <v>122</v>
      </c>
      <c r="H65" s="21" t="s">
        <v>338</v>
      </c>
      <c r="I65" s="13">
        <v>42991.482951388891</v>
      </c>
      <c r="J65" s="7">
        <v>0</v>
      </c>
      <c r="K65" s="89" t="str">
        <f t="shared" si="0"/>
        <v>4043/4044</v>
      </c>
      <c r="L65" s="214" t="str">
        <f>VLOOKUP(A65,'Trips&amp;Operators'!$C$1:$G$99911,5,FALSE)</f>
        <v>DAVIS WENDY</v>
      </c>
      <c r="M65" s="6">
        <f t="shared" si="1"/>
        <v>2.6539351856627036E-2</v>
      </c>
      <c r="N65" s="7">
        <f t="shared" si="22"/>
        <v>38.216666673542932</v>
      </c>
      <c r="O65" s="7"/>
      <c r="P65" s="7"/>
      <c r="Q65" s="22"/>
      <c r="R65" s="167"/>
      <c r="S65" s="210">
        <f t="shared" si="23"/>
        <v>1</v>
      </c>
      <c r="T65" s="192" t="str">
        <f t="shared" si="4"/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-09-13T09:43:32-0600',mode:absolute,to:'2017-09-13T12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194" t="str">
        <f>IF(AA65&lt;VLOOKUP(AG65,Variables!$AC$3:$AD$8,2,FALSE),"Y","N")</f>
        <v>N</v>
      </c>
      <c r="X65" s="194">
        <f t="shared" si="24"/>
        <v>1</v>
      </c>
      <c r="Y65" s="194">
        <f t="shared" si="25"/>
        <v>23.297699999999999</v>
      </c>
      <c r="Z65" s="194">
        <f t="shared" si="26"/>
        <v>1.4999999999999999E-2</v>
      </c>
      <c r="AA65" s="194">
        <f t="shared" si="9"/>
        <v>23.282699999999998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 t="shared" si="10"/>
        <v>152</v>
      </c>
      <c r="AE65" s="77" t="str">
        <f t="shared" si="11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65" s="74" t="str">
        <f t="shared" si="12"/>
        <v>"C:\Program Files (x86)\AstroGrep\AstroGrep.exe" /e /r /s /spath="%USERPROFILE%\AppData\Local\Temp\OnboardLogs" /stypes="app*4043*20170913*" /stext=" 17:.+((SYSTEM_STATE.+slice.+state.+changed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78" t="str">
        <f t="shared" si="18"/>
        <v>"%USERPROFILE%\Documents\GitHub\eaglep3\Utilities\RefineRTDCRunTimes.py" --tripid 152-13 --locoid 4043 --swversion DE.1.0.9.0 --startMP 204:232977 --initTime 2017-09-13T10:43:32 --startdatetime 2017-09-13T10:57:14 --delay 122 --endMP 204:150 --enddatetime 2017-09-13T11:35:27 --enforcementcount 0 &gt;&gt;C:\Users\stu\Documents\GitHub\eaglep3-reporting\EC\2017-09-13-refined-times.txt</v>
      </c>
      <c r="AI6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{"issue":{"subject":"","project_id":79,"tracker_id":40,"status_id":1,"priority_id":2,"assigned_to_id":338,"start_date":"2017-09-13","description":"","custom_fields":[{"id":1,"name":"Subdivision","value":"EC"},{"id":4,"name":"Milepost","value":"0.015"},{"id":17,"name":"Train ID","value":"152-13"},{"id":16,"name":"Locomotive ID","value":"4043"},{"id":130,"name":"Impact","value":""},{"id":150,"name":"Time of Event (Mountain Time)","value":"11:35:27"},{"id":151,"name":"Denver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4043 --day 2017-09-13</v>
      </c>
      <c r="AN6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693</v>
      </c>
      <c r="B66" s="7">
        <v>4006</v>
      </c>
      <c r="C66" s="21" t="s">
        <v>197</v>
      </c>
      <c r="D66" s="21" t="s">
        <v>551</v>
      </c>
      <c r="E66" s="13">
        <v>42991.423206018517</v>
      </c>
      <c r="F66" s="13">
        <v>42991.427488425928</v>
      </c>
      <c r="G66" s="7">
        <v>66</v>
      </c>
      <c r="H66" s="21" t="s">
        <v>458</v>
      </c>
      <c r="I66" s="13">
        <v>42991.452245370368</v>
      </c>
      <c r="J66" s="7">
        <v>0</v>
      </c>
      <c r="K66" s="89" t="str">
        <f t="shared" si="0"/>
        <v>4005/4006</v>
      </c>
      <c r="L66" s="214" t="str">
        <f>VLOOKUP(A66,'Trips&amp;Operators'!$C$1:$G$99911,5,FALSE)</f>
        <v>HUFFSMITH MONTY</v>
      </c>
      <c r="M66" s="6">
        <f t="shared" si="1"/>
        <v>2.4756944440014195E-2</v>
      </c>
      <c r="N66" s="7">
        <f t="shared" si="22"/>
        <v>35.64999999362044</v>
      </c>
      <c r="O66" s="7"/>
      <c r="P66" s="7"/>
      <c r="Q66" s="22"/>
      <c r="R66" s="167"/>
      <c r="S66" s="210">
        <f t="shared" si="23"/>
        <v>1</v>
      </c>
      <c r="T66" s="192" t="str">
        <f t="shared" si="4"/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-09-13T09:09:25-0600',mode:absolute,to:'2017-09-13T11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94" t="str">
        <f>IF(AA66&lt;VLOOKUP(AG66,Variables!$AC$3:$AD$8,2,FALSE),"Y","N")</f>
        <v>N</v>
      </c>
      <c r="X66" s="194">
        <f t="shared" si="24"/>
        <v>1</v>
      </c>
      <c r="Y66" s="194">
        <f t="shared" si="25"/>
        <v>4.7699999999999999E-2</v>
      </c>
      <c r="Z66" s="194">
        <f t="shared" si="26"/>
        <v>23.331199999999999</v>
      </c>
      <c r="AA66" s="194">
        <f t="shared" si="9"/>
        <v>23.2835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 t="shared" si="10"/>
        <v>153</v>
      </c>
      <c r="AE66" s="77" t="str">
        <f t="shared" si="11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66" s="74" t="str">
        <f t="shared" si="12"/>
        <v>"C:\Program Files (x86)\AstroGrep\AstroGrep.exe" /e /r /s /spath="%USERPROFILE%\AppData\Local\Temp\OnboardLogs" /stypes="app*4006*20170913*" /stext=" 16:.+((SYSTEM_STATE.+slice.+state.+changed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78" t="str">
        <f t="shared" si="18"/>
        <v>"%USERPROFILE%\Documents\GitHub\eaglep3\Utilities\RefineRTDCRunTimes.py" --tripid 153-13 --locoid 4006 --swversion DE.1.0.9.0 --startMP 204:477 --initTime 2017-09-13T10:09:25 --startdatetime 2017-09-13T10:15:35 --delay 66 --endMP 204:233312 --enddatetime 2017-09-13T10:51:14 --enforcementcount 0 &gt;&gt;C:\Users\stu\Documents\GitHub\eaglep3-reporting\EC\2017-09-13-refined-times.txt</v>
      </c>
      <c r="AI6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ID","value":"153-13"},{"id":16,"name":"Locomotive ID","value":"4006"},{"id":130,"name":"Impact","value":""},{"id":150,"name":"Time of Event (Mountain Time)","value":"10:51:14"},{"id":151,"name":"Denver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4006 --day 2017-09-13</v>
      </c>
      <c r="AN6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4005</v>
      </c>
      <c r="C67" s="21" t="s">
        <v>197</v>
      </c>
      <c r="D67" s="21" t="s">
        <v>470</v>
      </c>
      <c r="E67" s="13">
        <v>42991.462395833332</v>
      </c>
      <c r="F67" s="13">
        <v>42991.467106481483</v>
      </c>
      <c r="G67" s="7">
        <v>79</v>
      </c>
      <c r="H67" s="21" t="s">
        <v>367</v>
      </c>
      <c r="I67" s="13">
        <v>42991.493923611109</v>
      </c>
      <c r="J67" s="7">
        <v>0</v>
      </c>
      <c r="K67" s="89" t="str">
        <f t="shared" si="0"/>
        <v>4005/4006</v>
      </c>
      <c r="L67" s="214" t="str">
        <f>VLOOKUP(A67,'Trips&amp;Operators'!$C$1:$G$99911,5,FALSE)</f>
        <v>HUFFSMITH MONTY</v>
      </c>
      <c r="M67" s="6">
        <f t="shared" si="1"/>
        <v>2.6817129626579117E-2</v>
      </c>
      <c r="N67" s="7">
        <f t="shared" si="22"/>
        <v>38.616666662273929</v>
      </c>
      <c r="O67" s="7"/>
      <c r="P67" s="7"/>
      <c r="Q67" s="22"/>
      <c r="R67" s="167"/>
      <c r="S67" s="210">
        <f t="shared" si="23"/>
        <v>1</v>
      </c>
      <c r="T67" s="192" t="str">
        <f t="shared" si="4"/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-09-13T10:05:51-0600',mode:absolute,to:'2017-09-13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94" t="str">
        <f>IF(AA67&lt;VLOOKUP(AG67,Variables!$AC$3:$AD$8,2,FALSE),"Y","N")</f>
        <v>N</v>
      </c>
      <c r="X67" s="194">
        <f t="shared" si="24"/>
        <v>1</v>
      </c>
      <c r="Y67" s="194">
        <f t="shared" si="25"/>
        <v>23.297999999999998</v>
      </c>
      <c r="Z67" s="194">
        <f t="shared" si="26"/>
        <v>1.38E-2</v>
      </c>
      <c r="AA67" s="194">
        <f t="shared" si="9"/>
        <v>23.284199999999998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 t="shared" si="10"/>
        <v>154</v>
      </c>
      <c r="AE67" s="77" t="str">
        <f t="shared" si="11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67" s="74" t="str">
        <f t="shared" si="12"/>
        <v>"C:\Program Files (x86)\AstroGrep\AstroGrep.exe" /e /r /s /spath="%USERPROFILE%\AppData\Local\Temp\OnboardLogs" /stypes="app*4005*20170913*" /stext=" 17:.+((SYSTEM_STATE.+slice.+state.+changed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78" t="str">
        <f t="shared" si="18"/>
        <v>"%USERPROFILE%\Documents\GitHub\eaglep3\Utilities\RefineRTDCRunTimes.py" --tripid 154-13 --locoid 4005 --swversion DE.1.0.9.0 --startMP 204:232980 --initTime 2017-09-13T11:05:51 --startdatetime 2017-09-13T11:12:38 --delay 79 --endMP 204:138 --enddatetime 2017-09-13T11:51:15 --enforcementcount 0 &gt;&gt;C:\Users\stu\Documents\GitHub\eaglep3-reporting\EC\2017-09-13-refined-times.txt</v>
      </c>
      <c r="AI6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ID","value":"154-13"},{"id":16,"name":"Locomotive ID","value":"4005"},{"id":130,"name":"Impact","value":""},{"id":150,"name":"Time of Event (Mountain Time)","value":"11:51:15"},{"id":151,"name":"Denver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4005 --day 2017-09-13</v>
      </c>
      <c r="AN6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694</v>
      </c>
      <c r="B68" s="7">
        <v>4010</v>
      </c>
      <c r="C68" s="21" t="s">
        <v>197</v>
      </c>
      <c r="D68" s="21" t="s">
        <v>341</v>
      </c>
      <c r="E68" s="13">
        <v>42991.432384259257</v>
      </c>
      <c r="F68" s="13">
        <v>42991.437650462962</v>
      </c>
      <c r="G68" s="7">
        <v>72</v>
      </c>
      <c r="H68" s="21" t="s">
        <v>341</v>
      </c>
      <c r="I68" s="13">
        <v>42991.463090277779</v>
      </c>
      <c r="J68" s="7">
        <v>0</v>
      </c>
      <c r="K68" s="89" t="str">
        <f t="shared" si="0"/>
        <v>4009/4010</v>
      </c>
      <c r="L68" s="214" t="str">
        <f>VLOOKUP(A68,'Trips&amp;Operators'!$C$1:$G$99911,5,FALSE)</f>
        <v>YANAI IAN</v>
      </c>
      <c r="M68" s="6">
        <f t="shared" si="1"/>
        <v>2.5439814817218576E-2</v>
      </c>
      <c r="N68" s="7"/>
      <c r="O68" s="7"/>
      <c r="P68" s="7"/>
      <c r="Q68" s="22"/>
      <c r="R68" s="167"/>
      <c r="S68" s="210"/>
      <c r="T68" s="192" t="str">
        <f t="shared" si="4"/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-09-13T09:22:38-0600',mode:absolute,to:'2017-09-13T12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194" t="str">
        <f>IF(AA68&lt;VLOOKUP(AG68,Variables!$AC$3:$AD$8,2,FALSE),"Y","N")</f>
        <v>Y</v>
      </c>
      <c r="X68" s="194">
        <f t="shared" si="24"/>
        <v>1</v>
      </c>
      <c r="Y68" s="194">
        <f t="shared" si="25"/>
        <v>4.53E-2</v>
      </c>
      <c r="Z68" s="194">
        <f t="shared" si="26"/>
        <v>4.53E-2</v>
      </c>
      <c r="AA68" s="194">
        <f t="shared" si="9"/>
        <v>0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 t="shared" si="10"/>
        <v>155</v>
      </c>
      <c r="AE68" s="77" t="str">
        <f t="shared" si="11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68" s="74" t="str">
        <f t="shared" si="12"/>
        <v>"C:\Program Files (x86)\AstroGrep\AstroGrep.exe" /e /r /s /spath="%USERPROFILE%\AppData\Local\Temp\OnboardLogs" /stypes="app*4010*20170913*" /stext=" 17:.+((SYSTEM_STATE.+slice.+state.+changed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78" t="str">
        <f t="shared" si="18"/>
        <v>"%USERPROFILE%\Documents\GitHub\eaglep3\Utilities\RefineRTDCRunTimes.py" --tripid 155-13 --locoid 4010 --swversion DE.1.0.9.0 --startMP 204:453 --initTime 2017-09-13T10:22:38 --startdatetime 2017-09-13T10:30:13 --delay 72 --endMP 204:453 --enddatetime 2017-09-13T11:06:51 --enforcementcount 0 &gt;&gt;C:\Users\stu\Documents\GitHub\eaglep3-reporting\EC\2017-09-13-refined-times.txt</v>
      </c>
      <c r="AI68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{"issue":{"subject":"","project_id":79,"tracker_id":40,"status_id":1,"priority_id":2,"assigned_to_id":338,"start_date":"2017-09-13","description":"","custom_fields":[{"id":1,"name":"Subdivision","value":"EC"},{"id":4,"name":"Milepost","value":"0.0453"},{"id":17,"name":"Train ID","value":"155-13"},{"id":16,"name":"Locomotive ID","value":"4010"},{"id":130,"name":"Impact","value":""},{"id":150,"name":"Time of Event (Mountain Time)","value":"11:06:51"},{"id":151,"name":"Denver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4010 --day 2017-09-13</v>
      </c>
      <c r="AN68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694</v>
      </c>
      <c r="B69" s="7">
        <v>4010</v>
      </c>
      <c r="C69" s="21" t="s">
        <v>197</v>
      </c>
      <c r="D69" s="21" t="s">
        <v>350</v>
      </c>
      <c r="E69" s="13">
        <v>42991.433749999997</v>
      </c>
      <c r="F69" s="13">
        <v>42991.437650462962</v>
      </c>
      <c r="G69" s="7">
        <v>41</v>
      </c>
      <c r="H69" s="21" t="s">
        <v>468</v>
      </c>
      <c r="I69" s="13">
        <v>42991.463090277779</v>
      </c>
      <c r="J69" s="7">
        <v>0</v>
      </c>
      <c r="K69" s="89" t="str">
        <f t="shared" si="0"/>
        <v>4009/4010</v>
      </c>
      <c r="L69" s="214" t="str">
        <f>VLOOKUP(A69,'Trips&amp;Operators'!$C$1:$G$99911,5,FALSE)</f>
        <v>YANAI IAN</v>
      </c>
      <c r="M69" s="6">
        <f t="shared" si="1"/>
        <v>2.5439814817218576E-2</v>
      </c>
      <c r="N69" s="7">
        <f t="shared" ref="N69:N100" si="27">24*60*SUM($M69:$M69)</f>
        <v>36.633333336794749</v>
      </c>
      <c r="O69" s="7"/>
      <c r="P69" s="7"/>
      <c r="Q69" s="22"/>
      <c r="R69" s="167"/>
      <c r="S69" s="210">
        <f t="shared" ref="S69:S100" si="28">1/IF(AG69="EC",12,1)*SUM(U69:U69)</f>
        <v>1</v>
      </c>
      <c r="T69" s="192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-09-13T09:24:36-0600',mode:absolute,to:'2017-09-13T12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4" t="str">
        <f>IF(AA69&lt;VLOOKUP(AG69,Variables!$AC$3:$AD$8,2,FALSE),"Y","N")</f>
        <v>N</v>
      </c>
      <c r="X69" s="194">
        <f t="shared" si="24"/>
        <v>0</v>
      </c>
      <c r="Y69" s="194">
        <f t="shared" si="25"/>
        <v>4.5499999999999999E-2</v>
      </c>
      <c r="Z69" s="194">
        <f t="shared" si="26"/>
        <v>23.3308</v>
      </c>
      <c r="AA69" s="194">
        <f t="shared" si="9"/>
        <v>23.285299999999999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 t="shared" si="10"/>
        <v>155</v>
      </c>
      <c r="AE69" s="77" t="str">
        <f t="shared" si="11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69" s="74" t="str">
        <f t="shared" si="12"/>
        <v>"C:\Program Files (x86)\AstroGrep\AstroGrep.exe" /e /r /s /spath="%USERPROFILE%\AppData\Local\Temp\OnboardLogs" /stypes="app*4010*20170913*" /stext=" 17:.+((SYSTEM_STATE.+slice.+state.+changed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78" t="str">
        <f t="shared" si="18"/>
        <v>"%USERPROFILE%\Documents\GitHub\eaglep3\Utilities\RefineRTDCRunTimes.py" --tripid 155-13 --locoid 4010 --swversion DE.1.0.9.0 --startMP 204:455 --initTime 2017-09-13T10:24:36 --startdatetime 2017-09-13T10:30:13 --delay 41 --endMP 204:233308 --enddatetime 2017-09-13T11:06:51 --enforcementcount 0 &gt;&gt;C:\Users\stu\Documents\GitHub\eaglep3-reporting\EC\2017-09-13-refined-times.txt</v>
      </c>
      <c r="AI69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{"issue":{"subject":"","project_id":79,"tracker_id":40,"status_id":1,"priority_id":2,"assigned_to_id":338,"start_date":"2017-09-13","description":"","custom_fields":[{"id":1,"name":"Subdivision","value":"EC"},{"id":4,"name":"Milepost","value":"23.3308"},{"id":17,"name":"Train ID","value":"155-13"},{"id":16,"name":"Locomotive ID","value":"4010"},{"id":130,"name":"Impact","value":""},{"id":150,"name":"Time of Event (Mountain Time)","value":"11:06:51"},{"id":151,"name":"Denver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4010 --day 2017-09-13</v>
      </c>
      <c r="AN69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700</v>
      </c>
      <c r="B70" s="7">
        <v>4009</v>
      </c>
      <c r="C70" s="21" t="s">
        <v>197</v>
      </c>
      <c r="D70" s="21" t="s">
        <v>866</v>
      </c>
      <c r="E70" s="13">
        <v>42991.464594907404</v>
      </c>
      <c r="F70" s="13">
        <v>42991.47724537037</v>
      </c>
      <c r="G70" s="7">
        <v>52</v>
      </c>
      <c r="H70" s="21" t="s">
        <v>372</v>
      </c>
      <c r="I70" s="13">
        <v>42991.502453703702</v>
      </c>
      <c r="J70" s="7">
        <v>0</v>
      </c>
      <c r="K70" s="89" t="str">
        <f t="shared" si="0"/>
        <v>4009/4010</v>
      </c>
      <c r="L70" s="214" t="str">
        <f>VLOOKUP(A70,'Trips&amp;Operators'!$C$1:$G$99911,5,FALSE)</f>
        <v>YANAI IAN</v>
      </c>
      <c r="M70" s="6">
        <f t="shared" si="1"/>
        <v>2.5208333332557231E-2</v>
      </c>
      <c r="N70" s="7">
        <f t="shared" si="27"/>
        <v>36.299999998882413</v>
      </c>
      <c r="O70" s="7"/>
      <c r="P70" s="7"/>
      <c r="Q70" s="22"/>
      <c r="R70" s="167"/>
      <c r="S70" s="210">
        <f t="shared" si="28"/>
        <v>1</v>
      </c>
      <c r="T70" s="192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-09-13T10:09:01-0600',mode:absolute,to:'2017-09-13T13:03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4" t="str">
        <f>IF(AA70&lt;VLOOKUP(AG70,Variables!$AC$3:$AD$8,2,FALSE),"Y","N")</f>
        <v>N</v>
      </c>
      <c r="X70" s="194">
        <f t="shared" si="24"/>
        <v>1</v>
      </c>
      <c r="Y70" s="194">
        <f t="shared" si="25"/>
        <v>23.297599999999999</v>
      </c>
      <c r="Z70" s="194">
        <f t="shared" si="26"/>
        <v>1.5599999999999999E-2</v>
      </c>
      <c r="AA70" s="194">
        <f t="shared" si="9"/>
        <v>23.282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 t="shared" si="10"/>
        <v>156</v>
      </c>
      <c r="AE70" s="77" t="str">
        <f t="shared" si="11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70" s="74" t="str">
        <f t="shared" si="12"/>
        <v>"C:\Program Files (x86)\AstroGrep\AstroGrep.exe" /e /r /s /spath="%USERPROFILE%\AppData\Local\Temp\OnboardLogs" /stypes="app*4009*20170913*"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78" t="str">
        <f t="shared" si="18"/>
        <v>"%USERPROFILE%\Documents\GitHub\eaglep3\Utilities\RefineRTDCRunTimes.py" --tripid 156-13 --locoid 4009 --swversion DE.1.0.9.0 --startMP 204:232976 --initTime 2017-09-13T11:09:01 --startdatetime 2017-09-13T11:27:14 --delay 52 --endMP 204:156 --enddatetime 2017-09-13T12:03:32 --enforcementcount 0 &gt;&gt;C:\Users\stu\Documents\GitHub\eaglep3-reporting\EC\2017-09-13-refined-times.txt</v>
      </c>
      <c r="AI70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ID","value":"156-13"},{"id":16,"name":"Locomotive ID","value":"4009"},{"id":130,"name":"Impact","value":""},{"id":150,"name":"Time of Event (Mountain Time)","value":"12:03:32"},{"id":151,"name":"Denver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4009 --day 2017-09-13</v>
      </c>
      <c r="AN70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18:03:32"},{"id":29,"name":"Sharepoint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695</v>
      </c>
      <c r="B71" s="7">
        <v>4020</v>
      </c>
      <c r="C71" s="21" t="s">
        <v>197</v>
      </c>
      <c r="D71" s="21" t="s">
        <v>867</v>
      </c>
      <c r="E71" s="13">
        <v>42991.44394675926</v>
      </c>
      <c r="F71" s="13">
        <v>42991.448321759257</v>
      </c>
      <c r="G71" s="7">
        <v>103</v>
      </c>
      <c r="H71" s="21" t="s">
        <v>497</v>
      </c>
      <c r="I71" s="13">
        <v>42991.473506944443</v>
      </c>
      <c r="J71" s="7">
        <v>0</v>
      </c>
      <c r="K71" s="89" t="str">
        <f t="shared" si="0"/>
        <v>4019/4020</v>
      </c>
      <c r="L71" s="214" t="str">
        <f>VLOOKUP(A71,'Trips&amp;Operators'!$C$1:$G$99911,5,FALSE)</f>
        <v>DAVIS MICHAEL</v>
      </c>
      <c r="M71" s="6">
        <f t="shared" si="1"/>
        <v>2.5185185186273884E-2</v>
      </c>
      <c r="N71" s="7">
        <f t="shared" si="27"/>
        <v>36.266666668234393</v>
      </c>
      <c r="O71" s="7"/>
      <c r="P71" s="7"/>
      <c r="Q71" s="22"/>
      <c r="R71" s="167"/>
      <c r="S71" s="210">
        <f t="shared" si="28"/>
        <v>1</v>
      </c>
      <c r="T71" s="192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-09-13T09:39:17-0600',mode:absolute,to:'2017-09-13T12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94" t="str">
        <f>IF(AA71&lt;VLOOKUP(AG71,Variables!$AC$3:$AD$8,2,FALSE),"Y","N")</f>
        <v>N</v>
      </c>
      <c r="X71" s="194">
        <f t="shared" si="24"/>
        <v>1</v>
      </c>
      <c r="Y71" s="194">
        <f t="shared" si="25"/>
        <v>4.7800000000000002E-2</v>
      </c>
      <c r="Z71" s="194">
        <f t="shared" si="26"/>
        <v>23.331800000000001</v>
      </c>
      <c r="AA71" s="194">
        <f t="shared" si="9"/>
        <v>23.284000000000002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 t="shared" si="10"/>
        <v>157</v>
      </c>
      <c r="AE71" s="77" t="str">
        <f t="shared" si="11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71" s="74" t="str">
        <f t="shared" si="12"/>
        <v>"C:\Program Files (x86)\AstroGrep\AstroGrep.exe" /e /r /s /spath="%USERPROFILE%\AppData\Local\Temp\OnboardLogs" /stypes="app*4020*20170913*" /stext=" 17:.+((SYSTEM_STATE.+slice.+state.+changed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78" t="str">
        <f t="shared" si="18"/>
        <v>"%USERPROFILE%\Documents\GitHub\eaglep3\Utilities\RefineRTDCRunTimes.py" --tripid 157-13 --locoid 4020 --swversion DE.1.0.9.0 --startMP 204:478 --initTime 2017-09-13T10:39:17 --startdatetime 2017-09-13T10:45:35 --delay 103 --endMP 204:233318 --enddatetime 2017-09-13T11:21:51 --enforcementcount 0 &gt;&gt;C:\Users\stu\Documents\GitHub\eaglep3-reporting\EC\2017-09-13-refined-times.txt</v>
      </c>
      <c r="AI71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{"issue":{"subject":"","project_id":79,"tracker_id":40,"status_id":1,"priority_id":2,"assigned_to_id":338,"start_date":"2017-09-13","description":"","custom_fields":[{"id":1,"name":"Subdivision","value":"EC"},{"id":4,"name":"Milepost","value":"23.3318"},{"id":17,"name":"Train ID","value":"157-13"},{"id":16,"name":"Locomotive ID","value":"4020"},{"id":130,"name":"Impact","value":""},{"id":150,"name":"Time of Event (Mountain Time)","value":"11:21:51"},{"id":151,"name":"Denver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4020 --day 2017-09-13</v>
      </c>
      <c r="AN71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708</v>
      </c>
      <c r="B72" s="7">
        <v>4019</v>
      </c>
      <c r="C72" s="21" t="s">
        <v>197</v>
      </c>
      <c r="D72" s="21" t="s">
        <v>469</v>
      </c>
      <c r="E72" s="13">
        <v>42991.485451388886</v>
      </c>
      <c r="F72" s="13">
        <v>42991.487974537034</v>
      </c>
      <c r="G72" s="7">
        <v>105</v>
      </c>
      <c r="H72" s="21" t="s">
        <v>366</v>
      </c>
      <c r="I72" s="13">
        <v>42991.515613425923</v>
      </c>
      <c r="J72" s="7">
        <v>0</v>
      </c>
      <c r="K72" s="89" t="str">
        <f t="shared" si="0"/>
        <v>4019/4020</v>
      </c>
      <c r="L72" s="214" t="str">
        <f>VLOOKUP(A72,'Trips&amp;Operators'!$C$1:$G$99911,5,FALSE)</f>
        <v>DAVIS MICHAEL</v>
      </c>
      <c r="M72" s="6">
        <f t="shared" si="1"/>
        <v>2.7638888888759539E-2</v>
      </c>
      <c r="N72" s="7">
        <f t="shared" si="27"/>
        <v>39.799999999813735</v>
      </c>
      <c r="O72" s="7"/>
      <c r="P72" s="7"/>
      <c r="Q72" s="22"/>
      <c r="R72" s="167"/>
      <c r="S72" s="210">
        <f t="shared" si="28"/>
        <v>1</v>
      </c>
      <c r="T72" s="192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-09-13T10:39:03-0600',mode:absolute,to:'2017-09-13T13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94" t="str">
        <f>IF(AA72&lt;VLOOKUP(AG72,Variables!$AC$3:$AD$8,2,FALSE),"Y","N")</f>
        <v>N</v>
      </c>
      <c r="X72" s="194">
        <f t="shared" si="24"/>
        <v>1</v>
      </c>
      <c r="Y72" s="194">
        <f t="shared" si="25"/>
        <v>23.301300000000001</v>
      </c>
      <c r="Z72" s="194">
        <f t="shared" si="26"/>
        <v>1.4500000000000001E-2</v>
      </c>
      <c r="AA72" s="194">
        <f t="shared" si="9"/>
        <v>23.286799999999999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 t="shared" si="10"/>
        <v>158</v>
      </c>
      <c r="AE72" s="77" t="str">
        <f t="shared" si="11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72" s="74" t="str">
        <f t="shared" si="12"/>
        <v>"C:\Program Files (x86)\AstroGrep\AstroGrep.exe" /e /r /s /spath="%USERPROFILE%\AppData\Local\Temp\OnboardLogs" /stypes="app*4019*20170913*"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78" t="str">
        <f t="shared" si="18"/>
        <v>"%USERPROFILE%\Documents\GitHub\eaglep3\Utilities\RefineRTDCRunTimes.py" --tripid 158-13 --locoid 4019 --swversion DE.1.0.9.0 --startMP 204:233013 --initTime 2017-09-13T11:39:03 --startdatetime 2017-09-13T11:42:41 --delay 105 --endMP 204:145 --enddatetime 2017-09-13T12:22:29 --enforcementcount 0 &gt;&gt;C:\Users\stu\Documents\GitHub\eaglep3-reporting\EC\2017-09-13-refined-times.txt</v>
      </c>
      <c r="AI72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{"issue":{"subject":"","project_id":79,"tracker_id":40,"status_id":1,"priority_id":2,"assigned_to_id":338,"start_date":"2017-09-13","description":"","custom_fields":[{"id":1,"name":"Subdivision","value":"EC"},{"id":4,"name":"Milepost","value":"0.0145"},{"id":17,"name":"Train ID","value":"158-13"},{"id":16,"name":"Locomotive ID","value":"4019"},{"id":130,"name":"Impact","value":""},{"id":150,"name":"Time of Event (Mountain Time)","value":"12:22:29"},{"id":151,"name":"Denver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4019 --day 2017-09-13</v>
      </c>
      <c r="AN72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697</v>
      </c>
      <c r="B73" s="7">
        <v>4056</v>
      </c>
      <c r="C73" s="21" t="s">
        <v>197</v>
      </c>
      <c r="D73" s="21" t="s">
        <v>359</v>
      </c>
      <c r="E73" s="13">
        <v>42991.453541666669</v>
      </c>
      <c r="F73" s="13">
        <v>42991.458472222221</v>
      </c>
      <c r="G73" s="7">
        <v>303</v>
      </c>
      <c r="H73" s="21" t="s">
        <v>549</v>
      </c>
      <c r="I73" s="13">
        <v>42991.483923611115</v>
      </c>
      <c r="J73" s="7">
        <v>0</v>
      </c>
      <c r="K73" s="89" t="str">
        <f t="shared" si="0"/>
        <v>4055/4056</v>
      </c>
      <c r="L73" s="214" t="str">
        <f>VLOOKUP(A73,'Trips&amp;Operators'!$C$1:$G$99911,5,FALSE)</f>
        <v>FORTUNATO FRANK</v>
      </c>
      <c r="M73" s="6">
        <f t="shared" si="1"/>
        <v>2.5451388893998228E-2</v>
      </c>
      <c r="N73" s="7">
        <f t="shared" si="27"/>
        <v>36.650000007357448</v>
      </c>
      <c r="O73" s="7"/>
      <c r="P73" s="7"/>
      <c r="Q73" s="22"/>
      <c r="R73" s="167"/>
      <c r="S73" s="210">
        <f t="shared" si="28"/>
        <v>1</v>
      </c>
      <c r="T73" s="192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-09-13T09:53:06-0600',mode:absolute,to:'2017-09-13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194" t="str">
        <f>IF(AA73&lt;VLOOKUP(AG73,Variables!$AC$3:$AD$8,2,FALSE),"Y","N")</f>
        <v>N</v>
      </c>
      <c r="X73" s="194">
        <f t="shared" si="24"/>
        <v>1</v>
      </c>
      <c r="Y73" s="194">
        <f t="shared" si="25"/>
        <v>4.58E-2</v>
      </c>
      <c r="Z73" s="194">
        <f t="shared" si="26"/>
        <v>23.331900000000001</v>
      </c>
      <c r="AA73" s="194">
        <f t="shared" si="9"/>
        <v>23.286100000000001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 t="shared" si="10"/>
        <v>159</v>
      </c>
      <c r="AE73" s="77" t="str">
        <f t="shared" si="11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73" s="74" t="str">
        <f t="shared" si="12"/>
        <v>"C:\Program Files (x86)\AstroGrep\AstroGrep.exe" /e /r /s /spath="%USERPROFILE%\AppData\Local\Temp\OnboardLogs" /stypes="app*4056*20170913*" /stext=" 17:.+((SYSTEM_STATE.+slice.+state.+changed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78" t="str">
        <f t="shared" si="18"/>
        <v>"%USERPROFILE%\Documents\GitHub\eaglep3\Utilities\RefineRTDCRunTimes.py" --tripid 159-13 --locoid 4056 --swversion DE.1.0.9.0 --startMP 204:458 --initTime 2017-09-13T10:53:06 --startdatetime 2017-09-13T11:00:12 --delay 303 --endMP 204:233319 --enddatetime 2017-09-13T11:36:51 --enforcementcount 0 &gt;&gt;C:\Users\stu\Documents\GitHub\eaglep3-reporting\EC\2017-09-13-refined-times.txt</v>
      </c>
      <c r="AI73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{"issue":{"subject":"","project_id":79,"tracker_id":40,"status_id":1,"priority_id":2,"assigned_to_id":338,"start_date":"2017-09-13","description":"","custom_fields":[{"id":1,"name":"Subdivision","value":"EC"},{"id":4,"name":"Milepost","value":"23.3319"},{"id":17,"name":"Train ID","value":"159-13"},{"id":16,"name":"Locomotive ID","value":"4056"},{"id":130,"name":"Impact","value":""},{"id":150,"name":"Time of Event (Mountain Time)","value":"11:36:51"},{"id":151,"name":"Denver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4056 --day 2017-09-13</v>
      </c>
      <c r="AN73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707</v>
      </c>
      <c r="B74" s="7">
        <v>4055</v>
      </c>
      <c r="C74" s="21" t="s">
        <v>197</v>
      </c>
      <c r="D74" s="21" t="s">
        <v>868</v>
      </c>
      <c r="E74" s="13">
        <v>42991.485613425924</v>
      </c>
      <c r="F74" s="13">
        <v>42991.498124999998</v>
      </c>
      <c r="G74" s="7">
        <v>61</v>
      </c>
      <c r="H74" s="21" t="s">
        <v>384</v>
      </c>
      <c r="I74" s="13">
        <v>42991.523773148147</v>
      </c>
      <c r="J74" s="7">
        <v>0</v>
      </c>
      <c r="K74" s="89" t="str">
        <f t="shared" si="0"/>
        <v>4055/4056</v>
      </c>
      <c r="L74" s="214" t="str">
        <f>VLOOKUP(A74,'Trips&amp;Operators'!$C$1:$G$99911,5,FALSE)</f>
        <v>FORTUNATO FRANK</v>
      </c>
      <c r="M74" s="6">
        <f t="shared" si="1"/>
        <v>2.5648148148320615E-2</v>
      </c>
      <c r="N74" s="7">
        <f t="shared" si="27"/>
        <v>36.933333333581686</v>
      </c>
      <c r="O74" s="7"/>
      <c r="P74" s="7"/>
      <c r="Q74" s="22"/>
      <c r="R74" s="167"/>
      <c r="S74" s="210">
        <f t="shared" si="28"/>
        <v>1</v>
      </c>
      <c r="T74" s="192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-09-13T10:39:17-0600',mode:absolute,to:'2017-09-13T13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194" t="str">
        <f>IF(AA74&lt;VLOOKUP(AG74,Variables!$AC$3:$AD$8,2,FALSE),"Y","N")</f>
        <v>N</v>
      </c>
      <c r="X74" s="194">
        <f t="shared" si="24"/>
        <v>1</v>
      </c>
      <c r="Y74" s="194">
        <f t="shared" si="25"/>
        <v>23.300599999999999</v>
      </c>
      <c r="Z74" s="194">
        <f t="shared" si="26"/>
        <v>1.6E-2</v>
      </c>
      <c r="AA74" s="194">
        <f t="shared" si="9"/>
        <v>23.284600000000001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 t="shared" si="10"/>
        <v>160</v>
      </c>
      <c r="AE74" s="77" t="str">
        <f t="shared" si="11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74" s="74" t="str">
        <f t="shared" si="12"/>
        <v>"C:\Program Files (x86)\AstroGrep\AstroGrep.exe" /e /r /s /spath="%USERPROFILE%\AppData\Local\Temp\OnboardLogs" /stypes="app*4055*20170913*"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78" t="str">
        <f t="shared" si="18"/>
        <v>"%USERPROFILE%\Documents\GitHub\eaglep3\Utilities\RefineRTDCRunTimes.py" --tripid 160-13 --locoid 4055 --swversion DE.1.0.9.0 --startMP 204:233006 --initTime 2017-09-13T11:39:17 --startdatetime 2017-09-13T11:57:18 --delay 61 --endMP 204:160 --enddatetime 2017-09-13T12:34:14 --enforcementcount 0 &gt;&gt;C:\Users\stu\Documents\GitHub\eaglep3-reporting\EC\2017-09-13-refined-times.txt</v>
      </c>
      <c r="AI74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{"issue":{"subject":"","project_id":79,"tracker_id":40,"status_id":1,"priority_id":2,"assigned_to_id":338,"start_date":"2017-09-13","description":"","custom_fields":[{"id":1,"name":"Subdivision","value":"EC"},{"id":4,"name":"Milepost","value":"0.016"},{"id":17,"name":"Train ID","value":"160-13"},{"id":16,"name":"Locomotive ID","value":"4055"},{"id":130,"name":"Impact","value":""},{"id":150,"name":"Time of Event (Mountain Time)","value":"12:34:14"},{"id":151,"name":"Denver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4055 --day 2017-09-13</v>
      </c>
      <c r="AN74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701</v>
      </c>
      <c r="B75" s="7">
        <v>4028</v>
      </c>
      <c r="C75" s="21" t="s">
        <v>197</v>
      </c>
      <c r="D75" s="21" t="s">
        <v>443</v>
      </c>
      <c r="E75" s="13">
        <v>42991.465844907405</v>
      </c>
      <c r="F75" s="13">
        <v>42991.469224537039</v>
      </c>
      <c r="G75" s="7">
        <v>112</v>
      </c>
      <c r="H75" s="21" t="s">
        <v>488</v>
      </c>
      <c r="I75" s="13">
        <v>42991.492881944447</v>
      </c>
      <c r="J75" s="7">
        <v>0</v>
      </c>
      <c r="K75" s="89" t="str">
        <f t="shared" si="0"/>
        <v>4027/4028</v>
      </c>
      <c r="L75" s="214" t="str">
        <f>VLOOKUP(A75,'Trips&amp;Operators'!$C$1:$G$99911,5,FALSE)</f>
        <v>BRUDER RICHARD</v>
      </c>
      <c r="M75" s="6">
        <f t="shared" si="1"/>
        <v>2.3657407407881692E-2</v>
      </c>
      <c r="N75" s="7">
        <f t="shared" si="27"/>
        <v>34.066666667349637</v>
      </c>
      <c r="O75" s="7"/>
      <c r="P75" s="7"/>
      <c r="Q75" s="22"/>
      <c r="R75" s="167"/>
      <c r="S75" s="210">
        <f t="shared" si="28"/>
        <v>1</v>
      </c>
      <c r="T75" s="192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-09-13T10:10:49-0600',mode:absolute,to:'2017-09-13T12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4" t="str">
        <f>IF(AA75&lt;VLOOKUP(AG75,Variables!$AC$3:$AD$8,2,FALSE),"Y","N")</f>
        <v>N</v>
      </c>
      <c r="X75" s="194">
        <f t="shared" si="24"/>
        <v>1</v>
      </c>
      <c r="Y75" s="194">
        <f t="shared" si="25"/>
        <v>4.5100000000000001E-2</v>
      </c>
      <c r="Z75" s="194">
        <f t="shared" si="26"/>
        <v>23.3307</v>
      </c>
      <c r="AA75" s="194">
        <f t="shared" si="9"/>
        <v>23.285599999999999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 t="shared" si="10"/>
        <v>161</v>
      </c>
      <c r="AE75" s="77" t="str">
        <f t="shared" si="11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75" s="74" t="str">
        <f t="shared" si="12"/>
        <v>"C:\Program Files (x86)\AstroGrep\AstroGrep.exe" /e /r /s /spath="%USERPROFILE%\AppData\Local\Temp\OnboardLogs" /stypes="app*4028*20170913*" /stext=" 17:.+((SYSTEM_STATE.+slice.+state.+changed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78" t="str">
        <f t="shared" si="18"/>
        <v>"%USERPROFILE%\Documents\GitHub\eaglep3\Utilities\RefineRTDCRunTimes.py" --tripid 161-13 --locoid 4028 --swversion DE.1.0.9.0 --startMP 204:451 --initTime 2017-09-13T11:10:49 --startdatetime 2017-09-13T11:15:41 --delay 112 --endMP 204:233307 --enddatetime 2017-09-13T11:49:45 --enforcementcount 0 &gt;&gt;C:\Users\stu\Documents\GitHub\eaglep3-reporting\EC\2017-09-13-refined-times.txt</v>
      </c>
      <c r="AI75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{"issue":{"subject":"","project_id":79,"tracker_id":40,"status_id":1,"priority_id":2,"assigned_to_id":338,"start_date":"2017-09-13","description":"","custom_fields":[{"id":1,"name":"Subdivision","value":"EC"},{"id":4,"name":"Milepost","value":"23.3307"},{"id":17,"name":"Train ID","value":"161-13"},{"id":16,"name":"Locomotive ID","value":"4028"},{"id":130,"name":"Impact","value":""},{"id":150,"name":"Time of Event (Mountain Time)","value":"11:49:45"},{"id":151,"name":"Denver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4028 --day 2017-09-13</v>
      </c>
      <c r="AN75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713</v>
      </c>
      <c r="B76" s="7">
        <v>4027</v>
      </c>
      <c r="C76" s="21" t="s">
        <v>197</v>
      </c>
      <c r="D76" s="21" t="s">
        <v>545</v>
      </c>
      <c r="E76" s="13">
        <v>42991.504803240743</v>
      </c>
      <c r="F76" s="13">
        <v>42991.508518518516</v>
      </c>
      <c r="G76" s="7">
        <v>151</v>
      </c>
      <c r="H76" s="21" t="s">
        <v>372</v>
      </c>
      <c r="I76" s="13">
        <v>42991.534016203703</v>
      </c>
      <c r="J76" s="7">
        <v>0</v>
      </c>
      <c r="K76" s="89" t="str">
        <f t="shared" si="0"/>
        <v>4027/4028</v>
      </c>
      <c r="L76" s="214" t="str">
        <f>VLOOKUP(A76,'Trips&amp;Operators'!$C$1:$G$99911,5,FALSE)</f>
        <v>BRUDER RICHARD</v>
      </c>
      <c r="M76" s="6">
        <f t="shared" si="1"/>
        <v>2.5497685186564922E-2</v>
      </c>
      <c r="N76" s="7">
        <f t="shared" si="27"/>
        <v>36.716666668653488</v>
      </c>
      <c r="O76" s="7"/>
      <c r="P76" s="7"/>
      <c r="Q76" s="22"/>
      <c r="R76" s="167"/>
      <c r="S76" s="210">
        <f t="shared" si="28"/>
        <v>1</v>
      </c>
      <c r="T76" s="192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-09-13T11:06:55-0600',mode:absolute,to:'2017-09-13T13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4" t="str">
        <f>IF(AA76&lt;VLOOKUP(AG76,Variables!$AC$3:$AD$8,2,FALSE),"Y","N")</f>
        <v>N</v>
      </c>
      <c r="X76" s="194">
        <f t="shared" si="24"/>
        <v>1</v>
      </c>
      <c r="Y76" s="194">
        <f t="shared" si="25"/>
        <v>23.297799999999999</v>
      </c>
      <c r="Z76" s="194">
        <f t="shared" si="26"/>
        <v>1.5599999999999999E-2</v>
      </c>
      <c r="AA76" s="194">
        <f t="shared" si="9"/>
        <v>23.2822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 t="shared" si="10"/>
        <v>162</v>
      </c>
      <c r="AE76" s="77" t="str">
        <f t="shared" si="11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76" s="74" t="str">
        <f t="shared" si="12"/>
        <v>"C:\Program Files (x86)\AstroGrep\AstroGrep.exe" /e /r /s /spath="%USERPROFILE%\AppData\Local\Temp\OnboardLogs" /stypes="app*4027*20170913*" /stext=" 18:.+((SYSTEM_STATE.+slice.+state.+changed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78" t="str">
        <f t="shared" si="18"/>
        <v>"%USERPROFILE%\Documents\GitHub\eaglep3\Utilities\RefineRTDCRunTimes.py" --tripid 162-13 --locoid 4027 --swversion DE.1.0.9.0 --startMP 204:232978 --initTime 2017-09-13T12:06:55 --startdatetime 2017-09-13T12:12:16 --delay 151 --endMP 204:156 --enddatetime 2017-09-13T12:48:59 --enforcementcount 0 &gt;&gt;C:\Users\stu\Documents\GitHub\eaglep3-reporting\EC\2017-09-13-refined-times.txt</v>
      </c>
      <c r="AI76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ID","value":"162-13"},{"id":16,"name":"Locomotive ID","value":"4027"},{"id":130,"name":"Impact","value":""},{"id":150,"name":"Time of Event (Mountain Time)","value":"12:48:59"},{"id":151,"name":"Denver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4027 --day 2017-09-13</v>
      </c>
      <c r="AN76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702</v>
      </c>
      <c r="B77" s="7">
        <v>4016</v>
      </c>
      <c r="C77" s="21" t="s">
        <v>197</v>
      </c>
      <c r="D77" s="21" t="s">
        <v>538</v>
      </c>
      <c r="E77" s="13">
        <v>42991.475960648146</v>
      </c>
      <c r="F77" s="13">
        <v>42991.479386574072</v>
      </c>
      <c r="G77" s="7">
        <v>65</v>
      </c>
      <c r="H77" s="21" t="s">
        <v>458</v>
      </c>
      <c r="I77" s="13">
        <v>42991.504513888889</v>
      </c>
      <c r="J77" s="7">
        <v>0</v>
      </c>
      <c r="K77" s="89" t="str">
        <f t="shared" ref="K77:K140" si="29">IF(ISEVEN(B77),(B77-1)&amp;"/"&amp;B77,B77&amp;"/"&amp;(B77+1))</f>
        <v>4015/4016</v>
      </c>
      <c r="L77" s="214" t="str">
        <f>VLOOKUP(A77,'Trips&amp;Operators'!$C$1:$G$99911,5,FALSE)</f>
        <v>MOSES BRADLEY</v>
      </c>
      <c r="M77" s="6">
        <f t="shared" ref="M77:M140" si="30">I77-F77</f>
        <v>2.5127314816927537E-2</v>
      </c>
      <c r="N77" s="7">
        <f t="shared" si="27"/>
        <v>36.183333336375654</v>
      </c>
      <c r="O77" s="7"/>
      <c r="P77" s="7"/>
      <c r="Q77" s="22"/>
      <c r="R77" s="167"/>
      <c r="S77" s="210">
        <f t="shared" si="28"/>
        <v>1</v>
      </c>
      <c r="T77" s="192" t="str">
        <f t="shared" ref="T77:T140" si="31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-13T10:25:23-0600',mode:absolute,to:'2017-09-13T13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4" t="str">
        <f>IF(AA77&lt;VLOOKUP(AG77,Variables!$AC$3:$AD$8,2,FALSE),"Y","N")</f>
        <v>N</v>
      </c>
      <c r="X77" s="194">
        <f t="shared" ref="X77:X108" si="33">VALUE(LEFT(AD77,4))-VALUE(LEFT(AD76,4))</f>
        <v>1</v>
      </c>
      <c r="Y77" s="194">
        <f t="shared" ref="Y77:Y111" si="34">RIGHT(D77,LEN(D77)-4)/10000</f>
        <v>4.4699999999999997E-2</v>
      </c>
      <c r="Z77" s="194">
        <f t="shared" ref="Z77:Z111" si="35">RIGHT(H77,LEN(H77)-4)/10000</f>
        <v>23.331199999999999</v>
      </c>
      <c r="AA77" s="194">
        <f t="shared" ref="AA77:AA140" si="36">ABS(Z77-Y77)</f>
        <v>23.2865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 t="shared" ref="AD77:AD140" si="37">VALUE(LEFT(A77,LEN(A77)-3))</f>
        <v>163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/stypes="app*4016*20170913*" /stext=" 18:.+((SYSTEM_STATE.+slice.+state.+changed )|(ment ac)|(multiple cpu faults)|(system.+state.+changed )|(\[timeout)|(PRM\|1\|D)|(kpr)|(kdp)|(train st.+moving)|(\|lc)|(penalty))"</v>
      </c>
      <c r="AG77" s="206" t="str">
        <f t="shared" ref="AG77:AG140" si="40">DetSubdiv(A77)</f>
        <v>EC</v>
      </c>
      <c r="AH77" s="78" t="str">
        <f t="shared" si="18"/>
        <v>"%USERPROFILE%\Documents\GitHub\eaglep3\Utilities\RefineRTDCRunTimes.py" --tripid 163-13 --locoid 4016 --swversion DE.1.0.9.0 --startMP 204:447 --initTime 2017-09-13T11:25:23 --startdatetime 2017-09-13T11:30:19 --delay 65 --endMP 204:233312 --enddatetime 2017-09-13T12:06:30 --enforcementcount 0 &gt;&gt;C:\Users\stu\Documents\GitHub\eaglep3-reporting\EC\2017-09-13-refined-times.txt</v>
      </c>
      <c r="AI77" s="96" t="str">
        <f t="shared" si="19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ID","value":"163-13"},{"id":16,"name":"Locomotive ID","value":"4016"},{"id":130,"name":"Impact","value":""},{"id":150,"name":"Time of Event (Mountain Time)","value":"12:06:30"},{"id":151,"name":"Denver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4016 --day 2017-09-13</v>
      </c>
      <c r="AN77" s="151" t="str">
        <f t="shared" si="2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720</v>
      </c>
      <c r="B78" s="7">
        <v>4015</v>
      </c>
      <c r="C78" s="21" t="s">
        <v>197</v>
      </c>
      <c r="D78" s="21" t="s">
        <v>550</v>
      </c>
      <c r="E78" s="13">
        <v>42991.514641203707</v>
      </c>
      <c r="F78" s="13">
        <v>42991.519004629627</v>
      </c>
      <c r="G78" s="7">
        <v>220</v>
      </c>
      <c r="H78" s="21" t="s">
        <v>342</v>
      </c>
      <c r="I78" s="13">
        <v>42991.544270833336</v>
      </c>
      <c r="J78" s="7">
        <v>0</v>
      </c>
      <c r="K78" s="89" t="str">
        <f t="shared" si="29"/>
        <v>4015/4016</v>
      </c>
      <c r="L78" s="214" t="str">
        <f>VLOOKUP(A78,'Trips&amp;Operators'!$C$1:$G$99911,5,FALSE)</f>
        <v>MOSES BRADLEY</v>
      </c>
      <c r="M78" s="6">
        <f t="shared" si="30"/>
        <v>2.5266203709179536E-2</v>
      </c>
      <c r="N78" s="7">
        <f t="shared" si="27"/>
        <v>36.383333341218531</v>
      </c>
      <c r="O78" s="7"/>
      <c r="P78" s="7"/>
      <c r="Q78" s="22"/>
      <c r="R78" s="167"/>
      <c r="S78" s="210">
        <f t="shared" si="28"/>
        <v>1</v>
      </c>
      <c r="T78" s="192" t="str">
        <f t="shared" si="31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32"/>
        <v>https://d0f6bd738d7f1b3e5a7ca70fe4ff75f0.us-east-1.aws.found.io/app/kibana#/discover/Steve-Slow-Train-Analysis-(2080s-and-2083s)?_g=(refreshInterval:(display:Off,pause:!f,section:0,value:0),time:(from:'2017-09-13T11:21:05-0600',mode:absolute,to:'2017-09-13T14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4" t="str">
        <f>IF(AA78&lt;VLOOKUP(AG78,Variables!$AC$3:$AD$8,2,FALSE),"Y","N")</f>
        <v>N</v>
      </c>
      <c r="X78" s="194">
        <f t="shared" si="33"/>
        <v>1</v>
      </c>
      <c r="Y78" s="194">
        <f t="shared" si="34"/>
        <v>23.299099999999999</v>
      </c>
      <c r="Z78" s="194">
        <f t="shared" si="35"/>
        <v>1.41E-2</v>
      </c>
      <c r="AA78" s="194">
        <f t="shared" si="36"/>
        <v>23.285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 t="shared" si="37"/>
        <v>164</v>
      </c>
      <c r="AE78" s="77" t="str">
        <f t="shared" si="38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78" s="74" t="str">
        <f t="shared" si="39"/>
        <v>"C:\Program Files (x86)\AstroGrep\AstroGrep.exe" /e /r /s /spath="%USERPROFILE%\AppData\Local\Temp\OnboardLogs" /stypes="app*4015*20170913*" /stext=" 19:.+((SYSTEM_STATE.+slice.+state.+changed )|(ment ac)|(multiple cpu faults)|(system.+state.+changed )|(\[timeout)|(PRM\|1\|D)|(kpr)|(kdp)|(train st.+moving)|(\|lc)|(penalty))"</v>
      </c>
      <c r="AG78" s="206" t="str">
        <f t="shared" si="40"/>
        <v>EC</v>
      </c>
      <c r="AH78" s="78" t="str">
        <f t="shared" ref="AH78:AH143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164-13 --locoid 4015 --swversion DE.1.0.9.0 --startMP 204:232991 --initTime 2017-09-13T12:21:05 --startdatetime 2017-09-13T12:27:22 --delay 220 --endMP 204:141 --enddatetime 2017-09-13T13:03:45 --enforcementcount 0 &gt;&gt;C:\Users\stu\Documents\GitHub\eaglep3-reporting\EC\2017-09-13-refined-times.txt</v>
      </c>
      <c r="AI78" s="96" t="str">
        <f t="shared" ref="AI78:AI143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{"issue":{"subject":"","project_id":79,"tracker_id":40,"status_id":1,"priority_id":2,"assigned_to_id":338,"start_date":"2017-09-13","description":"","custom_fields":[{"id":1,"name":"Subdivision","value":"EC"},{"id":4,"name":"Milepost","value":"0.0141"},{"id":17,"name":"Train ID","value":"164-13"},{"id":16,"name":"Locomotive ID","value":"4015"},{"id":130,"name":"Impact","value":""},{"id":150,"name":"Time of Event (Mountain Time)","value":"13:03:45"},{"id":151,"name":"Denver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43">"start /low /b "&amp;dls3logs&amp;" --loco "&amp;B78&amp;" --day "&amp;TEXT(F78,"YYYY-MM-DD")</f>
        <v>start /low /b %USERPROFILE%\Documents\GitHub\eaglep3\Utilities\DownloadLogsFromS3.py --loco 4015 --day 2017-09-13</v>
      </c>
      <c r="AN78" s="151" t="str">
        <f t="shared" ref="AN78:AN143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706</v>
      </c>
      <c r="B79" s="7">
        <v>4044</v>
      </c>
      <c r="C79" s="21" t="s">
        <v>197</v>
      </c>
      <c r="D79" s="21" t="s">
        <v>337</v>
      </c>
      <c r="E79" s="13">
        <v>42991.485092592593</v>
      </c>
      <c r="F79" s="13">
        <v>42991.489733796298</v>
      </c>
      <c r="G79" s="7">
        <v>64</v>
      </c>
      <c r="H79" s="21" t="s">
        <v>869</v>
      </c>
      <c r="I79" s="13">
        <v>42991.513622685183</v>
      </c>
      <c r="J79" s="7">
        <v>0</v>
      </c>
      <c r="K79" s="89" t="str">
        <f t="shared" si="29"/>
        <v>4043/4044</v>
      </c>
      <c r="L79" s="214" t="str">
        <f>VLOOKUP(A79,'Trips&amp;Operators'!$C$1:$G$99911,5,FALSE)</f>
        <v>GUZMAN DANNY</v>
      </c>
      <c r="M79" s="6">
        <f t="shared" si="30"/>
        <v>2.3888888885267079E-2</v>
      </c>
      <c r="N79" s="7">
        <f t="shared" si="27"/>
        <v>34.399999994784594</v>
      </c>
      <c r="O79" s="7"/>
      <c r="P79" s="7"/>
      <c r="Q79" s="22"/>
      <c r="R79" s="167"/>
      <c r="S79" s="210">
        <f t="shared" si="28"/>
        <v>1</v>
      </c>
      <c r="T79" s="192" t="str">
        <f t="shared" si="31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32"/>
        <v>https://d0f6bd738d7f1b3e5a7ca70fe4ff75f0.us-east-1.aws.found.io/app/kibana#/discover/Steve-Slow-Train-Analysis-(2080s-and-2083s)?_g=(refreshInterval:(display:Off,pause:!f,section:0,value:0),time:(from:'2017-09-13T10:38:32-0600',mode:absolute,to:'2017-09-13T13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4" t="str">
        <f>IF(AA79&lt;VLOOKUP(AG79,Variables!$AC$3:$AD$8,2,FALSE),"Y","N")</f>
        <v>N</v>
      </c>
      <c r="X79" s="194">
        <f t="shared" si="33"/>
        <v>1</v>
      </c>
      <c r="Y79" s="194">
        <f t="shared" si="34"/>
        <v>4.4600000000000001E-2</v>
      </c>
      <c r="Z79" s="194">
        <f t="shared" si="35"/>
        <v>23.3264</v>
      </c>
      <c r="AA79" s="194">
        <f t="shared" si="36"/>
        <v>23.2818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 t="shared" si="37"/>
        <v>165</v>
      </c>
      <c r="AE79" s="77" t="str">
        <f t="shared" si="38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79" s="74" t="str">
        <f t="shared" si="39"/>
        <v>"C:\Program Files (x86)\AstroGrep\AstroGrep.exe" /e /r /s /spath="%USERPROFILE%\AppData\Local\Temp\OnboardLogs" /stypes="app*4044*20170913*" /stext=" 18:.+((SYSTEM_STATE.+slice.+state.+changed )|(ment ac)|(multiple cpu faults)|(system.+state.+changed )|(\[timeout)|(PRM\|1\|D)|(kpr)|(kdp)|(train st.+moving)|(\|lc)|(penalty))"</v>
      </c>
      <c r="AG79" s="206" t="str">
        <f t="shared" si="40"/>
        <v>EC</v>
      </c>
      <c r="AH79" s="78" t="str">
        <f t="shared" si="41"/>
        <v>"%USERPROFILE%\Documents\GitHub\eaglep3\Utilities\RefineRTDCRunTimes.py" --tripid 165-13 --locoid 4044 --swversion DE.1.0.9.0 --startMP 204:446 --initTime 2017-09-13T11:38:32 --startdatetime 2017-09-13T11:45:13 --delay 64 --endMP 204:233264 --enddatetime 2017-09-13T12:19:37 --enforcementcount 0 &gt;&gt;C:\Users\stu\Documents\GitHub\eaglep3-reporting\EC\2017-09-13-refined-times.txt</v>
      </c>
      <c r="AI7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{"issue":{"subject":"","project_id":79,"tracker_id":40,"status_id":1,"priority_id":2,"assigned_to_id":338,"start_date":"2017-09-13","description":"","custom_fields":[{"id":1,"name":"Subdivision","value":"EC"},{"id":4,"name":"Milepost","value":"23.3264"},{"id":17,"name":"Train ID","value":"165-13"},{"id":16,"name":"Locomotive ID","value":"4044"},{"id":130,"name":"Impact","value":""},{"id":150,"name":"Time of Event (Mountain Time)","value":"12:19:37"},{"id":151,"name":"Denver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4044 --day 2017-09-13</v>
      </c>
      <c r="AN79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717</v>
      </c>
      <c r="B80" s="7">
        <v>4043</v>
      </c>
      <c r="C80" s="21" t="s">
        <v>197</v>
      </c>
      <c r="D80" s="21" t="s">
        <v>537</v>
      </c>
      <c r="E80" s="13">
        <v>42991.515104166669</v>
      </c>
      <c r="F80" s="13">
        <v>42991.529328703706</v>
      </c>
      <c r="G80" s="7">
        <v>61</v>
      </c>
      <c r="H80" s="21" t="s">
        <v>343</v>
      </c>
      <c r="I80" s="13">
        <v>42991.555289351854</v>
      </c>
      <c r="J80" s="7">
        <v>0</v>
      </c>
      <c r="K80" s="89" t="str">
        <f t="shared" si="29"/>
        <v>4043/4044</v>
      </c>
      <c r="L80" s="214" t="str">
        <f>VLOOKUP(A80,'Trips&amp;Operators'!$C$1:$G$99911,5,FALSE)</f>
        <v>GUZMAN DANNY</v>
      </c>
      <c r="M80" s="6">
        <f t="shared" si="30"/>
        <v>2.5960648148611654E-2</v>
      </c>
      <c r="N80" s="7">
        <f t="shared" si="27"/>
        <v>37.383333334000781</v>
      </c>
      <c r="O80" s="7"/>
      <c r="P80" s="7"/>
      <c r="Q80" s="22"/>
      <c r="R80" s="167"/>
      <c r="S80" s="210">
        <f t="shared" si="28"/>
        <v>1</v>
      </c>
      <c r="T80" s="192" t="str">
        <f t="shared" si="31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32"/>
        <v>https://d0f6bd738d7f1b3e5a7ca70fe4ff75f0.us-east-1.aws.found.io/app/kibana#/discover/Steve-Slow-Train-Analysis-(2080s-and-2083s)?_g=(refreshInterval:(display:Off,pause:!f,section:0,value:0),time:(from:'2017-09-13T11:21:45-0600',mode:absolute,to:'2017-09-13T14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4" t="str">
        <f>IF(AA80&lt;VLOOKUP(AG80,Variables!$AC$3:$AD$8,2,FALSE),"Y","N")</f>
        <v>N</v>
      </c>
      <c r="X80" s="194">
        <f t="shared" si="33"/>
        <v>1</v>
      </c>
      <c r="Y80" s="194">
        <f t="shared" si="34"/>
        <v>23.296900000000001</v>
      </c>
      <c r="Z80" s="194">
        <f t="shared" si="35"/>
        <v>1.47E-2</v>
      </c>
      <c r="AA80" s="194">
        <f t="shared" si="36"/>
        <v>23.2822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 t="shared" si="37"/>
        <v>166</v>
      </c>
      <c r="AE80" s="77" t="str">
        <f t="shared" si="38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80" s="74" t="str">
        <f t="shared" si="39"/>
        <v>"C:\Program Files (x86)\AstroGrep\AstroGrep.exe" /e /r /s /spath="%USERPROFILE%\AppData\Local\Temp\OnboardLogs" /stypes="app*4043*20170913*" /stext=" 19:.+((SYSTEM_STATE.+slice.+state.+changed )|(ment ac)|(multiple cpu faults)|(system.+state.+changed )|(\[timeout)|(PRM\|1\|D)|(kpr)|(kdp)|(train st.+moving)|(\|lc)|(penalty))"</v>
      </c>
      <c r="AG80" s="206" t="str">
        <f t="shared" si="40"/>
        <v>EC</v>
      </c>
      <c r="AH80" s="78" t="str">
        <f t="shared" si="41"/>
        <v>"%USERPROFILE%\Documents\GitHub\eaglep3\Utilities\RefineRTDCRunTimes.py" --tripid 166-13 --locoid 4043 --swversion DE.1.0.9.0 --startMP 204:232969 --initTime 2017-09-13T12:21:45 --startdatetime 2017-09-13T12:42:14 --delay 61 --endMP 204:147 --enddatetime 2017-09-13T13:19:37 --enforcementcount 0 &gt;&gt;C:\Users\stu\Documents\GitHub\eaglep3-reporting\EC\2017-09-13-refined-times.txt</v>
      </c>
      <c r="AI8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ID","value":"166-13"},{"id":16,"name":"Locomotive ID","value":"4043"},{"id":130,"name":"Impact","value":""},{"id":150,"name":"Time of Event (Mountain Time)","value":"13:19:37"},{"id":151,"name":"Denver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4043 --day 2017-09-13</v>
      </c>
      <c r="AN80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709</v>
      </c>
      <c r="B81" s="7">
        <v>4006</v>
      </c>
      <c r="C81" s="21" t="s">
        <v>197</v>
      </c>
      <c r="D81" s="21" t="s">
        <v>380</v>
      </c>
      <c r="E81" s="13">
        <v>42991.496087962965</v>
      </c>
      <c r="F81" s="13">
        <v>42991.500185185185</v>
      </c>
      <c r="G81" s="7">
        <v>102</v>
      </c>
      <c r="H81" s="21" t="s">
        <v>503</v>
      </c>
      <c r="I81" s="13">
        <v>42991.525335648148</v>
      </c>
      <c r="J81" s="7">
        <v>0</v>
      </c>
      <c r="K81" s="89" t="str">
        <f t="shared" si="29"/>
        <v>4005/4006</v>
      </c>
      <c r="L81" s="214" t="str">
        <f>VLOOKUP(A81,'Trips&amp;Operators'!$C$1:$G$99911,5,FALSE)</f>
        <v>LEVIN SCOTT</v>
      </c>
      <c r="M81" s="6">
        <f t="shared" si="30"/>
        <v>2.5150462963210884E-2</v>
      </c>
      <c r="N81" s="7">
        <f t="shared" si="27"/>
        <v>36.216666667023674</v>
      </c>
      <c r="O81" s="7"/>
      <c r="P81" s="7"/>
      <c r="Q81" s="22"/>
      <c r="R81" s="167"/>
      <c r="S81" s="210">
        <f t="shared" si="28"/>
        <v>1</v>
      </c>
      <c r="T81" s="192" t="str">
        <f t="shared" si="31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32"/>
        <v>https://d0f6bd738d7f1b3e5a7ca70fe4ff75f0.us-east-1.aws.found.io/app/kibana#/discover/Steve-Slow-Train-Analysis-(2080s-and-2083s)?_g=(refreshInterval:(display:Off,pause:!f,section:0,value:0),time:(from:'2017-09-13T10:54:22-0600',mode:absolute,to:'2017-09-13T13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1" s="194" t="str">
        <f>IF(AA81&lt;VLOOKUP(AG81,Variables!$AC$3:$AD$8,2,FALSE),"Y","N")</f>
        <v>N</v>
      </c>
      <c r="X81" s="194">
        <f t="shared" si="33"/>
        <v>1</v>
      </c>
      <c r="Y81" s="194">
        <f t="shared" si="34"/>
        <v>4.6899999999999997E-2</v>
      </c>
      <c r="Z81" s="194">
        <f t="shared" si="35"/>
        <v>23.332100000000001</v>
      </c>
      <c r="AA81" s="194">
        <f t="shared" si="36"/>
        <v>23.2852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 t="shared" si="37"/>
        <v>167</v>
      </c>
      <c r="AE81" s="77" t="str">
        <f t="shared" si="38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81" s="74" t="str">
        <f t="shared" si="39"/>
        <v>"C:\Program Files (x86)\AstroGrep\AstroGrep.exe" /e /r /s /spath="%USERPROFILE%\AppData\Local\Temp\OnboardLogs" /stypes="app*4006*20170913*" /stext=" 18:.+((SYSTEM_STATE.+slice.+state.+changed )|(ment ac)|(multiple cpu faults)|(system.+state.+changed )|(\[timeout)|(PRM\|1\|D)|(kpr)|(kdp)|(train st.+moving)|(\|lc)|(penalty))"</v>
      </c>
      <c r="AG81" s="206" t="str">
        <f t="shared" si="40"/>
        <v>EC</v>
      </c>
      <c r="AH81" s="78" t="str">
        <f t="shared" si="41"/>
        <v>"%USERPROFILE%\Documents\GitHub\eaglep3\Utilities\RefineRTDCRunTimes.py" --tripid 167-13 --locoid 4006 --swversion DE.1.0.9.0 --startMP 204:469 --initTime 2017-09-13T11:54:22 --startdatetime 2017-09-13T12:00:16 --delay 102 --endMP 204:233321 --enddatetime 2017-09-13T12:36:29 --enforcementcount 0 &gt;&gt;C:\Users\stu\Documents\GitHub\eaglep3-reporting\EC\2017-09-13-refined-times.txt</v>
      </c>
      <c r="AI8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{"issue":{"subject":"","project_id":79,"tracker_id":40,"status_id":1,"priority_id":2,"assigned_to_id":338,"start_date":"2017-09-13","description":"","custom_fields":[{"id":1,"name":"Subdivision","value":"EC"},{"id":4,"name":"Milepost","value":"23.3321"},{"id":17,"name":"Train ID","value":"167-13"},{"id":16,"name":"Locomotive ID","value":"4006"},{"id":130,"name":"Impact","value":""},{"id":150,"name":"Time of Event (Mountain Time)","value":"12:36:29"},{"id":151,"name":"Denver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4006 --day 2017-09-13</v>
      </c>
      <c r="AN81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595</v>
      </c>
      <c r="B82" s="7">
        <v>4005</v>
      </c>
      <c r="C82" s="21" t="s">
        <v>197</v>
      </c>
      <c r="D82" s="21" t="s">
        <v>870</v>
      </c>
      <c r="E82" s="13">
        <v>42991.530613425923</v>
      </c>
      <c r="F82" s="13">
        <v>42991.539733796293</v>
      </c>
      <c r="G82" s="7">
        <v>71</v>
      </c>
      <c r="H82" s="21" t="s">
        <v>440</v>
      </c>
      <c r="I82" s="13">
        <v>42991.566064814811</v>
      </c>
      <c r="J82" s="7">
        <v>0</v>
      </c>
      <c r="K82" s="89" t="str">
        <f t="shared" si="29"/>
        <v>4005/4006</v>
      </c>
      <c r="L82" s="214" t="str">
        <f>VLOOKUP(A82,'Trips&amp;Operators'!$C$1:$G$99911,5,FALSE)</f>
        <v>LEVIN SCOTT</v>
      </c>
      <c r="M82" s="6">
        <f t="shared" si="30"/>
        <v>2.6331018518249039E-2</v>
      </c>
      <c r="N82" s="7">
        <f t="shared" si="27"/>
        <v>37.916666666278616</v>
      </c>
      <c r="O82" s="7"/>
      <c r="P82" s="7"/>
      <c r="Q82" s="22"/>
      <c r="R82" s="167"/>
      <c r="S82" s="210">
        <f t="shared" si="28"/>
        <v>1</v>
      </c>
      <c r="T82" s="192" t="str">
        <f t="shared" si="31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32"/>
        <v>https://d0f6bd738d7f1b3e5a7ca70fe4ff75f0.us-east-1.aws.found.io/app/kibana#/discover/Steve-Slow-Train-Analysis-(2080s-and-2083s)?_g=(refreshInterval:(display:Off,pause:!f,section:0,value:0),time:(from:'2017-09-13T11:44:05-0600',mode:absolute,to:'2017-09-13T14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2" s="194" t="str">
        <f>IF(AA82&lt;VLOOKUP(AG82,Variables!$AC$3:$AD$8,2,FALSE),"Y","N")</f>
        <v>N</v>
      </c>
      <c r="X82" s="194">
        <f t="shared" si="33"/>
        <v>1</v>
      </c>
      <c r="Y82" s="194">
        <f t="shared" si="34"/>
        <v>23.302299999999999</v>
      </c>
      <c r="Z82" s="194">
        <f t="shared" si="35"/>
        <v>1.6299999999999999E-2</v>
      </c>
      <c r="AA82" s="194">
        <f t="shared" si="36"/>
        <v>23.285999999999998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 t="shared" si="37"/>
        <v>168</v>
      </c>
      <c r="AE82" s="77" t="str">
        <f t="shared" si="38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82" s="74" t="str">
        <f t="shared" si="39"/>
        <v>"C:\Program Files (x86)\AstroGrep\AstroGrep.exe" /e /r /s /spath="%USERPROFILE%\AppData\Local\Temp\OnboardLogs" /stypes="app*4005*20170913*" /stext=" 19:.+((SYSTEM_STATE.+slice.+state.+changed )|(ment ac)|(multiple cpu faults)|(system.+state.+changed )|(\[timeout)|(PRM\|1\|D)|(kpr)|(kdp)|(train st.+moving)|(\|lc)|(penalty))"</v>
      </c>
      <c r="AG82" s="206" t="str">
        <f t="shared" si="40"/>
        <v>EC</v>
      </c>
      <c r="AH82" s="78" t="str">
        <f t="shared" si="41"/>
        <v>"%USERPROFILE%\Documents\GitHub\eaglep3\Utilities\RefineRTDCRunTimes.py" --tripid 168-13 --locoid 4005 --swversion DE.1.0.9.0 --startMP 204:233023 --initTime 2017-09-13T12:44:05 --startdatetime 2017-09-13T12:57:13 --delay 71 --endMP 204:163 --enddatetime 2017-09-13T13:35:08 --enforcementcount 0 &gt;&gt;C:\Users\stu\Documents\GitHub\eaglep3-reporting\EC\2017-09-13-refined-times.txt</v>
      </c>
      <c r="AI8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{"issue":{"subject":"","project_id":79,"tracker_id":40,"status_id":1,"priority_id":2,"assigned_to_id":338,"start_date":"2017-09-13","description":"","custom_fields":[{"id":1,"name":"Subdivision","value":"EC"},{"id":4,"name":"Milepost","value":"0.0163"},{"id":17,"name":"Train ID","value":"168-13"},{"id":16,"name":"Locomotive ID","value":"4005"},{"id":130,"name":"Impact","value":""},{"id":150,"name":"Time of Event (Mountain Time)","value":"13:35:08"},{"id":151,"name":"Denver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4005 --day 2017-09-13</v>
      </c>
      <c r="AN82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592</v>
      </c>
      <c r="B83" s="7">
        <v>4010</v>
      </c>
      <c r="C83" s="21" t="s">
        <v>197</v>
      </c>
      <c r="D83" s="21" t="s">
        <v>359</v>
      </c>
      <c r="E83" s="13">
        <v>42991.503912037035</v>
      </c>
      <c r="F83" s="13">
        <v>42991.510625000003</v>
      </c>
      <c r="G83" s="7">
        <v>153</v>
      </c>
      <c r="H83" s="21" t="s">
        <v>871</v>
      </c>
      <c r="I83" s="13">
        <v>42991.534305555557</v>
      </c>
      <c r="J83" s="7">
        <v>0</v>
      </c>
      <c r="K83" s="89" t="str">
        <f t="shared" si="29"/>
        <v>4009/4010</v>
      </c>
      <c r="L83" s="214" t="str">
        <f>VLOOKUP(A83,'Trips&amp;Operators'!$C$1:$G$99911,5,FALSE)</f>
        <v>DELGADO DIANAH</v>
      </c>
      <c r="M83" s="6">
        <f t="shared" si="30"/>
        <v>2.3680555554165039E-2</v>
      </c>
      <c r="N83" s="7">
        <f t="shared" si="27"/>
        <v>34.099999997997656</v>
      </c>
      <c r="O83" s="7"/>
      <c r="P83" s="7"/>
      <c r="Q83" s="22"/>
      <c r="R83" s="167"/>
      <c r="S83" s="210">
        <f t="shared" si="28"/>
        <v>1</v>
      </c>
      <c r="T83" s="192" t="str">
        <f t="shared" si="31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32"/>
        <v>https://d0f6bd738d7f1b3e5a7ca70fe4ff75f0.us-east-1.aws.found.io/app/kibana#/discover/Steve-Slow-Train-Analysis-(2080s-and-2083s)?_g=(refreshInterval:(display:Off,pause:!f,section:0,value:0),time:(from:'2017-09-13T11:05:38-0600',mode:absolute,to:'2017-09-13T13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4" t="str">
        <f>IF(AA83&lt;VLOOKUP(AG83,Variables!$AC$3:$AD$8,2,FALSE),"Y","N")</f>
        <v>N</v>
      </c>
      <c r="X83" s="194">
        <f t="shared" si="33"/>
        <v>1</v>
      </c>
      <c r="Y83" s="194">
        <f t="shared" si="34"/>
        <v>4.58E-2</v>
      </c>
      <c r="Z83" s="194">
        <f t="shared" si="35"/>
        <v>23.336600000000001</v>
      </c>
      <c r="AA83" s="194">
        <f t="shared" si="36"/>
        <v>23.290800000000001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 t="shared" si="37"/>
        <v>169</v>
      </c>
      <c r="AE83" s="77" t="str">
        <f t="shared" si="38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83" s="74" t="str">
        <f t="shared" si="39"/>
        <v>"C:\Program Files (x86)\AstroGrep\AstroGrep.exe" /e /r /s /spath="%USERPROFILE%\AppData\Local\Temp\OnboardLogs" /stypes="app*4010*20170913*" /stext=" 18:.+((SYSTEM_STATE.+slice.+state.+changed )|(ment ac)|(multiple cpu faults)|(system.+state.+changed )|(\[timeout)|(PRM\|1\|D)|(kpr)|(kdp)|(train st.+moving)|(\|lc)|(penalty))"</v>
      </c>
      <c r="AG83" s="206" t="str">
        <f t="shared" si="40"/>
        <v>EC</v>
      </c>
      <c r="AH83" s="78" t="str">
        <f t="shared" si="41"/>
        <v>"%USERPROFILE%\Documents\GitHub\eaglep3\Utilities\RefineRTDCRunTimes.py" --tripid 169-13 --locoid 4010 --swversion DE.1.0.9.0 --startMP 204:458 --initTime 2017-09-13T12:05:38 --startdatetime 2017-09-13T12:15:18 --delay 153 --endMP 204:233366 --enddatetime 2017-09-13T12:49:24 --enforcementcount 0 &gt;&gt;C:\Users\stu\Documents\GitHub\eaglep3-reporting\EC\2017-09-13-refined-times.txt</v>
      </c>
      <c r="AI8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{"issue":{"subject":"","project_id":79,"tracker_id":40,"status_id":1,"priority_id":2,"assigned_to_id":338,"start_date":"2017-09-13","description":"","custom_fields":[{"id":1,"name":"Subdivision","value":"EC"},{"id":4,"name":"Milepost","value":"23.3366"},{"id":17,"name":"Train ID","value":"169-13"},{"id":16,"name":"Locomotive ID","value":"4010"},{"id":130,"name":"Impact","value":""},{"id":150,"name":"Time of Event (Mountain Time)","value":"12:49:24"},{"id":151,"name":"Denver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4010 --day 2017-09-13</v>
      </c>
      <c r="AN83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731</v>
      </c>
      <c r="B84" s="7">
        <v>4009</v>
      </c>
      <c r="C84" s="21" t="s">
        <v>197</v>
      </c>
      <c r="D84" s="21" t="s">
        <v>546</v>
      </c>
      <c r="E84" s="13">
        <v>42991.540972222225</v>
      </c>
      <c r="F84" s="13">
        <v>42991.550185185188</v>
      </c>
      <c r="G84" s="7">
        <v>575</v>
      </c>
      <c r="H84" s="21" t="s">
        <v>439</v>
      </c>
      <c r="I84" s="13">
        <v>42991.575856481482</v>
      </c>
      <c r="J84" s="7">
        <v>0</v>
      </c>
      <c r="K84" s="89" t="str">
        <f t="shared" si="29"/>
        <v>4009/4010</v>
      </c>
      <c r="L84" s="214" t="str">
        <f>VLOOKUP(A84,'Trips&amp;Operators'!$C$1:$G$99911,5,FALSE)</f>
        <v>DELGADO DIANAH</v>
      </c>
      <c r="M84" s="6">
        <f t="shared" si="30"/>
        <v>2.5671296294603962E-2</v>
      </c>
      <c r="N84" s="7">
        <f t="shared" si="27"/>
        <v>36.966666664229706</v>
      </c>
      <c r="O84" s="7"/>
      <c r="P84" s="7"/>
      <c r="Q84" s="22"/>
      <c r="R84" s="167"/>
      <c r="S84" s="210">
        <f t="shared" si="28"/>
        <v>1</v>
      </c>
      <c r="T84" s="192" t="str">
        <f t="shared" si="31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32"/>
        <v>https://d0f6bd738d7f1b3e5a7ca70fe4ff75f0.us-east-1.aws.found.io/app/kibana#/discover/Steve-Slow-Train-Analysis-(2080s-and-2083s)?_g=(refreshInterval:(display:Off,pause:!f,section:0,value:0),time:(from:'2017-09-13T11:59:00-0600',mode:absolute,to:'2017-09-13T14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4" t="str">
        <f>IF(AA84&lt;VLOOKUP(AG84,Variables!$AC$3:$AD$8,2,FALSE),"Y","N")</f>
        <v>N</v>
      </c>
      <c r="X84" s="194">
        <f t="shared" si="33"/>
        <v>1</v>
      </c>
      <c r="Y84" s="194">
        <f t="shared" si="34"/>
        <v>23.303599999999999</v>
      </c>
      <c r="Z84" s="194">
        <f t="shared" si="35"/>
        <v>1.3599999999999999E-2</v>
      </c>
      <c r="AA84" s="194">
        <f t="shared" si="36"/>
        <v>23.29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 t="shared" si="37"/>
        <v>170</v>
      </c>
      <c r="AE84" s="77" t="str">
        <f t="shared" si="38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84" s="74" t="str">
        <f t="shared" si="39"/>
        <v>"C:\Program Files (x86)\AstroGrep\AstroGrep.exe" /e /r /s /spath="%USERPROFILE%\AppData\Local\Temp\OnboardLogs" /stypes="app*4009*20170913*" /stext=" 19:.+((SYSTEM_STATE.+slice.+state.+changed )|(ment ac)|(multiple cpu faults)|(system.+state.+changed )|(\[timeout)|(PRM\|1\|D)|(kpr)|(kdp)|(train st.+moving)|(\|lc)|(penalty))"</v>
      </c>
      <c r="AG84" s="206" t="str">
        <f t="shared" si="40"/>
        <v>EC</v>
      </c>
      <c r="AH84" s="78" t="str">
        <f t="shared" si="41"/>
        <v>"%USERPROFILE%\Documents\GitHub\eaglep3\Utilities\RefineRTDCRunTimes.py" --tripid 170-13 --locoid 4009 --swversion DE.1.0.9.0 --startMP 204:233036 --initTime 2017-09-13T12:59:00 --startdatetime 2017-09-13T13:12:16 --delay 575 --endMP 204:136 --enddatetime 2017-09-13T13:49:14 --enforcementcount 0 &gt;&gt;C:\Users\stu\Documents\GitHub\eaglep3-reporting\EC\2017-09-13-refined-times.txt</v>
      </c>
      <c r="AI84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{"issue":{"subject":"","project_id":79,"tracker_id":40,"status_id":1,"priority_id":2,"assigned_to_id":338,"start_date":"2017-09-13","description":"","custom_fields":[{"id":1,"name":"Subdivision","value":"EC"},{"id":4,"name":"Milepost","value":"0.0136"},{"id":17,"name":"Train ID","value":"170-13"},{"id":16,"name":"Locomotive ID","value":"4009"},{"id":130,"name":"Impact","value":""},{"id":150,"name":"Time of Event (Mountain Time)","value":"13:49:14"},{"id":151,"name":"Denver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4009 --day 2017-09-13</v>
      </c>
      <c r="AN84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722</v>
      </c>
      <c r="B85" s="7">
        <v>4020</v>
      </c>
      <c r="C85" s="21" t="s">
        <v>197</v>
      </c>
      <c r="D85" s="21" t="s">
        <v>361</v>
      </c>
      <c r="E85" s="13">
        <v>42991.518101851849</v>
      </c>
      <c r="F85" s="13">
        <v>42991.520995370367</v>
      </c>
      <c r="G85" s="7">
        <v>129</v>
      </c>
      <c r="H85" s="21" t="s">
        <v>503</v>
      </c>
      <c r="I85" s="13">
        <v>42991.547152777777</v>
      </c>
      <c r="J85" s="7">
        <v>0</v>
      </c>
      <c r="K85" s="89" t="str">
        <f t="shared" si="29"/>
        <v>4019/4020</v>
      </c>
      <c r="L85" s="214" t="str">
        <f>VLOOKUP(A85,'Trips&amp;Operators'!$C$1:$G$99911,5,FALSE)</f>
        <v>ROBINSON KADDIBA</v>
      </c>
      <c r="M85" s="6">
        <f t="shared" si="30"/>
        <v>2.6157407410209998E-2</v>
      </c>
      <c r="N85" s="7">
        <f t="shared" si="27"/>
        <v>37.666666670702398</v>
      </c>
      <c r="O85" s="7"/>
      <c r="P85" s="7"/>
      <c r="Q85" s="22"/>
      <c r="R85" s="167"/>
      <c r="S85" s="210">
        <f t="shared" si="28"/>
        <v>1</v>
      </c>
      <c r="T85" s="192" t="str">
        <f t="shared" si="31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 t="shared" si="32"/>
        <v>https://d0f6bd738d7f1b3e5a7ca70fe4ff75f0.us-east-1.aws.found.io/app/kibana#/discover/Steve-Slow-Train-Analysis-(2080s-and-2083s)?_g=(refreshInterval:(display:Off,pause:!f,section:0,value:0),time:(from:'2017-09-13T11:26:04-0600',mode:absolute,to:'2017-09-13T14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194" t="str">
        <f>IF(AA85&lt;VLOOKUP(AG85,Variables!$AC$3:$AD$8,2,FALSE),"Y","N")</f>
        <v>N</v>
      </c>
      <c r="X85" s="194">
        <f t="shared" si="33"/>
        <v>1</v>
      </c>
      <c r="Y85" s="194">
        <f t="shared" si="34"/>
        <v>4.4900000000000002E-2</v>
      </c>
      <c r="Z85" s="194">
        <f t="shared" si="35"/>
        <v>23.332100000000001</v>
      </c>
      <c r="AA85" s="194">
        <f t="shared" si="36"/>
        <v>23.287200000000002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 t="shared" si="37"/>
        <v>171</v>
      </c>
      <c r="AE85" s="77" t="str">
        <f t="shared" si="38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85" s="74" t="str">
        <f t="shared" si="39"/>
        <v>"C:\Program Files (x86)\AstroGrep\AstroGrep.exe" /e /r /s /spath="%USERPROFILE%\AppData\Local\Temp\OnboardLogs" /stypes="app*4020*20170913*" /stext=" 19:.+((SYSTEM_STATE.+slice.+state.+changed )|(ment ac)|(multiple cpu faults)|(system.+state.+changed )|(\[timeout)|(PRM\|1\|D)|(kpr)|(kdp)|(train st.+moving)|(\|lc)|(penalty))"</v>
      </c>
      <c r="AG85" s="206" t="str">
        <f t="shared" si="40"/>
        <v>EC</v>
      </c>
      <c r="AH85" s="78" t="str">
        <f t="shared" si="41"/>
        <v>"%USERPROFILE%\Documents\GitHub\eaglep3\Utilities\RefineRTDCRunTimes.py" --tripid 171-13 --locoid 4020 --swversion DE.1.0.9.0 --startMP 204:449 --initTime 2017-09-13T12:26:04 --startdatetime 2017-09-13T12:30:14 --delay 129 --endMP 204:233321 --enddatetime 2017-09-13T13:07:54 --enforcementcount 0 &gt;&gt;C:\Users\stu\Documents\GitHub\eaglep3-reporting\EC\2017-09-13-refined-times.txt</v>
      </c>
      <c r="AI8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{"issue":{"subject":"","project_id":79,"tracker_id":40,"status_id":1,"priority_id":2,"assigned_to_id":338,"start_date":"2017-09-13","description":"","custom_fields":[{"id":1,"name":"Subdivision","value":"EC"},{"id":4,"name":"Milepost","value":"23.3321"},{"id":17,"name":"Train ID","value":"171-13"},{"id":16,"name":"Locomotive ID","value":"4020"},{"id":130,"name":"Impact","value":""},{"id":150,"name":"Time of Event (Mountain Time)","value":"13:07:54"},{"id":151,"name":"Denver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4020 --day 2017-09-13</v>
      </c>
      <c r="AN85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732</v>
      </c>
      <c r="B86" s="7">
        <v>4019</v>
      </c>
      <c r="C86" s="21" t="s">
        <v>197</v>
      </c>
      <c r="D86" s="21" t="s">
        <v>442</v>
      </c>
      <c r="E86" s="13">
        <v>42991.557569444441</v>
      </c>
      <c r="F86" s="13">
        <v>42991.560601851852</v>
      </c>
      <c r="G86" s="7">
        <v>69</v>
      </c>
      <c r="H86" s="21" t="s">
        <v>339</v>
      </c>
      <c r="I86" s="13">
        <v>42991.58734953704</v>
      </c>
      <c r="J86" s="7">
        <v>0</v>
      </c>
      <c r="K86" s="89" t="str">
        <f t="shared" si="29"/>
        <v>4019/4020</v>
      </c>
      <c r="L86" s="214" t="str">
        <f>VLOOKUP(A86,'Trips&amp;Operators'!$C$1:$G$99911,5,FALSE)</f>
        <v>DAVIS MICHAEL</v>
      </c>
      <c r="M86" s="6">
        <f t="shared" si="30"/>
        <v>2.6747685187729076E-2</v>
      </c>
      <c r="N86" s="7">
        <f t="shared" si="27"/>
        <v>38.516666670329869</v>
      </c>
      <c r="O86" s="7"/>
      <c r="P86" s="7"/>
      <c r="Q86" s="22"/>
      <c r="R86" s="167"/>
      <c r="S86" s="210">
        <f t="shared" si="28"/>
        <v>1</v>
      </c>
      <c r="T86" s="192" t="str">
        <f t="shared" si="31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32"/>
        <v>https://d0f6bd738d7f1b3e5a7ca70fe4ff75f0.us-east-1.aws.found.io/app/kibana#/discover/Steve-Slow-Train-Analysis-(2080s-and-2083s)?_g=(refreshInterval:(display:Off,pause:!f,section:0,value:0),time:(from:'2017-09-13T12:22:54-0600',mode:absolute,to:'2017-09-13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194" t="str">
        <f>IF(AA86&lt;VLOOKUP(AG86,Variables!$AC$3:$AD$8,2,FALSE),"Y","N")</f>
        <v>N</v>
      </c>
      <c r="X86" s="194">
        <f t="shared" si="33"/>
        <v>1</v>
      </c>
      <c r="Y86" s="194">
        <f t="shared" si="34"/>
        <v>23.299600000000002</v>
      </c>
      <c r="Z86" s="194">
        <f t="shared" si="35"/>
        <v>1.49E-2</v>
      </c>
      <c r="AA86" s="194">
        <f t="shared" si="36"/>
        <v>23.284700000000001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 t="shared" si="37"/>
        <v>172</v>
      </c>
      <c r="AE86" s="77" t="str">
        <f t="shared" si="38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86" s="74" t="str">
        <f t="shared" si="39"/>
        <v>"C:\Program Files (x86)\AstroGrep\AstroGrep.exe" /e /r /s /spath="%USERPROFILE%\AppData\Local\Temp\OnboardLogs" /stypes="app*4019*20170913*" /stext=" 20:.+((SYSTEM_STATE.+slice.+state.+changed )|(ment ac)|(multiple cpu faults)|(system.+state.+changed )|(\[timeout)|(PRM\|1\|D)|(kpr)|(kdp)|(train st.+moving)|(\|lc)|(penalty))"</v>
      </c>
      <c r="AG86" s="206" t="str">
        <f t="shared" si="40"/>
        <v>EC</v>
      </c>
      <c r="AH86" s="78" t="str">
        <f t="shared" si="41"/>
        <v>"%USERPROFILE%\Documents\GitHub\eaglep3\Utilities\RefineRTDCRunTimes.py" --tripid 172-13 --locoid 4019 --swversion DE.1.0.9.0 --startMP 204:232996 --initTime 2017-09-13T13:22:54 --startdatetime 2017-09-13T13:27:16 --delay 69 --endMP 204:149 --enddatetime 2017-09-13T14:05:47 --enforcementcount 0 &gt;&gt;C:\Users\stu\Documents\GitHub\eaglep3-reporting\EC\2017-09-13-refined-times.txt</v>
      </c>
      <c r="AI8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{"issue":{"subject":"","project_id":79,"tracker_id":40,"status_id":1,"priority_id":2,"assigned_to_id":338,"start_date":"2017-09-13","description":"","custom_fields":[{"id":1,"name":"Subdivision","value":"EC"},{"id":4,"name":"Milepost","value":"0.0149"},{"id":17,"name":"Train ID","value":"172-13"},{"id":16,"name":"Locomotive ID","value":"4019"},{"id":130,"name":"Impact","value":""},{"id":150,"name":"Time of Event (Mountain Time)","value":"14:05:47"},{"id":151,"name":"Denver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4019 --day 2017-09-13</v>
      </c>
      <c r="AN86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725</v>
      </c>
      <c r="B87" s="7">
        <v>4056</v>
      </c>
      <c r="C87" s="21" t="s">
        <v>197</v>
      </c>
      <c r="D87" s="21" t="s">
        <v>350</v>
      </c>
      <c r="E87" s="13">
        <v>42991.526076388887</v>
      </c>
      <c r="F87" s="13">
        <v>42991.53162037037</v>
      </c>
      <c r="G87" s="7">
        <v>76</v>
      </c>
      <c r="H87" s="21" t="s">
        <v>488</v>
      </c>
      <c r="I87" s="13">
        <v>42991.555312500001</v>
      </c>
      <c r="J87" s="7">
        <v>0</v>
      </c>
      <c r="K87" s="89" t="str">
        <f t="shared" si="29"/>
        <v>4055/4056</v>
      </c>
      <c r="L87" s="214" t="str">
        <f>VLOOKUP(A87,'Trips&amp;Operators'!$C$1:$G$99911,5,FALSE)</f>
        <v>HOLCOMB KAMDEN</v>
      </c>
      <c r="M87" s="6">
        <f t="shared" si="30"/>
        <v>2.3692129630944692E-2</v>
      </c>
      <c r="N87" s="7">
        <f t="shared" si="27"/>
        <v>34.116666668560356</v>
      </c>
      <c r="O87" s="7"/>
      <c r="P87" s="7"/>
      <c r="Q87" s="22"/>
      <c r="R87" s="167"/>
      <c r="S87" s="210">
        <f t="shared" si="28"/>
        <v>1</v>
      </c>
      <c r="T87" s="192" t="str">
        <f t="shared" si="31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32"/>
        <v>https://d0f6bd738d7f1b3e5a7ca70fe4ff75f0.us-east-1.aws.found.io/app/kibana#/discover/Steve-Slow-Train-Analysis-(2080s-and-2083s)?_g=(refreshInterval:(display:Off,pause:!f,section:0,value:0),time:(from:'2017-09-13T11:37:33-0600',mode:absolute,to:'2017-09-13T14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7" s="194" t="str">
        <f>IF(AA87&lt;VLOOKUP(AG87,Variables!$AC$3:$AD$8,2,FALSE),"Y","N")</f>
        <v>N</v>
      </c>
      <c r="X87" s="194">
        <f t="shared" si="33"/>
        <v>1</v>
      </c>
      <c r="Y87" s="194">
        <f t="shared" si="34"/>
        <v>4.5499999999999999E-2</v>
      </c>
      <c r="Z87" s="194">
        <f t="shared" si="35"/>
        <v>23.3307</v>
      </c>
      <c r="AA87" s="194">
        <f t="shared" si="36"/>
        <v>23.2852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 t="shared" si="37"/>
        <v>173</v>
      </c>
      <c r="AE87" s="77" t="str">
        <f t="shared" si="38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87" s="74" t="str">
        <f t="shared" si="39"/>
        <v>"C:\Program Files (x86)\AstroGrep\AstroGrep.exe" /e /r /s /spath="%USERPROFILE%\AppData\Local\Temp\OnboardLogs" /stypes="app*4056*20170913*" /stext=" 19:.+((SYSTEM_STATE.+slice.+state.+changed )|(ment ac)|(multiple cpu faults)|(system.+state.+changed )|(\[timeout)|(PRM\|1\|D)|(kpr)|(kdp)|(train st.+moving)|(\|lc)|(penalty))"</v>
      </c>
      <c r="AG87" s="206" t="str">
        <f t="shared" si="40"/>
        <v>EC</v>
      </c>
      <c r="AH87" s="78" t="str">
        <f t="shared" si="41"/>
        <v>"%USERPROFILE%\Documents\GitHub\eaglep3\Utilities\RefineRTDCRunTimes.py" --tripid 173-13 --locoid 4056 --swversion DE.1.0.9.0 --startMP 204:455 --initTime 2017-09-13T12:37:33 --startdatetime 2017-09-13T12:45:32 --delay 76 --endMP 204:233307 --enddatetime 2017-09-13T13:19:39 --enforcementcount 0 &gt;&gt;C:\Users\stu\Documents\GitHub\eaglep3-reporting\EC\2017-09-13-refined-times.txt</v>
      </c>
      <c r="AI8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{"issue":{"subject":"","project_id":79,"tracker_id":40,"status_id":1,"priority_id":2,"assigned_to_id":338,"start_date":"2017-09-13","description":"","custom_fields":[{"id":1,"name":"Subdivision","value":"EC"},{"id":4,"name":"Milepost","value":"23.3307"},{"id":17,"name":"Train ID","value":"173-13"},{"id":16,"name":"Locomotive ID","value":"4056"},{"id":130,"name":"Impact","value":""},{"id":150,"name":"Time of Event (Mountain Time)","value":"13:19:39"},{"id":151,"name":"Denver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4056 --day 2017-09-13</v>
      </c>
      <c r="AN87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597</v>
      </c>
      <c r="B88" s="7">
        <v>4055</v>
      </c>
      <c r="C88" s="21" t="s">
        <v>197</v>
      </c>
      <c r="D88" s="21" t="s">
        <v>872</v>
      </c>
      <c r="E88" s="13">
        <v>42991.562476851854</v>
      </c>
      <c r="F88" s="13">
        <v>42991.571030092593</v>
      </c>
      <c r="G88" s="7">
        <v>74</v>
      </c>
      <c r="H88" s="21" t="s">
        <v>406</v>
      </c>
      <c r="I88" s="13">
        <v>42991.596886574072</v>
      </c>
      <c r="J88" s="7">
        <v>0</v>
      </c>
      <c r="K88" s="89" t="str">
        <f t="shared" si="29"/>
        <v>4055/4056</v>
      </c>
      <c r="L88" s="214" t="str">
        <f>VLOOKUP(A88,'Trips&amp;Operators'!$C$1:$G$99911,5,FALSE)</f>
        <v>HOLCOMB KAMDEN</v>
      </c>
      <c r="M88" s="6">
        <f t="shared" si="30"/>
        <v>2.5856481479422655E-2</v>
      </c>
      <c r="N88" s="7">
        <f t="shared" si="27"/>
        <v>37.233333330368623</v>
      </c>
      <c r="O88" s="7"/>
      <c r="P88" s="7"/>
      <c r="Q88" s="22"/>
      <c r="R88" s="167"/>
      <c r="S88" s="210">
        <f t="shared" si="28"/>
        <v>1</v>
      </c>
      <c r="T88" s="192" t="str">
        <f t="shared" si="31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32"/>
        <v>https://d0f6bd738d7f1b3e5a7ca70fe4ff75f0.us-east-1.aws.found.io/app/kibana#/discover/Steve-Slow-Train-Analysis-(2080s-and-2083s)?_g=(refreshInterval:(display:Off,pause:!f,section:0,value:0),time:(from:'2017-09-13T12:29:58-0600',mode:absolute,to:'2017-09-13T15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8" s="194" t="str">
        <f>IF(AA88&lt;VLOOKUP(AG88,Variables!$AC$3:$AD$8,2,FALSE),"Y","N")</f>
        <v>N</v>
      </c>
      <c r="X88" s="194">
        <f t="shared" si="33"/>
        <v>1</v>
      </c>
      <c r="Y88" s="194">
        <f t="shared" si="34"/>
        <v>23.297499999999999</v>
      </c>
      <c r="Z88" s="194">
        <f t="shared" si="35"/>
        <v>1.3899999999999999E-2</v>
      </c>
      <c r="AA88" s="194">
        <f t="shared" si="36"/>
        <v>23.2836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 t="shared" si="37"/>
        <v>174</v>
      </c>
      <c r="AE88" s="77" t="str">
        <f t="shared" si="38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88" s="74" t="str">
        <f t="shared" si="39"/>
        <v>"C:\Program Files (x86)\AstroGrep\AstroGrep.exe" /e /r /s /spath="%USERPROFILE%\AppData\Local\Temp\OnboardLogs" /stypes="app*4055*20170913*" /stext=" 20:.+((SYSTEM_STATE.+slice.+state.+changed )|(ment ac)|(multiple cpu faults)|(system.+state.+changed )|(\[timeout)|(PRM\|1\|D)|(kpr)|(kdp)|(train st.+moving)|(\|lc)|(penalty))"</v>
      </c>
      <c r="AG88" s="206" t="str">
        <f t="shared" si="40"/>
        <v>EC</v>
      </c>
      <c r="AH88" s="78" t="str">
        <f t="shared" si="41"/>
        <v>"%USERPROFILE%\Documents\GitHub\eaglep3\Utilities\RefineRTDCRunTimes.py" --tripid 174-13 --locoid 4055 --swversion DE.1.0.9.0 --startMP 204:232975 --initTime 2017-09-13T13:29:58 --startdatetime 2017-09-13T13:42:17 --delay 74 --endMP 204:139 --enddatetime 2017-09-13T14:19:31 --enforcementcount 0 &gt;&gt;C:\Users\stu\Documents\GitHub\eaglep3-reporting\EC\2017-09-13-refined-times.txt</v>
      </c>
      <c r="AI88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{"issue":{"subject":"","project_id":79,"tracker_id":40,"status_id":1,"priority_id":2,"assigned_to_id":338,"start_date":"2017-09-13","description":"","custom_fields":[{"id":1,"name":"Subdivision","value":"EC"},{"id":4,"name":"Milepost","value":"0.0139"},{"id":17,"name":"Train ID","value":"174-13"},{"id":16,"name":"Locomotive ID","value":"4055"},{"id":130,"name":"Impact","value":""},{"id":150,"name":"Time of Event (Mountain Time)","value":"14:19:31"},{"id":151,"name":"Denver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4055 --day 2017-09-13</v>
      </c>
      <c r="AN88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728</v>
      </c>
      <c r="B89" s="7">
        <v>4028</v>
      </c>
      <c r="C89" s="21" t="s">
        <v>197</v>
      </c>
      <c r="D89" s="21" t="s">
        <v>443</v>
      </c>
      <c r="E89" s="13">
        <v>42991.536307870374</v>
      </c>
      <c r="F89" s="13">
        <v>42991.541828703703</v>
      </c>
      <c r="G89" s="7">
        <v>64</v>
      </c>
      <c r="H89" s="21" t="s">
        <v>407</v>
      </c>
      <c r="I89" s="13">
        <v>42991.566388888888</v>
      </c>
      <c r="J89" s="7">
        <v>0</v>
      </c>
      <c r="K89" s="89" t="str">
        <f t="shared" si="29"/>
        <v>4027/4028</v>
      </c>
      <c r="L89" s="214" t="str">
        <f>VLOOKUP(A89,'Trips&amp;Operators'!$C$1:$G$99911,5,FALSE)</f>
        <v>BRUDER RICHARD</v>
      </c>
      <c r="M89" s="6">
        <f t="shared" si="30"/>
        <v>2.4560185185691807E-2</v>
      </c>
      <c r="N89" s="7">
        <f t="shared" si="27"/>
        <v>35.366666667396203</v>
      </c>
      <c r="O89" s="7"/>
      <c r="P89" s="7"/>
      <c r="Q89" s="22"/>
      <c r="R89" s="167"/>
      <c r="S89" s="210">
        <f t="shared" si="28"/>
        <v>1</v>
      </c>
      <c r="T89" s="192" t="str">
        <f t="shared" si="31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32"/>
        <v>https://d0f6bd738d7f1b3e5a7ca70fe4ff75f0.us-east-1.aws.found.io/app/kibana#/discover/Steve-Slow-Train-Analysis-(2080s-and-2083s)?_g=(refreshInterval:(display:Off,pause:!f,section:0,value:0),time:(from:'2017-09-13T11:52:17-0600',mode:absolute,to:'2017-09-13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4" t="str">
        <f>IF(AA89&lt;VLOOKUP(AG89,Variables!$AC$3:$AD$8,2,FALSE),"Y","N")</f>
        <v>N</v>
      </c>
      <c r="X89" s="194">
        <f t="shared" si="33"/>
        <v>1</v>
      </c>
      <c r="Y89" s="194">
        <f t="shared" si="34"/>
        <v>4.5100000000000001E-2</v>
      </c>
      <c r="Z89" s="194">
        <f t="shared" si="35"/>
        <v>23.331</v>
      </c>
      <c r="AA89" s="194">
        <f t="shared" si="36"/>
        <v>23.285899999999998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 t="shared" si="37"/>
        <v>175</v>
      </c>
      <c r="AE89" s="77" t="str">
        <f t="shared" si="38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89" s="74" t="str">
        <f t="shared" si="39"/>
        <v>"C:\Program Files (x86)\AstroGrep\AstroGrep.exe" /e /r /s /spath="%USERPROFILE%\AppData\Local\Temp\OnboardLogs" /stypes="app*4028*20170913*" /stext=" 19:.+((SYSTEM_STATE.+slice.+state.+changed )|(ment ac)|(multiple cpu faults)|(system.+state.+changed )|(\[timeout)|(PRM\|1\|D)|(kpr)|(kdp)|(train st.+moving)|(\|lc)|(penalty))"</v>
      </c>
      <c r="AG89" s="206" t="str">
        <f t="shared" si="40"/>
        <v>EC</v>
      </c>
      <c r="AH89" s="78" t="str">
        <f t="shared" si="41"/>
        <v>"%USERPROFILE%\Documents\GitHub\eaglep3\Utilities\RefineRTDCRunTimes.py" --tripid 175-13 --locoid 4028 --swversion DE.1.0.9.0 --startMP 204:451 --initTime 2017-09-13T12:52:17 --startdatetime 2017-09-13T13:00:14 --delay 64 --endMP 204:233310 --enddatetime 2017-09-13T13:35:36 --enforcementcount 0 &gt;&gt;C:\Users\stu\Documents\GitHub\eaglep3-reporting\EC\2017-09-13-refined-times.txt</v>
      </c>
      <c r="AI8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{"issue":{"subject":"","project_id":79,"tracker_id":40,"status_id":1,"priority_id":2,"assigned_to_id":338,"start_date":"2017-09-13","description":"","custom_fields":[{"id":1,"name":"Subdivision","value":"EC"},{"id":4,"name":"Milepost","value":"23.331"},{"id":17,"name":"Train ID","value":"175-13"},{"id":16,"name":"Locomotive ID","value":"4028"},{"id":130,"name":"Impact","value":""},{"id":150,"name":"Time of Event (Mountain Time)","value":"13:35:36"},{"id":151,"name":"Denver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4028 --day 2017-09-13</v>
      </c>
      <c r="AN89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739</v>
      </c>
      <c r="B90" s="7">
        <v>4027</v>
      </c>
      <c r="C90" s="21" t="s">
        <v>197</v>
      </c>
      <c r="D90" s="21" t="s">
        <v>390</v>
      </c>
      <c r="E90" s="13">
        <v>42991.578645833331</v>
      </c>
      <c r="F90" s="13">
        <v>42991.581435185188</v>
      </c>
      <c r="G90" s="7">
        <v>56</v>
      </c>
      <c r="H90" s="21" t="s">
        <v>360</v>
      </c>
      <c r="I90" s="13">
        <v>42991.606516203705</v>
      </c>
      <c r="J90" s="7">
        <v>0</v>
      </c>
      <c r="K90" s="89" t="str">
        <f t="shared" si="29"/>
        <v>4027/4028</v>
      </c>
      <c r="L90" s="214" t="str">
        <f>VLOOKUP(A90,'Trips&amp;Operators'!$C$1:$G$99911,5,FALSE)</f>
        <v>BRUDER RICHARD</v>
      </c>
      <c r="M90" s="6">
        <f t="shared" si="30"/>
        <v>2.5081018517084885E-2</v>
      </c>
      <c r="N90" s="7">
        <f t="shared" si="27"/>
        <v>36.116666664602235</v>
      </c>
      <c r="O90" s="7"/>
      <c r="P90" s="7"/>
      <c r="Q90" s="22"/>
      <c r="R90" s="167"/>
      <c r="S90" s="210">
        <f t="shared" si="28"/>
        <v>1</v>
      </c>
      <c r="T90" s="192" t="str">
        <f t="shared" si="31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32"/>
        <v>https://d0f6bd738d7f1b3e5a7ca70fe4ff75f0.us-east-1.aws.found.io/app/kibana#/discover/Steve-Slow-Train-Analysis-(2080s-and-2083s)?_g=(refreshInterval:(display:Off,pause:!f,section:0,value:0),time:(from:'2017-09-13T12:53:15-0600',mode:absolute,to:'2017-09-13T15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4" t="str">
        <f>IF(AA90&lt;VLOOKUP(AG90,Variables!$AC$3:$AD$8,2,FALSE),"Y","N")</f>
        <v>N</v>
      </c>
      <c r="X90" s="194">
        <f t="shared" si="33"/>
        <v>1</v>
      </c>
      <c r="Y90" s="194">
        <f t="shared" si="34"/>
        <v>23.299399999999999</v>
      </c>
      <c r="Z90" s="194">
        <f t="shared" si="35"/>
        <v>1.52E-2</v>
      </c>
      <c r="AA90" s="194">
        <f t="shared" si="36"/>
        <v>23.284199999999998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 t="shared" si="37"/>
        <v>176</v>
      </c>
      <c r="AE90" s="77" t="str">
        <f t="shared" si="38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90" s="74" t="str">
        <f t="shared" si="39"/>
        <v>"C:\Program Files (x86)\AstroGrep\AstroGrep.exe" /e /r /s /spath="%USERPROFILE%\AppData\Local\Temp\OnboardLogs" /stypes="app*4027*20170913*" /stext=" 20:.+((SYSTEM_STATE.+slice.+state.+changed )|(ment ac)|(multiple cpu faults)|(system.+state.+changed )|(\[timeout)|(PRM\|1\|D)|(kpr)|(kdp)|(train st.+moving)|(\|lc)|(penalty))"</v>
      </c>
      <c r="AG90" s="206" t="str">
        <f t="shared" si="40"/>
        <v>EC</v>
      </c>
      <c r="AH90" s="78" t="str">
        <f t="shared" si="41"/>
        <v>"%USERPROFILE%\Documents\GitHub\eaglep3\Utilities\RefineRTDCRunTimes.py" --tripid 176-13 --locoid 4027 --swversion DE.1.0.9.0 --startMP 204:232994 --initTime 2017-09-13T13:53:15 --startdatetime 2017-09-13T13:57:16 --delay 56 --endMP 204:152 --enddatetime 2017-09-13T14:33:23 --enforcementcount 0 &gt;&gt;C:\Users\stu\Documents\GitHub\eaglep3-reporting\EC\2017-09-13-refined-times.txt</v>
      </c>
      <c r="AI9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{"issue":{"subject":"","project_id":79,"tracker_id":40,"status_id":1,"priority_id":2,"assigned_to_id":338,"start_date":"2017-09-13","description":"","custom_fields":[{"id":1,"name":"Subdivision","value":"EC"},{"id":4,"name":"Milepost","value":"0.0152"},{"id":17,"name":"Train ID","value":"176-13"},{"id":16,"name":"Locomotive ID","value":"4027"},{"id":130,"name":"Impact","value":""},{"id":150,"name":"Time of Event (Mountain Time)","value":"14:33:23"},{"id":151,"name":"Denver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4027 --day 2017-09-13</v>
      </c>
      <c r="AN90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594</v>
      </c>
      <c r="B91" s="7">
        <v>4016</v>
      </c>
      <c r="C91" s="21" t="s">
        <v>197</v>
      </c>
      <c r="D91" s="21" t="s">
        <v>341</v>
      </c>
      <c r="E91" s="13">
        <v>42991.546886574077</v>
      </c>
      <c r="F91" s="13">
        <v>42991.552349537036</v>
      </c>
      <c r="G91" s="7">
        <v>78</v>
      </c>
      <c r="H91" s="21" t="s">
        <v>467</v>
      </c>
      <c r="I91" s="13">
        <v>42991.577372685184</v>
      </c>
      <c r="J91" s="7">
        <v>0</v>
      </c>
      <c r="K91" s="89" t="str">
        <f t="shared" si="29"/>
        <v>4015/4016</v>
      </c>
      <c r="L91" s="214" t="str">
        <f>VLOOKUP(A91,'Trips&amp;Operators'!$C$1:$G$99911,5,FALSE)</f>
        <v>MOSES BRADLEY</v>
      </c>
      <c r="M91" s="6">
        <f t="shared" si="30"/>
        <v>2.5023148147738539E-2</v>
      </c>
      <c r="N91" s="7">
        <f t="shared" si="27"/>
        <v>36.033333332743496</v>
      </c>
      <c r="O91" s="7"/>
      <c r="P91" s="7"/>
      <c r="Q91" s="22"/>
      <c r="R91" s="167"/>
      <c r="S91" s="210">
        <f t="shared" si="28"/>
        <v>1</v>
      </c>
      <c r="T91" s="192" t="str">
        <f t="shared" si="31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32"/>
        <v>https://d0f6bd738d7f1b3e5a7ca70fe4ff75f0.us-east-1.aws.found.io/app/kibana#/discover/Steve-Slow-Train-Analysis-(2080s-and-2083s)?_g=(refreshInterval:(display:Off,pause:!f,section:0,value:0),time:(from:'2017-09-13T12:07:31-0600',mode:absolute,to:'2017-09-13T14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4" t="str">
        <f>IF(AA91&lt;VLOOKUP(AG91,Variables!$AC$3:$AD$8,2,FALSE),"Y","N")</f>
        <v>N</v>
      </c>
      <c r="X91" s="194">
        <f t="shared" si="33"/>
        <v>1</v>
      </c>
      <c r="Y91" s="194">
        <f t="shared" si="34"/>
        <v>4.53E-2</v>
      </c>
      <c r="Z91" s="194">
        <f t="shared" si="35"/>
        <v>23.331099999999999</v>
      </c>
      <c r="AA91" s="194">
        <f t="shared" si="36"/>
        <v>23.285799999999998</v>
      </c>
      <c r="AB91" s="54" t="str">
        <f>VLOOKUP(A91,Enforcements!$C$7:$K$11,8,0)</f>
        <v>Bulletin (2)</v>
      </c>
      <c r="AC91" s="51" t="str">
        <f>VLOOKUP(A91,Enforcements!$C$7:$E$11,3,0)</f>
        <v>GRADE CROSSING</v>
      </c>
      <c r="AD91" s="203">
        <f t="shared" si="37"/>
        <v>177</v>
      </c>
      <c r="AE91" s="77" t="str">
        <f t="shared" si="38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91" s="74" t="str">
        <f t="shared" si="39"/>
        <v>"C:\Program Files (x86)\AstroGrep\AstroGrep.exe" /e /r /s /spath="%USERPROFILE%\AppData\Local\Temp\OnboardLogs" /stypes="app*4016*20170913*" /stext=" 19:.+((SYSTEM_STATE.+slice.+state.+changed )|(ment ac)|(multiple cpu faults)|(system.+state.+changed )|(\[timeout)|(PRM\|1\|D)|(kpr)|(kdp)|(train st.+moving)|(\|lc)|(penalty))"</v>
      </c>
      <c r="AG91" s="206" t="str">
        <f t="shared" si="40"/>
        <v>EC</v>
      </c>
      <c r="AH91" s="78" t="str">
        <f t="shared" si="41"/>
        <v>"%USERPROFILE%\Documents\GitHub\eaglep3\Utilities\RefineRTDCRunTimes.py" --tripid 177-13 --locoid 4016 --swversion DE.1.0.9.0 --startMP 204:453 --initTime 2017-09-13T13:07:31 --startdatetime 2017-09-13T13:15:23 --delay 78 --endMP 204:233311 --enddatetime 2017-09-13T13:51:25 --enforcementcount 0 &gt;&gt;C:\Users\stu\Documents\GitHub\eaglep3-reporting\EC\2017-09-13-refined-times.txt</v>
      </c>
      <c r="AI9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{"issue":{"subject":"","project_id":79,"tracker_id":40,"status_id":1,"priority_id":2,"assigned_to_id":338,"start_date":"2017-09-13","description":"","custom_fields":[{"id":1,"name":"Subdivision","value":"EC"},{"id":4,"name":"Milepost","value":"23.3311"},{"id":17,"name":"Train ID","value":"177-13"},{"id":16,"name":"Locomotive ID","value":"4016"},{"id":130,"name":"Impact","value":""},{"id":150,"name":"Time of Event (Mountain Time)","value":"13:51:25"},{"id":151,"name":"Denver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4016 --day 2017-09-13</v>
      </c>
      <c r="AN91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741</v>
      </c>
      <c r="B92" s="7">
        <v>4015</v>
      </c>
      <c r="C92" s="21" t="s">
        <v>197</v>
      </c>
      <c r="D92" s="21" t="s">
        <v>873</v>
      </c>
      <c r="E92" s="13">
        <v>42991.588263888887</v>
      </c>
      <c r="F92" s="13">
        <v>42991.591840277775</v>
      </c>
      <c r="G92" s="7">
        <v>60</v>
      </c>
      <c r="H92" s="21" t="s">
        <v>386</v>
      </c>
      <c r="I92" s="13">
        <v>42991.618148148147</v>
      </c>
      <c r="J92" s="7">
        <v>0</v>
      </c>
      <c r="K92" s="89" t="str">
        <f t="shared" si="29"/>
        <v>4015/4016</v>
      </c>
      <c r="L92" s="214" t="str">
        <f>VLOOKUP(A92,'Trips&amp;Operators'!$C$1:$G$99911,5,FALSE)</f>
        <v>MOSES BRADLEY</v>
      </c>
      <c r="M92" s="6">
        <f t="shared" si="30"/>
        <v>2.6307870371965691E-2</v>
      </c>
      <c r="N92" s="7">
        <f t="shared" si="27"/>
        <v>37.883333335630596</v>
      </c>
      <c r="O92" s="7"/>
      <c r="P92" s="7"/>
      <c r="Q92" s="22"/>
      <c r="R92" s="167"/>
      <c r="S92" s="210">
        <f t="shared" si="28"/>
        <v>1</v>
      </c>
      <c r="T92" s="192" t="str">
        <f t="shared" si="31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32"/>
        <v>https://d0f6bd738d7f1b3e5a7ca70fe4ff75f0.us-east-1.aws.found.io/app/kibana#/discover/Steve-Slow-Train-Analysis-(2080s-and-2083s)?_g=(refreshInterval:(display:Off,pause:!f,section:0,value:0),time:(from:'2017-09-13T13:07:06-0600',mode:absolute,to:'2017-09-13T15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4" t="str">
        <f>IF(AA92&lt;VLOOKUP(AG92,Variables!$AC$3:$AD$8,2,FALSE),"Y","N")</f>
        <v>N</v>
      </c>
      <c r="X92" s="194">
        <f t="shared" si="33"/>
        <v>1</v>
      </c>
      <c r="Y92" s="194">
        <f t="shared" si="34"/>
        <v>23.300699999999999</v>
      </c>
      <c r="Z92" s="194">
        <f t="shared" si="35"/>
        <v>1.5800000000000002E-2</v>
      </c>
      <c r="AA92" s="194">
        <f t="shared" si="36"/>
        <v>23.2849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 t="shared" si="37"/>
        <v>178</v>
      </c>
      <c r="AE92" s="77" t="str">
        <f t="shared" si="38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92" s="74" t="str">
        <f t="shared" si="39"/>
        <v>"C:\Program Files (x86)\AstroGrep\AstroGrep.exe" /e /r /s /spath="%USERPROFILE%\AppData\Local\Temp\OnboardLogs" /stypes="app*4015*20170913*" /stext=" 20:.+((SYSTEM_STATE.+slice.+state.+changed )|(ment ac)|(multiple cpu faults)|(system.+state.+changed )|(\[timeout)|(PRM\|1\|D)|(kpr)|(kdp)|(train st.+moving)|(\|lc)|(penalty))"</v>
      </c>
      <c r="AG92" s="206" t="str">
        <f t="shared" si="40"/>
        <v>EC</v>
      </c>
      <c r="AH92" s="78" t="str">
        <f t="shared" si="41"/>
        <v>"%USERPROFILE%\Documents\GitHub\eaglep3\Utilities\RefineRTDCRunTimes.py" --tripid 178-13 --locoid 4015 --swversion DE.1.0.9.0 --startMP 204:233007 --initTime 2017-09-13T14:07:06 --startdatetime 2017-09-13T14:12:15 --delay 60 --endMP 204:158 --enddatetime 2017-09-13T14:50:08 --enforcementcount 0 &gt;&gt;C:\Users\stu\Documents\GitHub\eaglep3-reporting\EC\2017-09-13-refined-times.txt</v>
      </c>
      <c r="AI9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{"issue":{"subject":"","project_id":79,"tracker_id":40,"status_id":1,"priority_id":2,"assigned_to_id":338,"start_date":"2017-09-13","description":"","custom_fields":[{"id":1,"name":"Subdivision","value":"EC"},{"id":4,"name":"Milepost","value":"0.0158"},{"id":17,"name":"Train ID","value":"178-13"},{"id":16,"name":"Locomotive ID","value":"4015"},{"id":130,"name":"Impact","value":""},{"id":150,"name":"Time of Event (Mountain Time)","value":"14:50:08"},{"id":151,"name":"Denver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4015 --day 2017-09-13</v>
      </c>
      <c r="AN92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733</v>
      </c>
      <c r="B93" s="7">
        <v>4044</v>
      </c>
      <c r="C93" s="21" t="s">
        <v>197</v>
      </c>
      <c r="D93" s="21" t="s">
        <v>460</v>
      </c>
      <c r="E93" s="13">
        <v>42991.557812500003</v>
      </c>
      <c r="F93" s="13">
        <v>42991.562673611108</v>
      </c>
      <c r="G93" s="7">
        <v>50</v>
      </c>
      <c r="H93" s="21" t="s">
        <v>501</v>
      </c>
      <c r="I93" s="13">
        <v>42991.587268518517</v>
      </c>
      <c r="J93" s="7">
        <v>0</v>
      </c>
      <c r="K93" s="89" t="str">
        <f t="shared" si="29"/>
        <v>4043/4044</v>
      </c>
      <c r="L93" s="214" t="str">
        <f>VLOOKUP(A93,'Trips&amp;Operators'!$C$1:$G$99911,5,FALSE)</f>
        <v>GUZMAN DANNY</v>
      </c>
      <c r="M93" s="6">
        <f t="shared" si="30"/>
        <v>2.4594907408754807E-2</v>
      </c>
      <c r="N93" s="7">
        <f t="shared" si="27"/>
        <v>35.416666668606922</v>
      </c>
      <c r="O93" s="7"/>
      <c r="P93" s="7"/>
      <c r="Q93" s="22"/>
      <c r="R93" s="167"/>
      <c r="S93" s="210">
        <f t="shared" si="28"/>
        <v>1</v>
      </c>
      <c r="T93" s="192" t="str">
        <f t="shared" si="31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32"/>
        <v>https://d0f6bd738d7f1b3e5a7ca70fe4ff75f0.us-east-1.aws.found.io/app/kibana#/discover/Steve-Slow-Train-Analysis-(2080s-and-2083s)?_g=(refreshInterval:(display:Off,pause:!f,section:0,value:0),time:(from:'2017-09-13T12:23:15-0600',mode:absolute,to:'2017-09-13T15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4" t="str">
        <f>IF(AA93&lt;VLOOKUP(AG93,Variables!$AC$3:$AD$8,2,FALSE),"Y","N")</f>
        <v>N</v>
      </c>
      <c r="X93" s="194">
        <f t="shared" si="33"/>
        <v>1</v>
      </c>
      <c r="Y93" s="194">
        <f t="shared" si="34"/>
        <v>4.7100000000000003E-2</v>
      </c>
      <c r="Z93" s="194">
        <f t="shared" si="35"/>
        <v>23.332899999999999</v>
      </c>
      <c r="AA93" s="194">
        <f t="shared" si="36"/>
        <v>23.285799999999998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 t="shared" si="37"/>
        <v>179</v>
      </c>
      <c r="AE93" s="77" t="str">
        <f t="shared" si="38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93" s="74" t="str">
        <f t="shared" si="39"/>
        <v>"C:\Program Files (x86)\AstroGrep\AstroGrep.exe" /e /r /s /spath="%USERPROFILE%\AppData\Local\Temp\OnboardLogs" /stypes="app*4044*20170913*" /stext=" 20:.+((SYSTEM_STATE.+slice.+state.+changed )|(ment ac)|(multiple cpu faults)|(system.+state.+changed )|(\[timeout)|(PRM\|1\|D)|(kpr)|(kdp)|(train st.+moving)|(\|lc)|(penalty))"</v>
      </c>
      <c r="AG93" s="206" t="str">
        <f t="shared" si="40"/>
        <v>EC</v>
      </c>
      <c r="AH93" s="78" t="str">
        <f t="shared" si="41"/>
        <v>"%USERPROFILE%\Documents\GitHub\eaglep3\Utilities\RefineRTDCRunTimes.py" --tripid 179-13 --locoid 4044 --swversion DE.1.0.9.0 --startMP 204:471 --initTime 2017-09-13T13:23:15 --startdatetime 2017-09-13T13:30:15 --delay 50 --endMP 204:233329 --enddatetime 2017-09-13T14:05:40 --enforcementcount 0 &gt;&gt;C:\Users\stu\Documents\GitHub\eaglep3-reporting\EC\2017-09-13-refined-times.txt</v>
      </c>
      <c r="AI9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{"issue":{"subject":"","project_id":79,"tracker_id":40,"status_id":1,"priority_id":2,"assigned_to_id":338,"start_date":"2017-09-13","description":"","custom_fields":[{"id":1,"name":"Subdivision","value":"EC"},{"id":4,"name":"Milepost","value":"23.3329"},{"id":17,"name":"Train ID","value":"179-13"},{"id":16,"name":"Locomotive ID","value":"4044"},{"id":130,"name":"Impact","value":""},{"id":150,"name":"Time of Event (Mountain Time)","value":"14:05:40"},{"id":151,"name":"Denver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4044 --day 2017-09-13</v>
      </c>
      <c r="AN93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742</v>
      </c>
      <c r="B94" s="7">
        <v>4043</v>
      </c>
      <c r="C94" s="21" t="s">
        <v>197</v>
      </c>
      <c r="D94" s="21" t="s">
        <v>874</v>
      </c>
      <c r="E94" s="13">
        <v>42991.589444444442</v>
      </c>
      <c r="F94" s="13">
        <v>42991.602314814816</v>
      </c>
      <c r="G94" s="7">
        <v>46</v>
      </c>
      <c r="H94" s="21" t="s">
        <v>367</v>
      </c>
      <c r="I94" s="13">
        <v>42991.628125000003</v>
      </c>
      <c r="J94" s="7">
        <v>0</v>
      </c>
      <c r="K94" s="89" t="str">
        <f t="shared" si="29"/>
        <v>4043/4044</v>
      </c>
      <c r="L94" s="214" t="str">
        <f>VLOOKUP(A94,'Trips&amp;Operators'!$C$1:$G$99911,5,FALSE)</f>
        <v>GUZMAN DANNY</v>
      </c>
      <c r="M94" s="6">
        <f t="shared" si="30"/>
        <v>2.5810185186855961E-2</v>
      </c>
      <c r="N94" s="7">
        <f t="shared" si="27"/>
        <v>37.166666669072583</v>
      </c>
      <c r="O94" s="7"/>
      <c r="P94" s="7"/>
      <c r="Q94" s="22"/>
      <c r="R94" s="167"/>
      <c r="S94" s="210">
        <f t="shared" si="28"/>
        <v>1</v>
      </c>
      <c r="T94" s="192" t="str">
        <f t="shared" si="31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32"/>
        <v>https://d0f6bd738d7f1b3e5a7ca70fe4ff75f0.us-east-1.aws.found.io/app/kibana#/discover/Steve-Slow-Train-Analysis-(2080s-and-2083s)?_g=(refreshInterval:(display:Off,pause:!f,section:0,value:0),time:(from:'2017-09-13T13:08:48-0600',mode:absolute,to:'2017-09-13T16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4" t="str">
        <f>IF(AA94&lt;VLOOKUP(AG94,Variables!$AC$3:$AD$8,2,FALSE),"Y","N")</f>
        <v>N</v>
      </c>
      <c r="X94" s="194">
        <f t="shared" si="33"/>
        <v>1</v>
      </c>
      <c r="Y94" s="194">
        <f t="shared" si="34"/>
        <v>23.300999999999998</v>
      </c>
      <c r="Z94" s="194">
        <f t="shared" si="35"/>
        <v>1.38E-2</v>
      </c>
      <c r="AA94" s="194">
        <f t="shared" si="36"/>
        <v>23.287199999999999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 t="shared" si="37"/>
        <v>180</v>
      </c>
      <c r="AE94" s="77" t="str">
        <f t="shared" si="38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94" s="74" t="str">
        <f t="shared" si="39"/>
        <v>"C:\Program Files (x86)\AstroGrep\AstroGrep.exe" /e /r /s /spath="%USERPROFILE%\AppData\Local\Temp\OnboardLogs" /stypes="app*4043*20170913*" /stext=" 21:.+((SYSTEM_STATE.+slice.+state.+changed )|(ment ac)|(multiple cpu faults)|(system.+state.+changed )|(\[timeout)|(PRM\|1\|D)|(kpr)|(kdp)|(train st.+moving)|(\|lc)|(penalty))"</v>
      </c>
      <c r="AG94" s="206" t="str">
        <f t="shared" si="40"/>
        <v>EC</v>
      </c>
      <c r="AH94" s="78" t="str">
        <f t="shared" si="41"/>
        <v>"%USERPROFILE%\Documents\GitHub\eaglep3\Utilities\RefineRTDCRunTimes.py" --tripid 180-13 --locoid 4043 --swversion DE.1.0.9.0 --startMP 204:233010 --initTime 2017-09-13T14:08:48 --startdatetime 2017-09-13T14:27:20 --delay 46 --endMP 204:138 --enddatetime 2017-09-13T15:04:30 --enforcementcount 0 &gt;&gt;C:\Users\stu\Documents\GitHub\eaglep3-reporting\EC\2017-09-13-refined-times.txt</v>
      </c>
      <c r="AI94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ID","value":"180-13"},{"id":16,"name":"Locomotive ID","value":"4043"},{"id":130,"name":"Impact","value":""},{"id":150,"name":"Time of Event (Mountain Time)","value":"15:04:30"},{"id":151,"name":"Denver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4043 --day 2017-09-13</v>
      </c>
      <c r="AN94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735</v>
      </c>
      <c r="B95" s="7">
        <v>4006</v>
      </c>
      <c r="C95" s="21" t="s">
        <v>197</v>
      </c>
      <c r="D95" s="21" t="s">
        <v>380</v>
      </c>
      <c r="E95" s="13">
        <v>42991.567407407405</v>
      </c>
      <c r="F95" s="13">
        <v>42991.573101851849</v>
      </c>
      <c r="G95" s="7">
        <v>68</v>
      </c>
      <c r="H95" s="21" t="s">
        <v>875</v>
      </c>
      <c r="I95" s="13">
        <v>42991.597488425927</v>
      </c>
      <c r="J95" s="7">
        <v>0</v>
      </c>
      <c r="K95" s="89" t="str">
        <f t="shared" si="29"/>
        <v>4005/4006</v>
      </c>
      <c r="L95" s="214" t="str">
        <f>VLOOKUP(A95,'Trips&amp;Operators'!$C$1:$G$99911,5,FALSE)</f>
        <v>LEVIN SCOTT</v>
      </c>
      <c r="M95" s="6">
        <f t="shared" si="30"/>
        <v>2.4386574077652767E-2</v>
      </c>
      <c r="N95" s="7">
        <f t="shared" si="27"/>
        <v>35.116666671819985</v>
      </c>
      <c r="O95" s="7"/>
      <c r="P95" s="7"/>
      <c r="Q95" s="22"/>
      <c r="R95" s="167"/>
      <c r="S95" s="210">
        <f t="shared" si="28"/>
        <v>1</v>
      </c>
      <c r="T95" s="192" t="str">
        <f t="shared" si="31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32"/>
        <v>https://d0f6bd738d7f1b3e5a7ca70fe4ff75f0.us-east-1.aws.found.io/app/kibana#/discover/Steve-Slow-Train-Analysis-(2080s-and-2083s)?_g=(refreshInterval:(display:Off,pause:!f,section:0,value:0),time:(from:'2017-09-13T12:37:04-0600',mode:absolute,to:'2017-09-13T15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194" t="str">
        <f>IF(AA95&lt;VLOOKUP(AG95,Variables!$AC$3:$AD$8,2,FALSE),"Y","N")</f>
        <v>N</v>
      </c>
      <c r="X95" s="194">
        <f t="shared" si="33"/>
        <v>1</v>
      </c>
      <c r="Y95" s="194">
        <f t="shared" si="34"/>
        <v>4.6899999999999997E-2</v>
      </c>
      <c r="Z95" s="194">
        <f t="shared" si="35"/>
        <v>23.328199999999999</v>
      </c>
      <c r="AA95" s="194">
        <f t="shared" si="36"/>
        <v>23.281299999999998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 t="shared" si="37"/>
        <v>181</v>
      </c>
      <c r="AE95" s="77" t="str">
        <f t="shared" si="38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95" s="74" t="str">
        <f t="shared" si="39"/>
        <v>"C:\Program Files (x86)\AstroGrep\AstroGrep.exe" /e /r /s /spath="%USERPROFILE%\AppData\Local\Temp\OnboardLogs" /stypes="app*4006*20170913*" /stext=" 20:.+((SYSTEM_STATE.+slice.+state.+changed )|(ment ac)|(multiple cpu faults)|(system.+state.+changed )|(\[timeout)|(PRM\|1\|D)|(kpr)|(kdp)|(train st.+moving)|(\|lc)|(penalty))"</v>
      </c>
      <c r="AG95" s="206" t="str">
        <f t="shared" si="40"/>
        <v>EC</v>
      </c>
      <c r="AH95" s="78" t="str">
        <f t="shared" si="41"/>
        <v>"%USERPROFILE%\Documents\GitHub\eaglep3\Utilities\RefineRTDCRunTimes.py" --tripid 181-13 --locoid 4006 --swversion DE.1.0.9.0 --startMP 204:469 --initTime 2017-09-13T13:37:04 --startdatetime 2017-09-13T13:45:16 --delay 68 --endMP 204:233282 --enddatetime 2017-09-13T14:20:23 --enforcementcount 0 &gt;&gt;C:\Users\stu\Documents\GitHub\eaglep3-reporting\EC\2017-09-13-refined-times.txt</v>
      </c>
      <c r="AI9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{"issue":{"subject":"","project_id":79,"tracker_id":40,"status_id":1,"priority_id":2,"assigned_to_id":338,"start_date":"2017-09-13","description":"","custom_fields":[{"id":1,"name":"Subdivision","value":"EC"},{"id":4,"name":"Milepost","value":"23.3282"},{"id":17,"name":"Train ID","value":"181-13"},{"id":16,"name":"Locomotive ID","value":"4006"},{"id":130,"name":"Impact","value":""},{"id":150,"name":"Time of Event (Mountain Time)","value":"14:20:23"},{"id":151,"name":"Denver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4006 --day 2017-09-13</v>
      </c>
      <c r="AN95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746</v>
      </c>
      <c r="B96" s="7">
        <v>4005</v>
      </c>
      <c r="C96" s="21" t="s">
        <v>197</v>
      </c>
      <c r="D96" s="21" t="s">
        <v>390</v>
      </c>
      <c r="E96" s="13">
        <v>42991.603819444441</v>
      </c>
      <c r="F96" s="13">
        <v>42991.612719907411</v>
      </c>
      <c r="G96" s="7">
        <v>54</v>
      </c>
      <c r="H96" s="21" t="s">
        <v>340</v>
      </c>
      <c r="I96" s="13">
        <v>42991.638564814813</v>
      </c>
      <c r="J96" s="7">
        <v>0</v>
      </c>
      <c r="K96" s="89" t="str">
        <f t="shared" si="29"/>
        <v>4005/4006</v>
      </c>
      <c r="L96" s="214" t="str">
        <f>VLOOKUP(A96,'Trips&amp;Operators'!$C$1:$G$99911,5,FALSE)</f>
        <v>LEVIN SCOTT</v>
      </c>
      <c r="M96" s="6">
        <f t="shared" si="30"/>
        <v>2.5844907402643003E-2</v>
      </c>
      <c r="N96" s="7">
        <f t="shared" si="27"/>
        <v>37.216666659805924</v>
      </c>
      <c r="O96" s="7"/>
      <c r="P96" s="7"/>
      <c r="Q96" s="22"/>
      <c r="R96" s="167"/>
      <c r="S96" s="210">
        <f t="shared" si="28"/>
        <v>1</v>
      </c>
      <c r="T96" s="192" t="str">
        <f t="shared" si="31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32"/>
        <v>https://d0f6bd738d7f1b3e5a7ca70fe4ff75f0.us-east-1.aws.found.io/app/kibana#/discover/Steve-Slow-Train-Analysis-(2080s-and-2083s)?_g=(refreshInterval:(display:Off,pause:!f,section:0,value:0),time:(from:'2017-09-13T13:29:30-0600',mode:absolute,to:'2017-09-13T16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194" t="str">
        <f>IF(AA96&lt;VLOOKUP(AG96,Variables!$AC$3:$AD$8,2,FALSE),"Y","N")</f>
        <v>N</v>
      </c>
      <c r="X96" s="194">
        <f t="shared" si="33"/>
        <v>1</v>
      </c>
      <c r="Y96" s="194">
        <f t="shared" si="34"/>
        <v>23.299399999999999</v>
      </c>
      <c r="Z96" s="194">
        <f t="shared" si="35"/>
        <v>1.43E-2</v>
      </c>
      <c r="AA96" s="194">
        <f t="shared" si="36"/>
        <v>23.2851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 t="shared" si="37"/>
        <v>182</v>
      </c>
      <c r="AE96" s="77" t="str">
        <f t="shared" si="38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96" s="74" t="str">
        <f t="shared" si="39"/>
        <v>"C:\Program Files (x86)\AstroGrep\AstroGrep.exe" /e /r /s /spath="%USERPROFILE%\AppData\Local\Temp\OnboardLogs" /stypes="app*4005*20170913*" /stext=" 21:.+((SYSTEM_STATE.+slice.+state.+changed )|(ment ac)|(multiple cpu faults)|(system.+state.+changed )|(\[timeout)|(PRM\|1\|D)|(kpr)|(kdp)|(train st.+moving)|(\|lc)|(penalty))"</v>
      </c>
      <c r="AG96" s="206" t="str">
        <f t="shared" si="40"/>
        <v>EC</v>
      </c>
      <c r="AH96" s="78" t="str">
        <f t="shared" si="41"/>
        <v>"%USERPROFILE%\Documents\GitHub\eaglep3\Utilities\RefineRTDCRunTimes.py" --tripid 182-13 --locoid 4005 --swversion DE.1.0.9.0 --startMP 204:232994 --initTime 2017-09-13T14:29:30 --startdatetime 2017-09-13T14:42:19 --delay 54 --endMP 204:143 --enddatetime 2017-09-13T15:19:32 --enforcementcount 0 &gt;&gt;C:\Users\stu\Documents\GitHub\eaglep3-reporting\EC\2017-09-13-refined-times.txt</v>
      </c>
      <c r="AI9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{"issue":{"subject":"","project_id":79,"tracker_id":40,"status_id":1,"priority_id":2,"assigned_to_id":338,"start_date":"2017-09-13","description":"","custom_fields":[{"id":1,"name":"Subdivision","value":"EC"},{"id":4,"name":"Milepost","value":"0.0143"},{"id":17,"name":"Train ID","value":"182-13"},{"id":16,"name":"Locomotive ID","value":"4005"},{"id":130,"name":"Impact","value":""},{"id":150,"name":"Time of Event (Mountain Time)","value":"15:19:32"},{"id":151,"name":"Denver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4005 --day 2017-09-13</v>
      </c>
      <c r="AN96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738</v>
      </c>
      <c r="B97" s="7">
        <v>4010</v>
      </c>
      <c r="C97" s="21" t="s">
        <v>197</v>
      </c>
      <c r="D97" s="21" t="s">
        <v>337</v>
      </c>
      <c r="E97" s="13">
        <v>42991.57775462963</v>
      </c>
      <c r="F97" s="13">
        <v>42991.583495370367</v>
      </c>
      <c r="G97" s="7">
        <v>87</v>
      </c>
      <c r="H97" s="21" t="s">
        <v>473</v>
      </c>
      <c r="I97" s="13">
        <v>42991.608414351853</v>
      </c>
      <c r="J97" s="7">
        <v>0</v>
      </c>
      <c r="K97" s="89" t="str">
        <f t="shared" si="29"/>
        <v>4009/4010</v>
      </c>
      <c r="L97" s="214" t="str">
        <f>VLOOKUP(A97,'Trips&amp;Operators'!$C$1:$G$99911,5,FALSE)</f>
        <v>DELGADO DIANAH</v>
      </c>
      <c r="M97" s="6">
        <f t="shared" si="30"/>
        <v>2.4918981485825498E-2</v>
      </c>
      <c r="N97" s="7">
        <f t="shared" si="27"/>
        <v>35.883333339588717</v>
      </c>
      <c r="O97" s="7"/>
      <c r="P97" s="7"/>
      <c r="Q97" s="22"/>
      <c r="R97" s="167"/>
      <c r="S97" s="210">
        <f t="shared" si="28"/>
        <v>1</v>
      </c>
      <c r="T97" s="192" t="str">
        <f t="shared" si="31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32"/>
        <v>https://d0f6bd738d7f1b3e5a7ca70fe4ff75f0.us-east-1.aws.found.io/app/kibana#/discover/Steve-Slow-Train-Analysis-(2080s-and-2083s)?_g=(refreshInterval:(display:Off,pause:!f,section:0,value:0),time:(from:'2017-09-13T12:51:58-0600',mode:absolute,to:'2017-09-13T15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4" t="str">
        <f>IF(AA97&lt;VLOOKUP(AG97,Variables!$AC$3:$AD$8,2,FALSE),"Y","N")</f>
        <v>N</v>
      </c>
      <c r="X97" s="194">
        <f t="shared" si="33"/>
        <v>1</v>
      </c>
      <c r="Y97" s="194">
        <f t="shared" si="34"/>
        <v>4.4600000000000001E-2</v>
      </c>
      <c r="Z97" s="194">
        <f t="shared" si="35"/>
        <v>23.334</v>
      </c>
      <c r="AA97" s="194">
        <f t="shared" si="36"/>
        <v>23.289400000000001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 t="shared" si="37"/>
        <v>183</v>
      </c>
      <c r="AE97" s="77" t="str">
        <f t="shared" si="38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97" s="74" t="str">
        <f t="shared" si="39"/>
        <v>"C:\Program Files (x86)\AstroGrep\AstroGrep.exe" /e /r /s /spath="%USERPROFILE%\AppData\Local\Temp\OnboardLogs" /stypes="app*4010*20170913*" /stext=" 20:.+((SYSTEM_STATE.+slice.+state.+changed )|(ment ac)|(multiple cpu faults)|(system.+state.+changed )|(\[timeout)|(PRM\|1\|D)|(kpr)|(kdp)|(train st.+moving)|(\|lc)|(penalty))"</v>
      </c>
      <c r="AG97" s="206" t="str">
        <f t="shared" si="40"/>
        <v>EC</v>
      </c>
      <c r="AH97" s="78" t="str">
        <f t="shared" si="41"/>
        <v>"%USERPROFILE%\Documents\GitHub\eaglep3\Utilities\RefineRTDCRunTimes.py" --tripid 183-13 --locoid 4010 --swversion DE.1.0.9.0 --startMP 204:446 --initTime 2017-09-13T13:51:58 --startdatetime 2017-09-13T14:00:14 --delay 87 --endMP 204:233340 --enddatetime 2017-09-13T14:36:07 --enforcementcount 0 &gt;&gt;C:\Users\stu\Documents\GitHub\eaglep3-reporting\EC\2017-09-13-refined-times.txt</v>
      </c>
      <c r="AI9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{"issue":{"subject":"","project_id":79,"tracker_id":40,"status_id":1,"priority_id":2,"assigned_to_id":338,"start_date":"2017-09-13","description":"","custom_fields":[{"id":1,"name":"Subdivision","value":"EC"},{"id":4,"name":"Milepost","value":"23.334"},{"id":17,"name":"Train ID","value":"183-13"},{"id":16,"name":"Locomotive ID","value":"4010"},{"id":130,"name":"Impact","value":""},{"id":150,"name":"Time of Event (Mountain Time)","value":"14:36:07"},{"id":151,"name":"Denver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4010 --day 2017-09-13</v>
      </c>
      <c r="AN97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750</v>
      </c>
      <c r="B98" s="7">
        <v>4009</v>
      </c>
      <c r="C98" s="21" t="s">
        <v>197</v>
      </c>
      <c r="D98" s="21" t="s">
        <v>876</v>
      </c>
      <c r="E98" s="13">
        <v>42991.612060185187</v>
      </c>
      <c r="F98" s="13">
        <v>42991.623090277775</v>
      </c>
      <c r="G98" s="7">
        <v>663</v>
      </c>
      <c r="H98" s="21" t="s">
        <v>381</v>
      </c>
      <c r="I98" s="13">
        <v>42991.648148148146</v>
      </c>
      <c r="J98" s="7">
        <v>0</v>
      </c>
      <c r="K98" s="89" t="str">
        <f t="shared" si="29"/>
        <v>4009/4010</v>
      </c>
      <c r="L98" s="214" t="str">
        <f>VLOOKUP(A98,'Trips&amp;Operators'!$C$1:$G$99911,5,FALSE)</f>
        <v>DELGADO DIANAH</v>
      </c>
      <c r="M98" s="6">
        <f t="shared" si="30"/>
        <v>2.5057870370801538E-2</v>
      </c>
      <c r="N98" s="7">
        <f t="shared" si="27"/>
        <v>36.083333333954215</v>
      </c>
      <c r="O98" s="7"/>
      <c r="P98" s="7"/>
      <c r="Q98" s="22"/>
      <c r="R98" s="167"/>
      <c r="S98" s="210">
        <f t="shared" si="28"/>
        <v>1</v>
      </c>
      <c r="T98" s="192" t="str">
        <f t="shared" si="31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32"/>
        <v>https://d0f6bd738d7f1b3e5a7ca70fe4ff75f0.us-east-1.aws.found.io/app/kibana#/discover/Steve-Slow-Train-Analysis-(2080s-and-2083s)?_g=(refreshInterval:(display:Off,pause:!f,section:0,value:0),time:(from:'2017-09-13T13:41:22-0600',mode:absolute,to:'2017-09-13T16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4" t="str">
        <f>IF(AA98&lt;VLOOKUP(AG98,Variables!$AC$3:$AD$8,2,FALSE),"Y","N")</f>
        <v>N</v>
      </c>
      <c r="X98" s="194">
        <f t="shared" si="33"/>
        <v>1</v>
      </c>
      <c r="Y98" s="194">
        <f t="shared" si="34"/>
        <v>23.304200000000002</v>
      </c>
      <c r="Z98" s="194">
        <f t="shared" si="35"/>
        <v>1.61E-2</v>
      </c>
      <c r="AA98" s="194">
        <f t="shared" si="36"/>
        <v>23.2881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 t="shared" si="37"/>
        <v>184</v>
      </c>
      <c r="AE98" s="77" t="str">
        <f t="shared" si="38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98" s="74" t="str">
        <f t="shared" si="39"/>
        <v>"C:\Program Files (x86)\AstroGrep\AstroGrep.exe" /e /r /s /spath="%USERPROFILE%\AppData\Local\Temp\OnboardLogs" /stypes="app*4009*20170913*" /stext=" 21:.+((SYSTEM_STATE.+slice.+state.+changed )|(ment ac)|(multiple cpu faults)|(system.+state.+changed )|(\[timeout)|(PRM\|1\|D)|(kpr)|(kdp)|(train st.+moving)|(\|lc)|(penalty))"</v>
      </c>
      <c r="AG98" s="206" t="str">
        <f t="shared" si="40"/>
        <v>EC</v>
      </c>
      <c r="AH98" s="78" t="str">
        <f t="shared" si="41"/>
        <v>"%USERPROFILE%\Documents\GitHub\eaglep3\Utilities\RefineRTDCRunTimes.py" --tripid 184-13 --locoid 4009 --swversion DE.1.0.9.0 --startMP 204:233042 --initTime 2017-09-13T14:41:22 --startdatetime 2017-09-13T14:57:15 --delay 663 --endMP 204:161 --enddatetime 2017-09-13T15:33:20 --enforcementcount 0 &gt;&gt;C:\Users\stu\Documents\GitHub\eaglep3-reporting\EC\2017-09-13-refined-times.txt</v>
      </c>
      <c r="AI98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{"issue":{"subject":"","project_id":79,"tracker_id":40,"status_id":1,"priority_id":2,"assigned_to_id":338,"start_date":"2017-09-13","description":"","custom_fields":[{"id":1,"name":"Subdivision","value":"EC"},{"id":4,"name":"Milepost","value":"0.0161"},{"id":17,"name":"Train ID","value":"184-13"},{"id":16,"name":"Locomotive ID","value":"4009"},{"id":130,"name":"Impact","value":""},{"id":150,"name":"Time of Event (Mountain Time)","value":"15:33:20"},{"id":151,"name":"Denver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4009 --day 2017-09-13</v>
      </c>
      <c r="AN98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743</v>
      </c>
      <c r="B99" s="7">
        <v>4020</v>
      </c>
      <c r="C99" s="21" t="s">
        <v>197</v>
      </c>
      <c r="D99" s="21" t="s">
        <v>500</v>
      </c>
      <c r="E99" s="13">
        <v>42991.589363425926</v>
      </c>
      <c r="F99" s="13">
        <v>42991.5940625</v>
      </c>
      <c r="G99" s="7">
        <v>109</v>
      </c>
      <c r="H99" s="21" t="s">
        <v>877</v>
      </c>
      <c r="I99" s="13">
        <v>42991.620138888888</v>
      </c>
      <c r="J99" s="7">
        <v>0</v>
      </c>
      <c r="K99" s="89" t="str">
        <f t="shared" si="29"/>
        <v>4019/4020</v>
      </c>
      <c r="L99" s="214" t="str">
        <f>VLOOKUP(A99,'Trips&amp;Operators'!$C$1:$G$99911,5,FALSE)</f>
        <v>DAVIS MICHAEL</v>
      </c>
      <c r="M99" s="6">
        <f t="shared" si="30"/>
        <v>2.6076388887304347E-2</v>
      </c>
      <c r="N99" s="7">
        <f t="shared" si="27"/>
        <v>37.54999999771826</v>
      </c>
      <c r="O99" s="7"/>
      <c r="P99" s="7"/>
      <c r="Q99" s="22"/>
      <c r="R99" s="167"/>
      <c r="S99" s="210">
        <f t="shared" si="28"/>
        <v>1</v>
      </c>
      <c r="T99" s="192" t="str">
        <f t="shared" si="31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32"/>
        <v>https://d0f6bd738d7f1b3e5a7ca70fe4ff75f0.us-east-1.aws.found.io/app/kibana#/discover/Steve-Slow-Train-Analysis-(2080s-and-2083s)?_g=(refreshInterval:(display:Off,pause:!f,section:0,value:0),time:(from:'2017-09-13T13:08:41-0600',mode:absolute,to:'2017-09-13T15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194" t="str">
        <f>IF(AA99&lt;VLOOKUP(AG99,Variables!$AC$3:$AD$8,2,FALSE),"Y","N")</f>
        <v>N</v>
      </c>
      <c r="X99" s="194">
        <f t="shared" si="33"/>
        <v>1</v>
      </c>
      <c r="Y99" s="194">
        <f t="shared" si="34"/>
        <v>4.6600000000000003E-2</v>
      </c>
      <c r="Z99" s="194">
        <f t="shared" si="35"/>
        <v>23.336200000000002</v>
      </c>
      <c r="AA99" s="194">
        <f t="shared" si="36"/>
        <v>23.2896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 t="shared" si="37"/>
        <v>185</v>
      </c>
      <c r="AE99" s="77" t="str">
        <f t="shared" si="38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99" s="74" t="str">
        <f t="shared" si="39"/>
        <v>"C:\Program Files (x86)\AstroGrep\AstroGrep.exe" /e /r /s /spath="%USERPROFILE%\AppData\Local\Temp\OnboardLogs" /stypes="app*4020*20170913*" /stext=" 20:.+((SYSTEM_STATE.+slice.+state.+changed )|(ment ac)|(multiple cpu faults)|(system.+state.+changed )|(\[timeout)|(PRM\|1\|D)|(kpr)|(kdp)|(train st.+moving)|(\|lc)|(penalty))"</v>
      </c>
      <c r="AG99" s="206" t="str">
        <f t="shared" si="40"/>
        <v>EC</v>
      </c>
      <c r="AH99" s="78" t="str">
        <f t="shared" si="41"/>
        <v>"%USERPROFILE%\Documents\GitHub\eaglep3\Utilities\RefineRTDCRunTimes.py" --tripid 185-13 --locoid 4020 --swversion DE.1.0.9.0 --startMP 204:466 --initTime 2017-09-13T14:08:41 --startdatetime 2017-09-13T14:15:27 --delay 109 --endMP 204:233362 --enddatetime 2017-09-13T14:53:00 --enforcementcount 0 &gt;&gt;C:\Users\stu\Documents\GitHub\eaglep3-reporting\EC\2017-09-13-refined-times.txt</v>
      </c>
      <c r="AI9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{"issue":{"subject":"","project_id":79,"tracker_id":40,"status_id":1,"priority_id":2,"assigned_to_id":338,"start_date":"2017-09-13","description":"","custom_fields":[{"id":1,"name":"Subdivision","value":"EC"},{"id":4,"name":"Milepost","value":"23.3362"},{"id":17,"name":"Train ID","value":"185-13"},{"id":16,"name":"Locomotive ID","value":"4020"},{"id":130,"name":"Impact","value":""},{"id":150,"name":"Time of Event (Mountain Time)","value":"14:53:00"},{"id":151,"name":"Denver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4020 --day 2017-09-13</v>
      </c>
      <c r="AN99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756</v>
      </c>
      <c r="B100" s="7">
        <v>4019</v>
      </c>
      <c r="C100" s="21" t="s">
        <v>197</v>
      </c>
      <c r="D100" s="21" t="s">
        <v>870</v>
      </c>
      <c r="E100" s="13">
        <v>42991.631886574076</v>
      </c>
      <c r="F100" s="13">
        <v>42991.633831018517</v>
      </c>
      <c r="G100" s="7">
        <v>92</v>
      </c>
      <c r="H100" s="21" t="s">
        <v>406</v>
      </c>
      <c r="I100" s="13">
        <v>42991.660937499997</v>
      </c>
      <c r="J100" s="7">
        <v>0</v>
      </c>
      <c r="K100" s="89" t="str">
        <f t="shared" si="29"/>
        <v>4019/4020</v>
      </c>
      <c r="L100" s="214" t="str">
        <f>VLOOKUP(A100,'Trips&amp;Operators'!$C$1:$G$99911,5,FALSE)</f>
        <v>DAVIS MICHAEL</v>
      </c>
      <c r="M100" s="6">
        <f t="shared" si="30"/>
        <v>2.7106481480586808E-2</v>
      </c>
      <c r="N100" s="7">
        <f t="shared" si="27"/>
        <v>39.033333332045004</v>
      </c>
      <c r="O100" s="7"/>
      <c r="P100" s="7"/>
      <c r="Q100" s="22"/>
      <c r="R100" s="167"/>
      <c r="S100" s="210">
        <f t="shared" si="28"/>
        <v>1</v>
      </c>
      <c r="T100" s="192" t="str">
        <f t="shared" si="31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32"/>
        <v>https://d0f6bd738d7f1b3e5a7ca70fe4ff75f0.us-east-1.aws.found.io/app/kibana#/discover/Steve-Slow-Train-Analysis-(2080s-and-2083s)?_g=(refreshInterval:(display:Off,pause:!f,section:0,value:0),time:(from:'2017-09-13T14:09:55-0600',mode:absolute,to:'2017-09-13T16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194" t="str">
        <f>IF(AA100&lt;VLOOKUP(AG100,Variables!$AC$3:$AD$8,2,FALSE),"Y","N")</f>
        <v>N</v>
      </c>
      <c r="X100" s="194">
        <f t="shared" si="33"/>
        <v>1</v>
      </c>
      <c r="Y100" s="194">
        <f t="shared" si="34"/>
        <v>23.302299999999999</v>
      </c>
      <c r="Z100" s="194">
        <f t="shared" si="35"/>
        <v>1.3899999999999999E-2</v>
      </c>
      <c r="AA100" s="194">
        <f t="shared" si="36"/>
        <v>23.288399999999999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 t="shared" si="37"/>
        <v>186</v>
      </c>
      <c r="AE100" s="77" t="str">
        <f t="shared" si="38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00" s="74" t="str">
        <f t="shared" si="39"/>
        <v>"C:\Program Files (x86)\AstroGrep\AstroGrep.exe" /e /r /s /spath="%USERPROFILE%\AppData\Local\Temp\OnboardLogs" /stypes="app*4019*20170913*" /stext=" 21:.+((SYSTEM_STATE.+slice.+state.+changed )|(ment ac)|(multiple cpu faults)|(system.+state.+changed )|(\[timeout)|(PRM\|1\|D)|(kpr)|(kdp)|(train st.+moving)|(\|lc)|(penalty))"</v>
      </c>
      <c r="AG100" s="206" t="str">
        <f t="shared" si="40"/>
        <v>EC</v>
      </c>
      <c r="AH100" s="78" t="str">
        <f t="shared" si="41"/>
        <v>"%USERPROFILE%\Documents\GitHub\eaglep3\Utilities\RefineRTDCRunTimes.py" --tripid 186-13 --locoid 4019 --swversion DE.1.0.9.0 --startMP 204:233023 --initTime 2017-09-13T15:09:55 --startdatetime 2017-09-13T15:12:43 --delay 92 --endMP 204:139 --enddatetime 2017-09-13T15:51:45 --enforcementcount 0 &gt;&gt;C:\Users\stu\Documents\GitHub\eaglep3-reporting\EC\2017-09-13-refined-times.txt</v>
      </c>
      <c r="AI10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{"issue":{"subject":"","project_id":79,"tracker_id":40,"status_id":1,"priority_id":2,"assigned_to_id":338,"start_date":"2017-09-13","description":"","custom_fields":[{"id":1,"name":"Subdivision","value":"EC"},{"id":4,"name":"Milepost","value":"0.0139"},{"id":17,"name":"Train ID","value":"186-13"},{"id":16,"name":"Locomotive ID","value":"4019"},{"id":130,"name":"Impact","value":""},{"id":150,"name":"Time of Event (Mountain Time)","value":"15:51:45"},{"id":151,"name":"Denver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4019 --day 2017-09-13</v>
      </c>
      <c r="AN100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599</v>
      </c>
      <c r="B101" s="7">
        <v>4056</v>
      </c>
      <c r="C101" s="21" t="s">
        <v>197</v>
      </c>
      <c r="D101" s="21" t="s">
        <v>496</v>
      </c>
      <c r="E101" s="13">
        <v>42991.598344907405</v>
      </c>
      <c r="F101" s="13">
        <v>42991.60434027778</v>
      </c>
      <c r="G101" s="7">
        <v>53</v>
      </c>
      <c r="H101" s="21" t="s">
        <v>554</v>
      </c>
      <c r="I101" s="13">
        <v>42991.628969907404</v>
      </c>
      <c r="J101" s="7">
        <v>0</v>
      </c>
      <c r="K101" s="89" t="str">
        <f t="shared" si="29"/>
        <v>4055/4056</v>
      </c>
      <c r="L101" s="214" t="str">
        <f>VLOOKUP(A101,'Trips&amp;Operators'!$C$1:$G$99911,5,FALSE)</f>
        <v>HOLCOMB KAMDEN</v>
      </c>
      <c r="M101" s="6">
        <f t="shared" si="30"/>
        <v>2.4629629624541849E-2</v>
      </c>
      <c r="N101" s="7">
        <f t="shared" ref="N101:N117" si="45">24*60*SUM($M101:$M101)</f>
        <v>35.466666659340262</v>
      </c>
      <c r="O101" s="7"/>
      <c r="P101" s="7"/>
      <c r="Q101" s="22"/>
      <c r="R101" s="167"/>
      <c r="S101" s="210">
        <f t="shared" ref="S101:S117" si="46">1/IF(AG101="EC",12,1)*SUM(U101:U101)</f>
        <v>1</v>
      </c>
      <c r="T101" s="192" t="str">
        <f t="shared" si="31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32"/>
        <v>https://d0f6bd738d7f1b3e5a7ca70fe4ff75f0.us-east-1.aws.found.io/app/kibana#/discover/Steve-Slow-Train-Analysis-(2080s-and-2083s)?_g=(refreshInterval:(display:Off,pause:!f,section:0,value:0),time:(from:'2017-09-13T13:21:37-0600',mode:absolute,to:'2017-09-13T16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1" s="194" t="str">
        <f>IF(AA101&lt;VLOOKUP(AG101,Variables!$AC$3:$AD$8,2,FALSE),"Y","N")</f>
        <v>N</v>
      </c>
      <c r="X101" s="194">
        <f t="shared" si="33"/>
        <v>1</v>
      </c>
      <c r="Y101" s="194">
        <f t="shared" si="34"/>
        <v>4.3700000000000003E-2</v>
      </c>
      <c r="Z101" s="194">
        <f t="shared" si="35"/>
        <v>23.3306</v>
      </c>
      <c r="AA101" s="194">
        <f t="shared" si="36"/>
        <v>23.286899999999999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 t="shared" si="37"/>
        <v>187</v>
      </c>
      <c r="AE101" s="77" t="str">
        <f t="shared" si="38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101" s="74" t="str">
        <f t="shared" si="39"/>
        <v>"C:\Program Files (x86)\AstroGrep\AstroGrep.exe" /e /r /s /spath="%USERPROFILE%\AppData\Local\Temp\OnboardLogs" /stypes="app*4056*20170913*" /stext=" 21:.+((SYSTEM_STATE.+slice.+state.+changed )|(ment ac)|(multiple cpu faults)|(system.+state.+changed )|(\[timeout)|(PRM\|1\|D)|(kpr)|(kdp)|(train st.+moving)|(\|lc)|(penalty))"</v>
      </c>
      <c r="AG101" s="206" t="str">
        <f t="shared" si="40"/>
        <v>EC</v>
      </c>
      <c r="AH101" s="78" t="str">
        <f t="shared" si="41"/>
        <v>"%USERPROFILE%\Documents\GitHub\eaglep3\Utilities\RefineRTDCRunTimes.py" --tripid 187-13 --locoid 4056 --swversion DE.1.0.9.0 --startMP 204:437 --initTime 2017-09-13T14:21:37 --startdatetime 2017-09-13T14:30:15 --delay 53 --endMP 204:233306 --enddatetime 2017-09-13T15:05:43 --enforcementcount 0 &gt;&gt;C:\Users\stu\Documents\GitHub\eaglep3-reporting\EC\2017-09-13-refined-times.txt</v>
      </c>
      <c r="AI10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{"issue":{"subject":"","project_id":79,"tracker_id":40,"status_id":1,"priority_id":2,"assigned_to_id":338,"start_date":"2017-09-13","description":"","custom_fields":[{"id":1,"name":"Subdivision","value":"EC"},{"id":4,"name":"Milepost","value":"23.3306"},{"id":17,"name":"Train ID","value":"187-13"},{"id":16,"name":"Locomotive ID","value":"4056"},{"id":130,"name":"Impact","value":""},{"id":150,"name":"Time of Event (Mountain Time)","value":"15:05:43"},{"id":151,"name":"Denver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4056 --day 2017-09-13</v>
      </c>
      <c r="AN101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757</v>
      </c>
      <c r="B102" s="7">
        <v>4055</v>
      </c>
      <c r="C102" s="21" t="s">
        <v>197</v>
      </c>
      <c r="D102" s="21" t="s">
        <v>390</v>
      </c>
      <c r="E102" s="13">
        <v>42991.640231481484</v>
      </c>
      <c r="F102" s="13">
        <v>42991.64402777778</v>
      </c>
      <c r="G102" s="7">
        <v>60</v>
      </c>
      <c r="H102" s="21" t="s">
        <v>342</v>
      </c>
      <c r="I102" s="13">
        <v>42991.669988425929</v>
      </c>
      <c r="J102" s="7">
        <v>0</v>
      </c>
      <c r="K102" s="89" t="str">
        <f t="shared" si="29"/>
        <v>4055/4056</v>
      </c>
      <c r="L102" s="214" t="str">
        <f>VLOOKUP(A102,'Trips&amp;Operators'!$C$1:$G$99911,5,FALSE)</f>
        <v>HOLCOMB KAMDEN</v>
      </c>
      <c r="M102" s="6">
        <f t="shared" si="30"/>
        <v>2.5960648148611654E-2</v>
      </c>
      <c r="N102" s="7">
        <f t="shared" si="45"/>
        <v>37.383333334000781</v>
      </c>
      <c r="O102" s="7"/>
      <c r="P102" s="7"/>
      <c r="Q102" s="22"/>
      <c r="R102" s="167"/>
      <c r="S102" s="210">
        <f t="shared" si="46"/>
        <v>1</v>
      </c>
      <c r="T102" s="192" t="str">
        <f t="shared" si="31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32"/>
        <v>https://d0f6bd738d7f1b3e5a7ca70fe4ff75f0.us-east-1.aws.found.io/app/kibana#/discover/Steve-Slow-Train-Analysis-(2080s-and-2083s)?_g=(refreshInterval:(display:Off,pause:!f,section:0,value:0),time:(from:'2017-09-13T14:21:56-0600',mode:absolute,to:'2017-09-13T17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2" s="194" t="str">
        <f>IF(AA102&lt;VLOOKUP(AG102,Variables!$AC$3:$AD$8,2,FALSE),"Y","N")</f>
        <v>N</v>
      </c>
      <c r="X102" s="194">
        <f t="shared" si="33"/>
        <v>1</v>
      </c>
      <c r="Y102" s="194">
        <f t="shared" si="34"/>
        <v>23.299399999999999</v>
      </c>
      <c r="Z102" s="194">
        <f t="shared" si="35"/>
        <v>1.41E-2</v>
      </c>
      <c r="AA102" s="194">
        <f t="shared" si="36"/>
        <v>23.285299999999999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 t="shared" si="37"/>
        <v>188</v>
      </c>
      <c r="AE102" s="77" t="str">
        <f t="shared" si="38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102" s="74" t="str">
        <f t="shared" si="39"/>
        <v>"C:\Program Files (x86)\AstroGrep\AstroGrep.exe" /e /r /s /spath="%USERPROFILE%\AppData\Local\Temp\OnboardLogs" /stypes="app*4055*20170913*" /stext=" 22:.+((SYSTEM_STATE.+slice.+state.+changed )|(ment ac)|(multiple cpu faults)|(system.+state.+changed )|(\[timeout)|(PRM\|1\|D)|(kpr)|(kdp)|(train st.+moving)|(\|lc)|(penalty))"</v>
      </c>
      <c r="AG102" s="206" t="str">
        <f t="shared" si="40"/>
        <v>EC</v>
      </c>
      <c r="AH102" s="78" t="str">
        <f t="shared" si="41"/>
        <v>"%USERPROFILE%\Documents\GitHub\eaglep3\Utilities\RefineRTDCRunTimes.py" --tripid 188-13 --locoid 4055 --swversion DE.1.0.9.0 --startMP 204:232994 --initTime 2017-09-13T15:21:56 --startdatetime 2017-09-13T15:27:24 --delay 60 --endMP 204:141 --enddatetime 2017-09-13T16:04:47 --enforcementcount 0 &gt;&gt;C:\Users\stu\Documents\GitHub\eaglep3-reporting\EC\2017-09-13-refined-times.txt</v>
      </c>
      <c r="AI10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{"issue":{"subject":"","project_id":79,"tracker_id":40,"status_id":1,"priority_id":2,"assigned_to_id":338,"start_date":"2017-09-13","description":"","custom_fields":[{"id":1,"name":"Subdivision","value":"EC"},{"id":4,"name":"Milepost","value":"0.0141"},{"id":17,"name":"Train ID","value":"188-13"},{"id":16,"name":"Locomotive ID","value":"4055"},{"id":130,"name":"Impact","value":""},{"id":150,"name":"Time of Event (Mountain Time)","value":"16:04:47"},{"id":151,"name":"Denver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4055 --day 2017-09-13</v>
      </c>
      <c r="AN102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747</v>
      </c>
      <c r="B103" s="7">
        <v>4028</v>
      </c>
      <c r="C103" s="21" t="s">
        <v>197</v>
      </c>
      <c r="D103" s="21" t="s">
        <v>350</v>
      </c>
      <c r="E103" s="13">
        <v>42991.610092592593</v>
      </c>
      <c r="F103" s="13">
        <v>42991.614756944444</v>
      </c>
      <c r="G103" s="7">
        <v>80</v>
      </c>
      <c r="H103" s="21" t="s">
        <v>488</v>
      </c>
      <c r="I103" s="13">
        <v>42991.640960648147</v>
      </c>
      <c r="J103" s="7">
        <v>0</v>
      </c>
      <c r="K103" s="89" t="str">
        <f t="shared" si="29"/>
        <v>4027/4028</v>
      </c>
      <c r="L103" s="214" t="str">
        <f>VLOOKUP(A103,'Trips&amp;Operators'!$C$1:$G$99911,5,FALSE)</f>
        <v>KILLION DAVID</v>
      </c>
      <c r="M103" s="6">
        <f t="shared" si="30"/>
        <v>2.6203703702776693E-2</v>
      </c>
      <c r="N103" s="7">
        <f t="shared" si="45"/>
        <v>37.733333331998438</v>
      </c>
      <c r="O103" s="7"/>
      <c r="P103" s="7"/>
      <c r="Q103" s="22"/>
      <c r="R103" s="167"/>
      <c r="S103" s="210">
        <f t="shared" si="46"/>
        <v>1</v>
      </c>
      <c r="T103" s="192" t="str">
        <f t="shared" si="31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32"/>
        <v>https://d0f6bd738d7f1b3e5a7ca70fe4ff75f0.us-east-1.aws.found.io/app/kibana#/discover/Steve-Slow-Train-Analysis-(2080s-and-2083s)?_g=(refreshInterval:(display:Off,pause:!f,section:0,value:0),time:(from:'2017-09-13T13:38:32-0600',mode:absolute,to:'2017-09-13T16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4" t="str">
        <f>IF(AA103&lt;VLOOKUP(AG103,Variables!$AC$3:$AD$8,2,FALSE),"Y","N")</f>
        <v>N</v>
      </c>
      <c r="X103" s="194">
        <f t="shared" si="33"/>
        <v>1</v>
      </c>
      <c r="Y103" s="194">
        <f t="shared" si="34"/>
        <v>4.5499999999999999E-2</v>
      </c>
      <c r="Z103" s="194">
        <f t="shared" si="35"/>
        <v>23.3307</v>
      </c>
      <c r="AA103" s="194">
        <f t="shared" si="36"/>
        <v>23.2852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 t="shared" si="37"/>
        <v>189</v>
      </c>
      <c r="AE103" s="77" t="str">
        <f t="shared" si="38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03" s="74" t="str">
        <f t="shared" si="39"/>
        <v>"C:\Program Files (x86)\AstroGrep\AstroGrep.exe" /e /r /s /spath="%USERPROFILE%\AppData\Local\Temp\OnboardLogs" /stypes="app*4028*20170913*" /stext=" 21:.+((SYSTEM_STATE.+slice.+state.+changed )|(ment ac)|(multiple cpu faults)|(system.+state.+changed )|(\[timeout)|(PRM\|1\|D)|(kpr)|(kdp)|(train st.+moving)|(\|lc)|(penalty))"</v>
      </c>
      <c r="AG103" s="206" t="str">
        <f t="shared" si="40"/>
        <v>EC</v>
      </c>
      <c r="AH103" s="78" t="str">
        <f t="shared" si="41"/>
        <v>"%USERPROFILE%\Documents\GitHub\eaglep3\Utilities\RefineRTDCRunTimes.py" --tripid 189-13 --locoid 4028 --swversion DE.1.0.9.0 --startMP 204:455 --initTime 2017-09-13T14:38:32 --startdatetime 2017-09-13T14:45:15 --delay 80 --endMP 204:233307 --enddatetime 2017-09-13T15:22:59 --enforcementcount 0 &gt;&gt;C:\Users\stu\Documents\GitHub\eaglep3-reporting\EC\2017-09-13-refined-times.txt</v>
      </c>
      <c r="AI10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{"issue":{"subject":"","project_id":79,"tracker_id":40,"status_id":1,"priority_id":2,"assigned_to_id":338,"start_date":"2017-09-13","description":"","custom_fields":[{"id":1,"name":"Subdivision","value":"EC"},{"id":4,"name":"Milepost","value":"23.3307"},{"id":17,"name":"Train ID","value":"189-13"},{"id":16,"name":"Locomotive ID","value":"4028"},{"id":130,"name":"Impact","value":""},{"id":150,"name":"Time of Event (Mountain Time)","value":"15:22:59"},{"id":151,"name":"Denver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4028 --day 2017-09-13</v>
      </c>
      <c r="AN103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4027</v>
      </c>
      <c r="C104" s="21" t="s">
        <v>197</v>
      </c>
      <c r="D104" s="21" t="s">
        <v>470</v>
      </c>
      <c r="E104" s="13">
        <v>42991.646828703706</v>
      </c>
      <c r="F104" s="13">
        <v>42991.654351851852</v>
      </c>
      <c r="G104" s="7">
        <v>75</v>
      </c>
      <c r="H104" s="21" t="s">
        <v>381</v>
      </c>
      <c r="I104" s="13">
        <v>42991.681122685186</v>
      </c>
      <c r="J104" s="7">
        <v>0</v>
      </c>
      <c r="K104" s="89" t="str">
        <f t="shared" si="29"/>
        <v>4027/4028</v>
      </c>
      <c r="L104" s="214" t="str">
        <f>VLOOKUP(A104,'Trips&amp;Operators'!$C$1:$G$99911,5,FALSE)</f>
        <v>KILLION DAVID</v>
      </c>
      <c r="M104" s="6">
        <f t="shared" si="30"/>
        <v>2.6770833334012423E-2</v>
      </c>
      <c r="N104" s="7">
        <f t="shared" si="45"/>
        <v>38.550000000977889</v>
      </c>
      <c r="O104" s="7"/>
      <c r="P104" s="7"/>
      <c r="Q104" s="22"/>
      <c r="R104" s="167"/>
      <c r="S104" s="210">
        <f t="shared" si="46"/>
        <v>1</v>
      </c>
      <c r="T104" s="192" t="str">
        <f t="shared" si="31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32"/>
        <v>https://d0f6bd738d7f1b3e5a7ca70fe4ff75f0.us-east-1.aws.found.io/app/kibana#/discover/Steve-Slow-Train-Analysis-(2080s-and-2083s)?_g=(refreshInterval:(display:Off,pause:!f,section:0,value:0),time:(from:'2017-09-13T14:31:26-0600',mode:absolute,to:'2017-09-13T17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4" t="str">
        <f>IF(AA104&lt;VLOOKUP(AG104,Variables!$AC$3:$AD$8,2,FALSE),"Y","N")</f>
        <v>N</v>
      </c>
      <c r="X104" s="194">
        <f t="shared" si="33"/>
        <v>1</v>
      </c>
      <c r="Y104" s="194">
        <f t="shared" si="34"/>
        <v>23.297999999999998</v>
      </c>
      <c r="Z104" s="194">
        <f t="shared" si="35"/>
        <v>1.61E-2</v>
      </c>
      <c r="AA104" s="194">
        <f t="shared" si="36"/>
        <v>23.281899999999997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 t="shared" si="37"/>
        <v>190</v>
      </c>
      <c r="AE104" s="77" t="str">
        <f t="shared" si="38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04" s="74" t="str">
        <f t="shared" si="39"/>
        <v>"C:\Program Files (x86)\AstroGrep\AstroGrep.exe" /e /r /s /spath="%USERPROFILE%\AppData\Local\Temp\OnboardLogs" /stypes="app*4027*20170913*" /stext=" 22:.+((SYSTEM_STATE.+slice.+state.+changed )|(ment ac)|(multiple cpu faults)|(system.+state.+changed )|(\[timeout)|(PRM\|1\|D)|(kpr)|(kdp)|(train st.+moving)|(\|lc)|(penalty))"</v>
      </c>
      <c r="AG104" s="206" t="str">
        <f t="shared" si="40"/>
        <v>EC</v>
      </c>
      <c r="AH104" s="78" t="str">
        <f t="shared" si="41"/>
        <v>"%USERPROFILE%\Documents\GitHub\eaglep3\Utilities\RefineRTDCRunTimes.py" --tripid 190-13 --locoid 4027 --swversion DE.1.0.9.0 --startMP 204:232980 --initTime 2017-09-13T15:31:26 --startdatetime 2017-09-13T15:42:16 --delay 75 --endMP 204:161 --enddatetime 2017-09-13T16:20:49 --enforcementcount 0 &gt;&gt;C:\Users\stu\Documents\GitHub\eaglep3-reporting\EC\2017-09-13-refined-times.txt</v>
      </c>
      <c r="AI104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{"issue":{"subject":"","project_id":79,"tracker_id":40,"status_id":1,"priority_id":2,"assigned_to_id":338,"start_date":"2017-09-13","description":"","custom_fields":[{"id":1,"name":"Subdivision","value":"EC"},{"id":4,"name":"Milepost","value":"0.0161"},{"id":17,"name":"Train ID","value":"190-13"},{"id":16,"name":"Locomotive ID","value":"4027"},{"id":130,"name":"Impact","value":""},{"id":150,"name":"Time of Event (Mountain Time)","value":"16:20:49"},{"id":151,"name":"Denver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4027 --day 2017-09-13</v>
      </c>
      <c r="AN104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751</v>
      </c>
      <c r="B105" s="7">
        <v>4016</v>
      </c>
      <c r="C105" s="21" t="s">
        <v>197</v>
      </c>
      <c r="D105" s="21" t="s">
        <v>373</v>
      </c>
      <c r="E105" s="13">
        <v>42991.621921296297</v>
      </c>
      <c r="F105" s="13">
        <v>42991.625185185185</v>
      </c>
      <c r="G105" s="7">
        <v>66</v>
      </c>
      <c r="H105" s="21" t="s">
        <v>503</v>
      </c>
      <c r="I105" s="13">
        <v>42991.649664351855</v>
      </c>
      <c r="J105" s="7">
        <v>0</v>
      </c>
      <c r="K105" s="89" t="str">
        <f t="shared" si="29"/>
        <v>4015/4016</v>
      </c>
      <c r="L105" s="214" t="str">
        <f>VLOOKUP(A105,'Trips&amp;Operators'!$C$1:$G$99911,5,FALSE)</f>
        <v>MOSES BRADLEY</v>
      </c>
      <c r="M105" s="6">
        <f t="shared" si="30"/>
        <v>2.4479166670062114E-2</v>
      </c>
      <c r="N105" s="7">
        <f t="shared" si="45"/>
        <v>35.250000004889444</v>
      </c>
      <c r="O105" s="7"/>
      <c r="P105" s="7"/>
      <c r="Q105" s="22"/>
      <c r="R105" s="167"/>
      <c r="S105" s="210">
        <f t="shared" si="46"/>
        <v>1</v>
      </c>
      <c r="T105" s="192" t="str">
        <f t="shared" si="31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32"/>
        <v>https://d0f6bd738d7f1b3e5a7ca70fe4ff75f0.us-east-1.aws.found.io/app/kibana#/discover/Steve-Slow-Train-Analysis-(2080s-and-2083s)?_g=(refreshInterval:(display:Off,pause:!f,section:0,value:0),time:(from:'2017-09-13T13:55:34-0600',mode:absolute,to:'2017-09-13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94" t="str">
        <f>IF(AA105&lt;VLOOKUP(AG105,Variables!$AC$3:$AD$8,2,FALSE),"Y","N")</f>
        <v>N</v>
      </c>
      <c r="X105" s="194">
        <f t="shared" si="33"/>
        <v>1</v>
      </c>
      <c r="Y105" s="194">
        <f t="shared" si="34"/>
        <v>4.6699999999999998E-2</v>
      </c>
      <c r="Z105" s="194">
        <f t="shared" si="35"/>
        <v>23.332100000000001</v>
      </c>
      <c r="AA105" s="194">
        <f t="shared" si="36"/>
        <v>23.285399999999999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 t="shared" si="37"/>
        <v>191</v>
      </c>
      <c r="AE105" s="77" t="str">
        <f t="shared" si="38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05" s="74" t="str">
        <f t="shared" si="39"/>
        <v>"C:\Program Files (x86)\AstroGrep\AstroGrep.exe" /e /r /s /spath="%USERPROFILE%\AppData\Local\Temp\OnboardLogs" /stypes="app*4016*20170913*" /stext=" 21:.+((SYSTEM_STATE.+slice.+state.+changed )|(ment ac)|(multiple cpu faults)|(system.+state.+changed )|(\[timeout)|(PRM\|1\|D)|(kpr)|(kdp)|(train st.+moving)|(\|lc)|(penalty))"</v>
      </c>
      <c r="AG105" s="206" t="str">
        <f t="shared" si="40"/>
        <v>EC</v>
      </c>
      <c r="AH105" s="78" t="str">
        <f t="shared" si="41"/>
        <v>"%USERPROFILE%\Documents\GitHub\eaglep3\Utilities\RefineRTDCRunTimes.py" --tripid 191-13 --locoid 4016 --swversion DE.1.0.9.0 --startMP 204:467 --initTime 2017-09-13T14:55:34 --startdatetime 2017-09-13T15:00:16 --delay 66 --endMP 204:233321 --enddatetime 2017-09-13T15:35:31 --enforcementcount 0 &gt;&gt;C:\Users\stu\Documents\GitHub\eaglep3-reporting\EC\2017-09-13-refined-times.txt</v>
      </c>
      <c r="AI10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{"issue":{"subject":"","project_id":79,"tracker_id":40,"status_id":1,"priority_id":2,"assigned_to_id":338,"start_date":"2017-09-13","description":"","custom_fields":[{"id":1,"name":"Subdivision","value":"EC"},{"id":4,"name":"Milepost","value":"23.3321"},{"id":17,"name":"Train ID","value":"191-13"},{"id":16,"name":"Locomotive ID","value":"4016"},{"id":130,"name":"Impact","value":""},{"id":150,"name":"Time of Event (Mountain Time)","value":"15:35:31"},{"id":151,"name":"Denver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4016 --day 2017-09-13</v>
      </c>
      <c r="AN105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764</v>
      </c>
      <c r="B106" s="7">
        <v>4015</v>
      </c>
      <c r="C106" s="21" t="s">
        <v>197</v>
      </c>
      <c r="D106" s="21" t="s">
        <v>469</v>
      </c>
      <c r="E106" s="13">
        <v>42991.659513888888</v>
      </c>
      <c r="F106" s="13">
        <v>42991.664930555555</v>
      </c>
      <c r="G106" s="7">
        <v>61</v>
      </c>
      <c r="H106" s="21" t="s">
        <v>343</v>
      </c>
      <c r="I106" s="13">
        <v>42991.690891203703</v>
      </c>
      <c r="J106" s="7">
        <v>0</v>
      </c>
      <c r="K106" s="89" t="str">
        <f t="shared" si="29"/>
        <v>4015/4016</v>
      </c>
      <c r="L106" s="214" t="str">
        <f>VLOOKUP(A106,'Trips&amp;Operators'!$C$1:$G$99911,5,FALSE)</f>
        <v>MOSES BRADLEY</v>
      </c>
      <c r="M106" s="6">
        <f t="shared" si="30"/>
        <v>2.5960648148611654E-2</v>
      </c>
      <c r="N106" s="7">
        <f t="shared" si="45"/>
        <v>37.383333334000781</v>
      </c>
      <c r="O106" s="7"/>
      <c r="P106" s="7"/>
      <c r="Q106" s="22"/>
      <c r="R106" s="167"/>
      <c r="S106" s="210">
        <f t="shared" si="46"/>
        <v>1</v>
      </c>
      <c r="T106" s="192" t="str">
        <f t="shared" si="31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32"/>
        <v>https://d0f6bd738d7f1b3e5a7ca70fe4ff75f0.us-east-1.aws.found.io/app/kibana#/discover/Steve-Slow-Train-Analysis-(2080s-and-2083s)?_g=(refreshInterval:(display:Off,pause:!f,section:0,value:0),time:(from:'2017-09-13T14:49:42-0600',mode:absolute,to:'2017-09-13T17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94" t="str">
        <f>IF(AA106&lt;VLOOKUP(AG106,Variables!$AC$3:$AD$8,2,FALSE),"Y","N")</f>
        <v>N</v>
      </c>
      <c r="X106" s="194">
        <f t="shared" si="33"/>
        <v>1</v>
      </c>
      <c r="Y106" s="194">
        <f t="shared" si="34"/>
        <v>23.301300000000001</v>
      </c>
      <c r="Z106" s="194">
        <f t="shared" si="35"/>
        <v>1.47E-2</v>
      </c>
      <c r="AA106" s="194">
        <f t="shared" si="36"/>
        <v>23.2866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 t="shared" si="37"/>
        <v>192</v>
      </c>
      <c r="AE106" s="77" t="str">
        <f t="shared" si="38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106" s="74" t="str">
        <f t="shared" si="39"/>
        <v>"C:\Program Files (x86)\AstroGrep\AstroGrep.exe" /e /r /s /spath="%USERPROFILE%\AppData\Local\Temp\OnboardLogs" /stypes="app*4015*20170913*" /stext=" 22:.+((SYSTEM_STATE.+slice.+state.+changed )|(ment ac)|(multiple cpu faults)|(system.+state.+changed )|(\[timeout)|(PRM\|1\|D)|(kpr)|(kdp)|(train st.+moving)|(\|lc)|(penalty))"</v>
      </c>
      <c r="AG106" s="206" t="str">
        <f t="shared" si="40"/>
        <v>EC</v>
      </c>
      <c r="AH106" s="78" t="str">
        <f t="shared" si="41"/>
        <v>"%USERPROFILE%\Documents\GitHub\eaglep3\Utilities\RefineRTDCRunTimes.py" --tripid 192-13 --locoid 4015 --swversion DE.1.0.9.0 --startMP 204:233013 --initTime 2017-09-13T15:49:42 --startdatetime 2017-09-13T15:57:30 --delay 61 --endMP 204:147 --enddatetime 2017-09-13T16:34:53 --enforcementcount 0 &gt;&gt;C:\Users\stu\Documents\GitHub\eaglep3-reporting\EC\2017-09-13-refined-times.txt</v>
      </c>
      <c r="AI10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ID","value":"192-13"},{"id":16,"name":"Locomotive ID","value":"4015"},{"id":130,"name":"Impact","value":""},{"id":150,"name":"Time of Event (Mountain Time)","value":"16:34:53"},{"id":151,"name":"Denver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4015 --day 2017-09-13</v>
      </c>
      <c r="AN106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755</v>
      </c>
      <c r="B107" s="7">
        <v>4044</v>
      </c>
      <c r="C107" s="21" t="s">
        <v>197</v>
      </c>
      <c r="D107" s="21" t="s">
        <v>361</v>
      </c>
      <c r="E107" s="13">
        <v>42991.630208333336</v>
      </c>
      <c r="F107" s="13">
        <v>42991.635763888888</v>
      </c>
      <c r="G107" s="7">
        <v>47</v>
      </c>
      <c r="H107" s="21" t="s">
        <v>536</v>
      </c>
      <c r="I107" s="13">
        <v>42991.660694444443</v>
      </c>
      <c r="J107" s="7">
        <v>0</v>
      </c>
      <c r="K107" s="89" t="str">
        <f t="shared" si="29"/>
        <v>4043/4044</v>
      </c>
      <c r="L107" s="214" t="str">
        <f>VLOOKUP(A107,'Trips&amp;Operators'!$C$1:$G$99911,5,FALSE)</f>
        <v>GUZMAN DANNY</v>
      </c>
      <c r="M107" s="6">
        <f t="shared" si="30"/>
        <v>2.4930555555329192E-2</v>
      </c>
      <c r="N107" s="7">
        <f t="shared" si="45"/>
        <v>35.899999999674037</v>
      </c>
      <c r="O107" s="7"/>
      <c r="P107" s="7"/>
      <c r="Q107" s="22"/>
      <c r="R107" s="167"/>
      <c r="S107" s="210">
        <f t="shared" si="46"/>
        <v>1</v>
      </c>
      <c r="T107" s="192" t="str">
        <f t="shared" si="31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32"/>
        <v>https://d0f6bd738d7f1b3e5a7ca70fe4ff75f0.us-east-1.aws.found.io/app/kibana#/discover/Steve-Slow-Train-Analysis-(2080s-and-2083s)?_g=(refreshInterval:(display:Off,pause:!f,section:0,value:0),time:(from:'2017-09-13T14:07:30-0600',mode:absolute,to:'2017-09-13T16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4" t="str">
        <f>IF(AA107&lt;VLOOKUP(AG107,Variables!$AC$3:$AD$8,2,FALSE),"Y","N")</f>
        <v>N</v>
      </c>
      <c r="X107" s="194">
        <f t="shared" si="33"/>
        <v>1</v>
      </c>
      <c r="Y107" s="194">
        <f t="shared" si="34"/>
        <v>4.4900000000000002E-2</v>
      </c>
      <c r="Z107" s="194">
        <f t="shared" si="35"/>
        <v>23.329499999999999</v>
      </c>
      <c r="AA107" s="194">
        <f t="shared" si="36"/>
        <v>23.284600000000001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 t="shared" si="37"/>
        <v>193</v>
      </c>
      <c r="AE107" s="77" t="str">
        <f t="shared" si="38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107" s="74" t="str">
        <f t="shared" si="39"/>
        <v>"C:\Program Files (x86)\AstroGrep\AstroGrep.exe" /e /r /s /spath="%USERPROFILE%\AppData\Local\Temp\OnboardLogs" /stypes="app*4044*20170913*" /stext=" 21:.+((SYSTEM_STATE.+slice.+state.+changed )|(ment ac)|(multiple cpu faults)|(system.+state.+changed )|(\[timeout)|(PRM\|1\|D)|(kpr)|(kdp)|(train st.+moving)|(\|lc)|(penalty))"</v>
      </c>
      <c r="AG107" s="206" t="str">
        <f t="shared" si="40"/>
        <v>EC</v>
      </c>
      <c r="AH107" s="78" t="str">
        <f t="shared" si="41"/>
        <v>"%USERPROFILE%\Documents\GitHub\eaglep3\Utilities\RefineRTDCRunTimes.py" --tripid 193-13 --locoid 4044 --swversion DE.1.0.9.0 --startMP 204:449 --initTime 2017-09-13T15:07:30 --startdatetime 2017-09-13T15:15:30 --delay 47 --endMP 204:233295 --enddatetime 2017-09-13T15:51:24 --enforcementcount 0 &gt;&gt;C:\Users\stu\Documents\GitHub\eaglep3-reporting\EC\2017-09-13-refined-times.txt</v>
      </c>
      <c r="AI10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{"issue":{"subject":"","project_id":79,"tracker_id":40,"status_id":1,"priority_id":2,"assigned_to_id":338,"start_date":"2017-09-13","description":"","custom_fields":[{"id":1,"name":"Subdivision","value":"EC"},{"id":4,"name":"Milepost","value":"23.3295"},{"id":17,"name":"Train ID","value":"193-13"},{"id":16,"name":"Locomotive ID","value":"4044"},{"id":130,"name":"Impact","value":""},{"id":150,"name":"Time of Event (Mountain Time)","value":"15:51:24"},{"id":151,"name":"Denver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4044 --day 2017-09-13</v>
      </c>
      <c r="AN107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765</v>
      </c>
      <c r="B108" s="7">
        <v>4043</v>
      </c>
      <c r="C108" s="21" t="s">
        <v>197</v>
      </c>
      <c r="D108" s="21" t="s">
        <v>490</v>
      </c>
      <c r="E108" s="13">
        <v>42991.662303240744</v>
      </c>
      <c r="F108" s="13">
        <v>42991.675150462965</v>
      </c>
      <c r="G108" s="7">
        <v>53</v>
      </c>
      <c r="H108" s="21" t="s">
        <v>487</v>
      </c>
      <c r="I108" s="13">
        <v>42991.700798611113</v>
      </c>
      <c r="J108" s="7">
        <v>0</v>
      </c>
      <c r="K108" s="89" t="str">
        <f t="shared" si="29"/>
        <v>4043/4044</v>
      </c>
      <c r="L108" s="214" t="str">
        <f>VLOOKUP(A108,'Trips&amp;Operators'!$C$1:$G$99911,5,FALSE)</f>
        <v>GUZMAN DANNY</v>
      </c>
      <c r="M108" s="6">
        <f t="shared" si="30"/>
        <v>2.5648148148320615E-2</v>
      </c>
      <c r="N108" s="7">
        <f t="shared" si="45"/>
        <v>36.933333333581686</v>
      </c>
      <c r="O108" s="7"/>
      <c r="P108" s="7"/>
      <c r="Q108" s="22"/>
      <c r="R108" s="167"/>
      <c r="S108" s="210">
        <f t="shared" si="46"/>
        <v>1</v>
      </c>
      <c r="T108" s="192" t="str">
        <f t="shared" si="31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32"/>
        <v>https://d0f6bd738d7f1b3e5a7ca70fe4ff75f0.us-east-1.aws.found.io/app/kibana#/discover/Steve-Slow-Train-Analysis-(2080s-and-2083s)?_g=(refreshInterval:(display:Off,pause:!f,section:0,value:0),time:(from:'2017-09-13T14:53:43-0600',mode:absolute,to:'2017-09-13T17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4" t="str">
        <f>IF(AA108&lt;VLOOKUP(AG108,Variables!$AC$3:$AD$8,2,FALSE),"Y","N")</f>
        <v>N</v>
      </c>
      <c r="X108" s="194">
        <f t="shared" si="33"/>
        <v>1</v>
      </c>
      <c r="Y108" s="194">
        <f t="shared" si="34"/>
        <v>23.2971</v>
      </c>
      <c r="Z108" s="194">
        <f t="shared" si="35"/>
        <v>1.54E-2</v>
      </c>
      <c r="AA108" s="194">
        <f t="shared" si="36"/>
        <v>23.281700000000001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 t="shared" si="37"/>
        <v>194</v>
      </c>
      <c r="AE108" s="77" t="str">
        <f t="shared" si="38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108" s="74" t="str">
        <f t="shared" si="39"/>
        <v>"C:\Program Files (x86)\AstroGrep\AstroGrep.exe" /e /r /s /spath="%USERPROFILE%\AppData\Local\Temp\OnboardLogs" /stypes="app*4043*20170913*" /stext=" 22:.+((SYSTEM_STATE.+slice.+state.+changed )|(ment ac)|(multiple cpu faults)|(system.+state.+changed )|(\[timeout)|(PRM\|1\|D)|(kpr)|(kdp)|(train st.+moving)|(\|lc)|(penalty))"</v>
      </c>
      <c r="AG108" s="206" t="str">
        <f t="shared" si="40"/>
        <v>EC</v>
      </c>
      <c r="AH108" s="78" t="str">
        <f t="shared" si="41"/>
        <v>"%USERPROFILE%\Documents\GitHub\eaglep3\Utilities\RefineRTDCRunTimes.py" --tripid 194-13 --locoid 4043 --swversion DE.1.0.9.0 --startMP 204:232971 --initTime 2017-09-13T15:53:43 --startdatetime 2017-09-13T16:12:13 --delay 53 --endMP 204:154 --enddatetime 2017-09-13T16:49:09 --enforcementcount 0 &gt;&gt;C:\Users\stu\Documents\GitHub\eaglep3-reporting\EC\2017-09-13-refined-times.txt</v>
      </c>
      <c r="AI108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{"issue":{"subject":"","project_id":79,"tracker_id":40,"status_id":1,"priority_id":2,"assigned_to_id":338,"start_date":"2017-09-13","description":"","custom_fields":[{"id":1,"name":"Subdivision","value":"EC"},{"id":4,"name":"Milepost","value":"0.0154"},{"id":17,"name":"Train ID","value":"194-13"},{"id":16,"name":"Locomotive ID","value":"4043"},{"id":130,"name":"Impact","value":""},{"id":150,"name":"Time of Event (Mountain Time)","value":"16:49:09"},{"id":151,"name":"Denver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4043 --day 2017-09-13</v>
      </c>
      <c r="AN108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759</v>
      </c>
      <c r="B109" s="7">
        <v>4006</v>
      </c>
      <c r="C109" s="21" t="s">
        <v>197</v>
      </c>
      <c r="D109" s="21" t="s">
        <v>547</v>
      </c>
      <c r="E109" s="13">
        <v>42991.643182870372</v>
      </c>
      <c r="F109" s="13">
        <v>42991.646261574075</v>
      </c>
      <c r="G109" s="7">
        <v>92</v>
      </c>
      <c r="H109" s="21" t="s">
        <v>502</v>
      </c>
      <c r="I109" s="13">
        <v>42991.671018518522</v>
      </c>
      <c r="J109" s="7">
        <v>0</v>
      </c>
      <c r="K109" s="89" t="str">
        <f t="shared" si="29"/>
        <v>4005/4006</v>
      </c>
      <c r="L109" s="214" t="str">
        <f>VLOOKUP(A109,'Trips&amp;Operators'!$C$1:$G$99911,5,FALSE)</f>
        <v>LEVIN SCOTT</v>
      </c>
      <c r="M109" s="6">
        <f t="shared" si="30"/>
        <v>2.4756944447290152E-2</v>
      </c>
      <c r="N109" s="7">
        <f t="shared" si="45"/>
        <v>35.650000004097819</v>
      </c>
      <c r="O109" s="7"/>
      <c r="P109" s="7"/>
      <c r="Q109" s="22"/>
      <c r="R109" s="167"/>
      <c r="S109" s="210">
        <f t="shared" si="46"/>
        <v>1</v>
      </c>
      <c r="T109" s="192" t="str">
        <f t="shared" si="31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32"/>
        <v>https://d0f6bd738d7f1b3e5a7ca70fe4ff75f0.us-east-1.aws.found.io/app/kibana#/discover/Steve-Slow-Train-Analysis-(2080s-and-2083s)?_g=(refreshInterval:(display:Off,pause:!f,section:0,value:0),time:(from:'2017-09-13T14:26:11-0600',mode:absolute,to:'2017-09-13T17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194" t="str">
        <f>IF(AA109&lt;VLOOKUP(AG109,Variables!$AC$3:$AD$8,2,FALSE),"Y","N")</f>
        <v>N</v>
      </c>
      <c r="X109" s="194">
        <f t="shared" ref="X109:X140" si="47">VALUE(LEFT(AD109,4))-VALUE(LEFT(AD108,4))</f>
        <v>1</v>
      </c>
      <c r="Y109" s="194">
        <f t="shared" si="34"/>
        <v>4.3799999999999999E-2</v>
      </c>
      <c r="Z109" s="194">
        <f t="shared" si="35"/>
        <v>23.333400000000001</v>
      </c>
      <c r="AA109" s="194">
        <f t="shared" si="36"/>
        <v>23.2896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 t="shared" si="37"/>
        <v>195</v>
      </c>
      <c r="AE109" s="77" t="str">
        <f t="shared" si="38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09" s="74" t="str">
        <f t="shared" si="39"/>
        <v>"C:\Program Files (x86)\AstroGrep\AstroGrep.exe" /e /r /s /spath="%USERPROFILE%\AppData\Local\Temp\OnboardLogs" /stypes="app*4006*20170913*" /stext=" 22:.+((SYSTEM_STATE.+slice.+state.+changed )|(ment ac)|(multiple cpu faults)|(system.+state.+changed )|(\[timeout)|(PRM\|1\|D)|(kpr)|(kdp)|(train st.+moving)|(\|lc)|(penalty))"</v>
      </c>
      <c r="AG109" s="206" t="str">
        <f t="shared" si="40"/>
        <v>EC</v>
      </c>
      <c r="AH109" s="78" t="str">
        <f t="shared" si="41"/>
        <v>"%USERPROFILE%\Documents\GitHub\eaglep3\Utilities\RefineRTDCRunTimes.py" --tripid 195-13 --locoid 4006 --swversion DE.1.0.9.0 --startMP 204:438 --initTime 2017-09-13T15:26:11 --startdatetime 2017-09-13T15:30:37 --delay 92 --endMP 204:233334 --enddatetime 2017-09-13T16:06:16 --enforcementcount 0 &gt;&gt;C:\Users\stu\Documents\GitHub\eaglep3-reporting\EC\2017-09-13-refined-times.txt</v>
      </c>
      <c r="AI10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{"issue":{"subject":"","project_id":79,"tracker_id":40,"status_id":1,"priority_id":2,"assigned_to_id":338,"start_date":"2017-09-13","description":"","custom_fields":[{"id":1,"name":"Subdivision","value":"EC"},{"id":4,"name":"Milepost","value":"23.3334"},{"id":17,"name":"Train ID","value":"195-13"},{"id":16,"name":"Locomotive ID","value":"4006"},{"id":130,"name":"Impact","value":""},{"id":150,"name":"Time of Event (Mountain Time)","value":"16:06:16"},{"id":151,"name":"Denver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4006 --day 2017-09-13</v>
      </c>
      <c r="AN109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770</v>
      </c>
      <c r="B110" s="7">
        <v>4005</v>
      </c>
      <c r="C110" s="21" t="s">
        <v>197</v>
      </c>
      <c r="D110" s="21" t="s">
        <v>878</v>
      </c>
      <c r="E110" s="13">
        <v>42991.68136574074</v>
      </c>
      <c r="F110" s="13">
        <v>42991.685601851852</v>
      </c>
      <c r="G110" s="7">
        <v>73</v>
      </c>
      <c r="H110" s="21" t="s">
        <v>339</v>
      </c>
      <c r="I110" s="13">
        <v>42991.711145833331</v>
      </c>
      <c r="J110" s="7">
        <v>0</v>
      </c>
      <c r="K110" s="89" t="str">
        <f t="shared" si="29"/>
        <v>4005/4006</v>
      </c>
      <c r="L110" s="214" t="str">
        <f>VLOOKUP(A110,'Trips&amp;Operators'!$C$1:$G$99911,5,FALSE)</f>
        <v>LEVIN SCOTT</v>
      </c>
      <c r="M110" s="6">
        <f t="shared" si="30"/>
        <v>2.5543981479131617E-2</v>
      </c>
      <c r="N110" s="7">
        <f t="shared" si="45"/>
        <v>36.783333329949528</v>
      </c>
      <c r="O110" s="7"/>
      <c r="P110" s="7"/>
      <c r="Q110" s="22"/>
      <c r="R110" s="167"/>
      <c r="S110" s="210">
        <f t="shared" si="46"/>
        <v>1</v>
      </c>
      <c r="T110" s="192" t="str">
        <f t="shared" si="31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32"/>
        <v>https://d0f6bd738d7f1b3e5a7ca70fe4ff75f0.us-east-1.aws.found.io/app/kibana#/discover/Steve-Slow-Train-Analysis-(2080s-and-2083s)?_g=(refreshInterval:(display:Off,pause:!f,section:0,value:0),time:(from:'2017-09-13T15:21:10-0600',mode:absolute,to:'2017-09-13T18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194" t="str">
        <f>IF(AA110&lt;VLOOKUP(AG110,Variables!$AC$3:$AD$8,2,FALSE),"Y","N")</f>
        <v>N</v>
      </c>
      <c r="X110" s="194">
        <f t="shared" si="47"/>
        <v>1</v>
      </c>
      <c r="Y110" s="194">
        <f t="shared" si="34"/>
        <v>23.303999999999998</v>
      </c>
      <c r="Z110" s="194">
        <f t="shared" si="35"/>
        <v>1.49E-2</v>
      </c>
      <c r="AA110" s="194">
        <f t="shared" si="36"/>
        <v>23.289099999999998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 t="shared" si="37"/>
        <v>196</v>
      </c>
      <c r="AE110" s="77" t="str">
        <f t="shared" si="38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10" s="74" t="str">
        <f t="shared" si="39"/>
        <v>"C:\Program Files (x86)\AstroGrep\AstroGrep.exe" /e /r /s /spath="%USERPROFILE%\AppData\Local\Temp\OnboardLogs" /stypes="app*4005*20170913*" /stext=" 23:.+((SYSTEM_STATE.+slice.+state.+changed )|(ment ac)|(multiple cpu faults)|(system.+state.+changed )|(\[timeout)|(PRM\|1\|D)|(kpr)|(kdp)|(train st.+moving)|(\|lc)|(penalty))"</v>
      </c>
      <c r="AG110" s="206" t="str">
        <f t="shared" si="40"/>
        <v>EC</v>
      </c>
      <c r="AH110" s="78" t="str">
        <f t="shared" si="41"/>
        <v>"%USERPROFILE%\Documents\GitHub\eaglep3\Utilities\RefineRTDCRunTimes.py" --tripid 196-13 --locoid 4005 --swversion DE.1.0.9.0 --startMP 204:233040 --initTime 2017-09-13T16:21:10 --startdatetime 2017-09-13T16:27:16 --delay 73 --endMP 204:149 --enddatetime 2017-09-13T17:04:03 --enforcementcount 0 &gt;&gt;C:\Users\stu\Documents\GitHub\eaglep3-reporting\EC\2017-09-13-refined-times.txt</v>
      </c>
      <c r="AI11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{"issue":{"subject":"","project_id":79,"tracker_id":40,"status_id":1,"priority_id":2,"assigned_to_id":338,"start_date":"2017-09-13","description":"","custom_fields":[{"id":1,"name":"Subdivision","value":"EC"},{"id":4,"name":"Milepost","value":"0.0149"},{"id":17,"name":"Train ID","value":"196-13"},{"id":16,"name":"Locomotive ID","value":"4005"},{"id":130,"name":"Impact","value":""},{"id":150,"name":"Time of Event (Mountain Time)","value":"17:04:03"},{"id":151,"name":"Denver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4005 --day 2017-09-13</v>
      </c>
      <c r="AN110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762</v>
      </c>
      <c r="B111" s="7">
        <v>4010</v>
      </c>
      <c r="C111" s="21" t="s">
        <v>197</v>
      </c>
      <c r="D111" s="21" t="s">
        <v>443</v>
      </c>
      <c r="E111" s="13">
        <v>42991.651666666665</v>
      </c>
      <c r="F111" s="13">
        <v>42991.6565162037</v>
      </c>
      <c r="G111" s="7">
        <v>65</v>
      </c>
      <c r="H111" s="21" t="s">
        <v>458</v>
      </c>
      <c r="I111" s="13">
        <v>42991.68105324074</v>
      </c>
      <c r="J111" s="7">
        <v>0</v>
      </c>
      <c r="K111" s="89" t="str">
        <f t="shared" si="29"/>
        <v>4009/4010</v>
      </c>
      <c r="L111" s="214" t="str">
        <f>VLOOKUP(A111,'Trips&amp;Operators'!$C$1:$G$99911,5,FALSE)</f>
        <v>DELGADO DIANAH</v>
      </c>
      <c r="M111" s="6">
        <f t="shared" si="30"/>
        <v>2.453703703940846E-2</v>
      </c>
      <c r="N111" s="7">
        <f t="shared" si="45"/>
        <v>35.333333336748183</v>
      </c>
      <c r="O111" s="7"/>
      <c r="P111" s="7"/>
      <c r="Q111" s="22"/>
      <c r="R111" s="167"/>
      <c r="S111" s="210">
        <f t="shared" si="46"/>
        <v>1</v>
      </c>
      <c r="T111" s="192" t="str">
        <f t="shared" si="31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32"/>
        <v>https://d0f6bd738d7f1b3e5a7ca70fe4ff75f0.us-east-1.aws.found.io/app/kibana#/discover/Steve-Slow-Train-Analysis-(2080s-and-2083s)?_g=(refreshInterval:(display:Off,pause:!f,section:0,value:0),time:(from:'2017-09-13T14:38:24-0600',mode:absolute,to:'2017-09-13T17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4" t="str">
        <f>IF(AA111&lt;VLOOKUP(AG111,Variables!$AC$3:$AD$8,2,FALSE),"Y","N")</f>
        <v>N</v>
      </c>
      <c r="X111" s="194">
        <f t="shared" si="47"/>
        <v>1</v>
      </c>
      <c r="Y111" s="194">
        <f t="shared" si="34"/>
        <v>4.5100000000000001E-2</v>
      </c>
      <c r="Z111" s="194">
        <f t="shared" si="35"/>
        <v>23.331199999999999</v>
      </c>
      <c r="AA111" s="194">
        <f t="shared" si="36"/>
        <v>23.286099999999998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 t="shared" si="37"/>
        <v>197</v>
      </c>
      <c r="AE111" s="77" t="str">
        <f t="shared" si="38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111" s="74" t="str">
        <f t="shared" si="39"/>
        <v>"C:\Program Files (x86)\AstroGrep\AstroGrep.exe" /e /r /s /spath="%USERPROFILE%\AppData\Local\Temp\OnboardLogs" /stypes="app*4010*20170913*" /stext=" 22:.+((SYSTEM_STATE.+slice.+state.+changed )|(ment ac)|(multiple cpu faults)|(system.+state.+changed )|(\[timeout)|(PRM\|1\|D)|(kpr)|(kdp)|(train st.+moving)|(\|lc)|(penalty))"</v>
      </c>
      <c r="AG111" s="206" t="str">
        <f t="shared" si="40"/>
        <v>EC</v>
      </c>
      <c r="AH111" s="78" t="str">
        <f t="shared" si="41"/>
        <v>"%USERPROFILE%\Documents\GitHub\eaglep3\Utilities\RefineRTDCRunTimes.py" --tripid 197-13 --locoid 4010 --swversion DE.1.0.9.0 --startMP 204:451 --initTime 2017-09-13T15:38:24 --startdatetime 2017-09-13T15:45:23 --delay 65 --endMP 204:233312 --enddatetime 2017-09-13T16:20:43 --enforcementcount 0 &gt;&gt;C:\Users\stu\Documents\GitHub\eaglep3-reporting\EC\2017-09-13-refined-times.txt</v>
      </c>
      <c r="AI11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ID","value":"197-13"},{"id":16,"name":"Locomotive ID","value":"4010"},{"id":130,"name":"Impact","value":""},{"id":150,"name":"Time of Event (Mountain Time)","value":"16:20:43"},{"id":151,"name":"Denver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4010 --day 2017-09-13</v>
      </c>
      <c r="AN111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773</v>
      </c>
      <c r="B112" s="7">
        <v>4009</v>
      </c>
      <c r="C112" s="21" t="s">
        <v>197</v>
      </c>
      <c r="D112" s="21" t="s">
        <v>443</v>
      </c>
      <c r="E112" s="13">
        <v>42991.651666666665</v>
      </c>
      <c r="F112" s="13">
        <v>42991.69599537037</v>
      </c>
      <c r="G112" s="7">
        <v>65</v>
      </c>
      <c r="H112" s="21" t="s">
        <v>458</v>
      </c>
      <c r="I112" s="13">
        <v>42991.721192129633</v>
      </c>
      <c r="J112" s="7">
        <v>0</v>
      </c>
      <c r="K112" s="89" t="str">
        <f t="shared" si="29"/>
        <v>4009/4010</v>
      </c>
      <c r="L112" s="214" t="str">
        <f>VLOOKUP(A112,'Trips&amp;Operators'!$C$1:$G$99911,5,FALSE)</f>
        <v>DELGADO DIANAH</v>
      </c>
      <c r="M112" s="6">
        <f t="shared" si="30"/>
        <v>2.5196759263053536E-2</v>
      </c>
      <c r="N112" s="7">
        <f t="shared" si="45"/>
        <v>36.283333338797092</v>
      </c>
      <c r="O112" s="7"/>
      <c r="P112" s="7"/>
      <c r="Q112" s="22"/>
      <c r="R112" s="167"/>
      <c r="S112" s="210">
        <f t="shared" si="46"/>
        <v>1</v>
      </c>
      <c r="T112" s="192" t="str">
        <f t="shared" si="31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32"/>
        <v>https://d0f6bd738d7f1b3e5a7ca70fe4ff75f0.us-east-1.aws.found.io/app/kibana#/discover/Steve-Slow-Train-Analysis-(2080s-and-2083s)?_g=(refreshInterval:(display:Off,pause:!f,section:0,value:0),time:(from:'2017-09-13T14:38:24-0600',mode:absolute,to:'2017-09-13T18:18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4" t="str">
        <f>IF(AA112&lt;VLOOKUP(AG112,Variables!$AC$3:$AD$8,2,FALSE),"Y","N")</f>
        <v>N</v>
      </c>
      <c r="X112" s="194">
        <f t="shared" si="47"/>
        <v>1</v>
      </c>
      <c r="Y112" s="194">
        <v>23.303999999999998</v>
      </c>
      <c r="Z112" s="194">
        <v>1.49E-2</v>
      </c>
      <c r="AA112" s="194">
        <f t="shared" si="36"/>
        <v>23.289099999999998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 t="shared" si="37"/>
        <v>198</v>
      </c>
      <c r="AE112" s="77" t="str">
        <f t="shared" si="38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112" s="74" t="str">
        <f t="shared" si="39"/>
        <v>"C:\Program Files (x86)\AstroGrep\AstroGrep.exe" /e /r /s /spath="%USERPROFILE%\AppData\Local\Temp\OnboardLogs" /stypes="app*4009*20170913*" /stext=" 23:.+((SYSTEM_STATE.+slice.+state.+changed )|(ment ac)|(multiple cpu faults)|(system.+state.+changed )|(\[timeout)|(PRM\|1\|D)|(kpr)|(kdp)|(train st.+moving)|(\|lc)|(penalty))"</v>
      </c>
      <c r="AG112" s="206" t="str">
        <f t="shared" si="40"/>
        <v>EC</v>
      </c>
      <c r="AH112" s="78" t="str">
        <f t="shared" ref="AH112" si="48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198-13 --locoid 4009 --swversion DE.1.0.9.0 --startMP 204:451 --initTime 2017-09-13T15:38:24 --startdatetime 2017-09-13T16:42:14 --delay 65 --endMP 204:233312 --enddatetime 2017-09-13T17:18:31 --enforcementcount 0 &gt;&gt;C:\Users\stu\Documents\GitHub\eaglep3-reporting\EC\2017-09-13-refined-times.txt</v>
      </c>
      <c r="AI112" s="96" t="str">
        <f t="shared" ref="AI112" si="49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{"issue":{"subject":"","project_id":79,"tracker_id":40,"status_id":1,"priority_id":2,"assigned_to_id":338,"start_date":"2017-09-13","description":"","custom_fields":[{"id":1,"name":"Subdivision","value":"EC"},{"id":4,"name":"Milepost","value":"0.0149"},{"id":17,"name":"Train ID","value":"198-13"},{"id":16,"name":"Locomotive ID","value":"4009"},{"id":130,"name":"Impact","value":""},{"id":150,"name":"Time of Event (Mountain Time)","value":"17:18:31"},{"id":151,"name":"Denver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ref="AM112" si="50">"start /low /b "&amp;dls3logs&amp;" --loco "&amp;B112&amp;" --day "&amp;TEXT(F112,"YYYY-MM-DD")</f>
        <v>start /low /b %USERPROFILE%\Documents\GitHub\eaglep3\Utilities\DownloadLogsFromS3.py --loco 4009 --day 2017-09-13</v>
      </c>
      <c r="AN112" s="151" t="str">
        <f t="shared" ref="AN112" si="51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23:18:31"},{"id":29,"name":"Sharepoint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3" spans="1:91" s="20" customFormat="1" x14ac:dyDescent="0.25">
      <c r="A113" s="32" t="s">
        <v>766</v>
      </c>
      <c r="B113" s="7">
        <v>4020</v>
      </c>
      <c r="C113" s="21" t="s">
        <v>197</v>
      </c>
      <c r="D113" s="21" t="s">
        <v>350</v>
      </c>
      <c r="E113" s="13">
        <v>42991.662557870368</v>
      </c>
      <c r="F113" s="13">
        <v>42991.666979166665</v>
      </c>
      <c r="G113" s="7">
        <v>61</v>
      </c>
      <c r="H113" s="21" t="s">
        <v>879</v>
      </c>
      <c r="I113" s="13">
        <v>42991.69263888889</v>
      </c>
      <c r="J113" s="7">
        <v>0</v>
      </c>
      <c r="K113" s="89" t="str">
        <f t="shared" si="29"/>
        <v>4019/4020</v>
      </c>
      <c r="L113" s="214" t="str">
        <f>VLOOKUP(A113,'Trips&amp;Operators'!$C$1:$G$99911,5,FALSE)</f>
        <v>DAVIS MICHAEL</v>
      </c>
      <c r="M113" s="6">
        <f t="shared" si="30"/>
        <v>2.5659722225100268E-2</v>
      </c>
      <c r="N113" s="7">
        <f t="shared" si="45"/>
        <v>36.950000004144385</v>
      </c>
      <c r="O113" s="7"/>
      <c r="P113" s="7"/>
      <c r="Q113" s="22"/>
      <c r="R113" s="167"/>
      <c r="S113" s="210">
        <f t="shared" si="46"/>
        <v>1</v>
      </c>
      <c r="T113" s="192" t="str">
        <f t="shared" si="31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32"/>
        <v>https://d0f6bd738d7f1b3e5a7ca70fe4ff75f0.us-east-1.aws.found.io/app/kibana#/discover/Steve-Slow-Train-Analysis-(2080s-and-2083s)?_g=(refreshInterval:(display:Off,pause:!f,section:0,value:0),time:(from:'2017-09-13T14:54:05-0600',mode:absolute,to:'2017-09-13T17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3" s="194" t="str">
        <f>IF(AA113&lt;VLOOKUP(AG113,Variables!$AC$3:$AD$8,2,FALSE),"Y","N")</f>
        <v>N</v>
      </c>
      <c r="X113" s="194">
        <f t="shared" si="47"/>
        <v>1</v>
      </c>
      <c r="Y113" s="194">
        <f t="shared" ref="Y113:Y132" si="52">RIGHT(D113,LEN(D113)-4)/10000</f>
        <v>4.5499999999999999E-2</v>
      </c>
      <c r="Z113" s="194">
        <f t="shared" ref="Z113:Z132" si="53">RIGHT(H113,LEN(H113)-4)/10000</f>
        <v>23.339700000000001</v>
      </c>
      <c r="AA113" s="194">
        <f t="shared" si="36"/>
        <v>23.2942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 t="shared" si="37"/>
        <v>199</v>
      </c>
      <c r="AE113" s="77" t="str">
        <f t="shared" si="38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13" s="74" t="str">
        <f t="shared" si="39"/>
        <v>"C:\Program Files (x86)\AstroGrep\AstroGrep.exe" /e /r /s /spath="%USERPROFILE%\AppData\Local\Temp\OnboardLogs" /stypes="app*4020*20170913*" /stext=" 22:.+((SYSTEM_STATE.+slice.+state.+changed )|(ment ac)|(multiple cpu faults)|(system.+state.+changed )|(\[timeout)|(PRM\|1\|D)|(kpr)|(kdp)|(train st.+moving)|(\|lc)|(penalty))"</v>
      </c>
      <c r="AG113" s="206" t="str">
        <f t="shared" si="40"/>
        <v>EC</v>
      </c>
      <c r="AH113" s="78" t="str">
        <f t="shared" si="41"/>
        <v>"%USERPROFILE%\Documents\GitHub\eaglep3\Utilities\RefineRTDCRunTimes.py" --tripid 199-13 --locoid 4020 --swversion DE.1.0.9.0 --startMP 204:455 --initTime 2017-09-13T15:54:05 --startdatetime 2017-09-13T16:00:27 --delay 61 --endMP 204:233397 --enddatetime 2017-09-13T16:37:24 --enforcementcount 0 &gt;&gt;C:\Users\stu\Documents\GitHub\eaglep3-reporting\EC\2017-09-13-refined-times.txt</v>
      </c>
      <c r="AI11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{"issue":{"subject":"","project_id":79,"tracker_id":40,"status_id":1,"priority_id":2,"assigned_to_id":338,"start_date":"2017-09-13","description":"","custom_fields":[{"id":1,"name":"Subdivision","value":"EC"},{"id":4,"name":"Milepost","value":"23.3397"},{"id":17,"name":"Train ID","value":"199-13"},{"id":16,"name":"Locomotive ID","value":"4020"},{"id":130,"name":"Impact","value":""},{"id":150,"name":"Time of Event (Mountain Time)","value":"16:37:24"},{"id":151,"name":"Denver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4020 --day 2017-09-13</v>
      </c>
      <c r="AN113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778</v>
      </c>
      <c r="B114" s="7">
        <v>4019</v>
      </c>
      <c r="C114" s="21" t="s">
        <v>197</v>
      </c>
      <c r="D114" s="21" t="s">
        <v>880</v>
      </c>
      <c r="E114" s="13">
        <v>42991.703923611109</v>
      </c>
      <c r="F114" s="13">
        <v>42991.706620370373</v>
      </c>
      <c r="G114" s="7">
        <v>55</v>
      </c>
      <c r="H114" s="21" t="s">
        <v>366</v>
      </c>
      <c r="I114" s="13">
        <v>42991.733657407407</v>
      </c>
      <c r="J114" s="7">
        <v>0</v>
      </c>
      <c r="K114" s="89" t="str">
        <f t="shared" si="29"/>
        <v>4019/4020</v>
      </c>
      <c r="L114" s="214" t="str">
        <f>VLOOKUP(A114,'Trips&amp;Operators'!$C$1:$G$99911,5,FALSE)</f>
        <v>DAVIS MICHAEL</v>
      </c>
      <c r="M114" s="6">
        <f t="shared" si="30"/>
        <v>2.7037037034460809E-2</v>
      </c>
      <c r="N114" s="7">
        <f t="shared" si="45"/>
        <v>38.933333329623565</v>
      </c>
      <c r="O114" s="7"/>
      <c r="P114" s="7"/>
      <c r="Q114" s="22"/>
      <c r="R114" s="167" t="s">
        <v>1010</v>
      </c>
      <c r="S114" s="210">
        <f t="shared" si="46"/>
        <v>1</v>
      </c>
      <c r="T114" s="192" t="str">
        <f t="shared" si="31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32"/>
        <v>https://d0f6bd738d7f1b3e5a7ca70fe4ff75f0.us-east-1.aws.found.io/app/kibana#/discover/Steve-Slow-Train-Analysis-(2080s-and-2083s)?_g=(refreshInterval:(display:Off,pause:!f,section:0,value:0),time:(from:'2017-09-13T15:53:39-0600',mode:absolute,to:'2017-09-13T18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194" t="str">
        <f>IF(AA114&lt;VLOOKUP(AG114,Variables!$AC$3:$AD$8,2,FALSE),"Y","N")</f>
        <v>N</v>
      </c>
      <c r="X114" s="194">
        <f t="shared" si="47"/>
        <v>1</v>
      </c>
      <c r="Y114" s="194">
        <f t="shared" si="52"/>
        <v>23.303000000000001</v>
      </c>
      <c r="Z114" s="194">
        <f t="shared" si="53"/>
        <v>1.4500000000000001E-2</v>
      </c>
      <c r="AA114" s="194">
        <f t="shared" si="36"/>
        <v>23.288499999999999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 t="shared" si="37"/>
        <v>200</v>
      </c>
      <c r="AE114" s="77" t="str">
        <f t="shared" si="38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14" s="74" t="str">
        <f t="shared" si="39"/>
        <v>"C:\Program Files (x86)\AstroGrep\AstroGrep.exe" /e /r /s /spath="%USERPROFILE%\AppData\Local\Temp\OnboardLogs" /stypes="app*4019*20170913*" /stext=" 23:.+((SYSTEM_STATE.+slice.+state.+changed )|(ment ac)|(multiple cpu faults)|(system.+state.+changed )|(\[timeout)|(PRM\|1\|D)|(kpr)|(kdp)|(train st.+moving)|(\|lc)|(penalty))"</v>
      </c>
      <c r="AG114" s="206" t="str">
        <f t="shared" si="40"/>
        <v>EC</v>
      </c>
      <c r="AH114" s="78" t="str">
        <f t="shared" si="41"/>
        <v>"%USERPROFILE%\Documents\GitHub\eaglep3\Utilities\RefineRTDCRunTimes.py" --tripid 200-13 --locoid 4019 --swversion DE.1.0.9.0 --startMP 204:233030 --initTime 2017-09-13T16:53:39 --startdatetime 2017-09-13T16:57:32 --delay 55 --endMP 204:145 --enddatetime 2017-09-13T17:36:28 --enforcementcount 0 &gt;&gt;C:\Users\stu\Documents\GitHub\eaglep3-reporting\EC\2017-09-13-refined-times.txt</v>
      </c>
      <c r="AI114" s="96" t="str">
        <f t="shared" si="42"/>
        <v>echo {"issue":{"subject":"Unhealthy banner @ Chambers due to train stop","project_id":79,"tracker_id":40,"status_id":1,"priority_id":2,"assigned_to_id":338,"start_date":"2017-09-13","description":"","custom_fields":[{"id":1,"name":"Subdivision","value":"EC"},{"id":4,"name":"Milepost","value":"0.0145"},{"id":17,"name":"Train ID","value":"200-13"},{"id":16,"name":"Locomotive ID","value":"4019"},{"id":130,"name":"Impact","value":""},{"id":150,"name":"Time of Event (Mountain Time)","value":"17:36:28"},{"id":151,"name":"Denver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4019 --day 2017-09-13</v>
      </c>
      <c r="AN114" s="151" t="str">
        <f t="shared" si="44"/>
        <v>echo {"issue":{"subject":"Unhealthy banner @ Chambers due to train stop","project_id":30,"tracker_id":4,"status_id":1,"priority_id":1,"assigned_to_id":10,"start_date":"2017-09-13","description":"","custom_fields":[{"id":30,"name":"Category","value":"Issue"},{"id":3,"name":"Functional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769</v>
      </c>
      <c r="B115" s="7">
        <v>4056</v>
      </c>
      <c r="C115" s="21" t="s">
        <v>197</v>
      </c>
      <c r="D115" s="21" t="s">
        <v>404</v>
      </c>
      <c r="E115" s="13">
        <v>42991.673495370371</v>
      </c>
      <c r="F115" s="13">
        <v>42991.677314814813</v>
      </c>
      <c r="G115" s="7">
        <v>79</v>
      </c>
      <c r="H115" s="21" t="s">
        <v>881</v>
      </c>
      <c r="I115" s="13">
        <v>42991.703483796293</v>
      </c>
      <c r="J115" s="7">
        <v>0</v>
      </c>
      <c r="K115" s="89" t="str">
        <f t="shared" si="29"/>
        <v>4055/4056</v>
      </c>
      <c r="L115" s="214" t="str">
        <f>VLOOKUP(A115,'Trips&amp;Operators'!$C$1:$G$99911,5,FALSE)</f>
        <v>ZEWDU DEREJE</v>
      </c>
      <c r="M115" s="6">
        <f t="shared" si="30"/>
        <v>2.6168981479713693E-2</v>
      </c>
      <c r="N115" s="7">
        <f t="shared" si="45"/>
        <v>37.683333330787718</v>
      </c>
      <c r="O115" s="7"/>
      <c r="P115" s="7"/>
      <c r="Q115" s="22"/>
      <c r="R115" s="167"/>
      <c r="S115" s="210">
        <f t="shared" si="46"/>
        <v>1</v>
      </c>
      <c r="T115" s="192" t="str">
        <f t="shared" si="31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32"/>
        <v>https://d0f6bd738d7f1b3e5a7ca70fe4ff75f0.us-east-1.aws.found.io/app/kibana#/discover/Steve-Slow-Train-Analysis-(2080s-and-2083s)?_g=(refreshInterval:(display:Off,pause:!f,section:0,value:0),time:(from:'2017-09-13T15:09:50-0600',mode:absolute,to:'2017-09-13T17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4" t="str">
        <f>IF(AA115&lt;VLOOKUP(AG115,Variables!$AC$3:$AD$8,2,FALSE),"Y","N")</f>
        <v>N</v>
      </c>
      <c r="X115" s="194">
        <f t="shared" si="47"/>
        <v>1</v>
      </c>
      <c r="Y115" s="194">
        <f t="shared" si="52"/>
        <v>4.3999999999999997E-2</v>
      </c>
      <c r="Z115" s="194">
        <f t="shared" si="53"/>
        <v>23.332999999999998</v>
      </c>
      <c r="AA115" s="194">
        <f t="shared" si="36"/>
        <v>23.288999999999998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 t="shared" si="37"/>
        <v>201</v>
      </c>
      <c r="AE115" s="77" t="str">
        <f t="shared" si="38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115" s="74" t="str">
        <f t="shared" si="39"/>
        <v>"C:\Program Files (x86)\AstroGrep\AstroGrep.exe" /e /r /s /spath="%USERPROFILE%\AppData\Local\Temp\OnboardLogs" /stypes="app*4056*20170913*" /stext=" 22:.+((SYSTEM_STATE.+slice.+state.+changed )|(ment ac)|(multiple cpu faults)|(system.+state.+changed )|(\[timeout)|(PRM\|1\|D)|(kpr)|(kdp)|(train st.+moving)|(\|lc)|(penalty))"</v>
      </c>
      <c r="AG115" s="206" t="str">
        <f t="shared" si="40"/>
        <v>EC</v>
      </c>
      <c r="AH115" s="78" t="str">
        <f t="shared" si="41"/>
        <v>"%USERPROFILE%\Documents\GitHub\eaglep3\Utilities\RefineRTDCRunTimes.py" --tripid 201-13 --locoid 4056 --swversion DE.1.0.9.0 --startMP 204:440 --initTime 2017-09-13T16:09:50 --startdatetime 2017-09-13T16:15:20 --delay 79 --endMP 204:233330 --enddatetime 2017-09-13T16:53:01 --enforcementcount 0 &gt;&gt;C:\Users\stu\Documents\GitHub\eaglep3-reporting\EC\2017-09-13-refined-times.txt</v>
      </c>
      <c r="AI11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{"issue":{"subject":"","project_id":79,"tracker_id":40,"status_id":1,"priority_id":2,"assigned_to_id":338,"start_date":"2017-09-13","description":"","custom_fields":[{"id":1,"name":"Subdivision","value":"EC"},{"id":4,"name":"Milepost","value":"23.333"},{"id":17,"name":"Train ID","value":"201-13"},{"id":16,"name":"Locomotive ID","value":"4056"},{"id":130,"name":"Impact","value":""},{"id":150,"name":"Time of Event (Mountain Time)","value":"16:53:01"},{"id":151,"name":"Denver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4056 --day 2017-09-13</v>
      </c>
      <c r="AN115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4055</v>
      </c>
      <c r="C116" s="21" t="s">
        <v>197</v>
      </c>
      <c r="D116" s="21" t="s">
        <v>534</v>
      </c>
      <c r="E116" s="13">
        <v>42991.712696759256</v>
      </c>
      <c r="F116" s="13">
        <v>42991.716851851852</v>
      </c>
      <c r="G116" s="7">
        <v>98</v>
      </c>
      <c r="H116" s="21" t="s">
        <v>343</v>
      </c>
      <c r="I116" s="13">
        <v>42991.742743055554</v>
      </c>
      <c r="J116" s="7">
        <v>0</v>
      </c>
      <c r="K116" s="89" t="str">
        <f t="shared" si="29"/>
        <v>4055/4056</v>
      </c>
      <c r="L116" s="214" t="str">
        <f>VLOOKUP(A116,'Trips&amp;Operators'!$C$1:$G$99911,5,FALSE)</f>
        <v>ZEWDU DEREJE</v>
      </c>
      <c r="M116" s="6">
        <f t="shared" si="30"/>
        <v>2.5891203702485655E-2</v>
      </c>
      <c r="N116" s="7">
        <f t="shared" si="45"/>
        <v>37.283333331579342</v>
      </c>
      <c r="O116" s="7"/>
      <c r="P116" s="7"/>
      <c r="Q116" s="22"/>
      <c r="R116" s="167"/>
      <c r="S116" s="210">
        <f t="shared" si="46"/>
        <v>1</v>
      </c>
      <c r="T116" s="192" t="str">
        <f t="shared" si="31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32"/>
        <v>https://d0f6bd738d7f1b3e5a7ca70fe4ff75f0.us-east-1.aws.found.io/app/kibana#/discover/Steve-Slow-Train-Analysis-(2080s-and-2083s)?_g=(refreshInterval:(display:Off,pause:!f,section:0,value:0),time:(from:'2017-09-13T16:06:17-0600',mode:absolute,to:'2017-09-13T18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4" t="str">
        <f>IF(AA116&lt;VLOOKUP(AG116,Variables!$AC$3:$AD$8,2,FALSE),"Y","N")</f>
        <v>N</v>
      </c>
      <c r="X116" s="194">
        <f t="shared" si="47"/>
        <v>1</v>
      </c>
      <c r="Y116" s="194">
        <f t="shared" si="52"/>
        <v>23.3017</v>
      </c>
      <c r="Z116" s="194">
        <f t="shared" si="53"/>
        <v>1.47E-2</v>
      </c>
      <c r="AA116" s="194">
        <f t="shared" si="36"/>
        <v>23.286999999999999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 t="shared" si="37"/>
        <v>202</v>
      </c>
      <c r="AE116" s="77" t="str">
        <f t="shared" si="38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116" s="74" t="str">
        <f t="shared" si="39"/>
        <v>"C:\Program Files (x86)\AstroGrep\AstroGrep.exe" /e /r /s /spath="%USERPROFILE%\AppData\Local\Temp\OnboardLogs" /stypes="app*4055*20170913*" /stext=" 23:.+((SYSTEM_STATE.+slice.+state.+changed )|(ment ac)|(multiple cpu faults)|(system.+state.+changed )|(\[timeout)|(PRM\|1\|D)|(kpr)|(kdp)|(train st.+moving)|(\|lc)|(penalty))"</v>
      </c>
      <c r="AG116" s="206" t="str">
        <f t="shared" si="40"/>
        <v>EC</v>
      </c>
      <c r="AH116" s="78" t="str">
        <f t="shared" si="41"/>
        <v>"%USERPROFILE%\Documents\GitHub\eaglep3\Utilities\RefineRTDCRunTimes.py" --tripid 202-13 --locoid 4055 --swversion DE.1.0.9.0 --startMP 204:233017 --initTime 2017-09-13T17:06:17 --startdatetime 2017-09-13T17:12:16 --delay 98 --endMP 204:147 --enddatetime 2017-09-13T17:49:33 --enforcementcount 0 &gt;&gt;C:\Users\stu\Documents\GitHub\eaglep3-reporting\EC\2017-09-13-refined-times.txt</v>
      </c>
      <c r="AI11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ID","value":"202-13"},{"id":16,"name":"Locomotive ID","value":"4055"},{"id":130,"name":"Impact","value":""},{"id":150,"name":"Time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4055 --day 2017-09-13</v>
      </c>
      <c r="AN116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771</v>
      </c>
      <c r="B117" s="7">
        <v>4028</v>
      </c>
      <c r="C117" s="21" t="s">
        <v>197</v>
      </c>
      <c r="D117" s="21" t="s">
        <v>882</v>
      </c>
      <c r="E117" s="13">
        <v>42991.682673611111</v>
      </c>
      <c r="F117" s="13">
        <v>42991.687743055554</v>
      </c>
      <c r="G117" s="7">
        <v>71</v>
      </c>
      <c r="H117" s="21" t="s">
        <v>391</v>
      </c>
      <c r="I117" s="13">
        <v>42991.712025462963</v>
      </c>
      <c r="J117" s="7">
        <v>0</v>
      </c>
      <c r="K117" s="89" t="str">
        <f t="shared" si="29"/>
        <v>4027/4028</v>
      </c>
      <c r="L117" s="214" t="str">
        <f>VLOOKUP(A117,'Trips&amp;Operators'!$C$1:$G$99911,5,FALSE)</f>
        <v>BRUDER RICHARD</v>
      </c>
      <c r="M117" s="6">
        <f t="shared" si="30"/>
        <v>2.4282407408463769E-2</v>
      </c>
      <c r="N117" s="7">
        <f t="shared" si="45"/>
        <v>34.966666668187827</v>
      </c>
      <c r="O117" s="7"/>
      <c r="P117" s="7"/>
      <c r="Q117" s="22"/>
      <c r="R117" s="167"/>
      <c r="S117" s="210">
        <f t="shared" si="46"/>
        <v>1</v>
      </c>
      <c r="T117" s="192" t="str">
        <f t="shared" si="31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32"/>
        <v>https://d0f6bd738d7f1b3e5a7ca70fe4ff75f0.us-east-1.aws.found.io/app/kibana#/discover/Steve-Slow-Train-Analysis-(2080s-and-2083s)?_g=(refreshInterval:(display:Off,pause:!f,section:0,value:0),time:(from:'2017-09-13T15:23:03-0600',mode:absolute,to:'2017-09-13T18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4" t="str">
        <f>IF(AA117&lt;VLOOKUP(AG117,Variables!$AC$3:$AD$8,2,FALSE),"Y","N")</f>
        <v>N</v>
      </c>
      <c r="X117" s="194">
        <f t="shared" si="47"/>
        <v>1</v>
      </c>
      <c r="Y117" s="194">
        <f t="shared" si="52"/>
        <v>4.7300000000000002E-2</v>
      </c>
      <c r="Z117" s="194">
        <f t="shared" si="53"/>
        <v>23.331399999999999</v>
      </c>
      <c r="AA117" s="194">
        <f t="shared" si="36"/>
        <v>23.284099999999999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 t="shared" si="37"/>
        <v>203</v>
      </c>
      <c r="AE117" s="77" t="str">
        <f t="shared" si="38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17" s="74" t="str">
        <f t="shared" si="39"/>
        <v>"C:\Program Files (x86)\AstroGrep\AstroGrep.exe" /e /r /s /spath="%USERPROFILE%\AppData\Local\Temp\OnboardLogs" /stypes="app*4028*20170913*" /stext=" 23:.+((SYSTEM_STATE.+slice.+state.+changed )|(ment ac)|(multiple cpu faults)|(system.+state.+changed )|(\[timeout)|(PRM\|1\|D)|(kpr)|(kdp)|(train st.+moving)|(\|lc)|(penalty))"</v>
      </c>
      <c r="AG117" s="206" t="str">
        <f t="shared" si="40"/>
        <v>EC</v>
      </c>
      <c r="AH117" s="78" t="str">
        <f t="shared" si="41"/>
        <v>"%USERPROFILE%\Documents\GitHub\eaglep3\Utilities\RefineRTDCRunTimes.py" --tripid 203-13 --locoid 4028 --swversion DE.1.0.9.0 --startMP 204:473 --initTime 2017-09-13T16:23:03 --startdatetime 2017-09-13T16:30:21 --delay 71 --endMP 204:233314 --enddatetime 2017-09-13T17:05:19 --enforcementcount 0 &gt;&gt;C:\Users\stu\Documents\GitHub\eaglep3-reporting\EC\2017-09-13-refined-times.txt</v>
      </c>
      <c r="AI11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{"issue":{"subject":"","project_id":79,"tracker_id":40,"status_id":1,"priority_id":2,"assigned_to_id":338,"start_date":"2017-09-13","description":"","custom_fields":[{"id":1,"name":"Subdivision","value":"EC"},{"id":4,"name":"Milepost","value":"23.3314"},{"id":17,"name":"Train ID","value":"203-13"},{"id":16,"name":"Locomotive ID","value":"4028"},{"id":130,"name":"Impact","value":""},{"id":150,"name":"Time of Event (Mountain Time)","value":"17:05:19"},{"id":151,"name":"Denver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4028 --day 2017-09-13</v>
      </c>
      <c r="AN117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786</v>
      </c>
      <c r="B118" s="7">
        <v>4027</v>
      </c>
      <c r="C118" s="21" t="s">
        <v>197</v>
      </c>
      <c r="D118" s="21" t="s">
        <v>442</v>
      </c>
      <c r="E118" s="13">
        <v>42991.724768518521</v>
      </c>
      <c r="F118" s="13">
        <v>42991.742291666669</v>
      </c>
      <c r="G118" s="7">
        <v>72</v>
      </c>
      <c r="H118" s="21" t="s">
        <v>883</v>
      </c>
      <c r="I118" s="13">
        <v>42991.758611111109</v>
      </c>
      <c r="J118" s="7">
        <v>0</v>
      </c>
      <c r="K118" s="89" t="str">
        <f t="shared" si="29"/>
        <v>4027/4028</v>
      </c>
      <c r="L118" s="214" t="str">
        <f>VLOOKUP(A118,'Trips&amp;Operators'!$C$1:$G$99911,5,FALSE)</f>
        <v>BRUDER RICHARD</v>
      </c>
      <c r="M118" s="6">
        <f t="shared" si="30"/>
        <v>1.6319444439432118E-2</v>
      </c>
      <c r="N118" s="7"/>
      <c r="O118" s="7"/>
      <c r="P118" s="7">
        <f>24*60*SUM($M118:$M118)</f>
        <v>23.49999999278225</v>
      </c>
      <c r="Q118" s="22"/>
      <c r="R118" s="167" t="s">
        <v>1008</v>
      </c>
      <c r="S118" s="210">
        <f>1/IF(AG118="EC",12,1)*SUM(U118:U119)</f>
        <v>1</v>
      </c>
      <c r="T118" s="192" t="str">
        <f t="shared" si="31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0</v>
      </c>
      <c r="V118" s="193" t="str">
        <f t="shared" si="32"/>
        <v>https://d0f6bd738d7f1b3e5a7ca70fe4ff75f0.us-east-1.aws.found.io/app/kibana#/discover/Steve-Slow-Train-Analysis-(2080s-and-2083s)?_g=(refreshInterval:(display:Off,pause:!f,section:0,value:0),time:(from:'2017-09-13T16:23:40-0600',mode:absolute,to:'2017-09-13T19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4" t="str">
        <f>IF(AA118&lt;VLOOKUP(AG118,Variables!$AC$3:$AD$8,2,FALSE),"Y","N")</f>
        <v>Y</v>
      </c>
      <c r="X118" s="194">
        <f t="shared" si="47"/>
        <v>1</v>
      </c>
      <c r="Y118" s="194">
        <f t="shared" si="52"/>
        <v>23.299600000000002</v>
      </c>
      <c r="Z118" s="194">
        <f t="shared" si="53"/>
        <v>22.857800000000001</v>
      </c>
      <c r="AA118" s="194">
        <f t="shared" si="36"/>
        <v>0.44180000000000064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 t="shared" si="37"/>
        <v>204</v>
      </c>
      <c r="AE118" s="77" t="str">
        <f t="shared" si="38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18" s="74" t="str">
        <f t="shared" si="39"/>
        <v>"C:\Program Files (x86)\AstroGrep\AstroGrep.exe" /e /r /s /spath="%USERPROFILE%\AppData\Local\Temp\OnboardLogs" /stypes="app*4027*20170914*" /stext=" 00:.+((SYSTEM_STATE.+slice.+state.+changed )|(ment ac)|(multiple cpu faults)|(system.+state.+changed )|(\[timeout)|(PRM\|1\|D)|(kpr)|(kdp)|(train st.+moving)|(\|lc)|(penalty))"</v>
      </c>
      <c r="AG118" s="206" t="str">
        <f t="shared" si="40"/>
        <v>EC</v>
      </c>
      <c r="AH118" s="78" t="str">
        <f t="shared" si="41"/>
        <v>"%USERPROFILE%\Documents\GitHub\eaglep3\Utilities\RefineRTDCRunTimes.py" --tripid 204-13 --locoid 4027 --swversion DE.1.0.9.0 --startMP 204:232996 --initTime 2017-09-13T17:23:40 --startdatetime 2017-09-13T17:48:54 --delay 72 --endMP 204:228578 --enddatetime 2017-09-13T18:12:24 --enforcementcount 0 &gt;&gt;C:\Users\stu\Documents\GitHub\eaglep3-reporting\EC\2017-09-13-refined-times.txt</v>
      </c>
      <c r="AI118" s="96" t="str">
        <f t="shared" si="42"/>
        <v>echo {"issue":{"subject":"Onboard in-route failure","project_id":79,"tracker_id":40,"status_id":1,"priority_id":2,"assigned_to_id":338,"start_date":"2017-09-13","description":"","custom_fields":[{"id":1,"name":"Subdivision","value":"EC"},{"id":4,"name":"Milepost","value":"22.8578"},{"id":17,"name":"Train ID","value":"204-13"},{"id":16,"name":"Locomotive ID","value":"4027"},{"id":130,"name":"Impact","value":""},{"id":150,"name":"Time of Event (Mountain Time)","value":"18:12:24"},{"id":151,"name":"Denver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4027 --day 2017-09-13</v>
      </c>
      <c r="AN118" s="151" t="str">
        <f t="shared" si="44"/>
        <v>echo {"issue":{"subject":"Onboard in-route failure","project_id":30,"tracker_id":4,"status_id":1,"priority_id":1,"assigned_to_id":10,"start_date":"2017-09-14","description":"","custom_fields":[{"id":30,"name":"Category","value":"Issue"},{"id":3,"name":"Functional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786</v>
      </c>
      <c r="B119" s="7">
        <v>4027</v>
      </c>
      <c r="C119" s="21" t="s">
        <v>197</v>
      </c>
      <c r="D119" s="21" t="s">
        <v>884</v>
      </c>
      <c r="E119" s="13">
        <v>42991.740879629629</v>
      </c>
      <c r="F119" s="13">
        <v>42991.742291666669</v>
      </c>
      <c r="G119" s="7">
        <v>68</v>
      </c>
      <c r="H119" s="21" t="s">
        <v>343</v>
      </c>
      <c r="I119" s="13">
        <v>42991.758611111109</v>
      </c>
      <c r="J119" s="7">
        <v>0</v>
      </c>
      <c r="K119" s="89" t="str">
        <f t="shared" si="29"/>
        <v>4027/4028</v>
      </c>
      <c r="L119" s="214" t="str">
        <f>VLOOKUP(A119,'Trips&amp;Operators'!$C$1:$G$99911,5,FALSE)</f>
        <v>BRUDER RICHARD</v>
      </c>
      <c r="M119" s="6">
        <f t="shared" si="30"/>
        <v>1.6319444439432118E-2</v>
      </c>
      <c r="N119" s="7"/>
      <c r="O119" s="7"/>
      <c r="P119" s="7"/>
      <c r="Q119" s="22"/>
      <c r="R119" s="167"/>
      <c r="S119" s="210"/>
      <c r="T119" s="192" t="str">
        <f t="shared" si="31"/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32"/>
        <v>https://d0f6bd738d7f1b3e5a7ca70fe4ff75f0.us-east-1.aws.found.io/app/kibana#/discover/Steve-Slow-Train-Analysis-(2080s-and-2083s)?_g=(refreshInterval:(display:Off,pause:!f,section:0,value:0),time:(from:'2017-09-13T16:46:52-0600',mode:absolute,to:'2017-09-13T19:12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9" s="194" t="str">
        <f>IF(AA119&lt;VLOOKUP(AG119,Variables!$AC$3:$AD$8,2,FALSE),"Y","N")</f>
        <v>Y</v>
      </c>
      <c r="X119" s="194">
        <f t="shared" si="47"/>
        <v>0</v>
      </c>
      <c r="Y119" s="194">
        <f t="shared" si="52"/>
        <v>12.7851</v>
      </c>
      <c r="Z119" s="194">
        <f t="shared" si="53"/>
        <v>1.47E-2</v>
      </c>
      <c r="AA119" s="194">
        <f t="shared" si="36"/>
        <v>12.7704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 t="shared" si="37"/>
        <v>204</v>
      </c>
      <c r="AE119" s="77" t="str">
        <f t="shared" si="38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19" s="74" t="str">
        <f t="shared" si="39"/>
        <v>"C:\Program Files (x86)\AstroGrep\AstroGrep.exe" /e /r /s /spath="%USERPROFILE%\AppData\Local\Temp\OnboardLogs" /stypes="app*4027*20170914*" /stext=" 00:.+((SYSTEM_STATE.+slice.+state.+changed )|(ment ac)|(multiple cpu faults)|(system.+state.+changed )|(\[timeout)|(PRM\|1\|D)|(kpr)|(kdp)|(train st.+moving)|(\|lc)|(penalty))"</v>
      </c>
      <c r="AG119" s="206" t="str">
        <f t="shared" si="40"/>
        <v>EC</v>
      </c>
      <c r="AH119" s="78" t="str">
        <f t="shared" si="41"/>
        <v>"%USERPROFILE%\Documents\GitHub\eaglep3\Utilities\RefineRTDCRunTimes.py" --tripid 204-13 --locoid 4027 --swversion DE.1.0.9.0 --startMP 204:127851 --initTime 2017-09-13T17:46:52 --startdatetime 2017-09-13T17:48:54 --delay 68 --endMP 204:147 --enddatetime 2017-09-13T18:12:24 --enforcementcount 0 &gt;&gt;C:\Users\stu\Documents\GitHub\eaglep3-reporting\EC\2017-09-13-refined-times.txt</v>
      </c>
      <c r="AI11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{"issue":{"subject":"","project_id":79,"tracker_id":40,"status_id":1,"priority_id":2,"assigned_to_id":338,"start_date":"2017-09-13","description":"","custom_fields":[{"id":1,"name":"Subdivision","value":"EC"},{"id":4,"name":"Milepost","value":"0.0147"},{"id":17,"name":"Train ID","value":"204-13"},{"id":16,"name":"Locomotive ID","value":"4027"},{"id":130,"name":"Impact","value":""},{"id":150,"name":"Time of Event (Mountain Time)","value":"18:12:24"},{"id":151,"name":"Denver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4027 --day 2017-09-13</v>
      </c>
      <c r="AN11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00:12:24"},{"id":29,"name":"Sharepoint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775</v>
      </c>
      <c r="B120" s="7">
        <v>4016</v>
      </c>
      <c r="C120" s="21" t="s">
        <v>197</v>
      </c>
      <c r="D120" s="21" t="s">
        <v>538</v>
      </c>
      <c r="E120" s="13">
        <v>42991.694537037038</v>
      </c>
      <c r="F120" s="13">
        <v>42991.698125000003</v>
      </c>
      <c r="G120" s="7">
        <v>72</v>
      </c>
      <c r="H120" s="21" t="s">
        <v>539</v>
      </c>
      <c r="I120" s="13">
        <v>42991.723483796297</v>
      </c>
      <c r="J120" s="7">
        <v>0</v>
      </c>
      <c r="K120" s="89" t="str">
        <f t="shared" si="29"/>
        <v>4015/4016</v>
      </c>
      <c r="L120" s="214" t="str">
        <f>VLOOKUP(A120,'Trips&amp;Operators'!$C$1:$G$99911,5,FALSE)</f>
        <v>MOSES BRADLEY</v>
      </c>
      <c r="M120" s="6">
        <f t="shared" si="30"/>
        <v>2.5358796294312924E-2</v>
      </c>
      <c r="N120" s="7">
        <f t="shared" ref="N120:N151" si="54">24*60*SUM($M120:$M120)</f>
        <v>36.516666663810611</v>
      </c>
      <c r="O120" s="7"/>
      <c r="P120" s="7"/>
      <c r="Q120" s="22"/>
      <c r="R120" s="167"/>
      <c r="S120" s="210">
        <f t="shared" ref="S120:S151" si="55">1/IF(AG120="EC",12,1)*SUM(U120:U120)</f>
        <v>1</v>
      </c>
      <c r="T120" s="192" t="str">
        <f t="shared" si="31"/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32"/>
        <v>https://d0f6bd738d7f1b3e5a7ca70fe4ff75f0.us-east-1.aws.found.io/app/kibana#/discover/Steve-Slow-Train-Analysis-(2080s-and-2083s)?_g=(refreshInterval:(display:Off,pause:!f,section:0,value:0),time:(from:'2017-09-13T15:40:08-0600',mode:absolute,to:'2017-09-13T18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4" t="str">
        <f>IF(AA120&lt;VLOOKUP(AG120,Variables!$AC$3:$AD$8,2,FALSE),"Y","N")</f>
        <v>N</v>
      </c>
      <c r="X120" s="194">
        <f t="shared" si="47"/>
        <v>1</v>
      </c>
      <c r="Y120" s="194">
        <f t="shared" si="52"/>
        <v>4.4699999999999997E-2</v>
      </c>
      <c r="Z120" s="194">
        <f t="shared" si="53"/>
        <v>23.3293</v>
      </c>
      <c r="AA120" s="194">
        <f t="shared" si="36"/>
        <v>23.284600000000001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 t="shared" si="37"/>
        <v>205</v>
      </c>
      <c r="AE120" s="77" t="str">
        <f t="shared" si="38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20" s="74" t="str">
        <f t="shared" si="39"/>
        <v>"C:\Program Files (x86)\AstroGrep\AstroGrep.exe" /e /r /s /spath="%USERPROFILE%\AppData\Local\Temp\OnboardLogs" /stypes="app*4016*20170913*" /stext=" 23:.+((SYSTEM_STATE.+slice.+state.+changed )|(ment ac)|(multiple cpu faults)|(system.+state.+changed )|(\[timeout)|(PRM\|1\|D)|(kpr)|(kdp)|(train st.+moving)|(\|lc)|(penalty))"</v>
      </c>
      <c r="AG120" s="206" t="str">
        <f t="shared" si="40"/>
        <v>EC</v>
      </c>
      <c r="AH120" s="78" t="str">
        <f t="shared" si="41"/>
        <v>"%USERPROFILE%\Documents\GitHub\eaglep3\Utilities\RefineRTDCRunTimes.py" --tripid 205-13 --locoid 4016 --swversion DE.1.0.9.0 --startMP 204:447 --initTime 2017-09-13T16:40:08 --startdatetime 2017-09-13T16:45:18 --delay 72 --endMP 204:233293 --enddatetime 2017-09-13T17:21:49 --enforcementcount 0 &gt;&gt;C:\Users\stu\Documents\GitHub\eaglep3-reporting\EC\2017-09-13-refined-times.txt</v>
      </c>
      <c r="AI12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{"issue":{"subject":"","project_id":79,"tracker_id":40,"status_id":1,"priority_id":2,"assigned_to_id":338,"start_date":"2017-09-13","description":"","custom_fields":[{"id":1,"name":"Subdivision","value":"EC"},{"id":4,"name":"Milepost","value":"23.3293"},{"id":17,"name":"Train ID","value":"205-13"},{"id":16,"name":"Locomotive ID","value":"4016"},{"id":130,"name":"Impact","value":""},{"id":150,"name":"Time of Event (Mountain Time)","value":"17:21:49"},{"id":151,"name":"Denver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4016 --day 2017-09-13</v>
      </c>
      <c r="AN120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788</v>
      </c>
      <c r="B121" s="7">
        <v>4015</v>
      </c>
      <c r="C121" s="21" t="s">
        <v>197</v>
      </c>
      <c r="D121" s="21" t="s">
        <v>462</v>
      </c>
      <c r="E121" s="13">
        <v>42991.732986111114</v>
      </c>
      <c r="F121" s="13">
        <v>42991.737754629627</v>
      </c>
      <c r="G121" s="7">
        <v>61</v>
      </c>
      <c r="H121" s="21" t="s">
        <v>372</v>
      </c>
      <c r="I121" s="13">
        <v>42991.765381944446</v>
      </c>
      <c r="J121" s="7">
        <v>0</v>
      </c>
      <c r="K121" s="89" t="str">
        <f t="shared" si="29"/>
        <v>4015/4016</v>
      </c>
      <c r="L121" s="214" t="str">
        <f>VLOOKUP(A121,'Trips&amp;Operators'!$C$1:$G$99911,5,FALSE)</f>
        <v>MOSES BRADLEY</v>
      </c>
      <c r="M121" s="6">
        <f t="shared" si="30"/>
        <v>2.7627314819255844E-2</v>
      </c>
      <c r="N121" s="7">
        <f t="shared" si="54"/>
        <v>39.783333339728415</v>
      </c>
      <c r="O121" s="7"/>
      <c r="P121" s="7"/>
      <c r="Q121" s="22"/>
      <c r="R121" s="167"/>
      <c r="S121" s="210">
        <f t="shared" si="55"/>
        <v>1</v>
      </c>
      <c r="T121" s="192" t="str">
        <f t="shared" si="31"/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32"/>
        <v>https://d0f6bd738d7f1b3e5a7ca70fe4ff75f0.us-east-1.aws.found.io/app/kibana#/discover/Steve-Slow-Train-Analysis-(2080s-and-2083s)?_g=(refreshInterval:(display:Off,pause:!f,section:0,value:0),time:(from:'2017-09-13T16:35:30-0600',mode:absolute,to:'2017-09-13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94" t="str">
        <f>IF(AA121&lt;VLOOKUP(AG121,Variables!$AC$3:$AD$8,2,FALSE),"Y","N")</f>
        <v>N</v>
      </c>
      <c r="X121" s="194">
        <f t="shared" si="47"/>
        <v>1</v>
      </c>
      <c r="Y121" s="194">
        <f t="shared" si="52"/>
        <v>23.299800000000001</v>
      </c>
      <c r="Z121" s="194">
        <f t="shared" si="53"/>
        <v>1.5599999999999999E-2</v>
      </c>
      <c r="AA121" s="194">
        <f t="shared" si="36"/>
        <v>23.284200000000002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 t="shared" si="37"/>
        <v>206</v>
      </c>
      <c r="AE121" s="77" t="str">
        <f t="shared" si="38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121" s="74" t="str">
        <f t="shared" si="39"/>
        <v>"C:\Program Files (x86)\AstroGrep\AstroGrep.exe" /e /r /s /spath="%USERPROFILE%\AppData\Local\Temp\OnboardLogs" /stypes="app*4015*20170914*" /stext=" 00:.+((SYSTEM_STATE.+slice.+state.+changed )|(ment ac)|(multiple cpu faults)|(system.+state.+changed )|(\[timeout)|(PRM\|1\|D)|(kpr)|(kdp)|(train st.+moving)|(\|lc)|(penalty))"</v>
      </c>
      <c r="AG121" s="206" t="str">
        <f t="shared" si="40"/>
        <v>EC</v>
      </c>
      <c r="AH121" s="78" t="str">
        <f t="shared" si="41"/>
        <v>"%USERPROFILE%\Documents\GitHub\eaglep3\Utilities\RefineRTDCRunTimes.py" --tripid 206-13 --locoid 4015 --swversion DE.1.0.9.0 --startMP 204:232998 --initTime 2017-09-13T17:35:30 --startdatetime 2017-09-13T17:42:22 --delay 61 --endMP 204:156 --enddatetime 2017-09-13T18:22:09 --enforcementcount 0 &gt;&gt;C:\Users\stu\Documents\GitHub\eaglep3-reporting\EC\2017-09-13-refined-times.txt</v>
      </c>
      <c r="AI12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ID","value":"206-13"},{"id":16,"name":"Locomotive ID","value":"4015"},{"id":130,"name":"Impact","value":""},{"id":150,"name":"Time of Event (Mountain Time)","value":"18:22:09"},{"id":151,"name":"Denver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4015 --day 2017-09-13</v>
      </c>
      <c r="AN12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777</v>
      </c>
      <c r="B122" s="7">
        <v>4044</v>
      </c>
      <c r="C122" s="21" t="s">
        <v>197</v>
      </c>
      <c r="D122" s="21" t="s">
        <v>385</v>
      </c>
      <c r="E122" s="13">
        <v>42991.702233796299</v>
      </c>
      <c r="F122" s="13">
        <v>42991.708657407406</v>
      </c>
      <c r="G122" s="7">
        <v>47</v>
      </c>
      <c r="H122" s="21" t="s">
        <v>451</v>
      </c>
      <c r="I122" s="13">
        <v>42991.736875000002</v>
      </c>
      <c r="J122" s="7">
        <v>0</v>
      </c>
      <c r="K122" s="89" t="str">
        <f t="shared" si="29"/>
        <v>4043/4044</v>
      </c>
      <c r="L122" s="214" t="str">
        <f>VLOOKUP(A122,'Trips&amp;Operators'!$C$1:$G$99911,5,FALSE)</f>
        <v>GUZMAN DANNY</v>
      </c>
      <c r="M122" s="6">
        <f t="shared" si="30"/>
        <v>2.8217592596774921E-2</v>
      </c>
      <c r="N122" s="7">
        <f t="shared" si="54"/>
        <v>40.633333339355886</v>
      </c>
      <c r="O122" s="7"/>
      <c r="P122" s="7"/>
      <c r="Q122" s="22"/>
      <c r="R122" s="167"/>
      <c r="S122" s="210">
        <f t="shared" si="55"/>
        <v>1</v>
      </c>
      <c r="T122" s="192" t="str">
        <f t="shared" si="31"/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32"/>
        <v>https://d0f6bd738d7f1b3e5a7ca70fe4ff75f0.us-east-1.aws.found.io/app/kibana#/discover/Steve-Slow-Train-Analysis-(2080s-and-2083s)?_g=(refreshInterval:(display:Off,pause:!f,section:0,value:0),time:(from:'2017-09-13T15:51:13-0600',mode:absolute,to:'2017-09-13T18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94" t="str">
        <f>IF(AA122&lt;VLOOKUP(AG122,Variables!$AC$3:$AD$8,2,FALSE),"Y","N")</f>
        <v>N</v>
      </c>
      <c r="X122" s="194">
        <f t="shared" si="47"/>
        <v>1</v>
      </c>
      <c r="Y122" s="194">
        <f t="shared" si="52"/>
        <v>4.5999999999999999E-2</v>
      </c>
      <c r="Z122" s="194">
        <f t="shared" si="53"/>
        <v>23.3291</v>
      </c>
      <c r="AA122" s="194">
        <f t="shared" si="36"/>
        <v>23.283100000000001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 t="shared" si="37"/>
        <v>207</v>
      </c>
      <c r="AE122" s="77" t="str">
        <f t="shared" si="38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122" s="74" t="str">
        <f t="shared" si="39"/>
        <v>"C:\Program Files (x86)\AstroGrep\AstroGrep.exe" /e /r /s /spath="%USERPROFILE%\AppData\Local\Temp\OnboardLogs" /stypes="app*4044*20170913*" /stext=" 23:.+((SYSTEM_STATE.+slice.+state.+changed )|(ment ac)|(multiple cpu faults)|(system.+state.+changed )|(\[timeout)|(PRM\|1\|D)|(kpr)|(kdp)|(train st.+moving)|(\|lc)|(penalty))"</v>
      </c>
      <c r="AG122" s="206" t="str">
        <f t="shared" si="40"/>
        <v>EC</v>
      </c>
      <c r="AH122" s="78" t="str">
        <f t="shared" si="41"/>
        <v>"%USERPROFILE%\Documents\GitHub\eaglep3\Utilities\RefineRTDCRunTimes.py" --tripid 207-13 --locoid 4044 --swversion DE.1.0.9.0 --startMP 204:460 --initTime 2017-09-13T16:51:13 --startdatetime 2017-09-13T17:00:28 --delay 47 --endMP 204:233291 --enddatetime 2017-09-13T17:41:06 --enforcementcount 0 &gt;&gt;C:\Users\stu\Documents\GitHub\eaglep3-reporting\EC\2017-09-13-refined-times.txt</v>
      </c>
      <c r="AI12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{"issue":{"subject":"","project_id":79,"tracker_id":40,"status_id":1,"priority_id":2,"assigned_to_id":338,"start_date":"2017-09-13","description":"","custom_fields":[{"id":1,"name":"Subdivision","value":"EC"},{"id":4,"name":"Milepost","value":"23.3291"},{"id":17,"name":"Train ID","value":"207-13"},{"id":16,"name":"Locomotive ID","value":"4044"},{"id":130,"name":"Impact","value":""},{"id":150,"name":"Time of Event (Mountain Time)","value":"17:41:06"},{"id":151,"name":"Denver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4044 --day 2017-09-13</v>
      </c>
      <c r="AN122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23:41:06"},{"id":29,"name":"Sharepoint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791</v>
      </c>
      <c r="B123" s="7">
        <v>4043</v>
      </c>
      <c r="C123" s="21" t="s">
        <v>197</v>
      </c>
      <c r="D123" s="21" t="s">
        <v>856</v>
      </c>
      <c r="E123" s="13">
        <v>42991.73878472222</v>
      </c>
      <c r="F123" s="13">
        <v>42991.748067129629</v>
      </c>
      <c r="G123" s="7">
        <v>47</v>
      </c>
      <c r="H123" s="21" t="s">
        <v>372</v>
      </c>
      <c r="I123" s="13">
        <v>42991.775347222225</v>
      </c>
      <c r="J123" s="7">
        <v>0</v>
      </c>
      <c r="K123" s="89" t="str">
        <f t="shared" si="29"/>
        <v>4043/4044</v>
      </c>
      <c r="L123" s="214" t="str">
        <f>VLOOKUP(A123,'Trips&amp;Operators'!$C$1:$G$99911,5,FALSE)</f>
        <v>GUZMAN DANNY</v>
      </c>
      <c r="M123" s="6">
        <f t="shared" si="30"/>
        <v>2.7280092595901806E-2</v>
      </c>
      <c r="N123" s="7">
        <f t="shared" si="54"/>
        <v>39.283333338098601</v>
      </c>
      <c r="O123" s="7"/>
      <c r="P123" s="7"/>
      <c r="Q123" s="22"/>
      <c r="R123" s="167"/>
      <c r="S123" s="210">
        <f t="shared" si="55"/>
        <v>1</v>
      </c>
      <c r="T123" s="192" t="str">
        <f t="shared" si="31"/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32"/>
        <v>https://d0f6bd738d7f1b3e5a7ca70fe4ff75f0.us-east-1.aws.found.io/app/kibana#/discover/Steve-Slow-Train-Analysis-(2080s-and-2083s)?_g=(refreshInterval:(display:Off,pause:!f,section:0,value:0),time:(from:'2017-09-13T16:43:51-0600',mode:absolute,to:'2017-09-13T19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94" t="str">
        <f>IF(AA123&lt;VLOOKUP(AG123,Variables!$AC$3:$AD$8,2,FALSE),"Y","N")</f>
        <v>N</v>
      </c>
      <c r="X123" s="194">
        <f t="shared" si="47"/>
        <v>1</v>
      </c>
      <c r="Y123" s="194">
        <f t="shared" si="52"/>
        <v>23.2972</v>
      </c>
      <c r="Z123" s="194">
        <f t="shared" si="53"/>
        <v>1.5599999999999999E-2</v>
      </c>
      <c r="AA123" s="194">
        <f t="shared" si="36"/>
        <v>23.281600000000001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 t="shared" si="37"/>
        <v>208</v>
      </c>
      <c r="AE123" s="77" t="str">
        <f t="shared" si="38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123" s="74" t="str">
        <f t="shared" si="39"/>
        <v>"C:\Program Files (x86)\AstroGrep\AstroGrep.exe" /e /r /s /spath="%USERPROFILE%\AppData\Local\Temp\OnboardLogs" /stypes="app*4043*20170914*" /stext=" 00:.+((SYSTEM_STATE.+slice.+state.+changed )|(ment ac)|(multiple cpu faults)|(system.+state.+changed )|(\[timeout)|(PRM\|1\|D)|(kpr)|(kdp)|(train st.+moving)|(\|lc)|(penalty))"</v>
      </c>
      <c r="AG123" s="206" t="str">
        <f t="shared" si="40"/>
        <v>EC</v>
      </c>
      <c r="AH123" s="78" t="str">
        <f t="shared" si="41"/>
        <v>"%USERPROFILE%\Documents\GitHub\eaglep3\Utilities\RefineRTDCRunTimes.py" --tripid 208-13 --locoid 4043 --swversion DE.1.0.9.0 --startMP 204:232972 --initTime 2017-09-13T17:43:51 --startdatetime 2017-09-13T17:57:13 --delay 47 --endMP 204:156 --enddatetime 2017-09-13T18:36:30 --enforcementcount 0 &gt;&gt;C:\Users\stu\Documents\GitHub\eaglep3-reporting\EC\2017-09-13-refined-times.txt</v>
      </c>
      <c r="AI12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{"issue":{"subject":"","project_id":79,"tracker_id":40,"status_id":1,"priority_id":2,"assigned_to_id":338,"start_date":"2017-09-13","description":"","custom_fields":[{"id":1,"name":"Subdivision","value":"EC"},{"id":4,"name":"Milepost","value":"0.0156"},{"id":17,"name":"Train ID","value":"208-13"},{"id":16,"name":"Locomotive ID","value":"4043"},{"id":130,"name":"Impact","value":""},{"id":150,"name":"Time of Event (Mountain Time)","value":"18:36:30"},{"id":151,"name":"Denver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4043 --day 2017-09-13</v>
      </c>
      <c r="AN123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603</v>
      </c>
      <c r="B124" s="7">
        <v>4006</v>
      </c>
      <c r="C124" s="21" t="s">
        <v>197</v>
      </c>
      <c r="D124" s="21" t="s">
        <v>404</v>
      </c>
      <c r="E124" s="13">
        <v>42991.712939814817</v>
      </c>
      <c r="F124" s="13">
        <v>42991.719027777777</v>
      </c>
      <c r="G124" s="7">
        <v>71</v>
      </c>
      <c r="H124" s="21" t="s">
        <v>458</v>
      </c>
      <c r="I124" s="13">
        <v>42991.746076388888</v>
      </c>
      <c r="J124" s="7">
        <v>0</v>
      </c>
      <c r="K124" s="89" t="str">
        <f t="shared" si="29"/>
        <v>4005/4006</v>
      </c>
      <c r="L124" s="214" t="str">
        <f>VLOOKUP(A124,'Trips&amp;Operators'!$C$1:$G$99911,5,FALSE)</f>
        <v>LEVIN SCOTT</v>
      </c>
      <c r="M124" s="6">
        <f t="shared" si="30"/>
        <v>2.7048611111240461E-2</v>
      </c>
      <c r="N124" s="7">
        <f t="shared" si="54"/>
        <v>38.950000000186265</v>
      </c>
      <c r="O124" s="7"/>
      <c r="P124" s="7"/>
      <c r="Q124" s="22"/>
      <c r="R124" s="167"/>
      <c r="S124" s="210">
        <f t="shared" si="55"/>
        <v>1</v>
      </c>
      <c r="T124" s="192" t="str">
        <f t="shared" si="31"/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32"/>
        <v>https://d0f6bd738d7f1b3e5a7ca70fe4ff75f0.us-east-1.aws.found.io/app/kibana#/discover/Steve-Slow-Train-Analysis-(2080s-and-2083s)?_g=(refreshInterval:(display:Off,pause:!f,section:0,value:0),time:(from:'2017-09-13T16:06:38-0600',mode:absolute,to:'2017-09-13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194" t="str">
        <f>IF(AA124&lt;VLOOKUP(AG124,Variables!$AC$3:$AD$8,2,FALSE),"Y","N")</f>
        <v>N</v>
      </c>
      <c r="X124" s="194">
        <f t="shared" si="47"/>
        <v>1</v>
      </c>
      <c r="Y124" s="194">
        <f t="shared" si="52"/>
        <v>4.3999999999999997E-2</v>
      </c>
      <c r="Z124" s="194">
        <f t="shared" si="53"/>
        <v>23.331199999999999</v>
      </c>
      <c r="AA124" s="194">
        <f t="shared" si="36"/>
        <v>23.287199999999999</v>
      </c>
      <c r="AB124" s="54" t="str">
        <f>VLOOKUP(A124,Enforcements!$C$7:$K$11,8,0)</f>
        <v>Bulletin (2)</v>
      </c>
      <c r="AC124" s="51" t="str">
        <f>VLOOKUP(A124,Enforcements!$C$7:$E$11,3,0)</f>
        <v>GRADE CROSSING</v>
      </c>
      <c r="AD124" s="203">
        <f t="shared" si="37"/>
        <v>209</v>
      </c>
      <c r="AE124" s="77" t="str">
        <f t="shared" si="38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24" s="74" t="str">
        <f t="shared" si="39"/>
        <v>"C:\Program Files (x86)\AstroGrep\AstroGrep.exe" /e /r /s /spath="%USERPROFILE%\AppData\Local\Temp\OnboardLogs" /stypes="app*4006*20170913*" /stext=" 23:.+((SYSTEM_STATE.+slice.+state.+changed )|(ment ac)|(multiple cpu faults)|(system.+state.+changed )|(\[timeout)|(PRM\|1\|D)|(kpr)|(kdp)|(train st.+moving)|(\|lc)|(penalty))"</v>
      </c>
      <c r="AG124" s="206" t="str">
        <f t="shared" si="40"/>
        <v>EC</v>
      </c>
      <c r="AH124" s="78" t="str">
        <f t="shared" si="41"/>
        <v>"%USERPROFILE%\Documents\GitHub\eaglep3\Utilities\RefineRTDCRunTimes.py" --tripid 209-13 --locoid 4006 --swversion DE.1.0.9.0 --startMP 204:440 --initTime 2017-09-13T17:06:38 --startdatetime 2017-09-13T17:15:24 --delay 71 --endMP 204:233312 --enddatetime 2017-09-13T17:54:21 --enforcementcount 0 &gt;&gt;C:\Users\stu\Documents\GitHub\eaglep3-reporting\EC\2017-09-13-refined-times.txt</v>
      </c>
      <c r="AI124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ID","value":"209-13"},{"id":16,"name":"Locomotive ID","value":"4006"},{"id":130,"name":"Impact","value":""},{"id":150,"name":"Time of Event (Mountain Time)","value":"17:54:21"},{"id":151,"name":"Denver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4006 --day 2017-09-13</v>
      </c>
      <c r="AN124" s="151" t="str">
        <f t="shared" si="44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795</v>
      </c>
      <c r="B125" s="7">
        <v>4005</v>
      </c>
      <c r="C125" s="21" t="s">
        <v>197</v>
      </c>
      <c r="D125" s="21" t="s">
        <v>861</v>
      </c>
      <c r="E125" s="13">
        <v>42991.754259259258</v>
      </c>
      <c r="F125" s="13">
        <v>42991.758530092593</v>
      </c>
      <c r="G125" s="7">
        <v>55</v>
      </c>
      <c r="H125" s="21" t="s">
        <v>553</v>
      </c>
      <c r="I125" s="13">
        <v>42991.783668981479</v>
      </c>
      <c r="J125" s="7">
        <v>0</v>
      </c>
      <c r="K125" s="89" t="str">
        <f t="shared" si="29"/>
        <v>4005/4006</v>
      </c>
      <c r="L125" s="214" t="str">
        <f>VLOOKUP(A125,'Trips&amp;Operators'!$C$1:$G$99911,5,FALSE)</f>
        <v>LEVIN SCOTT</v>
      </c>
      <c r="M125" s="6">
        <f t="shared" si="30"/>
        <v>2.5138888886431232E-2</v>
      </c>
      <c r="N125" s="7">
        <f t="shared" si="54"/>
        <v>36.199999996460974</v>
      </c>
      <c r="O125" s="7"/>
      <c r="P125" s="7"/>
      <c r="Q125" s="22"/>
      <c r="R125" s="167"/>
      <c r="S125" s="210">
        <f t="shared" si="55"/>
        <v>1</v>
      </c>
      <c r="T125" s="192" t="str">
        <f t="shared" si="31"/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32"/>
        <v>https://d0f6bd738d7f1b3e5a7ca70fe4ff75f0.us-east-1.aws.found.io/app/kibana#/discover/Steve-Slow-Train-Analysis-(2080s-and-2083s)?_g=(refreshInterval:(display:Off,pause:!f,section:0,value:0),time:(from:'2017-09-13T17:06:08-0600',mode:absolute,to:'2017-09-13T19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194" t="str">
        <f>IF(AA125&lt;VLOOKUP(AG125,Variables!$AC$3:$AD$8,2,FALSE),"Y","N")</f>
        <v>N</v>
      </c>
      <c r="X125" s="194">
        <f t="shared" si="47"/>
        <v>1</v>
      </c>
      <c r="Y125" s="194">
        <f t="shared" si="52"/>
        <v>23.298999999999999</v>
      </c>
      <c r="Z125" s="194">
        <f t="shared" si="53"/>
        <v>1.2999999999999999E-2</v>
      </c>
      <c r="AA125" s="194">
        <f t="shared" si="36"/>
        <v>23.285999999999998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 t="shared" si="37"/>
        <v>210</v>
      </c>
      <c r="AE125" s="77" t="str">
        <f t="shared" si="38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25" s="74" t="str">
        <f t="shared" si="39"/>
        <v>"C:\Program Files (x86)\AstroGrep\AstroGrep.exe" /e /r /s /spath="%USERPROFILE%\AppData\Local\Temp\OnboardLogs" /stypes="app*4005*20170914*" /stext=" 00:.+((SYSTEM_STATE.+slice.+state.+changed )|(ment ac)|(multiple cpu faults)|(system.+state.+changed )|(\[timeout)|(PRM\|1\|D)|(kpr)|(kdp)|(train st.+moving)|(\|lc)|(penalty))"</v>
      </c>
      <c r="AG125" s="206" t="str">
        <f t="shared" si="40"/>
        <v>EC</v>
      </c>
      <c r="AH125" s="78" t="str">
        <f t="shared" si="41"/>
        <v>"%USERPROFILE%\Documents\GitHub\eaglep3\Utilities\RefineRTDCRunTimes.py" --tripid 210-13 --locoid 4005 --swversion DE.1.0.9.0 --startMP 204:232990 --initTime 2017-09-13T18:06:08 --startdatetime 2017-09-13T18:12:17 --delay 55 --endMP 204:130 --enddatetime 2017-09-13T18:48:29 --enforcementcount 0 &gt;&gt;C:\Users\stu\Documents\GitHub\eaglep3-reporting\EC\2017-09-13-refined-times.txt</v>
      </c>
      <c r="AI12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{"issue":{"subject":"","project_id":79,"tracker_id":40,"status_id":1,"priority_id":2,"assigned_to_id":338,"start_date":"2017-09-13","description":"","custom_fields":[{"id":1,"name":"Subdivision","value":"EC"},{"id":4,"name":"Milepost","value":"0.013"},{"id":17,"name":"Train ID","value":"210-13"},{"id":16,"name":"Locomotive ID","value":"4005"},{"id":130,"name":"Impact","value":""},{"id":150,"name":"Time of Event (Mountain Time)","value":"18:48:29"},{"id":151,"name":"Denver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4005 --day 2017-09-13</v>
      </c>
      <c r="AN12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785</v>
      </c>
      <c r="B126" s="7">
        <v>4010</v>
      </c>
      <c r="C126" s="21" t="s">
        <v>197</v>
      </c>
      <c r="D126" s="21" t="s">
        <v>337</v>
      </c>
      <c r="E126" s="13">
        <v>42991.72278935185</v>
      </c>
      <c r="F126" s="13">
        <v>42991.729317129626</v>
      </c>
      <c r="G126" s="7">
        <v>116</v>
      </c>
      <c r="H126" s="21" t="s">
        <v>885</v>
      </c>
      <c r="I126" s="13">
        <v>42991.75644675926</v>
      </c>
      <c r="J126" s="7">
        <v>0</v>
      </c>
      <c r="K126" s="89" t="str">
        <f t="shared" si="29"/>
        <v>4009/4010</v>
      </c>
      <c r="L126" s="214" t="str">
        <f>VLOOKUP(A126,'Trips&amp;Operators'!$C$1:$G$99911,5,FALSE)</f>
        <v>DELGADO DIANAH</v>
      </c>
      <c r="M126" s="6">
        <f t="shared" si="30"/>
        <v>2.7129629634146113E-2</v>
      </c>
      <c r="N126" s="7">
        <f t="shared" si="54"/>
        <v>39.066666673170403</v>
      </c>
      <c r="O126" s="7"/>
      <c r="P126" s="7"/>
      <c r="Q126" s="22"/>
      <c r="R126" s="167"/>
      <c r="S126" s="210">
        <f t="shared" si="55"/>
        <v>1</v>
      </c>
      <c r="T126" s="192" t="str">
        <f t="shared" si="31"/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32"/>
        <v>https://d0f6bd738d7f1b3e5a7ca70fe4ff75f0.us-east-1.aws.found.io/app/kibana#/discover/Steve-Slow-Train-Analysis-(2080s-and-2083s)?_g=(refreshInterval:(display:Off,pause:!f,section:0,value:0),time:(from:'2017-09-13T16:20:49-0600',mode:absolute,to:'2017-09-13T19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94" t="str">
        <f>IF(AA126&lt;VLOOKUP(AG126,Variables!$AC$3:$AD$8,2,FALSE),"Y","N")</f>
        <v>N</v>
      </c>
      <c r="X126" s="194">
        <f t="shared" si="47"/>
        <v>1</v>
      </c>
      <c r="Y126" s="194">
        <f t="shared" si="52"/>
        <v>4.4600000000000001E-2</v>
      </c>
      <c r="Z126" s="194">
        <f t="shared" si="53"/>
        <v>23.331700000000001</v>
      </c>
      <c r="AA126" s="194">
        <f t="shared" si="36"/>
        <v>23.287100000000002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 t="shared" si="37"/>
        <v>211</v>
      </c>
      <c r="AE126" s="77" t="str">
        <f t="shared" si="38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126" s="74" t="str">
        <f t="shared" si="39"/>
        <v>"C:\Program Files (x86)\AstroGrep\AstroGrep.exe" /e /r /s /spath="%USERPROFILE%\AppData\Local\Temp\OnboardLogs" /stypes="app*4010*20170914*" /stext=" 00:.+((SYSTEM_STATE.+slice.+state.+changed )|(ment ac)|(multiple cpu faults)|(system.+state.+changed )|(\[timeout)|(PRM\|1\|D)|(kpr)|(kdp)|(train st.+moving)|(\|lc)|(penalty))"</v>
      </c>
      <c r="AG126" s="206" t="str">
        <f t="shared" si="40"/>
        <v>EC</v>
      </c>
      <c r="AH126" s="78" t="str">
        <f t="shared" si="41"/>
        <v>"%USERPROFILE%\Documents\GitHub\eaglep3\Utilities\RefineRTDCRunTimes.py" --tripid 211-13 --locoid 4010 --swversion DE.1.0.9.0 --startMP 204:446 --initTime 2017-09-13T17:20:49 --startdatetime 2017-09-13T17:30:13 --delay 116 --endMP 204:233317 --enddatetime 2017-09-13T18:09:17 --enforcementcount 0 &gt;&gt;C:\Users\stu\Documents\GitHub\eaglep3-reporting\EC\2017-09-13-refined-times.txt</v>
      </c>
      <c r="AI12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{"issue":{"subject":"","project_id":79,"tracker_id":40,"status_id":1,"priority_id":2,"assigned_to_id":338,"start_date":"2017-09-13","description":"","custom_fields":[{"id":1,"name":"Subdivision","value":"EC"},{"id":4,"name":"Milepost","value":"23.3317"},{"id":17,"name":"Train ID","value":"211-13"},{"id":16,"name":"Locomotive ID","value":"4010"},{"id":130,"name":"Impact","value":""},{"id":150,"name":"Time of Event (Mountain Time)","value":"18:09:17"},{"id":151,"name":"Denver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4010 --day 2017-09-13</v>
      </c>
      <c r="AN12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4009</v>
      </c>
      <c r="C127" s="21" t="s">
        <v>197</v>
      </c>
      <c r="D127" s="21" t="s">
        <v>550</v>
      </c>
      <c r="E127" s="13">
        <v>42991.758379629631</v>
      </c>
      <c r="F127" s="13">
        <v>42991.768923611111</v>
      </c>
      <c r="G127" s="7">
        <v>675</v>
      </c>
      <c r="H127" s="21" t="s">
        <v>340</v>
      </c>
      <c r="I127" s="13">
        <v>42991.79409722222</v>
      </c>
      <c r="J127" s="7">
        <v>0</v>
      </c>
      <c r="K127" s="89" t="str">
        <f t="shared" si="29"/>
        <v>4009/4010</v>
      </c>
      <c r="L127" s="214" t="str">
        <f>VLOOKUP(A127,'Trips&amp;Operators'!$C$1:$G$99911,5,FALSE)</f>
        <v>DELGADO DIANAH</v>
      </c>
      <c r="M127" s="6">
        <f t="shared" si="30"/>
        <v>2.5173611109494232E-2</v>
      </c>
      <c r="N127" s="7">
        <f t="shared" si="54"/>
        <v>36.249999997671694</v>
      </c>
      <c r="O127" s="7"/>
      <c r="P127" s="7"/>
      <c r="Q127" s="22"/>
      <c r="R127" s="167"/>
      <c r="S127" s="210">
        <f t="shared" si="55"/>
        <v>1</v>
      </c>
      <c r="T127" s="192" t="str">
        <f t="shared" si="31"/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32"/>
        <v>https://d0f6bd738d7f1b3e5a7ca70fe4ff75f0.us-east-1.aws.found.io/app/kibana#/discover/Steve-Slow-Train-Analysis-(2080s-and-2083s)?_g=(refreshInterval:(display:Off,pause:!f,section:0,value:0),time:(from:'2017-09-13T17:12:04-0600',mode:absolute,to:'2017-09-13T20:03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94" t="str">
        <f>IF(AA127&lt;VLOOKUP(AG127,Variables!$AC$3:$AD$8,2,FALSE),"Y","N")</f>
        <v>N</v>
      </c>
      <c r="X127" s="194">
        <f t="shared" si="47"/>
        <v>1</v>
      </c>
      <c r="Y127" s="194">
        <f t="shared" si="52"/>
        <v>23.299099999999999</v>
      </c>
      <c r="Z127" s="194">
        <f t="shared" si="53"/>
        <v>1.43E-2</v>
      </c>
      <c r="AA127" s="194">
        <f t="shared" si="36"/>
        <v>23.284800000000001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 t="shared" si="37"/>
        <v>212</v>
      </c>
      <c r="AE127" s="77" t="str">
        <f t="shared" si="38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127" s="74" t="str">
        <f t="shared" si="39"/>
        <v>"C:\Program Files (x86)\AstroGrep\AstroGrep.exe" /e /r /s /spath="%USERPROFILE%\AppData\Local\Temp\OnboardLogs" /stypes="app*4009*20170914*" /stext=" 01:.+((SYSTEM_STATE.+slice.+state.+changed )|(ment ac)|(multiple cpu faults)|(system.+state.+changed )|(\[timeout)|(PRM\|1\|D)|(kpr)|(kdp)|(train st.+moving)|(\|lc)|(penalty))"</v>
      </c>
      <c r="AG127" s="206" t="str">
        <f t="shared" si="40"/>
        <v>EC</v>
      </c>
      <c r="AH127" s="78" t="str">
        <f t="shared" si="41"/>
        <v>"%USERPROFILE%\Documents\GitHub\eaglep3\Utilities\RefineRTDCRunTimes.py" --tripid 212-13 --locoid 4009 --swversion DE.1.0.9.0 --startMP 204:232991 --initTime 2017-09-13T18:12:04 --startdatetime 2017-09-13T18:27:15 --delay 675 --endMP 204:143 --enddatetime 2017-09-13T19:03:30 --enforcementcount 0 &gt;&gt;C:\Users\stu\Documents\GitHub\eaglep3-reporting\EC\2017-09-13-refined-times.txt</v>
      </c>
      <c r="AI12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{"issue":{"subject":"","project_id":79,"tracker_id":40,"status_id":1,"priority_id":2,"assigned_to_id":338,"start_date":"2017-09-13","description":"","custom_fields":[{"id":1,"name":"Subdivision","value":"EC"},{"id":4,"name":"Milepost","value":"0.0143"},{"id":17,"name":"Train ID","value":"212-13"},{"id":16,"name":"Locomotive ID","value":"4009"},{"id":130,"name":"Impact","value":""},{"id":150,"name":"Time of Event (Mountain Time)","value":"19:03:30"},{"id":151,"name":"Denver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4009 --day 2017-09-13</v>
      </c>
      <c r="AN12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790</v>
      </c>
      <c r="B128" s="7">
        <v>4020</v>
      </c>
      <c r="C128" s="21" t="s">
        <v>197</v>
      </c>
      <c r="D128" s="21" t="s">
        <v>404</v>
      </c>
      <c r="E128" s="13">
        <v>42991.736226851855</v>
      </c>
      <c r="F128" s="13">
        <v>42991.739733796298</v>
      </c>
      <c r="G128" s="7">
        <v>82</v>
      </c>
      <c r="H128" s="21" t="s">
        <v>886</v>
      </c>
      <c r="I128" s="13">
        <v>42991.765393518515</v>
      </c>
      <c r="J128" s="7">
        <v>0</v>
      </c>
      <c r="K128" s="89" t="str">
        <f t="shared" si="29"/>
        <v>4019/4020</v>
      </c>
      <c r="L128" s="214" t="str">
        <f>VLOOKUP(A128,'Trips&amp;Operators'!$C$1:$G$99911,5,FALSE)</f>
        <v>DUNCAN SHEILA</v>
      </c>
      <c r="M128" s="6">
        <f t="shared" si="30"/>
        <v>2.565972221782431E-2</v>
      </c>
      <c r="N128" s="7">
        <f t="shared" si="54"/>
        <v>36.949999993667006</v>
      </c>
      <c r="O128" s="7"/>
      <c r="P128" s="7"/>
      <c r="Q128" s="22"/>
      <c r="R128" s="167"/>
      <c r="S128" s="210">
        <f t="shared" si="55"/>
        <v>1</v>
      </c>
      <c r="T128" s="192" t="str">
        <f t="shared" si="31"/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32"/>
        <v>https://d0f6bd738d7f1b3e5a7ca70fe4ff75f0.us-east-1.aws.found.io/app/kibana#/discover/Steve-Slow-Train-Analysis-(2080s-and-2083s)?_g=(refreshInterval:(display:Off,pause:!f,section:0,value:0),time:(from:'2017-09-13T16:40:10-0600',mode:absolute,to:'2017-09-13T19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94" t="str">
        <f>IF(AA128&lt;VLOOKUP(AG128,Variables!$AC$3:$AD$8,2,FALSE),"Y","N")</f>
        <v>N</v>
      </c>
      <c r="X128" s="194">
        <f t="shared" si="47"/>
        <v>1</v>
      </c>
      <c r="Y128" s="194">
        <f t="shared" si="52"/>
        <v>4.3999999999999997E-2</v>
      </c>
      <c r="Z128" s="194">
        <f t="shared" si="53"/>
        <v>23.332000000000001</v>
      </c>
      <c r="AA128" s="194">
        <f t="shared" si="36"/>
        <v>23.288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 t="shared" si="37"/>
        <v>213</v>
      </c>
      <c r="AE128" s="77" t="str">
        <f t="shared" si="38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28" s="74" t="str">
        <f t="shared" si="39"/>
        <v>"C:\Program Files (x86)\AstroGrep\AstroGrep.exe" /e /r /s /spath="%USERPROFILE%\AppData\Local\Temp\OnboardLogs" /stypes="app*4020*20170914*" /stext=" 00:.+((SYSTEM_STATE.+slice.+state.+changed )|(ment ac)|(multiple cpu faults)|(system.+state.+changed )|(\[timeout)|(PRM\|1\|D)|(kpr)|(kdp)|(train st.+moving)|(\|lc)|(penalty))"</v>
      </c>
      <c r="AG128" s="206" t="str">
        <f t="shared" si="40"/>
        <v>EC</v>
      </c>
      <c r="AH128" s="78" t="str">
        <f t="shared" si="41"/>
        <v>"%USERPROFILE%\Documents\GitHub\eaglep3\Utilities\RefineRTDCRunTimes.py" --tripid 213-13 --locoid 4020 --swversion DE.1.0.9.0 --startMP 204:440 --initTime 2017-09-13T17:40:10 --startdatetime 2017-09-13T17:45:13 --delay 82 --endMP 204:233320 --enddatetime 2017-09-13T18:22:10 --enforcementcount 0 &gt;&gt;C:\Users\stu\Documents\GitHub\eaglep3-reporting\EC\2017-09-13-refined-times.txt</v>
      </c>
      <c r="AI128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{"issue":{"subject":"","project_id":79,"tracker_id":40,"status_id":1,"priority_id":2,"assigned_to_id":338,"start_date":"2017-09-13","description":"","custom_fields":[{"id":1,"name":"Subdivision","value":"EC"},{"id":4,"name":"Milepost","value":"23.332"},{"id":17,"name":"Train ID","value":"213-13"},{"id":16,"name":"Locomotive ID","value":"4020"},{"id":130,"name":"Impact","value":""},{"id":150,"name":"Time of Event (Mountain Time)","value":"18:22:10"},{"id":151,"name":"Denver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4020 --day 2017-09-13</v>
      </c>
      <c r="AN12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799</v>
      </c>
      <c r="B129" s="7">
        <v>4019</v>
      </c>
      <c r="C129" s="21" t="s">
        <v>197</v>
      </c>
      <c r="D129" s="21" t="s">
        <v>544</v>
      </c>
      <c r="E129" s="13">
        <v>42991.768842592595</v>
      </c>
      <c r="F129" s="13">
        <v>42991.779328703706</v>
      </c>
      <c r="G129" s="7">
        <v>61</v>
      </c>
      <c r="H129" s="21" t="s">
        <v>887</v>
      </c>
      <c r="I129" s="13">
        <v>42991.805277777778</v>
      </c>
      <c r="J129" s="7">
        <v>0</v>
      </c>
      <c r="K129" s="89" t="str">
        <f t="shared" si="29"/>
        <v>4019/4020</v>
      </c>
      <c r="L129" s="214" t="str">
        <f>VLOOKUP(A129,'Trips&amp;Operators'!$C$1:$G$99911,5,FALSE)</f>
        <v>DUNCAN SHEILA</v>
      </c>
      <c r="M129" s="6">
        <f t="shared" si="30"/>
        <v>2.5949074071832001E-2</v>
      </c>
      <c r="N129" s="7">
        <f t="shared" si="54"/>
        <v>37.366666663438082</v>
      </c>
      <c r="O129" s="7"/>
      <c r="P129" s="7"/>
      <c r="Q129" s="22"/>
      <c r="R129" s="167"/>
      <c r="S129" s="210">
        <f t="shared" si="55"/>
        <v>1</v>
      </c>
      <c r="T129" s="192" t="str">
        <f t="shared" si="31"/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32"/>
        <v>https://d0f6bd738d7f1b3e5a7ca70fe4ff75f0.us-east-1.aws.found.io/app/kibana#/discover/Steve-Slow-Train-Analysis-(2080s-and-2083s)?_g=(refreshInterval:(display:Off,pause:!f,section:0,value:0),time:(from:'2017-09-13T17:27:08-0600',mode:absolute,to:'2017-09-13T20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94" t="str">
        <f>IF(AA129&lt;VLOOKUP(AG129,Variables!$AC$3:$AD$8,2,FALSE),"Y","N")</f>
        <v>N</v>
      </c>
      <c r="X129" s="194">
        <f t="shared" si="47"/>
        <v>1</v>
      </c>
      <c r="Y129" s="194">
        <f t="shared" si="52"/>
        <v>23.300899999999999</v>
      </c>
      <c r="Z129" s="194">
        <f t="shared" si="53"/>
        <v>1.7399999999999999E-2</v>
      </c>
      <c r="AA129" s="194">
        <f t="shared" si="36"/>
        <v>23.2835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 t="shared" si="37"/>
        <v>214</v>
      </c>
      <c r="AE129" s="77" t="str">
        <f t="shared" si="38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29" s="74" t="str">
        <f t="shared" si="39"/>
        <v>"C:\Program Files (x86)\AstroGrep\AstroGrep.exe" /e /r /s /spath="%USERPROFILE%\AppData\Local\Temp\OnboardLogs" /stypes="app*4019*20170914*" /stext=" 01:.+((SYSTEM_STATE.+slice.+state.+changed )|(ment ac)|(multiple cpu faults)|(system.+state.+changed )|(\[timeout)|(PRM\|1\|D)|(kpr)|(kdp)|(train st.+moving)|(\|lc)|(penalty))"</v>
      </c>
      <c r="AG129" s="206" t="str">
        <f t="shared" si="40"/>
        <v>EC</v>
      </c>
      <c r="AH129" s="78" t="str">
        <f t="shared" si="41"/>
        <v>"%USERPROFILE%\Documents\GitHub\eaglep3\Utilities\RefineRTDCRunTimes.py" --tripid 214-13 --locoid 4019 --swversion DE.1.0.9.0 --startMP 204:233009 --initTime 2017-09-13T18:27:08 --startdatetime 2017-09-13T18:42:14 --delay 61 --endMP 204:174 --enddatetime 2017-09-13T19:19:36 --enforcementcount 0 &gt;&gt;C:\Users\stu\Documents\GitHub\eaglep3-reporting\EC\2017-09-13-refined-times.txt</v>
      </c>
      <c r="AI12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{"issue":{"subject":"","project_id":79,"tracker_id":40,"status_id":1,"priority_id":2,"assigned_to_id":338,"start_date":"2017-09-13","description":"","custom_fields":[{"id":1,"name":"Subdivision","value":"EC"},{"id":4,"name":"Milepost","value":"0.0174"},{"id":17,"name":"Train ID","value":"214-13"},{"id":16,"name":"Locomotive ID","value":"4019"},{"id":130,"name":"Impact","value":""},{"id":150,"name":"Time of Event (Mountain Time)","value":"19:19:36"},{"id":151,"name":"Denver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4019 --day 2017-09-13</v>
      </c>
      <c r="AN12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792</v>
      </c>
      <c r="B130" s="7">
        <v>4056</v>
      </c>
      <c r="C130" s="21" t="s">
        <v>197</v>
      </c>
      <c r="D130" s="21" t="s">
        <v>362</v>
      </c>
      <c r="E130" s="13">
        <v>42991.743726851855</v>
      </c>
      <c r="F130" s="13">
        <v>42991.7502662037</v>
      </c>
      <c r="G130" s="7">
        <v>75</v>
      </c>
      <c r="H130" s="21" t="s">
        <v>549</v>
      </c>
      <c r="I130" s="13">
        <v>42991.774571759262</v>
      </c>
      <c r="J130" s="7">
        <v>0</v>
      </c>
      <c r="K130" s="89" t="str">
        <f t="shared" si="29"/>
        <v>4055/4056</v>
      </c>
      <c r="L130" s="214" t="str">
        <f>VLOOKUP(A130,'Trips&amp;Operators'!$C$1:$G$99911,5,FALSE)</f>
        <v>HOLCOMB KAMDEN</v>
      </c>
      <c r="M130" s="6">
        <f t="shared" si="30"/>
        <v>2.4305555562023073E-2</v>
      </c>
      <c r="N130" s="7">
        <f t="shared" si="54"/>
        <v>35.000000009313226</v>
      </c>
      <c r="O130" s="7"/>
      <c r="P130" s="7"/>
      <c r="Q130" s="22"/>
      <c r="R130" s="167"/>
      <c r="S130" s="210">
        <f t="shared" si="55"/>
        <v>1</v>
      </c>
      <c r="T130" s="192" t="str">
        <f t="shared" si="31"/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32"/>
        <v>https://d0f6bd738d7f1b3e5a7ca70fe4ff75f0.us-east-1.aws.found.io/app/kibana#/discover/Steve-Slow-Train-Analysis-(2080s-and-2083s)?_g=(refreshInterval:(display:Off,pause:!f,section:0,value:0),time:(from:'2017-09-13T16:50:58-0600',mode:absolute,to:'2017-09-13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0" s="194" t="str">
        <f>IF(AA130&lt;VLOOKUP(AG130,Variables!$AC$3:$AD$8,2,FALSE),"Y","N")</f>
        <v>N</v>
      </c>
      <c r="X130" s="194">
        <f t="shared" si="47"/>
        <v>1</v>
      </c>
      <c r="Y130" s="194">
        <f t="shared" si="52"/>
        <v>4.5699999999999998E-2</v>
      </c>
      <c r="Z130" s="194">
        <f t="shared" si="53"/>
        <v>23.331900000000001</v>
      </c>
      <c r="AA130" s="194">
        <f t="shared" si="36"/>
        <v>23.286200000000001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 t="shared" si="37"/>
        <v>215</v>
      </c>
      <c r="AE130" s="77" t="str">
        <f t="shared" si="38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130" s="74" t="str">
        <f t="shared" si="39"/>
        <v>"C:\Program Files (x86)\AstroGrep\AstroGrep.exe" /e /r /s /spath="%USERPROFILE%\AppData\Local\Temp\OnboardLogs" /stypes="app*4056*20170914*" /stext=" 00:.+((SYSTEM_STATE.+slice.+state.+changed )|(ment ac)|(multiple cpu faults)|(system.+state.+changed )|(\[timeout)|(PRM\|1\|D)|(kpr)|(kdp)|(train st.+moving)|(\|lc)|(penalty))"</v>
      </c>
      <c r="AG130" s="206" t="str">
        <f t="shared" si="40"/>
        <v>EC</v>
      </c>
      <c r="AH130" s="78" t="str">
        <f t="shared" si="41"/>
        <v>"%USERPROFILE%\Documents\GitHub\eaglep3\Utilities\RefineRTDCRunTimes.py" --tripid 215-13 --locoid 4056 --swversion DE.1.0.9.0 --startMP 204:457 --initTime 2017-09-13T17:50:58 --startdatetime 2017-09-13T18:00:23 --delay 75 --endMP 204:233319 --enddatetime 2017-09-13T18:35:23 --enforcementcount 0 &gt;&gt;C:\Users\stu\Documents\GitHub\eaglep3-reporting\EC\2017-09-13-refined-times.txt</v>
      </c>
      <c r="AI13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{"issue":{"subject":"","project_id":79,"tracker_id":40,"status_id":1,"priority_id":2,"assigned_to_id":338,"start_date":"2017-09-13","description":"","custom_fields":[{"id":1,"name":"Subdivision","value":"EC"},{"id":4,"name":"Milepost","value":"23.3319"},{"id":17,"name":"Train ID","value":"215-13"},{"id":16,"name":"Locomotive ID","value":"4056"},{"id":130,"name":"Impact","value":""},{"id":150,"name":"Time of Event (Mountain Time)","value":"18:35:23"},{"id":151,"name":"Denver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4056 --day 2017-09-13</v>
      </c>
      <c r="AN13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803</v>
      </c>
      <c r="B131" s="7">
        <v>4055</v>
      </c>
      <c r="C131" s="21" t="s">
        <v>197</v>
      </c>
      <c r="D131" s="21" t="s">
        <v>442</v>
      </c>
      <c r="E131" s="13">
        <v>42991.784525462965</v>
      </c>
      <c r="F131" s="13">
        <v>42991.789895833332</v>
      </c>
      <c r="G131" s="7">
        <v>61</v>
      </c>
      <c r="H131" s="21" t="s">
        <v>340</v>
      </c>
      <c r="I131" s="13">
        <v>42991.81559027778</v>
      </c>
      <c r="J131" s="7">
        <v>0</v>
      </c>
      <c r="K131" s="89" t="str">
        <f t="shared" si="29"/>
        <v>4055/4056</v>
      </c>
      <c r="L131" s="214" t="str">
        <f>VLOOKUP(A131,'Trips&amp;Operators'!$C$1:$G$99911,5,FALSE)</f>
        <v>HOLCOMB KAMDEN</v>
      </c>
      <c r="M131" s="6">
        <f t="shared" si="30"/>
        <v>2.5694444448163267E-2</v>
      </c>
      <c r="N131" s="7">
        <f t="shared" si="54"/>
        <v>37.000000005355105</v>
      </c>
      <c r="O131" s="7"/>
      <c r="P131" s="7"/>
      <c r="Q131" s="22"/>
      <c r="R131" s="167"/>
      <c r="S131" s="210">
        <f t="shared" si="55"/>
        <v>1</v>
      </c>
      <c r="T131" s="192" t="str">
        <f t="shared" si="31"/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32"/>
        <v>https://d0f6bd738d7f1b3e5a7ca70fe4ff75f0.us-east-1.aws.found.io/app/kibana#/discover/Steve-Slow-Train-Analysis-(2080s-and-2083s)?_g=(refreshInterval:(display:Off,pause:!f,section:0,value:0),time:(from:'2017-09-13T17:49:43-0600',mode:absolute,to:'2017-09-13T20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1" s="194" t="str">
        <f>IF(AA131&lt;VLOOKUP(AG131,Variables!$AC$3:$AD$8,2,FALSE),"Y","N")</f>
        <v>N</v>
      </c>
      <c r="X131" s="194">
        <f t="shared" si="47"/>
        <v>1</v>
      </c>
      <c r="Y131" s="194">
        <f t="shared" si="52"/>
        <v>23.299600000000002</v>
      </c>
      <c r="Z131" s="194">
        <f t="shared" si="53"/>
        <v>1.43E-2</v>
      </c>
      <c r="AA131" s="194">
        <f t="shared" si="36"/>
        <v>23.285300000000003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 t="shared" si="37"/>
        <v>216</v>
      </c>
      <c r="AE131" s="77" t="str">
        <f t="shared" si="38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131" s="74" t="str">
        <f t="shared" si="39"/>
        <v>"C:\Program Files (x86)\AstroGrep\AstroGrep.exe" /e /r /s /spath="%USERPROFILE%\AppData\Local\Temp\OnboardLogs" /stypes="app*4055*20170914*" /stext=" 01:.+((SYSTEM_STATE.+slice.+state.+changed )|(ment ac)|(multiple cpu faults)|(system.+state.+changed )|(\[timeout)|(PRM\|1\|D)|(kpr)|(kdp)|(train st.+moving)|(\|lc)|(penalty))"</v>
      </c>
      <c r="AG131" s="206" t="str">
        <f t="shared" si="40"/>
        <v>EC</v>
      </c>
      <c r="AH131" s="78" t="str">
        <f t="shared" si="41"/>
        <v>"%USERPROFILE%\Documents\GitHub\eaglep3\Utilities\RefineRTDCRunTimes.py" --tripid 216-13 --locoid 4055 --swversion DE.1.0.9.0 --startMP 204:232996 --initTime 2017-09-13T18:49:43 --startdatetime 2017-09-13T18:57:27 --delay 61 --endMP 204:143 --enddatetime 2017-09-13T19:34:27 --enforcementcount 0 &gt;&gt;C:\Users\stu\Documents\GitHub\eaglep3-reporting\EC\2017-09-13-refined-times.txt</v>
      </c>
      <c r="AI13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{"issue":{"subject":"","project_id":79,"tracker_id":40,"status_id":1,"priority_id":2,"assigned_to_id":338,"start_date":"2017-09-13","description":"","custom_fields":[{"id":1,"name":"Subdivision","value":"EC"},{"id":4,"name":"Milepost","value":"0.0143"},{"id":17,"name":"Train ID","value":"216-13"},{"id":16,"name":"Locomotive ID","value":"4055"},{"id":130,"name":"Impact","value":""},{"id":150,"name":"Time of Event (Mountain Time)","value":"19:34:27"},{"id":151,"name":"Denver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4055 --day 2017-09-13</v>
      </c>
      <c r="AN13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796</v>
      </c>
      <c r="B132" s="7">
        <v>4028</v>
      </c>
      <c r="C132" s="21" t="s">
        <v>197</v>
      </c>
      <c r="D132" s="21" t="s">
        <v>500</v>
      </c>
      <c r="E132" s="13">
        <v>42991.759918981479</v>
      </c>
      <c r="F132" s="13">
        <v>42991.761979166666</v>
      </c>
      <c r="G132" s="7">
        <v>89</v>
      </c>
      <c r="H132" s="21" t="s">
        <v>494</v>
      </c>
      <c r="I132" s="13">
        <v>42991.786273148151</v>
      </c>
      <c r="J132" s="7">
        <v>0</v>
      </c>
      <c r="K132" s="89" t="str">
        <f t="shared" si="29"/>
        <v>4027/4028</v>
      </c>
      <c r="L132" s="214" t="str">
        <f>VLOOKUP(A132,'Trips&amp;Operators'!$C$1:$G$99911,5,FALSE)</f>
        <v>LOZA FIDEL</v>
      </c>
      <c r="M132" s="6">
        <f t="shared" si="30"/>
        <v>2.4293981485243421E-2</v>
      </c>
      <c r="N132" s="7">
        <f t="shared" si="54"/>
        <v>34.983333338750526</v>
      </c>
      <c r="O132" s="7"/>
      <c r="P132" s="7"/>
      <c r="Q132" s="22"/>
      <c r="R132" s="167"/>
      <c r="S132" s="210">
        <f t="shared" si="55"/>
        <v>1</v>
      </c>
      <c r="T132" s="192" t="str">
        <f t="shared" si="31"/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32"/>
        <v>https://d0f6bd738d7f1b3e5a7ca70fe4ff75f0.us-east-1.aws.found.io/app/kibana#/discover/Steve-Slow-Train-Analysis-(2080s-and-2083s)?_g=(refreshInterval:(display:Off,pause:!f,section:0,value:0),time:(from:'2017-09-13T17:14:17-0600',mode:absolute,to:'2017-09-13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94" t="str">
        <f>IF(AA132&lt;VLOOKUP(AG132,Variables!$AC$3:$AD$8,2,FALSE),"Y","N")</f>
        <v>N</v>
      </c>
      <c r="X132" s="194">
        <f t="shared" si="47"/>
        <v>1</v>
      </c>
      <c r="Y132" s="194">
        <f t="shared" si="52"/>
        <v>4.6600000000000003E-2</v>
      </c>
      <c r="Z132" s="194">
        <f t="shared" si="53"/>
        <v>23.330100000000002</v>
      </c>
      <c r="AA132" s="194">
        <f t="shared" si="36"/>
        <v>23.2835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 t="shared" si="37"/>
        <v>217</v>
      </c>
      <c r="AE132" s="77" t="str">
        <f t="shared" si="38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32" s="74" t="str">
        <f t="shared" si="39"/>
        <v>"C:\Program Files (x86)\AstroGrep\AstroGrep.exe" /e /r /s /spath="%USERPROFILE%\AppData\Local\Temp\OnboardLogs" /stypes="app*4028*20170914*" /stext=" 00:.+((SYSTEM_STATE.+slice.+state.+changed )|(ment ac)|(multiple cpu faults)|(system.+state.+changed )|(\[timeout)|(PRM\|1\|D)|(kpr)|(kdp)|(train st.+moving)|(\|lc)|(penalty))"</v>
      </c>
      <c r="AG132" s="206" t="str">
        <f t="shared" si="40"/>
        <v>EC</v>
      </c>
      <c r="AH132" s="78" t="str">
        <f t="shared" si="41"/>
        <v>"%USERPROFILE%\Documents\GitHub\eaglep3\Utilities\RefineRTDCRunTimes.py" --tripid 217-13 --locoid 4028 --swversion DE.1.0.9.0 --startMP 204:466 --initTime 2017-09-13T18:14:17 --startdatetime 2017-09-13T18:17:15 --delay 89 --endMP 204:233301 --enddatetime 2017-09-13T18:52:14 --enforcementcount 0 &gt;&gt;C:\Users\stu\Documents\GitHub\eaglep3-reporting\EC\2017-09-13-refined-times.txt</v>
      </c>
      <c r="AI13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{"issue":{"subject":"","project_id":79,"tracker_id":40,"status_id":1,"priority_id":2,"assigned_to_id":338,"start_date":"2017-09-13","description":"","custom_fields":[{"id":1,"name":"Subdivision","value":"EC"},{"id":4,"name":"Milepost","value":"23.3301"},{"id":17,"name":"Train ID","value":"217-13"},{"id":16,"name":"Locomotive ID","value":"4028"},{"id":130,"name":"Impact","value":""},{"id":150,"name":"Time of Event (Mountain Time)","value":"18:52:14"},{"id":151,"name":"Denver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4028 --day 2017-09-13</v>
      </c>
      <c r="AN13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807</v>
      </c>
      <c r="B133" s="7">
        <v>4027</v>
      </c>
      <c r="C133" s="21" t="s">
        <v>197</v>
      </c>
      <c r="D133" s="21" t="s">
        <v>500</v>
      </c>
      <c r="E133" s="13">
        <v>42991.759918981479</v>
      </c>
      <c r="F133" s="13">
        <v>42991.800312500003</v>
      </c>
      <c r="G133" s="7">
        <v>89</v>
      </c>
      <c r="H133" s="21" t="s">
        <v>494</v>
      </c>
      <c r="I133" s="13">
        <v>42991.82545138889</v>
      </c>
      <c r="J133" s="7">
        <v>0</v>
      </c>
      <c r="K133" s="89" t="str">
        <f t="shared" si="29"/>
        <v>4027/4028</v>
      </c>
      <c r="L133" s="214" t="str">
        <f>VLOOKUP(A133,'Trips&amp;Operators'!$C$1:$G$99911,5,FALSE)</f>
        <v>LOZA FIDEL</v>
      </c>
      <c r="M133" s="6">
        <f t="shared" si="30"/>
        <v>2.5138888886431232E-2</v>
      </c>
      <c r="N133" s="7">
        <f t="shared" si="54"/>
        <v>36.199999996460974</v>
      </c>
      <c r="O133" s="7"/>
      <c r="P133" s="7"/>
      <c r="Q133" s="22"/>
      <c r="R133" s="167" t="s">
        <v>1011</v>
      </c>
      <c r="S133" s="210">
        <f t="shared" si="55"/>
        <v>1</v>
      </c>
      <c r="T133" s="192" t="str">
        <f t="shared" si="31"/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32"/>
        <v>https://d0f6bd738d7f1b3e5a7ca70fe4ff75f0.us-east-1.aws.found.io/app/kibana#/discover/Steve-Slow-Train-Analysis-(2080s-and-2083s)?_g=(refreshInterval:(display:Off,pause:!f,section:0,value:0),time:(from:'2017-09-13T17:14:17-0600',mode:absolute,to:'2017-09-13T20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4" t="str">
        <f>IF(AA133&lt;VLOOKUP(AG133,Variables!$AC$3:$AD$8,2,FALSE),"Y","N")</f>
        <v>N</v>
      </c>
      <c r="X133" s="194">
        <f t="shared" si="47"/>
        <v>1</v>
      </c>
      <c r="Y133" s="194">
        <v>23.299600000000002</v>
      </c>
      <c r="Z133" s="194">
        <v>1.43E-2</v>
      </c>
      <c r="AA133" s="194">
        <f t="shared" si="36"/>
        <v>23.285300000000003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 t="shared" si="37"/>
        <v>218</v>
      </c>
      <c r="AE133" s="77" t="str">
        <f t="shared" si="38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33" s="74" t="str">
        <f t="shared" si="39"/>
        <v>"C:\Program Files (x86)\AstroGrep\AstroGrep.exe" /e /r /s /spath="%USERPROFILE%\AppData\Local\Temp\OnboardLogs" /stypes="app*4027*20170914*" /stext=" 01:.+((SYSTEM_STATE.+slice.+state.+changed )|(ment ac)|(multiple cpu faults)|(system.+state.+changed )|(\[timeout)|(PRM\|1\|D)|(kpr)|(kdp)|(train st.+moving)|(\|lc)|(penalty))"</v>
      </c>
      <c r="AG133" s="206" t="str">
        <f t="shared" si="40"/>
        <v>EC</v>
      </c>
      <c r="AH133" s="78" t="str">
        <f t="shared" ref="AH133" si="56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218-13 --locoid 4027 --swversion DE.1.0.9.0 --startMP 204:466 --initTime 2017-09-13T18:14:17 --startdatetime 2017-09-13T19:12:27 --delay 89 --endMP 204:233301 --enddatetime 2017-09-13T19:48:39 --enforcementcount 0 &gt;&gt;C:\Users\stu\Documents\GitHub\eaglep3-reporting\EC\2017-09-13-refined-times.txt</v>
      </c>
      <c r="AI133" s="96" t="str">
        <f t="shared" ref="AI133" si="57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{"issue":{"subject":"Consist spam observed, issue resolved after operating day conclusion","project_id":79,"tracker_id":40,"status_id":1,"priority_id":2,"assigned_to_id":338,"start_date":"2017-09-13","description":"","custom_fields":[{"id":1,"name":"Subdivision","value":"EC"},{"id":4,"name":"Milepost","value":"0.0143"},{"id":17,"name":"Train ID","value":"218-13"},{"id":16,"name":"Locomotive ID","value":"4027"},{"id":130,"name":"Impact","value":""},{"id":150,"name":"Time of Event (Mountain Time)","value":"19:48:39"},{"id":151,"name":"Denver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ref="AM133" si="58">"start /low /b "&amp;dls3logs&amp;" --loco "&amp;B133&amp;" --day "&amp;TEXT(F133,"YYYY-MM-DD")</f>
        <v>start /low /b %USERPROFILE%\Documents\GitHub\eaglep3\Utilities\DownloadLogsFromS3.py --loco 4027 --day 2017-09-13</v>
      </c>
      <c r="AN133" s="151" t="str">
        <f t="shared" ref="AN133" si="59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{"issue":{"subject":"Consist spam observed, issue resolved after operating day conclusion","project_id":30,"tracker_id":4,"status_id":1,"priority_id":1,"assigned_to_id":10,"start_date":"2017-09-14","description":"","custom_fields":[{"id":30,"name":"Category","value":"Issue"},{"id":3,"name":"Functional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4" spans="1:91" s="20" customFormat="1" x14ac:dyDescent="0.25">
      <c r="A134" s="32" t="s">
        <v>798</v>
      </c>
      <c r="B134" s="7">
        <v>4016</v>
      </c>
      <c r="C134" s="21" t="s">
        <v>197</v>
      </c>
      <c r="D134" s="21" t="s">
        <v>361</v>
      </c>
      <c r="E134" s="13">
        <v>42991.767789351848</v>
      </c>
      <c r="F134" s="13">
        <v>42991.771018518521</v>
      </c>
      <c r="G134" s="7">
        <v>65</v>
      </c>
      <c r="H134" s="21" t="s">
        <v>458</v>
      </c>
      <c r="I134" s="13">
        <v>42991.795601851853</v>
      </c>
      <c r="J134" s="7">
        <v>0</v>
      </c>
      <c r="K134" s="89" t="str">
        <f t="shared" si="29"/>
        <v>4015/4016</v>
      </c>
      <c r="L134" s="214" t="str">
        <f>VLOOKUP(A134,'Trips&amp;Operators'!$C$1:$G$99911,5,FALSE)</f>
        <v>HART KEVIN</v>
      </c>
      <c r="M134" s="6">
        <f t="shared" si="30"/>
        <v>2.4583333331975155E-2</v>
      </c>
      <c r="N134" s="7">
        <f t="shared" si="54"/>
        <v>35.399999998044223</v>
      </c>
      <c r="O134" s="7"/>
      <c r="P134" s="7"/>
      <c r="Q134" s="22"/>
      <c r="R134" s="167"/>
      <c r="S134" s="210">
        <f t="shared" si="55"/>
        <v>1</v>
      </c>
      <c r="T134" s="192" t="str">
        <f t="shared" si="31"/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32"/>
        <v>https://d0f6bd738d7f1b3e5a7ca70fe4ff75f0.us-east-1.aws.found.io/app/kibana#/discover/Steve-Slow-Train-Analysis-(2080s-and-2083s)?_g=(refreshInterval:(display:Off,pause:!f,section:0,value:0),time:(from:'2017-09-13T17:25:37-0600',mode:absolute,to:'2017-09-13T20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4" t="str">
        <f>IF(AA134&lt;VLOOKUP(AG134,Variables!$AC$3:$AD$8,2,FALSE),"Y","N")</f>
        <v>N</v>
      </c>
      <c r="X134" s="194">
        <f t="shared" si="47"/>
        <v>1</v>
      </c>
      <c r="Y134" s="194">
        <f t="shared" ref="Y134:Y148" si="60">RIGHT(D134,LEN(D134)-4)/10000</f>
        <v>4.4900000000000002E-2</v>
      </c>
      <c r="Z134" s="194">
        <f t="shared" ref="Z134:Z148" si="61">RIGHT(H134,LEN(H134)-4)/10000</f>
        <v>23.331199999999999</v>
      </c>
      <c r="AA134" s="194">
        <f t="shared" si="36"/>
        <v>23.286300000000001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 t="shared" si="37"/>
        <v>219</v>
      </c>
      <c r="AE134" s="77" t="str">
        <f t="shared" si="38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34" s="74" t="str">
        <f t="shared" si="39"/>
        <v>"C:\Program Files (x86)\AstroGrep\AstroGrep.exe" /e /r /s /spath="%USERPROFILE%\AppData\Local\Temp\OnboardLogs" /stypes="app*4016*20170914*" /stext=" 01:.+((SYSTEM_STATE.+slice.+state.+changed )|(ment ac)|(multiple cpu faults)|(system.+state.+changed )|(\[timeout)|(PRM\|1\|D)|(kpr)|(kdp)|(train st.+moving)|(\|lc)|(penalty))"</v>
      </c>
      <c r="AG134" s="206" t="str">
        <f t="shared" si="40"/>
        <v>EC</v>
      </c>
      <c r="AH134" s="78" t="str">
        <f t="shared" si="41"/>
        <v>"%USERPROFILE%\Documents\GitHub\eaglep3\Utilities\RefineRTDCRunTimes.py" --tripid 219-13 --locoid 4016 --swversion DE.1.0.9.0 --startMP 204:449 --initTime 2017-09-13T18:25:37 --startdatetime 2017-09-13T18:30:16 --delay 65 --endMP 204:233312 --enddatetime 2017-09-13T19:05:40 --enforcementcount 0 &gt;&gt;C:\Users\stu\Documents\GitHub\eaglep3-reporting\EC\2017-09-13-refined-times.txt</v>
      </c>
      <c r="AI134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ID","value":"219-13"},{"id":16,"name":"Locomotive ID","value":"4016"},{"id":130,"name":"Impact","value":""},{"id":150,"name":"Time of Event (Mountain Time)","value":"19:05:40"},{"id":151,"name":"Denver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4016 --day 2017-09-13</v>
      </c>
      <c r="AN134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808</v>
      </c>
      <c r="B135" s="7">
        <v>4015</v>
      </c>
      <c r="C135" s="21" t="s">
        <v>197</v>
      </c>
      <c r="D135" s="21" t="s">
        <v>533</v>
      </c>
      <c r="E135" s="13">
        <v>42991.80709490741</v>
      </c>
      <c r="F135" s="13">
        <v>42991.810636574075</v>
      </c>
      <c r="G135" s="7">
        <v>62</v>
      </c>
      <c r="H135" s="21" t="s">
        <v>340</v>
      </c>
      <c r="I135" s="13">
        <v>42991.836365740739</v>
      </c>
      <c r="J135" s="7">
        <v>0</v>
      </c>
      <c r="K135" s="89" t="str">
        <f t="shared" si="29"/>
        <v>4015/4016</v>
      </c>
      <c r="L135" s="214" t="str">
        <f>VLOOKUP(A135,'Trips&amp;Operators'!$C$1:$G$99911,5,FALSE)</f>
        <v>HART KEVIN</v>
      </c>
      <c r="M135" s="6">
        <f t="shared" si="30"/>
        <v>2.5729166663950309E-2</v>
      </c>
      <c r="N135" s="7">
        <f t="shared" si="54"/>
        <v>37.049999996088445</v>
      </c>
      <c r="O135" s="7"/>
      <c r="P135" s="7"/>
      <c r="Q135" s="22"/>
      <c r="R135" s="167"/>
      <c r="S135" s="210">
        <f t="shared" si="55"/>
        <v>1</v>
      </c>
      <c r="T135" s="192" t="str">
        <f t="shared" si="31"/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32"/>
        <v>https://d0f6bd738d7f1b3e5a7ca70fe4ff75f0.us-east-1.aws.found.io/app/kibana#/discover/Steve-Slow-Train-Analysis-(2080s-and-2083s)?_g=(refreshInterval:(display:Off,pause:!f,section:0,value:0),time:(from:'2017-09-13T18:22:13-0600',mode:absolute,to:'2017-09-13T21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4" t="str">
        <f>IF(AA135&lt;VLOOKUP(AG135,Variables!$AC$3:$AD$8,2,FALSE),"Y","N")</f>
        <v>N</v>
      </c>
      <c r="X135" s="194">
        <f t="shared" si="47"/>
        <v>1</v>
      </c>
      <c r="Y135" s="194">
        <f t="shared" si="60"/>
        <v>23.3004</v>
      </c>
      <c r="Z135" s="194">
        <f t="shared" si="61"/>
        <v>1.43E-2</v>
      </c>
      <c r="AA135" s="194">
        <f t="shared" si="36"/>
        <v>23.286100000000001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 t="shared" si="37"/>
        <v>220</v>
      </c>
      <c r="AE135" s="77" t="str">
        <f t="shared" si="38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135" s="74" t="str">
        <f t="shared" si="39"/>
        <v>"C:\Program Files (x86)\AstroGrep\AstroGrep.exe" /e /r /s /spath="%USERPROFILE%\AppData\Local\Temp\OnboardLogs" /stypes="app*4015*20170914*" /stext=" 02:.+((SYSTEM_STATE.+slice.+state.+changed )|(ment ac)|(multiple cpu faults)|(system.+state.+changed )|(\[timeout)|(PRM\|1\|D)|(kpr)|(kdp)|(train st.+moving)|(\|lc)|(penalty))"</v>
      </c>
      <c r="AG135" s="206" t="str">
        <f t="shared" si="40"/>
        <v>EC</v>
      </c>
      <c r="AH135" s="78" t="str">
        <f t="shared" si="41"/>
        <v>"%USERPROFILE%\Documents\GitHub\eaglep3\Utilities\RefineRTDCRunTimes.py" --tripid 220-13 --locoid 4015 --swversion DE.1.0.9.0 --startMP 204:233004 --initTime 2017-09-13T19:22:13 --startdatetime 2017-09-13T19:27:19 --delay 62 --endMP 204:143 --enddatetime 2017-09-13T20:04:22 --enforcementcount 0 &gt;&gt;C:\Users\stu\Documents\GitHub\eaglep3-reporting\EC\2017-09-13-refined-times.txt</v>
      </c>
      <c r="AI135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{"issue":{"subject":"","project_id":79,"tracker_id":40,"status_id":1,"priority_id":2,"assigned_to_id":338,"start_date":"2017-09-13","description":"","custom_fields":[{"id":1,"name":"Subdivision","value":"EC"},{"id":4,"name":"Milepost","value":"0.0143"},{"id":17,"name":"Train ID","value":"220-13"},{"id":16,"name":"Locomotive ID","value":"4015"},{"id":130,"name":"Impact","value":""},{"id":150,"name":"Time of Event (Mountain Time)","value":"20:04:22"},{"id":151,"name":"Denver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4015 --day 2017-09-13</v>
      </c>
      <c r="AN135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604</v>
      </c>
      <c r="B136" s="7">
        <v>4006</v>
      </c>
      <c r="C136" s="21" t="s">
        <v>197</v>
      </c>
      <c r="D136" s="21" t="s">
        <v>365</v>
      </c>
      <c r="E136" s="13">
        <v>42991.785624999997</v>
      </c>
      <c r="F136" s="13">
        <v>42991.792094907411</v>
      </c>
      <c r="G136" s="7">
        <v>81</v>
      </c>
      <c r="H136" s="21" t="s">
        <v>541</v>
      </c>
      <c r="I136" s="13">
        <v>42991.817777777775</v>
      </c>
      <c r="J136" s="7">
        <v>0</v>
      </c>
      <c r="K136" s="89" t="str">
        <f t="shared" si="29"/>
        <v>4005/4006</v>
      </c>
      <c r="L136" s="214" t="str">
        <f>VLOOKUP(A136,'Trips&amp;Operators'!$C$1:$G$99911,5,FALSE)</f>
        <v>PERKINS DARREN</v>
      </c>
      <c r="M136" s="6">
        <f t="shared" si="30"/>
        <v>2.5682870364107657E-2</v>
      </c>
      <c r="N136" s="7">
        <f t="shared" si="54"/>
        <v>36.983333324315026</v>
      </c>
      <c r="O136" s="7"/>
      <c r="P136" s="7"/>
      <c r="Q136" s="22"/>
      <c r="R136" s="167"/>
      <c r="S136" s="210">
        <f t="shared" si="55"/>
        <v>1</v>
      </c>
      <c r="T136" s="192" t="str">
        <f t="shared" si="31"/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32"/>
        <v>https://d0f6bd738d7f1b3e5a7ca70fe4ff75f0.us-east-1.aws.found.io/app/kibana#/discover/Steve-Slow-Train-Analysis-(2080s-and-2083s)?_g=(refreshInterval:(display:Off,pause:!f,section:0,value:0),time:(from:'2017-09-13T17:51:18-0600',mode:absolute,to:'2017-09-13T20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194" t="str">
        <f>IF(AA136&lt;VLOOKUP(AG136,Variables!$AC$3:$AD$8,2,FALSE),"Y","N")</f>
        <v>N</v>
      </c>
      <c r="X136" s="194">
        <f t="shared" si="47"/>
        <v>1</v>
      </c>
      <c r="Y136" s="194">
        <f t="shared" si="60"/>
        <v>4.6399999999999997E-2</v>
      </c>
      <c r="Z136" s="194">
        <f t="shared" si="61"/>
        <v>23.3353</v>
      </c>
      <c r="AA136" s="194">
        <f t="shared" si="36"/>
        <v>23.288900000000002</v>
      </c>
      <c r="AB136" s="54" t="str">
        <f>VLOOKUP(A136,Enforcements!$C$7:$K$11,8,0)</f>
        <v>Bulletin (2)</v>
      </c>
      <c r="AC136" s="51" t="str">
        <f>VLOOKUP(A136,Enforcements!$C$7:$E$11,3,0)</f>
        <v>GRADE CROSSING</v>
      </c>
      <c r="AD136" s="203">
        <f t="shared" si="37"/>
        <v>221</v>
      </c>
      <c r="AE136" s="77" t="str">
        <f t="shared" si="38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36" s="74" t="str">
        <f t="shared" si="39"/>
        <v>"C:\Program Files (x86)\AstroGrep\AstroGrep.exe" /e /r /s /spath="%USERPROFILE%\AppData\Local\Temp\OnboardLogs" /stypes="app*4006*20170914*" /stext=" 01:.+((SYSTEM_STATE.+slice.+state.+changed )|(ment ac)|(multiple cpu faults)|(system.+state.+changed )|(\[timeout)|(PRM\|1\|D)|(kpr)|(kdp)|(train st.+moving)|(\|lc)|(penalty))"</v>
      </c>
      <c r="AG136" s="206" t="str">
        <f t="shared" si="40"/>
        <v>EC</v>
      </c>
      <c r="AH136" s="78" t="str">
        <f t="shared" si="41"/>
        <v>"%USERPROFILE%\Documents\GitHub\eaglep3\Utilities\RefineRTDCRunTimes.py" --tripid 221-13 --locoid 4006 --swversion DE.1.0.9.0 --startMP 204:464 --initTime 2017-09-13T18:51:18 --startdatetime 2017-09-13T19:00:37 --delay 81 --endMP 204:233353 --enddatetime 2017-09-13T19:37:36 --enforcementcount 0 &gt;&gt;C:\Users\stu\Documents\GitHub\eaglep3-reporting\EC\2017-09-13-refined-times.txt</v>
      </c>
      <c r="AI136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{"issue":{"subject":"","project_id":79,"tracker_id":40,"status_id":1,"priority_id":2,"assigned_to_id":338,"start_date":"2017-09-13","description":"","custom_fields":[{"id":1,"name":"Subdivision","value":"EC"},{"id":4,"name":"Milepost","value":"23.3353"},{"id":17,"name":"Train ID","value":"221-13"},{"id":16,"name":"Locomotive ID","value":"4006"},{"id":130,"name":"Impact","value":""},{"id":150,"name":"Time of Event (Mountain Time)","value":"19:37:36"},{"id":151,"name":"Denver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4006 --day 2017-09-13</v>
      </c>
      <c r="AN136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812</v>
      </c>
      <c r="B137" s="7">
        <v>4005</v>
      </c>
      <c r="C137" s="21" t="s">
        <v>197</v>
      </c>
      <c r="D137" s="21" t="s">
        <v>874</v>
      </c>
      <c r="E137" s="13">
        <v>42991.825115740743</v>
      </c>
      <c r="F137" s="13">
        <v>42991.831631944442</v>
      </c>
      <c r="G137" s="7">
        <v>78</v>
      </c>
      <c r="H137" s="21" t="s">
        <v>493</v>
      </c>
      <c r="I137" s="13">
        <v>42991.857372685183</v>
      </c>
      <c r="J137" s="7">
        <v>0</v>
      </c>
      <c r="K137" s="89" t="str">
        <f t="shared" si="29"/>
        <v>4005/4006</v>
      </c>
      <c r="L137" s="214" t="str">
        <f>VLOOKUP(A137,'Trips&amp;Operators'!$C$1:$G$99911,5,FALSE)</f>
        <v>PERKINS DARREN</v>
      </c>
      <c r="M137" s="6">
        <f t="shared" si="30"/>
        <v>2.5740740740729962E-2</v>
      </c>
      <c r="N137" s="7">
        <f t="shared" si="54"/>
        <v>37.066666666651145</v>
      </c>
      <c r="O137" s="7"/>
      <c r="P137" s="7"/>
      <c r="Q137" s="22"/>
      <c r="R137" s="167"/>
      <c r="S137" s="210">
        <f t="shared" si="55"/>
        <v>1</v>
      </c>
      <c r="T137" s="192" t="str">
        <f t="shared" si="31"/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32"/>
        <v>https://d0f6bd738d7f1b3e5a7ca70fe4ff75f0.us-east-1.aws.found.io/app/kibana#/discover/Steve-Slow-Train-Analysis-(2080s-and-2083s)?_g=(refreshInterval:(display:Off,pause:!f,section:0,value:0),time:(from:'2017-09-13T18:48:10-0600',mode:absolute,to:'2017-09-13T21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194" t="str">
        <f>IF(AA137&lt;VLOOKUP(AG137,Variables!$AC$3:$AD$8,2,FALSE),"Y","N")</f>
        <v>N</v>
      </c>
      <c r="X137" s="194">
        <f t="shared" si="47"/>
        <v>1</v>
      </c>
      <c r="Y137" s="194">
        <f t="shared" si="60"/>
        <v>23.300999999999998</v>
      </c>
      <c r="Z137" s="194">
        <f t="shared" si="61"/>
        <v>1.2500000000000001E-2</v>
      </c>
      <c r="AA137" s="194">
        <f t="shared" si="36"/>
        <v>23.288499999999999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 t="shared" si="37"/>
        <v>222</v>
      </c>
      <c r="AE137" s="77" t="str">
        <f t="shared" si="38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37" s="74" t="str">
        <f t="shared" si="39"/>
        <v>"C:\Program Files (x86)\AstroGrep\AstroGrep.exe" /e /r /s /spath="%USERPROFILE%\AppData\Local\Temp\OnboardLogs" /stypes="app*4005*20170914*" /stext=" 02:.+((SYSTEM_STATE.+slice.+state.+changed )|(ment ac)|(multiple cpu faults)|(system.+state.+changed )|(\[timeout)|(PRM\|1\|D)|(kpr)|(kdp)|(train st.+moving)|(\|lc)|(penalty))"</v>
      </c>
      <c r="AG137" s="206" t="str">
        <f t="shared" si="40"/>
        <v>EC</v>
      </c>
      <c r="AH137" s="78" t="str">
        <f t="shared" si="41"/>
        <v>"%USERPROFILE%\Documents\GitHub\eaglep3\Utilities\RefineRTDCRunTimes.py" --tripid 222-13 --locoid 4005 --swversion DE.1.0.9.0 --startMP 204:233010 --initTime 2017-09-13T19:48:10 --startdatetime 2017-09-13T19:57:33 --delay 78 --endMP 204:125 --enddatetime 2017-09-13T20:34:37 --enforcementcount 0 &gt;&gt;C:\Users\stu\Documents\GitHub\eaglep3-reporting\EC\2017-09-13-refined-times.txt</v>
      </c>
      <c r="AI137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{"issue":{"subject":"","project_id":79,"tracker_id":40,"status_id":1,"priority_id":2,"assigned_to_id":338,"start_date":"2017-09-13","description":"","custom_fields":[{"id":1,"name":"Subdivision","value":"EC"},{"id":4,"name":"Milepost","value":"0.0125"},{"id":17,"name":"Train ID","value":"222-13"},{"id":16,"name":"Locomotive ID","value":"4005"},{"id":130,"name":"Impact","value":""},{"id":150,"name":"Time of Event (Mountain Time)","value":"20:34:37"},{"id":151,"name":"Denver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4005 --day 2017-09-13</v>
      </c>
      <c r="AN137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809</v>
      </c>
      <c r="B138" s="7">
        <v>4020</v>
      </c>
      <c r="C138" s="21" t="s">
        <v>197</v>
      </c>
      <c r="D138" s="21" t="s">
        <v>538</v>
      </c>
      <c r="E138" s="13">
        <v>42991.808541666665</v>
      </c>
      <c r="F138" s="13">
        <v>42991.812662037039</v>
      </c>
      <c r="G138" s="7">
        <v>64</v>
      </c>
      <c r="H138" s="21" t="s">
        <v>503</v>
      </c>
      <c r="I138" s="13">
        <v>42991.837835648148</v>
      </c>
      <c r="J138" s="7">
        <v>0</v>
      </c>
      <c r="K138" s="89" t="str">
        <f t="shared" si="29"/>
        <v>4019/4020</v>
      </c>
      <c r="L138" s="214" t="str">
        <f>VLOOKUP(A138,'Trips&amp;Operators'!$C$1:$G$99911,5,FALSE)</f>
        <v>DUNCAN SHEILA</v>
      </c>
      <c r="M138" s="6">
        <f t="shared" si="30"/>
        <v>2.5173611109494232E-2</v>
      </c>
      <c r="N138" s="7">
        <f t="shared" si="54"/>
        <v>36.249999997671694</v>
      </c>
      <c r="O138" s="7"/>
      <c r="P138" s="7"/>
      <c r="Q138" s="22"/>
      <c r="R138" s="167"/>
      <c r="S138" s="210">
        <f t="shared" si="55"/>
        <v>1</v>
      </c>
      <c r="T138" s="192" t="str">
        <f t="shared" si="31"/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32"/>
        <v>https://d0f6bd738d7f1b3e5a7ca70fe4ff75f0.us-east-1.aws.found.io/app/kibana#/discover/Steve-Slow-Train-Analysis-(2080s-and-2083s)?_g=(refreshInterval:(display:Off,pause:!f,section:0,value:0),time:(from:'2017-09-13T18:24:18-0600',mode:absolute,to:'2017-09-13T21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94" t="str">
        <f>IF(AA138&lt;VLOOKUP(AG138,Variables!$AC$3:$AD$8,2,FALSE),"Y","N")</f>
        <v>N</v>
      </c>
      <c r="X138" s="194">
        <f t="shared" si="47"/>
        <v>1</v>
      </c>
      <c r="Y138" s="194">
        <f t="shared" si="60"/>
        <v>4.4699999999999997E-2</v>
      </c>
      <c r="Z138" s="194">
        <f t="shared" si="61"/>
        <v>23.332100000000001</v>
      </c>
      <c r="AA138" s="194">
        <f t="shared" si="36"/>
        <v>23.287400000000002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 t="shared" si="37"/>
        <v>223</v>
      </c>
      <c r="AE138" s="77" t="str">
        <f t="shared" si="38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38" s="74" t="str">
        <f t="shared" si="39"/>
        <v>"C:\Program Files (x86)\AstroGrep\AstroGrep.exe" /e /r /s /spath="%USERPROFILE%\AppData\Local\Temp\OnboardLogs" /stypes="app*4020*20170914*" /stext=" 02:.+((SYSTEM_STATE.+slice.+state.+changed )|(ment ac)|(multiple cpu faults)|(system.+state.+changed )|(\[timeout)|(PRM\|1\|D)|(kpr)|(kdp)|(train st.+moving)|(\|lc)|(penalty))"</v>
      </c>
      <c r="AG138" s="206" t="str">
        <f t="shared" si="40"/>
        <v>EC</v>
      </c>
      <c r="AH138" s="78" t="str">
        <f t="shared" si="41"/>
        <v>"%USERPROFILE%\Documents\GitHub\eaglep3\Utilities\RefineRTDCRunTimes.py" --tripid 223-13 --locoid 4020 --swversion DE.1.0.9.0 --startMP 204:447 --initTime 2017-09-13T19:24:18 --startdatetime 2017-09-13T19:30:14 --delay 64 --endMP 204:233321 --enddatetime 2017-09-13T20:06:29 --enforcementcount 0 &gt;&gt;C:\Users\stu\Documents\GitHub\eaglep3-reporting\EC\2017-09-13-refined-times.txt</v>
      </c>
      <c r="AI138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{"issue":{"subject":"","project_id":79,"tracker_id":40,"status_id":1,"priority_id":2,"assigned_to_id":338,"start_date":"2017-09-13","description":"","custom_fields":[{"id":1,"name":"Subdivision","value":"EC"},{"id":4,"name":"Milepost","value":"23.3321"},{"id":17,"name":"Train ID","value":"223-13"},{"id":16,"name":"Locomotive ID","value":"4020"},{"id":130,"name":"Impact","value":""},{"id":150,"name":"Time of Event (Mountain Time)","value":"20:06:29"},{"id":151,"name":"Denver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4020 --day 2017-09-13</v>
      </c>
      <c r="AN138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815</v>
      </c>
      <c r="B139" s="7">
        <v>4019</v>
      </c>
      <c r="C139" s="21" t="s">
        <v>197</v>
      </c>
      <c r="D139" s="21" t="s">
        <v>870</v>
      </c>
      <c r="E139" s="13">
        <v>42991.8440162037</v>
      </c>
      <c r="F139" s="13">
        <v>42991.852303240739</v>
      </c>
      <c r="G139" s="7">
        <v>61</v>
      </c>
      <c r="H139" s="21" t="s">
        <v>340</v>
      </c>
      <c r="I139" s="13">
        <v>42991.878229166665</v>
      </c>
      <c r="J139" s="7">
        <v>0</v>
      </c>
      <c r="K139" s="89" t="str">
        <f t="shared" si="29"/>
        <v>4019/4020</v>
      </c>
      <c r="L139" s="214" t="str">
        <f>VLOOKUP(A139,'Trips&amp;Operators'!$C$1:$G$99911,5,FALSE)</f>
        <v>DUNCAN SHEILA</v>
      </c>
      <c r="M139" s="6">
        <f t="shared" si="30"/>
        <v>2.5925925925548654E-2</v>
      </c>
      <c r="N139" s="7">
        <f t="shared" si="54"/>
        <v>37.333333332790062</v>
      </c>
      <c r="O139" s="7"/>
      <c r="P139" s="7"/>
      <c r="Q139" s="22"/>
      <c r="R139" s="167"/>
      <c r="S139" s="210">
        <f t="shared" si="55"/>
        <v>1</v>
      </c>
      <c r="T139" s="192" t="str">
        <f t="shared" si="31"/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32"/>
        <v>https://d0f6bd738d7f1b3e5a7ca70fe4ff75f0.us-east-1.aws.found.io/app/kibana#/discover/Steve-Slow-Train-Analysis-(2080s-and-2083s)?_g=(refreshInterval:(display:Off,pause:!f,section:0,value:0),time:(from:'2017-09-13T19:15:23-0600',mode:absolute,to:'2017-09-13T22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94" t="str">
        <f>IF(AA139&lt;VLOOKUP(AG139,Variables!$AC$3:$AD$8,2,FALSE),"Y","N")</f>
        <v>N</v>
      </c>
      <c r="X139" s="194">
        <f t="shared" si="47"/>
        <v>1</v>
      </c>
      <c r="Y139" s="194">
        <f t="shared" si="60"/>
        <v>23.302299999999999</v>
      </c>
      <c r="Z139" s="194">
        <f t="shared" si="61"/>
        <v>1.43E-2</v>
      </c>
      <c r="AA139" s="194">
        <f t="shared" si="36"/>
        <v>23.288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 t="shared" si="37"/>
        <v>224</v>
      </c>
      <c r="AE139" s="77" t="str">
        <f t="shared" si="38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39" s="74" t="str">
        <f t="shared" si="39"/>
        <v>"C:\Program Files (x86)\AstroGrep\AstroGrep.exe" /e /r /s /spath="%USERPROFILE%\AppData\Local\Temp\OnboardLogs" /stypes="app*4019*20170914*" /stext=" 03:.+((SYSTEM_STATE.+slice.+state.+changed )|(ment ac)|(multiple cpu faults)|(system.+state.+changed )|(\[timeout)|(PRM\|1\|D)|(kpr)|(kdp)|(train st.+moving)|(\|lc)|(penalty))"</v>
      </c>
      <c r="AG139" s="206" t="str">
        <f t="shared" si="40"/>
        <v>EC</v>
      </c>
      <c r="AH139" s="78" t="str">
        <f t="shared" si="41"/>
        <v>"%USERPROFILE%\Documents\GitHub\eaglep3\Utilities\RefineRTDCRunTimes.py" --tripid 224-13 --locoid 4019 --swversion DE.1.0.9.0 --startMP 204:233023 --initTime 2017-09-13T20:15:23 --startdatetime 2017-09-13T20:27:19 --delay 61 --endMP 204:143 --enddatetime 2017-09-13T21:04:39 --enforcementcount 0 &gt;&gt;C:\Users\stu\Documents\GitHub\eaglep3-reporting\EC\2017-09-13-refined-times.txt</v>
      </c>
      <c r="AI139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{"issue":{"subject":"","project_id":79,"tracker_id":40,"status_id":1,"priority_id":2,"assigned_to_id":338,"start_date":"2017-09-13","description":"","custom_fields":[{"id":1,"name":"Subdivision","value":"EC"},{"id":4,"name":"Milepost","value":"0.0143"},{"id":17,"name":"Train ID","value":"224-13"},{"id":16,"name":"Locomotive ID","value":"4019"},{"id":130,"name":"Impact","value":""},{"id":150,"name":"Time of Event (Mountain Time)","value":"21:04:39"},{"id":151,"name":"Denver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4019 --day 2017-09-13</v>
      </c>
      <c r="AN139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813</v>
      </c>
      <c r="B140" s="7">
        <v>4028</v>
      </c>
      <c r="C140" s="21" t="s">
        <v>197</v>
      </c>
      <c r="D140" s="21" t="s">
        <v>341</v>
      </c>
      <c r="E140" s="13">
        <v>42991.830416666664</v>
      </c>
      <c r="F140" s="13">
        <v>42991.833541666667</v>
      </c>
      <c r="G140" s="7">
        <v>91</v>
      </c>
      <c r="H140" s="21" t="s">
        <v>888</v>
      </c>
      <c r="I140" s="13">
        <v>42991.857743055552</v>
      </c>
      <c r="J140" s="7">
        <v>0</v>
      </c>
      <c r="K140" s="89" t="str">
        <f t="shared" si="29"/>
        <v>4027/4028</v>
      </c>
      <c r="L140" s="214" t="str">
        <f>VLOOKUP(A140,'Trips&amp;Operators'!$C$1:$G$99911,5,FALSE)</f>
        <v>LOZA FIDEL</v>
      </c>
      <c r="M140" s="6">
        <f t="shared" si="30"/>
        <v>2.4201388885558117E-2</v>
      </c>
      <c r="N140" s="7">
        <f t="shared" si="54"/>
        <v>34.849999995203689</v>
      </c>
      <c r="O140" s="7"/>
      <c r="P140" s="7"/>
      <c r="Q140" s="22"/>
      <c r="R140" s="167"/>
      <c r="S140" s="210">
        <f t="shared" si="55"/>
        <v>1</v>
      </c>
      <c r="T140" s="192" t="str">
        <f t="shared" si="31"/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32"/>
        <v>https://d0f6bd738d7f1b3e5a7ca70fe4ff75f0.us-east-1.aws.found.io/app/kibana#/discover/Steve-Slow-Train-Analysis-(2080s-and-2083s)?_g=(refreshInterval:(display:Off,pause:!f,section:0,value:0),time:(from:'2017-09-13T18:55:48-0600',mode:absolute,to:'2017-09-13T21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94" t="str">
        <f>IF(AA140&lt;VLOOKUP(AG140,Variables!$AC$3:$AD$8,2,FALSE),"Y","N")</f>
        <v>N</v>
      </c>
      <c r="X140" s="194">
        <f t="shared" si="47"/>
        <v>1</v>
      </c>
      <c r="Y140" s="194">
        <f t="shared" si="60"/>
        <v>4.53E-2</v>
      </c>
      <c r="Z140" s="194">
        <f t="shared" si="61"/>
        <v>23.334199999999999</v>
      </c>
      <c r="AA140" s="194">
        <f t="shared" si="36"/>
        <v>23.288899999999998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 t="shared" si="37"/>
        <v>225</v>
      </c>
      <c r="AE140" s="77" t="str">
        <f t="shared" si="38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40" s="74" t="str">
        <f t="shared" si="39"/>
        <v>"C:\Program Files (x86)\AstroGrep\AstroGrep.exe" /e /r /s /spath="%USERPROFILE%\AppData\Local\Temp\OnboardLogs" /stypes="app*4028*20170914*" /stext=" 02:.+((SYSTEM_STATE.+slice.+state.+changed )|(ment ac)|(multiple cpu faults)|(system.+state.+changed )|(\[timeout)|(PRM\|1\|D)|(kpr)|(kdp)|(train st.+moving)|(\|lc)|(penalty))"</v>
      </c>
      <c r="AG140" s="206" t="str">
        <f t="shared" si="40"/>
        <v>EC</v>
      </c>
      <c r="AH140" s="78" t="str">
        <f t="shared" si="41"/>
        <v>"%USERPROFILE%\Documents\GitHub\eaglep3\Utilities\RefineRTDCRunTimes.py" --tripid 225-13 --locoid 4028 --swversion DE.1.0.9.0 --startMP 204:453 --initTime 2017-09-13T19:55:48 --startdatetime 2017-09-13T20:00:18 --delay 91 --endMP 204:233342 --enddatetime 2017-09-13T20:35:09 --enforcementcount 0 &gt;&gt;C:\Users\stu\Documents\GitHub\eaglep3-reporting\EC\2017-09-13-refined-times.txt</v>
      </c>
      <c r="AI140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{"issue":{"subject":"","project_id":79,"tracker_id":40,"status_id":1,"priority_id":2,"assigned_to_id":338,"start_date":"2017-09-13","description":"","custom_fields":[{"id":1,"name":"Subdivision","value":"EC"},{"id":4,"name":"Milepost","value":"23.3342"},{"id":17,"name":"Train ID","value":"225-13"},{"id":16,"name":"Locomotive ID","value":"4028"},{"id":130,"name":"Impact","value":""},{"id":150,"name":"Time of Event (Mountain Time)","value":"20:35:09"},{"id":151,"name":"Denver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4028 --day 2017-09-13</v>
      </c>
      <c r="AN140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818</v>
      </c>
      <c r="B141" s="7">
        <v>4027</v>
      </c>
      <c r="C141" s="21" t="s">
        <v>197</v>
      </c>
      <c r="D141" s="21" t="s">
        <v>868</v>
      </c>
      <c r="E141" s="13">
        <v>42991.870520833334</v>
      </c>
      <c r="F141" s="13">
        <v>42991.873159722221</v>
      </c>
      <c r="G141" s="7">
        <v>68</v>
      </c>
      <c r="H141" s="21" t="s">
        <v>366</v>
      </c>
      <c r="I141" s="13">
        <v>42991.898645833331</v>
      </c>
      <c r="J141" s="7">
        <v>0</v>
      </c>
      <c r="K141" s="89" t="str">
        <f t="shared" ref="K141:K204" si="62">IF(ISEVEN(B141),(B141-1)&amp;"/"&amp;B141,B141&amp;"/"&amp;(B141+1))</f>
        <v>4027/4028</v>
      </c>
      <c r="L141" s="214" t="str">
        <f>VLOOKUP(A141,'Trips&amp;Operators'!$C$1:$G$99911,5,FALSE)</f>
        <v>LOZA FIDEL</v>
      </c>
      <c r="M141" s="6">
        <f t="shared" ref="M141:M204" si="63">I141-F141</f>
        <v>2.548611110978527E-2</v>
      </c>
      <c r="N141" s="7">
        <f t="shared" si="54"/>
        <v>36.699999998090789</v>
      </c>
      <c r="O141" s="7"/>
      <c r="P141" s="7"/>
      <c r="Q141" s="22"/>
      <c r="R141" s="167"/>
      <c r="S141" s="210">
        <f t="shared" si="55"/>
        <v>1</v>
      </c>
      <c r="T141" s="192" t="str">
        <f t="shared" ref="T141:T204" si="64"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-13T19:53:33-0600',mode:absolute,to:'2017-09-13T22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94" t="str">
        <f>IF(AA141&lt;VLOOKUP(AG141,Variables!$AC$3:$AD$8,2,FALSE),"Y","N")</f>
        <v>N</v>
      </c>
      <c r="X141" s="194">
        <f t="shared" ref="X141:X148" si="66">VALUE(LEFT(AD141,4))-VALUE(LEFT(AD140,4))</f>
        <v>1</v>
      </c>
      <c r="Y141" s="194">
        <f t="shared" si="60"/>
        <v>23.300599999999999</v>
      </c>
      <c r="Z141" s="194">
        <f t="shared" si="61"/>
        <v>1.4500000000000001E-2</v>
      </c>
      <c r="AA141" s="194">
        <f t="shared" ref="AA141:AA204" si="67">ABS(Z141-Y141)</f>
        <v>23.286099999999998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 t="shared" ref="AD141:AD204" si="68">VALUE(LEFT(A141,LEN(A141)-3))</f>
        <v>226</v>
      </c>
      <c r="AE141" s="77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41" s="74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/stypes="app*4027*20170914*" /stext=" 03:.+((SYSTEM_STATE.+slice.+state.+changed )|(ment ac)|(multiple cpu faults)|(system.+state.+changed )|(\[timeout)|(PRM\|1\|D)|(kpr)|(kdp)|(train st.+moving)|(\|lc)|(penalty))"</v>
      </c>
      <c r="AG141" s="206" t="str">
        <f t="shared" ref="AG141:AG204" si="71">DetSubdiv(A141)</f>
        <v>EC</v>
      </c>
      <c r="AH141" s="78" t="str">
        <f t="shared" si="41"/>
        <v>"%USERPROFILE%\Documents\GitHub\eaglep3\Utilities\RefineRTDCRunTimes.py" --tripid 226-13 --locoid 4027 --swversion DE.1.0.9.0 --startMP 204:233006 --initTime 2017-09-13T20:53:33 --startdatetime 2017-09-13T20:57:21 --delay 68 --endMP 204:145 --enddatetime 2017-09-13T21:34:03 --enforcementcount 0 &gt;&gt;C:\Users\stu\Documents\GitHub\eaglep3-reporting\EC\2017-09-13-refined-times.txt</v>
      </c>
      <c r="AI141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{"issue":{"subject":"","project_id":79,"tracker_id":40,"status_id":1,"priority_id":2,"assigned_to_id":338,"start_date":"2017-09-13","description":"","custom_fields":[{"id":1,"name":"Subdivision","value":"EC"},{"id":4,"name":"Milepost","value":"0.0145"},{"id":17,"name":"Train ID","value":"226-13"},{"id":16,"name":"Locomotive ID","value":"4027"},{"id":130,"name":"Impact","value":""},{"id":150,"name":"Time of Event (Mountain Time)","value":"21:34:03"},{"id":151,"name":"Denver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4027 --day 2017-09-13</v>
      </c>
      <c r="AN141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816</v>
      </c>
      <c r="B142" s="7">
        <v>4016</v>
      </c>
      <c r="C142" s="21" t="s">
        <v>197</v>
      </c>
      <c r="D142" s="21" t="s">
        <v>361</v>
      </c>
      <c r="E142" s="13">
        <v>42991.851006944446</v>
      </c>
      <c r="F142" s="13">
        <v>42991.854513888888</v>
      </c>
      <c r="G142" s="7">
        <v>49</v>
      </c>
      <c r="H142" s="21" t="s">
        <v>889</v>
      </c>
      <c r="I142" s="13">
        <v>42991.879317129627</v>
      </c>
      <c r="J142" s="7">
        <v>0</v>
      </c>
      <c r="K142" s="89" t="str">
        <f t="shared" si="62"/>
        <v>4015/4016</v>
      </c>
      <c r="L142" s="214" t="str">
        <f>VLOOKUP(A142,'Trips&amp;Operators'!$C$1:$G$99911,5,FALSE)</f>
        <v>HART KEVIN</v>
      </c>
      <c r="M142" s="6">
        <f t="shared" si="63"/>
        <v>2.4803240739856847E-2</v>
      </c>
      <c r="N142" s="7">
        <f t="shared" si="54"/>
        <v>35.716666665393859</v>
      </c>
      <c r="O142" s="7"/>
      <c r="P142" s="7"/>
      <c r="Q142" s="22"/>
      <c r="R142" s="167"/>
      <c r="S142" s="210">
        <f t="shared" si="55"/>
        <v>1</v>
      </c>
      <c r="T142" s="192" t="str">
        <f t="shared" si="64"/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65"/>
        <v>https://d0f6bd738d7f1b3e5a7ca70fe4ff75f0.us-east-1.aws.found.io/app/kibana#/discover/Steve-Slow-Train-Analysis-(2080s-and-2083s)?_g=(refreshInterval:(display:Off,pause:!f,section:0,value:0),time:(from:'2017-09-13T19:25:27-0600',mode:absolute,to:'2017-09-13T22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4" t="str">
        <f>IF(AA142&lt;VLOOKUP(AG142,Variables!$AC$3:$AD$8,2,FALSE),"Y","N")</f>
        <v>N</v>
      </c>
      <c r="X142" s="194">
        <f t="shared" si="66"/>
        <v>1</v>
      </c>
      <c r="Y142" s="194">
        <f t="shared" si="60"/>
        <v>4.4900000000000002E-2</v>
      </c>
      <c r="Z142" s="194">
        <f t="shared" si="61"/>
        <v>23.3323</v>
      </c>
      <c r="AA142" s="194">
        <f t="shared" si="67"/>
        <v>23.287400000000002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 t="shared" si="68"/>
        <v>227</v>
      </c>
      <c r="AE142" s="77" t="str">
        <f t="shared" si="69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42" s="74" t="str">
        <f t="shared" si="70"/>
        <v>"C:\Program Files (x86)\AstroGrep\AstroGrep.exe" /e /r /s /spath="%USERPROFILE%\AppData\Local\Temp\OnboardLogs" /stypes="app*4016*20170914*" /stext=" 03:.+((SYSTEM_STATE.+slice.+state.+changed )|(ment ac)|(multiple cpu faults)|(system.+state.+changed )|(\[timeout)|(PRM\|1\|D)|(kpr)|(kdp)|(train st.+moving)|(\|lc)|(penalty))"</v>
      </c>
      <c r="AG142" s="206" t="str">
        <f t="shared" si="71"/>
        <v>EC</v>
      </c>
      <c r="AH142" s="78" t="str">
        <f t="shared" si="41"/>
        <v>"%USERPROFILE%\Documents\GitHub\eaglep3\Utilities\RefineRTDCRunTimes.py" --tripid 227-13 --locoid 4016 --swversion DE.1.0.9.0 --startMP 204:449 --initTime 2017-09-13T20:25:27 --startdatetime 2017-09-13T20:30:30 --delay 49 --endMP 204:233323 --enddatetime 2017-09-13T21:06:13 --enforcementcount 0 &gt;&gt;C:\Users\stu\Documents\GitHub\eaglep3-reporting\EC\2017-09-13-refined-times.txt</v>
      </c>
      <c r="AI142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{"issue":{"subject":"","project_id":79,"tracker_id":40,"status_id":1,"priority_id":2,"assigned_to_id":338,"start_date":"2017-09-13","description":"","custom_fields":[{"id":1,"name":"Subdivision","value":"EC"},{"id":4,"name":"Milepost","value":"23.3323"},{"id":17,"name":"Train ID","value":"227-13"},{"id":16,"name":"Locomotive ID","value":"4016"},{"id":130,"name":"Impact","value":""},{"id":150,"name":"Time of Event (Mountain Time)","value":"21:06:13"},{"id":151,"name":"Denver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4016 --day 2017-09-13</v>
      </c>
      <c r="AN142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820</v>
      </c>
      <c r="B143" s="7">
        <v>4015</v>
      </c>
      <c r="C143" s="21" t="s">
        <v>197</v>
      </c>
      <c r="D143" s="21" t="s">
        <v>442</v>
      </c>
      <c r="E143" s="13">
        <v>42991.891423611109</v>
      </c>
      <c r="F143" s="13">
        <v>42991.893993055557</v>
      </c>
      <c r="G143" s="7">
        <v>48</v>
      </c>
      <c r="H143" s="21" t="s">
        <v>440</v>
      </c>
      <c r="I143" s="13">
        <v>42991.919432870367</v>
      </c>
      <c r="J143" s="7">
        <v>0</v>
      </c>
      <c r="K143" s="89" t="str">
        <f t="shared" si="62"/>
        <v>4015/4016</v>
      </c>
      <c r="L143" s="214" t="str">
        <f>VLOOKUP(A143,'Trips&amp;Operators'!$C$1:$G$99911,5,FALSE)</f>
        <v>HART KEVIN</v>
      </c>
      <c r="M143" s="6">
        <f t="shared" si="63"/>
        <v>2.5439814809942618E-2</v>
      </c>
      <c r="N143" s="7">
        <f t="shared" si="54"/>
        <v>36.63333332631737</v>
      </c>
      <c r="O143" s="7"/>
      <c r="P143" s="7"/>
      <c r="Q143" s="22"/>
      <c r="R143" s="167"/>
      <c r="S143" s="210">
        <f t="shared" si="55"/>
        <v>1</v>
      </c>
      <c r="T143" s="192" t="str">
        <f t="shared" si="64"/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65"/>
        <v>https://d0f6bd738d7f1b3e5a7ca70fe4ff75f0.us-east-1.aws.found.io/app/kibana#/discover/Steve-Slow-Train-Analysis-(2080s-and-2083s)?_g=(refreshInterval:(display:Off,pause:!f,section:0,value:0),time:(from:'2017-09-13T20:23:39-0600',mode:absolute,to:'2017-09-13T23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4" t="str">
        <f>IF(AA143&lt;VLOOKUP(AG143,Variables!$AC$3:$AD$8,2,FALSE),"Y","N")</f>
        <v>N</v>
      </c>
      <c r="X143" s="194">
        <f t="shared" si="66"/>
        <v>1</v>
      </c>
      <c r="Y143" s="194">
        <f t="shared" si="60"/>
        <v>23.299600000000002</v>
      </c>
      <c r="Z143" s="194">
        <f t="shared" si="61"/>
        <v>1.6299999999999999E-2</v>
      </c>
      <c r="AA143" s="194">
        <f t="shared" si="67"/>
        <v>23.283300000000001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 t="shared" si="68"/>
        <v>228</v>
      </c>
      <c r="AE143" s="77" t="str">
        <f t="shared" si="69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143" s="74" t="str">
        <f t="shared" si="70"/>
        <v>"C:\Program Files (x86)\AstroGrep\AstroGrep.exe" /e /r /s /spath="%USERPROFILE%\AppData\Local\Temp\OnboardLogs" /stypes="app*4015*20170914*" /stext=" 04:.+((SYSTEM_STATE.+slice.+state.+changed )|(ment ac)|(multiple cpu faults)|(system.+state.+changed )|(\[timeout)|(PRM\|1\|D)|(kpr)|(kdp)|(train st.+moving)|(\|lc)|(penalty))"</v>
      </c>
      <c r="AG143" s="206" t="str">
        <f t="shared" si="71"/>
        <v>EC</v>
      </c>
      <c r="AH143" s="78" t="str">
        <f t="shared" si="41"/>
        <v>"%USERPROFILE%\Documents\GitHub\eaglep3\Utilities\RefineRTDCRunTimes.py" --tripid 228-13 --locoid 4015 --swversion DE.1.0.9.0 --startMP 204:232996 --initTime 2017-09-13T21:23:39 --startdatetime 2017-09-13T21:27:21 --delay 48 --endMP 204:163 --enddatetime 2017-09-13T22:03:59 --enforcementcount 0 &gt;&gt;C:\Users\stu\Documents\GitHub\eaglep3-reporting\EC\2017-09-13-refined-times.txt</v>
      </c>
      <c r="AI143" s="96" t="str">
        <f t="shared" si="42"/>
        <v>echo {"issue":{"subject":"","project_id":79,"tracker_id":40,"status_id":1,"priority_id":2,"assigned_to_id":338,"start_date":"2017-09-13","description":"","custom_fields":[{"id":1,"name":"Subdivision","value":"EC"},{"id":4,"name":"Milepost","value":"0.0163"},{"id":17,"name":"Train ID","value":"228-13"},{"id":16,"name":"Locomotive ID","value":"4015"},{"id":130,"name":"Impact","value":""},{"id":150,"name":"Time of Event (Mountain Time)","value":"22:03:59"},{"id":151,"name":"Denver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3"/>
        <v>start /low /b %USERPROFILE%\Documents\GitHub\eaglep3\Utilities\DownloadLogsFromS3.py --loco 4015 --day 2017-09-13</v>
      </c>
      <c r="AN143" s="151" t="str">
        <f t="shared" si="44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606</v>
      </c>
      <c r="B144" s="7">
        <v>4006</v>
      </c>
      <c r="C144" s="21" t="s">
        <v>197</v>
      </c>
      <c r="D144" s="21" t="s">
        <v>555</v>
      </c>
      <c r="E144" s="13">
        <v>42991.861203703702</v>
      </c>
      <c r="F144" s="13">
        <v>42991.875173611108</v>
      </c>
      <c r="G144" s="7">
        <v>57</v>
      </c>
      <c r="H144" s="21" t="s">
        <v>890</v>
      </c>
      <c r="I144" s="13">
        <v>42991.90053240741</v>
      </c>
      <c r="J144" s="7">
        <v>0</v>
      </c>
      <c r="K144" s="89" t="str">
        <f t="shared" si="62"/>
        <v>4005/4006</v>
      </c>
      <c r="L144" s="214" t="str">
        <f>VLOOKUP(A144,'Trips&amp;Operators'!$C$1:$G$99911,5,FALSE)</f>
        <v>PERKINS DARREN</v>
      </c>
      <c r="M144" s="6">
        <f t="shared" si="63"/>
        <v>2.5358796301588882E-2</v>
      </c>
      <c r="N144" s="7">
        <f t="shared" si="54"/>
        <v>36.51666667428799</v>
      </c>
      <c r="O144" s="7"/>
      <c r="P144" s="7"/>
      <c r="Q144" s="22"/>
      <c r="R144" s="167"/>
      <c r="S144" s="210">
        <f t="shared" si="55"/>
        <v>1</v>
      </c>
      <c r="T144" s="192" t="str">
        <f t="shared" si="64"/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65"/>
        <v>https://d0f6bd738d7f1b3e5a7ca70fe4ff75f0.us-east-1.aws.found.io/app/kibana#/discover/Steve-Slow-Train-Analysis-(2080s-and-2083s)?_g=(refreshInterval:(display:Off,pause:!f,section:0,value:0),time:(from:'2017-09-13T19:40:08-0600',mode:absolute,to:'2017-09-13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194" t="str">
        <f>IF(AA144&lt;VLOOKUP(AG144,Variables!$AC$3:$AD$8,2,FALSE),"Y","N")</f>
        <v>N</v>
      </c>
      <c r="X144" s="194">
        <f t="shared" si="66"/>
        <v>1</v>
      </c>
      <c r="Y144" s="194">
        <f t="shared" si="60"/>
        <v>4.3299999999999998E-2</v>
      </c>
      <c r="Z144" s="194">
        <f t="shared" si="61"/>
        <v>23.3276</v>
      </c>
      <c r="AA144" s="194">
        <f t="shared" si="67"/>
        <v>23.284300000000002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 t="shared" si="68"/>
        <v>229</v>
      </c>
      <c r="AE144" s="77" t="str">
        <f t="shared" si="69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44" s="74" t="str">
        <f t="shared" si="70"/>
        <v>"C:\Program Files (x86)\AstroGrep\AstroGrep.exe" /e /r /s /spath="%USERPROFILE%\AppData\Local\Temp\OnboardLogs" /stypes="app*4006*20170914*" /stext=" 03:.+((SYSTEM_STATE.+slice.+state.+changed )|(ment ac)|(multiple cpu faults)|(system.+state.+changed )|(\[timeout)|(PRM\|1\|D)|(kpr)|(kdp)|(train st.+moving)|(\|lc)|(penalty))"</v>
      </c>
      <c r="AG144" s="206" t="str">
        <f t="shared" si="71"/>
        <v>EC</v>
      </c>
      <c r="AH144" s="78" t="str">
        <f t="shared" ref="AH144:AH209" si="72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229-13 --locoid 4006 --swversion DE.1.0.9.0 --startMP 204:433 --initTime 2017-09-13T20:40:08 --startdatetime 2017-09-13T21:00:15 --delay 57 --endMP 204:233276 --enddatetime 2017-09-13T21:36:46 --enforcementcount 0 &gt;&gt;C:\Users\stu\Documents\GitHub\eaglep3-reporting\EC\2017-09-13-refined-times.txt</v>
      </c>
      <c r="AI144" s="96" t="str">
        <f t="shared" ref="AI144:AI209" si="73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{"issue":{"subject":"","project_id":79,"tracker_id":40,"status_id":1,"priority_id":2,"assigned_to_id":338,"start_date":"2017-09-13","description":"","custom_fields":[{"id":1,"name":"Subdivision","value":"EC"},{"id":4,"name":"Milepost","value":"23.3276"},{"id":17,"name":"Train ID","value":"229-13"},{"id":16,"name":"Locomotive ID","value":"4006"},{"id":130,"name":"Impact","value":""},{"id":150,"name":"Time of Event (Mountain Time)","value":"21:36:46"},{"id":151,"name":"Denver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9" si="74">"start /low /b "&amp;dls3logs&amp;" --loco "&amp;B144&amp;" --day "&amp;TEXT(F144,"YYYY-MM-DD")</f>
        <v>start /low /b %USERPROFILE%\Documents\GitHub\eaglep3\Utilities\DownloadLogsFromS3.py --loco 4006 --day 2017-09-13</v>
      </c>
      <c r="AN144" s="151" t="str">
        <f t="shared" ref="AN144:AN209" si="75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607</v>
      </c>
      <c r="B145" s="7">
        <v>4005</v>
      </c>
      <c r="C145" s="21" t="s">
        <v>197</v>
      </c>
      <c r="D145" s="21" t="s">
        <v>856</v>
      </c>
      <c r="E145" s="13">
        <v>42991.902581018519</v>
      </c>
      <c r="F145" s="13">
        <v>42991.915023148147</v>
      </c>
      <c r="G145" s="7">
        <v>54</v>
      </c>
      <c r="H145" s="21" t="s">
        <v>891</v>
      </c>
      <c r="I145" s="13">
        <v>42991.941805555558</v>
      </c>
      <c r="J145" s="7">
        <v>0</v>
      </c>
      <c r="K145" s="89" t="str">
        <f t="shared" si="62"/>
        <v>4005/4006</v>
      </c>
      <c r="L145" s="214" t="str">
        <f>VLOOKUP(A145,'Trips&amp;Operators'!$C$1:$G$99911,5,FALSE)</f>
        <v>PERKINS DARREN</v>
      </c>
      <c r="M145" s="6">
        <f t="shared" si="63"/>
        <v>2.6782407410792075E-2</v>
      </c>
      <c r="N145" s="7">
        <f t="shared" si="54"/>
        <v>38.566666671540588</v>
      </c>
      <c r="O145" s="7"/>
      <c r="P145" s="7"/>
      <c r="Q145" s="22"/>
      <c r="R145" s="167"/>
      <c r="S145" s="210">
        <f t="shared" si="55"/>
        <v>1</v>
      </c>
      <c r="T145" s="192" t="str">
        <f t="shared" si="64"/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65"/>
        <v>https://d0f6bd738d7f1b3e5a7ca70fe4ff75f0.us-east-1.aws.found.io/app/kibana#/discover/Steve-Slow-Train-Analysis-(2080s-and-2083s)?_g=(refreshInterval:(display:Off,pause:!f,section:0,value:0),time:(from:'2017-09-13T20:39:43-0600',mode:absolute,to:'2017-09-13T23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194" t="str">
        <f>IF(AA145&lt;VLOOKUP(AG145,Variables!$AC$3:$AD$8,2,FALSE),"Y","N")</f>
        <v>N</v>
      </c>
      <c r="X145" s="194">
        <f t="shared" si="66"/>
        <v>1</v>
      </c>
      <c r="Y145" s="194">
        <f t="shared" si="60"/>
        <v>23.2972</v>
      </c>
      <c r="Z145" s="194">
        <f t="shared" si="61"/>
        <v>1.32E-2</v>
      </c>
      <c r="AA145" s="194">
        <f t="shared" si="67"/>
        <v>23.283999999999999</v>
      </c>
      <c r="AB145" s="54" t="str">
        <f>VLOOKUP(A145,Enforcements!$C$7:$K$11,8,0)</f>
        <v>Bulletin (2)</v>
      </c>
      <c r="AC145" s="51" t="str">
        <f>VLOOKUP(A145,Enforcements!$C$7:$E$11,3,0)</f>
        <v>GRADE CROSSING</v>
      </c>
      <c r="AD145" s="203">
        <f t="shared" si="68"/>
        <v>230</v>
      </c>
      <c r="AE145" s="77" t="str">
        <f t="shared" si="69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45" s="74" t="str">
        <f t="shared" si="70"/>
        <v>"C:\Program Files (x86)\AstroGrep\AstroGrep.exe" /e /r /s /spath="%USERPROFILE%\AppData\Local\Temp\OnboardLogs" /stypes="app*4005*20170914*" /stext=" 04:.+((SYSTEM_STATE.+slice.+state.+changed )|(ment ac)|(multiple cpu faults)|(system.+state.+changed )|(\[timeout)|(PRM\|1\|D)|(kpr)|(kdp)|(train st.+moving)|(\|lc)|(penalty))"</v>
      </c>
      <c r="AG145" s="206" t="str">
        <f t="shared" si="71"/>
        <v>EC</v>
      </c>
      <c r="AH145" s="78" t="str">
        <f t="shared" si="72"/>
        <v>"%USERPROFILE%\Documents\GitHub\eaglep3\Utilities\RefineRTDCRunTimes.py" --tripid 230-13 --locoid 4005 --swversion DE.1.0.9.0 --startMP 204:232972 --initTime 2017-09-13T21:39:43 --startdatetime 2017-09-13T21:57:38 --delay 54 --endMP 204:132 --enddatetime 2017-09-13T22:36:12 --enforcementcount 0 &gt;&gt;C:\Users\stu\Documents\GitHub\eaglep3-reporting\EC\2017-09-13-refined-times.txt</v>
      </c>
      <c r="AI145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{"issue":{"subject":"","project_id":79,"tracker_id":40,"status_id":1,"priority_id":2,"assigned_to_id":338,"start_date":"2017-09-13","description":"","custom_fields":[{"id":1,"name":"Subdivision","value":"EC"},{"id":4,"name":"Milepost","value":"0.0132"},{"id":17,"name":"Train ID","value":"230-13"},{"id":16,"name":"Locomotive ID","value":"4005"},{"id":130,"name":"Impact","value":""},{"id":150,"name":"Time of Event (Mountain Time)","value":"22:36:12"},{"id":151,"name":"Denver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4"/>
        <v>start /low /b %USERPROFILE%\Documents\GitHub\eaglep3\Utilities\DownloadLogsFromS3.py --loco 4005 --day 2017-09-13</v>
      </c>
      <c r="AN145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819</v>
      </c>
      <c r="B146" s="7">
        <v>4020</v>
      </c>
      <c r="C146" s="21" t="s">
        <v>197</v>
      </c>
      <c r="D146" s="21" t="s">
        <v>443</v>
      </c>
      <c r="E146" s="13">
        <v>42991.879884259259</v>
      </c>
      <c r="F146" s="13">
        <v>42991.896006944444</v>
      </c>
      <c r="G146" s="7">
        <v>59</v>
      </c>
      <c r="H146" s="21" t="s">
        <v>892</v>
      </c>
      <c r="I146" s="13">
        <v>42991.921319444446</v>
      </c>
      <c r="J146" s="7">
        <v>0</v>
      </c>
      <c r="K146" s="89" t="str">
        <f t="shared" si="62"/>
        <v>4019/4020</v>
      </c>
      <c r="L146" s="214" t="str">
        <f>VLOOKUP(A146,'Trips&amp;Operators'!$C$1:$G$99911,5,FALSE)</f>
        <v>DUNCAN SHEILA</v>
      </c>
      <c r="M146" s="6">
        <f t="shared" si="63"/>
        <v>2.531250000174623E-2</v>
      </c>
      <c r="N146" s="7">
        <f t="shared" si="54"/>
        <v>36.450000002514571</v>
      </c>
      <c r="O146" s="7"/>
      <c r="P146" s="7"/>
      <c r="Q146" s="22"/>
      <c r="R146" s="167"/>
      <c r="S146" s="210">
        <f t="shared" si="55"/>
        <v>1</v>
      </c>
      <c r="T146" s="192" t="str">
        <f t="shared" si="64"/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65"/>
        <v>https://d0f6bd738d7f1b3e5a7ca70fe4ff75f0.us-east-1.aws.found.io/app/kibana#/discover/Steve-Slow-Train-Analysis-(2080s-and-2083s)?_g=(refreshInterval:(display:Off,pause:!f,section:0,value:0),time:(from:'2017-09-13T20:07:02-0600',mode:absolute,to:'2017-09-13T23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94" t="str">
        <f>IF(AA146&lt;VLOOKUP(AG146,Variables!$AC$3:$AD$8,2,FALSE),"Y","N")</f>
        <v>N</v>
      </c>
      <c r="X146" s="194">
        <f t="shared" si="66"/>
        <v>1</v>
      </c>
      <c r="Y146" s="194">
        <f t="shared" si="60"/>
        <v>4.5100000000000001E-2</v>
      </c>
      <c r="Z146" s="194">
        <f t="shared" si="61"/>
        <v>23.333100000000002</v>
      </c>
      <c r="AA146" s="194">
        <f t="shared" si="67"/>
        <v>23.288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 t="shared" si="68"/>
        <v>231</v>
      </c>
      <c r="AE146" s="77" t="str">
        <f t="shared" si="69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46" s="74" t="str">
        <f t="shared" si="70"/>
        <v>"C:\Program Files (x86)\AstroGrep\AstroGrep.exe" /e /r /s /spath="%USERPROFILE%\AppData\Local\Temp\OnboardLogs" /stypes="app*4020*20170914*" /stext=" 04:.+((SYSTEM_STATE.+slice.+state.+changed )|(ment ac)|(multiple cpu faults)|(system.+state.+changed )|(\[timeout)|(PRM\|1\|D)|(kpr)|(kdp)|(train st.+moving)|(\|lc)|(penalty))"</v>
      </c>
      <c r="AG146" s="206" t="str">
        <f t="shared" si="71"/>
        <v>EC</v>
      </c>
      <c r="AH146" s="78" t="str">
        <f t="shared" si="72"/>
        <v>"%USERPROFILE%\Documents\GitHub\eaglep3\Utilities\RefineRTDCRunTimes.py" --tripid 231-13 --locoid 4020 --swversion DE.1.0.9.0 --startMP 204:451 --initTime 2017-09-13T21:07:02 --startdatetime 2017-09-13T21:30:15 --delay 59 --endMP 204:233331 --enddatetime 2017-09-13T22:06:42 --enforcementcount 0 &gt;&gt;C:\Users\stu\Documents\GitHub\eaglep3-reporting\EC\2017-09-13-refined-times.txt</v>
      </c>
      <c r="AI146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{"issue":{"subject":"","project_id":79,"tracker_id":40,"status_id":1,"priority_id":2,"assigned_to_id":338,"start_date":"2017-09-13","description":"","custom_fields":[{"id":1,"name":"Subdivision","value":"EC"},{"id":4,"name":"Milepost","value":"23.3331"},{"id":17,"name":"Train ID","value":"231-13"},{"id":16,"name":"Locomotive ID","value":"4020"},{"id":130,"name":"Impact","value":""},{"id":150,"name":"Time of Event (Mountain Time)","value":"22:06:42"},{"id":151,"name":"Denver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4"/>
        <v>start /low /b %USERPROFILE%\Documents\GitHub\eaglep3\Utilities\DownloadLogsFromS3.py --loco 4020 --day 2017-09-13</v>
      </c>
      <c r="AN146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824</v>
      </c>
      <c r="B147" s="7">
        <v>4019</v>
      </c>
      <c r="C147" s="21" t="s">
        <v>197</v>
      </c>
      <c r="D147" s="21" t="s">
        <v>495</v>
      </c>
      <c r="E147" s="13">
        <v>42991.922210648147</v>
      </c>
      <c r="F147" s="13">
        <v>42991.93582175926</v>
      </c>
      <c r="G147" s="7">
        <v>71</v>
      </c>
      <c r="H147" s="21" t="s">
        <v>367</v>
      </c>
      <c r="I147" s="13">
        <v>42991.96199074074</v>
      </c>
      <c r="J147" s="7">
        <v>0</v>
      </c>
      <c r="K147" s="89" t="str">
        <f t="shared" si="62"/>
        <v>4019/4020</v>
      </c>
      <c r="L147" s="214" t="str">
        <f>VLOOKUP(A147,'Trips&amp;Operators'!$C$1:$G$99911,5,FALSE)</f>
        <v>DUNCAN SHEILA</v>
      </c>
      <c r="M147" s="6">
        <f t="shared" si="63"/>
        <v>2.6168981479713693E-2</v>
      </c>
      <c r="N147" s="7">
        <f t="shared" si="54"/>
        <v>37.683333330787718</v>
      </c>
      <c r="O147" s="7"/>
      <c r="P147" s="7"/>
      <c r="Q147" s="22"/>
      <c r="R147" s="167"/>
      <c r="S147" s="210">
        <f t="shared" si="55"/>
        <v>1</v>
      </c>
      <c r="T147" s="192" t="str">
        <f t="shared" si="64"/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65"/>
        <v>https://d0f6bd738d7f1b3e5a7ca70fe4ff75f0.us-east-1.aws.found.io/app/kibana#/discover/Steve-Slow-Train-Analysis-(2080s-and-2083s)?_g=(refreshInterval:(display:Off,pause:!f,section:0,value:0),time:(from:'2017-09-13T21:07:59-0600',mode:absolute,to:'2017-09-14T00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94" t="str">
        <f>IF(AA147&lt;VLOOKUP(AG147,Variables!$AC$3:$AD$8,2,FALSE),"Y","N")</f>
        <v>N</v>
      </c>
      <c r="X147" s="194">
        <f t="shared" si="66"/>
        <v>1</v>
      </c>
      <c r="Y147" s="194">
        <f t="shared" si="60"/>
        <v>23.300799999999999</v>
      </c>
      <c r="Z147" s="194">
        <f t="shared" si="61"/>
        <v>1.38E-2</v>
      </c>
      <c r="AA147" s="194">
        <f t="shared" si="67"/>
        <v>23.286999999999999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 t="shared" si="68"/>
        <v>232</v>
      </c>
      <c r="AE147" s="77" t="str">
        <f t="shared" si="69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147" s="74" t="str">
        <f t="shared" si="70"/>
        <v>"C:\Program Files (x86)\AstroGrep\AstroGrep.exe" /e /r /s /spath="%USERPROFILE%\AppData\Local\Temp\OnboardLogs" /stypes="app*4019*20170914*" /stext=" 05:.+((SYSTEM_STATE.+slice.+state.+changed )|(ment ac)|(multiple cpu faults)|(system.+state.+changed )|(\[timeout)|(PRM\|1\|D)|(kpr)|(kdp)|(train st.+moving)|(\|lc)|(penalty))"</v>
      </c>
      <c r="AG147" s="206" t="str">
        <f t="shared" si="71"/>
        <v>EC</v>
      </c>
      <c r="AH147" s="78" t="str">
        <f t="shared" si="72"/>
        <v>"%USERPROFILE%\Documents\GitHub\eaglep3\Utilities\RefineRTDCRunTimes.py" --tripid 232-13 --locoid 4019 --swversion DE.1.0.9.0 --startMP 204:233008 --initTime 2017-09-13T22:07:59 --startdatetime 2017-09-13T22:27:35 --delay 71 --endMP 204:138 --enddatetime 2017-09-13T23:05:16 --enforcementcount 0 &gt;&gt;C:\Users\stu\Documents\GitHub\eaglep3-reporting\EC\2017-09-13-refined-times.txt</v>
      </c>
      <c r="AI147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ID","value":"232-13"},{"id":16,"name":"Locomotive ID","value":"4019"},{"id":130,"name":"Impact","value":""},{"id":150,"name":"Time of Event (Mountain Time)","value":"23:05:16"},{"id":151,"name":"Denver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4"/>
        <v>start /low /b %USERPROFILE%\Documents\GitHub\eaglep3\Utilities\DownloadLogsFromS3.py --loco 4019 --day 2017-09-13</v>
      </c>
      <c r="AN147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822</v>
      </c>
      <c r="B148" s="7">
        <v>4028</v>
      </c>
      <c r="C148" s="21" t="s">
        <v>197</v>
      </c>
      <c r="D148" s="21" t="s">
        <v>460</v>
      </c>
      <c r="E148" s="13">
        <v>42991.906331018516</v>
      </c>
      <c r="F148" s="13">
        <v>42991.916886574072</v>
      </c>
      <c r="G148" s="7">
        <v>67</v>
      </c>
      <c r="H148" s="21" t="s">
        <v>458</v>
      </c>
      <c r="I148" s="13">
        <v>42991.942118055558</v>
      </c>
      <c r="J148" s="7">
        <v>0</v>
      </c>
      <c r="K148" s="89" t="str">
        <f t="shared" si="62"/>
        <v>4027/4028</v>
      </c>
      <c r="L148" s="214" t="str">
        <f>VLOOKUP(A148,'Trips&amp;Operators'!$C$1:$G$99911,5,FALSE)</f>
        <v>LOZA FIDEL</v>
      </c>
      <c r="M148" s="6">
        <f t="shared" si="63"/>
        <v>2.5231481486116536E-2</v>
      </c>
      <c r="N148" s="7">
        <f t="shared" si="54"/>
        <v>36.333333340007812</v>
      </c>
      <c r="O148" s="7"/>
      <c r="P148" s="7"/>
      <c r="Q148" s="22"/>
      <c r="R148" s="167"/>
      <c r="S148" s="210">
        <f t="shared" si="55"/>
        <v>1</v>
      </c>
      <c r="T148" s="192" t="str">
        <f t="shared" si="64"/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65"/>
        <v>https://d0f6bd738d7f1b3e5a7ca70fe4ff75f0.us-east-1.aws.found.io/app/kibana#/discover/Steve-Slow-Train-Analysis-(2080s-and-2083s)?_g=(refreshInterval:(display:Off,pause:!f,section:0,value:0),time:(from:'2017-09-13T20:45:07-0600',mode:absolute,to:'2017-09-13T23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194" t="str">
        <f>IF(AA148&lt;VLOOKUP(AG148,Variables!$AC$3:$AD$8,2,FALSE),"Y","N")</f>
        <v>N</v>
      </c>
      <c r="X148" s="194">
        <f t="shared" si="66"/>
        <v>1</v>
      </c>
      <c r="Y148" s="194">
        <f t="shared" si="60"/>
        <v>4.7100000000000003E-2</v>
      </c>
      <c r="Z148" s="194">
        <f t="shared" si="61"/>
        <v>23.331199999999999</v>
      </c>
      <c r="AA148" s="194">
        <f t="shared" si="67"/>
        <v>23.284099999999999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 t="shared" si="68"/>
        <v>233</v>
      </c>
      <c r="AE148" s="77" t="str">
        <f t="shared" si="69"/>
        <v>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 &amp; 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</v>
      </c>
      <c r="AF148" s="74" t="str">
        <f t="shared" si="70"/>
        <v>"C:\Program Files (x86)\AstroGrep\AstroGrep.exe" /e /r /s /spath="%USERPROFILE%\AppData\Local\Temp\OnboardLogs" /stypes="app*4028*20170914*" /stext=" 04:.+((SYSTEM_STATE.+slice.+state.+changed )|(ment ac)|(multiple cpu faults)|(system.+state.+changed )|(\[timeout)|(PRM\|1\|D)|(kpr)|(kdp)|(train st.+moving)|(\|lc)|(penalty))"</v>
      </c>
      <c r="AG148" s="206" t="str">
        <f t="shared" si="71"/>
        <v>EC</v>
      </c>
      <c r="AH148" s="78" t="str">
        <f t="shared" si="72"/>
        <v>"%USERPROFILE%\Documents\GitHub\eaglep3\Utilities\RefineRTDCRunTimes.py" --tripid 233-13 --locoid 4028 --swversion DE.1.0.9.0 --startMP 204:471 --initTime 2017-09-13T21:45:07 --startdatetime 2017-09-13T22:00:19 --delay 67 --endMP 204:233312 --enddatetime 2017-09-13T22:36:39 --enforcementcount 0 &gt;&gt;C:\Users\stu\Documents\GitHub\eaglep3-reporting\EC\2017-09-13-refined-times.txt</v>
      </c>
      <c r="AI148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{"issue":{"subject":"","project_id":79,"tracker_id":40,"status_id":1,"priority_id":2,"assigned_to_id":338,"start_date":"2017-09-13","description":"","custom_fields":[{"id":1,"name":"Subdivision","value":"EC"},{"id":4,"name":"Milepost","value":"23.3312"},{"id":17,"name":"Train ID","value":"233-13"},{"id":16,"name":"Locomotive ID","value":"4028"},{"id":130,"name":"Impact","value":""},{"id":150,"name":"Time of Event (Mountain Time)","value":"22:36:39"},{"id":151,"name":"Denver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4"/>
        <v>start /low /b %USERPROFILE%\Documents\GitHub\eaglep3\Utilities\DownloadLogsFromS3.py --loco 4028 --day 2017-09-13</v>
      </c>
      <c r="AN148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827</v>
      </c>
      <c r="B149" s="7">
        <v>4027</v>
      </c>
      <c r="C149" s="21" t="s">
        <v>197</v>
      </c>
      <c r="D149" s="21" t="s">
        <v>460</v>
      </c>
      <c r="E149" s="13">
        <v>42991.906331018516</v>
      </c>
      <c r="F149" s="13">
        <v>42991.956504629627</v>
      </c>
      <c r="G149" s="7">
        <v>67</v>
      </c>
      <c r="H149" s="21" t="s">
        <v>458</v>
      </c>
      <c r="I149" s="13">
        <v>42991.982291666667</v>
      </c>
      <c r="J149" s="7">
        <v>0</v>
      </c>
      <c r="K149" s="89" t="str">
        <f t="shared" si="62"/>
        <v>4027/4028</v>
      </c>
      <c r="L149" s="214" t="str">
        <f>VLOOKUP(A149,'Trips&amp;Operators'!$C$1:$G$99911,5,FALSE)</f>
        <v>LOZA FIDEL</v>
      </c>
      <c r="M149" s="6">
        <f t="shared" si="63"/>
        <v>2.5787037040572613E-2</v>
      </c>
      <c r="N149" s="7">
        <f t="shared" si="54"/>
        <v>37.133333338424563</v>
      </c>
      <c r="O149" s="7"/>
      <c r="P149" s="7"/>
      <c r="Q149" s="22"/>
      <c r="R149" s="167"/>
      <c r="S149" s="210">
        <f t="shared" si="55"/>
        <v>1</v>
      </c>
      <c r="T149" s="192" t="str">
        <f t="shared" si="64"/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65"/>
        <v>https://d0f6bd738d7f1b3e5a7ca70fe4ff75f0.us-east-1.aws.found.io/app/kibana#/discover/Steve-Slow-Train-Analysis-(2080s-and-2083s)?_g=(refreshInterval:(display:Off,pause:!f,section:0,value:0),time:(from:'2017-09-13T20:45:07-0600',mode:absolute,to:'2017-09-14T00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94" t="str">
        <f>IF(AA149&lt;VLOOKUP(AG149,Variables!$AC$3:$AD$8,2,FALSE),"Y","N")</f>
        <v>N</v>
      </c>
      <c r="X149" s="194">
        <f t="shared" ref="X149:X150" si="76">VALUE(LEFT(AD149,4))-VALUE(LEFT(AD148,4))</f>
        <v>1</v>
      </c>
      <c r="Y149" s="194">
        <v>23.300799999999999</v>
      </c>
      <c r="Z149" s="194">
        <v>1.38E-2</v>
      </c>
      <c r="AA149" s="194">
        <f t="shared" si="67"/>
        <v>23.286999999999999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 t="shared" si="68"/>
        <v>234</v>
      </c>
      <c r="AE149" s="77" t="str">
        <f t="shared" si="69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149" s="74" t="str">
        <f t="shared" si="70"/>
        <v>"C:\Program Files (x86)\AstroGrep\AstroGrep.exe" /e /r /s /spath="%USERPROFILE%\AppData\Local\Temp\OnboardLogs" /stypes="app*4027*20170914*" /stext=" 05:.+((SYSTEM_STATE.+slice.+state.+changed )|(ment ac)|(multiple cpu faults)|(system.+state.+changed )|(\[timeout)|(PRM\|1\|D)|(kpr)|(kdp)|(train st.+moving)|(\|lc)|(penalty))"</v>
      </c>
      <c r="AG149" s="206" t="str">
        <f t="shared" si="71"/>
        <v>EC</v>
      </c>
      <c r="AH149" s="78" t="str">
        <f t="shared" ref="AH149" si="77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234-13 --locoid 4027 --swversion DE.1.0.9.0 --startMP 204:471 --initTime 2017-09-13T21:45:07 --startdatetime 2017-09-13T22:57:22 --delay 67 --endMP 204:233312 --enddatetime 2017-09-13T23:34:30 --enforcementcount 0 &gt;&gt;C:\Users\stu\Documents\GitHub\eaglep3-reporting\EC\2017-09-13-refined-times.txt</v>
      </c>
      <c r="AI149" s="96" t="str">
        <f t="shared" ref="AI149" si="78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{"issue":{"subject":"","project_id":79,"tracker_id":40,"status_id":1,"priority_id":2,"assigned_to_id":338,"start_date":"2017-09-13","description":"","custom_fields":[{"id":1,"name":"Subdivision","value":"EC"},{"id":4,"name":"Milepost","value":"0.0138"},{"id":17,"name":"Train ID","value":"234-13"},{"id":16,"name":"Locomotive ID","value":"4027"},{"id":130,"name":"Impact","value":""},{"id":150,"name":"Time of Event (Mountain Time)","value":"23:34:30"},{"id":151,"name":"Denver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ref="AM149" si="79">"start /low /b "&amp;dls3logs&amp;" --loco "&amp;B149&amp;" --day "&amp;TEXT(F149,"YYYY-MM-DD")</f>
        <v>start /low /b %USERPROFILE%\Documents\GitHub\eaglep3\Utilities\DownloadLogsFromS3.py --loco 4027 --day 2017-09-13</v>
      </c>
      <c r="AN149" s="151" t="str">
        <f t="shared" ref="AN149" si="80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826</v>
      </c>
      <c r="B150" s="7">
        <v>4016</v>
      </c>
      <c r="C150" s="21" t="s">
        <v>197</v>
      </c>
      <c r="D150" s="21" t="s">
        <v>444</v>
      </c>
      <c r="E150" s="13">
        <v>42991.934733796297</v>
      </c>
      <c r="F150" s="13">
        <v>42991.937835648147</v>
      </c>
      <c r="G150" s="7">
        <v>51</v>
      </c>
      <c r="H150" s="21" t="s">
        <v>536</v>
      </c>
      <c r="I150" s="13">
        <v>42991.962407407409</v>
      </c>
      <c r="J150" s="7">
        <v>0</v>
      </c>
      <c r="K150" s="89" t="str">
        <f t="shared" si="62"/>
        <v>4015/4016</v>
      </c>
      <c r="L150" s="214" t="str">
        <f>VLOOKUP(A150,'Trips&amp;Operators'!$C$1:$G$99911,5,FALSE)</f>
        <v>HART KEVIN</v>
      </c>
      <c r="M150" s="6">
        <f t="shared" si="63"/>
        <v>2.457175926247146E-2</v>
      </c>
      <c r="N150" s="7">
        <f t="shared" si="54"/>
        <v>35.383333337958902</v>
      </c>
      <c r="O150" s="7"/>
      <c r="P150" s="7"/>
      <c r="Q150" s="22"/>
      <c r="R150" s="167"/>
      <c r="S150" s="210">
        <f t="shared" si="55"/>
        <v>1</v>
      </c>
      <c r="T150" s="192" t="str">
        <f t="shared" si="64"/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65"/>
        <v>https://d0f6bd738d7f1b3e5a7ca70fe4ff75f0.us-east-1.aws.found.io/app/kibana#/discover/Steve-Slow-Train-Analysis-(2080s-and-2083s)?_g=(refreshInterval:(display:Off,pause:!f,section:0,value:0),time:(from:'2017-09-13T21:26:01-0600',mode:absolute,to:'2017-09-14T00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4" t="str">
        <f>IF(AA150&lt;VLOOKUP(AG150,Variables!$AC$3:$AD$8,2,FALSE),"Y","N")</f>
        <v>N</v>
      </c>
      <c r="X150" s="194">
        <f t="shared" si="76"/>
        <v>1</v>
      </c>
      <c r="Y150" s="194">
        <f t="shared" ref="Y150:Y186" si="81">RIGHT(D150,LEN(D150)-4)/10000</f>
        <v>4.4400000000000002E-2</v>
      </c>
      <c r="Z150" s="194">
        <f t="shared" ref="Z150:Z186" si="82">RIGHT(H150,LEN(H150)-4)/10000</f>
        <v>23.329499999999999</v>
      </c>
      <c r="AA150" s="194">
        <f t="shared" si="67"/>
        <v>23.2851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 t="shared" si="68"/>
        <v>235</v>
      </c>
      <c r="AE150" s="77" t="str">
        <f t="shared" si="69"/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AF150" s="74" t="str">
        <f t="shared" si="70"/>
        <v>"C:\Program Files (x86)\AstroGrep\AstroGrep.exe" /e /r /s /spath="%USERPROFILE%\AppData\Local\Temp\OnboardLogs" /stypes="app*4016*20170914*" /stext=" 05:.+((SYSTEM_STATE.+slice.+state.+changed )|(ment ac)|(multiple cpu faults)|(system.+state.+changed )|(\[timeout)|(PRM\|1\|D)|(kpr)|(kdp)|(train st.+moving)|(\|lc)|(penalty))"</v>
      </c>
      <c r="AG150" s="206" t="str">
        <f t="shared" si="71"/>
        <v>EC</v>
      </c>
      <c r="AH150" s="78" t="str">
        <f t="shared" si="72"/>
        <v>"%USERPROFILE%\Documents\GitHub\eaglep3\Utilities\RefineRTDCRunTimes.py" --tripid 235-13 --locoid 4016 --swversion DE.1.0.9.0 --startMP 204:444 --initTime 2017-09-13T22:26:01 --startdatetime 2017-09-13T22:30:29 --delay 51 --endMP 204:233295 --enddatetime 2017-09-13T23:05:52 --enforcementcount 0 &gt;&gt;C:\Users\stu\Documents\GitHub\eaglep3-reporting\EC\2017-09-13-refined-times.txt</v>
      </c>
      <c r="AI150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{"issue":{"subject":"","project_id":79,"tracker_id":40,"status_id":1,"priority_id":2,"assigned_to_id":338,"start_date":"2017-09-13","description":"","custom_fields":[{"id":1,"name":"Subdivision","value":"EC"},{"id":4,"name":"Milepost","value":"23.3295"},{"id":17,"name":"Train ID","value":"235-13"},{"id":16,"name":"Locomotive ID","value":"4016"},{"id":130,"name":"Impact","value":""},{"id":150,"name":"Time of Event (Mountain Time)","value":"23:05:52"},{"id":151,"name":"Denver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4"/>
        <v>start /low /b %USERPROFILE%\Documents\GitHub\eaglep3\Utilities\DownloadLogsFromS3.py --loco 4016 --day 2017-09-13</v>
      </c>
      <c r="AN150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831</v>
      </c>
      <c r="B151" s="7">
        <v>4015</v>
      </c>
      <c r="C151" s="21" t="s">
        <v>197</v>
      </c>
      <c r="D151" s="21" t="s">
        <v>504</v>
      </c>
      <c r="E151" s="13">
        <v>42991.975173611114</v>
      </c>
      <c r="F151" s="13">
        <v>42991.977280092593</v>
      </c>
      <c r="G151" s="7">
        <v>56</v>
      </c>
      <c r="H151" s="21" t="s">
        <v>342</v>
      </c>
      <c r="I151" s="13">
        <v>42992.002083333333</v>
      </c>
      <c r="J151" s="7">
        <v>0</v>
      </c>
      <c r="K151" s="89" t="str">
        <f t="shared" si="62"/>
        <v>4015/4016</v>
      </c>
      <c r="L151" s="214" t="str">
        <f>VLOOKUP(A151,'Trips&amp;Operators'!$C$1:$G$99911,5,FALSE)</f>
        <v>HART KEVIN</v>
      </c>
      <c r="M151" s="6">
        <f t="shared" si="63"/>
        <v>2.4803240739856847E-2</v>
      </c>
      <c r="N151" s="7">
        <f t="shared" si="54"/>
        <v>35.716666665393859</v>
      </c>
      <c r="O151" s="7"/>
      <c r="P151" s="7"/>
      <c r="Q151" s="22"/>
      <c r="R151" s="167"/>
      <c r="S151" s="210">
        <f t="shared" si="55"/>
        <v>1</v>
      </c>
      <c r="T151" s="192" t="str">
        <f t="shared" si="64"/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65"/>
        <v>https://d0f6bd738d7f1b3e5a7ca70fe4ff75f0.us-east-1.aws.found.io/app/kibana#/discover/Steve-Slow-Train-Analysis-(2080s-and-2083s)?_g=(refreshInterval:(display:Off,pause:!f,section:0,value:0),time:(from:'2017-09-13T22:24:15-0600',mode:absolute,to:'2017-09-14T01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4" t="str">
        <f>IF(AA151&lt;VLOOKUP(AG151,Variables!$AC$3:$AD$8,2,FALSE),"Y","N")</f>
        <v>N</v>
      </c>
      <c r="X151" s="194">
        <f t="shared" ref="X151:X188" si="83">VALUE(LEFT(AD151,4))-VALUE(LEFT(AD150,4))</f>
        <v>1</v>
      </c>
      <c r="Y151" s="194">
        <f t="shared" si="81"/>
        <v>23.2988</v>
      </c>
      <c r="Z151" s="194">
        <f t="shared" si="82"/>
        <v>1.41E-2</v>
      </c>
      <c r="AA151" s="194">
        <f t="shared" si="67"/>
        <v>23.284700000000001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 t="shared" si="68"/>
        <v>236</v>
      </c>
      <c r="AE151" s="77" t="str">
        <f t="shared" si="69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151" s="74" t="str">
        <f t="shared" si="70"/>
        <v>"C:\Program Files (x86)\AstroGrep\AstroGrep.exe" /e /r /s /spath="%USERPROFILE%\AppData\Local\Temp\OnboardLogs" /stypes="app*4015*20170914*" /stext=" 06:.+((SYSTEM_STATE.+slice.+state.+changed )|(ment ac)|(multiple cpu faults)|(system.+state.+changed )|(\[timeout)|(PRM\|1\|D)|(kpr)|(kdp)|(train st.+moving)|(\|lc)|(penalty))"</v>
      </c>
      <c r="AG151" s="206" t="str">
        <f t="shared" si="71"/>
        <v>EC</v>
      </c>
      <c r="AH151" s="78" t="str">
        <f t="shared" si="72"/>
        <v>"%USERPROFILE%\Documents\GitHub\eaglep3\Utilities\RefineRTDCRunTimes.py" --tripid 236-13 --locoid 4015 --swversion DE.1.0.9.0 --startMP 204:232988 --initTime 2017-09-13T23:24:15 --startdatetime 2017-09-13T23:27:17 --delay 56 --endMP 204:141 --enddatetime 2017-09-14T00:03:00 --enforcementcount 0 &gt;&gt;C:\Users\stu\Documents\GitHub\eaglep3-reporting\EC\2017-09-13-refined-times.txt</v>
      </c>
      <c r="AI151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{"issue":{"subject":"","project_id":79,"tracker_id":40,"status_id":1,"priority_id":2,"assigned_to_id":338,"start_date":"2017-09-14","description":"","custom_fields":[{"id":1,"name":"Subdivision","value":"EC"},{"id":4,"name":"Milepost","value":"0.0141"},{"id":17,"name":"Train ID","value":"236-13"},{"id":16,"name":"Locomotive ID","value":"4015"},{"id":130,"name":"Impact","value":""},{"id":150,"name":"Time of Event (Mountain Time)","value":"00:03:00"},{"id":151,"name":"Denver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4"/>
        <v>start /low /b %USERPROFILE%\Documents\GitHub\eaglep3\Utilities\DownloadLogsFromS3.py --loco 4015 --day 2017-09-13</v>
      </c>
      <c r="AN151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06:03:00"},{"id":29,"name":"Sharepoint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608</v>
      </c>
      <c r="B152" s="7">
        <v>4006</v>
      </c>
      <c r="C152" s="21" t="s">
        <v>197</v>
      </c>
      <c r="D152" s="21" t="s">
        <v>404</v>
      </c>
      <c r="E152" s="13">
        <v>42991.943576388891</v>
      </c>
      <c r="F152" s="13">
        <v>42991.958506944444</v>
      </c>
      <c r="G152" s="7">
        <v>61</v>
      </c>
      <c r="H152" s="21" t="s">
        <v>893</v>
      </c>
      <c r="I152" s="13">
        <v>42991.983043981483</v>
      </c>
      <c r="J152" s="7">
        <v>0</v>
      </c>
      <c r="K152" s="89" t="str">
        <f t="shared" si="62"/>
        <v>4005/4006</v>
      </c>
      <c r="L152" s="214" t="str">
        <f>VLOOKUP(A152,'Trips&amp;Operators'!$C$1:$G$99911,5,FALSE)</f>
        <v>PERKINS DARREN</v>
      </c>
      <c r="M152" s="6">
        <f t="shared" si="63"/>
        <v>2.453703703940846E-2</v>
      </c>
      <c r="N152" s="7">
        <f t="shared" ref="N152:N183" si="84">24*60*SUM($M152:$M152)</f>
        <v>35.333333336748183</v>
      </c>
      <c r="O152" s="7"/>
      <c r="P152" s="7"/>
      <c r="Q152" s="22"/>
      <c r="R152" s="167"/>
      <c r="S152" s="210">
        <f t="shared" ref="S152:S183" si="85">1/IF(AG152="EC",12,1)*SUM(U152:U152)</f>
        <v>1</v>
      </c>
      <c r="T152" s="192" t="str">
        <f t="shared" si="64"/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65"/>
        <v>https://d0f6bd738d7f1b3e5a7ca70fe4ff75f0.us-east-1.aws.found.io/app/kibana#/discover/Steve-Slow-Train-Analysis-(2080s-and-2083s)?_g=(refreshInterval:(display:Off,pause:!f,section:0,value:0),time:(from:'2017-09-13T21:38:45-0600',mode:absolute,to:'2017-09-14T00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194" t="str">
        <f>IF(AA152&lt;VLOOKUP(AG152,Variables!$AC$3:$AD$8,2,FALSE),"Y","N")</f>
        <v>N</v>
      </c>
      <c r="X152" s="194">
        <f t="shared" si="83"/>
        <v>1</v>
      </c>
      <c r="Y152" s="194">
        <f t="shared" si="81"/>
        <v>4.3999999999999997E-2</v>
      </c>
      <c r="Z152" s="194">
        <f t="shared" si="82"/>
        <v>23.318899999999999</v>
      </c>
      <c r="AA152" s="194">
        <f t="shared" si="67"/>
        <v>23.274899999999999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 t="shared" si="68"/>
        <v>237</v>
      </c>
      <c r="AE152" s="77" t="str">
        <f t="shared" si="69"/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AF152" s="74" t="str">
        <f t="shared" si="70"/>
        <v>"C:\Program Files (x86)\AstroGrep\AstroGrep.exe" /e /r /s /spath="%USERPROFILE%\AppData\Local\Temp\OnboardLogs" /stypes="app*4006*20170914*" /stext=" 05:.+((SYSTEM_STATE.+slice.+state.+changed )|(ment ac)|(multiple cpu faults)|(system.+state.+changed )|(\[timeout)|(PRM\|1\|D)|(kpr)|(kdp)|(train st.+moving)|(\|lc)|(penalty))"</v>
      </c>
      <c r="AG152" s="206" t="str">
        <f t="shared" si="71"/>
        <v>EC</v>
      </c>
      <c r="AH152" s="78" t="str">
        <f t="shared" si="72"/>
        <v>"%USERPROFILE%\Documents\GitHub\eaglep3\Utilities\RefineRTDCRunTimes.py" --tripid 237-13 --locoid 4006 --swversion DE.1.0.9.0 --startMP 204:440 --initTime 2017-09-13T22:38:45 --startdatetime 2017-09-13T23:00:15 --delay 61 --endMP 204:233189 --enddatetime 2017-09-13T23:35:35 --enforcementcount 0 &gt;&gt;C:\Users\stu\Documents\GitHub\eaglep3-reporting\EC\2017-09-13-refined-times.txt</v>
      </c>
      <c r="AI152" s="96" t="str">
        <f t="shared" si="73"/>
        <v>echo {"issue":{"subject":"","project_id":79,"tracker_id":40,"status_id":1,"priority_id":2,"assigned_to_id":338,"start_date":"2017-09-13","description":"","custom_fields":[{"id":1,"name":"Subdivision","value":"EC"},{"id":4,"name":"Milepost","value":"23.3189"},{"id":17,"name":"Train ID","value":"237-13"},{"id":16,"name":"Locomotive ID","value":"4006"},{"id":130,"name":"Impact","value":""},{"id":150,"name":"Time of Event (Mountain Time)","value":"23:35:35"},{"id":151,"name":"Denver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4"/>
        <v>start /low /b %USERPROFILE%\Documents\GitHub\eaglep3\Utilities\DownloadLogsFromS3.py --loco 4006 --day 2017-09-13</v>
      </c>
      <c r="AN152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832</v>
      </c>
      <c r="B153" s="7">
        <v>4005</v>
      </c>
      <c r="C153" s="21" t="s">
        <v>197</v>
      </c>
      <c r="D153" s="21" t="s">
        <v>894</v>
      </c>
      <c r="E153" s="13">
        <v>42991.984814814816</v>
      </c>
      <c r="F153" s="13">
        <v>42991.998148148145</v>
      </c>
      <c r="G153" s="7">
        <v>80</v>
      </c>
      <c r="H153" s="21" t="s">
        <v>553</v>
      </c>
      <c r="I153" s="13">
        <v>42992.024745370371</v>
      </c>
      <c r="J153" s="7">
        <v>0</v>
      </c>
      <c r="K153" s="89" t="str">
        <f t="shared" si="62"/>
        <v>4005/4006</v>
      </c>
      <c r="L153" s="214" t="str">
        <f>VLOOKUP(A153,'Trips&amp;Operators'!$C$1:$G$99911,5,FALSE)</f>
        <v>PERKINS DARREN</v>
      </c>
      <c r="M153" s="6">
        <f t="shared" si="63"/>
        <v>2.6597222225973383E-2</v>
      </c>
      <c r="N153" s="7">
        <f t="shared" si="84"/>
        <v>38.300000005401671</v>
      </c>
      <c r="O153" s="7"/>
      <c r="P153" s="7"/>
      <c r="Q153" s="22"/>
      <c r="R153" s="167"/>
      <c r="S153" s="210">
        <f t="shared" si="85"/>
        <v>1</v>
      </c>
      <c r="T153" s="192" t="str">
        <f t="shared" si="64"/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65"/>
        <v>https://d0f6bd738d7f1b3e5a7ca70fe4ff75f0.us-east-1.aws.found.io/app/kibana#/discover/Steve-Slow-Train-Analysis-(2080s-and-2083s)?_g=(refreshInterval:(display:Off,pause:!f,section:0,value:0),time:(from:'2017-09-13T22:38:08-0600',mode:absolute,to:'2017-09-14T01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194" t="str">
        <f>IF(AA153&lt;VLOOKUP(AG153,Variables!$AC$3:$AD$8,2,FALSE),"Y","N")</f>
        <v>N</v>
      </c>
      <c r="X153" s="194">
        <f t="shared" si="83"/>
        <v>1</v>
      </c>
      <c r="Y153" s="194">
        <f t="shared" si="81"/>
        <v>23.287199999999999</v>
      </c>
      <c r="Z153" s="194">
        <f t="shared" si="82"/>
        <v>1.2999999999999999E-2</v>
      </c>
      <c r="AA153" s="194">
        <f t="shared" si="67"/>
        <v>23.274199999999997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 t="shared" si="68"/>
        <v>238</v>
      </c>
      <c r="AE153" s="77" t="str">
        <f t="shared" si="69"/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AF153" s="74" t="str">
        <f t="shared" si="70"/>
        <v>"C:\Program Files (x86)\AstroGrep\AstroGrep.exe" /e /r /s /spath="%USERPROFILE%\AppData\Local\Temp\OnboardLogs" /stypes="app*4005*20170914*" /stext=" 06:.+((SYSTEM_STATE.+slice.+state.+changed )|(ment ac)|(multiple cpu faults)|(system.+state.+changed )|(\[timeout)|(PRM\|1\|D)|(kpr)|(kdp)|(train st.+moving)|(\|lc)|(penalty))"</v>
      </c>
      <c r="AG153" s="206" t="str">
        <f t="shared" si="71"/>
        <v>EC</v>
      </c>
      <c r="AH153" s="78" t="str">
        <f t="shared" si="72"/>
        <v>"%USERPROFILE%\Documents\GitHub\eaglep3\Utilities\RefineRTDCRunTimes.py" --tripid 238-13 --locoid 4005 --swversion DE.1.0.9.0 --startMP 204:232872 --initTime 2017-09-13T23:38:08 --startdatetime 2017-09-13T23:57:20 --delay 80 --endMP 204:130 --enddatetime 2017-09-14T00:35:38 --enforcementcount 0 &gt;&gt;C:\Users\stu\Documents\GitHub\eaglep3-reporting\EC\2017-09-13-refined-times.txt</v>
      </c>
      <c r="AI153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{"issue":{"subject":"","project_id":79,"tracker_id":40,"status_id":1,"priority_id":2,"assigned_to_id":338,"start_date":"2017-09-14","description":"","custom_fields":[{"id":1,"name":"Subdivision","value":"EC"},{"id":4,"name":"Milepost","value":"0.013"},{"id":17,"name":"Train ID","value":"238-13"},{"id":16,"name":"Locomotive ID","value":"4005"},{"id":130,"name":"Impact","value":""},{"id":150,"name":"Time of Event (Mountain Time)","value":"00:35:38"},{"id":151,"name":"Denver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4"/>
        <v>start /low /b %USERPROFILE%\Documents\GitHub\eaglep3\Utilities\DownloadLogsFromS3.py --loco 4005 --day 2017-09-13</v>
      </c>
      <c r="AN153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06:35:38"},{"id":29,"name":"Sharepoint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829</v>
      </c>
      <c r="B154" s="7">
        <v>4020</v>
      </c>
      <c r="C154" s="21" t="s">
        <v>197</v>
      </c>
      <c r="D154" s="21" t="s">
        <v>350</v>
      </c>
      <c r="E154" s="13">
        <v>42991.963067129633</v>
      </c>
      <c r="F154" s="13">
        <v>42991.979351851849</v>
      </c>
      <c r="G154" s="7">
        <v>50</v>
      </c>
      <c r="H154" s="21" t="s">
        <v>552</v>
      </c>
      <c r="I154" s="13">
        <v>42992.00408564815</v>
      </c>
      <c r="J154" s="7">
        <v>0</v>
      </c>
      <c r="K154" s="89" t="str">
        <f t="shared" si="62"/>
        <v>4019/4020</v>
      </c>
      <c r="L154" s="214" t="str">
        <f>VLOOKUP(A154,'Trips&amp;Operators'!$C$1:$G$99911,5,FALSE)</f>
        <v>DUNCAN SHEILA</v>
      </c>
      <c r="M154" s="6">
        <f t="shared" si="63"/>
        <v>2.4733796301006805E-2</v>
      </c>
      <c r="N154" s="7">
        <f t="shared" si="84"/>
        <v>35.616666673449799</v>
      </c>
      <c r="O154" s="7"/>
      <c r="P154" s="7"/>
      <c r="Q154" s="22"/>
      <c r="R154" s="167"/>
      <c r="S154" s="210">
        <f t="shared" si="85"/>
        <v>1</v>
      </c>
      <c r="T154" s="192" t="str">
        <f t="shared" si="64"/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65"/>
        <v>https://d0f6bd738d7f1b3e5a7ca70fe4ff75f0.us-east-1.aws.found.io/app/kibana#/discover/Steve-Slow-Train-Analysis-(2080s-and-2083s)?_g=(refreshInterval:(display:Off,pause:!f,section:0,value:0),time:(from:'2017-09-13T22:06:49-0600',mode:absolute,to:'2017-09-14T01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4" t="str">
        <f>IF(AA154&lt;VLOOKUP(AG154,Variables!$AC$3:$AD$8,2,FALSE),"Y","N")</f>
        <v>N</v>
      </c>
      <c r="X154" s="194">
        <f t="shared" si="83"/>
        <v>1</v>
      </c>
      <c r="Y154" s="194">
        <f t="shared" si="81"/>
        <v>4.5499999999999999E-2</v>
      </c>
      <c r="Z154" s="194">
        <f t="shared" si="82"/>
        <v>23.334700000000002</v>
      </c>
      <c r="AA154" s="194">
        <f t="shared" si="67"/>
        <v>23.289200000000001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 t="shared" si="68"/>
        <v>239</v>
      </c>
      <c r="AE154" s="77" t="str">
        <f t="shared" si="69"/>
        <v>aws s3 cp s3://rtdc.mdm.uploadarchive.raw/RTDC4020/ "%USERPROFILE%\AppData\Local\Temp\OnboardLogs"\RTDC4020\2017-09-13 --exclude "*" --recursive --include "*20170913*" &amp; "%USERPROFILE%\Documents\GitHub\mrs-test-scripts\Headless Mode &amp; Sideloading\WalkAndUnGZ.bat" "%USERPROFILE%\AppData\Local\Temp\OnboardLogs"\RTDC4020\2017-09-13 &amp; 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</v>
      </c>
      <c r="AF154" s="74" t="str">
        <f t="shared" si="70"/>
        <v>"C:\Program Files (x86)\AstroGrep\AstroGrep.exe" /e /r /s /spath="%USERPROFILE%\AppData\Local\Temp\OnboardLogs" /stypes="app*4020*20170914*" /stext=" 06:.+((SYSTEM_STATE.+slice.+state.+changed )|(ment ac)|(multiple cpu faults)|(system.+state.+changed )|(\[timeout)|(PRM\|1\|D)|(kpr)|(kdp)|(train st.+moving)|(\|lc)|(penalty))"</v>
      </c>
      <c r="AG154" s="206" t="str">
        <f t="shared" si="71"/>
        <v>EC</v>
      </c>
      <c r="AH154" s="78" t="str">
        <f t="shared" si="72"/>
        <v>"%USERPROFILE%\Documents\GitHub\eaglep3\Utilities\RefineRTDCRunTimes.py" --tripid 239-13 --locoid 4020 --swversion DE.1.0.9.0 --startMP 204:455 --initTime 2017-09-13T23:06:49 --startdatetime 2017-09-13T23:30:16 --delay 50 --endMP 204:233347 --enddatetime 2017-09-14T00:05:53 --enforcementcount 0 &gt;&gt;C:\Users\stu\Documents\GitHub\eaglep3-reporting\EC\2017-09-13-refined-times.txt</v>
      </c>
      <c r="AI154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{"issue":{"subject":"","project_id":79,"tracker_id":40,"status_id":1,"priority_id":2,"assigned_to_id":338,"start_date":"2017-09-14","description":"","custom_fields":[{"id":1,"name":"Subdivision","value":"EC"},{"id":4,"name":"Milepost","value":"23.3347"},{"id":17,"name":"Train ID","value":"239-13"},{"id":16,"name":"Locomotive ID","value":"4020"},{"id":130,"name":"Impact","value":""},{"id":150,"name":"Time of Event (Mountain Time)","value":"00:05:53"},{"id":151,"name":"Denver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4"/>
        <v>start /low /b %USERPROFILE%\Documents\GitHub\eaglep3\Utilities\DownloadLogsFromS3.py --loco 4020 --day 2017-09-13</v>
      </c>
      <c r="AN154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06:05:53"},{"id":29,"name":"Sharepoint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834</v>
      </c>
      <c r="B155" s="7">
        <v>4019</v>
      </c>
      <c r="C155" s="21" t="s">
        <v>197</v>
      </c>
      <c r="D155" s="21" t="s">
        <v>474</v>
      </c>
      <c r="E155" s="13">
        <v>42992.004780092589</v>
      </c>
      <c r="F155" s="13">
        <v>42992.019212962965</v>
      </c>
      <c r="G155" s="7">
        <v>60</v>
      </c>
      <c r="H155" s="21" t="s">
        <v>339</v>
      </c>
      <c r="I155" s="13">
        <v>42992.044710648152</v>
      </c>
      <c r="J155" s="7">
        <v>0</v>
      </c>
      <c r="K155" s="89" t="str">
        <f t="shared" si="62"/>
        <v>4019/4020</v>
      </c>
      <c r="L155" s="214" t="str">
        <f>VLOOKUP(A155,'Trips&amp;Operators'!$C$1:$G$99911,5,FALSE)</f>
        <v>DUNCAN SHEILA</v>
      </c>
      <c r="M155" s="6">
        <f t="shared" si="63"/>
        <v>2.5497685186564922E-2</v>
      </c>
      <c r="N155" s="7">
        <f t="shared" si="84"/>
        <v>36.716666668653488</v>
      </c>
      <c r="O155" s="7"/>
      <c r="P155" s="7"/>
      <c r="Q155" s="22"/>
      <c r="R155" s="167"/>
      <c r="S155" s="210">
        <f t="shared" si="85"/>
        <v>1</v>
      </c>
      <c r="T155" s="192" t="str">
        <f t="shared" si="64"/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65"/>
        <v>https://d0f6bd738d7f1b3e5a7ca70fe4ff75f0.us-east-1.aws.found.io/app/kibana#/discover/Steve-Slow-Train-Analysis-(2080s-and-2083s)?_g=(refreshInterval:(display:Off,pause:!f,section:0,value:0),time:(from:'2017-09-13T23:06:53-0600',mode:absolute,to:'2017-09-14T02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4" t="str">
        <f>IF(AA155&lt;VLOOKUP(AG155,Variables!$AC$3:$AD$8,2,FALSE),"Y","N")</f>
        <v>N</v>
      </c>
      <c r="X155" s="194">
        <f t="shared" si="83"/>
        <v>1</v>
      </c>
      <c r="Y155" s="194">
        <f t="shared" si="81"/>
        <v>23.302099999999999</v>
      </c>
      <c r="Z155" s="194">
        <f t="shared" si="82"/>
        <v>1.49E-2</v>
      </c>
      <c r="AA155" s="194">
        <f t="shared" si="67"/>
        <v>23.287199999999999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 t="shared" si="68"/>
        <v>240</v>
      </c>
      <c r="AE155" s="77" t="str">
        <f t="shared" si="69"/>
        <v>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 &amp; aws s3 cp s3://rtdc.mdm.uploadarchive.raw/RTDC4019/ "%USERPROFILE%\AppData\Local\Temp\OnboardLogs"\RTDC4019\2017-09-15 --exclude "*" --recursive --include "*20170915*" &amp; "%USERPROFILE%\Documents\GitHub\mrs-test-scripts\Headless Mode &amp; Sideloading\WalkAndUnGZ.bat" "%USERPROFILE%\AppData\Local\Temp\OnboardLogs"\RTDC4019\2017-09-15</v>
      </c>
      <c r="AF155" s="74" t="str">
        <f t="shared" si="70"/>
        <v>"C:\Program Files (x86)\AstroGrep\AstroGrep.exe" /e /r /s /spath="%USERPROFILE%\AppData\Local\Temp\OnboardLogs" /stypes="app*4019*20170914*" /stext=" 07:.+((SYSTEM_STATE.+slice.+state.+changed )|(ment ac)|(multiple cpu faults)|(system.+state.+changed )|(\[timeout)|(PRM\|1\|D)|(kpr)|(kdp)|(train st.+moving)|(\|lc)|(penalty))"</v>
      </c>
      <c r="AG155" s="206" t="str">
        <f t="shared" si="71"/>
        <v>EC</v>
      </c>
      <c r="AH155" s="78" t="str">
        <f t="shared" si="72"/>
        <v>"%USERPROFILE%\Documents\GitHub\eaglep3\Utilities\RefineRTDCRunTimes.py" --tripid 240-13 --locoid 4019 --swversion DE.1.0.9.0 --startMP 204:233021 --initTime 2017-09-14T00:06:53 --startdatetime 2017-09-14T00:27:40 --delay 60 --endMP 204:149 --enddatetime 2017-09-14T01:04:23 --enforcementcount 0 &gt;&gt;C:\Users\stu\Documents\GitHub\eaglep3-reporting\EC\2017-09-13-refined-times.txt</v>
      </c>
      <c r="AI155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{"issue":{"subject":"","project_id":79,"tracker_id":40,"status_id":1,"priority_id":2,"assigned_to_id":338,"start_date":"2017-09-14","description":"","custom_fields":[{"id":1,"name":"Subdivision","value":"EC"},{"id":4,"name":"Milepost","value":"0.0149"},{"id":17,"name":"Train ID","value":"240-13"},{"id":16,"name":"Locomotive ID","value":"4019"},{"id":130,"name":"Impact","value":""},{"id":150,"name":"Time of Event (Mountain Time)","value":"01:04:23"},{"id":151,"name":"Denver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4"/>
        <v>start /low /b %USERPROFILE%\Documents\GitHub\eaglep3\Utilities\DownloadLogsFromS3.py --loco 4019 --day 2017-09-14</v>
      </c>
      <c r="AN155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833</v>
      </c>
      <c r="B156" s="7">
        <v>4028</v>
      </c>
      <c r="C156" s="21" t="s">
        <v>197</v>
      </c>
      <c r="D156" s="21" t="s">
        <v>350</v>
      </c>
      <c r="E156" s="13">
        <v>42991.987812500003</v>
      </c>
      <c r="F156" s="13">
        <v>42992.000173611108</v>
      </c>
      <c r="G156" s="7">
        <v>47</v>
      </c>
      <c r="H156" s="21" t="s">
        <v>889</v>
      </c>
      <c r="I156" s="13">
        <v>42992.024629629632</v>
      </c>
      <c r="J156" s="7">
        <v>0</v>
      </c>
      <c r="K156" s="89" t="str">
        <f t="shared" si="62"/>
        <v>4027/4028</v>
      </c>
      <c r="L156" s="214" t="str">
        <f>VLOOKUP(A156,'Trips&amp;Operators'!$C$1:$G$99911,5,FALSE)</f>
        <v>LOZA FIDEL</v>
      </c>
      <c r="M156" s="6">
        <f t="shared" si="63"/>
        <v>2.4456018523778766E-2</v>
      </c>
      <c r="N156" s="7">
        <f t="shared" si="84"/>
        <v>35.216666674241424</v>
      </c>
      <c r="O156" s="7"/>
      <c r="P156" s="7"/>
      <c r="Q156" s="22"/>
      <c r="R156" s="167"/>
      <c r="S156" s="210">
        <f t="shared" si="85"/>
        <v>1</v>
      </c>
      <c r="T156" s="192" t="str">
        <f t="shared" si="64"/>
        <v>NorthBound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65"/>
        <v>https://d0f6bd738d7f1b3e5a7ca70fe4ff75f0.us-east-1.aws.found.io/app/kibana#/discover/Steve-Slow-Train-Analysis-(2080s-and-2083s)?_g=(refreshInterval:(display:Off,pause:!f,section:0,value:0),time:(from:'2017-09-13T22:42:27-0600',mode:absolute,to:'2017-09-14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94" t="str">
        <f>IF(AA156&lt;VLOOKUP(AG156,Variables!$AC$3:$AD$8,2,FALSE),"Y","N")</f>
        <v>N</v>
      </c>
      <c r="X156" s="194">
        <f t="shared" si="83"/>
        <v>1</v>
      </c>
      <c r="Y156" s="194">
        <f t="shared" si="81"/>
        <v>4.5499999999999999E-2</v>
      </c>
      <c r="Z156" s="194">
        <f t="shared" si="82"/>
        <v>23.3323</v>
      </c>
      <c r="AA156" s="194">
        <f t="shared" si="67"/>
        <v>23.286799999999999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 t="shared" si="68"/>
        <v>241</v>
      </c>
      <c r="AE156" s="77" t="str">
        <f t="shared" si="69"/>
        <v>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 &amp; 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</v>
      </c>
      <c r="AF156" s="74" t="str">
        <f t="shared" si="70"/>
        <v>"C:\Program Files (x86)\AstroGrep\AstroGrep.exe" /e /r /s /spath="%USERPROFILE%\AppData\Local\Temp\OnboardLogs" /stypes="app*4028*20170914*" /stext=" 06:.+((SYSTEM_STATE.+slice.+state.+changed )|(ment ac)|(multiple cpu faults)|(system.+state.+changed )|(\[timeout)|(PRM\|1\|D)|(kpr)|(kdp)|(train st.+moving)|(\|lc)|(penalty))"</v>
      </c>
      <c r="AG156" s="206" t="str">
        <f t="shared" si="71"/>
        <v>EC</v>
      </c>
      <c r="AH156" s="78" t="str">
        <f t="shared" si="72"/>
        <v>"%USERPROFILE%\Documents\GitHub\eaglep3\Utilities\RefineRTDCRunTimes.py" --tripid 241-13 --locoid 4028 --swversion DE.1.0.9.0 --startMP 204:455 --initTime 2017-09-13T23:42:27 --startdatetime 2017-09-14T00:00:15 --delay 47 --endMP 204:233323 --enddatetime 2017-09-14T00:35:28 --enforcementcount 0 &gt;&gt;C:\Users\stu\Documents\GitHub\eaglep3-reporting\EC\2017-09-13-refined-times.txt</v>
      </c>
      <c r="AI156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{"issue":{"subject":"","project_id":79,"tracker_id":40,"status_id":1,"priority_id":2,"assigned_to_id":338,"start_date":"2017-09-14","description":"","custom_fields":[{"id":1,"name":"Subdivision","value":"EC"},{"id":4,"name":"Milepost","value":"23.3323"},{"id":17,"name":"Train ID","value":"241-13"},{"id":16,"name":"Locomotive ID","value":"4028"},{"id":130,"name":"Impact","value":""},{"id":150,"name":"Time of Event (Mountain Time)","value":"00:35:28"},{"id":151,"name":"Denver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4"/>
        <v>start /low /b %USERPROFILE%\Documents\GitHub\eaglep3\Utilities\DownloadLogsFromS3.py --loco 4028 --day 2017-09-14</v>
      </c>
      <c r="AN156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837</v>
      </c>
      <c r="B157" s="7">
        <v>4027</v>
      </c>
      <c r="C157" s="21" t="s">
        <v>197</v>
      </c>
      <c r="D157" s="21" t="s">
        <v>495</v>
      </c>
      <c r="E157" s="13">
        <v>42992.037418981483</v>
      </c>
      <c r="F157" s="13">
        <v>42992.039768518516</v>
      </c>
      <c r="G157" s="7">
        <v>65</v>
      </c>
      <c r="H157" s="21" t="s">
        <v>338</v>
      </c>
      <c r="I157" s="13">
        <v>42992.064814814818</v>
      </c>
      <c r="J157" s="7">
        <v>0</v>
      </c>
      <c r="K157" s="89" t="str">
        <f t="shared" si="62"/>
        <v>4027/4028</v>
      </c>
      <c r="L157" s="214" t="str">
        <f>VLOOKUP(A157,'Trips&amp;Operators'!$C$1:$G$99911,5,FALSE)</f>
        <v>LOZA FIDEL</v>
      </c>
      <c r="M157" s="6">
        <f t="shared" si="63"/>
        <v>2.5046296301297843E-2</v>
      </c>
      <c r="N157" s="7">
        <f t="shared" si="84"/>
        <v>36.066666673868895</v>
      </c>
      <c r="O157" s="7"/>
      <c r="P157" s="7"/>
      <c r="Q157" s="22"/>
      <c r="R157" s="167"/>
      <c r="S157" s="210">
        <f t="shared" si="85"/>
        <v>1</v>
      </c>
      <c r="T157" s="192" t="str">
        <f t="shared" si="64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3" t="str">
        <f t="shared" si="65"/>
        <v>https://d0f6bd738d7f1b3e5a7ca70fe4ff75f0.us-east-1.aws.found.io/app/kibana#/discover/Steve-Slow-Train-Analysis-(2080s-and-2083s)?_g=(refreshInterval:(display:Off,pause:!f,section:0,value:0),time:(from:'2017-09-13T23:53:53-0600',mode:absolute,to:'2017-09-14T02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7" s="194" t="str">
        <f>IF(AA157&lt;VLOOKUP(AG157,Variables!$AC$3:$AD$8,2,FALSE),"Y","N")</f>
        <v>N</v>
      </c>
      <c r="X157" s="194">
        <f t="shared" si="83"/>
        <v>1</v>
      </c>
      <c r="Y157" s="194">
        <f t="shared" si="81"/>
        <v>23.300799999999999</v>
      </c>
      <c r="Z157" s="194">
        <f t="shared" si="82"/>
        <v>1.4999999999999999E-2</v>
      </c>
      <c r="AA157" s="194">
        <f t="shared" si="67"/>
        <v>23.285799999999998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 t="shared" si="68"/>
        <v>242</v>
      </c>
      <c r="AE157" s="77" t="str">
        <f t="shared" si="69"/>
        <v>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 &amp; aws s3 cp s3://rtdc.mdm.uploadarchive.raw/RTDC4027/ "%USERPROFILE%\AppData\Local\Temp\OnboardLogs"\RTDC4027\2017-09-15 --exclude "*" --recursive --include "*20170915*" &amp; "%USERPROFILE%\Documents\GitHub\mrs-test-scripts\Headless Mode &amp; Sideloading\WalkAndUnGZ.bat" "%USERPROFILE%\AppData\Local\Temp\OnboardLogs"\RTDC4027\2017-09-15</v>
      </c>
      <c r="AF157" s="74" t="str">
        <f t="shared" si="70"/>
        <v>"C:\Program Files (x86)\AstroGrep\AstroGrep.exe" /e /r /s /spath="%USERPROFILE%\AppData\Local\Temp\OnboardLogs" /stypes="app*4027*20170914*" /stext=" 07:.+((SYSTEM_STATE.+slice.+state.+changed )|(ment ac)|(multiple cpu faults)|(system.+state.+changed )|(\[timeout)|(PRM\|1\|D)|(kpr)|(kdp)|(train st.+moving)|(\|lc)|(penalty))"</v>
      </c>
      <c r="AG157" s="206" t="str">
        <f t="shared" si="71"/>
        <v>EC</v>
      </c>
      <c r="AH157" s="78" t="str">
        <f t="shared" si="72"/>
        <v>"%USERPROFILE%\Documents\GitHub\eaglep3\Utilities\RefineRTDCRunTimes.py" --tripid 242-13 --locoid 4027 --swversion DE.1.0.9.0 --startMP 204:233008 --initTime 2017-09-14T00:53:53 --startdatetime 2017-09-14T00:57:16 --delay 65 --endMP 204:150 --enddatetime 2017-09-14T01:33:20 --enforcementcount 0 &gt;&gt;C:\Users\stu\Documents\GitHub\eaglep3-reporting\EC\2017-09-13-refined-times.txt</v>
      </c>
      <c r="AI157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{"issue":{"subject":"","project_id":79,"tracker_id":40,"status_id":1,"priority_id":2,"assigned_to_id":338,"start_date":"2017-09-14","description":"","custom_fields":[{"id":1,"name":"Subdivision","value":"EC"},{"id":4,"name":"Milepost","value":"0.015"},{"id":17,"name":"Train ID","value":"242-13"},{"id":16,"name":"Locomotive ID","value":"4027"},{"id":130,"name":"Impact","value":""},{"id":150,"name":"Time of Event (Mountain Time)","value":"01:33:20"},{"id":151,"name":"Denver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4"/>
        <v>start /low /b %USERPROFILE%\Documents\GitHub\eaglep3\Utilities\DownloadLogsFromS3.py --loco 4027 --day 2017-09-14</v>
      </c>
      <c r="AN157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07:33:20"},{"id":29,"name":"Sharepoint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835</v>
      </c>
      <c r="B158" s="7">
        <v>4016</v>
      </c>
      <c r="C158" s="21" t="s">
        <v>197</v>
      </c>
      <c r="D158" s="21" t="s">
        <v>350</v>
      </c>
      <c r="E158" s="13">
        <v>42992.018194444441</v>
      </c>
      <c r="F158" s="13">
        <v>42992.021111111113</v>
      </c>
      <c r="G158" s="7">
        <v>53</v>
      </c>
      <c r="H158" s="21" t="s">
        <v>468</v>
      </c>
      <c r="I158" s="13">
        <v>42992.045694444445</v>
      </c>
      <c r="J158" s="7">
        <v>0</v>
      </c>
      <c r="K158" s="89" t="str">
        <f t="shared" si="62"/>
        <v>4015/4016</v>
      </c>
      <c r="L158" s="214" t="str">
        <f>VLOOKUP(A158,'Trips&amp;Operators'!$C$1:$G$99911,5,FALSE)</f>
        <v>HART KEVIN</v>
      </c>
      <c r="M158" s="6">
        <f t="shared" si="63"/>
        <v>2.4583333331975155E-2</v>
      </c>
      <c r="N158" s="7">
        <f t="shared" si="84"/>
        <v>35.399999998044223</v>
      </c>
      <c r="O158" s="7"/>
      <c r="P158" s="7"/>
      <c r="Q158" s="22"/>
      <c r="R158" s="167"/>
      <c r="S158" s="210">
        <f t="shared" si="85"/>
        <v>1</v>
      </c>
      <c r="T158" s="192" t="str">
        <f t="shared" si="64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3" t="str">
        <f t="shared" si="65"/>
        <v>https://d0f6bd738d7f1b3e5a7ca70fe4ff75f0.us-east-1.aws.found.io/app/kibana#/discover/Steve-Slow-Train-Analysis-(2080s-and-2083s)?_g=(refreshInterval:(display:Off,pause:!f,section:0,value:0),time:(from:'2017-09-13T23:26:12-0600',mode:absolute,to:'2017-09-14T02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94" t="str">
        <f>IF(AA158&lt;VLOOKUP(AG158,Variables!$AC$3:$AD$8,2,FALSE),"Y","N")</f>
        <v>N</v>
      </c>
      <c r="X158" s="194">
        <f t="shared" si="83"/>
        <v>1</v>
      </c>
      <c r="Y158" s="194">
        <f t="shared" si="81"/>
        <v>4.5499999999999999E-2</v>
      </c>
      <c r="Z158" s="194">
        <f t="shared" si="82"/>
        <v>23.3308</v>
      </c>
      <c r="AA158" s="194">
        <f t="shared" si="67"/>
        <v>23.285299999999999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 t="shared" si="68"/>
        <v>243</v>
      </c>
      <c r="AE158" s="77" t="str">
        <f t="shared" si="69"/>
        <v>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 &amp; 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</v>
      </c>
      <c r="AF158" s="74" t="str">
        <f t="shared" si="70"/>
        <v>"C:\Program Files (x86)\AstroGrep\AstroGrep.exe" /e /r /s /spath="%USERPROFILE%\AppData\Local\Temp\OnboardLogs" /stypes="app*4016*20170914*" /stext=" 07:.+((SYSTEM_STATE.+slice.+state.+changed )|(ment ac)|(multiple cpu faults)|(system.+state.+changed )|(\[timeout)|(PRM\|1\|D)|(kpr)|(kdp)|(train st.+moving)|(\|lc)|(penalty))"</v>
      </c>
      <c r="AG158" s="206" t="str">
        <f t="shared" si="71"/>
        <v>EC</v>
      </c>
      <c r="AH158" s="78" t="str">
        <f t="shared" si="72"/>
        <v>"%USERPROFILE%\Documents\GitHub\eaglep3\Utilities\RefineRTDCRunTimes.py" --tripid 243-13 --locoid 4016 --swversion DE.1.0.9.0 --startMP 204:455 --initTime 2017-09-14T00:26:12 --startdatetime 2017-09-14T00:30:24 --delay 53 --endMP 204:233308 --enddatetime 2017-09-14T01:05:48 --enforcementcount 0 &gt;&gt;C:\Users\stu\Documents\GitHub\eaglep3-reporting\EC\2017-09-13-refined-times.txt</v>
      </c>
      <c r="AI158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{"issue":{"subject":"","project_id":79,"tracker_id":40,"status_id":1,"priority_id":2,"assigned_to_id":338,"start_date":"2017-09-14","description":"","custom_fields":[{"id":1,"name":"Subdivision","value":"EC"},{"id":4,"name":"Milepost","value":"23.3308"},{"id":17,"name":"Train ID","value":"243-13"},{"id":16,"name":"Locomotive ID","value":"4016"},{"id":130,"name":"Impact","value":""},{"id":150,"name":"Time of Event (Mountain Time)","value":"01:05:48"},{"id":151,"name":"Denver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4"/>
        <v>start /low /b %USERPROFILE%\Documents\GitHub\eaglep3\Utilities\DownloadLogsFromS3.py --loco 4016 --day 2017-09-14</v>
      </c>
      <c r="AN158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839</v>
      </c>
      <c r="B159" s="7">
        <v>4015</v>
      </c>
      <c r="C159" s="21" t="s">
        <v>197</v>
      </c>
      <c r="D159" s="21" t="s">
        <v>462</v>
      </c>
      <c r="E159" s="13">
        <v>42992.057013888887</v>
      </c>
      <c r="F159" s="13">
        <v>42992.060682870368</v>
      </c>
      <c r="G159" s="7">
        <v>64</v>
      </c>
      <c r="H159" s="21" t="s">
        <v>895</v>
      </c>
      <c r="I159" s="13">
        <v>42992.086493055554</v>
      </c>
      <c r="J159" s="7">
        <v>0</v>
      </c>
      <c r="K159" s="89" t="str">
        <f t="shared" si="62"/>
        <v>4015/4016</v>
      </c>
      <c r="L159" s="214" t="str">
        <f>VLOOKUP(A159,'Trips&amp;Operators'!$C$1:$G$99911,5,FALSE)</f>
        <v>HART KEVIN</v>
      </c>
      <c r="M159" s="6">
        <f t="shared" si="63"/>
        <v>2.5810185186855961E-2</v>
      </c>
      <c r="N159" s="7">
        <f t="shared" si="84"/>
        <v>37.166666669072583</v>
      </c>
      <c r="O159" s="7"/>
      <c r="P159" s="7"/>
      <c r="Q159" s="22"/>
      <c r="R159" s="167"/>
      <c r="S159" s="210">
        <f t="shared" si="85"/>
        <v>1</v>
      </c>
      <c r="T159" s="192" t="str">
        <f t="shared" si="64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3" t="str">
        <f t="shared" si="65"/>
        <v>https://d0f6bd738d7f1b3e5a7ca70fe4ff75f0.us-east-1.aws.found.io/app/kibana#/discover/Steve-Slow-Train-Analysis-(2080s-and-2083s)?_g=(refreshInterval:(display:Off,pause:!f,section:0,value:0),time:(from:'2017-09-14T00:22:06-0600',mode:absolute,to:'2017-09-14T03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4" t="str">
        <f>IF(AA159&lt;VLOOKUP(AG159,Variables!$AC$3:$AD$8,2,FALSE),"Y","N")</f>
        <v>N</v>
      </c>
      <c r="X159" s="194">
        <f t="shared" si="83"/>
        <v>1</v>
      </c>
      <c r="Y159" s="194">
        <f t="shared" si="81"/>
        <v>23.299800000000001</v>
      </c>
      <c r="Z159" s="194">
        <f t="shared" si="82"/>
        <v>1.67E-2</v>
      </c>
      <c r="AA159" s="194">
        <f t="shared" si="67"/>
        <v>23.283100000000001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 t="shared" si="68"/>
        <v>244</v>
      </c>
      <c r="AE159" s="77" t="str">
        <f t="shared" si="69"/>
        <v>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 &amp; aws s3 cp s3://rtdc.mdm.uploadarchive.raw/RTDC4015/ "%USERPROFILE%\AppData\Local\Temp\OnboardLogs"\RTDC4015\2017-09-15 --exclude "*" --recursive --include "*20170915*" &amp; "%USERPROFILE%\Documents\GitHub\mrs-test-scripts\Headless Mode &amp; Sideloading\WalkAndUnGZ.bat" "%USERPROFILE%\AppData\Local\Temp\OnboardLogs"\RTDC4015\2017-09-15</v>
      </c>
      <c r="AF159" s="74" t="str">
        <f t="shared" si="70"/>
        <v>"C:\Program Files (x86)\AstroGrep\AstroGrep.exe" /e /r /s /spath="%USERPROFILE%\AppData\Local\Temp\OnboardLogs" /stypes="app*4015*20170914*" /stext=" 08:.+((SYSTEM_STATE.+slice.+state.+changed )|(ment ac)|(multiple cpu faults)|(system.+state.+changed )|(\[timeout)|(PRM\|1\|D)|(kpr)|(kdp)|(train st.+moving)|(\|lc)|(penalty))"</v>
      </c>
      <c r="AG159" s="206" t="str">
        <f t="shared" si="71"/>
        <v>EC</v>
      </c>
      <c r="AH159" s="78" t="str">
        <f t="shared" si="72"/>
        <v>"%USERPROFILE%\Documents\GitHub\eaglep3\Utilities\RefineRTDCRunTimes.py" --tripid 244-13 --locoid 4015 --swversion DE.1.0.9.0 --startMP 204:232998 --initTime 2017-09-14T01:22:06 --startdatetime 2017-09-14T01:27:23 --delay 64 --endMP 204:167 --enddatetime 2017-09-14T02:04:33 --enforcementcount 0 &gt;&gt;C:\Users\stu\Documents\GitHub\eaglep3-reporting\EC\2017-09-13-refined-times.txt</v>
      </c>
      <c r="AI159" s="96" t="str">
        <f t="shared" si="73"/>
        <v>echo {"issue":{"subject":"","project_id":79,"tracker_id":40,"status_id":1,"priority_id":2,"assigned_to_id":338,"start_date":"2017-09-14","description":"","custom_fields":[{"id":1,"name":"Subdivision","value":"EC"},{"id":4,"name":"Milepost","value":"0.0167"},{"id":17,"name":"Train ID","value":"244-13"},{"id":16,"name":"Locomotive ID","value":"4015"},{"id":130,"name":"Impact","value":""},{"id":150,"name":"Time of Event (Mountain Time)","value":"02:04:33"},{"id":151,"name":"Denver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4"/>
        <v>start /low /b %USERPROFILE%\Documents\GitHub\eaglep3\Utilities\DownloadLogsFromS3.py --loco 4015 --day 2017-09-14</v>
      </c>
      <c r="AN159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08:04:33"},{"id":29,"name":"Sharepoint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632</v>
      </c>
      <c r="B160" s="7">
        <v>4025</v>
      </c>
      <c r="C160" s="21" t="s">
        <v>197</v>
      </c>
      <c r="D160" s="21" t="s">
        <v>938</v>
      </c>
      <c r="E160" s="13">
        <v>42991.214930555558</v>
      </c>
      <c r="F160" s="13">
        <v>42991.216550925928</v>
      </c>
      <c r="G160" s="7">
        <v>60</v>
      </c>
      <c r="H160" s="21" t="s">
        <v>939</v>
      </c>
      <c r="I160" s="13">
        <v>42991.226481481484</v>
      </c>
      <c r="J160" s="7">
        <v>0</v>
      </c>
      <c r="K160" s="89" t="str">
        <f t="shared" si="62"/>
        <v>4025/4026</v>
      </c>
      <c r="L160" s="214" t="str">
        <f>VLOOKUP(A160,'Trips&amp;Operators'!$C$1:$G$99911,5,FALSE)</f>
        <v>HUFFSMITH MONTY</v>
      </c>
      <c r="M160" s="6">
        <f t="shared" si="63"/>
        <v>9.930555555911269E-3</v>
      </c>
      <c r="N160" s="7">
        <f t="shared" si="84"/>
        <v>14.300000000512227</v>
      </c>
      <c r="O160" s="7"/>
      <c r="P160" s="7"/>
      <c r="Q160" s="22"/>
      <c r="R160" s="167"/>
      <c r="S160" s="210">
        <f t="shared" si="85"/>
        <v>1</v>
      </c>
      <c r="T160" s="192" t="str">
        <f t="shared" si="64"/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65"/>
        <v>https://d0f6bd738d7f1b3e5a7ca70fe4ff75f0.us-east-1.aws.found.io/app/kibana#/discover/Steve-Slow-Train-Analysis-(2080s-and-2083s)?_g=(refreshInterval:(display:Off,pause:!f,section:0,value:0),time:(from:'2017-09-13T04:09:30-0600',mode:absolute,to:'2017-09-13T06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0" s="194" t="str">
        <f>IF(AA160&lt;VLOOKUP(AG160,Variables!$AC$3:$AD$8,2,FALSE),"Y","N")</f>
        <v>N</v>
      </c>
      <c r="X160" s="194">
        <f t="shared" si="83"/>
        <v>556</v>
      </c>
      <c r="Y160" s="194">
        <f t="shared" si="81"/>
        <v>5.8659999999999997</v>
      </c>
      <c r="Z160" s="194">
        <f t="shared" si="82"/>
        <v>7.4099999999999999E-2</v>
      </c>
      <c r="AA160" s="194">
        <f t="shared" si="67"/>
        <v>5.7919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 t="shared" si="68"/>
        <v>800</v>
      </c>
      <c r="AE160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60" s="74" t="str">
        <f t="shared" si="70"/>
        <v>"C:\Program Files (x86)\AstroGrep\AstroGrep.exe" /e /r /s /spath="%USERPROFILE%\AppData\Local\Temp\OnboardLogs" /stypes="app*4025*20170913*" /stext=" 11:.+((SYSTEM_STATE.+slice.+state.+changed )|(ment ac)|(multiple cpu faults)|(system.+state.+changed )|(\[timeout)|(PRM\|1\|D)|(kpr)|(kdp)|(train st.+moving)|(\|lc)|(penalty))"</v>
      </c>
      <c r="AG160" s="206" t="str">
        <f t="shared" si="71"/>
        <v>NW</v>
      </c>
      <c r="AH160" s="78" t="str">
        <f t="shared" si="72"/>
        <v>"%USERPROFILE%\Documents\GitHub\eaglep3\Utilities\RefineRTDCRunTimes.py" --tripid 800-13 --locoid 4025 --swversion DE.1.0.9.0 --startMP 300:58660 --initTime 2017-09-13T05:09:30 --startdatetime 2017-09-13T05:11:50 --delay 60 --endMP 204:741 --enddatetime 2017-09-13T05:26:08 --enforcementcount 0 &gt;&gt;C:\Users\stu\Documents\GitHub\eaglep3-reporting\EC\2017-09-13-refined-times.txt</v>
      </c>
      <c r="AI160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{"issue":{"subject":"","project_id":79,"tracker_id":40,"status_id":1,"priority_id":2,"assigned_to_id":338,"start_date":"2017-09-13","description":"","custom_fields":[{"id":1,"name":"Subdivision","value":"NW"},{"id":4,"name":"Milepost","value":"0.0741"},{"id":17,"name":"Train ID","value":"800-13"},{"id":16,"name":"Locomotive ID","value":"4025"},{"id":130,"name":"Impact","value":""},{"id":150,"name":"Time of Event (Mountain Time)","value":"05:26:08"},{"id":151,"name":"Denver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4"/>
        <v>start /low /b %USERPROFILE%\Documents\GitHub\eaglep3\Utilities\DownloadLogsFromS3.py --loco 4025 --day 2017-09-13</v>
      </c>
      <c r="AN160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637</v>
      </c>
      <c r="B161" s="7">
        <v>4026</v>
      </c>
      <c r="C161" s="21" t="s">
        <v>197</v>
      </c>
      <c r="D161" s="21" t="s">
        <v>940</v>
      </c>
      <c r="E161" s="13">
        <v>42991.228402777779</v>
      </c>
      <c r="F161" s="13">
        <v>42991.235682870371</v>
      </c>
      <c r="G161" s="7">
        <v>53</v>
      </c>
      <c r="H161" s="21" t="s">
        <v>941</v>
      </c>
      <c r="I161" s="13">
        <v>42991.245798611111</v>
      </c>
      <c r="J161" s="7">
        <v>0</v>
      </c>
      <c r="K161" s="89" t="str">
        <f t="shared" si="62"/>
        <v>4025/4026</v>
      </c>
      <c r="L161" s="214" t="str">
        <f>VLOOKUP(A161,'Trips&amp;Operators'!$C$1:$G$99911,5,FALSE)</f>
        <v>HUFFSMITH MONTY</v>
      </c>
      <c r="M161" s="6">
        <f t="shared" si="63"/>
        <v>1.0115740740729962E-2</v>
      </c>
      <c r="N161" s="7">
        <f t="shared" si="84"/>
        <v>14.566666666651145</v>
      </c>
      <c r="O161" s="7"/>
      <c r="P161" s="7"/>
      <c r="Q161" s="22"/>
      <c r="R161" s="167"/>
      <c r="S161" s="210">
        <f t="shared" si="85"/>
        <v>1</v>
      </c>
      <c r="T161" s="192" t="str">
        <f t="shared" si="64"/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65"/>
        <v>https://d0f6bd738d7f1b3e5a7ca70fe4ff75f0.us-east-1.aws.found.io/app/kibana#/discover/Steve-Slow-Train-Analysis-(2080s-and-2083s)?_g=(refreshInterval:(display:Off,pause:!f,section:0,value:0),time:(from:'2017-09-13T04:28:54-0600',mode:absolute,to:'2017-09-13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194" t="str">
        <f>IF(AA161&lt;VLOOKUP(AG161,Variables!$AC$3:$AD$8,2,FALSE),"Y","N")</f>
        <v>N</v>
      </c>
      <c r="X161" s="194">
        <f t="shared" si="83"/>
        <v>1</v>
      </c>
      <c r="Y161" s="194">
        <f t="shared" si="81"/>
        <v>0.1037</v>
      </c>
      <c r="Z161" s="194">
        <f t="shared" si="82"/>
        <v>5.8975</v>
      </c>
      <c r="AA161" s="194">
        <f t="shared" si="67"/>
        <v>5.7938000000000001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 t="shared" si="68"/>
        <v>801</v>
      </c>
      <c r="AE161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61" s="74" t="str">
        <f t="shared" si="70"/>
        <v>"C:\Program Files (x86)\AstroGrep\AstroGrep.exe" /e /r /s /spath="%USERPROFILE%\AppData\Local\Temp\OnboardLogs" /stypes="app*4026*20170913*" /stext=" 11:.+((SYSTEM_STATE.+slice.+state.+changed )|(ment ac)|(multiple cpu faults)|(system.+state.+changed )|(\[timeout)|(PRM\|1\|D)|(kpr)|(kdp)|(train st.+moving)|(\|lc)|(penalty))"</v>
      </c>
      <c r="AG161" s="206" t="str">
        <f t="shared" si="71"/>
        <v>NW</v>
      </c>
      <c r="AH161" s="78" t="str">
        <f t="shared" si="72"/>
        <v>"%USERPROFILE%\Documents\GitHub\eaglep3\Utilities\RefineRTDCRunTimes.py" --tripid 801-13 --locoid 4026 --swversion DE.1.0.9.0 --startMP 204:1037 --initTime 2017-09-13T05:28:54 --startdatetime 2017-09-13T05:39:23 --delay 53 --endMP 300:58975 --enddatetime 2017-09-13T05:53:57 --enforcementcount 0 &gt;&gt;C:\Users\stu\Documents\GitHub\eaglep3-reporting\EC\2017-09-13-refined-times.txt</v>
      </c>
      <c r="AI161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{"issue":{"subject":"","project_id":79,"tracker_id":40,"status_id":1,"priority_id":2,"assigned_to_id":338,"start_date":"2017-09-13","description":"","custom_fields":[{"id":1,"name":"Subdivision","value":"NW"},{"id":4,"name":"Milepost","value":"5.8975"},{"id":17,"name":"Train ID","value":"801-13"},{"id":16,"name":"Locomotive ID","value":"4026"},{"id":130,"name":"Impact","value":""},{"id":150,"name":"Time of Event (Mountain Time)","value":"05:53:57"},{"id":151,"name":"Denver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4"/>
        <v>start /low /b %USERPROFILE%\Documents\GitHub\eaglep3\Utilities\DownloadLogsFromS3.py --loco 4026 --day 2017-09-13</v>
      </c>
      <c r="AN161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645</v>
      </c>
      <c r="B162" s="7">
        <v>4025</v>
      </c>
      <c r="C162" s="21" t="s">
        <v>197</v>
      </c>
      <c r="D162" s="21" t="s">
        <v>942</v>
      </c>
      <c r="E162" s="13">
        <v>42991.24728009259</v>
      </c>
      <c r="F162" s="13">
        <v>42991.259062500001</v>
      </c>
      <c r="G162" s="7">
        <v>95</v>
      </c>
      <c r="H162" s="21" t="s">
        <v>939</v>
      </c>
      <c r="I162" s="13">
        <v>42991.267916666664</v>
      </c>
      <c r="J162" s="7">
        <v>0</v>
      </c>
      <c r="K162" s="89" t="str">
        <f t="shared" si="62"/>
        <v>4025/4026</v>
      </c>
      <c r="L162" s="214" t="str">
        <f>VLOOKUP(A162,'Trips&amp;Operators'!$C$1:$G$99911,5,FALSE)</f>
        <v>HUFFSMITH MONTY</v>
      </c>
      <c r="M162" s="6">
        <f t="shared" si="63"/>
        <v>8.8541666627861559E-3</v>
      </c>
      <c r="N162" s="7">
        <f t="shared" si="84"/>
        <v>12.749999994412065</v>
      </c>
      <c r="O162" s="7"/>
      <c r="P162" s="7"/>
      <c r="Q162" s="22"/>
      <c r="R162" s="167"/>
      <c r="S162" s="210">
        <f t="shared" si="85"/>
        <v>1</v>
      </c>
      <c r="T162" s="192" t="str">
        <f t="shared" si="64"/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65"/>
        <v>https://d0f6bd738d7f1b3e5a7ca70fe4ff75f0.us-east-1.aws.found.io/app/kibana#/discover/Steve-Slow-Train-Analysis-(2080s-and-2083s)?_g=(refreshInterval:(display:Off,pause:!f,section:0,value:0),time:(from:'2017-09-13T04:56:05-0600',mode:absolute,to:'2017-09-13T07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194" t="str">
        <f>IF(AA162&lt;VLOOKUP(AG162,Variables!$AC$3:$AD$8,2,FALSE),"Y","N")</f>
        <v>N</v>
      </c>
      <c r="X162" s="194">
        <f t="shared" si="83"/>
        <v>1</v>
      </c>
      <c r="Y162" s="194">
        <f t="shared" si="81"/>
        <v>5.8666</v>
      </c>
      <c r="Z162" s="194">
        <f t="shared" si="82"/>
        <v>7.4099999999999999E-2</v>
      </c>
      <c r="AA162" s="194">
        <f t="shared" si="67"/>
        <v>5.7925000000000004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 t="shared" si="68"/>
        <v>802</v>
      </c>
      <c r="AE162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62" s="74" t="str">
        <f t="shared" si="70"/>
        <v>"C:\Program Files (x86)\AstroGrep\AstroGrep.exe" /e /r /s /spath="%USERPROFILE%\AppData\Local\Temp\OnboardLogs" /stypes="app*4025*20170913*" /stext=" 12:.+((SYSTEM_STATE.+slice.+state.+changed )|(ment ac)|(multiple cpu faults)|(system.+state.+changed )|(\[timeout)|(PRM\|1\|D)|(kpr)|(kdp)|(train st.+moving)|(\|lc)|(penalty))"</v>
      </c>
      <c r="AG162" s="206" t="str">
        <f t="shared" si="71"/>
        <v>NW</v>
      </c>
      <c r="AH162" s="78" t="str">
        <f t="shared" si="72"/>
        <v>"%USERPROFILE%\Documents\GitHub\eaglep3\Utilities\RefineRTDCRunTimes.py" --tripid 802-13 --locoid 4025 --swversion DE.1.0.9.0 --startMP 300:58666 --initTime 2017-09-13T05:56:05 --startdatetime 2017-09-13T06:13:03 --delay 95 --endMP 204:741 --enddatetime 2017-09-13T06:25:48 --enforcementcount 0 &gt;&gt;C:\Users\stu\Documents\GitHub\eaglep3-reporting\EC\2017-09-13-refined-times.txt</v>
      </c>
      <c r="AI162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{"issue":{"subject":"","project_id":79,"tracker_id":40,"status_id":1,"priority_id":2,"assigned_to_id":338,"start_date":"2017-09-13","description":"","custom_fields":[{"id":1,"name":"Subdivision","value":"NW"},{"id":4,"name":"Milepost","value":"0.0741"},{"id":17,"name":"Train ID","value":"802-13"},{"id":16,"name":"Locomotive ID","value":"4025"},{"id":130,"name":"Impact","value":""},{"id":150,"name":"Time of Event (Mountain Time)","value":"06:25:48"},{"id":151,"name":"Denver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4"/>
        <v>start /low /b %USERPROFILE%\Documents\GitHub\eaglep3\Utilities\DownloadLogsFromS3.py --loco 4025 --day 2017-09-13</v>
      </c>
      <c r="AN162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646</v>
      </c>
      <c r="B163" s="7">
        <v>4060</v>
      </c>
      <c r="C163" s="21" t="s">
        <v>197</v>
      </c>
      <c r="D163" s="21" t="s">
        <v>943</v>
      </c>
      <c r="E163" s="13">
        <v>42991.252013888887</v>
      </c>
      <c r="F163" s="13">
        <v>42991.256493055553</v>
      </c>
      <c r="G163" s="7">
        <v>73</v>
      </c>
      <c r="H163" s="21" t="s">
        <v>944</v>
      </c>
      <c r="I163" s="13">
        <v>42991.267013888886</v>
      </c>
      <c r="J163" s="7">
        <v>0</v>
      </c>
      <c r="K163" s="89" t="str">
        <f t="shared" si="62"/>
        <v>4059/4060</v>
      </c>
      <c r="L163" s="214" t="str">
        <f>VLOOKUP(A163,'Trips&amp;Operators'!$C$1:$G$99911,5,FALSE)</f>
        <v>GEBRETEKLE DAGNEW</v>
      </c>
      <c r="M163" s="6">
        <f t="shared" si="63"/>
        <v>1.0520833333430346E-2</v>
      </c>
      <c r="N163" s="7">
        <f t="shared" si="84"/>
        <v>15.150000000139698</v>
      </c>
      <c r="O163" s="7"/>
      <c r="P163" s="7"/>
      <c r="Q163" s="22"/>
      <c r="R163" s="167"/>
      <c r="S163" s="210">
        <f t="shared" si="85"/>
        <v>1</v>
      </c>
      <c r="T163" s="192" t="str">
        <f t="shared" si="64"/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65"/>
        <v>https://d0f6bd738d7f1b3e5a7ca70fe4ff75f0.us-east-1.aws.found.io/app/kibana#/discover/Steve-Slow-Train-Analysis-(2080s-and-2083s)?_g=(refreshInterval:(display:Off,pause:!f,section:0,value:0),time:(from:'2017-09-13T05:02:54-0600',mode:absolute,to:'2017-09-13T07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194" t="str">
        <f>IF(AA163&lt;VLOOKUP(AG163,Variables!$AC$3:$AD$8,2,FALSE),"Y","N")</f>
        <v>N</v>
      </c>
      <c r="X163" s="194">
        <f t="shared" si="83"/>
        <v>1</v>
      </c>
      <c r="Y163" s="194">
        <f t="shared" si="81"/>
        <v>0.1004</v>
      </c>
      <c r="Z163" s="194">
        <f t="shared" si="82"/>
        <v>5.8968999999999996</v>
      </c>
      <c r="AA163" s="194">
        <f t="shared" si="67"/>
        <v>5.7965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 t="shared" si="68"/>
        <v>803</v>
      </c>
      <c r="AE163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63" s="74" t="str">
        <f t="shared" si="70"/>
        <v>"C:\Program Files (x86)\AstroGrep\AstroGrep.exe" /e /r /s /spath="%USERPROFILE%\AppData\Local\Temp\OnboardLogs" /stypes="app*4060*20170913*" /stext=" 12:.+((SYSTEM_STATE.+slice.+state.+changed )|(ment ac)|(multiple cpu faults)|(system.+state.+changed )|(\[timeout)|(PRM\|1\|D)|(kpr)|(kdp)|(train st.+moving)|(\|lc)|(penalty))"</v>
      </c>
      <c r="AG163" s="206" t="str">
        <f t="shared" si="71"/>
        <v>NW</v>
      </c>
      <c r="AH163" s="78" t="str">
        <f t="shared" si="72"/>
        <v>"%USERPROFILE%\Documents\GitHub\eaglep3\Utilities\RefineRTDCRunTimes.py" --tripid 803-13 --locoid 4060 --swversion DE.1.0.9.0 --startMP 204:1004 --initTime 2017-09-13T06:02:54 --startdatetime 2017-09-13T06:09:21 --delay 73 --endMP 300:58969 --enddatetime 2017-09-13T06:24:30 --enforcementcount 0 &gt;&gt;C:\Users\stu\Documents\GitHub\eaglep3-reporting\EC\2017-09-13-refined-times.txt</v>
      </c>
      <c r="AI163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{"issue":{"subject":"","project_id":79,"tracker_id":40,"status_id":1,"priority_id":2,"assigned_to_id":338,"start_date":"2017-09-13","description":"","custom_fields":[{"id":1,"name":"Subdivision","value":"NW"},{"id":4,"name":"Milepost","value":"5.8969"},{"id":17,"name":"Train ID","value":"803-13"},{"id":16,"name":"Locomotive ID","value":"4060"},{"id":130,"name":"Impact","value":""},{"id":150,"name":"Time of Event (Mountain Time)","value":"06:24:30"},{"id":151,"name":"Denver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4"/>
        <v>start /low /b %USERPROFILE%\Documents\GitHub\eaglep3\Utilities\DownloadLogsFromS3.py --loco 4060 --day 2017-09-13</v>
      </c>
      <c r="AN163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650</v>
      </c>
      <c r="B164" s="7">
        <v>4059</v>
      </c>
      <c r="C164" s="21" t="s">
        <v>197</v>
      </c>
      <c r="D164" s="21" t="s">
        <v>945</v>
      </c>
      <c r="E164" s="13">
        <v>42991.268923611111</v>
      </c>
      <c r="F164" s="13">
        <v>42991.271365740744</v>
      </c>
      <c r="G164" s="7">
        <v>72</v>
      </c>
      <c r="H164" s="21" t="s">
        <v>507</v>
      </c>
      <c r="I164" s="13">
        <v>42991.287905092591</v>
      </c>
      <c r="J164" s="7">
        <v>0</v>
      </c>
      <c r="K164" s="89" t="str">
        <f t="shared" si="62"/>
        <v>4059/4060</v>
      </c>
      <c r="L164" s="214" t="str">
        <f>VLOOKUP(A164,'Trips&amp;Operators'!$C$1:$G$99911,5,FALSE)</f>
        <v>GEBRETEKLE DAGNEW</v>
      </c>
      <c r="M164" s="6">
        <f t="shared" si="63"/>
        <v>1.653935184731381E-2</v>
      </c>
      <c r="N164" s="7">
        <f t="shared" si="84"/>
        <v>23.816666660131887</v>
      </c>
      <c r="O164" s="7"/>
      <c r="P164" s="7"/>
      <c r="Q164" s="22"/>
      <c r="R164" s="167"/>
      <c r="S164" s="210">
        <f t="shared" si="85"/>
        <v>1</v>
      </c>
      <c r="T164" s="192" t="str">
        <f t="shared" si="64"/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65"/>
        <v>https://d0f6bd738d7f1b3e5a7ca70fe4ff75f0.us-east-1.aws.found.io/app/kibana#/discover/Steve-Slow-Train-Analysis-(2080s-and-2083s)?_g=(refreshInterval:(display:Off,pause:!f,section:0,value:0),time:(from:'2017-09-13T05:27:15-0600',mode:absolute,to:'2017-09-13T07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194" t="str">
        <f>IF(AA164&lt;VLOOKUP(AG164,Variables!$AC$3:$AD$8,2,FALSE),"Y","N")</f>
        <v>N</v>
      </c>
      <c r="X164" s="194">
        <f t="shared" si="83"/>
        <v>1</v>
      </c>
      <c r="Y164" s="194">
        <f t="shared" si="81"/>
        <v>5.8653000000000004</v>
      </c>
      <c r="Z164" s="194">
        <f t="shared" si="82"/>
        <v>6.9099999999999995E-2</v>
      </c>
      <c r="AA164" s="194">
        <f t="shared" si="67"/>
        <v>5.7962000000000007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 t="shared" si="68"/>
        <v>804</v>
      </c>
      <c r="AE164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64" s="74" t="str">
        <f t="shared" si="70"/>
        <v>"C:\Program Files (x86)\AstroGrep\AstroGrep.exe" /e /r /s /spath="%USERPROFILE%\AppData\Local\Temp\OnboardLogs" /stypes="app*4059*20170913*" /stext=" 12:.+((SYSTEM_STATE.+slice.+state.+changed )|(ment ac)|(multiple cpu faults)|(system.+state.+changed )|(\[timeout)|(PRM\|1\|D)|(kpr)|(kdp)|(train st.+moving)|(\|lc)|(penalty))"</v>
      </c>
      <c r="AG164" s="206" t="str">
        <f t="shared" si="71"/>
        <v>NW</v>
      </c>
      <c r="AH164" s="78" t="str">
        <f t="shared" si="72"/>
        <v>"%USERPROFILE%\Documents\GitHub\eaglep3\Utilities\RefineRTDCRunTimes.py" --tripid 804-13 --locoid 4059 --swversion DE.1.0.9.0 --startMP 300:58653 --initTime 2017-09-13T06:27:15 --startdatetime 2017-09-13T06:30:46 --delay 72 --endMP 204:691 --enddatetime 2017-09-13T06:54:35 --enforcementcount 0 &gt;&gt;C:\Users\stu\Documents\GitHub\eaglep3-reporting\EC\2017-09-13-refined-times.txt</v>
      </c>
      <c r="AI164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{"issue":{"subject":"","project_id":79,"tracker_id":40,"status_id":1,"priority_id":2,"assigned_to_id":338,"start_date":"2017-09-13","description":"","custom_fields":[{"id":1,"name":"Subdivision","value":"NW"},{"id":4,"name":"Milepost","value":"0.0691"},{"id":17,"name":"Train ID","value":"804-13"},{"id":16,"name":"Locomotive ID","value":"4059"},{"id":130,"name":"Impact","value":""},{"id":150,"name":"Time of Event (Mountain Time)","value":"06:54:35"},{"id":151,"name":"Denver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4"/>
        <v>start /low /b %USERPROFILE%\Documents\GitHub\eaglep3\Utilities\DownloadLogsFromS3.py --loco 4059 --day 2017-09-13</v>
      </c>
      <c r="AN164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651</v>
      </c>
      <c r="B165" s="7">
        <v>4026</v>
      </c>
      <c r="C165" s="21" t="s">
        <v>197</v>
      </c>
      <c r="D165" s="21" t="s">
        <v>946</v>
      </c>
      <c r="E165" s="13">
        <v>42991.274756944447</v>
      </c>
      <c r="F165" s="13">
        <v>42991.277314814812</v>
      </c>
      <c r="G165" s="7">
        <v>52</v>
      </c>
      <c r="H165" s="21" t="s">
        <v>564</v>
      </c>
      <c r="I165" s="13">
        <v>42991.287430555552</v>
      </c>
      <c r="J165" s="7">
        <v>0</v>
      </c>
      <c r="K165" s="89" t="str">
        <f t="shared" si="62"/>
        <v>4025/4026</v>
      </c>
      <c r="L165" s="214" t="str">
        <f>VLOOKUP(A165,'Trips&amp;Operators'!$C$1:$G$99911,5,FALSE)</f>
        <v>HUFFSMITH MONTY</v>
      </c>
      <c r="M165" s="6">
        <f t="shared" si="63"/>
        <v>1.0115740740729962E-2</v>
      </c>
      <c r="N165" s="7">
        <f t="shared" si="84"/>
        <v>14.566666666651145</v>
      </c>
      <c r="O165" s="7"/>
      <c r="P165" s="7"/>
      <c r="Q165" s="22"/>
      <c r="R165" s="167"/>
      <c r="S165" s="210">
        <f t="shared" si="85"/>
        <v>1</v>
      </c>
      <c r="T165" s="192" t="str">
        <f t="shared" si="64"/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65"/>
        <v>https://d0f6bd738d7f1b3e5a7ca70fe4ff75f0.us-east-1.aws.found.io/app/kibana#/discover/Steve-Slow-Train-Analysis-(2080s-and-2083s)?_g=(refreshInterval:(display:Off,pause:!f,section:0,value:0),time:(from:'2017-09-13T05:35:39-0600',mode:absolute,to:'2017-09-13T07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194" t="str">
        <f>IF(AA165&lt;VLOOKUP(AG165,Variables!$AC$3:$AD$8,2,FALSE),"Y","N")</f>
        <v>N</v>
      </c>
      <c r="X165" s="194">
        <f t="shared" si="83"/>
        <v>1</v>
      </c>
      <c r="Y165" s="194">
        <f t="shared" si="81"/>
        <v>0.1027</v>
      </c>
      <c r="Z165" s="194">
        <f t="shared" si="82"/>
        <v>5.8983999999999996</v>
      </c>
      <c r="AA165" s="194">
        <f t="shared" si="67"/>
        <v>5.7957000000000001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 t="shared" si="68"/>
        <v>805</v>
      </c>
      <c r="AE165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65" s="74" t="str">
        <f t="shared" si="70"/>
        <v>"C:\Program Files (x86)\AstroGrep\AstroGrep.exe" /e /r /s /spath="%USERPROFILE%\AppData\Local\Temp\OnboardLogs" /stypes="app*4026*20170913*" /stext=" 12:.+((SYSTEM_STATE.+slice.+state.+changed )|(ment ac)|(multiple cpu faults)|(system.+state.+changed )|(\[timeout)|(PRM\|1\|D)|(kpr)|(kdp)|(train st.+moving)|(\|lc)|(penalty))"</v>
      </c>
      <c r="AG165" s="206" t="str">
        <f t="shared" si="71"/>
        <v>NW</v>
      </c>
      <c r="AH165" s="78" t="str">
        <f t="shared" si="72"/>
        <v>"%USERPROFILE%\Documents\GitHub\eaglep3\Utilities\RefineRTDCRunTimes.py" --tripid 805-13 --locoid 4026 --swversion DE.1.0.9.0 --startMP 204:1027 --initTime 2017-09-13T06:35:39 --startdatetime 2017-09-13T06:39:20 --delay 52 --endMP 300:58984 --enddatetime 2017-09-13T06:53:54 --enforcementcount 0 &gt;&gt;C:\Users\stu\Documents\GitHub\eaglep3-reporting\EC\2017-09-13-refined-times.txt</v>
      </c>
      <c r="AI165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{"issue":{"subject":"","project_id":79,"tracker_id":40,"status_id":1,"priority_id":2,"assigned_to_id":338,"start_date":"2017-09-13","description":"","custom_fields":[{"id":1,"name":"Subdivision","value":"NW"},{"id":4,"name":"Milepost","value":"5.8984"},{"id":17,"name":"Train ID","value":"805-13"},{"id":16,"name":"Locomotive ID","value":"4026"},{"id":130,"name":"Impact","value":""},{"id":150,"name":"Time of Event (Mountain Time)","value":"06:53:54"},{"id":151,"name":"Denver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4"/>
        <v>start /low /b %USERPROFILE%\Documents\GitHub\eaglep3\Utilities\DownloadLogsFromS3.py --loco 4026 --day 2017-09-13</v>
      </c>
      <c r="AN165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12:53:54"},{"id":29,"name":"Sharepoint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658</v>
      </c>
      <c r="B166" s="7">
        <v>4025</v>
      </c>
      <c r="C166" s="21" t="s">
        <v>197</v>
      </c>
      <c r="D166" s="21" t="s">
        <v>947</v>
      </c>
      <c r="E166" s="13">
        <v>42991.293773148151</v>
      </c>
      <c r="F166" s="13">
        <v>42991.295416666668</v>
      </c>
      <c r="G166" s="7">
        <v>49</v>
      </c>
      <c r="H166" s="21" t="s">
        <v>471</v>
      </c>
      <c r="I166" s="13">
        <v>42991.309699074074</v>
      </c>
      <c r="J166" s="7">
        <v>0</v>
      </c>
      <c r="K166" s="89" t="str">
        <f t="shared" si="62"/>
        <v>4025/4026</v>
      </c>
      <c r="L166" s="214" t="str">
        <f>VLOOKUP(A166,'Trips&amp;Operators'!$C$1:$G$99911,5,FALSE)</f>
        <v>HUFFSMITH MONTY</v>
      </c>
      <c r="M166" s="6">
        <f t="shared" si="63"/>
        <v>1.4282407406426501E-2</v>
      </c>
      <c r="N166" s="7">
        <f t="shared" si="84"/>
        <v>20.566666665254161</v>
      </c>
      <c r="O166" s="7"/>
      <c r="P166" s="7"/>
      <c r="Q166" s="22"/>
      <c r="R166" s="167"/>
      <c r="S166" s="210">
        <f t="shared" si="85"/>
        <v>1</v>
      </c>
      <c r="T166" s="192" t="str">
        <f t="shared" si="64"/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65"/>
        <v>https://d0f6bd738d7f1b3e5a7ca70fe4ff75f0.us-east-1.aws.found.io/app/kibana#/discover/Steve-Slow-Train-Analysis-(2080s-and-2083s)?_g=(refreshInterval:(display:Off,pause:!f,section:0,value:0),time:(from:'2017-09-13T06:03:02-0600',mode:absolute,to:'2017-09-13T08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94" t="str">
        <f>IF(AA166&lt;VLOOKUP(AG166,Variables!$AC$3:$AD$8,2,FALSE),"Y","N")</f>
        <v>N</v>
      </c>
      <c r="X166" s="194">
        <f t="shared" si="83"/>
        <v>1</v>
      </c>
      <c r="Y166" s="194">
        <f t="shared" si="81"/>
        <v>5.8672000000000004</v>
      </c>
      <c r="Z166" s="194">
        <f t="shared" si="82"/>
        <v>7.0800000000000002E-2</v>
      </c>
      <c r="AA166" s="194">
        <f t="shared" si="67"/>
        <v>5.7964000000000002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 t="shared" si="68"/>
        <v>806</v>
      </c>
      <c r="AE166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66" s="74" t="str">
        <f t="shared" si="70"/>
        <v>"C:\Program Files (x86)\AstroGrep\AstroGrep.exe" /e /r /s /spath="%USERPROFILE%\AppData\Local\Temp\OnboardLogs" /stypes="app*4025*20170913*" /stext=" 13:.+((SYSTEM_STATE.+slice.+state.+changed )|(ment ac)|(multiple cpu faults)|(system.+state.+changed )|(\[timeout)|(PRM\|1\|D)|(kpr)|(kdp)|(train st.+moving)|(\|lc)|(penalty))"</v>
      </c>
      <c r="AG166" s="206" t="str">
        <f t="shared" si="71"/>
        <v>NW</v>
      </c>
      <c r="AH166" s="78" t="str">
        <f t="shared" si="72"/>
        <v>"%USERPROFILE%\Documents\GitHub\eaglep3\Utilities\RefineRTDCRunTimes.py" --tripid 806-13 --locoid 4025 --swversion DE.1.0.9.0 --startMP 300:58672 --initTime 2017-09-13T07:03:02 --startdatetime 2017-09-13T07:05:24 --delay 49 --endMP 204:708 --enddatetime 2017-09-13T07:25:58 --enforcementcount 0 &gt;&gt;C:\Users\stu\Documents\GitHub\eaglep3-reporting\EC\2017-09-13-refined-times.txt</v>
      </c>
      <c r="AI166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{"issue":{"subject":"","project_id":79,"tracker_id":40,"status_id":1,"priority_id":2,"assigned_to_id":338,"start_date":"2017-09-13","description":"","custom_fields":[{"id":1,"name":"Subdivision","value":"NW"},{"id":4,"name":"Milepost","value":"0.0708"},{"id":17,"name":"Train ID","value":"806-13"},{"id":16,"name":"Locomotive ID","value":"4025"},{"id":130,"name":"Impact","value":""},{"id":150,"name":"Time of Event (Mountain Time)","value":"07:25:58"},{"id":151,"name":"Denver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4"/>
        <v>start /low /b %USERPROFILE%\Documents\GitHub\eaglep3\Utilities\DownloadLogsFromS3.py --loco 4025 --day 2017-09-13</v>
      </c>
      <c r="AN166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657</v>
      </c>
      <c r="B167" s="7">
        <v>4060</v>
      </c>
      <c r="C167" s="21" t="s">
        <v>197</v>
      </c>
      <c r="D167" s="21" t="s">
        <v>568</v>
      </c>
      <c r="E167" s="13">
        <v>42991.293379629627</v>
      </c>
      <c r="F167" s="13">
        <v>42991.298101851855</v>
      </c>
      <c r="G167" s="7">
        <v>62</v>
      </c>
      <c r="H167" s="21" t="s">
        <v>948</v>
      </c>
      <c r="I167" s="13">
        <v>42991.308159722219</v>
      </c>
      <c r="J167" s="7">
        <v>0</v>
      </c>
      <c r="K167" s="89" t="str">
        <f t="shared" si="62"/>
        <v>4059/4060</v>
      </c>
      <c r="L167" s="214" t="str">
        <f>VLOOKUP(A167,'Trips&amp;Operators'!$C$1:$G$99911,5,FALSE)</f>
        <v>GEBRETEKLE DAGNEW</v>
      </c>
      <c r="M167" s="6">
        <f t="shared" si="63"/>
        <v>1.0057870364107657E-2</v>
      </c>
      <c r="N167" s="7">
        <f t="shared" si="84"/>
        <v>14.483333324315026</v>
      </c>
      <c r="O167" s="7"/>
      <c r="P167" s="7"/>
      <c r="Q167" s="22"/>
      <c r="R167" s="167"/>
      <c r="S167" s="210">
        <f t="shared" si="85"/>
        <v>1</v>
      </c>
      <c r="T167" s="192" t="str">
        <f t="shared" si="64"/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65"/>
        <v>https://d0f6bd738d7f1b3e5a7ca70fe4ff75f0.us-east-1.aws.found.io/app/kibana#/discover/Steve-Slow-Train-Analysis-(2080s-and-2083s)?_g=(refreshInterval:(display:Off,pause:!f,section:0,value:0),time:(from:'2017-09-13T06:02:28-0600',mode:absolute,to:'2017-09-13T08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194" t="str">
        <f>IF(AA167&lt;VLOOKUP(AG167,Variables!$AC$3:$AD$8,2,FALSE),"Y","N")</f>
        <v>N</v>
      </c>
      <c r="X167" s="194">
        <f t="shared" si="83"/>
        <v>1</v>
      </c>
      <c r="Y167" s="194">
        <f t="shared" si="81"/>
        <v>9.8299999999999998E-2</v>
      </c>
      <c r="Z167" s="194">
        <f t="shared" si="82"/>
        <v>5.8982000000000001</v>
      </c>
      <c r="AA167" s="194">
        <f t="shared" si="67"/>
        <v>5.7999000000000001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 t="shared" si="68"/>
        <v>807</v>
      </c>
      <c r="AE167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67" s="74" t="str">
        <f t="shared" si="70"/>
        <v>"C:\Program Files (x86)\AstroGrep\AstroGrep.exe" /e /r /s /spath="%USERPROFILE%\AppData\Local\Temp\OnboardLogs" /stypes="app*4060*20170913*" /stext=" 13:.+((SYSTEM_STATE.+slice.+state.+changed )|(ment ac)|(multiple cpu faults)|(system.+state.+changed )|(\[timeout)|(PRM\|1\|D)|(kpr)|(kdp)|(train st.+moving)|(\|lc)|(penalty))"</v>
      </c>
      <c r="AG167" s="206" t="str">
        <f t="shared" si="71"/>
        <v>NW</v>
      </c>
      <c r="AH167" s="78" t="str">
        <f t="shared" si="72"/>
        <v>"%USERPROFILE%\Documents\GitHub\eaglep3\Utilities\RefineRTDCRunTimes.py" --tripid 807-13 --locoid 4060 --swversion DE.1.0.9.0 --startMP 204:983 --initTime 2017-09-13T07:02:28 --startdatetime 2017-09-13T07:09:16 --delay 62 --endMP 300:58982 --enddatetime 2017-09-13T07:23:45 --enforcementcount 0 &gt;&gt;C:\Users\stu\Documents\GitHub\eaglep3-reporting\EC\2017-09-13-refined-times.txt</v>
      </c>
      <c r="AI167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{"issue":{"subject":"","project_id":79,"tracker_id":40,"status_id":1,"priority_id":2,"assigned_to_id":338,"start_date":"2017-09-13","description":"","custom_fields":[{"id":1,"name":"Subdivision","value":"NW"},{"id":4,"name":"Milepost","value":"5.8982"},{"id":17,"name":"Train ID","value":"807-13"},{"id":16,"name":"Locomotive ID","value":"4060"},{"id":130,"name":"Impact","value":""},{"id":150,"name":"Time of Event (Mountain Time)","value":"07:23:45"},{"id":151,"name":"Denver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4"/>
        <v>start /low /b %USERPROFILE%\Documents\GitHub\eaglep3\Utilities\DownloadLogsFromS3.py --loco 4060 --day 2017-09-13</v>
      </c>
      <c r="AN167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663</v>
      </c>
      <c r="B168" s="7">
        <v>4059</v>
      </c>
      <c r="C168" s="21" t="s">
        <v>197</v>
      </c>
      <c r="D168" s="21" t="s">
        <v>472</v>
      </c>
      <c r="E168" s="13">
        <v>42991.309872685182</v>
      </c>
      <c r="F168" s="13">
        <v>42991.321759259263</v>
      </c>
      <c r="G168" s="7">
        <v>76</v>
      </c>
      <c r="H168" s="21" t="s">
        <v>577</v>
      </c>
      <c r="I168" s="13">
        <v>42991.329780092594</v>
      </c>
      <c r="J168" s="7">
        <v>0</v>
      </c>
      <c r="K168" s="89" t="str">
        <f t="shared" si="62"/>
        <v>4059/4060</v>
      </c>
      <c r="L168" s="214" t="str">
        <f>VLOOKUP(A168,'Trips&amp;Operators'!$C$1:$G$99911,5,FALSE)</f>
        <v>GEBRETEKLE DAGNEW</v>
      </c>
      <c r="M168" s="6">
        <f t="shared" si="63"/>
        <v>8.0208333311020397E-3</v>
      </c>
      <c r="N168" s="7">
        <f t="shared" si="84"/>
        <v>11.549999996786937</v>
      </c>
      <c r="O168" s="7"/>
      <c r="P168" s="7"/>
      <c r="Q168" s="22"/>
      <c r="R168" s="167"/>
      <c r="S168" s="210">
        <f t="shared" si="85"/>
        <v>1</v>
      </c>
      <c r="T168" s="192" t="str">
        <f t="shared" si="64"/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65"/>
        <v>https://d0f6bd738d7f1b3e5a7ca70fe4ff75f0.us-east-1.aws.found.io/app/kibana#/discover/Steve-Slow-Train-Analysis-(2080s-and-2083s)?_g=(refreshInterval:(display:Off,pause:!f,section:0,value:0),time:(from:'2017-09-13T06:26:13-0600',mode:absolute,to:'2017-09-13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194" t="str">
        <f>IF(AA168&lt;VLOOKUP(AG168,Variables!$AC$3:$AD$8,2,FALSE),"Y","N")</f>
        <v>N</v>
      </c>
      <c r="X168" s="194">
        <f t="shared" si="83"/>
        <v>1</v>
      </c>
      <c r="Y168" s="194">
        <f t="shared" si="81"/>
        <v>5.8674999999999997</v>
      </c>
      <c r="Z168" s="194">
        <f t="shared" si="82"/>
        <v>6.8699999999999997E-2</v>
      </c>
      <c r="AA168" s="194">
        <f t="shared" si="67"/>
        <v>5.7988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 t="shared" si="68"/>
        <v>808</v>
      </c>
      <c r="AE168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68" s="74" t="str">
        <f t="shared" si="70"/>
        <v>"C:\Program Files (x86)\AstroGrep\AstroGrep.exe" /e /r /s /spath="%USERPROFILE%\AppData\Local\Temp\OnboardLogs" /stypes="app*4059*20170913*" /stext=" 13:.+((SYSTEM_STATE.+slice.+state.+changed )|(ment ac)|(multiple cpu faults)|(system.+state.+changed )|(\[timeout)|(PRM\|1\|D)|(kpr)|(kdp)|(train st.+moving)|(\|lc)|(penalty))"</v>
      </c>
      <c r="AG168" s="206" t="str">
        <f t="shared" si="71"/>
        <v>NW</v>
      </c>
      <c r="AH168" s="78" t="str">
        <f t="shared" si="72"/>
        <v>"%USERPROFILE%\Documents\GitHub\eaglep3\Utilities\RefineRTDCRunTimes.py" --tripid 808-13 --locoid 4059 --swversion DE.1.0.9.0 --startMP 300:58675 --initTime 2017-09-13T07:26:13 --startdatetime 2017-09-13T07:43:20 --delay 76 --endMP 204:687 --enddatetime 2017-09-13T07:54:53 --enforcementcount 0 &gt;&gt;C:\Users\stu\Documents\GitHub\eaglep3-reporting\EC\2017-09-13-refined-times.txt</v>
      </c>
      <c r="AI168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{"issue":{"subject":"","project_id":79,"tracker_id":40,"status_id":1,"priority_id":2,"assigned_to_id":338,"start_date":"2017-09-13","description":"","custom_fields":[{"id":1,"name":"Subdivision","value":"NW"},{"id":4,"name":"Milepost","value":"0.0687"},{"id":17,"name":"Train ID","value":"808-13"},{"id":16,"name":"Locomotive ID","value":"4059"},{"id":130,"name":"Impact","value":""},{"id":150,"name":"Time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4"/>
        <v>start /low /b %USERPROFILE%\Documents\GitHub\eaglep3\Utilities\DownloadLogsFromS3.py --loco 4059 --day 2017-09-13</v>
      </c>
      <c r="AN168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664</v>
      </c>
      <c r="B169" s="7">
        <v>4026</v>
      </c>
      <c r="C169" s="21" t="s">
        <v>197</v>
      </c>
      <c r="D169" s="21" t="s">
        <v>949</v>
      </c>
      <c r="E169" s="13">
        <v>42991.314328703702</v>
      </c>
      <c r="F169" s="13">
        <v>42991.318993055553</v>
      </c>
      <c r="G169" s="7">
        <v>51</v>
      </c>
      <c r="H169" s="21" t="s">
        <v>950</v>
      </c>
      <c r="I169" s="13">
        <v>42991.329548611109</v>
      </c>
      <c r="J169" s="7">
        <v>0</v>
      </c>
      <c r="K169" s="89" t="str">
        <f t="shared" si="62"/>
        <v>4025/4026</v>
      </c>
      <c r="L169" s="214" t="str">
        <f>VLOOKUP(A169,'Trips&amp;Operators'!$C$1:$G$99911,5,FALSE)</f>
        <v>HUFFSMITH MONTY</v>
      </c>
      <c r="M169" s="6">
        <f t="shared" si="63"/>
        <v>1.0555555556493346E-2</v>
      </c>
      <c r="N169" s="7">
        <f t="shared" si="84"/>
        <v>15.200000001350418</v>
      </c>
      <c r="O169" s="7"/>
      <c r="P169" s="7"/>
      <c r="Q169" s="22"/>
      <c r="R169" s="167"/>
      <c r="S169" s="210">
        <f t="shared" si="85"/>
        <v>1</v>
      </c>
      <c r="T169" s="192" t="str">
        <f t="shared" si="64"/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65"/>
        <v>https://d0f6bd738d7f1b3e5a7ca70fe4ff75f0.us-east-1.aws.found.io/app/kibana#/discover/Steve-Slow-Train-Analysis-(2080s-and-2083s)?_g=(refreshInterval:(display:Off,pause:!f,section:0,value:0),time:(from:'2017-09-13T06:32:38-0600',mode:absolute,to:'2017-09-13T08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194" t="str">
        <f>IF(AA169&lt;VLOOKUP(AG169,Variables!$AC$3:$AD$8,2,FALSE),"Y","N")</f>
        <v>N</v>
      </c>
      <c r="X169" s="194">
        <f t="shared" si="83"/>
        <v>1</v>
      </c>
      <c r="Y169" s="194">
        <f t="shared" si="81"/>
        <v>0.1014</v>
      </c>
      <c r="Z169" s="194">
        <f t="shared" si="82"/>
        <v>5.8979999999999997</v>
      </c>
      <c r="AA169" s="194">
        <f t="shared" si="67"/>
        <v>5.7965999999999998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 t="shared" si="68"/>
        <v>809</v>
      </c>
      <c r="AE169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69" s="74" t="str">
        <f t="shared" si="70"/>
        <v>"C:\Program Files (x86)\AstroGrep\AstroGrep.exe" /e /r /s /spath="%USERPROFILE%\AppData\Local\Temp\OnboardLogs" /stypes="app*4026*20170913*" /stext=" 13:.+((SYSTEM_STATE.+slice.+state.+changed )|(ment ac)|(multiple cpu faults)|(system.+state.+changed )|(\[timeout)|(PRM\|1\|D)|(kpr)|(kdp)|(train st.+moving)|(\|lc)|(penalty))"</v>
      </c>
      <c r="AG169" s="206" t="str">
        <f t="shared" si="71"/>
        <v>NW</v>
      </c>
      <c r="AH169" s="78" t="str">
        <f t="shared" si="72"/>
        <v>"%USERPROFILE%\Documents\GitHub\eaglep3\Utilities\RefineRTDCRunTimes.py" --tripid 809-13 --locoid 4026 --swversion DE.1.0.9.0 --startMP 204:1014 --initTime 2017-09-13T07:32:38 --startdatetime 2017-09-13T07:39:21 --delay 51 --endMP 300:58980 --enddatetime 2017-09-13T07:54:33 --enforcementcount 0 &gt;&gt;C:\Users\stu\Documents\GitHub\eaglep3-reporting\EC\2017-09-13-refined-times.txt</v>
      </c>
      <c r="AI169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{"issue":{"subject":"","project_id":79,"tracker_id":40,"status_id":1,"priority_id":2,"assigned_to_id":338,"start_date":"2017-09-13","description":"","custom_fields":[{"id":1,"name":"Subdivision","value":"NW"},{"id":4,"name":"Milepost","value":"5.898"},{"id":17,"name":"Train ID","value":"809-13"},{"id":16,"name":"Locomotive ID","value":"4026"},{"id":130,"name":"Impact","value":""},{"id":150,"name":"Time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4"/>
        <v>start /low /b %USERPROFILE%\Documents\GitHub\eaglep3\Utilities\DownloadLogsFromS3.py --loco 4026 --day 2017-09-13</v>
      </c>
      <c r="AN169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669</v>
      </c>
      <c r="B170" s="7">
        <v>4025</v>
      </c>
      <c r="C170" s="21" t="s">
        <v>197</v>
      </c>
      <c r="D170" s="21" t="s">
        <v>951</v>
      </c>
      <c r="E170" s="13">
        <v>42991.330972222226</v>
      </c>
      <c r="F170" s="13">
        <v>42991.338865740741</v>
      </c>
      <c r="G170" s="7">
        <v>49</v>
      </c>
      <c r="H170" s="21" t="s">
        <v>952</v>
      </c>
      <c r="I170" s="13">
        <v>42991.350902777776</v>
      </c>
      <c r="J170" s="7">
        <v>0</v>
      </c>
      <c r="K170" s="89" t="str">
        <f t="shared" si="62"/>
        <v>4025/4026</v>
      </c>
      <c r="L170" s="214" t="str">
        <f>VLOOKUP(A170,'Trips&amp;Operators'!$C$1:$G$99911,5,FALSE)</f>
        <v>HUFFSMITH MONTY</v>
      </c>
      <c r="M170" s="6">
        <f t="shared" si="63"/>
        <v>1.2037037035042886E-2</v>
      </c>
      <c r="N170" s="7">
        <f t="shared" si="84"/>
        <v>17.333333330461755</v>
      </c>
      <c r="O170" s="7"/>
      <c r="P170" s="7"/>
      <c r="Q170" s="22"/>
      <c r="R170" s="167"/>
      <c r="S170" s="210">
        <f t="shared" si="85"/>
        <v>1</v>
      </c>
      <c r="T170" s="192" t="str">
        <f t="shared" si="64"/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65"/>
        <v>https://d0f6bd738d7f1b3e5a7ca70fe4ff75f0.us-east-1.aws.found.io/app/kibana#/discover/Steve-Slow-Train-Analysis-(2080s-and-2083s)?_g=(refreshInterval:(display:Off,pause:!f,section:0,value:0),time:(from:'2017-09-13T06:56:36-0600',mode:absolute,to:'2017-09-13T09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194" t="str">
        <f>IF(AA170&lt;VLOOKUP(AG170,Variables!$AC$3:$AD$8,2,FALSE),"Y","N")</f>
        <v>N</v>
      </c>
      <c r="X170" s="194">
        <f t="shared" si="83"/>
        <v>1</v>
      </c>
      <c r="Y170" s="194">
        <f t="shared" si="81"/>
        <v>5.8663999999999996</v>
      </c>
      <c r="Z170" s="194">
        <f t="shared" si="82"/>
        <v>7.2700000000000001E-2</v>
      </c>
      <c r="AA170" s="194">
        <f t="shared" si="67"/>
        <v>5.7936999999999994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 t="shared" si="68"/>
        <v>810</v>
      </c>
      <c r="AE170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70" s="74" t="str">
        <f t="shared" si="70"/>
        <v>"C:\Program Files (x86)\AstroGrep\AstroGrep.exe" /e /r /s /spath="%USERPROFILE%\AppData\Local\Temp\OnboardLogs" /stypes="app*4025*20170913*" /stext=" 14:.+((SYSTEM_STATE.+slice.+state.+changed )|(ment ac)|(multiple cpu faults)|(system.+state.+changed )|(\[timeout)|(PRM\|1\|D)|(kpr)|(kdp)|(train st.+moving)|(\|lc)|(penalty))"</v>
      </c>
      <c r="AG170" s="206" t="str">
        <f t="shared" si="71"/>
        <v>NW</v>
      </c>
      <c r="AH170" s="78" t="str">
        <f t="shared" si="72"/>
        <v>"%USERPROFILE%\Documents\GitHub\eaglep3\Utilities\RefineRTDCRunTimes.py" --tripid 810-13 --locoid 4025 --swversion DE.1.0.9.0 --startMP 300:58664 --initTime 2017-09-13T07:56:36 --startdatetime 2017-09-13T08:07:58 --delay 49 --endMP 204:727 --enddatetime 2017-09-13T08:25:18 --enforcementcount 0 &gt;&gt;C:\Users\stu\Documents\GitHub\eaglep3-reporting\EC\2017-09-13-refined-times.txt</v>
      </c>
      <c r="AI170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{"issue":{"subject":"","project_id":79,"tracker_id":40,"status_id":1,"priority_id":2,"assigned_to_id":338,"start_date":"2017-09-13","description":"","custom_fields":[{"id":1,"name":"Subdivision","value":"NW"},{"id":4,"name":"Milepost","value":"0.0727"},{"id":17,"name":"Train ID","value":"810-13"},{"id":16,"name":"Locomotive ID","value":"4025"},{"id":130,"name":"Impact","value":""},{"id":150,"name":"Time of Event (Mountain Time)","value":"08:25:18"},{"id":151,"name":"Denver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4"/>
        <v>start /low /b %USERPROFILE%\Documents\GitHub\eaglep3\Utilities\DownloadLogsFromS3.py --loco 4025 --day 2017-09-13</v>
      </c>
      <c r="AN170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671</v>
      </c>
      <c r="B171" s="7">
        <v>4060</v>
      </c>
      <c r="C171" s="21" t="s">
        <v>197</v>
      </c>
      <c r="D171" s="21" t="s">
        <v>506</v>
      </c>
      <c r="E171" s="13">
        <v>42991.331331018519</v>
      </c>
      <c r="F171" s="13">
        <v>42991.339837962965</v>
      </c>
      <c r="G171" s="7">
        <v>54</v>
      </c>
      <c r="H171" s="21" t="s">
        <v>953</v>
      </c>
      <c r="I171" s="13">
        <v>42991.349687499998</v>
      </c>
      <c r="J171" s="7">
        <v>0</v>
      </c>
      <c r="K171" s="89" t="str">
        <f t="shared" si="62"/>
        <v>4059/4060</v>
      </c>
      <c r="L171" s="214" t="str">
        <f>VLOOKUP(A171,'Trips&amp;Operators'!$C$1:$G$99911,5,FALSE)</f>
        <v>GEBRETEKLE DAGNEW</v>
      </c>
      <c r="M171" s="6">
        <f t="shared" si="63"/>
        <v>9.8495370330056176E-3</v>
      </c>
      <c r="N171" s="7">
        <f t="shared" si="84"/>
        <v>14.183333327528089</v>
      </c>
      <c r="O171" s="7"/>
      <c r="P171" s="7"/>
      <c r="Q171" s="22"/>
      <c r="R171" s="167"/>
      <c r="S171" s="210">
        <f t="shared" si="85"/>
        <v>1</v>
      </c>
      <c r="T171" s="192" t="str">
        <f t="shared" si="64"/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65"/>
        <v>https://d0f6bd738d7f1b3e5a7ca70fe4ff75f0.us-east-1.aws.found.io/app/kibana#/discover/Steve-Slow-Train-Analysis-(2080s-and-2083s)?_g=(refreshInterval:(display:Off,pause:!f,section:0,value:0),time:(from:'2017-09-13T06:57:07-0600',mode:absolute,to:'2017-09-13T09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1" s="194" t="str">
        <f>IF(AA171&lt;VLOOKUP(AG171,Variables!$AC$3:$AD$8,2,FALSE),"Y","N")</f>
        <v>N</v>
      </c>
      <c r="X171" s="194">
        <f t="shared" si="83"/>
        <v>1</v>
      </c>
      <c r="Y171" s="194">
        <f t="shared" si="81"/>
        <v>9.6699999999999994E-2</v>
      </c>
      <c r="Z171" s="194">
        <f t="shared" si="82"/>
        <v>5.8975999999999997</v>
      </c>
      <c r="AA171" s="194">
        <f t="shared" si="67"/>
        <v>5.8008999999999995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 t="shared" si="68"/>
        <v>811</v>
      </c>
      <c r="AE171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71" s="74" t="str">
        <f t="shared" si="70"/>
        <v>"C:\Program Files (x86)\AstroGrep\AstroGrep.exe" /e /r /s /spath="%USERPROFILE%\AppData\Local\Temp\OnboardLogs" /stypes="app*4060*20170913*" /stext=" 14:.+((SYSTEM_STATE.+slice.+state.+changed )|(ment ac)|(multiple cpu faults)|(system.+state.+changed )|(\[timeout)|(PRM\|1\|D)|(kpr)|(kdp)|(train st.+moving)|(\|lc)|(penalty))"</v>
      </c>
      <c r="AG171" s="206" t="str">
        <f t="shared" si="71"/>
        <v>NW</v>
      </c>
      <c r="AH171" s="78" t="str">
        <f t="shared" si="72"/>
        <v>"%USERPROFILE%\Documents\GitHub\eaglep3\Utilities\RefineRTDCRunTimes.py" --tripid 811-13 --locoid 4060 --swversion DE.1.0.9.0 --startMP 204:967 --initTime 2017-09-13T07:57:07 --startdatetime 2017-09-13T08:09:22 --delay 54 --endMP 300:58976 --enddatetime 2017-09-13T08:23:33 --enforcementcount 0 &gt;&gt;C:\Users\stu\Documents\GitHub\eaglep3-reporting\EC\2017-09-13-refined-times.txt</v>
      </c>
      <c r="AI171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{"issue":{"subject":"","project_id":79,"tracker_id":40,"status_id":1,"priority_id":2,"assigned_to_id":338,"start_date":"2017-09-13","description":"","custom_fields":[{"id":1,"name":"Subdivision","value":"NW"},{"id":4,"name":"Milepost","value":"5.8976"},{"id":17,"name":"Train ID","value":"811-13"},{"id":16,"name":"Locomotive ID","value":"4060"},{"id":130,"name":"Impact","value":""},{"id":150,"name":"Time of Event (Mountain Time)","value":"08:23:33"},{"id":151,"name":"Denver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4"/>
        <v>start /low /b %USERPROFILE%\Documents\GitHub\eaglep3\Utilities\DownloadLogsFromS3.py --loco 4060 --day 2017-09-13</v>
      </c>
      <c r="AN171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675</v>
      </c>
      <c r="B172" s="7">
        <v>4059</v>
      </c>
      <c r="C172" s="21" t="s">
        <v>197</v>
      </c>
      <c r="D172" s="21" t="s">
        <v>938</v>
      </c>
      <c r="E172" s="13">
        <v>42991.3515625</v>
      </c>
      <c r="F172" s="13">
        <v>42991.363391203704</v>
      </c>
      <c r="G172" s="7">
        <v>54</v>
      </c>
      <c r="H172" s="21" t="s">
        <v>954</v>
      </c>
      <c r="I172" s="13">
        <v>42991.371365740742</v>
      </c>
      <c r="J172" s="7">
        <v>0</v>
      </c>
      <c r="K172" s="89" t="str">
        <f t="shared" si="62"/>
        <v>4059/4060</v>
      </c>
      <c r="L172" s="214" t="str">
        <f>VLOOKUP(A172,'Trips&amp;Operators'!$C$1:$G$99911,5,FALSE)</f>
        <v>GEBRETEKLE DAGNEW</v>
      </c>
      <c r="M172" s="6">
        <f t="shared" si="63"/>
        <v>7.9745370385353453E-3</v>
      </c>
      <c r="N172" s="7">
        <f t="shared" si="84"/>
        <v>11.483333335490897</v>
      </c>
      <c r="O172" s="7"/>
      <c r="P172" s="7"/>
      <c r="Q172" s="22"/>
      <c r="R172" s="167"/>
      <c r="S172" s="210">
        <f t="shared" si="85"/>
        <v>1</v>
      </c>
      <c r="T172" s="192" t="str">
        <f t="shared" si="64"/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65"/>
        <v>https://d0f6bd738d7f1b3e5a7ca70fe4ff75f0.us-east-1.aws.found.io/app/kibana#/discover/Steve-Slow-Train-Analysis-(2080s-and-2083s)?_g=(refreshInterval:(display:Off,pause:!f,section:0,value:0),time:(from:'2017-09-13T07:26:15-0600',mode:absolute,to:'2017-09-13T09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2" s="194" t="str">
        <f>IF(AA172&lt;VLOOKUP(AG172,Variables!$AC$3:$AD$8,2,FALSE),"Y","N")</f>
        <v>N</v>
      </c>
      <c r="X172" s="194">
        <f t="shared" si="83"/>
        <v>1</v>
      </c>
      <c r="Y172" s="194">
        <f t="shared" si="81"/>
        <v>5.8659999999999997</v>
      </c>
      <c r="Z172" s="194">
        <f t="shared" si="82"/>
        <v>7.17E-2</v>
      </c>
      <c r="AA172" s="194">
        <f t="shared" si="67"/>
        <v>5.7942999999999998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 t="shared" si="68"/>
        <v>812</v>
      </c>
      <c r="AE172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72" s="74" t="str">
        <f t="shared" si="70"/>
        <v>"C:\Program Files (x86)\AstroGrep\AstroGrep.exe" /e /r /s /spath="%USERPROFILE%\AppData\Local\Temp\OnboardLogs" /stypes="app*4059*20170913*" /stext=" 14:.+((SYSTEM_STATE.+slice.+state.+changed )|(ment ac)|(multiple cpu faults)|(system.+state.+changed )|(\[timeout)|(PRM\|1\|D)|(kpr)|(kdp)|(train st.+moving)|(\|lc)|(penalty))"</v>
      </c>
      <c r="AG172" s="206" t="str">
        <f t="shared" si="71"/>
        <v>NW</v>
      </c>
      <c r="AH172" s="78" t="str">
        <f t="shared" si="72"/>
        <v>"%USERPROFILE%\Documents\GitHub\eaglep3\Utilities\RefineRTDCRunTimes.py" --tripid 812-13 --locoid 4059 --swversion DE.1.0.9.0 --startMP 300:58660 --initTime 2017-09-13T08:26:15 --startdatetime 2017-09-13T08:43:17 --delay 54 --endMP 204:717 --enddatetime 2017-09-13T08:54:46 --enforcementcount 0 &gt;&gt;C:\Users\stu\Documents\GitHub\eaglep3-reporting\EC\2017-09-13-refined-times.txt</v>
      </c>
      <c r="AI172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{"issue":{"subject":"","project_id":79,"tracker_id":40,"status_id":1,"priority_id":2,"assigned_to_id":338,"start_date":"2017-09-13","description":"","custom_fields":[{"id":1,"name":"Subdivision","value":"NW"},{"id":4,"name":"Milepost","value":"0.0717"},{"id":17,"name":"Train ID","value":"812-13"},{"id":16,"name":"Locomotive ID","value":"4059"},{"id":130,"name":"Impact","value":""},{"id":150,"name":"Time of Event (Mountain Time)","value":"08:54:46"},{"id":151,"name":"Denver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4"/>
        <v>start /low /b %USERPROFILE%\Documents\GitHub\eaglep3\Utilities\DownloadLogsFromS3.py --loco 4059 --day 2017-09-13</v>
      </c>
      <c r="AN172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681</v>
      </c>
      <c r="B173" s="7">
        <v>4060</v>
      </c>
      <c r="C173" s="21" t="s">
        <v>197</v>
      </c>
      <c r="D173" s="21" t="s">
        <v>571</v>
      </c>
      <c r="E173" s="13">
        <v>42991.377800925926</v>
      </c>
      <c r="F173" s="13">
        <v>42991.381423611114</v>
      </c>
      <c r="G173" s="7">
        <v>66</v>
      </c>
      <c r="H173" s="21" t="s">
        <v>955</v>
      </c>
      <c r="I173" s="13">
        <v>42991.390636574077</v>
      </c>
      <c r="J173" s="7">
        <v>0</v>
      </c>
      <c r="K173" s="89" t="str">
        <f t="shared" si="62"/>
        <v>4059/4060</v>
      </c>
      <c r="L173" s="214" t="str">
        <f>VLOOKUP(A173,'Trips&amp;Operators'!$C$1:$G$99911,5,FALSE)</f>
        <v>GEBRETEKLE DAGNEW</v>
      </c>
      <c r="M173" s="6">
        <f t="shared" si="63"/>
        <v>9.2129629629198462E-3</v>
      </c>
      <c r="N173" s="7">
        <f t="shared" si="84"/>
        <v>13.266666666604578</v>
      </c>
      <c r="O173" s="7"/>
      <c r="P173" s="7"/>
      <c r="Q173" s="22"/>
      <c r="R173" s="167"/>
      <c r="S173" s="210">
        <f t="shared" si="85"/>
        <v>1</v>
      </c>
      <c r="T173" s="192" t="str">
        <f t="shared" si="64"/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65"/>
        <v>https://d0f6bd738d7f1b3e5a7ca70fe4ff75f0.us-east-1.aws.found.io/app/kibana#/discover/Steve-Slow-Train-Analysis-(2080s-and-2083s)?_g=(refreshInterval:(display:Off,pause:!f,section:0,value:0),time:(from:'2017-09-13T08:04:02-0600',mode:absolute,to:'2017-09-13T10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3" s="194" t="str">
        <f>IF(AA173&lt;VLOOKUP(AG173,Variables!$AC$3:$AD$8,2,FALSE),"Y","N")</f>
        <v>N</v>
      </c>
      <c r="X173" s="194">
        <f t="shared" si="83"/>
        <v>1</v>
      </c>
      <c r="Y173" s="194">
        <f t="shared" si="81"/>
        <v>9.9199999999999997E-2</v>
      </c>
      <c r="Z173" s="194">
        <f t="shared" si="82"/>
        <v>5.8973000000000004</v>
      </c>
      <c r="AA173" s="194">
        <f t="shared" si="67"/>
        <v>5.7981000000000007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 t="shared" si="68"/>
        <v>813</v>
      </c>
      <c r="AE173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73" s="74" t="str">
        <f t="shared" si="70"/>
        <v>"C:\Program Files (x86)\AstroGrep\AstroGrep.exe" /e /r /s /spath="%USERPROFILE%\AppData\Local\Temp\OnboardLogs" /stypes="app*4060*20170913*" /stext=" 15:.+((SYSTEM_STATE.+slice.+state.+changed )|(ment ac)|(multiple cpu faults)|(system.+state.+changed )|(\[timeout)|(PRM\|1\|D)|(kpr)|(kdp)|(train st.+moving)|(\|lc)|(penalty))"</v>
      </c>
      <c r="AG173" s="206" t="str">
        <f t="shared" si="71"/>
        <v>NW</v>
      </c>
      <c r="AH173" s="78" t="str">
        <f t="shared" si="72"/>
        <v>"%USERPROFILE%\Documents\GitHub\eaglep3\Utilities\RefineRTDCRunTimes.py" --tripid 813-13 --locoid 4060 --swversion DE.1.0.9.0 --startMP 204:992 --initTime 2017-09-13T09:04:02 --startdatetime 2017-09-13T09:09:15 --delay 66 --endMP 300:58973 --enddatetime 2017-09-13T09:22:31 --enforcementcount 0 &gt;&gt;C:\Users\stu\Documents\GitHub\eaglep3-reporting\EC\2017-09-13-refined-times.txt</v>
      </c>
      <c r="AI173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{"issue":{"subject":"","project_id":79,"tracker_id":40,"status_id":1,"priority_id":2,"assigned_to_id":338,"start_date":"2017-09-13","description":"","custom_fields":[{"id":1,"name":"Subdivision","value":"NW"},{"id":4,"name":"Milepost","value":"5.8973"},{"id":17,"name":"Train ID","value":"813-13"},{"id":16,"name":"Locomotive ID","value":"4060"},{"id":130,"name":"Impact","value":""},{"id":150,"name":"Time of Event (Mountain Time)","value":"09:22:31"},{"id":151,"name":"Denver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4"/>
        <v>start /low /b %USERPROFILE%\Documents\GitHub\eaglep3\Utilities\DownloadLogsFromS3.py --loco 4060 --day 2017-09-13</v>
      </c>
      <c r="AN173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687</v>
      </c>
      <c r="B174" s="7">
        <v>4059</v>
      </c>
      <c r="C174" s="21" t="s">
        <v>197</v>
      </c>
      <c r="D174" s="21" t="s">
        <v>956</v>
      </c>
      <c r="E174" s="13">
        <v>42991.392627314817</v>
      </c>
      <c r="F174" s="13">
        <v>42991.404895833337</v>
      </c>
      <c r="G174" s="7">
        <v>68</v>
      </c>
      <c r="H174" s="21" t="s">
        <v>566</v>
      </c>
      <c r="I174" s="13">
        <v>42991.413275462961</v>
      </c>
      <c r="J174" s="7">
        <v>0</v>
      </c>
      <c r="K174" s="89" t="str">
        <f t="shared" si="62"/>
        <v>4059/4060</v>
      </c>
      <c r="L174" s="214" t="str">
        <f>VLOOKUP(A174,'Trips&amp;Operators'!$C$1:$G$99911,5,FALSE)</f>
        <v>GEBRETEKLE DAGNEW</v>
      </c>
      <c r="M174" s="6">
        <f t="shared" si="63"/>
        <v>8.3796296239597723E-3</v>
      </c>
      <c r="N174" s="7">
        <f t="shared" si="84"/>
        <v>12.066666658502072</v>
      </c>
      <c r="O174" s="7"/>
      <c r="P174" s="7"/>
      <c r="Q174" s="22"/>
      <c r="R174" s="167"/>
      <c r="S174" s="210">
        <f t="shared" si="85"/>
        <v>1</v>
      </c>
      <c r="T174" s="192" t="str">
        <f t="shared" si="64"/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65"/>
        <v>https://d0f6bd738d7f1b3e5a7ca70fe4ff75f0.us-east-1.aws.found.io/app/kibana#/discover/Steve-Slow-Train-Analysis-(2080s-and-2083s)?_g=(refreshInterval:(display:Off,pause:!f,section:0,value:0),time:(from:'2017-09-13T08:25:23-0600',mode:absolute,to:'2017-09-13T10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4" s="194" t="str">
        <f>IF(AA174&lt;VLOOKUP(AG174,Variables!$AC$3:$AD$8,2,FALSE),"Y","N")</f>
        <v>N</v>
      </c>
      <c r="X174" s="194">
        <f t="shared" si="83"/>
        <v>1</v>
      </c>
      <c r="Y174" s="194">
        <f t="shared" si="81"/>
        <v>5.8662000000000001</v>
      </c>
      <c r="Z174" s="194">
        <f t="shared" si="82"/>
        <v>7.0300000000000001E-2</v>
      </c>
      <c r="AA174" s="194">
        <f t="shared" si="67"/>
        <v>5.7959000000000005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 t="shared" si="68"/>
        <v>814</v>
      </c>
      <c r="AE174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74" s="74" t="str">
        <f t="shared" si="70"/>
        <v>"C:\Program Files (x86)\AstroGrep\AstroGrep.exe" /e /r /s /spath="%USERPROFILE%\AppData\Local\Temp\OnboardLogs" /stypes="app*4059*20170913*" /stext=" 15:.+((SYSTEM_STATE.+slice.+state.+changed )|(ment ac)|(multiple cpu faults)|(system.+state.+changed )|(\[timeout)|(PRM\|1\|D)|(kpr)|(kdp)|(train st.+moving)|(\|lc)|(penalty))"</v>
      </c>
      <c r="AG174" s="206" t="str">
        <f t="shared" si="71"/>
        <v>NW</v>
      </c>
      <c r="AH174" s="78" t="str">
        <f t="shared" si="72"/>
        <v>"%USERPROFILE%\Documents\GitHub\eaglep3\Utilities\RefineRTDCRunTimes.py" --tripid 814-13 --locoid 4059 --swversion DE.1.0.9.0 --startMP 300:58662 --initTime 2017-09-13T09:25:23 --startdatetime 2017-09-13T09:43:03 --delay 68 --endMP 204:703 --enddatetime 2017-09-13T09:55:07 --enforcementcount 0 &gt;&gt;C:\Users\stu\Documents\GitHub\eaglep3-reporting\EC\2017-09-13-refined-times.txt</v>
      </c>
      <c r="AI174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{"issue":{"subject":"","project_id":79,"tracker_id":40,"status_id":1,"priority_id":2,"assigned_to_id":338,"start_date":"2017-09-13","description":"","custom_fields":[{"id":1,"name":"Subdivision","value":"NW"},{"id":4,"name":"Milepost","value":"0.0703"},{"id":17,"name":"Train ID","value":"814-13"},{"id":16,"name":"Locomotive ID","value":"4059"},{"id":130,"name":"Impact","value":""},{"id":150,"name":"Time of Event (Mountain Time)","value":"09:55:07"},{"id":151,"name":"Denver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4"/>
        <v>start /low /b %USERPROFILE%\Documents\GitHub\eaglep3\Utilities\DownloadLogsFromS3.py --loco 4059 --day 2017-09-13</v>
      </c>
      <c r="AN174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692</v>
      </c>
      <c r="B175" s="7">
        <v>4060</v>
      </c>
      <c r="C175" s="21" t="s">
        <v>197</v>
      </c>
      <c r="D175" s="21" t="s">
        <v>567</v>
      </c>
      <c r="E175" s="13">
        <v>42991.415231481478</v>
      </c>
      <c r="F175" s="13">
        <v>42991.423356481479</v>
      </c>
      <c r="G175" s="7">
        <v>64</v>
      </c>
      <c r="H175" s="21" t="s">
        <v>950</v>
      </c>
      <c r="I175" s="13">
        <v>42991.432847222219</v>
      </c>
      <c r="J175" s="7">
        <v>0</v>
      </c>
      <c r="K175" s="89" t="str">
        <f t="shared" si="62"/>
        <v>4059/4060</v>
      </c>
      <c r="L175" s="214" t="str">
        <f>VLOOKUP(A175,'Trips&amp;Operators'!$C$1:$G$99911,5,FALSE)</f>
        <v>GEBRETEKLE DAGNEW</v>
      </c>
      <c r="M175" s="6">
        <f t="shared" si="63"/>
        <v>9.4907407401478849E-3</v>
      </c>
      <c r="N175" s="7">
        <f t="shared" si="84"/>
        <v>13.666666665812954</v>
      </c>
      <c r="O175" s="7"/>
      <c r="P175" s="7"/>
      <c r="Q175" s="22"/>
      <c r="R175" s="167"/>
      <c r="S175" s="210">
        <f t="shared" si="85"/>
        <v>1</v>
      </c>
      <c r="T175" s="192" t="str">
        <f t="shared" si="64"/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65"/>
        <v>https://d0f6bd738d7f1b3e5a7ca70fe4ff75f0.us-east-1.aws.found.io/app/kibana#/discover/Steve-Slow-Train-Analysis-(2080s-and-2083s)?_g=(refreshInterval:(display:Off,pause:!f,section:0,value:0),time:(from:'2017-09-13T08:57:56-0600',mode:absolute,to:'2017-09-13T11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5" s="194" t="str">
        <f>IF(AA175&lt;VLOOKUP(AG175,Variables!$AC$3:$AD$8,2,FALSE),"Y","N")</f>
        <v>N</v>
      </c>
      <c r="X175" s="194">
        <f t="shared" si="83"/>
        <v>1</v>
      </c>
      <c r="Y175" s="194">
        <f t="shared" si="81"/>
        <v>9.9000000000000005E-2</v>
      </c>
      <c r="Z175" s="194">
        <f t="shared" si="82"/>
        <v>5.8979999999999997</v>
      </c>
      <c r="AA175" s="194">
        <f t="shared" si="67"/>
        <v>5.7989999999999995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 t="shared" si="68"/>
        <v>815</v>
      </c>
      <c r="AE175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75" s="74" t="str">
        <f t="shared" si="70"/>
        <v>"C:\Program Files (x86)\AstroGrep\AstroGrep.exe" /e /r /s /spath="%USERPROFILE%\AppData\Local\Temp\OnboardLogs" /stypes="app*4060*20170913*" /stext=" 16:.+((SYSTEM_STATE.+slice.+state.+changed )|(ment ac)|(multiple cpu faults)|(system.+state.+changed )|(\[timeout)|(PRM\|1\|D)|(kpr)|(kdp)|(train st.+moving)|(\|lc)|(penalty))"</v>
      </c>
      <c r="AG175" s="206" t="str">
        <f t="shared" si="71"/>
        <v>NW</v>
      </c>
      <c r="AH175" s="78" t="str">
        <f t="shared" si="72"/>
        <v>"%USERPROFILE%\Documents\GitHub\eaglep3\Utilities\RefineRTDCRunTimes.py" --tripid 815-13 --locoid 4060 --swversion DE.1.0.9.0 --startMP 204:990 --initTime 2017-09-13T09:57:56 --startdatetime 2017-09-13T10:09:38 --delay 64 --endMP 300:58980 --enddatetime 2017-09-13T10:23:18 --enforcementcount 0 &gt;&gt;C:\Users\stu\Documents\GitHub\eaglep3-reporting\EC\2017-09-13-refined-times.txt</v>
      </c>
      <c r="AI175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{"issue":{"subject":"","project_id":79,"tracker_id":40,"status_id":1,"priority_id":2,"assigned_to_id":338,"start_date":"2017-09-13","description":"","custom_fields":[{"id":1,"name":"Subdivision","value":"NW"},{"id":4,"name":"Milepost","value":"5.898"},{"id":17,"name":"Train ID","value":"815-13"},{"id":16,"name":"Locomotive ID","value":"4060"},{"id":130,"name":"Impact","value":""},{"id":150,"name":"Time of Event (Mountain Time)","value":"10:23:18"},{"id":151,"name":"Denver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4"/>
        <v>start /low /b %USERPROFILE%\Documents\GitHub\eaglep3\Utilities\DownloadLogsFromS3.py --loco 4060 --day 2017-09-13</v>
      </c>
      <c r="AN175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587</v>
      </c>
      <c r="B176" s="7">
        <v>4059</v>
      </c>
      <c r="C176" s="21" t="s">
        <v>197</v>
      </c>
      <c r="D176" s="21" t="s">
        <v>957</v>
      </c>
      <c r="E176" s="13">
        <v>42991.434756944444</v>
      </c>
      <c r="F176" s="13">
        <v>42991.446666666663</v>
      </c>
      <c r="G176" s="7">
        <v>57</v>
      </c>
      <c r="H176" s="21" t="s">
        <v>958</v>
      </c>
      <c r="I176" s="13">
        <v>42991.456203703703</v>
      </c>
      <c r="J176" s="7">
        <v>0</v>
      </c>
      <c r="K176" s="89" t="str">
        <f t="shared" si="62"/>
        <v>4059/4060</v>
      </c>
      <c r="L176" s="214" t="str">
        <f>VLOOKUP(A176,'Trips&amp;Operators'!$C$1:$G$99911,5,FALSE)</f>
        <v>GEBRETEKLE DAGNEW</v>
      </c>
      <c r="M176" s="6">
        <f t="shared" si="63"/>
        <v>9.5370370399905369E-3</v>
      </c>
      <c r="N176" s="7">
        <f t="shared" si="84"/>
        <v>13.733333337586373</v>
      </c>
      <c r="O176" s="7"/>
      <c r="P176" s="7"/>
      <c r="Q176" s="22"/>
      <c r="R176" s="167"/>
      <c r="S176" s="210">
        <f t="shared" si="85"/>
        <v>1</v>
      </c>
      <c r="T176" s="192" t="str">
        <f t="shared" si="64"/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65"/>
        <v>https://d0f6bd738d7f1b3e5a7ca70fe4ff75f0.us-east-1.aws.found.io/app/kibana#/discover/Steve-Slow-Train-Analysis-(2080s-and-2083s)?_g=(refreshInterval:(display:Off,pause:!f,section:0,value:0),time:(from:'2017-09-13T09:26:03-0600',mode:absolute,to:'2017-09-13T11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6" s="194" t="str">
        <f>IF(AA176&lt;VLOOKUP(AG176,Variables!$AC$3:$AD$8,2,FALSE),"Y","N")</f>
        <v>N</v>
      </c>
      <c r="X176" s="194">
        <f t="shared" si="83"/>
        <v>1</v>
      </c>
      <c r="Y176" s="194">
        <f t="shared" si="81"/>
        <v>5.8654999999999999</v>
      </c>
      <c r="Z176" s="194">
        <f t="shared" si="82"/>
        <v>6.6299999999999998E-2</v>
      </c>
      <c r="AA176" s="194">
        <f t="shared" si="67"/>
        <v>5.7991999999999999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 t="shared" si="68"/>
        <v>816</v>
      </c>
      <c r="AE176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76" s="74" t="str">
        <f t="shared" si="70"/>
        <v>"C:\Program Files (x86)\AstroGrep\AstroGrep.exe" /e /r /s /spath="%USERPROFILE%\AppData\Local\Temp\OnboardLogs" /stypes="app*4059*20170913*" /stext=" 16:.+((SYSTEM_STATE.+slice.+state.+changed )|(ment ac)|(multiple cpu faults)|(system.+state.+changed )|(\[timeout)|(PRM\|1\|D)|(kpr)|(kdp)|(train st.+moving)|(\|lc)|(penalty))"</v>
      </c>
      <c r="AG176" s="206" t="str">
        <f t="shared" si="71"/>
        <v>NW</v>
      </c>
      <c r="AH176" s="78" t="str">
        <f t="shared" si="72"/>
        <v>"%USERPROFILE%\Documents\GitHub\eaglep3\Utilities\RefineRTDCRunTimes.py" --tripid 816-13 --locoid 4059 --swversion DE.1.0.9.0 --startMP 300:58655 --initTime 2017-09-13T10:26:03 --startdatetime 2017-09-13T10:43:12 --delay 57 --endMP 204:663 --enddatetime 2017-09-13T10:56:56 --enforcementcount 0 &gt;&gt;C:\Users\stu\Documents\GitHub\eaglep3-reporting\EC\2017-09-13-refined-times.txt</v>
      </c>
      <c r="AI176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{"issue":{"subject":"","project_id":79,"tracker_id":40,"status_id":1,"priority_id":2,"assigned_to_id":338,"start_date":"2017-09-13","description":"","custom_fields":[{"id":1,"name":"Subdivision","value":"NW"},{"id":4,"name":"Milepost","value":"0.0663"},{"id":17,"name":"Train ID","value":"816-13"},{"id":16,"name":"Locomotive ID","value":"4059"},{"id":130,"name":"Impact","value":""},{"id":150,"name":"Time of Event (Mountain Time)","value":"10:56:56"},{"id":151,"name":"Denver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4"/>
        <v>start /low /b %USERPROFILE%\Documents\GitHub\eaglep3\Utilities\DownloadLogsFromS3.py --loco 4059 --day 2017-09-13</v>
      </c>
      <c r="AN176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698</v>
      </c>
      <c r="B177" s="7">
        <v>4060</v>
      </c>
      <c r="C177" s="21" t="s">
        <v>197</v>
      </c>
      <c r="D177" s="21" t="s">
        <v>563</v>
      </c>
      <c r="E177" s="13">
        <v>42991.458518518521</v>
      </c>
      <c r="F177" s="13">
        <v>42991.464803240742</v>
      </c>
      <c r="G177" s="7">
        <v>53</v>
      </c>
      <c r="H177" s="21" t="s">
        <v>948</v>
      </c>
      <c r="I177" s="13">
        <v>42991.475543981483</v>
      </c>
      <c r="J177" s="7">
        <v>0</v>
      </c>
      <c r="K177" s="89" t="str">
        <f t="shared" si="62"/>
        <v>4059/4060</v>
      </c>
      <c r="L177" s="214" t="str">
        <f>VLOOKUP(A177,'Trips&amp;Operators'!$C$1:$G$99911,5,FALSE)</f>
        <v>GEBRETEKLE DAGNEW</v>
      </c>
      <c r="M177" s="6">
        <f t="shared" si="63"/>
        <v>1.0740740741312038E-2</v>
      </c>
      <c r="N177" s="7">
        <f t="shared" si="84"/>
        <v>15.466666667489335</v>
      </c>
      <c r="O177" s="7"/>
      <c r="P177" s="7"/>
      <c r="Q177" s="22"/>
      <c r="R177" s="167"/>
      <c r="S177" s="210">
        <f t="shared" si="85"/>
        <v>1</v>
      </c>
      <c r="T177" s="192" t="str">
        <f t="shared" si="64"/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65"/>
        <v>https://d0f6bd738d7f1b3e5a7ca70fe4ff75f0.us-east-1.aws.found.io/app/kibana#/discover/Steve-Slow-Train-Analysis-(2080s-and-2083s)?_g=(refreshInterval:(display:Off,pause:!f,section:0,value:0),time:(from:'2017-09-13T10:00:16-0600',mode:absolute,to:'2017-09-13T12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7" s="194" t="str">
        <f>IF(AA177&lt;VLOOKUP(AG177,Variables!$AC$3:$AD$8,2,FALSE),"Y","N")</f>
        <v>N</v>
      </c>
      <c r="X177" s="194">
        <f t="shared" si="83"/>
        <v>1</v>
      </c>
      <c r="Y177" s="194">
        <f t="shared" si="81"/>
        <v>9.7900000000000001E-2</v>
      </c>
      <c r="Z177" s="194">
        <f t="shared" si="82"/>
        <v>5.8982000000000001</v>
      </c>
      <c r="AA177" s="194">
        <f t="shared" si="67"/>
        <v>5.8003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 t="shared" si="68"/>
        <v>817</v>
      </c>
      <c r="AE177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77" s="74" t="str">
        <f t="shared" si="70"/>
        <v>"C:\Program Files (x86)\AstroGrep\AstroGrep.exe" /e /r /s /spath="%USERPROFILE%\AppData\Local\Temp\OnboardLogs" /stypes="app*4060*20170913*" /stext=" 17:.+((SYSTEM_STATE.+slice.+state.+changed )|(ment ac)|(multiple cpu faults)|(system.+state.+changed )|(\[timeout)|(PRM\|1\|D)|(kpr)|(kdp)|(train st.+moving)|(\|lc)|(penalty))"</v>
      </c>
      <c r="AG177" s="206" t="str">
        <f t="shared" si="71"/>
        <v>NW</v>
      </c>
      <c r="AH177" s="78" t="str">
        <f t="shared" si="72"/>
        <v>"%USERPROFILE%\Documents\GitHub\eaglep3\Utilities\RefineRTDCRunTimes.py" --tripid 817-13 --locoid 4060 --swversion DE.1.0.9.0 --startMP 204:979 --initTime 2017-09-13T11:00:16 --startdatetime 2017-09-13T11:09:19 --delay 53 --endMP 300:58982 --enddatetime 2017-09-13T11:24:47 --enforcementcount 0 &gt;&gt;C:\Users\stu\Documents\GitHub\eaglep3-reporting\EC\2017-09-13-refined-times.txt</v>
      </c>
      <c r="AI177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{"issue":{"subject":"","project_id":79,"tracker_id":40,"status_id":1,"priority_id":2,"assigned_to_id":338,"start_date":"2017-09-13","description":"","custom_fields":[{"id":1,"name":"Subdivision","value":"NW"},{"id":4,"name":"Milepost","value":"5.8982"},{"id":17,"name":"Train ID","value":"817-13"},{"id":16,"name":"Locomotive ID","value":"4060"},{"id":130,"name":"Impact","value":""},{"id":150,"name":"Time of Event (Mountain Time)","value":"11:24:47"},{"id":151,"name":"Denver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4"/>
        <v>start /low /b %USERPROFILE%\Documents\GitHub\eaglep3\Utilities\DownloadLogsFromS3.py --loco 4060 --day 2017-09-13</v>
      </c>
      <c r="AN177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705</v>
      </c>
      <c r="B178" s="7">
        <v>4059</v>
      </c>
      <c r="C178" s="21" t="s">
        <v>197</v>
      </c>
      <c r="D178" s="21" t="s">
        <v>945</v>
      </c>
      <c r="E178" s="13">
        <v>42991.477546296293</v>
      </c>
      <c r="F178" s="13">
        <v>42991.480138888888</v>
      </c>
      <c r="G178" s="7">
        <v>105</v>
      </c>
      <c r="H178" s="21" t="s">
        <v>510</v>
      </c>
      <c r="I178" s="13">
        <v>42991.495844907404</v>
      </c>
      <c r="J178" s="7">
        <v>0</v>
      </c>
      <c r="K178" s="89" t="str">
        <f t="shared" si="62"/>
        <v>4059/4060</v>
      </c>
      <c r="L178" s="214" t="str">
        <f>VLOOKUP(A178,'Trips&amp;Operators'!$C$1:$G$99911,5,FALSE)</f>
        <v>GEBRETEKLE DAGNEW</v>
      </c>
      <c r="M178" s="6">
        <f t="shared" si="63"/>
        <v>1.5706018515629694E-2</v>
      </c>
      <c r="N178" s="7">
        <f t="shared" si="84"/>
        <v>22.616666662506759</v>
      </c>
      <c r="O178" s="7"/>
      <c r="P178" s="7"/>
      <c r="Q178" s="22"/>
      <c r="R178" s="167"/>
      <c r="S178" s="210">
        <f t="shared" si="85"/>
        <v>1</v>
      </c>
      <c r="T178" s="192" t="str">
        <f t="shared" si="64"/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65"/>
        <v>https://d0f6bd738d7f1b3e5a7ca70fe4ff75f0.us-east-1.aws.found.io/app/kibana#/discover/Steve-Slow-Train-Analysis-(2080s-and-2083s)?_g=(refreshInterval:(display:Off,pause:!f,section:0,value:0),time:(from:'2017-09-13T10:27:40-0600',mode:absolute,to:'2017-09-13T12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8" s="194" t="str">
        <f>IF(AA178&lt;VLOOKUP(AG178,Variables!$AC$3:$AD$8,2,FALSE),"Y","N")</f>
        <v>N</v>
      </c>
      <c r="X178" s="194">
        <f t="shared" si="83"/>
        <v>1</v>
      </c>
      <c r="Y178" s="194">
        <f t="shared" si="81"/>
        <v>5.8653000000000004</v>
      </c>
      <c r="Z178" s="194">
        <f t="shared" si="82"/>
        <v>6.9400000000000003E-2</v>
      </c>
      <c r="AA178" s="194">
        <f t="shared" si="67"/>
        <v>5.7959000000000005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 t="shared" si="68"/>
        <v>818</v>
      </c>
      <c r="AE178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78" s="74" t="str">
        <f t="shared" si="70"/>
        <v>"C:\Program Files (x86)\AstroGrep\AstroGrep.exe" /e /r /s /spath="%USERPROFILE%\AppData\Local\Temp\OnboardLogs" /stypes="app*4059*20170913*" /stext=" 17:.+((SYSTEM_STATE.+slice.+state.+changed )|(ment ac)|(multiple cpu faults)|(system.+state.+changed )|(\[timeout)|(PRM\|1\|D)|(kpr)|(kdp)|(train st.+moving)|(\|lc)|(penalty))"</v>
      </c>
      <c r="AG178" s="206" t="str">
        <f t="shared" si="71"/>
        <v>NW</v>
      </c>
      <c r="AH178" s="78" t="str">
        <f t="shared" si="72"/>
        <v>"%USERPROFILE%\Documents\GitHub\eaglep3\Utilities\RefineRTDCRunTimes.py" --tripid 818-13 --locoid 4059 --swversion DE.1.0.9.0 --startMP 300:58653 --initTime 2017-09-13T11:27:40 --startdatetime 2017-09-13T11:31:24 --delay 105 --endMP 204:694 --enddatetime 2017-09-13T11:54:01 --enforcementcount 0 &gt;&gt;C:\Users\stu\Documents\GitHub\eaglep3-reporting\EC\2017-09-13-refined-times.txt</v>
      </c>
      <c r="AI178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{"issue":{"subject":"","project_id":79,"tracker_id":40,"status_id":1,"priority_id":2,"assigned_to_id":338,"start_date":"2017-09-13","description":"","custom_fields":[{"id":1,"name":"Subdivision","value":"NW"},{"id":4,"name":"Milepost","value":"0.0694"},{"id":17,"name":"Train ID","value":"818-13"},{"id":16,"name":"Locomotive ID","value":"4059"},{"id":130,"name":"Impact","value":""},{"id":150,"name":"Time of Event (Mountain Time)","value":"11:54:01"},{"id":151,"name":"Denver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4"/>
        <v>start /low /b %USERPROFILE%\Documents\GitHub\eaglep3\Utilities\DownloadLogsFromS3.py --loco 4059 --day 2017-09-13</v>
      </c>
      <c r="AN178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710</v>
      </c>
      <c r="B179" s="7">
        <v>4060</v>
      </c>
      <c r="C179" s="21" t="s">
        <v>197</v>
      </c>
      <c r="D179" s="21" t="s">
        <v>568</v>
      </c>
      <c r="E179" s="13">
        <v>42991.498912037037</v>
      </c>
      <c r="F179" s="13">
        <v>42991.506539351853</v>
      </c>
      <c r="G179" s="7">
        <v>54</v>
      </c>
      <c r="H179" s="21" t="s">
        <v>575</v>
      </c>
      <c r="I179" s="13">
        <v>42991.516192129631</v>
      </c>
      <c r="J179" s="7">
        <v>0</v>
      </c>
      <c r="K179" s="89" t="str">
        <f t="shared" si="62"/>
        <v>4059/4060</v>
      </c>
      <c r="L179" s="214" t="str">
        <f>VLOOKUP(A179,'Trips&amp;Operators'!$C$1:$G$99911,5,FALSE)</f>
        <v>GEBRETEKLE DAGNEW</v>
      </c>
      <c r="M179" s="6">
        <f t="shared" si="63"/>
        <v>9.6527777786832303E-3</v>
      </c>
      <c r="N179" s="7">
        <f t="shared" si="84"/>
        <v>13.900000001303852</v>
      </c>
      <c r="O179" s="7"/>
      <c r="P179" s="7"/>
      <c r="Q179" s="22"/>
      <c r="R179" s="167"/>
      <c r="S179" s="210">
        <f t="shared" si="85"/>
        <v>1</v>
      </c>
      <c r="T179" s="192" t="str">
        <f t="shared" si="64"/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65"/>
        <v>https://d0f6bd738d7f1b3e5a7ca70fe4ff75f0.us-east-1.aws.found.io/app/kibana#/discover/Steve-Slow-Train-Analysis-(2080s-and-2083s)?_g=(refreshInterval:(display:Off,pause:!f,section:0,value:0),time:(from:'2017-09-13T10:58:26-0600',mode:absolute,to:'2017-09-13T13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9" s="194" t="str">
        <f>IF(AA179&lt;VLOOKUP(AG179,Variables!$AC$3:$AD$8,2,FALSE),"Y","N")</f>
        <v>N</v>
      </c>
      <c r="X179" s="194">
        <f t="shared" si="83"/>
        <v>1</v>
      </c>
      <c r="Y179" s="194">
        <f t="shared" si="81"/>
        <v>9.8299999999999998E-2</v>
      </c>
      <c r="Z179" s="194">
        <f t="shared" si="82"/>
        <v>5.8949999999999996</v>
      </c>
      <c r="AA179" s="194">
        <f t="shared" si="67"/>
        <v>5.7966999999999995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 t="shared" si="68"/>
        <v>819</v>
      </c>
      <c r="AE179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79" s="74" t="str">
        <f t="shared" si="70"/>
        <v>"C:\Program Files (x86)\AstroGrep\AstroGrep.exe" /e /r /s /spath="%USERPROFILE%\AppData\Local\Temp\OnboardLogs" /stypes="app*4060*20170913*" /stext=" 18:.+((SYSTEM_STATE.+slice.+state.+changed )|(ment ac)|(multiple cpu faults)|(system.+state.+changed )|(\[timeout)|(PRM\|1\|D)|(kpr)|(kdp)|(train st.+moving)|(\|lc)|(penalty))"</v>
      </c>
      <c r="AG179" s="206" t="str">
        <f t="shared" si="71"/>
        <v>NW</v>
      </c>
      <c r="AH179" s="78" t="str">
        <f t="shared" si="72"/>
        <v>"%USERPROFILE%\Documents\GitHub\eaglep3\Utilities\RefineRTDCRunTimes.py" --tripid 819-13 --locoid 4060 --swversion DE.1.0.9.0 --startMP 204:983 --initTime 2017-09-13T11:58:26 --startdatetime 2017-09-13T12:09:25 --delay 54 --endMP 300:58950 --enddatetime 2017-09-13T12:23:19 --enforcementcount 0 &gt;&gt;C:\Users\stu\Documents\GitHub\eaglep3-reporting\EC\2017-09-13-refined-times.txt</v>
      </c>
      <c r="AI179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{"issue":{"subject":"","project_id":79,"tracker_id":40,"status_id":1,"priority_id":2,"assigned_to_id":338,"start_date":"2017-09-13","description":"","custom_fields":[{"id":1,"name":"Subdivision","value":"NW"},{"id":4,"name":"Milepost","value":"5.895"},{"id":17,"name":"Train ID","value":"819-13"},{"id":16,"name":"Locomotive ID","value":"4060"},{"id":130,"name":"Impact","value":""},{"id":150,"name":"Time of Event (Mountain Time)","value":"12:23:19"},{"id":151,"name":"Denver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4"/>
        <v>start /low /b %USERPROFILE%\Documents\GitHub\eaglep3\Utilities\DownloadLogsFromS3.py --loco 4060 --day 2017-09-13</v>
      </c>
      <c r="AN179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721</v>
      </c>
      <c r="B180" s="7">
        <v>4059</v>
      </c>
      <c r="C180" s="21" t="s">
        <v>197</v>
      </c>
      <c r="D180" s="21" t="s">
        <v>561</v>
      </c>
      <c r="E180" s="13">
        <v>42991.517893518518</v>
      </c>
      <c r="F180" s="13">
        <v>42991.529930555553</v>
      </c>
      <c r="G180" s="7">
        <v>70</v>
      </c>
      <c r="H180" s="21" t="s">
        <v>574</v>
      </c>
      <c r="I180" s="13">
        <v>42991.537743055553</v>
      </c>
      <c r="J180" s="7">
        <v>0</v>
      </c>
      <c r="K180" s="89" t="str">
        <f t="shared" si="62"/>
        <v>4059/4060</v>
      </c>
      <c r="L180" s="214" t="str">
        <f>VLOOKUP(A180,'Trips&amp;Operators'!$C$1:$G$99911,5,FALSE)</f>
        <v>GEBRETEKLE DAGNEW</v>
      </c>
      <c r="M180" s="6">
        <f t="shared" si="63"/>
        <v>7.8125E-3</v>
      </c>
      <c r="N180" s="7">
        <f t="shared" si="84"/>
        <v>11.25</v>
      </c>
      <c r="O180" s="7"/>
      <c r="P180" s="7"/>
      <c r="Q180" s="22"/>
      <c r="R180" s="167"/>
      <c r="S180" s="210">
        <f t="shared" si="85"/>
        <v>1</v>
      </c>
      <c r="T180" s="192" t="str">
        <f t="shared" si="64"/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65"/>
        <v>https://d0f6bd738d7f1b3e5a7ca70fe4ff75f0.us-east-1.aws.found.io/app/kibana#/discover/Steve-Slow-Train-Analysis-(2080s-and-2083s)?_g=(refreshInterval:(display:Off,pause:!f,section:0,value:0),time:(from:'2017-09-13T11:25:46-0600',mode:absolute,to:'2017-09-13T13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0" s="194" t="str">
        <f>IF(AA180&lt;VLOOKUP(AG180,Variables!$AC$3:$AD$8,2,FALSE),"Y","N")</f>
        <v>N</v>
      </c>
      <c r="X180" s="194">
        <f t="shared" si="83"/>
        <v>1</v>
      </c>
      <c r="Y180" s="194">
        <f t="shared" si="81"/>
        <v>5.8632</v>
      </c>
      <c r="Z180" s="194">
        <f t="shared" si="82"/>
        <v>6.8500000000000005E-2</v>
      </c>
      <c r="AA180" s="194">
        <f t="shared" si="67"/>
        <v>5.7946999999999997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 t="shared" si="68"/>
        <v>820</v>
      </c>
      <c r="AE180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80" s="74" t="str">
        <f t="shared" si="70"/>
        <v>"C:\Program Files (x86)\AstroGrep\AstroGrep.exe" /e /r /s /spath="%USERPROFILE%\AppData\Local\Temp\OnboardLogs" /stypes="app*4059*20170913*" /stext=" 18:.+((SYSTEM_STATE.+slice.+state.+changed )|(ment ac)|(multiple cpu faults)|(system.+state.+changed )|(\[timeout)|(PRM\|1\|D)|(kpr)|(kdp)|(train st.+moving)|(\|lc)|(penalty))"</v>
      </c>
      <c r="AG180" s="206" t="str">
        <f t="shared" si="71"/>
        <v>NW</v>
      </c>
      <c r="AH180" s="78" t="str">
        <f t="shared" si="72"/>
        <v>"%USERPROFILE%\Documents\GitHub\eaglep3\Utilities\RefineRTDCRunTimes.py" --tripid 820-13 --locoid 4059 --swversion DE.1.0.9.0 --startMP 300:58632 --initTime 2017-09-13T12:25:46 --startdatetime 2017-09-13T12:43:06 --delay 70 --endMP 204:685 --enddatetime 2017-09-13T12:54:21 --enforcementcount 0 &gt;&gt;C:\Users\stu\Documents\GitHub\eaglep3-reporting\EC\2017-09-13-refined-times.txt</v>
      </c>
      <c r="AI180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{"issue":{"subject":"","project_id":79,"tracker_id":40,"status_id":1,"priority_id":2,"assigned_to_id":338,"start_date":"2017-09-13","description":"","custom_fields":[{"id":1,"name":"Subdivision","value":"NW"},{"id":4,"name":"Milepost","value":"0.0685"},{"id":17,"name":"Train ID","value":"820-13"},{"id":16,"name":"Locomotive ID","value":"4059"},{"id":130,"name":"Impact","value":""},{"id":150,"name":"Time of Event (Mountain Time)","value":"12:54:21"},{"id":151,"name":"Denver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4"/>
        <v>start /low /b %USERPROFILE%\Documents\GitHub\eaglep3\Utilities\DownloadLogsFromS3.py --loco 4059 --day 2017-09-13</v>
      </c>
      <c r="AN180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730</v>
      </c>
      <c r="B181" s="7">
        <v>4060</v>
      </c>
      <c r="C181" s="21" t="s">
        <v>197</v>
      </c>
      <c r="D181" s="21" t="s">
        <v>567</v>
      </c>
      <c r="E181" s="13">
        <v>42991.541354166664</v>
      </c>
      <c r="F181" s="13">
        <v>42991.548159722224</v>
      </c>
      <c r="G181" s="7">
        <v>66</v>
      </c>
      <c r="H181" s="21" t="s">
        <v>959</v>
      </c>
      <c r="I181" s="13">
        <v>42991.560023148151</v>
      </c>
      <c r="J181" s="7">
        <v>0</v>
      </c>
      <c r="K181" s="89" t="str">
        <f t="shared" si="62"/>
        <v>4059/4060</v>
      </c>
      <c r="L181" s="214" t="str">
        <f>VLOOKUP(A181,'Trips&amp;Operators'!$C$1:$G$99911,5,FALSE)</f>
        <v>LEVERE CRAIG</v>
      </c>
      <c r="M181" s="6">
        <f t="shared" si="63"/>
        <v>1.1863425927003846E-2</v>
      </c>
      <c r="N181" s="7">
        <f t="shared" si="84"/>
        <v>17.083333334885538</v>
      </c>
      <c r="O181" s="7"/>
      <c r="P181" s="7"/>
      <c r="Q181" s="22"/>
      <c r="R181" s="167"/>
      <c r="S181" s="210">
        <f t="shared" si="85"/>
        <v>1</v>
      </c>
      <c r="T181" s="192" t="str">
        <f t="shared" si="64"/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65"/>
        <v>https://d0f6bd738d7f1b3e5a7ca70fe4ff75f0.us-east-1.aws.found.io/app/kibana#/discover/Steve-Slow-Train-Analysis-(2080s-and-2083s)?_g=(refreshInterval:(display:Off,pause:!f,section:0,value:0),time:(from:'2017-09-13T11:59:33-0600',mode:absolute,to:'2017-09-13T14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1" s="194" t="str">
        <f>IF(AA181&lt;VLOOKUP(AG181,Variables!$AC$3:$AD$8,2,FALSE),"Y","N")</f>
        <v>N</v>
      </c>
      <c r="X181" s="194">
        <f t="shared" si="83"/>
        <v>1</v>
      </c>
      <c r="Y181" s="194">
        <f t="shared" si="81"/>
        <v>9.9000000000000005E-2</v>
      </c>
      <c r="Z181" s="194">
        <f t="shared" si="82"/>
        <v>5.8954000000000004</v>
      </c>
      <c r="AA181" s="194">
        <f t="shared" si="67"/>
        <v>5.7964000000000002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 t="shared" si="68"/>
        <v>821</v>
      </c>
      <c r="AE181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81" s="74" t="str">
        <f t="shared" si="70"/>
        <v>"C:\Program Files (x86)\AstroGrep\AstroGrep.exe" /e /r /s /spath="%USERPROFILE%\AppData\Local\Temp\OnboardLogs" /stypes="app*4060*20170913*" /stext=" 19:.+((SYSTEM_STATE.+slice.+state.+changed )|(ment ac)|(multiple cpu faults)|(system.+state.+changed )|(\[timeout)|(PRM\|1\|D)|(kpr)|(kdp)|(train st.+moving)|(\|lc)|(penalty))"</v>
      </c>
      <c r="AG181" s="206" t="str">
        <f t="shared" si="71"/>
        <v>NW</v>
      </c>
      <c r="AH181" s="78" t="str">
        <f t="shared" si="72"/>
        <v>"%USERPROFILE%\Documents\GitHub\eaglep3\Utilities\RefineRTDCRunTimes.py" --tripid 821-13 --locoid 4060 --swversion DE.1.0.9.0 --startMP 204:990 --initTime 2017-09-13T12:59:33 --startdatetime 2017-09-13T13:09:21 --delay 66 --endMP 300:58954 --enddatetime 2017-09-13T13:26:26 --enforcementcount 0 &gt;&gt;C:\Users\stu\Documents\GitHub\eaglep3-reporting\EC\2017-09-13-refined-times.txt</v>
      </c>
      <c r="AI181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{"issue":{"subject":"","project_id":79,"tracker_id":40,"status_id":1,"priority_id":2,"assigned_to_id":338,"start_date":"2017-09-13","description":"","custom_fields":[{"id":1,"name":"Subdivision","value":"NW"},{"id":4,"name":"Milepost","value":"5.8954"},{"id":17,"name":"Train ID","value":"821-13"},{"id":16,"name":"Locomotive ID","value":"4060"},{"id":130,"name":"Impact","value":""},{"id":150,"name":"Time of Event (Mountain Time)","value":"13:26:26"},{"id":151,"name":"Denver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4"/>
        <v>start /low /b %USERPROFILE%\Documents\GitHub\eaglep3\Utilities\DownloadLogsFromS3.py --loco 4060 --day 2017-09-13</v>
      </c>
      <c r="AN181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734</v>
      </c>
      <c r="B182" s="7">
        <v>4059</v>
      </c>
      <c r="C182" s="21" t="s">
        <v>197</v>
      </c>
      <c r="D182" s="21" t="s">
        <v>960</v>
      </c>
      <c r="E182" s="13">
        <v>42991.564432870371</v>
      </c>
      <c r="F182" s="13">
        <v>42991.567326388889</v>
      </c>
      <c r="G182" s="7">
        <v>67</v>
      </c>
      <c r="H182" s="21" t="s">
        <v>471</v>
      </c>
      <c r="I182" s="13">
        <v>42991.580879629626</v>
      </c>
      <c r="J182" s="7">
        <v>0</v>
      </c>
      <c r="K182" s="89" t="str">
        <f t="shared" si="62"/>
        <v>4059/4060</v>
      </c>
      <c r="L182" s="214" t="str">
        <f>VLOOKUP(A182,'Trips&amp;Operators'!$C$1:$G$99911,5,FALSE)</f>
        <v>LEVERE CRAIG</v>
      </c>
      <c r="M182" s="6">
        <f t="shared" si="63"/>
        <v>1.3553240736655425E-2</v>
      </c>
      <c r="N182" s="7">
        <f t="shared" si="84"/>
        <v>19.516666660783812</v>
      </c>
      <c r="O182" s="7"/>
      <c r="P182" s="7"/>
      <c r="Q182" s="22"/>
      <c r="R182" s="167"/>
      <c r="S182" s="210">
        <f t="shared" si="85"/>
        <v>1</v>
      </c>
      <c r="T182" s="192" t="str">
        <f t="shared" si="64"/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65"/>
        <v>https://d0f6bd738d7f1b3e5a7ca70fe4ff75f0.us-east-1.aws.found.io/app/kibana#/discover/Steve-Slow-Train-Analysis-(2080s-and-2083s)?_g=(refreshInterval:(display:Off,pause:!f,section:0,value:0),time:(from:'2017-09-13T12:32:47-0600',mode:absolute,to:'2017-09-13T14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2" s="194" t="str">
        <f>IF(AA182&lt;VLOOKUP(AG182,Variables!$AC$3:$AD$8,2,FALSE),"Y","N")</f>
        <v>N</v>
      </c>
      <c r="X182" s="194">
        <f t="shared" si="83"/>
        <v>1</v>
      </c>
      <c r="Y182" s="194">
        <f t="shared" si="81"/>
        <v>5.8638000000000003</v>
      </c>
      <c r="Z182" s="194">
        <f t="shared" si="82"/>
        <v>7.0800000000000002E-2</v>
      </c>
      <c r="AA182" s="194">
        <f t="shared" si="67"/>
        <v>5.7930000000000001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 t="shared" si="68"/>
        <v>822</v>
      </c>
      <c r="AE182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82" s="74" t="str">
        <f t="shared" si="70"/>
        <v>"C:\Program Files (x86)\AstroGrep\AstroGrep.exe" /e /r /s /spath="%USERPROFILE%\AppData\Local\Temp\OnboardLogs" /stypes="app*4059*20170913*" /stext=" 19:.+((SYSTEM_STATE.+slice.+state.+changed )|(ment ac)|(multiple cpu faults)|(system.+state.+changed )|(\[timeout)|(PRM\|1\|D)|(kpr)|(kdp)|(train st.+moving)|(\|lc)|(penalty))"</v>
      </c>
      <c r="AG182" s="206" t="str">
        <f t="shared" si="71"/>
        <v>NW</v>
      </c>
      <c r="AH182" s="78" t="str">
        <f t="shared" si="72"/>
        <v>"%USERPROFILE%\Documents\GitHub\eaglep3\Utilities\RefineRTDCRunTimes.py" --tripid 822-13 --locoid 4059 --swversion DE.1.0.9.0 --startMP 300:58638 --initTime 2017-09-13T13:32:47 --startdatetime 2017-09-13T13:36:57 --delay 67 --endMP 204:708 --enddatetime 2017-09-13T13:56:28 --enforcementcount 0 &gt;&gt;C:\Users\stu\Documents\GitHub\eaglep3-reporting\EC\2017-09-13-refined-times.txt</v>
      </c>
      <c r="AI182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{"issue":{"subject":"","project_id":79,"tracker_id":40,"status_id":1,"priority_id":2,"assigned_to_id":338,"start_date":"2017-09-13","description":"","custom_fields":[{"id":1,"name":"Subdivision","value":"NW"},{"id":4,"name":"Milepost","value":"0.0708"},{"id":17,"name":"Train ID","value":"822-13"},{"id":16,"name":"Locomotive ID","value":"4059"},{"id":130,"name":"Impact","value":""},{"id":150,"name":"Time of Event (Mountain Time)","value":"13:56:28"},{"id":151,"name":"Denver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4"/>
        <v>start /low /b %USERPROFILE%\Documents\GitHub\eaglep3\Utilities\DownloadLogsFromS3.py --loco 4059 --day 2017-09-13</v>
      </c>
      <c r="AN182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740</v>
      </c>
      <c r="B183" s="7">
        <v>4060</v>
      </c>
      <c r="C183" s="21" t="s">
        <v>197</v>
      </c>
      <c r="D183" s="21" t="s">
        <v>961</v>
      </c>
      <c r="E183" s="13">
        <v>42991.585231481484</v>
      </c>
      <c r="F183" s="13">
        <v>42991.589872685188</v>
      </c>
      <c r="G183" s="7">
        <v>163</v>
      </c>
      <c r="H183" s="21" t="s">
        <v>962</v>
      </c>
      <c r="I183" s="13">
        <v>42991.600532407407</v>
      </c>
      <c r="J183" s="7">
        <v>0</v>
      </c>
      <c r="K183" s="89" t="str">
        <f t="shared" si="62"/>
        <v>4059/4060</v>
      </c>
      <c r="L183" s="214" t="str">
        <f>VLOOKUP(A183,'Trips&amp;Operators'!$C$1:$G$99911,5,FALSE)</f>
        <v>LEVERE CRAIG</v>
      </c>
      <c r="M183" s="6">
        <f t="shared" si="63"/>
        <v>1.0659722218406387E-2</v>
      </c>
      <c r="N183" s="7">
        <f t="shared" si="84"/>
        <v>15.349999994505197</v>
      </c>
      <c r="O183" s="7"/>
      <c r="P183" s="7"/>
      <c r="Q183" s="22"/>
      <c r="R183" s="167"/>
      <c r="S183" s="210">
        <f t="shared" si="85"/>
        <v>1</v>
      </c>
      <c r="T183" s="192" t="str">
        <f t="shared" si="64"/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65"/>
        <v>https://d0f6bd738d7f1b3e5a7ca70fe4ff75f0.us-east-1.aws.found.io/app/kibana#/discover/Steve-Slow-Train-Analysis-(2080s-and-2083s)?_g=(refreshInterval:(display:Off,pause:!f,section:0,value:0),time:(from:'2017-09-13T13:02:44-0600',mode:absolute,to:'2017-09-13T15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3" s="194" t="str">
        <f>IF(AA183&lt;VLOOKUP(AG183,Variables!$AC$3:$AD$8,2,FALSE),"Y","N")</f>
        <v>N</v>
      </c>
      <c r="X183" s="194">
        <f t="shared" si="83"/>
        <v>1</v>
      </c>
      <c r="Y183" s="194">
        <f t="shared" si="81"/>
        <v>9.9500000000000005E-2</v>
      </c>
      <c r="Z183" s="194">
        <f t="shared" si="82"/>
        <v>5.8958000000000004</v>
      </c>
      <c r="AA183" s="194">
        <f t="shared" si="67"/>
        <v>5.7963000000000005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 t="shared" si="68"/>
        <v>823</v>
      </c>
      <c r="AE183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83" s="74" t="str">
        <f t="shared" si="70"/>
        <v>"C:\Program Files (x86)\AstroGrep\AstroGrep.exe" /e /r /s /spath="%USERPROFILE%\AppData\Local\Temp\OnboardLogs" /stypes="app*4060*20170913*" /stext=" 20:.+((SYSTEM_STATE.+slice.+state.+changed )|(ment ac)|(multiple cpu faults)|(system.+state.+changed )|(\[timeout)|(PRM\|1\|D)|(kpr)|(kdp)|(train st.+moving)|(\|lc)|(penalty))"</v>
      </c>
      <c r="AG183" s="206" t="str">
        <f t="shared" si="71"/>
        <v>NW</v>
      </c>
      <c r="AH183" s="78" t="str">
        <f t="shared" si="72"/>
        <v>"%USERPROFILE%\Documents\GitHub\eaglep3\Utilities\RefineRTDCRunTimes.py" --tripid 823-13 --locoid 4060 --swversion DE.1.0.9.0 --startMP 204:995 --initTime 2017-09-13T14:02:44 --startdatetime 2017-09-13T14:09:25 --delay 163 --endMP 300:58958 --enddatetime 2017-09-13T14:24:46 --enforcementcount 0 &gt;&gt;C:\Users\stu\Documents\GitHub\eaglep3-reporting\EC\2017-09-13-refined-times.txt</v>
      </c>
      <c r="AI183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{"issue":{"subject":"","project_id":79,"tracker_id":40,"status_id":1,"priority_id":2,"assigned_to_id":338,"start_date":"2017-09-13","description":"","custom_fields":[{"id":1,"name":"Subdivision","value":"NW"},{"id":4,"name":"Milepost","value":"5.8958"},{"id":17,"name":"Train ID","value":"823-13"},{"id":16,"name":"Locomotive ID","value":"4060"},{"id":130,"name":"Impact","value":""},{"id":150,"name":"Time of Event (Mountain Time)","value":"14:24:46"},{"id":151,"name":"Denver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4"/>
        <v>start /low /b %USERPROFILE%\Documents\GitHub\eaglep3\Utilities\DownloadLogsFromS3.py --loco 4060 --day 2017-09-13</v>
      </c>
      <c r="AN183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745</v>
      </c>
      <c r="B184" s="7">
        <v>4059</v>
      </c>
      <c r="C184" s="21" t="s">
        <v>197</v>
      </c>
      <c r="D184" s="21" t="s">
        <v>963</v>
      </c>
      <c r="E184" s="13">
        <v>42991.602280092593</v>
      </c>
      <c r="F184" s="13">
        <v>42991.610752314817</v>
      </c>
      <c r="G184" s="7">
        <v>63</v>
      </c>
      <c r="H184" s="21" t="s">
        <v>964</v>
      </c>
      <c r="I184" s="13">
        <v>42991.622025462966</v>
      </c>
      <c r="J184" s="7">
        <v>0</v>
      </c>
      <c r="K184" s="89" t="str">
        <f t="shared" si="62"/>
        <v>4059/4060</v>
      </c>
      <c r="L184" s="214" t="str">
        <f>VLOOKUP(A184,'Trips&amp;Operators'!$C$1:$G$99911,5,FALSE)</f>
        <v>LEVERE CRAIG</v>
      </c>
      <c r="M184" s="6">
        <f t="shared" si="63"/>
        <v>1.1273148149484769E-2</v>
      </c>
      <c r="N184" s="7">
        <f t="shared" ref="N184:N189" si="86">24*60*SUM($M184:$M184)</f>
        <v>16.233333335258067</v>
      </c>
      <c r="O184" s="7"/>
      <c r="P184" s="7"/>
      <c r="Q184" s="22"/>
      <c r="R184" s="167"/>
      <c r="S184" s="210">
        <f t="shared" ref="S184:S189" si="87">1/IF(AG184="EC",12,1)*SUM(U184:U184)</f>
        <v>1</v>
      </c>
      <c r="T184" s="192" t="str">
        <f t="shared" si="64"/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65"/>
        <v>https://d0f6bd738d7f1b3e5a7ca70fe4ff75f0.us-east-1.aws.found.io/app/kibana#/discover/Steve-Slow-Train-Analysis-(2080s-and-2083s)?_g=(refreshInterval:(display:Off,pause:!f,section:0,value:0),time:(from:'2017-09-13T13:27:17-0600',mode:absolute,to:'2017-09-13T15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4" s="194" t="str">
        <f>IF(AA184&lt;VLOOKUP(AG184,Variables!$AC$3:$AD$8,2,FALSE),"Y","N")</f>
        <v>N</v>
      </c>
      <c r="X184" s="194">
        <f t="shared" si="83"/>
        <v>1</v>
      </c>
      <c r="Y184" s="194">
        <f t="shared" si="81"/>
        <v>5.8647</v>
      </c>
      <c r="Z184" s="194">
        <f t="shared" si="82"/>
        <v>6.7699999999999996E-2</v>
      </c>
      <c r="AA184" s="194">
        <f t="shared" si="67"/>
        <v>5.7969999999999997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 t="shared" si="68"/>
        <v>824</v>
      </c>
      <c r="AE184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84" s="74" t="str">
        <f t="shared" si="70"/>
        <v>"C:\Program Files (x86)\AstroGrep\AstroGrep.exe" /e /r /s /spath="%USERPROFILE%\AppData\Local\Temp\OnboardLogs" /stypes="app*4059*20170913*" /stext=" 20:.+((SYSTEM_STATE.+slice.+state.+changed )|(ment ac)|(multiple cpu faults)|(system.+state.+changed )|(\[timeout)|(PRM\|1\|D)|(kpr)|(kdp)|(train st.+moving)|(\|lc)|(penalty))"</v>
      </c>
      <c r="AG184" s="206" t="str">
        <f t="shared" si="71"/>
        <v>NW</v>
      </c>
      <c r="AH184" s="78" t="str">
        <f t="shared" si="72"/>
        <v>"%USERPROFILE%\Documents\GitHub\eaglep3\Utilities\RefineRTDCRunTimes.py" --tripid 824-13 --locoid 4059 --swversion DE.1.0.9.0 --startMP 300:58647 --initTime 2017-09-13T14:27:17 --startdatetime 2017-09-13T14:39:29 --delay 63 --endMP 204:677 --enddatetime 2017-09-13T14:55:43 --enforcementcount 0 &gt;&gt;C:\Users\stu\Documents\GitHub\eaglep3-reporting\EC\2017-09-13-refined-times.txt</v>
      </c>
      <c r="AI184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{"issue":{"subject":"","project_id":79,"tracker_id":40,"status_id":1,"priority_id":2,"assigned_to_id":338,"start_date":"2017-09-13","description":"","custom_fields":[{"id":1,"name":"Subdivision","value":"NW"},{"id":4,"name":"Milepost","value":"0.0677"},{"id":17,"name":"Train ID","value":"824-13"},{"id":16,"name":"Locomotive ID","value":"4059"},{"id":130,"name":"Impact","value":""},{"id":150,"name":"Time of Event (Mountain Time)","value":"14:55:43"},{"id":151,"name":"Denver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4"/>
        <v>start /low /b %USERPROFILE%\Documents\GitHub\eaglep3\Utilities\DownloadLogsFromS3.py --loco 4059 --day 2017-09-13</v>
      </c>
      <c r="AN184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752</v>
      </c>
      <c r="B185" s="7">
        <v>4060</v>
      </c>
      <c r="C185" s="21" t="s">
        <v>197</v>
      </c>
      <c r="D185" s="21" t="s">
        <v>571</v>
      </c>
      <c r="E185" s="13">
        <v>42991.6253125</v>
      </c>
      <c r="F185" s="13">
        <v>42991.631435185183</v>
      </c>
      <c r="G185" s="7">
        <v>103</v>
      </c>
      <c r="H185" s="21" t="s">
        <v>569</v>
      </c>
      <c r="I185" s="13">
        <v>42991.641412037039</v>
      </c>
      <c r="J185" s="7">
        <v>0</v>
      </c>
      <c r="K185" s="89" t="str">
        <f t="shared" si="62"/>
        <v>4059/4060</v>
      </c>
      <c r="L185" s="214" t="str">
        <f>VLOOKUP(A185,'Trips&amp;Operators'!$C$1:$G$99911,5,FALSE)</f>
        <v>BERLING GARY</v>
      </c>
      <c r="M185" s="6">
        <f t="shared" si="63"/>
        <v>9.976851855753921E-3</v>
      </c>
      <c r="N185" s="7">
        <f t="shared" si="86"/>
        <v>14.366666672285646</v>
      </c>
      <c r="O185" s="7"/>
      <c r="P185" s="7"/>
      <c r="Q185" s="22"/>
      <c r="R185" s="167"/>
      <c r="S185" s="210">
        <f t="shared" si="87"/>
        <v>1</v>
      </c>
      <c r="T185" s="192" t="str">
        <f t="shared" si="64"/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65"/>
        <v>https://d0f6bd738d7f1b3e5a7ca70fe4ff75f0.us-east-1.aws.found.io/app/kibana#/discover/Steve-Slow-Train-Analysis-(2080s-and-2083s)?_g=(refreshInterval:(display:Off,pause:!f,section:0,value:0),time:(from:'2017-09-13T14:00:27-0600',mode:absolute,to:'2017-09-13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5" s="194" t="str">
        <f>IF(AA185&lt;VLOOKUP(AG185,Variables!$AC$3:$AD$8,2,FALSE),"Y","N")</f>
        <v>N</v>
      </c>
      <c r="X185" s="194">
        <f t="shared" si="83"/>
        <v>1</v>
      </c>
      <c r="Y185" s="194">
        <f t="shared" si="81"/>
        <v>9.9199999999999997E-2</v>
      </c>
      <c r="Z185" s="194">
        <f t="shared" si="82"/>
        <v>5.8924000000000003</v>
      </c>
      <c r="AA185" s="194">
        <f t="shared" si="67"/>
        <v>5.7932000000000006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 t="shared" si="68"/>
        <v>825</v>
      </c>
      <c r="AE185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85" s="74" t="str">
        <f t="shared" si="70"/>
        <v>"C:\Program Files (x86)\AstroGrep\AstroGrep.exe" /e /r /s /spath="%USERPROFILE%\AppData\Local\Temp\OnboardLogs" /stypes="app*4060*20170913*" /stext=" 21:.+((SYSTEM_STATE.+slice.+state.+changed )|(ment ac)|(multiple cpu faults)|(system.+state.+changed )|(\[timeout)|(PRM\|1\|D)|(kpr)|(kdp)|(train st.+moving)|(\|lc)|(penalty))"</v>
      </c>
      <c r="AG185" s="206" t="str">
        <f t="shared" si="71"/>
        <v>NW</v>
      </c>
      <c r="AH185" s="78" t="str">
        <f t="shared" si="72"/>
        <v>"%USERPROFILE%\Documents\GitHub\eaglep3\Utilities\RefineRTDCRunTimes.py" --tripid 825-13 --locoid 4060 --swversion DE.1.0.9.0 --startMP 204:992 --initTime 2017-09-13T15:00:27 --startdatetime 2017-09-13T15:09:16 --delay 103 --endMP 300:58924 --enddatetime 2017-09-13T15:23:38 --enforcementcount 0 &gt;&gt;C:\Users\stu\Documents\GitHub\eaglep3-reporting\EC\2017-09-13-refined-times.txt</v>
      </c>
      <c r="AI185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{"issue":{"subject":"","project_id":79,"tracker_id":40,"status_id":1,"priority_id":2,"assigned_to_id":338,"start_date":"2017-09-13","description":"","custom_fields":[{"id":1,"name":"Subdivision","value":"NW"},{"id":4,"name":"Milepost","value":"5.8924"},{"id":17,"name":"Train ID","value":"825-13"},{"id":16,"name":"Locomotive ID","value":"4060"},{"id":130,"name":"Impact","value":""},{"id":150,"name":"Time of Event (Mountain Time)","value":"15:23:38"},{"id":151,"name":"Denver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4"/>
        <v>start /low /b %USERPROFILE%\Documents\GitHub\eaglep3\Utilities\DownloadLogsFromS3.py --loco 4060 --day 2017-09-13</v>
      </c>
      <c r="AN185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758</v>
      </c>
      <c r="B186" s="7">
        <v>4059</v>
      </c>
      <c r="C186" s="21" t="s">
        <v>197</v>
      </c>
      <c r="D186" s="21" t="s">
        <v>965</v>
      </c>
      <c r="E186" s="13">
        <v>42991.64298611111</v>
      </c>
      <c r="F186" s="13">
        <v>42991.652939814812</v>
      </c>
      <c r="G186" s="7">
        <v>95</v>
      </c>
      <c r="H186" s="21" t="s">
        <v>966</v>
      </c>
      <c r="I186" s="13">
        <v>42991.663506944446</v>
      </c>
      <c r="J186" s="7">
        <v>0</v>
      </c>
      <c r="K186" s="89" t="str">
        <f t="shared" si="62"/>
        <v>4059/4060</v>
      </c>
      <c r="L186" s="214" t="str">
        <f>VLOOKUP(A186,'Trips&amp;Operators'!$C$1:$G$99911,5,FALSE)</f>
        <v>BERLING GARY</v>
      </c>
      <c r="M186" s="6">
        <f t="shared" si="63"/>
        <v>1.0567129633272998E-2</v>
      </c>
      <c r="N186" s="7">
        <f t="shared" si="86"/>
        <v>15.216666671913117</v>
      </c>
      <c r="O186" s="7"/>
      <c r="P186" s="7"/>
      <c r="Q186" s="22"/>
      <c r="R186" s="167"/>
      <c r="S186" s="210">
        <f t="shared" si="87"/>
        <v>1</v>
      </c>
      <c r="T186" s="192" t="str">
        <f t="shared" si="64"/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65"/>
        <v>https://d0f6bd738d7f1b3e5a7ca70fe4ff75f0.us-east-1.aws.found.io/app/kibana#/discover/Steve-Slow-Train-Analysis-(2080s-and-2083s)?_g=(refreshInterval:(display:Off,pause:!f,section:0,value:0),time:(from:'2017-09-13T14:25:54-0600',mode:absolute,to:'2017-09-13T16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6" s="194" t="str">
        <f>IF(AA186&lt;VLOOKUP(AG186,Variables!$AC$3:$AD$8,2,FALSE),"Y","N")</f>
        <v>N</v>
      </c>
      <c r="X186" s="194">
        <f t="shared" si="83"/>
        <v>1</v>
      </c>
      <c r="Y186" s="194">
        <f t="shared" si="81"/>
        <v>5.8608000000000002</v>
      </c>
      <c r="Z186" s="194">
        <f t="shared" si="82"/>
        <v>7.4999999999999997E-2</v>
      </c>
      <c r="AA186" s="194">
        <f t="shared" si="67"/>
        <v>5.7858000000000001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 t="shared" si="68"/>
        <v>826</v>
      </c>
      <c r="AE186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86" s="74" t="str">
        <f t="shared" si="70"/>
        <v>"C:\Program Files (x86)\AstroGrep\AstroGrep.exe" /e /r /s /spath="%USERPROFILE%\AppData\Local\Temp\OnboardLogs" /stypes="app*4059*20170913*" /stext=" 21:.+((SYSTEM_STATE.+slice.+state.+changed )|(ment ac)|(multiple cpu faults)|(system.+state.+changed )|(\[timeout)|(PRM\|1\|D)|(kpr)|(kdp)|(train st.+moving)|(\|lc)|(penalty))"</v>
      </c>
      <c r="AG186" s="206" t="str">
        <f t="shared" si="71"/>
        <v>NW</v>
      </c>
      <c r="AH186" s="78" t="str">
        <f t="shared" si="72"/>
        <v>"%USERPROFILE%\Documents\GitHub\eaglep3\Utilities\RefineRTDCRunTimes.py" --tripid 826-13 --locoid 4059 --swversion DE.1.0.9.0 --startMP 300:58608 --initTime 2017-09-13T15:25:54 --startdatetime 2017-09-13T15:40:14 --delay 95 --endMP 204:750 --enddatetime 2017-09-13T15:55:27 --enforcementcount 0 &gt;&gt;C:\Users\stu\Documents\GitHub\eaglep3-reporting\EC\2017-09-13-refined-times.txt</v>
      </c>
      <c r="AI186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{"issue":{"subject":"","project_id":79,"tracker_id":40,"status_id":1,"priority_id":2,"assigned_to_id":338,"start_date":"2017-09-13","description":"","custom_fields":[{"id":1,"name":"Subdivision","value":"NW"},{"id":4,"name":"Milepost","value":"0.075"},{"id":17,"name":"Train ID","value":"826-13"},{"id":16,"name":"Locomotive ID","value":"4059"},{"id":130,"name":"Impact","value":""},{"id":150,"name":"Time of Event (Mountain Time)","value":"15:55:27"},{"id":151,"name":"Denver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4"/>
        <v>start /low /b %USERPROFILE%\Documents\GitHub\eaglep3\Utilities\DownloadLogsFromS3.py --loco 4059 --day 2017-09-13</v>
      </c>
      <c r="AN186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761</v>
      </c>
      <c r="B187" s="7">
        <v>4026</v>
      </c>
      <c r="C187" s="21" t="s">
        <v>197</v>
      </c>
      <c r="D187" s="21" t="s">
        <v>965</v>
      </c>
      <c r="E187" s="13">
        <v>42991.64298611111</v>
      </c>
      <c r="F187" s="13">
        <v>42991.652384259258</v>
      </c>
      <c r="G187" s="7">
        <v>95</v>
      </c>
      <c r="H187" s="21" t="s">
        <v>966</v>
      </c>
      <c r="I187" s="13">
        <v>42991.661874999998</v>
      </c>
      <c r="J187" s="7">
        <v>0</v>
      </c>
      <c r="K187" s="89" t="str">
        <f t="shared" si="62"/>
        <v>4025/4026</v>
      </c>
      <c r="L187" s="214" t="str">
        <f>VLOOKUP(A187,'Trips&amp;Operators'!$C$1:$G$99911,5,FALSE)</f>
        <v>STAMBAUGH JAMES</v>
      </c>
      <c r="M187" s="6">
        <f t="shared" si="63"/>
        <v>9.4907407401478849E-3</v>
      </c>
      <c r="N187" s="7">
        <f t="shared" si="86"/>
        <v>13.666666665812954</v>
      </c>
      <c r="O187" s="7"/>
      <c r="P187" s="7"/>
      <c r="Q187" s="22"/>
      <c r="R187" s="167"/>
      <c r="S187" s="210">
        <f t="shared" si="87"/>
        <v>1</v>
      </c>
      <c r="T187" s="192" t="str">
        <f t="shared" si="64"/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65"/>
        <v>https://d0f6bd738d7f1b3e5a7ca70fe4ff75f0.us-east-1.aws.found.io/app/kibana#/discover/Steve-Slow-Train-Analysis-(2080s-and-2083s)?_g=(refreshInterval:(display:Off,pause:!f,section:0,value:0),time:(from:'2017-09-13T14:25:54-0600',mode:absolute,to:'2017-09-13T16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194" t="str">
        <f>IF(AA187&lt;VLOOKUP(AG187,Variables!$AC$3:$AD$8,2,FALSE),"Y","N")</f>
        <v>N</v>
      </c>
      <c r="X187" s="194">
        <f t="shared" si="83"/>
        <v>1</v>
      </c>
      <c r="Y187" s="194">
        <v>9.9199999999999997E-2</v>
      </c>
      <c r="Z187" s="194">
        <v>5.8924000000000003</v>
      </c>
      <c r="AA187" s="194">
        <f t="shared" si="67"/>
        <v>5.7932000000000006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 t="shared" si="68"/>
        <v>827</v>
      </c>
      <c r="AE187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87" s="74" t="str">
        <f t="shared" si="70"/>
        <v>"C:\Program Files (x86)\AstroGrep\AstroGrep.exe" /e /r /s /spath="%USERPROFILE%\AppData\Local\Temp\OnboardLogs" /stypes="app*4026*20170913*" /stext=" 21:.+((SYSTEM_STATE.+slice.+state.+changed )|(ment ac)|(multiple cpu faults)|(system.+state.+changed )|(\[timeout)|(PRM\|1\|D)|(kpr)|(kdp)|(train st.+moving)|(\|lc)|(penalty))"</v>
      </c>
      <c r="AG187" s="206" t="str">
        <f t="shared" si="71"/>
        <v>NW</v>
      </c>
      <c r="AH187" s="78" t="str">
        <f t="shared" ref="AH187" si="88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827-13 --locoid 4026 --swversion DE.1.0.9.0 --startMP 300:58608 --initTime 2017-09-13T15:25:54 --startdatetime 2017-09-13T15:39:26 --delay 95 --endMP 204:750 --enddatetime 2017-09-13T15:53:06 --enforcementcount 0 &gt;&gt;C:\Users\stu\Documents\GitHub\eaglep3-reporting\EC\2017-09-13-refined-times.txt</v>
      </c>
      <c r="AI187" s="96" t="str">
        <f t="shared" ref="AI187" si="89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{"issue":{"subject":"","project_id":79,"tracker_id":40,"status_id":1,"priority_id":2,"assigned_to_id":338,"start_date":"2017-09-13","description":"","custom_fields":[{"id":1,"name":"Subdivision","value":"NW"},{"id":4,"name":"Milepost","value":"5.8924"},{"id":17,"name":"Train ID","value":"827-13"},{"id":16,"name":"Locomotive ID","value":"4026"},{"id":130,"name":"Impact","value":""},{"id":150,"name":"Time of Event (Mountain Time)","value":"15:53:06"},{"id":151,"name":"Denver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ref="AM187" si="90">"start /low /b "&amp;dls3logs&amp;" --loco "&amp;B187&amp;" --day "&amp;TEXT(F187,"YYYY-MM-DD")</f>
        <v>start /low /b %USERPROFILE%\Documents\GitHub\eaglep3\Utilities\DownloadLogsFromS3.py --loco 4026 --day 2017-09-13</v>
      </c>
      <c r="AN187" s="151" t="str">
        <f t="shared" ref="AN187" si="91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2" t="s">
        <v>767</v>
      </c>
      <c r="B188" s="7">
        <v>4025</v>
      </c>
      <c r="C188" s="21" t="s">
        <v>197</v>
      </c>
      <c r="D188" s="21" t="s">
        <v>573</v>
      </c>
      <c r="E188" s="13">
        <v>42991.66306712963</v>
      </c>
      <c r="F188" s="13">
        <v>42991.674733796295</v>
      </c>
      <c r="G188" s="7">
        <v>90</v>
      </c>
      <c r="H188" s="21" t="s">
        <v>577</v>
      </c>
      <c r="I188" s="13">
        <v>42991.683506944442</v>
      </c>
      <c r="J188" s="7">
        <v>0</v>
      </c>
      <c r="K188" s="89" t="str">
        <f t="shared" si="62"/>
        <v>4025/4026</v>
      </c>
      <c r="L188" s="214" t="str">
        <f>VLOOKUP(A188,'Trips&amp;Operators'!$C$1:$G$99911,5,FALSE)</f>
        <v>STAMBAUGH JAMES</v>
      </c>
      <c r="M188" s="6">
        <f t="shared" si="63"/>
        <v>8.7731481471564621E-3</v>
      </c>
      <c r="N188" s="7">
        <f t="shared" si="86"/>
        <v>12.633333331905305</v>
      </c>
      <c r="O188" s="7"/>
      <c r="P188" s="7"/>
      <c r="Q188" s="22"/>
      <c r="R188" s="167"/>
      <c r="S188" s="210">
        <f t="shared" si="87"/>
        <v>1</v>
      </c>
      <c r="T188" s="192" t="str">
        <f t="shared" si="64"/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65"/>
        <v>https://d0f6bd738d7f1b3e5a7ca70fe4ff75f0.us-east-1.aws.found.io/app/kibana#/discover/Steve-Slow-Train-Analysis-(2080s-and-2083s)?_g=(refreshInterval:(display:Off,pause:!f,section:0,value:0),time:(from:'2017-09-13T14:54:49-0600',mode:absolute,to:'2017-09-13T17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94" t="str">
        <f>IF(AA188&lt;VLOOKUP(AG188,Variables!$AC$3:$AD$8,2,FALSE),"Y","N")</f>
        <v>N</v>
      </c>
      <c r="X188" s="194">
        <f t="shared" si="83"/>
        <v>1</v>
      </c>
      <c r="Y188" s="194">
        <f t="shared" ref="Y188:Y219" si="92">RIGHT(D188,LEN(D188)-4)/10000</f>
        <v>5.8634000000000004</v>
      </c>
      <c r="Z188" s="194">
        <f t="shared" ref="Z188:Z219" si="93">RIGHT(H188,LEN(H188)-4)/10000</f>
        <v>6.8699999999999997E-2</v>
      </c>
      <c r="AA188" s="194">
        <f t="shared" si="67"/>
        <v>5.7947000000000006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 t="shared" si="68"/>
        <v>828</v>
      </c>
      <c r="AE188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88" s="74" t="str">
        <f t="shared" si="70"/>
        <v>"C:\Program Files (x86)\AstroGrep\AstroGrep.exe" /e /r /s /spath="%USERPROFILE%\AppData\Local\Temp\OnboardLogs" /stypes="app*4025*20170913*" /stext=" 22:.+((SYSTEM_STATE.+slice.+state.+changed )|(ment ac)|(multiple cpu faults)|(system.+state.+changed )|(\[timeout)|(PRM\|1\|D)|(kpr)|(kdp)|(train st.+moving)|(\|lc)|(penalty))"</v>
      </c>
      <c r="AG188" s="206" t="str">
        <f t="shared" si="71"/>
        <v>NW</v>
      </c>
      <c r="AH188" s="78" t="str">
        <f t="shared" si="72"/>
        <v>"%USERPROFILE%\Documents\GitHub\eaglep3\Utilities\RefineRTDCRunTimes.py" --tripid 828-13 --locoid 4025 --swversion DE.1.0.9.0 --startMP 300:58634 --initTime 2017-09-13T15:54:49 --startdatetime 2017-09-13T16:11:37 --delay 90 --endMP 204:687 --enddatetime 2017-09-13T16:24:15 --enforcementcount 0 &gt;&gt;C:\Users\stu\Documents\GitHub\eaglep3-reporting\EC\2017-09-13-refined-times.txt</v>
      </c>
      <c r="AI188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{"issue":{"subject":"","project_id":79,"tracker_id":40,"status_id":1,"priority_id":2,"assigned_to_id":338,"start_date":"2017-09-13","description":"","custom_fields":[{"id":1,"name":"Subdivision","value":"NW"},{"id":4,"name":"Milepost","value":"0.0687"},{"id":17,"name":"Train ID","value":"828-13"},{"id":16,"name":"Locomotive ID","value":"4025"},{"id":130,"name":"Impact","value":""},{"id":150,"name":"Time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4"/>
        <v>start /low /b %USERPROFILE%\Documents\GitHub\eaglep3\Utilities\DownloadLogsFromS3.py --loco 4025 --day 2017-09-13</v>
      </c>
      <c r="AN188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768</v>
      </c>
      <c r="B189" s="7">
        <v>4060</v>
      </c>
      <c r="C189" s="21" t="s">
        <v>197</v>
      </c>
      <c r="D189" s="21" t="s">
        <v>946</v>
      </c>
      <c r="E189" s="13">
        <v>42991.671469907407</v>
      </c>
      <c r="F189" s="13">
        <v>42991.673391203702</v>
      </c>
      <c r="G189" s="7">
        <v>57</v>
      </c>
      <c r="H189" s="21" t="s">
        <v>572</v>
      </c>
      <c r="I189" s="13">
        <v>42991.683865740742</v>
      </c>
      <c r="J189" s="7">
        <v>0</v>
      </c>
      <c r="K189" s="89" t="str">
        <f t="shared" si="62"/>
        <v>4059/4060</v>
      </c>
      <c r="L189" s="214" t="str">
        <f>VLOOKUP(A189,'Trips&amp;Operators'!$C$1:$G$99911,5,FALSE)</f>
        <v>BERLING GARY</v>
      </c>
      <c r="M189" s="6">
        <f t="shared" si="63"/>
        <v>1.0474537040863652E-2</v>
      </c>
      <c r="N189" s="7">
        <f t="shared" si="86"/>
        <v>15.083333338843659</v>
      </c>
      <c r="O189" s="7"/>
      <c r="P189" s="7"/>
      <c r="Q189" s="22"/>
      <c r="R189" s="167"/>
      <c r="S189" s="210">
        <f t="shared" si="87"/>
        <v>1</v>
      </c>
      <c r="T189" s="192" t="str">
        <f t="shared" si="64"/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65"/>
        <v>https://d0f6bd738d7f1b3e5a7ca70fe4ff75f0.us-east-1.aws.found.io/app/kibana#/discover/Steve-Slow-Train-Analysis-(2080s-and-2083s)?_g=(refreshInterval:(display:Off,pause:!f,section:0,value:0),time:(from:'2017-09-13T15:06:55-0600',mode:absolute,to:'2017-09-13T17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9" s="194" t="str">
        <f>IF(AA189&lt;VLOOKUP(AG189,Variables!$AC$3:$AD$8,2,FALSE),"Y","N")</f>
        <v>N</v>
      </c>
      <c r="X189" s="194">
        <f t="shared" ref="X189:X201" si="94">VALUE(LEFT(AD189,4))-VALUE(LEFT(AD188,4))</f>
        <v>1</v>
      </c>
      <c r="Y189" s="194">
        <f t="shared" si="92"/>
        <v>0.1027</v>
      </c>
      <c r="Z189" s="194">
        <f t="shared" si="93"/>
        <v>5.8933</v>
      </c>
      <c r="AA189" s="194">
        <f t="shared" si="67"/>
        <v>5.7906000000000004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 t="shared" si="68"/>
        <v>829</v>
      </c>
      <c r="AE189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89" s="74" t="str">
        <f t="shared" si="70"/>
        <v>"C:\Program Files (x86)\AstroGrep\AstroGrep.exe" /e /r /s /spath="%USERPROFILE%\AppData\Local\Temp\OnboardLogs" /stypes="app*4060*20170913*" /stext=" 22:.+((SYSTEM_STATE.+slice.+state.+changed )|(ment ac)|(multiple cpu faults)|(system.+state.+changed )|(\[timeout)|(PRM\|1\|D)|(kpr)|(kdp)|(train st.+moving)|(\|lc)|(penalty))"</v>
      </c>
      <c r="AG189" s="206" t="str">
        <f t="shared" si="71"/>
        <v>NW</v>
      </c>
      <c r="AH189" s="78" t="str">
        <f t="shared" si="72"/>
        <v>"%USERPROFILE%\Documents\GitHub\eaglep3\Utilities\RefineRTDCRunTimes.py" --tripid 829-13 --locoid 4060 --swversion DE.1.0.9.0 --startMP 204:1027 --initTime 2017-09-13T16:06:55 --startdatetime 2017-09-13T16:09:41 --delay 57 --endMP 300:58933 --enddatetime 2017-09-13T16:24:46 --enforcementcount 0 &gt;&gt;C:\Users\stu\Documents\GitHub\eaglep3-reporting\EC\2017-09-13-refined-times.txt</v>
      </c>
      <c r="AI189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{"issue":{"subject":"","project_id":79,"tracker_id":40,"status_id":1,"priority_id":2,"assigned_to_id":338,"start_date":"2017-09-13","description":"","custom_fields":[{"id":1,"name":"Subdivision","value":"NW"},{"id":4,"name":"Milepost","value":"5.8933"},{"id":17,"name":"Train ID","value":"829-13"},{"id":16,"name":"Locomotive ID","value":"4060"},{"id":130,"name":"Impact","value":""},{"id":150,"name":"Time of Event (Mountain Time)","value":"16:24:46"},{"id":151,"name":"Denver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4"/>
        <v>start /low /b %USERPROFILE%\Documents\GitHub\eaglep3\Utilities\DownloadLogsFromS3.py --loco 4060 --day 2017-09-13</v>
      </c>
      <c r="AN189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768</v>
      </c>
      <c r="B190" s="7">
        <v>4060</v>
      </c>
      <c r="C190" s="21" t="s">
        <v>197</v>
      </c>
      <c r="D190" s="21" t="s">
        <v>940</v>
      </c>
      <c r="E190" s="13">
        <v>42991.665451388886</v>
      </c>
      <c r="F190" s="13">
        <v>42991.673391203702</v>
      </c>
      <c r="G190" s="7">
        <v>72</v>
      </c>
      <c r="H190" s="21" t="s">
        <v>967</v>
      </c>
      <c r="I190" s="13">
        <v>42991.683865740742</v>
      </c>
      <c r="J190" s="7">
        <v>0</v>
      </c>
      <c r="K190" s="89" t="str">
        <f t="shared" si="62"/>
        <v>4059/4060</v>
      </c>
      <c r="L190" s="214" t="str">
        <f>VLOOKUP(A190,'Trips&amp;Operators'!$C$1:$G$99911,5,FALSE)</f>
        <v>BERLING GARY</v>
      </c>
      <c r="M190" s="6">
        <f t="shared" si="63"/>
        <v>1.0474537040863652E-2</v>
      </c>
      <c r="N190" s="7"/>
      <c r="O190" s="7"/>
      <c r="P190" s="7"/>
      <c r="Q190" s="22"/>
      <c r="R190" s="167"/>
      <c r="S190" s="210"/>
      <c r="T190" s="192" t="str">
        <f t="shared" si="64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193" t="str">
        <f t="shared" si="65"/>
        <v>https://d0f6bd738d7f1b3e5a7ca70fe4ff75f0.us-east-1.aws.found.io/app/kibana#/discover/Steve-Slow-Train-Analysis-(2080s-and-2083s)?_g=(refreshInterval:(display:Off,pause:!f,section:0,value:0),time:(from:'2017-09-13T14:58:15-0600',mode:absolute,to:'2017-09-13T17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194" t="str">
        <f>IF(AA190&lt;VLOOKUP(AG190,Variables!$AC$3:$AD$8,2,FALSE),"Y","N")</f>
        <v>Y</v>
      </c>
      <c r="X190" s="194">
        <f t="shared" si="94"/>
        <v>0</v>
      </c>
      <c r="Y190" s="194">
        <f t="shared" si="92"/>
        <v>0.1037</v>
      </c>
      <c r="Z190" s="194">
        <f t="shared" si="93"/>
        <v>0.10349999999999999</v>
      </c>
      <c r="AA190" s="194">
        <f t="shared" si="67"/>
        <v>2.0000000000000573E-4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 t="shared" si="68"/>
        <v>829</v>
      </c>
      <c r="AE190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90" s="74" t="str">
        <f t="shared" si="70"/>
        <v>"C:\Program Files (x86)\AstroGrep\AstroGrep.exe" /e /r /s /spath="%USERPROFILE%\AppData\Local\Temp\OnboardLogs" /stypes="app*4060*20170913*" /stext=" 22:.+((SYSTEM_STATE.+slice.+state.+changed )|(ment ac)|(multiple cpu faults)|(system.+state.+changed )|(\[timeout)|(PRM\|1\|D)|(kpr)|(kdp)|(train st.+moving)|(\|lc)|(penalty))"</v>
      </c>
      <c r="AG190" s="206" t="str">
        <f t="shared" si="71"/>
        <v>NW</v>
      </c>
      <c r="AH190" s="78" t="str">
        <f t="shared" si="72"/>
        <v>"%USERPROFILE%\Documents\GitHub\eaglep3\Utilities\RefineRTDCRunTimes.py" --tripid 829-13 --locoid 4060 --swversion DE.1.0.9.0 --startMP 204:1037 --initTime 2017-09-13T15:58:15 --startdatetime 2017-09-13T16:09:41 --delay 72 --endMP 204:1035 --enddatetime 2017-09-13T16:24:46 --enforcementcount 0 &gt;&gt;C:\Users\stu\Documents\GitHub\eaglep3-reporting\EC\2017-09-13-refined-times.txt</v>
      </c>
      <c r="AI190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{"issue":{"subject":"","project_id":79,"tracker_id":40,"status_id":1,"priority_id":2,"assigned_to_id":338,"start_date":"2017-09-13","description":"","custom_fields":[{"id":1,"name":"Subdivision","value":"NW"},{"id":4,"name":"Milepost","value":"0.1035"},{"id":17,"name":"Train ID","value":"829-13"},{"id":16,"name":"Locomotive ID","value":"4060"},{"id":130,"name":"Impact","value":""},{"id":150,"name":"Time of Event (Mountain Time)","value":"16:24:46"},{"id":151,"name":"Denver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4"/>
        <v>start /low /b %USERPROFILE%\Documents\GitHub\eaglep3\Utilities\DownloadLogsFromS3.py --loco 4060 --day 2017-09-13</v>
      </c>
      <c r="AN190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772</v>
      </c>
      <c r="B191" s="7">
        <v>4059</v>
      </c>
      <c r="C191" s="21" t="s">
        <v>197</v>
      </c>
      <c r="D191" s="21" t="s">
        <v>968</v>
      </c>
      <c r="E191" s="13">
        <v>42991.687708333331</v>
      </c>
      <c r="F191" s="13">
        <v>42991.69458333333</v>
      </c>
      <c r="G191" s="7">
        <v>51</v>
      </c>
      <c r="H191" s="21" t="s">
        <v>952</v>
      </c>
      <c r="I191" s="13">
        <v>42991.704780092594</v>
      </c>
      <c r="J191" s="7">
        <v>0</v>
      </c>
      <c r="K191" s="89" t="str">
        <f t="shared" si="62"/>
        <v>4059/4060</v>
      </c>
      <c r="L191" s="214" t="str">
        <f>VLOOKUP(A191,'Trips&amp;Operators'!$C$1:$G$99911,5,FALSE)</f>
        <v>BERLING GARY</v>
      </c>
      <c r="M191" s="6">
        <f t="shared" si="63"/>
        <v>1.0196759263635613E-2</v>
      </c>
      <c r="N191" s="7">
        <f t="shared" ref="N191:N222" si="95">24*60*SUM($M191:$M191)</f>
        <v>14.683333339635283</v>
      </c>
      <c r="O191" s="7"/>
      <c r="P191" s="7"/>
      <c r="Q191" s="22"/>
      <c r="R191" s="167"/>
      <c r="S191" s="210">
        <f t="shared" ref="S191:S222" si="96">1/IF(AG191="EC",12,1)*SUM(U191:U191)</f>
        <v>1</v>
      </c>
      <c r="T191" s="192" t="str">
        <f t="shared" si="64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65"/>
        <v>https://d0f6bd738d7f1b3e5a7ca70fe4ff75f0.us-east-1.aws.found.io/app/kibana#/discover/Steve-Slow-Train-Analysis-(2080s-and-2083s)?_g=(refreshInterval:(display:Off,pause:!f,section:0,value:0),time:(from:'2017-09-13T15:30:18-0600',mode:absolute,to:'2017-09-13T17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194" t="str">
        <f>IF(AA191&lt;VLOOKUP(AG191,Variables!$AC$3:$AD$8,2,FALSE),"Y","N")</f>
        <v>N</v>
      </c>
      <c r="X191" s="194">
        <f t="shared" si="94"/>
        <v>1</v>
      </c>
      <c r="Y191" s="194">
        <f t="shared" si="92"/>
        <v>5.8620999999999999</v>
      </c>
      <c r="Z191" s="194">
        <f t="shared" si="93"/>
        <v>7.2700000000000001E-2</v>
      </c>
      <c r="AA191" s="194">
        <f t="shared" si="67"/>
        <v>5.7893999999999997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 t="shared" si="68"/>
        <v>830</v>
      </c>
      <c r="AE191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91" s="74" t="str">
        <f t="shared" si="70"/>
        <v>"C:\Program Files (x86)\AstroGrep\AstroGrep.exe" /e /r /s /spath="%USERPROFILE%\AppData\Local\Temp\OnboardLogs" /stypes="app*4059*20170913*" /stext=" 22:.+((SYSTEM_STATE.+slice.+state.+changed )|(ment ac)|(multiple cpu faults)|(system.+state.+changed )|(\[timeout)|(PRM\|1\|D)|(kpr)|(kdp)|(train st.+moving)|(\|lc)|(penalty))"</v>
      </c>
      <c r="AG191" s="206" t="str">
        <f t="shared" si="71"/>
        <v>NW</v>
      </c>
      <c r="AH191" s="78" t="str">
        <f t="shared" si="72"/>
        <v>"%USERPROFILE%\Documents\GitHub\eaglep3\Utilities\RefineRTDCRunTimes.py" --tripid 830-13 --locoid 4059 --swversion DE.1.0.9.0 --startMP 300:58621 --initTime 2017-09-13T16:30:18 --startdatetime 2017-09-13T16:40:12 --delay 51 --endMP 204:727 --enddatetime 2017-09-13T16:54:53 --enforcementcount 0 &gt;&gt;C:\Users\stu\Documents\GitHub\eaglep3-reporting\EC\2017-09-13-refined-times.txt</v>
      </c>
      <c r="AI191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{"issue":{"subject":"","project_id":79,"tracker_id":40,"status_id":1,"priority_id":2,"assigned_to_id":338,"start_date":"2017-09-13","description":"","custom_fields":[{"id":1,"name":"Subdivision","value":"NW"},{"id":4,"name":"Milepost","value":"0.0727"},{"id":17,"name":"Train ID","value":"830-13"},{"id":16,"name":"Locomotive ID","value":"4059"},{"id":130,"name":"Impact","value":""},{"id":150,"name":"Time of Event (Mountain Time)","value":"16:54:53"},{"id":151,"name":"Denver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4"/>
        <v>start /low /b %USERPROFILE%\Documents\GitHub\eaglep3\Utilities\DownloadLogsFromS3.py --loco 4059 --day 2017-09-13</v>
      </c>
      <c r="AN191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774</v>
      </c>
      <c r="B192" s="7">
        <v>4026</v>
      </c>
      <c r="C192" s="21" t="s">
        <v>197</v>
      </c>
      <c r="D192" s="21" t="s">
        <v>445</v>
      </c>
      <c r="E192" s="13">
        <v>42991.691331018519</v>
      </c>
      <c r="F192" s="13">
        <v>42991.694293981483</v>
      </c>
      <c r="G192" s="7">
        <v>54</v>
      </c>
      <c r="H192" s="21" t="s">
        <v>575</v>
      </c>
      <c r="I192" s="13">
        <v>42991.703888888886</v>
      </c>
      <c r="J192" s="7">
        <v>0</v>
      </c>
      <c r="K192" s="89" t="str">
        <f t="shared" si="62"/>
        <v>4025/4026</v>
      </c>
      <c r="L192" s="214" t="str">
        <f>VLOOKUP(A192,'Trips&amp;Operators'!$C$1:$G$99911,5,FALSE)</f>
        <v>STAMBAUGH JAMES</v>
      </c>
      <c r="M192" s="6">
        <f t="shared" si="63"/>
        <v>9.594907402060926E-3</v>
      </c>
      <c r="N192" s="7">
        <f t="shared" si="95"/>
        <v>13.816666658967733</v>
      </c>
      <c r="O192" s="7"/>
      <c r="P192" s="7"/>
      <c r="Q192" s="22"/>
      <c r="R192" s="167" t="s">
        <v>1009</v>
      </c>
      <c r="S192" s="210">
        <f t="shared" si="96"/>
        <v>1</v>
      </c>
      <c r="T192" s="192" t="str">
        <f t="shared" si="64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65"/>
        <v>https://d0f6bd738d7f1b3e5a7ca70fe4ff75f0.us-east-1.aws.found.io/app/kibana#/discover/Steve-Slow-Train-Analysis-(2080s-and-2083s)?_g=(refreshInterval:(display:Off,pause:!f,section:0,value:0),time:(from:'2017-09-13T15:35:31-0600',mode:absolute,to:'2017-09-13T17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94" t="str">
        <f>IF(AA192&lt;VLOOKUP(AG192,Variables!$AC$3:$AD$8,2,FALSE),"Y","N")</f>
        <v>N</v>
      </c>
      <c r="X192" s="194">
        <f t="shared" si="94"/>
        <v>5</v>
      </c>
      <c r="Y192" s="194">
        <f t="shared" si="92"/>
        <v>9.6199999999999994E-2</v>
      </c>
      <c r="Z192" s="194">
        <f t="shared" si="93"/>
        <v>5.8949999999999996</v>
      </c>
      <c r="AA192" s="194">
        <f t="shared" si="67"/>
        <v>5.7988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 t="shared" si="68"/>
        <v>835</v>
      </c>
      <c r="AE192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92" s="74" t="str">
        <f t="shared" si="70"/>
        <v>"C:\Program Files (x86)\AstroGrep\AstroGrep.exe" /e /r /s /spath="%USERPROFILE%\AppData\Local\Temp\OnboardLogs" /stypes="app*4026*20170913*" /stext=" 22:.+((SYSTEM_STATE.+slice.+state.+changed )|(ment ac)|(multiple cpu faults)|(system.+state.+changed )|(\[timeout)|(PRM\|1\|D)|(kpr)|(kdp)|(train st.+moving)|(\|lc)|(penalty))"</v>
      </c>
      <c r="AG192" s="206" t="str">
        <f t="shared" si="71"/>
        <v>NW</v>
      </c>
      <c r="AH192" s="78" t="str">
        <f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835-13 --locoid 4026 --swversion DE.1.0.9.0 --startMP 204:962 --initTime 2017-09-13T16:35:31 --startdatetime 2017-09-13T16:39:47 --delay 54 --endMP 300:58950 --enddatetime 2017-09-13T16:53:36 --enforcementcount 0 &gt;&gt;C:\Users\stu\Documents\GitHub\eaglep3-reporting\EC\2017-09-13-refined-times.txt</v>
      </c>
      <c r="AI192" s="96" t="str">
        <f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{"issue":{"subject":"Should have selected 831-13","project_id":79,"tracker_id":40,"status_id":1,"priority_id":2,"assigned_to_id":338,"start_date":"2017-09-13","description":"","custom_fields":[{"id":1,"name":"Subdivision","value":"NW"},{"id":4,"name":"Milepost","value":"5.895"},{"id":17,"name":"Train ID","value":"835-13"},{"id":16,"name":"Locomotive ID","value":"4026"},{"id":130,"name":"Impact","value":""},{"id":150,"name":"Time of Event (Mountain Time)","value":"16:53:36"},{"id":151,"name":"Denver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>"start /low /b "&amp;dls3logs&amp;" --loco "&amp;B192&amp;" --day "&amp;TEXT(F192,"YYYY-MM-DD")</f>
        <v>start /low /b %USERPROFILE%\Documents\GitHub\eaglep3\Utilities\DownloadLogsFromS3.py --loco 4026 --day 2017-09-13</v>
      </c>
      <c r="AN192" s="151" t="str">
        <f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{"issue":{"subject":"Should have selected 831-13","project_id":30,"tracker_id":4,"status_id":1,"priority_id":1,"assigned_to_id":10,"start_date":"2017-09-13","description":"","custom_fields":[{"id":30,"name":"Category","value":"Issue"},{"id":3,"name":"Functional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779</v>
      </c>
      <c r="B193" s="7">
        <v>4025</v>
      </c>
      <c r="C193" s="21" t="s">
        <v>197</v>
      </c>
      <c r="D193" s="21" t="s">
        <v>576</v>
      </c>
      <c r="E193" s="13">
        <v>42991.704826388886</v>
      </c>
      <c r="F193" s="13">
        <v>42991.716296296298</v>
      </c>
      <c r="G193" s="7">
        <v>69</v>
      </c>
      <c r="H193" s="21" t="s">
        <v>969</v>
      </c>
      <c r="I193" s="13">
        <v>42991.725208333337</v>
      </c>
      <c r="J193" s="7">
        <v>0</v>
      </c>
      <c r="K193" s="89" t="str">
        <f t="shared" si="62"/>
        <v>4025/4026</v>
      </c>
      <c r="L193" s="214" t="str">
        <f>VLOOKUP(A193,'Trips&amp;Operators'!$C$1:$G$99911,5,FALSE)</f>
        <v>STAMBAUGH JAMES</v>
      </c>
      <c r="M193" s="6">
        <f t="shared" si="63"/>
        <v>8.9120370394084603E-3</v>
      </c>
      <c r="N193" s="7">
        <f t="shared" si="95"/>
        <v>12.833333336748183</v>
      </c>
      <c r="O193" s="7"/>
      <c r="P193" s="7"/>
      <c r="Q193" s="22"/>
      <c r="R193" s="167"/>
      <c r="S193" s="210">
        <f t="shared" si="96"/>
        <v>1</v>
      </c>
      <c r="T193" s="192" t="str">
        <f t="shared" si="64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65"/>
        <v>https://d0f6bd738d7f1b3e5a7ca70fe4ff75f0.us-east-1.aws.found.io/app/kibana#/discover/Steve-Slow-Train-Analysis-(2080s-and-2083s)?_g=(refreshInterval:(display:Off,pause:!f,section:0,value:0),time:(from:'2017-09-13T15:54:57-0600',mode:absolute,to:'2017-09-13T18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3" s="194" t="str">
        <f>IF(AA193&lt;VLOOKUP(AG193,Variables!$AC$3:$AD$8,2,FALSE),"Y","N")</f>
        <v>N</v>
      </c>
      <c r="X193" s="194">
        <f t="shared" si="94"/>
        <v>-3</v>
      </c>
      <c r="Y193" s="194">
        <f t="shared" si="92"/>
        <v>5.8635999999999999</v>
      </c>
      <c r="Z193" s="194">
        <f t="shared" si="93"/>
        <v>6.1699999999999998E-2</v>
      </c>
      <c r="AA193" s="194">
        <f t="shared" si="67"/>
        <v>5.8018999999999998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 t="shared" si="68"/>
        <v>832</v>
      </c>
      <c r="AE193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93" s="74" t="str">
        <f t="shared" si="70"/>
        <v>"C:\Program Files (x86)\AstroGrep\AstroGrep.exe" /e /r /s /spath="%USERPROFILE%\AppData\Local\Temp\OnboardLogs" /stypes="app*4025*20170913*" /stext=" 23:.+((SYSTEM_STATE.+slice.+state.+changed )|(ment ac)|(multiple cpu faults)|(system.+state.+changed )|(\[timeout)|(PRM\|1\|D)|(kpr)|(kdp)|(train st.+moving)|(\|lc)|(penalty))"</v>
      </c>
      <c r="AG193" s="206" t="str">
        <f t="shared" si="71"/>
        <v>NW</v>
      </c>
      <c r="AH193" s="78" t="str">
        <f t="shared" si="72"/>
        <v>"%USERPROFILE%\Documents\GitHub\eaglep3\Utilities\RefineRTDCRunTimes.py" --tripid 832-13 --locoid 4025 --swversion DE.1.0.9.0 --startMP 300:58636 --initTime 2017-09-13T16:54:57 --startdatetime 2017-09-13T17:11:28 --delay 69 --endMP 204:617 --enddatetime 2017-09-13T17:24:18 --enforcementcount 0 &gt;&gt;C:\Users\stu\Documents\GitHub\eaglep3-reporting\EC\2017-09-13-refined-times.txt</v>
      </c>
      <c r="AI193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{"issue":{"subject":"","project_id":79,"tracker_id":40,"status_id":1,"priority_id":2,"assigned_to_id":338,"start_date":"2017-09-13","description":"","custom_fields":[{"id":1,"name":"Subdivision","value":"NW"},{"id":4,"name":"Milepost","value":"0.0617"},{"id":17,"name":"Train ID","value":"832-13"},{"id":16,"name":"Locomotive ID","value":"4025"},{"id":130,"name":"Impact","value":""},{"id":150,"name":"Time of Event (Mountain Time)","value":"17:24:18"},{"id":151,"name":"Denver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4"/>
        <v>start /low /b %USERPROFILE%\Documents\GitHub\eaglep3\Utilities\DownloadLogsFromS3.py --loco 4025 --day 2017-09-13</v>
      </c>
      <c r="AN193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780</v>
      </c>
      <c r="B194" s="7">
        <v>4060</v>
      </c>
      <c r="C194" s="21" t="s">
        <v>197</v>
      </c>
      <c r="D194" s="21" t="s">
        <v>565</v>
      </c>
      <c r="E194" s="13">
        <v>42991.70685185185</v>
      </c>
      <c r="F194" s="13">
        <v>42991.714849537035</v>
      </c>
      <c r="G194" s="7">
        <v>69</v>
      </c>
      <c r="H194" s="21" t="s">
        <v>950</v>
      </c>
      <c r="I194" s="13">
        <v>42991.725682870368</v>
      </c>
      <c r="J194" s="7">
        <v>0</v>
      </c>
      <c r="K194" s="89" t="str">
        <f t="shared" si="62"/>
        <v>4059/4060</v>
      </c>
      <c r="L194" s="214" t="str">
        <f>VLOOKUP(A194,'Trips&amp;Operators'!$C$1:$G$99911,5,FALSE)</f>
        <v>LEVERE CRAIG</v>
      </c>
      <c r="M194" s="6">
        <f t="shared" si="63"/>
        <v>1.0833333333721384E-2</v>
      </c>
      <c r="N194" s="7">
        <f t="shared" si="95"/>
        <v>15.600000000558794</v>
      </c>
      <c r="O194" s="7"/>
      <c r="P194" s="7"/>
      <c r="Q194" s="22"/>
      <c r="R194" s="167"/>
      <c r="S194" s="210">
        <f t="shared" si="96"/>
        <v>1</v>
      </c>
      <c r="T194" s="192" t="str">
        <f t="shared" si="64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65"/>
        <v>https://d0f6bd738d7f1b3e5a7ca70fe4ff75f0.us-east-1.aws.found.io/app/kibana#/discover/Steve-Slow-Train-Analysis-(2080s-and-2083s)?_g=(refreshInterval:(display:Off,pause:!f,section:0,value:0),time:(from:'2017-09-13T15:57:52-0600',mode:absolute,to:'2017-09-13T18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194" t="str">
        <f>IF(AA194&lt;VLOOKUP(AG194,Variables!$AC$3:$AD$8,2,FALSE),"Y","N")</f>
        <v>N</v>
      </c>
      <c r="X194" s="194">
        <f t="shared" si="94"/>
        <v>1</v>
      </c>
      <c r="Y194" s="194">
        <f t="shared" si="92"/>
        <v>0.1</v>
      </c>
      <c r="Z194" s="194">
        <f t="shared" si="93"/>
        <v>5.8979999999999997</v>
      </c>
      <c r="AA194" s="194">
        <f t="shared" si="67"/>
        <v>5.798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 t="shared" si="68"/>
        <v>833</v>
      </c>
      <c r="AE194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94" s="74" t="str">
        <f t="shared" si="70"/>
        <v>"C:\Program Files (x86)\AstroGrep\AstroGrep.exe" /e /r /s /spath="%USERPROFILE%\AppData\Local\Temp\OnboardLogs" /stypes="app*4060*20170913*" /stext=" 23:.+((SYSTEM_STATE.+slice.+state.+changed )|(ment ac)|(multiple cpu faults)|(system.+state.+changed )|(\[timeout)|(PRM\|1\|D)|(kpr)|(kdp)|(train st.+moving)|(\|lc)|(penalty))"</v>
      </c>
      <c r="AG194" s="206" t="str">
        <f t="shared" si="71"/>
        <v>NW</v>
      </c>
      <c r="AH194" s="78" t="str">
        <f t="shared" si="72"/>
        <v>"%USERPROFILE%\Documents\GitHub\eaglep3\Utilities\RefineRTDCRunTimes.py" --tripid 833-13 --locoid 4060 --swversion DE.1.0.9.0 --startMP 204:1000 --initTime 2017-09-13T16:57:52 --startdatetime 2017-09-13T17:09:23 --delay 69 --endMP 300:58980 --enddatetime 2017-09-13T17:24:59 --enforcementcount 0 &gt;&gt;C:\Users\stu\Documents\GitHub\eaglep3-reporting\EC\2017-09-13-refined-times.txt</v>
      </c>
      <c r="AI194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{"issue":{"subject":"","project_id":79,"tracker_id":40,"status_id":1,"priority_id":2,"assigned_to_id":338,"start_date":"2017-09-13","description":"","custom_fields":[{"id":1,"name":"Subdivision","value":"NW"},{"id":4,"name":"Milepost","value":"5.898"},{"id":17,"name":"Train ID","value":"833-13"},{"id":16,"name":"Locomotive ID","value":"4060"},{"id":130,"name":"Impact","value":""},{"id":150,"name":"Time of Event (Mountain Time)","value":"17:24:59"},{"id":151,"name":"Denver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4"/>
        <v>start /low /b %USERPROFILE%\Documents\GitHub\eaglep3\Utilities\DownloadLogsFromS3.py --loco 4060 --day 2017-09-13</v>
      </c>
      <c r="AN194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787</v>
      </c>
      <c r="B195" s="7">
        <v>4059</v>
      </c>
      <c r="C195" s="21" t="s">
        <v>197</v>
      </c>
      <c r="D195" s="21" t="s">
        <v>970</v>
      </c>
      <c r="E195" s="13">
        <v>42991.727037037039</v>
      </c>
      <c r="F195" s="13">
        <v>42991.733715277776</v>
      </c>
      <c r="G195" s="7">
        <v>68</v>
      </c>
      <c r="H195" s="21" t="s">
        <v>971</v>
      </c>
      <c r="I195" s="13">
        <v>42991.746979166666</v>
      </c>
      <c r="J195" s="7">
        <v>0</v>
      </c>
      <c r="K195" s="89" t="str">
        <f t="shared" si="62"/>
        <v>4059/4060</v>
      </c>
      <c r="L195" s="214" t="str">
        <f>VLOOKUP(A195,'Trips&amp;Operators'!$C$1:$G$99911,5,FALSE)</f>
        <v>LEVERE CRAIG</v>
      </c>
      <c r="M195" s="6">
        <f t="shared" si="63"/>
        <v>1.3263888889923692E-2</v>
      </c>
      <c r="N195" s="7">
        <f t="shared" si="95"/>
        <v>19.100000001490116</v>
      </c>
      <c r="O195" s="7"/>
      <c r="P195" s="7"/>
      <c r="Q195" s="22"/>
      <c r="R195" s="167"/>
      <c r="S195" s="210">
        <f t="shared" si="96"/>
        <v>1</v>
      </c>
      <c r="T195" s="192" t="str">
        <f t="shared" si="64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65"/>
        <v>https://d0f6bd738d7f1b3e5a7ca70fe4ff75f0.us-east-1.aws.found.io/app/kibana#/discover/Steve-Slow-Train-Analysis-(2080s-and-2083s)?_g=(refreshInterval:(display:Off,pause:!f,section:0,value:0),time:(from:'2017-09-13T16:26:56-0600',mode:absolute,to:'2017-09-13T18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194" t="str">
        <f>IF(AA195&lt;VLOOKUP(AG195,Variables!$AC$3:$AD$8,2,FALSE),"Y","N")</f>
        <v>N</v>
      </c>
      <c r="X195" s="194">
        <f t="shared" si="94"/>
        <v>1</v>
      </c>
      <c r="Y195" s="194">
        <f t="shared" si="92"/>
        <v>5.8658000000000001</v>
      </c>
      <c r="Z195" s="194">
        <f t="shared" si="93"/>
        <v>7.0999999999999994E-2</v>
      </c>
      <c r="AA195" s="194">
        <f t="shared" si="67"/>
        <v>5.7948000000000004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 t="shared" si="68"/>
        <v>834</v>
      </c>
      <c r="AE195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95" s="74" t="str">
        <f t="shared" si="70"/>
        <v>"C:\Program Files (x86)\AstroGrep\AstroGrep.exe" /e /r /s /spath="%USERPROFILE%\AppData\Local\Temp\OnboardLogs" /stypes="app*4059*20170913*" /stext=" 23:.+((SYSTEM_STATE.+slice.+state.+changed )|(ment ac)|(multiple cpu faults)|(system.+state.+changed )|(\[timeout)|(PRM\|1\|D)|(kpr)|(kdp)|(train st.+moving)|(\|lc)|(penalty))"</v>
      </c>
      <c r="AG195" s="206" t="str">
        <f t="shared" si="71"/>
        <v>NW</v>
      </c>
      <c r="AH195" s="78" t="str">
        <f t="shared" si="72"/>
        <v>"%USERPROFILE%\Documents\GitHub\eaglep3\Utilities\RefineRTDCRunTimes.py" --tripid 834-13 --locoid 4059 --swversion DE.1.0.9.0 --startMP 300:58658 --initTime 2017-09-13T17:26:56 --startdatetime 2017-09-13T17:36:33 --delay 68 --endMP 204:710 --enddatetime 2017-09-13T17:55:39 --enforcementcount 0 &gt;&gt;C:\Users\stu\Documents\GitHub\eaglep3-reporting\EC\2017-09-13-refined-times.txt</v>
      </c>
      <c r="AI195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{"issue":{"subject":"","project_id":79,"tracker_id":40,"status_id":1,"priority_id":2,"assigned_to_id":338,"start_date":"2017-09-13","description":"","custom_fields":[{"id":1,"name":"Subdivision","value":"NW"},{"id":4,"name":"Milepost","value":"0.071"},{"id":17,"name":"Train ID","value":"834-13"},{"id":16,"name":"Locomotive ID","value":"4059"},{"id":130,"name":"Impact","value":""},{"id":150,"name":"Time of Event (Mountain Time)","value":"17:55:39"},{"id":151,"name":"Denver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4"/>
        <v>start /low /b %USERPROFILE%\Documents\GitHub\eaglep3\Utilities\DownloadLogsFromS3.py --loco 4059 --day 2017-09-13</v>
      </c>
      <c r="AN195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774</v>
      </c>
      <c r="B196" s="7">
        <v>4026</v>
      </c>
      <c r="C196" s="21" t="s">
        <v>197</v>
      </c>
      <c r="D196" s="21" t="s">
        <v>972</v>
      </c>
      <c r="E196" s="13">
        <v>42991.733935185184</v>
      </c>
      <c r="F196" s="13">
        <v>42991.735983796294</v>
      </c>
      <c r="G196" s="7">
        <v>56</v>
      </c>
      <c r="H196" s="21" t="s">
        <v>578</v>
      </c>
      <c r="I196" s="13">
        <v>42991.746041666665</v>
      </c>
      <c r="J196" s="7">
        <v>0</v>
      </c>
      <c r="K196" s="89" t="str">
        <f t="shared" si="62"/>
        <v>4025/4026</v>
      </c>
      <c r="L196" s="214" t="str">
        <f>VLOOKUP(A196,'Trips&amp;Operators'!$C$1:$G$99911,5,FALSE)</f>
        <v>STAMBAUGH JAMES</v>
      </c>
      <c r="M196" s="6">
        <f t="shared" si="63"/>
        <v>1.0057870371383615E-2</v>
      </c>
      <c r="N196" s="7">
        <f t="shared" si="95"/>
        <v>14.483333334792405</v>
      </c>
      <c r="O196" s="7"/>
      <c r="P196" s="7"/>
      <c r="Q196" s="22"/>
      <c r="R196" s="167"/>
      <c r="S196" s="210">
        <f t="shared" si="96"/>
        <v>1</v>
      </c>
      <c r="T196" s="192" t="str">
        <f t="shared" si="64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65"/>
        <v>https://d0f6bd738d7f1b3e5a7ca70fe4ff75f0.us-east-1.aws.found.io/app/kibana#/discover/Steve-Slow-Train-Analysis-(2080s-and-2083s)?_g=(refreshInterval:(display:Off,pause:!f,section:0,value:0),time:(from:'2017-09-13T16:36:52-0600',mode:absolute,to:'2017-09-13T18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6" s="194" t="str">
        <f>IF(AA196&lt;VLOOKUP(AG196,Variables!$AC$3:$AD$8,2,FALSE),"Y","N")</f>
        <v>N</v>
      </c>
      <c r="X196" s="194">
        <f t="shared" si="94"/>
        <v>1</v>
      </c>
      <c r="Y196" s="194">
        <f t="shared" si="92"/>
        <v>9.0399999999999994E-2</v>
      </c>
      <c r="Z196" s="194">
        <f t="shared" si="93"/>
        <v>5.8945999999999996</v>
      </c>
      <c r="AA196" s="194">
        <f t="shared" si="67"/>
        <v>5.8041999999999998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 t="shared" si="68"/>
        <v>835</v>
      </c>
      <c r="AE196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196" s="74" t="str">
        <f t="shared" si="70"/>
        <v>"C:\Program Files (x86)\AstroGrep\AstroGrep.exe" /e /r /s /spath="%USERPROFILE%\AppData\Local\Temp\OnboardLogs" /stypes="app*4026*20170913*" /stext=" 23:.+((SYSTEM_STATE.+slice.+state.+changed )|(ment ac)|(multiple cpu faults)|(system.+state.+changed )|(\[timeout)|(PRM\|1\|D)|(kpr)|(kdp)|(train st.+moving)|(\|lc)|(penalty))"</v>
      </c>
      <c r="AG196" s="206" t="str">
        <f t="shared" si="71"/>
        <v>NW</v>
      </c>
      <c r="AH196" s="78" t="str">
        <f t="shared" si="72"/>
        <v>"%USERPROFILE%\Documents\GitHub\eaglep3\Utilities\RefineRTDCRunTimes.py" --tripid 835-13 --locoid 4026 --swversion DE.1.0.9.0 --startMP 204:904 --initTime 2017-09-13T17:36:52 --startdatetime 2017-09-13T17:39:49 --delay 56 --endMP 300:58946 --enddatetime 2017-09-13T17:54:18 --enforcementcount 0 &gt;&gt;C:\Users\stu\Documents\GitHub\eaglep3-reporting\EC\2017-09-13-refined-times.txt</v>
      </c>
      <c r="AI196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{"issue":{"subject":"","project_id":79,"tracker_id":40,"status_id":1,"priority_id":2,"assigned_to_id":338,"start_date":"2017-09-13","description":"","custom_fields":[{"id":1,"name":"Subdivision","value":"NW"},{"id":4,"name":"Milepost","value":"5.8946"},{"id":17,"name":"Train ID","value":"835-13"},{"id":16,"name":"Locomotive ID","value":"4026"},{"id":130,"name":"Impact","value":""},{"id":150,"name":"Time of Event (Mountain Time)","value":"17:54:18"},{"id":151,"name":"Denver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4"/>
        <v>start /low /b %USERPROFILE%\Documents\GitHub\eaglep3\Utilities\DownloadLogsFromS3.py --loco 4026 --day 2017-09-13</v>
      </c>
      <c r="AN196" s="151" t="str">
        <f t="shared" si="7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793</v>
      </c>
      <c r="B197" s="7">
        <v>4025</v>
      </c>
      <c r="C197" s="21" t="s">
        <v>197</v>
      </c>
      <c r="D197" s="21" t="s">
        <v>576</v>
      </c>
      <c r="E197" s="13">
        <v>42991.747291666667</v>
      </c>
      <c r="F197" s="13">
        <v>42991.758113425924</v>
      </c>
      <c r="G197" s="7">
        <v>110</v>
      </c>
      <c r="H197" s="21" t="s">
        <v>973</v>
      </c>
      <c r="I197" s="13">
        <v>42991.766898148147</v>
      </c>
      <c r="J197" s="7">
        <v>0</v>
      </c>
      <c r="K197" s="89" t="str">
        <f t="shared" si="62"/>
        <v>4025/4026</v>
      </c>
      <c r="L197" s="214" t="str">
        <f>VLOOKUP(A197,'Trips&amp;Operators'!$C$1:$G$99911,5,FALSE)</f>
        <v>STAMBAUGH JAMES</v>
      </c>
      <c r="M197" s="6">
        <f t="shared" si="63"/>
        <v>8.7847222239361145E-3</v>
      </c>
      <c r="N197" s="7">
        <f t="shared" si="95"/>
        <v>12.650000002468005</v>
      </c>
      <c r="O197" s="7"/>
      <c r="P197" s="7"/>
      <c r="Q197" s="22"/>
      <c r="R197" s="167"/>
      <c r="S197" s="210">
        <f t="shared" si="96"/>
        <v>1</v>
      </c>
      <c r="T197" s="192" t="str">
        <f t="shared" si="64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65"/>
        <v>https://d0f6bd738d7f1b3e5a7ca70fe4ff75f0.us-east-1.aws.found.io/app/kibana#/discover/Steve-Slow-Train-Analysis-(2080s-and-2083s)?_g=(refreshInterval:(display:Off,pause:!f,section:0,value:0),time:(from:'2017-09-13T16:56:06-0600',mode:absolute,to:'2017-09-13T19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7" s="194" t="str">
        <f>IF(AA197&lt;VLOOKUP(AG197,Variables!$AC$3:$AD$8,2,FALSE),"Y","N")</f>
        <v>N</v>
      </c>
      <c r="X197" s="194">
        <f t="shared" si="94"/>
        <v>1</v>
      </c>
      <c r="Y197" s="194">
        <f t="shared" si="92"/>
        <v>5.8635999999999999</v>
      </c>
      <c r="Z197" s="194">
        <f t="shared" si="93"/>
        <v>6.7299999999999999E-2</v>
      </c>
      <c r="AA197" s="194">
        <f t="shared" si="67"/>
        <v>5.7962999999999996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 t="shared" si="68"/>
        <v>836</v>
      </c>
      <c r="AE197" s="77" t="str">
        <f t="shared" si="69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197" s="74" t="str">
        <f t="shared" si="70"/>
        <v>"C:\Program Files (x86)\AstroGrep\AstroGrep.exe" /e /r /s /spath="%USERPROFILE%\AppData\Local\Temp\OnboardLogs" /stypes="app*4025*20170914*" /stext=" 00:.+((SYSTEM_STATE.+slice.+state.+changed )|(ment ac)|(multiple cpu faults)|(system.+state.+changed )|(\[timeout)|(PRM\|1\|D)|(kpr)|(kdp)|(train st.+moving)|(\|lc)|(penalty))"</v>
      </c>
      <c r="AG197" s="206" t="str">
        <f t="shared" si="71"/>
        <v>NW</v>
      </c>
      <c r="AH197" s="78" t="str">
        <f t="shared" si="72"/>
        <v>"%USERPROFILE%\Documents\GitHub\eaglep3\Utilities\RefineRTDCRunTimes.py" --tripid 836-13 --locoid 4025 --swversion DE.1.0.9.0 --startMP 300:58636 --initTime 2017-09-13T17:56:06 --startdatetime 2017-09-13T18:11:41 --delay 110 --endMP 204:673 --enddatetime 2017-09-13T18:24:20 --enforcementcount 0 &gt;&gt;C:\Users\stu\Documents\GitHub\eaglep3-reporting\EC\2017-09-13-refined-times.txt</v>
      </c>
      <c r="AI197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{"issue":{"subject":"","project_id":79,"tracker_id":40,"status_id":1,"priority_id":2,"assigned_to_id":338,"start_date":"2017-09-13","description":"","custom_fields":[{"id":1,"name":"Subdivision","value":"NW"},{"id":4,"name":"Milepost","value":"0.0673"},{"id":17,"name":"Train ID","value":"836-13"},{"id":16,"name":"Locomotive ID","value":"4025"},{"id":130,"name":"Impact","value":""},{"id":150,"name":"Time of Event (Mountain Time)","value":"18:24:20"},{"id":151,"name":"Denver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4"/>
        <v>start /low /b %USERPROFILE%\Documents\GitHub\eaglep3\Utilities\DownloadLogsFromS3.py --loco 4025 --day 2017-09-13</v>
      </c>
      <c r="AN197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794</v>
      </c>
      <c r="B198" s="7">
        <v>4060</v>
      </c>
      <c r="C198" s="21" t="s">
        <v>197</v>
      </c>
      <c r="D198" s="21" t="s">
        <v>974</v>
      </c>
      <c r="E198" s="13">
        <v>42991.752615740741</v>
      </c>
      <c r="F198" s="13">
        <v>42991.756481481483</v>
      </c>
      <c r="G198" s="7">
        <v>69</v>
      </c>
      <c r="H198" s="21" t="s">
        <v>975</v>
      </c>
      <c r="I198" s="13">
        <v>42991.767766203702</v>
      </c>
      <c r="J198" s="7">
        <v>0</v>
      </c>
      <c r="K198" s="89" t="str">
        <f t="shared" si="62"/>
        <v>4059/4060</v>
      </c>
      <c r="L198" s="214" t="str">
        <f>VLOOKUP(A198,'Trips&amp;Operators'!$C$1:$G$99911,5,FALSE)</f>
        <v>LEVERE CRAIG</v>
      </c>
      <c r="M198" s="6">
        <f t="shared" si="63"/>
        <v>1.1284722218988463E-2</v>
      </c>
      <c r="N198" s="7">
        <f t="shared" si="95"/>
        <v>16.249999995343387</v>
      </c>
      <c r="O198" s="7"/>
      <c r="P198" s="7"/>
      <c r="Q198" s="22"/>
      <c r="R198" s="167"/>
      <c r="S198" s="210">
        <f t="shared" si="96"/>
        <v>1</v>
      </c>
      <c r="T198" s="192" t="str">
        <f t="shared" si="64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65"/>
        <v>https://d0f6bd738d7f1b3e5a7ca70fe4ff75f0.us-east-1.aws.found.io/app/kibana#/discover/Steve-Slow-Train-Analysis-(2080s-and-2083s)?_g=(refreshInterval:(display:Off,pause:!f,section:0,value:0),time:(from:'2017-09-13T17:03:46-0600',mode:absolute,to:'2017-09-13T19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194" t="str">
        <f>IF(AA198&lt;VLOOKUP(AG198,Variables!$AC$3:$AD$8,2,FALSE),"Y","N")</f>
        <v>N</v>
      </c>
      <c r="X198" s="194">
        <f t="shared" si="94"/>
        <v>1</v>
      </c>
      <c r="Y198" s="194">
        <f t="shared" si="92"/>
        <v>9.8599999999999993E-2</v>
      </c>
      <c r="Z198" s="194">
        <f t="shared" si="93"/>
        <v>5.8978000000000002</v>
      </c>
      <c r="AA198" s="194">
        <f t="shared" si="67"/>
        <v>5.7991999999999999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 t="shared" si="68"/>
        <v>837</v>
      </c>
      <c r="AE198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198" s="74" t="str">
        <f t="shared" si="70"/>
        <v>"C:\Program Files (x86)\AstroGrep\AstroGrep.exe" /e /r /s /spath="%USERPROFILE%\AppData\Local\Temp\OnboardLogs" /stypes="app*4060*20170914*" /stext=" 00:.+((SYSTEM_STATE.+slice.+state.+changed )|(ment ac)|(multiple cpu faults)|(system.+state.+changed )|(\[timeout)|(PRM\|1\|D)|(kpr)|(kdp)|(train st.+moving)|(\|lc)|(penalty))"</v>
      </c>
      <c r="AG198" s="206" t="str">
        <f t="shared" si="71"/>
        <v>NW</v>
      </c>
      <c r="AH198" s="78" t="str">
        <f t="shared" si="72"/>
        <v>"%USERPROFILE%\Documents\GitHub\eaglep3\Utilities\RefineRTDCRunTimes.py" --tripid 837-13 --locoid 4060 --swversion DE.1.0.9.0 --startMP 204:986 --initTime 2017-09-13T18:03:46 --startdatetime 2017-09-13T18:09:20 --delay 69 --endMP 300:58978 --enddatetime 2017-09-13T18:25:35 --enforcementcount 0 &gt;&gt;C:\Users\stu\Documents\GitHub\eaglep3-reporting\EC\2017-09-13-refined-times.txt</v>
      </c>
      <c r="AI198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{"issue":{"subject":"","project_id":79,"tracker_id":40,"status_id":1,"priority_id":2,"assigned_to_id":338,"start_date":"2017-09-13","description":"","custom_fields":[{"id":1,"name":"Subdivision","value":"NW"},{"id":4,"name":"Milepost","value":"5.8978"},{"id":17,"name":"Train ID","value":"837-13"},{"id":16,"name":"Locomotive ID","value":"4060"},{"id":130,"name":"Impact","value":""},{"id":150,"name":"Time of Event (Mountain Time)","value":"18:25:35"},{"id":151,"name":"Denver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4"/>
        <v>start /low /b %USERPROFILE%\Documents\GitHub\eaglep3\Utilities\DownloadLogsFromS3.py --loco 4060 --day 2017-09-13</v>
      </c>
      <c r="AN198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800</v>
      </c>
      <c r="B199" s="7">
        <v>4059</v>
      </c>
      <c r="C199" s="21" t="s">
        <v>197</v>
      </c>
      <c r="D199" s="21" t="s">
        <v>956</v>
      </c>
      <c r="E199" s="13">
        <v>42991.769409722219</v>
      </c>
      <c r="F199" s="13">
        <v>42991.776203703703</v>
      </c>
      <c r="G199" s="7">
        <v>59</v>
      </c>
      <c r="H199" s="21" t="s">
        <v>509</v>
      </c>
      <c r="I199" s="13">
        <v>42991.790601851855</v>
      </c>
      <c r="J199" s="7">
        <v>0</v>
      </c>
      <c r="K199" s="89" t="str">
        <f t="shared" si="62"/>
        <v>4059/4060</v>
      </c>
      <c r="L199" s="214" t="str">
        <f>VLOOKUP(A199,'Trips&amp;Operators'!$C$1:$G$99911,5,FALSE)</f>
        <v>LEVERE CRAIG</v>
      </c>
      <c r="M199" s="6">
        <f t="shared" si="63"/>
        <v>1.4398148152395152E-2</v>
      </c>
      <c r="N199" s="7">
        <f t="shared" si="95"/>
        <v>20.733333339449018</v>
      </c>
      <c r="O199" s="7"/>
      <c r="P199" s="7"/>
      <c r="Q199" s="22"/>
      <c r="R199" s="167"/>
      <c r="S199" s="210">
        <f t="shared" si="96"/>
        <v>1</v>
      </c>
      <c r="T199" s="192" t="str">
        <f t="shared" si="64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65"/>
        <v>https://d0f6bd738d7f1b3e5a7ca70fe4ff75f0.us-east-1.aws.found.io/app/kibana#/discover/Steve-Slow-Train-Analysis-(2080s-and-2083s)?_g=(refreshInterval:(display:Off,pause:!f,section:0,value:0),time:(from:'2017-09-13T17:27:57-0600',mode:absolute,to:'2017-09-13T19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9" s="194" t="str">
        <f>IF(AA199&lt;VLOOKUP(AG199,Variables!$AC$3:$AD$8,2,FALSE),"Y","N")</f>
        <v>N</v>
      </c>
      <c r="X199" s="194">
        <f t="shared" si="94"/>
        <v>1</v>
      </c>
      <c r="Y199" s="194">
        <f t="shared" si="92"/>
        <v>5.8662000000000001</v>
      </c>
      <c r="Z199" s="194">
        <f t="shared" si="93"/>
        <v>6.8000000000000005E-2</v>
      </c>
      <c r="AA199" s="194">
        <f t="shared" si="67"/>
        <v>5.7982000000000005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 t="shared" si="68"/>
        <v>838</v>
      </c>
      <c r="AE199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199" s="74" t="str">
        <f t="shared" si="70"/>
        <v>"C:\Program Files (x86)\AstroGrep\AstroGrep.exe" /e /r /s /spath="%USERPROFILE%\AppData\Local\Temp\OnboardLogs" /stypes="app*4059*20170914*" /stext=" 00:.+((SYSTEM_STATE.+slice.+state.+changed )|(ment ac)|(multiple cpu faults)|(system.+state.+changed )|(\[timeout)|(PRM\|1\|D)|(kpr)|(kdp)|(train st.+moving)|(\|lc)|(penalty))"</v>
      </c>
      <c r="AG199" s="206" t="str">
        <f t="shared" si="71"/>
        <v>NW</v>
      </c>
      <c r="AH199" s="78" t="str">
        <f t="shared" si="72"/>
        <v>"%USERPROFILE%\Documents\GitHub\eaglep3\Utilities\RefineRTDCRunTimes.py" --tripid 838-13 --locoid 4059 --swversion DE.1.0.9.0 --startMP 300:58662 --initTime 2017-09-13T18:27:57 --startdatetime 2017-09-13T18:37:44 --delay 59 --endMP 204:680 --enddatetime 2017-09-13T18:58:28 --enforcementcount 0 &gt;&gt;C:\Users\stu\Documents\GitHub\eaglep3-reporting\EC\2017-09-13-refined-times.txt</v>
      </c>
      <c r="AI199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{"issue":{"subject":"","project_id":79,"tracker_id":40,"status_id":1,"priority_id":2,"assigned_to_id":338,"start_date":"2017-09-13","description":"","custom_fields":[{"id":1,"name":"Subdivision","value":"NW"},{"id":4,"name":"Milepost","value":"0.068"},{"id":17,"name":"Train ID","value":"838-13"},{"id":16,"name":"Locomotive ID","value":"4059"},{"id":130,"name":"Impact","value":""},{"id":150,"name":"Time of Event (Mountain Time)","value":"18:58:28"},{"id":151,"name":"Denver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4"/>
        <v>start /low /b %USERPROFILE%\Documents\GitHub\eaglep3\Utilities\DownloadLogsFromS3.py --loco 4059 --day 2017-09-13</v>
      </c>
      <c r="AN199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801</v>
      </c>
      <c r="B200" s="7">
        <v>4026</v>
      </c>
      <c r="C200" s="21" t="s">
        <v>197</v>
      </c>
      <c r="D200" s="21" t="s">
        <v>976</v>
      </c>
      <c r="E200" s="13">
        <v>42991.775717592594</v>
      </c>
      <c r="F200" s="13">
        <v>42991.777604166666</v>
      </c>
      <c r="G200" s="7">
        <v>47</v>
      </c>
      <c r="H200" s="21" t="s">
        <v>575</v>
      </c>
      <c r="I200" s="13">
        <v>42991.787349537037</v>
      </c>
      <c r="J200" s="7">
        <v>0</v>
      </c>
      <c r="K200" s="89" t="str">
        <f t="shared" si="62"/>
        <v>4025/4026</v>
      </c>
      <c r="L200" s="214" t="str">
        <f>VLOOKUP(A200,'Trips&amp;Operators'!$C$1:$G$99911,5,FALSE)</f>
        <v>STAMBAUGH JAMES</v>
      </c>
      <c r="M200" s="6">
        <f t="shared" si="63"/>
        <v>9.7453703710925765E-3</v>
      </c>
      <c r="N200" s="7">
        <f t="shared" si="95"/>
        <v>14.03333333437331</v>
      </c>
      <c r="O200" s="7"/>
      <c r="P200" s="7"/>
      <c r="Q200" s="22"/>
      <c r="R200" s="167"/>
      <c r="S200" s="210">
        <f t="shared" si="96"/>
        <v>1</v>
      </c>
      <c r="T200" s="192" t="str">
        <f t="shared" si="64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65"/>
        <v>https://d0f6bd738d7f1b3e5a7ca70fe4ff75f0.us-east-1.aws.found.io/app/kibana#/discover/Steve-Slow-Train-Analysis-(2080s-and-2083s)?_g=(refreshInterval:(display:Off,pause:!f,section:0,value:0),time:(from:'2017-09-13T17:37:02-0600',mode:absolute,to:'2017-09-13T19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194" t="str">
        <f>IF(AA200&lt;VLOOKUP(AG200,Variables!$AC$3:$AD$8,2,FALSE),"Y","N")</f>
        <v>N</v>
      </c>
      <c r="X200" s="194">
        <f t="shared" si="94"/>
        <v>1</v>
      </c>
      <c r="Y200" s="194">
        <f t="shared" si="92"/>
        <v>9.5500000000000002E-2</v>
      </c>
      <c r="Z200" s="194">
        <f t="shared" si="93"/>
        <v>5.8949999999999996</v>
      </c>
      <c r="AA200" s="194">
        <f t="shared" si="67"/>
        <v>5.7994999999999992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 t="shared" si="68"/>
        <v>839</v>
      </c>
      <c r="AE200" s="77" t="str">
        <f t="shared" si="69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200" s="74" t="str">
        <f t="shared" si="70"/>
        <v>"C:\Program Files (x86)\AstroGrep\AstroGrep.exe" /e /r /s /spath="%USERPROFILE%\AppData\Local\Temp\OnboardLogs" /stypes="app*4026*20170914*" /stext=" 00:.+((SYSTEM_STATE.+slice.+state.+changed )|(ment ac)|(multiple cpu faults)|(system.+state.+changed )|(\[timeout)|(PRM\|1\|D)|(kpr)|(kdp)|(train st.+moving)|(\|lc)|(penalty))"</v>
      </c>
      <c r="AG200" s="206" t="str">
        <f t="shared" si="71"/>
        <v>NW</v>
      </c>
      <c r="AH200" s="78" t="str">
        <f t="shared" si="72"/>
        <v>"%USERPROFILE%\Documents\GitHub\eaglep3\Utilities\RefineRTDCRunTimes.py" --tripid 839-13 --locoid 4026 --swversion DE.1.0.9.0 --startMP 204:955 --initTime 2017-09-13T18:37:02 --startdatetime 2017-09-13T18:39:45 --delay 47 --endMP 300:58950 --enddatetime 2017-09-13T18:53:47 --enforcementcount 0 &gt;&gt;C:\Users\stu\Documents\GitHub\eaglep3-reporting\EC\2017-09-13-refined-times.txt</v>
      </c>
      <c r="AI200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{"issue":{"subject":"","project_id":79,"tracker_id":40,"status_id":1,"priority_id":2,"assigned_to_id":338,"start_date":"2017-09-13","description":"","custom_fields":[{"id":1,"name":"Subdivision","value":"NW"},{"id":4,"name":"Milepost","value":"5.895"},{"id":17,"name":"Train ID","value":"839-13"},{"id":16,"name":"Locomotive ID","value":"4026"},{"id":130,"name":"Impact","value":""},{"id":150,"name":"Time of Event (Mountain Time)","value":"18:53:47"},{"id":151,"name":"Denver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4"/>
        <v>start /low /b %USERPROFILE%\Documents\GitHub\eaglep3\Utilities\DownloadLogsFromS3.py --loco 4026 --day 2017-09-13</v>
      </c>
      <c r="AN200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810</v>
      </c>
      <c r="B201" s="7">
        <v>4059</v>
      </c>
      <c r="C201" s="21" t="s">
        <v>197</v>
      </c>
      <c r="D201" s="21" t="s">
        <v>951</v>
      </c>
      <c r="E201" s="13">
        <v>42991.812835648147</v>
      </c>
      <c r="F201" s="13">
        <v>42991.817488425928</v>
      </c>
      <c r="G201" s="7">
        <v>62</v>
      </c>
      <c r="H201" s="21" t="s">
        <v>510</v>
      </c>
      <c r="I201" s="13">
        <v>42991.830648148149</v>
      </c>
      <c r="J201" s="7">
        <v>0</v>
      </c>
      <c r="K201" s="89" t="str">
        <f t="shared" si="62"/>
        <v>4059/4060</v>
      </c>
      <c r="L201" s="214" t="str">
        <f>VLOOKUP(A201,'Trips&amp;Operators'!$C$1:$G$99911,5,FALSE)</f>
        <v>LEVERE CRAIG</v>
      </c>
      <c r="M201" s="6">
        <f t="shared" si="63"/>
        <v>1.3159722220734693E-2</v>
      </c>
      <c r="N201" s="7">
        <f t="shared" si="95"/>
        <v>18.949999997857958</v>
      </c>
      <c r="O201" s="7"/>
      <c r="P201" s="7"/>
      <c r="Q201" s="22"/>
      <c r="R201" s="167"/>
      <c r="S201" s="210">
        <f t="shared" si="96"/>
        <v>1</v>
      </c>
      <c r="T201" s="192" t="str">
        <f t="shared" si="64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65"/>
        <v>https://d0f6bd738d7f1b3e5a7ca70fe4ff75f0.us-east-1.aws.found.io/app/kibana#/discover/Steve-Slow-Train-Analysis-(2080s-and-2083s)?_g=(refreshInterval:(display:Off,pause:!f,section:0,value:0),time:(from:'2017-09-13T18:30:29-0600',mode:absolute,to:'2017-09-13T20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194" t="str">
        <f>IF(AA201&lt;VLOOKUP(AG201,Variables!$AC$3:$AD$8,2,FALSE),"Y","N")</f>
        <v>N</v>
      </c>
      <c r="X201" s="194">
        <f t="shared" si="94"/>
        <v>1</v>
      </c>
      <c r="Y201" s="194">
        <f t="shared" si="92"/>
        <v>5.8663999999999996</v>
      </c>
      <c r="Z201" s="194">
        <f t="shared" si="93"/>
        <v>6.9400000000000003E-2</v>
      </c>
      <c r="AA201" s="194">
        <f t="shared" si="67"/>
        <v>5.7969999999999997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 t="shared" si="68"/>
        <v>840</v>
      </c>
      <c r="AE201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01" s="74" t="str">
        <f t="shared" si="70"/>
        <v>"C:\Program Files (x86)\AstroGrep\AstroGrep.exe" /e /r /s /spath="%USERPROFILE%\AppData\Local\Temp\OnboardLogs" /stypes="app*4059*20170914*" /stext=" 01:.+((SYSTEM_STATE.+slice.+state.+changed )|(ment ac)|(multiple cpu faults)|(system.+state.+changed )|(\[timeout)|(PRM\|1\|D)|(kpr)|(kdp)|(train st.+moving)|(\|lc)|(penalty))"</v>
      </c>
      <c r="AG201" s="206" t="str">
        <f t="shared" si="71"/>
        <v>NW</v>
      </c>
      <c r="AH201" s="78" t="str">
        <f t="shared" si="72"/>
        <v>"%USERPROFILE%\Documents\GitHub\eaglep3\Utilities\RefineRTDCRunTimes.py" --tripid 840-13 --locoid 4059 --swversion DE.1.0.9.0 --startMP 300:58664 --initTime 2017-09-13T19:30:29 --startdatetime 2017-09-13T19:37:11 --delay 62 --endMP 204:694 --enddatetime 2017-09-13T19:56:08 --enforcementcount 0 &gt;&gt;C:\Users\stu\Documents\GitHub\eaglep3-reporting\EC\2017-09-13-refined-times.txt</v>
      </c>
      <c r="AI201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{"issue":{"subject":"","project_id":79,"tracker_id":40,"status_id":1,"priority_id":2,"assigned_to_id":338,"start_date":"2017-09-13","description":"","custom_fields":[{"id":1,"name":"Subdivision","value":"NW"},{"id":4,"name":"Milepost","value":"0.0694"},{"id":17,"name":"Train ID","value":"840-13"},{"id":16,"name":"Locomotive ID","value":"4059"},{"id":130,"name":"Impact","value":""},{"id":150,"name":"Time of Event (Mountain Time)","value":"19:56:08"},{"id":151,"name":"Denver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4"/>
        <v>start /low /b %USERPROFILE%\Documents\GitHub\eaglep3\Utilities\DownloadLogsFromS3.py --loco 4059 --day 2017-09-13</v>
      </c>
      <c r="AN201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806</v>
      </c>
      <c r="B202" s="7">
        <v>4060</v>
      </c>
      <c r="C202" s="21" t="s">
        <v>197</v>
      </c>
      <c r="D202" s="21" t="s">
        <v>508</v>
      </c>
      <c r="E202" s="13">
        <v>42991.79619212963</v>
      </c>
      <c r="F202" s="13">
        <v>42991.798159722224</v>
      </c>
      <c r="G202" s="7">
        <v>63</v>
      </c>
      <c r="H202" s="21" t="s">
        <v>953</v>
      </c>
      <c r="I202" s="13">
        <v>42991.808865740742</v>
      </c>
      <c r="J202" s="7">
        <v>0</v>
      </c>
      <c r="K202" s="89" t="str">
        <f t="shared" si="62"/>
        <v>4059/4060</v>
      </c>
      <c r="L202" s="214" t="str">
        <f>VLOOKUP(A202,'Trips&amp;Operators'!$C$1:$G$99911,5,FALSE)</f>
        <v>LEVERE CRAIG</v>
      </c>
      <c r="M202" s="6">
        <f t="shared" si="63"/>
        <v>1.0706018518249039E-2</v>
      </c>
      <c r="N202" s="7">
        <f t="shared" si="95"/>
        <v>15.416666666278616</v>
      </c>
      <c r="O202" s="7"/>
      <c r="P202" s="7"/>
      <c r="Q202" s="22"/>
      <c r="R202" s="167"/>
      <c r="S202" s="210">
        <f t="shared" si="96"/>
        <v>1</v>
      </c>
      <c r="T202" s="192" t="str">
        <f t="shared" si="64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65"/>
        <v>https://d0f6bd738d7f1b3e5a7ca70fe4ff75f0.us-east-1.aws.found.io/app/kibana#/discover/Steve-Slow-Train-Analysis-(2080s-and-2083s)?_g=(refreshInterval:(display:Off,pause:!f,section:0,value:0),time:(from:'2017-09-13T18:06:31-0600',mode:absolute,to:'2017-09-13T20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2" s="194" t="str">
        <f>IF(AA202&lt;VLOOKUP(AG202,Variables!$AC$3:$AD$8,2,FALSE),"Y","N")</f>
        <v>N</v>
      </c>
      <c r="X202" s="194">
        <f t="shared" ref="X202:X249" si="97">VALUE(LEFT(AD202,4))-VALUE(LEFT(AD201,4))</f>
        <v>1</v>
      </c>
      <c r="Y202" s="194">
        <f t="shared" si="92"/>
        <v>9.69E-2</v>
      </c>
      <c r="Z202" s="194">
        <f t="shared" si="93"/>
        <v>5.8975999999999997</v>
      </c>
      <c r="AA202" s="194">
        <f t="shared" si="67"/>
        <v>5.8007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 t="shared" si="68"/>
        <v>841</v>
      </c>
      <c r="AE202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202" s="74" t="str">
        <f t="shared" si="70"/>
        <v>"C:\Program Files (x86)\AstroGrep\AstroGrep.exe" /e /r /s /spath="%USERPROFILE%\AppData\Local\Temp\OnboardLogs" /stypes="app*4060*20170914*" /stext=" 01:.+((SYSTEM_STATE.+slice.+state.+changed )|(ment ac)|(multiple cpu faults)|(system.+state.+changed )|(\[timeout)|(PRM\|1\|D)|(kpr)|(kdp)|(train st.+moving)|(\|lc)|(penalty))"</v>
      </c>
      <c r="AG202" s="206" t="str">
        <f t="shared" si="71"/>
        <v>NW</v>
      </c>
      <c r="AH202" s="78" t="str">
        <f t="shared" si="72"/>
        <v>"%USERPROFILE%\Documents\GitHub\eaglep3\Utilities\RefineRTDCRunTimes.py" --tripid 841-13 --locoid 4060 --swversion DE.1.0.9.0 --startMP 204:969 --initTime 2017-09-13T19:06:31 --startdatetime 2017-09-13T19:09:21 --delay 63 --endMP 300:58976 --enddatetime 2017-09-13T19:24:46 --enforcementcount 0 &gt;&gt;C:\Users\stu\Documents\GitHub\eaglep3-reporting\EC\2017-09-13-refined-times.txt</v>
      </c>
      <c r="AI202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{"issue":{"subject":"","project_id":79,"tracker_id":40,"status_id":1,"priority_id":2,"assigned_to_id":338,"start_date":"2017-09-13","description":"","custom_fields":[{"id":1,"name":"Subdivision","value":"NW"},{"id":4,"name":"Milepost","value":"5.8976"},{"id":17,"name":"Train ID","value":"841-13"},{"id":16,"name":"Locomotive ID","value":"4060"},{"id":130,"name":"Impact","value":""},{"id":150,"name":"Time of Event (Mountain Time)","value":"19:24:46"},{"id":151,"name":"Denver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4"/>
        <v>start /low /b %USERPROFILE%\Documents\GitHub\eaglep3\Utilities\DownloadLogsFromS3.py --loco 4060 --day 2017-09-13</v>
      </c>
      <c r="AN202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817</v>
      </c>
      <c r="B203" s="7">
        <v>4059</v>
      </c>
      <c r="C203" s="21" t="s">
        <v>197</v>
      </c>
      <c r="D203" s="21" t="s">
        <v>977</v>
      </c>
      <c r="E203" s="13">
        <v>42991.852013888885</v>
      </c>
      <c r="F203" s="13">
        <v>42991.863252314812</v>
      </c>
      <c r="G203" s="7">
        <v>60</v>
      </c>
      <c r="H203" s="21" t="s">
        <v>978</v>
      </c>
      <c r="I203" s="13">
        <v>42991.872141203705</v>
      </c>
      <c r="J203" s="7">
        <v>0</v>
      </c>
      <c r="K203" s="89" t="str">
        <f t="shared" si="62"/>
        <v>4059/4060</v>
      </c>
      <c r="L203" s="214" t="str">
        <f>VLOOKUP(A203,'Trips&amp;Operators'!$C$1:$G$99911,5,FALSE)</f>
        <v>LEVERE CRAIG</v>
      </c>
      <c r="M203" s="6">
        <f t="shared" si="63"/>
        <v>8.8888888931251131E-3</v>
      </c>
      <c r="N203" s="7">
        <f t="shared" si="95"/>
        <v>12.800000006100163</v>
      </c>
      <c r="O203" s="7"/>
      <c r="P203" s="7"/>
      <c r="Q203" s="22"/>
      <c r="R203" s="167"/>
      <c r="S203" s="210">
        <f t="shared" si="96"/>
        <v>1</v>
      </c>
      <c r="T203" s="192" t="str">
        <f t="shared" si="64"/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65"/>
        <v>https://d0f6bd738d7f1b3e5a7ca70fe4ff75f0.us-east-1.aws.found.io/app/kibana#/discover/Steve-Slow-Train-Analysis-(2080s-and-2083s)?_g=(refreshInterval:(display:Off,pause:!f,section:0,value:0),time:(from:'2017-09-13T19:26:54-0600',mode:absolute,to:'2017-09-13T21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3" s="194" t="str">
        <f>IF(AA203&lt;VLOOKUP(AG203,Variables!$AC$3:$AD$8,2,FALSE),"Y","N")</f>
        <v>N</v>
      </c>
      <c r="X203" s="194">
        <f t="shared" si="97"/>
        <v>1</v>
      </c>
      <c r="Y203" s="194">
        <f t="shared" si="92"/>
        <v>5.8648999999999996</v>
      </c>
      <c r="Z203" s="194">
        <f t="shared" si="93"/>
        <v>7.1999999999999995E-2</v>
      </c>
      <c r="AA203" s="194">
        <f t="shared" si="67"/>
        <v>5.7928999999999995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 t="shared" si="68"/>
        <v>842</v>
      </c>
      <c r="AE203" s="77" t="str">
        <f t="shared" si="69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03" s="74" t="str">
        <f t="shared" si="70"/>
        <v>"C:\Program Files (x86)\AstroGrep\AstroGrep.exe" /e /r /s /spath="%USERPROFILE%\AppData\Local\Temp\OnboardLogs" /stypes="app*4059*20170914*" /stext=" 02:.+((SYSTEM_STATE.+slice.+state.+changed )|(ment ac)|(multiple cpu faults)|(system.+state.+changed )|(\[timeout)|(PRM\|1\|D)|(kpr)|(kdp)|(train st.+moving)|(\|lc)|(penalty))"</v>
      </c>
      <c r="AG203" s="206" t="str">
        <f t="shared" si="71"/>
        <v>NW</v>
      </c>
      <c r="AH203" s="78" t="str">
        <f t="shared" si="72"/>
        <v>"%USERPROFILE%\Documents\GitHub\eaglep3\Utilities\RefineRTDCRunTimes.py" --tripid 842-13 --locoid 4059 --swversion DE.1.0.9.0 --startMP 300:58649 --initTime 2017-09-13T20:26:54 --startdatetime 2017-09-13T20:43:05 --delay 60 --endMP 204:720 --enddatetime 2017-09-13T20:55:53 --enforcementcount 0 &gt;&gt;C:\Users\stu\Documents\GitHub\eaglep3-reporting\EC\2017-09-13-refined-times.txt</v>
      </c>
      <c r="AI203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{"issue":{"subject":"","project_id":79,"tracker_id":40,"status_id":1,"priority_id":2,"assigned_to_id":338,"start_date":"2017-09-13","description":"","custom_fields":[{"id":1,"name":"Subdivision","value":"NW"},{"id":4,"name":"Milepost","value":"0.072"},{"id":17,"name":"Train ID","value":"842-13"},{"id":16,"name":"Locomotive ID","value":"4059"},{"id":130,"name":"Impact","value":""},{"id":150,"name":"Time of Event (Mountain Time)","value":"20:55:53"},{"id":151,"name":"Denver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4"/>
        <v>start /low /b %USERPROFILE%\Documents\GitHub\eaglep3\Utilities\DownloadLogsFromS3.py --loco 4059 --day 2017-09-13</v>
      </c>
      <c r="AN203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814</v>
      </c>
      <c r="B204" s="7">
        <v>4060</v>
      </c>
      <c r="C204" s="21" t="s">
        <v>197</v>
      </c>
      <c r="D204" s="21" t="s">
        <v>979</v>
      </c>
      <c r="E204" s="13">
        <v>42991.836296296293</v>
      </c>
      <c r="F204" s="13">
        <v>42991.840185185189</v>
      </c>
      <c r="G204" s="7">
        <v>63</v>
      </c>
      <c r="H204" s="21" t="s">
        <v>980</v>
      </c>
      <c r="I204" s="13">
        <v>42991.850300925929</v>
      </c>
      <c r="J204" s="7">
        <v>0</v>
      </c>
      <c r="K204" s="89" t="str">
        <f t="shared" si="62"/>
        <v>4059/4060</v>
      </c>
      <c r="L204" s="214" t="str">
        <f>VLOOKUP(A204,'Trips&amp;Operators'!$C$1:$G$99911,5,FALSE)</f>
        <v>LEVERE CRAIG</v>
      </c>
      <c r="M204" s="6">
        <f t="shared" si="63"/>
        <v>1.0115740740729962E-2</v>
      </c>
      <c r="N204" s="7">
        <f t="shared" si="95"/>
        <v>14.566666666651145</v>
      </c>
      <c r="O204" s="7"/>
      <c r="P204" s="7"/>
      <c r="Q204" s="22"/>
      <c r="R204" s="167"/>
      <c r="S204" s="210">
        <f t="shared" si="96"/>
        <v>1</v>
      </c>
      <c r="T204" s="192" t="str">
        <f t="shared" si="64"/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65"/>
        <v>https://d0f6bd738d7f1b3e5a7ca70fe4ff75f0.us-east-1.aws.found.io/app/kibana#/discover/Steve-Slow-Train-Analysis-(2080s-and-2083s)?_g=(refreshInterval:(display:Off,pause:!f,section:0,value:0),time:(from:'2017-09-13T19:04:16-0600',mode:absolute,to:'2017-09-13T21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4" s="194" t="str">
        <f>IF(AA204&lt;VLOOKUP(AG204,Variables!$AC$3:$AD$8,2,FALSE),"Y","N")</f>
        <v>N</v>
      </c>
      <c r="X204" s="194">
        <f t="shared" si="97"/>
        <v>1</v>
      </c>
      <c r="Y204" s="194">
        <f t="shared" si="92"/>
        <v>9.8100000000000007E-2</v>
      </c>
      <c r="Z204" s="194">
        <f t="shared" si="93"/>
        <v>5.8967000000000001</v>
      </c>
      <c r="AA204" s="194">
        <f t="shared" si="67"/>
        <v>5.7986000000000004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 t="shared" si="68"/>
        <v>843</v>
      </c>
      <c r="AE204" s="77" t="str">
        <f t="shared" si="69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204" s="74" t="str">
        <f t="shared" si="70"/>
        <v>"C:\Program Files (x86)\AstroGrep\AstroGrep.exe" /e /r /s /spath="%USERPROFILE%\AppData\Local\Temp\OnboardLogs" /stypes="app*4060*20170914*" /stext=" 02:.+((SYSTEM_STATE.+slice.+state.+changed )|(ment ac)|(multiple cpu faults)|(system.+state.+changed )|(\[timeout)|(PRM\|1\|D)|(kpr)|(kdp)|(train st.+moving)|(\|lc)|(penalty))"</v>
      </c>
      <c r="AG204" s="206" t="str">
        <f t="shared" si="71"/>
        <v>NW</v>
      </c>
      <c r="AH204" s="78" t="str">
        <f t="shared" si="72"/>
        <v>"%USERPROFILE%\Documents\GitHub\eaglep3\Utilities\RefineRTDCRunTimes.py" --tripid 843-13 --locoid 4060 --swversion DE.1.0.9.0 --startMP 204:981 --initTime 2017-09-13T20:04:16 --startdatetime 2017-09-13T20:09:52 --delay 63 --endMP 300:58967 --enddatetime 2017-09-13T20:24:26 --enforcementcount 0 &gt;&gt;C:\Users\stu\Documents\GitHub\eaglep3-reporting\EC\2017-09-13-refined-times.txt</v>
      </c>
      <c r="AI204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{"issue":{"subject":"","project_id":79,"tracker_id":40,"status_id":1,"priority_id":2,"assigned_to_id":338,"start_date":"2017-09-13","description":"","custom_fields":[{"id":1,"name":"Subdivision","value":"NW"},{"id":4,"name":"Milepost","value":"5.8967"},{"id":17,"name":"Train ID","value":"843-13"},{"id":16,"name":"Locomotive ID","value":"4060"},{"id":130,"name":"Impact","value":""},{"id":150,"name":"Time of Event (Mountain Time)","value":"20:24:26"},{"id":151,"name":"Denver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4"/>
        <v>start /low /b %USERPROFILE%\Documents\GitHub\eaglep3\Utilities\DownloadLogsFromS3.py --loco 4060 --day 2017-09-13</v>
      </c>
      <c r="AN204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02:24:26"},{"id":29,"name":"Sharepoint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821</v>
      </c>
      <c r="B205" s="7">
        <v>4059</v>
      </c>
      <c r="C205" s="21" t="s">
        <v>197</v>
      </c>
      <c r="D205" s="21" t="s">
        <v>981</v>
      </c>
      <c r="E205" s="13">
        <v>42991.892395833333</v>
      </c>
      <c r="F205" s="13">
        <v>42991.903784722221</v>
      </c>
      <c r="G205" s="7">
        <v>100</v>
      </c>
      <c r="H205" s="21" t="s">
        <v>509</v>
      </c>
      <c r="I205" s="13">
        <v>42991.912604166668</v>
      </c>
      <c r="J205" s="7">
        <v>0</v>
      </c>
      <c r="K205" s="89" t="str">
        <f t="shared" ref="K205:K249" si="98">IF(ISEVEN(B205),(B205-1)&amp;"/"&amp;B205,B205&amp;"/"&amp;(B205+1))</f>
        <v>4059/4060</v>
      </c>
      <c r="L205" s="214" t="str">
        <f>VLOOKUP(A205,'Trips&amp;Operators'!$C$1:$G$99911,5,FALSE)</f>
        <v>STAMBAUGH JAMES</v>
      </c>
      <c r="M205" s="6">
        <f t="shared" ref="M205:M249" si="99">I205-F205</f>
        <v>8.819444446999114E-3</v>
      </c>
      <c r="N205" s="7">
        <f t="shared" si="95"/>
        <v>12.700000003678724</v>
      </c>
      <c r="O205" s="7"/>
      <c r="P205" s="7"/>
      <c r="Q205" s="22"/>
      <c r="R205" s="167"/>
      <c r="S205" s="210">
        <f t="shared" si="96"/>
        <v>1</v>
      </c>
      <c r="T205" s="192" t="str">
        <f t="shared" ref="T205:T249" si="100">IF(ISEVEN(LEFT(AD205,4)),"Southbound","NorthBound")</f>
        <v>Southbound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49" si="10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-13T20:25:03-0600',mode:absolute,to:'2017-09-13T22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5" s="194" t="str">
        <f>IF(AA205&lt;VLOOKUP(AG205,Variables!$AC$3:$AD$8,2,FALSE),"Y","N")</f>
        <v>N</v>
      </c>
      <c r="X205" s="194">
        <f t="shared" si="97"/>
        <v>1</v>
      </c>
      <c r="Y205" s="194">
        <f t="shared" si="92"/>
        <v>5.8630000000000004</v>
      </c>
      <c r="Z205" s="194">
        <f t="shared" si="93"/>
        <v>6.8000000000000005E-2</v>
      </c>
      <c r="AA205" s="194">
        <f t="shared" ref="AA205:AA268" si="102">ABS(Z205-Y205)</f>
        <v>5.7950000000000008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 t="shared" ref="AD205:AD249" si="103">VALUE(LEFT(A205,LEN(A205)-3))</f>
        <v>844</v>
      </c>
      <c r="AE205" s="77" t="str">
        <f t="shared" ref="AE205:AE249" si="10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05" s="74" t="str">
        <f t="shared" ref="AF205:AF249" si="10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/stypes="app*4059*20170914*" /stext=" 03:.+((SYSTEM_STATE.+slice.+state.+changed )|(ment ac)|(multiple cpu faults)|(system.+state.+changed )|(\[timeout)|(PRM\|1\|D)|(kpr)|(kdp)|(train st.+moving)|(\|lc)|(penalty))"</v>
      </c>
      <c r="AG205" s="206" t="str">
        <f t="shared" ref="AG205:AG249" si="106">DetSubdiv(A205)</f>
        <v>NW</v>
      </c>
      <c r="AH205" s="78" t="str">
        <f t="shared" si="72"/>
        <v>"%USERPROFILE%\Documents\GitHub\eaglep3\Utilities\RefineRTDCRunTimes.py" --tripid 844-13 --locoid 4059 --swversion DE.1.0.9.0 --startMP 300:58630 --initTime 2017-09-13T21:25:03 --startdatetime 2017-09-13T21:41:27 --delay 100 --endMP 204:680 --enddatetime 2017-09-13T21:54:09 --enforcementcount 0 &gt;&gt;C:\Users\stu\Documents\GitHub\eaglep3-reporting\EC\2017-09-13-refined-times.txt</v>
      </c>
      <c r="AI205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{"issue":{"subject":"","project_id":79,"tracker_id":40,"status_id":1,"priority_id":2,"assigned_to_id":338,"start_date":"2017-09-13","description":"","custom_fields":[{"id":1,"name":"Subdivision","value":"NW"},{"id":4,"name":"Milepost","value":"0.068"},{"id":17,"name":"Train ID","value":"844-13"},{"id":16,"name":"Locomotive ID","value":"4059"},{"id":130,"name":"Impact","value":""},{"id":150,"name":"Time of Event (Mountain Time)","value":"21:54:09"},{"id":151,"name":"Denver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4"/>
        <v>start /low /b %USERPROFILE%\Documents\GitHub\eaglep3\Utilities\DownloadLogsFromS3.py --loco 4059 --day 2017-09-13</v>
      </c>
      <c r="AN205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605</v>
      </c>
      <c r="B206" s="7">
        <v>4060</v>
      </c>
      <c r="C206" s="21" t="s">
        <v>197</v>
      </c>
      <c r="D206" s="21" t="s">
        <v>982</v>
      </c>
      <c r="E206" s="13">
        <v>42991.877754629626</v>
      </c>
      <c r="F206" s="13">
        <v>42991.881539351853</v>
      </c>
      <c r="G206" s="7">
        <v>95</v>
      </c>
      <c r="H206" s="21" t="s">
        <v>983</v>
      </c>
      <c r="I206" s="13">
        <v>42991.890555555554</v>
      </c>
      <c r="J206" s="7">
        <v>0</v>
      </c>
      <c r="K206" s="89" t="str">
        <f t="shared" si="98"/>
        <v>4059/4060</v>
      </c>
      <c r="L206" s="214" t="str">
        <f>VLOOKUP(A206,'Trips&amp;Operators'!$C$1:$G$99911,5,FALSE)</f>
        <v>STAMBAUGH JAMES</v>
      </c>
      <c r="M206" s="6">
        <f t="shared" si="99"/>
        <v>9.0162037013215013E-3</v>
      </c>
      <c r="N206" s="7">
        <f t="shared" si="95"/>
        <v>12.983333329902962</v>
      </c>
      <c r="O206" s="7"/>
      <c r="P206" s="7"/>
      <c r="Q206" s="22"/>
      <c r="R206" s="167"/>
      <c r="S206" s="210">
        <f t="shared" si="96"/>
        <v>1</v>
      </c>
      <c r="T206" s="192" t="str">
        <f t="shared" si="100"/>
        <v>NorthBound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101"/>
        <v>https://d0f6bd738d7f1b3e5a7ca70fe4ff75f0.us-east-1.aws.found.io/app/kibana#/discover/Steve-Slow-Train-Analysis-(2080s-and-2083s)?_g=(refreshInterval:(display:Off,pause:!f,section:0,value:0),time:(from:'2017-09-13T20:03:58-0600',mode:absolute,to:'2017-09-13T22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6" s="194" t="str">
        <f>IF(AA206&lt;VLOOKUP(AG206,Variables!$AC$3:$AD$8,2,FALSE),"Y","N")</f>
        <v>N</v>
      </c>
      <c r="X206" s="194">
        <f t="shared" si="97"/>
        <v>1</v>
      </c>
      <c r="Y206" s="194">
        <f t="shared" si="92"/>
        <v>0.1007</v>
      </c>
      <c r="Z206" s="194">
        <f t="shared" si="93"/>
        <v>5.8939000000000004</v>
      </c>
      <c r="AA206" s="194">
        <f t="shared" si="102"/>
        <v>5.7932000000000006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 t="shared" si="103"/>
        <v>845</v>
      </c>
      <c r="AE206" s="77" t="str">
        <f t="shared" si="104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206" s="74" t="str">
        <f t="shared" si="105"/>
        <v>"C:\Program Files (x86)\AstroGrep\AstroGrep.exe" /e /r /s /spath="%USERPROFILE%\AppData\Local\Temp\OnboardLogs" /stypes="app*4060*20170914*" /stext=" 03:.+((SYSTEM_STATE.+slice.+state.+changed )|(ment ac)|(multiple cpu faults)|(system.+state.+changed )|(\[timeout)|(PRM\|1\|D)|(kpr)|(kdp)|(train st.+moving)|(\|lc)|(penalty))"</v>
      </c>
      <c r="AG206" s="206" t="str">
        <f t="shared" si="106"/>
        <v>NW</v>
      </c>
      <c r="AH206" s="78" t="str">
        <f t="shared" si="72"/>
        <v>"%USERPROFILE%\Documents\GitHub\eaglep3\Utilities\RefineRTDCRunTimes.py" --tripid 845-13 --locoid 4060 --swversion DE.1.0.9.0 --startMP 204:1007 --initTime 2017-09-13T21:03:58 --startdatetime 2017-09-13T21:09:25 --delay 95 --endMP 300:58939 --enddatetime 2017-09-13T21:22:24 --enforcementcount 0 &gt;&gt;C:\Users\stu\Documents\GitHub\eaglep3-reporting\EC\2017-09-13-refined-times.txt</v>
      </c>
      <c r="AI206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{"issue":{"subject":"","project_id":79,"tracker_id":40,"status_id":1,"priority_id":2,"assigned_to_id":338,"start_date":"2017-09-13","description":"","custom_fields":[{"id":1,"name":"Subdivision","value":"NW"},{"id":4,"name":"Milepost","value":"5.8939"},{"id":17,"name":"Train ID","value":"845-13"},{"id":16,"name":"Locomotive ID","value":"4060"},{"id":130,"name":"Impact","value":""},{"id":150,"name":"Time of Event (Mountain Time)","value":"21:22:24"},{"id":151,"name":"Denver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4"/>
        <v>start /low /b %USERPROFILE%\Documents\GitHub\eaglep3\Utilities\DownloadLogsFromS3.py --loco 4060 --day 2017-09-13</v>
      </c>
      <c r="AN206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03:22:24"},{"id":29,"name":"Sharepoint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825</v>
      </c>
      <c r="B207" s="7">
        <v>4059</v>
      </c>
      <c r="C207" s="21" t="s">
        <v>197</v>
      </c>
      <c r="D207" s="21" t="s">
        <v>960</v>
      </c>
      <c r="E207" s="13">
        <v>42991.933287037034</v>
      </c>
      <c r="F207" s="13">
        <v>42991.945543981485</v>
      </c>
      <c r="G207" s="7">
        <v>99</v>
      </c>
      <c r="H207" s="21" t="s">
        <v>984</v>
      </c>
      <c r="I207" s="13">
        <v>42991.954340277778</v>
      </c>
      <c r="J207" s="7">
        <v>0</v>
      </c>
      <c r="K207" s="89" t="str">
        <f t="shared" si="98"/>
        <v>4059/4060</v>
      </c>
      <c r="L207" s="214" t="str">
        <f>VLOOKUP(A207,'Trips&amp;Operators'!$C$1:$G$99911,5,FALSE)</f>
        <v>STAMBAUGH JAMES</v>
      </c>
      <c r="M207" s="6">
        <f t="shared" si="99"/>
        <v>8.7962962934398092E-3</v>
      </c>
      <c r="N207" s="7">
        <f t="shared" si="95"/>
        <v>12.666666662553325</v>
      </c>
      <c r="O207" s="7"/>
      <c r="P207" s="7"/>
      <c r="Q207" s="22"/>
      <c r="R207" s="167"/>
      <c r="S207" s="210">
        <f t="shared" si="96"/>
        <v>1</v>
      </c>
      <c r="T207" s="192" t="str">
        <f t="shared" si="100"/>
        <v>Southbound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101"/>
        <v>https://d0f6bd738d7f1b3e5a7ca70fe4ff75f0.us-east-1.aws.found.io/app/kibana#/discover/Steve-Slow-Train-Analysis-(2080s-and-2083s)?_g=(refreshInterval:(display:Off,pause:!f,section:0,value:0),time:(from:'2017-09-13T21:23:56-0600',mode:absolute,to:'2017-09-13T23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7" s="194" t="str">
        <f>IF(AA207&lt;VLOOKUP(AG207,Variables!$AC$3:$AD$8,2,FALSE),"Y","N")</f>
        <v>N</v>
      </c>
      <c r="X207" s="194">
        <f t="shared" si="97"/>
        <v>1</v>
      </c>
      <c r="Y207" s="194">
        <f t="shared" si="92"/>
        <v>5.8638000000000003</v>
      </c>
      <c r="Z207" s="194">
        <f t="shared" si="93"/>
        <v>6.8900000000000003E-2</v>
      </c>
      <c r="AA207" s="194">
        <f t="shared" si="102"/>
        <v>5.7949000000000002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 t="shared" si="103"/>
        <v>846</v>
      </c>
      <c r="AE207" s="77" t="str">
        <f t="shared" si="104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07" s="74" t="str">
        <f t="shared" si="105"/>
        <v>"C:\Program Files (x86)\AstroGrep\AstroGrep.exe" /e /r /s /spath="%USERPROFILE%\AppData\Local\Temp\OnboardLogs" /stypes="app*4059*20170914*" /stext=" 04:.+((SYSTEM_STATE.+slice.+state.+changed )|(ment ac)|(multiple cpu faults)|(system.+state.+changed )|(\[timeout)|(PRM\|1\|D)|(kpr)|(kdp)|(train st.+moving)|(\|lc)|(penalty))"</v>
      </c>
      <c r="AG207" s="206" t="str">
        <f t="shared" si="106"/>
        <v>NW</v>
      </c>
      <c r="AH207" s="78" t="str">
        <f t="shared" si="72"/>
        <v>"%USERPROFILE%\Documents\GitHub\eaglep3\Utilities\RefineRTDCRunTimes.py" --tripid 846-13 --locoid 4059 --swversion DE.1.0.9.0 --startMP 300:58638 --initTime 2017-09-13T22:23:56 --startdatetime 2017-09-13T22:41:35 --delay 99 --endMP 204:689 --enddatetime 2017-09-13T22:54:15 --enforcementcount 0 &gt;&gt;C:\Users\stu\Documents\GitHub\eaglep3-reporting\EC\2017-09-13-refined-times.txt</v>
      </c>
      <c r="AI207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{"issue":{"subject":"","project_id":79,"tracker_id":40,"status_id":1,"priority_id":2,"assigned_to_id":338,"start_date":"2017-09-13","description":"","custom_fields":[{"id":1,"name":"Subdivision","value":"NW"},{"id":4,"name":"Milepost","value":"0.0689"},{"id":17,"name":"Train ID","value":"846-13"},{"id":16,"name":"Locomotive ID","value":"4059"},{"id":130,"name":"Impact","value":""},{"id":150,"name":"Time of Event (Mountain Time)","value":"22:54:15"},{"id":151,"name":"Denver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4"/>
        <v>start /low /b %USERPROFILE%\Documents\GitHub\eaglep3\Utilities\DownloadLogsFromS3.py --loco 4059 --day 2017-09-13</v>
      </c>
      <c r="AN207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823</v>
      </c>
      <c r="B208" s="7">
        <v>4060</v>
      </c>
      <c r="C208" s="21" t="s">
        <v>197</v>
      </c>
      <c r="D208" s="21" t="s">
        <v>461</v>
      </c>
      <c r="E208" s="13">
        <v>42991.920717592591</v>
      </c>
      <c r="F208" s="13">
        <v>42991.923541666663</v>
      </c>
      <c r="G208" s="7">
        <v>75</v>
      </c>
      <c r="H208" s="21" t="s">
        <v>959</v>
      </c>
      <c r="I208" s="13">
        <v>42991.932326388887</v>
      </c>
      <c r="J208" s="7">
        <v>0</v>
      </c>
      <c r="K208" s="89" t="str">
        <f t="shared" si="98"/>
        <v>4059/4060</v>
      </c>
      <c r="L208" s="214" t="str">
        <f>VLOOKUP(A208,'Trips&amp;Operators'!$C$1:$G$99911,5,FALSE)</f>
        <v>STAMBAUGH JAMES</v>
      </c>
      <c r="M208" s="6">
        <f t="shared" si="99"/>
        <v>8.7847222239361145E-3</v>
      </c>
      <c r="N208" s="7">
        <f t="shared" si="95"/>
        <v>12.650000002468005</v>
      </c>
      <c r="O208" s="7"/>
      <c r="P208" s="7"/>
      <c r="Q208" s="22"/>
      <c r="R208" s="167"/>
      <c r="S208" s="210">
        <f t="shared" si="96"/>
        <v>1</v>
      </c>
      <c r="T208" s="192" t="str">
        <f t="shared" si="100"/>
        <v>NorthBound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101"/>
        <v>https://d0f6bd738d7f1b3e5a7ca70fe4ff75f0.us-east-1.aws.found.io/app/kibana#/discover/Steve-Slow-Train-Analysis-(2080s-and-2083s)?_g=(refreshInterval:(display:Off,pause:!f,section:0,value:0),time:(from:'2017-09-13T21:05:50-0600',mode:absolute,to:'2017-09-13T23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194" t="str">
        <f>IF(AA208&lt;VLOOKUP(AG208,Variables!$AC$3:$AD$8,2,FALSE),"Y","N")</f>
        <v>N</v>
      </c>
      <c r="X208" s="194">
        <f t="shared" si="97"/>
        <v>1</v>
      </c>
      <c r="Y208" s="194">
        <f t="shared" si="92"/>
        <v>9.74E-2</v>
      </c>
      <c r="Z208" s="194">
        <f t="shared" si="93"/>
        <v>5.8954000000000004</v>
      </c>
      <c r="AA208" s="194">
        <f t="shared" si="102"/>
        <v>5.798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 t="shared" si="103"/>
        <v>847</v>
      </c>
      <c r="AE208" s="77" t="str">
        <f t="shared" si="104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208" s="74" t="str">
        <f t="shared" si="105"/>
        <v>"C:\Program Files (x86)\AstroGrep\AstroGrep.exe" /e /r /s /spath="%USERPROFILE%\AppData\Local\Temp\OnboardLogs" /stypes="app*4060*20170914*" /stext=" 04:.+((SYSTEM_STATE.+slice.+state.+changed )|(ment ac)|(multiple cpu faults)|(system.+state.+changed )|(\[timeout)|(PRM\|1\|D)|(kpr)|(kdp)|(train st.+moving)|(\|lc)|(penalty))"</v>
      </c>
      <c r="AG208" s="206" t="str">
        <f t="shared" si="106"/>
        <v>NW</v>
      </c>
      <c r="AH208" s="78" t="str">
        <f t="shared" si="72"/>
        <v>"%USERPROFILE%\Documents\GitHub\eaglep3\Utilities\RefineRTDCRunTimes.py" --tripid 847-13 --locoid 4060 --swversion DE.1.0.9.0 --startMP 204:974 --initTime 2017-09-13T22:05:50 --startdatetime 2017-09-13T22:09:54 --delay 75 --endMP 300:58954 --enddatetime 2017-09-13T22:22:33 --enforcementcount 0 &gt;&gt;C:\Users\stu\Documents\GitHub\eaglep3-reporting\EC\2017-09-13-refined-times.txt</v>
      </c>
      <c r="AI208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{"issue":{"subject":"","project_id":79,"tracker_id":40,"status_id":1,"priority_id":2,"assigned_to_id":338,"start_date":"2017-09-13","description":"","custom_fields":[{"id":1,"name":"Subdivision","value":"NW"},{"id":4,"name":"Milepost","value":"5.8954"},{"id":17,"name":"Train ID","value":"847-13"},{"id":16,"name":"Locomotive ID","value":"4060"},{"id":130,"name":"Impact","value":""},{"id":150,"name":"Time of Event (Mountain Time)","value":"22:22:33"},{"id":151,"name":"Denver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74"/>
        <v>start /low /b %USERPROFILE%\Documents\GitHub\eaglep3\Utilities\DownloadLogsFromS3.py --loco 4060 --day 2017-09-13</v>
      </c>
      <c r="AN208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04:22:33"},{"id":29,"name":"Sharepoint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828</v>
      </c>
      <c r="B209" s="7">
        <v>4060</v>
      </c>
      <c r="C209" s="21" t="s">
        <v>197</v>
      </c>
      <c r="D209" s="21" t="s">
        <v>985</v>
      </c>
      <c r="E209" s="13">
        <v>42991.959467592591</v>
      </c>
      <c r="F209" s="13">
        <v>42991.964849537035</v>
      </c>
      <c r="G209" s="7">
        <v>62</v>
      </c>
      <c r="H209" s="21" t="s">
        <v>562</v>
      </c>
      <c r="I209" s="13">
        <v>42991.973865740743</v>
      </c>
      <c r="J209" s="7">
        <v>0</v>
      </c>
      <c r="K209" s="89" t="str">
        <f t="shared" si="98"/>
        <v>4059/4060</v>
      </c>
      <c r="L209" s="214" t="str">
        <f>VLOOKUP(A209,'Trips&amp;Operators'!$C$1:$G$99911,5,FALSE)</f>
        <v>STAMBAUGH JAMES</v>
      </c>
      <c r="M209" s="6">
        <f t="shared" si="99"/>
        <v>9.0162037085974589E-3</v>
      </c>
      <c r="N209" s="7">
        <f t="shared" si="95"/>
        <v>12.983333340380341</v>
      </c>
      <c r="O209" s="7"/>
      <c r="P209" s="7"/>
      <c r="Q209" s="22"/>
      <c r="R209" s="167"/>
      <c r="S209" s="210">
        <f t="shared" si="96"/>
        <v>1</v>
      </c>
      <c r="T209" s="192" t="str">
        <f t="shared" si="100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101"/>
        <v>https://d0f6bd738d7f1b3e5a7ca70fe4ff75f0.us-east-1.aws.found.io/app/kibana#/discover/Steve-Slow-Train-Analysis-(2080s-and-2083s)?_g=(refreshInterval:(display:Off,pause:!f,section:0,value:0),time:(from:'2017-09-13T22:01:38-0600',mode:absolute,to:'2017-09-14T00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194" t="str">
        <f>IF(AA209&lt;VLOOKUP(AG209,Variables!$AC$3:$AD$8,2,FALSE),"Y","N")</f>
        <v>N</v>
      </c>
      <c r="X209" s="194">
        <f t="shared" si="97"/>
        <v>2</v>
      </c>
      <c r="Y209" s="194">
        <f t="shared" si="92"/>
        <v>9.4600000000000004E-2</v>
      </c>
      <c r="Z209" s="194">
        <f t="shared" si="93"/>
        <v>5.8948</v>
      </c>
      <c r="AA209" s="194">
        <f t="shared" si="102"/>
        <v>5.8002000000000002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 t="shared" si="103"/>
        <v>849</v>
      </c>
      <c r="AE209" s="77" t="str">
        <f t="shared" si="104"/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AF209" s="74" t="str">
        <f t="shared" si="105"/>
        <v>"C:\Program Files (x86)\AstroGrep\AstroGrep.exe" /e /r /s /spath="%USERPROFILE%\AppData\Local\Temp\OnboardLogs" /stypes="app*4060*20170914*" /stext=" 05:.+((SYSTEM_STATE.+slice.+state.+changed )|(ment ac)|(multiple cpu faults)|(system.+state.+changed )|(\[timeout)|(PRM\|1\|D)|(kpr)|(kdp)|(train st.+moving)|(\|lc)|(penalty))"</v>
      </c>
      <c r="AG209" s="206" t="str">
        <f t="shared" si="106"/>
        <v>NW</v>
      </c>
      <c r="AH209" s="78" t="str">
        <f t="shared" si="72"/>
        <v>"%USERPROFILE%\Documents\GitHub\eaglep3\Utilities\RefineRTDCRunTimes.py" --tripid 849-13 --locoid 4060 --swversion DE.1.0.9.0 --startMP 204:946 --initTime 2017-09-13T23:01:38 --startdatetime 2017-09-13T23:09:23 --delay 62 --endMP 300:58948 --enddatetime 2017-09-13T23:22:22 --enforcementcount 0 &gt;&gt;C:\Users\stu\Documents\GitHub\eaglep3-reporting\EC\2017-09-13-refined-times.txt</v>
      </c>
      <c r="AI209" s="96" t="str">
        <f t="shared" si="73"/>
        <v>echo {"issue":{"subject":"","project_id":79,"tracker_id":40,"status_id":1,"priority_id":2,"assigned_to_id":338,"start_date":"2017-09-13","description":"","custom_fields":[{"id":1,"name":"Subdivision","value":"NW"},{"id":4,"name":"Milepost","value":"5.8948"},{"id":17,"name":"Train ID","value":"849-13"},{"id":16,"name":"Locomotive ID","value":"4060"},{"id":130,"name":"Impact","value":""},{"id":150,"name":"Time of Event (Mountain Time)","value":"23:22:22"},{"id":151,"name":"Denver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74"/>
        <v>start /low /b %USERPROFILE%\Documents\GitHub\eaglep3\Utilities\DownloadLogsFromS3.py --loco 4060 --day 2017-09-13</v>
      </c>
      <c r="AN209" s="151" t="str">
        <f t="shared" si="75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610</v>
      </c>
      <c r="B210" s="7">
        <v>4039</v>
      </c>
      <c r="C210" s="21" t="s">
        <v>197</v>
      </c>
      <c r="D210" s="21" t="s">
        <v>896</v>
      </c>
      <c r="E210" s="13">
        <v>42991.115115740744</v>
      </c>
      <c r="F210" s="13">
        <v>42991.117997685185</v>
      </c>
      <c r="G210" s="7">
        <v>69</v>
      </c>
      <c r="H210" s="21" t="s">
        <v>487</v>
      </c>
      <c r="I210" s="13">
        <v>42991.123703703706</v>
      </c>
      <c r="J210" s="7">
        <v>0</v>
      </c>
      <c r="K210" s="89" t="str">
        <f t="shared" si="98"/>
        <v>4039/4040</v>
      </c>
      <c r="L210" s="214" t="str">
        <f>VLOOKUP(A210,'Trips&amp;Operators'!$C$1:$G$99911,5,FALSE)</f>
        <v>BONDS REYNALDO</v>
      </c>
      <c r="M210" s="6">
        <f t="shared" si="99"/>
        <v>5.7060185208683833E-3</v>
      </c>
      <c r="N210" s="7">
        <f t="shared" si="95"/>
        <v>8.216666670050472</v>
      </c>
      <c r="O210" s="7"/>
      <c r="P210" s="7"/>
      <c r="Q210" s="22"/>
      <c r="R210" s="167"/>
      <c r="S210" s="210">
        <f t="shared" si="96"/>
        <v>1</v>
      </c>
      <c r="T210" s="192" t="str">
        <f t="shared" si="100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101"/>
        <v>https://d0f6bd738d7f1b3e5a7ca70fe4ff75f0.us-east-1.aws.found.io/app/kibana#/discover/Steve-Slow-Train-Analysis-(2080s-and-2083s)?_g=(refreshInterval:(display:Off,pause:!f,section:0,value:0),time:(from:'2017-09-13T01:45:46-0600',mode:absolute,to:'2017-09-13T03:58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194" t="str">
        <f>IF(AA210&lt;VLOOKUP(AG210,Variables!$AC$3:$AD$8,2,FALSE),"Y","N")</f>
        <v>Y</v>
      </c>
      <c r="X210" s="194">
        <f t="shared" si="97"/>
        <v>-549</v>
      </c>
      <c r="Y210" s="194">
        <f t="shared" si="92"/>
        <v>2.3496999999999999</v>
      </c>
      <c r="Z210" s="194">
        <f t="shared" si="93"/>
        <v>1.54E-2</v>
      </c>
      <c r="AA210" s="194">
        <f t="shared" si="102"/>
        <v>2.3342999999999998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 t="shared" si="103"/>
        <v>300</v>
      </c>
      <c r="AE210" s="77" t="str">
        <f t="shared" si="104"/>
        <v>aws s3 cp s3://rtdc.mdm.uploadarchive.raw/RTDC4039/ "%USERPROFILE%\AppData\Local\Temp\OnboardLogs"\RTDC4039\2017-09-13 --exclude "*" --recursive --include "*20170913*" &amp; "%USERPROFILE%\Documents\GitHub\mrs-test-scripts\Headless Mode &amp; Sideloading\WalkAndUnGZ.bat" "%USERPROFILE%\AppData\Local\Temp\OnboardLogs"\RTDC4039\2017-09-13 &amp; aws s3 cp s3://rtdc.mdm.uploadarchive.raw/RTDC4039/ "%USERPROFILE%\AppData\Local\Temp\OnboardLogs"\RTDC4039\2017-09-14 --exclude "*" --recursive --include "*20170914*" &amp; "%USERPROFILE%\Documents\GitHub\mrs-test-scripts\Headless Mode &amp; Sideloading\WalkAndUnGZ.bat" "%USERPROFILE%\AppData\Local\Temp\OnboardLogs"\RTDC4039\2017-09-14</v>
      </c>
      <c r="AF210" s="74" t="str">
        <f t="shared" si="105"/>
        <v>"C:\Program Files (x86)\AstroGrep\AstroGrep.exe" /e /r /s /spath="%USERPROFILE%\AppData\Local\Temp\OnboardLogs" /stypes="app*4039*20170913*" /stext=" 08:.+((SYSTEM_STATE.+slice.+state.+changed )|(ment ac)|(multiple cpu faults)|(system.+state.+changed )|(\[timeout)|(PRM\|1\|D)|(kpr)|(kdp)|(train st.+moving)|(\|lc)|(penalty))"</v>
      </c>
      <c r="AG210" s="206" t="str">
        <f t="shared" si="106"/>
        <v>Other</v>
      </c>
      <c r="AH210" s="78" t="str">
        <f t="shared" ref="AH210:AH249" si="107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300-13 --locoid 4039 --swversion DE.1.0.9.0 --startMP 300:23497 --initTime 2017-09-13T02:45:46 --startdatetime 2017-09-13T02:49:55 --delay 69 --endMP 204:154 --enddatetime 2017-09-13T02:58:08 --enforcementcount 0 &gt;&gt;C:\Users\stu\Documents\GitHub\eaglep3-reporting\EC\2017-09-13-refined-times.txt</v>
      </c>
      <c r="AI210" s="96" t="str">
        <f t="shared" ref="AI210:AI249" si="108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{"issue":{"subject":"","project_id":79,"tracker_id":40,"status_id":1,"priority_id":2,"assigned_to_id":338,"start_date":"2017-09-13","description":"","custom_fields":[{"id":1,"name":"Subdivision","value":"Other"},{"id":4,"name":"Milepost","value":"0.0154"},{"id":17,"name":"Train ID","value":"300-13"},{"id":16,"name":"Locomotive ID","value":"4039"},{"id":130,"name":"Impact","value":""},{"id":150,"name":"Time of Event (Mountain Time)","value":"02:58:08"},{"id":151,"name":"Denver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ref="AM210:AM249" si="109">"start /low /b "&amp;dls3logs&amp;" --loco "&amp;B210&amp;" --day "&amp;TEXT(F210,"YYYY-MM-DD")</f>
        <v>start /low /b %USERPROFILE%\Documents\GitHub\eaglep3\Utilities\DownloadLogsFromS3.py --loco 4039 --day 2017-09-13</v>
      </c>
      <c r="AN210" s="151" t="str">
        <f t="shared" ref="AN210:AN249" si="110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08:58:08"},{"id":29,"name":"Sharepoint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802</v>
      </c>
      <c r="B211" s="7">
        <v>4044</v>
      </c>
      <c r="C211" s="21" t="s">
        <v>197</v>
      </c>
      <c r="D211" s="21" t="s">
        <v>350</v>
      </c>
      <c r="E211" s="13">
        <v>42991.777800925927</v>
      </c>
      <c r="F211" s="13">
        <v>42991.778993055559</v>
      </c>
      <c r="G211" s="7">
        <v>47</v>
      </c>
      <c r="H211" s="21" t="s">
        <v>558</v>
      </c>
      <c r="I211" s="13">
        <v>42991.786620370367</v>
      </c>
      <c r="J211" s="7">
        <v>0</v>
      </c>
      <c r="K211" s="89" t="str">
        <f t="shared" si="98"/>
        <v>4043/4044</v>
      </c>
      <c r="L211" s="214" t="str">
        <f>VLOOKUP(A211,'Trips&amp;Operators'!$C$1:$G$99911,5,FALSE)</f>
        <v>GUZMAN DANNY</v>
      </c>
      <c r="M211" s="6">
        <f t="shared" si="99"/>
        <v>7.6273148079053499E-3</v>
      </c>
      <c r="N211" s="7">
        <f t="shared" si="95"/>
        <v>10.983333323383704</v>
      </c>
      <c r="O211" s="7"/>
      <c r="P211" s="7"/>
      <c r="Q211" s="22"/>
      <c r="R211" s="167"/>
      <c r="S211" s="210">
        <f t="shared" si="96"/>
        <v>1</v>
      </c>
      <c r="T211" s="192" t="str">
        <f t="shared" si="100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101"/>
        <v>https://d0f6bd738d7f1b3e5a7ca70fe4ff75f0.us-east-1.aws.found.io/app/kibana#/discover/Steve-Slow-Train-Analysis-(2080s-and-2083s)?_g=(refreshInterval:(display:Off,pause:!f,section:0,value:0),time:(from:'2017-09-13T17:40:02-0600',mode:absolute,to:'2017-09-13T19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94" t="str">
        <f>IF(AA211&lt;VLOOKUP(AG211,Variables!$AC$3:$AD$8,2,FALSE),"Y","N")</f>
        <v>Y</v>
      </c>
      <c r="X211" s="194">
        <f t="shared" si="97"/>
        <v>1</v>
      </c>
      <c r="Y211" s="194">
        <f t="shared" si="92"/>
        <v>4.5499999999999999E-2</v>
      </c>
      <c r="Z211" s="194">
        <f t="shared" si="93"/>
        <v>2.3300999999999998</v>
      </c>
      <c r="AA211" s="194">
        <f t="shared" si="102"/>
        <v>2.2845999999999997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 t="shared" si="103"/>
        <v>301</v>
      </c>
      <c r="AE211" s="77" t="str">
        <f t="shared" si="104"/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AF211" s="74" t="str">
        <f t="shared" si="105"/>
        <v>"C:\Program Files (x86)\AstroGrep\AstroGrep.exe" /e /r /s /spath="%USERPROFILE%\AppData\Local\Temp\OnboardLogs" /stypes="app*4044*20170914*" /stext=" 00:.+((SYSTEM_STATE.+slice.+state.+changed )|(ment ac)|(multiple cpu faults)|(system.+state.+changed )|(\[timeout)|(PRM\|1\|D)|(kpr)|(kdp)|(train st.+moving)|(\|lc)|(penalty))"</v>
      </c>
      <c r="AG211" s="206" t="str">
        <f t="shared" si="106"/>
        <v>Other</v>
      </c>
      <c r="AH211" s="78" t="str">
        <f t="shared" si="107"/>
        <v>"%USERPROFILE%\Documents\GitHub\eaglep3\Utilities\RefineRTDCRunTimes.py" --tripid 301-13 --locoid 4044 --swversion DE.1.0.9.0 --startMP 204:455 --initTime 2017-09-13T18:40:02 --startdatetime 2017-09-13T18:41:45 --delay 47 --endMP 300:23301 --enddatetime 2017-09-13T18:52:44 --enforcementcount 0 &gt;&gt;C:\Users\stu\Documents\GitHub\eaglep3-reporting\EC\2017-09-13-refined-times.txt</v>
      </c>
      <c r="AI211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{"issue":{"subject":"","project_id":79,"tracker_id":40,"status_id":1,"priority_id":2,"assigned_to_id":338,"start_date":"2017-09-13","description":"","custom_fields":[{"id":1,"name":"Subdivision","value":"Other"},{"id":4,"name":"Milepost","value":"2.3301"},{"id":17,"name":"Train ID","value":"301-13"},{"id":16,"name":"Locomotive ID","value":"4044"},{"id":130,"name":"Impact","value":""},{"id":150,"name":"Time of Event (Mountain Time)","value":"18:52:44"},{"id":151,"name":"Denver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9"/>
        <v>start /low /b %USERPROFILE%\Documents\GitHub\eaglep3\Utilities\DownloadLogsFromS3.py --loco 4044 --day 2017-09-13</v>
      </c>
      <c r="AN211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579</v>
      </c>
      <c r="B212" s="7">
        <v>4019</v>
      </c>
      <c r="C212" s="21" t="s">
        <v>197</v>
      </c>
      <c r="D212" s="21" t="s">
        <v>897</v>
      </c>
      <c r="E212" s="13">
        <v>42991.140416666669</v>
      </c>
      <c r="F212" s="13">
        <v>42991.144687499997</v>
      </c>
      <c r="G212" s="7">
        <v>84</v>
      </c>
      <c r="H212" s="21" t="s">
        <v>386</v>
      </c>
      <c r="I212" s="13">
        <v>42991.150069444448</v>
      </c>
      <c r="J212" s="7">
        <v>0</v>
      </c>
      <c r="K212" s="89" t="str">
        <f t="shared" si="98"/>
        <v>4019/4020</v>
      </c>
      <c r="L212" s="214" t="str">
        <f>VLOOKUP(A212,'Trips&amp;Operators'!$C$1:$G$99911,5,FALSE)</f>
        <v>STARKS ANGELINA</v>
      </c>
      <c r="M212" s="6">
        <f t="shared" si="99"/>
        <v>5.3819444510736503E-3</v>
      </c>
      <c r="N212" s="7">
        <f t="shared" si="95"/>
        <v>7.7500000095460564</v>
      </c>
      <c r="O212" s="7"/>
      <c r="P212" s="7"/>
      <c r="Q212" s="22"/>
      <c r="R212" s="167"/>
      <c r="S212" s="210">
        <f t="shared" si="96"/>
        <v>1</v>
      </c>
      <c r="T212" s="192" t="str">
        <f t="shared" si="100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101"/>
        <v>https://d0f6bd738d7f1b3e5a7ca70fe4ff75f0.us-east-1.aws.found.io/app/kibana#/discover/Steve-Slow-Train-Analysis-(2080s-and-2083s)?_g=(refreshInterval:(display:Off,pause:!f,section:0,value:0),time:(from:'2017-09-13T02:22:12-0600',mode:absolute,to:'2017-09-13T04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194" t="str">
        <f>IF(AA212&lt;VLOOKUP(AG212,Variables!$AC$3:$AD$8,2,FALSE),"Y","N")</f>
        <v>Y</v>
      </c>
      <c r="X212" s="194">
        <f t="shared" si="97"/>
        <v>1</v>
      </c>
      <c r="Y212" s="194">
        <f t="shared" si="92"/>
        <v>2.0142000000000002</v>
      </c>
      <c r="Z212" s="194">
        <f t="shared" si="93"/>
        <v>1.5800000000000002E-2</v>
      </c>
      <c r="AA212" s="194">
        <f t="shared" si="102"/>
        <v>1.9984000000000002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 t="shared" si="103"/>
        <v>302</v>
      </c>
      <c r="AE212" s="77" t="str">
        <f t="shared" si="104"/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AF212" s="74" t="str">
        <f t="shared" si="105"/>
        <v>"C:\Program Files (x86)\AstroGrep\AstroGrep.exe" /e /r /s /spath="%USERPROFILE%\AppData\Local\Temp\OnboardLogs" /stypes="app*4019*20170913*" /stext=" 09:.+((SYSTEM_STATE.+slice.+state.+changed )|(ment ac)|(multiple cpu faults)|(system.+state.+changed )|(\[timeout)|(PRM\|1\|D)|(kpr)|(kdp)|(train st.+moving)|(\|lc)|(penalty))"</v>
      </c>
      <c r="AG212" s="206" t="str">
        <f t="shared" si="106"/>
        <v>Other</v>
      </c>
      <c r="AH212" s="78" t="str">
        <f t="shared" si="107"/>
        <v>"%USERPROFILE%\Documents\GitHub\eaglep3\Utilities\RefineRTDCRunTimes.py" --tripid 302-13 --locoid 4019 --swversion DE.1.0.9.0 --startMP 300:20142 --initTime 2017-09-13T03:22:12 --startdatetime 2017-09-13T03:28:21 --delay 84 --endMP 204:158 --enddatetime 2017-09-13T03:36:06 --enforcementcount 0 &gt;&gt;C:\Users\stu\Documents\GitHub\eaglep3-reporting\EC\2017-09-13-refined-times.txt</v>
      </c>
      <c r="AI212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{"issue":{"subject":"","project_id":79,"tracker_id":40,"status_id":1,"priority_id":2,"assigned_to_id":338,"start_date":"2017-09-13","description":"","custom_fields":[{"id":1,"name":"Subdivision","value":"Other"},{"id":4,"name":"Milepost","value":"0.0158"},{"id":17,"name":"Train ID","value":"302-13"},{"id":16,"name":"Locomotive ID","value":"4019"},{"id":130,"name":"Impact","value":""},{"id":150,"name":"Time of Event (Mountain Time)","value":"03:36:06"},{"id":151,"name":"Denver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9"/>
        <v>start /low /b %USERPROFILE%\Documents\GitHub\eaglep3\Utilities\DownloadLogsFromS3.py --loco 4019 --day 2017-09-13</v>
      </c>
      <c r="AN212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09:36:06"},{"id":29,"name":"Sharepoint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805</v>
      </c>
      <c r="B213" s="7">
        <v>4010</v>
      </c>
      <c r="C213" s="21" t="s">
        <v>197</v>
      </c>
      <c r="D213" s="21" t="s">
        <v>385</v>
      </c>
      <c r="E213" s="13">
        <v>42991.79619212963</v>
      </c>
      <c r="F213" s="13">
        <v>42991.797581018516</v>
      </c>
      <c r="G213" s="7">
        <v>55</v>
      </c>
      <c r="H213" s="21" t="s">
        <v>558</v>
      </c>
      <c r="I213" s="13">
        <v>42991.804409722223</v>
      </c>
      <c r="J213" s="7">
        <v>0</v>
      </c>
      <c r="K213" s="89" t="str">
        <f t="shared" si="98"/>
        <v>4009/4010</v>
      </c>
      <c r="L213" s="214" t="str">
        <f>VLOOKUP(A213,'Trips&amp;Operators'!$C$1:$G$99911,5,FALSE)</f>
        <v>DELGADO DIANAH</v>
      </c>
      <c r="M213" s="6">
        <f t="shared" si="99"/>
        <v>6.8287037065601908E-3</v>
      </c>
      <c r="N213" s="7">
        <f t="shared" si="95"/>
        <v>9.8333333374466747</v>
      </c>
      <c r="O213" s="7"/>
      <c r="P213" s="7"/>
      <c r="Q213" s="22"/>
      <c r="R213" s="167"/>
      <c r="S213" s="210">
        <f t="shared" si="96"/>
        <v>1</v>
      </c>
      <c r="T213" s="192" t="str">
        <f t="shared" si="100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101"/>
        <v>https://d0f6bd738d7f1b3e5a7ca70fe4ff75f0.us-east-1.aws.found.io/app/kibana#/discover/Steve-Slow-Train-Analysis-(2080s-and-2083s)?_g=(refreshInterval:(display:Off,pause:!f,section:0,value:0),time:(from:'2017-09-13T18:06:31-0600',mode:absolute,to:'2017-09-13T20:18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94" t="str">
        <f>IF(AA213&lt;VLOOKUP(AG213,Variables!$AC$3:$AD$8,2,FALSE),"Y","N")</f>
        <v>Y</v>
      </c>
      <c r="X213" s="194">
        <f t="shared" si="97"/>
        <v>1</v>
      </c>
      <c r="Y213" s="194">
        <f t="shared" si="92"/>
        <v>4.5999999999999999E-2</v>
      </c>
      <c r="Z213" s="194">
        <f t="shared" si="93"/>
        <v>2.3300999999999998</v>
      </c>
      <c r="AA213" s="194">
        <f t="shared" si="102"/>
        <v>2.2841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 t="shared" si="103"/>
        <v>303</v>
      </c>
      <c r="AE213" s="77" t="str">
        <f t="shared" si="104"/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AF213" s="74" t="str">
        <f t="shared" si="105"/>
        <v>"C:\Program Files (x86)\AstroGrep\AstroGrep.exe" /e /r /s /spath="%USERPROFILE%\AppData\Local\Temp\OnboardLogs" /stypes="app*4010*20170914*" /stext=" 01:.+((SYSTEM_STATE.+slice.+state.+changed )|(ment ac)|(multiple cpu faults)|(system.+state.+changed )|(\[timeout)|(PRM\|1\|D)|(kpr)|(kdp)|(train st.+moving)|(\|lc)|(penalty))"</v>
      </c>
      <c r="AG213" s="206" t="str">
        <f t="shared" si="106"/>
        <v>Other</v>
      </c>
      <c r="AH213" s="78" t="str">
        <f t="shared" si="107"/>
        <v>"%USERPROFILE%\Documents\GitHub\eaglep3\Utilities\RefineRTDCRunTimes.py" --tripid 303-13 --locoid 4010 --swversion DE.1.0.9.0 --startMP 204:460 --initTime 2017-09-13T19:06:31 --startdatetime 2017-09-13T19:08:31 --delay 55 --endMP 300:23301 --enddatetime 2017-09-13T19:18:21 --enforcementcount 0 &gt;&gt;C:\Users\stu\Documents\GitHub\eaglep3-reporting\EC\2017-09-13-refined-times.txt</v>
      </c>
      <c r="AI213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{"issue":{"subject":"","project_id":79,"tracker_id":40,"status_id":1,"priority_id":2,"assigned_to_id":338,"start_date":"2017-09-13","description":"","custom_fields":[{"id":1,"name":"Subdivision","value":"Other"},{"id":4,"name":"Milepost","value":"2.3301"},{"id":17,"name":"Train ID","value":"303-13"},{"id":16,"name":"Locomotive ID","value":"4010"},{"id":130,"name":"Impact","value":""},{"id":150,"name":"Time of Event (Mountain Time)","value":"19:18:21"},{"id":151,"name":"Denver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09"/>
        <v>start /low /b %USERPROFILE%\Documents\GitHub\eaglep3\Utilities\DownloadLogsFromS3.py --loco 4010 --day 2017-09-13</v>
      </c>
      <c r="AN213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01:18:21"},{"id":29,"name":"Sharepoint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616</v>
      </c>
      <c r="B214" s="7">
        <v>4027</v>
      </c>
      <c r="C214" s="21" t="s">
        <v>197</v>
      </c>
      <c r="D214" s="21" t="s">
        <v>898</v>
      </c>
      <c r="E214" s="13">
        <v>42991.153437499997</v>
      </c>
      <c r="F214" s="13">
        <v>42991.155972222223</v>
      </c>
      <c r="G214" s="7">
        <v>55</v>
      </c>
      <c r="H214" s="21" t="s">
        <v>487</v>
      </c>
      <c r="I214" s="13">
        <v>42991.160949074074</v>
      </c>
      <c r="J214" s="7">
        <v>0</v>
      </c>
      <c r="K214" s="89" t="str">
        <f t="shared" si="98"/>
        <v>4027/4028</v>
      </c>
      <c r="L214" s="214" t="str">
        <f>VLOOKUP(A214,'Trips&amp;Operators'!$C$1:$G$99911,5,FALSE)</f>
        <v>YORK EDGAR</v>
      </c>
      <c r="M214" s="6">
        <f t="shared" si="99"/>
        <v>4.9768518510973081E-3</v>
      </c>
      <c r="N214" s="7">
        <f t="shared" si="95"/>
        <v>7.1666666655801237</v>
      </c>
      <c r="O214" s="7"/>
      <c r="P214" s="7"/>
      <c r="Q214" s="22"/>
      <c r="R214" s="167"/>
      <c r="S214" s="210">
        <f t="shared" si="96"/>
        <v>1</v>
      </c>
      <c r="T214" s="192" t="str">
        <f t="shared" si="100"/>
        <v>Southbound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 t="shared" si="101"/>
        <v>https://d0f6bd738d7f1b3e5a7ca70fe4ff75f0.us-east-1.aws.found.io/app/kibana#/discover/Steve-Slow-Train-Analysis-(2080s-and-2083s)?_g=(refreshInterval:(display:Off,pause:!f,section:0,value:0),time:(from:'2017-09-13T02:40:57-0600',mode:absolute,to:'2017-09-13T04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4" s="194" t="str">
        <f>IF(AA214&lt;VLOOKUP(AG214,Variables!$AC$3:$AD$8,2,FALSE),"Y","N")</f>
        <v>Y</v>
      </c>
      <c r="X214" s="194">
        <f t="shared" si="97"/>
        <v>1</v>
      </c>
      <c r="Y214" s="194">
        <f t="shared" si="92"/>
        <v>2.3382999999999998</v>
      </c>
      <c r="Z214" s="194">
        <f t="shared" si="93"/>
        <v>1.54E-2</v>
      </c>
      <c r="AA214" s="194">
        <f t="shared" si="102"/>
        <v>2.3228999999999997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 t="shared" si="103"/>
        <v>304</v>
      </c>
      <c r="AE214" s="77" t="str">
        <f t="shared" si="104"/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AF214" s="74" t="str">
        <f t="shared" si="105"/>
        <v>"C:\Program Files (x86)\AstroGrep\AstroGrep.exe" /e /r /s /spath="%USERPROFILE%\AppData\Local\Temp\OnboardLogs" /stypes="app*4027*20170913*" /stext=" 09:.+((SYSTEM_STATE.+slice.+state.+changed )|(ment ac)|(multiple cpu faults)|(system.+state.+changed )|(\[timeout)|(PRM\|1\|D)|(kpr)|(kdp)|(train st.+moving)|(\|lc)|(penalty))"</v>
      </c>
      <c r="AG214" s="206" t="str">
        <f t="shared" si="106"/>
        <v>Other</v>
      </c>
      <c r="AH214" s="78" t="str">
        <f t="shared" si="107"/>
        <v>"%USERPROFILE%\Documents\GitHub\eaglep3\Utilities\RefineRTDCRunTimes.py" --tripid 304-13 --locoid 4027 --swversion DE.1.0.9.0 --startMP 300:23383 --initTime 2017-09-13T03:40:57 --startdatetime 2017-09-13T03:44:36 --delay 55 --endMP 204:154 --enddatetime 2017-09-13T03:51:46 --enforcementcount 0 &gt;&gt;C:\Users\stu\Documents\GitHub\eaglep3-reporting\EC\2017-09-13-refined-times.txt</v>
      </c>
      <c r="AI214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{"issue":{"subject":"","project_id":79,"tracker_id":40,"status_id":1,"priority_id":2,"assigned_to_id":338,"start_date":"2017-09-13","description":"","custom_fields":[{"id":1,"name":"Subdivision","value":"Other"},{"id":4,"name":"Milepost","value":"0.0154"},{"id":17,"name":"Train ID","value":"304-13"},{"id":16,"name":"Locomotive ID","value":"4027"},{"id":130,"name":"Impact","value":""},{"id":150,"name":"Time of Event (Mountain Time)","value":"03:51:46"},{"id":151,"name":"Denver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9"/>
        <v>start /low /b %USERPROFILE%\Documents\GitHub\eaglep3\Utilities\DownloadLogsFromS3.py --loco 4027 --day 2017-09-13</v>
      </c>
      <c r="AN214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09:51:46"},{"id":29,"name":"Sharepoint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s="20" customFormat="1" x14ac:dyDescent="0.25">
      <c r="A215" s="32" t="s">
        <v>811</v>
      </c>
      <c r="B215" s="7">
        <v>4056</v>
      </c>
      <c r="C215" s="21" t="s">
        <v>197</v>
      </c>
      <c r="D215" s="21" t="s">
        <v>361</v>
      </c>
      <c r="E215" s="13">
        <v>42991.818310185183</v>
      </c>
      <c r="F215" s="13">
        <v>42991.819814814815</v>
      </c>
      <c r="G215" s="7">
        <v>57</v>
      </c>
      <c r="H215" s="21" t="s">
        <v>899</v>
      </c>
      <c r="I215" s="13">
        <v>42991.828668981485</v>
      </c>
      <c r="J215" s="7">
        <v>0</v>
      </c>
      <c r="K215" s="89" t="str">
        <f t="shared" si="98"/>
        <v>4055/4056</v>
      </c>
      <c r="L215" s="214" t="str">
        <f>VLOOKUP(A215,'Trips&amp;Operators'!$C$1:$G$99911,5,FALSE)</f>
        <v>HOLCOMB KAMDEN</v>
      </c>
      <c r="M215" s="6">
        <f t="shared" si="99"/>
        <v>8.8541666700621136E-3</v>
      </c>
      <c r="N215" s="7">
        <f t="shared" si="95"/>
        <v>12.750000004889444</v>
      </c>
      <c r="O215" s="7"/>
      <c r="P215" s="7"/>
      <c r="Q215" s="22"/>
      <c r="R215" s="167"/>
      <c r="S215" s="210">
        <f t="shared" si="96"/>
        <v>1</v>
      </c>
      <c r="T215" s="192" t="str">
        <f t="shared" si="100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101"/>
        <v>https://d0f6bd738d7f1b3e5a7ca70fe4ff75f0.us-east-1.aws.found.io/app/kibana#/discover/Steve-Slow-Train-Analysis-(2080s-and-2083s)?_g=(refreshInterval:(display:Off,pause:!f,section:0,value:0),time:(from:'2017-09-13T18:38:22-0600',mode:absolute,to:'2017-09-13T20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194" t="str">
        <f>IF(AA215&lt;VLOOKUP(AG215,Variables!$AC$3:$AD$8,2,FALSE),"Y","N")</f>
        <v>Y</v>
      </c>
      <c r="X215" s="194">
        <f t="shared" si="97"/>
        <v>1</v>
      </c>
      <c r="Y215" s="194">
        <f t="shared" si="92"/>
        <v>4.4900000000000002E-2</v>
      </c>
      <c r="Z215" s="194">
        <f t="shared" si="93"/>
        <v>2.3306</v>
      </c>
      <c r="AA215" s="194">
        <f t="shared" si="102"/>
        <v>2.2856999999999998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 t="shared" si="103"/>
        <v>305</v>
      </c>
      <c r="AE215" s="77" t="str">
        <f t="shared" si="104"/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AF215" s="74" t="str">
        <f t="shared" si="105"/>
        <v>"C:\Program Files (x86)\AstroGrep\AstroGrep.exe" /e /r /s /spath="%USERPROFILE%\AppData\Local\Temp\OnboardLogs" /stypes="app*4056*20170914*" /stext=" 01:.+((SYSTEM_STATE.+slice.+state.+changed )|(ment ac)|(multiple cpu faults)|(system.+state.+changed )|(\[timeout)|(PRM\|1\|D)|(kpr)|(kdp)|(train st.+moving)|(\|lc)|(penalty))"</v>
      </c>
      <c r="AG215" s="206" t="str">
        <f t="shared" si="106"/>
        <v>Other</v>
      </c>
      <c r="AH215" s="78" t="str">
        <f t="shared" si="107"/>
        <v>"%USERPROFILE%\Documents\GitHub\eaglep3\Utilities\RefineRTDCRunTimes.py" --tripid 305-13 --locoid 4056 --swversion DE.1.0.9.0 --startMP 204:449 --initTime 2017-09-13T19:38:22 --startdatetime 2017-09-13T19:40:32 --delay 57 --endMP 300:23306 --enddatetime 2017-09-13T19:53:17 --enforcementcount 0 &gt;&gt;C:\Users\stu\Documents\GitHub\eaglep3-reporting\EC\2017-09-13-refined-times.txt</v>
      </c>
      <c r="AI215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{"issue":{"subject":"","project_id":79,"tracker_id":40,"status_id":1,"priority_id":2,"assigned_to_id":338,"start_date":"2017-09-13","description":"","custom_fields":[{"id":1,"name":"Subdivision","value":"Other"},{"id":4,"name":"Milepost","value":"2.3306"},{"id":17,"name":"Train ID","value":"305-13"},{"id":16,"name":"Locomotive ID","value":"4056"},{"id":130,"name":"Impact","value":""},{"id":150,"name":"Time of Event (Mountain Time)","value":"19:53:17"},{"id":151,"name":"Denver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09"/>
        <v>start /low /b %USERPROFILE%\Documents\GitHub\eaglep3\Utilities\DownloadLogsFromS3.py --loco 4056 --day 2017-09-13</v>
      </c>
      <c r="AN215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620</v>
      </c>
      <c r="B216" s="7">
        <v>4015</v>
      </c>
      <c r="C216" s="21" t="s">
        <v>197</v>
      </c>
      <c r="D216" s="21" t="s">
        <v>900</v>
      </c>
      <c r="E216" s="13">
        <v>42991.165763888886</v>
      </c>
      <c r="F216" s="13">
        <v>42991.169710648152</v>
      </c>
      <c r="G216" s="7">
        <v>150</v>
      </c>
      <c r="H216" s="21" t="s">
        <v>372</v>
      </c>
      <c r="I216" s="13">
        <v>42991.179780092592</v>
      </c>
      <c r="J216" s="7">
        <v>0</v>
      </c>
      <c r="K216" s="89" t="str">
        <f t="shared" si="98"/>
        <v>4015/4016</v>
      </c>
      <c r="L216" s="214" t="str">
        <f>VLOOKUP(A216,'Trips&amp;Operators'!$C$1:$G$99911,5,FALSE)</f>
        <v>YANG JAN</v>
      </c>
      <c r="M216" s="6">
        <f t="shared" si="99"/>
        <v>1.006944444088731E-2</v>
      </c>
      <c r="N216" s="7">
        <f t="shared" si="95"/>
        <v>14.499999994877726</v>
      </c>
      <c r="O216" s="7"/>
      <c r="P216" s="7"/>
      <c r="Q216" s="22"/>
      <c r="R216" s="167"/>
      <c r="S216" s="210">
        <f t="shared" si="96"/>
        <v>1</v>
      </c>
      <c r="T216" s="192" t="str">
        <f t="shared" si="100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101"/>
        <v>https://d0f6bd738d7f1b3e5a7ca70fe4ff75f0.us-east-1.aws.found.io/app/kibana#/discover/Steve-Slow-Train-Analysis-(2080s-and-2083s)?_g=(refreshInterval:(display:Off,pause:!f,section:0,value:0),time:(from:'2017-09-13T02:58:42-0600',mode:absolute,to:'2017-09-13T05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194" t="str">
        <f>IF(AA216&lt;VLOOKUP(AG216,Variables!$AC$3:$AD$8,2,FALSE),"Y","N")</f>
        <v>Y</v>
      </c>
      <c r="X216" s="194">
        <f t="shared" si="97"/>
        <v>1</v>
      </c>
      <c r="Y216" s="194">
        <f t="shared" si="92"/>
        <v>2.3502000000000001</v>
      </c>
      <c r="Z216" s="194">
        <f t="shared" si="93"/>
        <v>1.5599999999999999E-2</v>
      </c>
      <c r="AA216" s="194">
        <f t="shared" si="102"/>
        <v>2.3346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 t="shared" si="103"/>
        <v>306</v>
      </c>
      <c r="AE216" s="77" t="str">
        <f t="shared" si="104"/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AF216" s="74" t="str">
        <f t="shared" si="105"/>
        <v>"C:\Program Files (x86)\AstroGrep\AstroGrep.exe" /e /r /s /spath="%USERPROFILE%\AppData\Local\Temp\OnboardLogs" /stypes="app*4015*20170913*" /stext=" 10:.+((SYSTEM_STATE.+slice.+state.+changed )|(ment ac)|(multiple cpu faults)|(system.+state.+changed )|(\[timeout)|(PRM\|1\|D)|(kpr)|(kdp)|(train st.+moving)|(\|lc)|(penalty))"</v>
      </c>
      <c r="AG216" s="206" t="str">
        <f t="shared" si="106"/>
        <v>Other</v>
      </c>
      <c r="AH216" s="78" t="str">
        <f t="shared" si="107"/>
        <v>"%USERPROFILE%\Documents\GitHub\eaglep3\Utilities\RefineRTDCRunTimes.py" --tripid 306-13 --locoid 4015 --swversion DE.1.0.9.0 --startMP 300:23502 --initTime 2017-09-13T03:58:42 --startdatetime 2017-09-13T04:04:23 --delay 150 --endMP 204:156 --enddatetime 2017-09-13T04:18:53 --enforcementcount 0 &gt;&gt;C:\Users\stu\Documents\GitHub\eaglep3-reporting\EC\2017-09-13-refined-times.txt</v>
      </c>
      <c r="AI216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{"issue":{"subject":"","project_id":79,"tracker_id":40,"status_id":1,"priority_id":2,"assigned_to_id":338,"start_date":"2017-09-13","description":"","custom_fields":[{"id":1,"name":"Subdivision","value":"Other"},{"id":4,"name":"Milepost","value":"0.0156"},{"id":17,"name":"Train ID","value":"306-13"},{"id":16,"name":"Locomotive ID","value":"4015"},{"id":130,"name":"Impact","value":""},{"id":150,"name":"Time of Event (Mountain Time)","value":"04:18:53"},{"id":151,"name":"Denver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09"/>
        <v>start /low /b %USERPROFILE%\Documents\GitHub\eaglep3\Utilities\DownloadLogsFromS3.py --loco 4015 --day 2017-09-13</v>
      </c>
      <c r="AN216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836</v>
      </c>
      <c r="B217" s="7">
        <v>4006</v>
      </c>
      <c r="C217" s="21" t="s">
        <v>197</v>
      </c>
      <c r="D217" s="21" t="s">
        <v>382</v>
      </c>
      <c r="E217" s="13">
        <v>42992.030532407407</v>
      </c>
      <c r="F217" s="13">
        <v>42992.031678240739</v>
      </c>
      <c r="G217" s="7">
        <v>46</v>
      </c>
      <c r="H217" s="21" t="s">
        <v>901</v>
      </c>
      <c r="I217" s="13">
        <v>42992.038761574076</v>
      </c>
      <c r="J217" s="7">
        <v>0</v>
      </c>
      <c r="K217" s="89" t="str">
        <f t="shared" si="98"/>
        <v>4005/4006</v>
      </c>
      <c r="L217" s="214" t="str">
        <f>VLOOKUP(A217,'Trips&amp;Operators'!$C$1:$G$99911,5,FALSE)</f>
        <v>PERKINS DARREN</v>
      </c>
      <c r="M217" s="6">
        <f t="shared" si="99"/>
        <v>7.0833333375048824E-3</v>
      </c>
      <c r="N217" s="7">
        <f t="shared" si="95"/>
        <v>10.200000006007031</v>
      </c>
      <c r="O217" s="7"/>
      <c r="P217" s="7"/>
      <c r="Q217" s="22"/>
      <c r="R217" s="167"/>
      <c r="S217" s="210">
        <f t="shared" si="96"/>
        <v>1</v>
      </c>
      <c r="T217" s="192" t="str">
        <f t="shared" si="100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101"/>
        <v>https://d0f6bd738d7f1b3e5a7ca70fe4ff75f0.us-east-1.aws.found.io/app/kibana#/discover/Steve-Slow-Train-Analysis-(2080s-and-2083s)?_g=(refreshInterval:(display:Off,pause:!f,section:0,value:0),time:(from:'2017-09-13T23:43:58-0600',mode:absolute,to:'2017-09-14T01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194" t="str">
        <f>IF(AA217&lt;VLOOKUP(AG217,Variables!$AC$3:$AD$8,2,FALSE),"Y","N")</f>
        <v>Y</v>
      </c>
      <c r="X217" s="194">
        <f t="shared" si="97"/>
        <v>1</v>
      </c>
      <c r="Y217" s="194">
        <f t="shared" si="92"/>
        <v>4.4200000000000003E-2</v>
      </c>
      <c r="Z217" s="194">
        <f t="shared" si="93"/>
        <v>2.3294999999999999</v>
      </c>
      <c r="AA217" s="194">
        <f t="shared" si="102"/>
        <v>2.2852999999999999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 t="shared" si="103"/>
        <v>307</v>
      </c>
      <c r="AE217" s="77" t="str">
        <f t="shared" si="104"/>
        <v>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 &amp; aws s3 cp s3://rtdc.mdm.uploadarchive.raw/RTDC4006/ "%USERPROFILE%\AppData\Local\Temp\OnboardLogs"\RTDC4006\2017-09-15 --exclude "*" --recursive --include "*20170915*" &amp; "%USERPROFILE%\Documents\GitHub\mrs-test-scripts\Headless Mode &amp; Sideloading\WalkAndUnGZ.bat" "%USERPROFILE%\AppData\Local\Temp\OnboardLogs"\RTDC4006\2017-09-15</v>
      </c>
      <c r="AF217" s="74" t="str">
        <f t="shared" si="105"/>
        <v>"C:\Program Files (x86)\AstroGrep\AstroGrep.exe" /e /r /s /spath="%USERPROFILE%\AppData\Local\Temp\OnboardLogs" /stypes="app*4006*20170914*" /stext=" 06:.+((SYSTEM_STATE.+slice.+state.+changed )|(ment ac)|(multiple cpu faults)|(system.+state.+changed )|(\[timeout)|(PRM\|1\|D)|(kpr)|(kdp)|(train st.+moving)|(\|lc)|(penalty))"</v>
      </c>
      <c r="AG217" s="206" t="str">
        <f t="shared" si="106"/>
        <v>Other</v>
      </c>
      <c r="AH217" s="78" t="str">
        <f t="shared" si="107"/>
        <v>"%USERPROFILE%\Documents\GitHub\eaglep3\Utilities\RefineRTDCRunTimes.py" --tripid 307-13 --locoid 4006 --swversion DE.1.0.9.0 --startMP 204:442 --initTime 2017-09-14T00:43:58 --startdatetime 2017-09-14T00:45:37 --delay 46 --endMP 300:23295 --enddatetime 2017-09-14T00:55:49 --enforcementcount 0 &gt;&gt;C:\Users\stu\Documents\GitHub\eaglep3-reporting\EC\2017-09-13-refined-times.txt</v>
      </c>
      <c r="AI217" s="96" t="str">
        <f t="shared" si="108"/>
        <v>echo {"issue":{"subject":"","project_id":79,"tracker_id":40,"status_id":1,"priority_id":2,"assigned_to_id":338,"start_date":"2017-09-14","description":"","custom_fields":[{"id":1,"name":"Subdivision","value":"Other"},{"id":4,"name":"Milepost","value":"2.3295"},{"id":17,"name":"Train ID","value":"307-13"},{"id":16,"name":"Locomotive ID","value":"4006"},{"id":130,"name":"Impact","value":""},{"id":150,"name":"Time of Event (Mountain Time)","value":"00:55:49"},{"id":151,"name":"Denver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09"/>
        <v>start /low /b %USERPROFILE%\Documents\GitHub\eaglep3\Utilities\DownloadLogsFromS3.py --loco 4006 --day 2017-09-14</v>
      </c>
      <c r="AN217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06:55:49"},{"id":29,"name":"Sharepoint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581</v>
      </c>
      <c r="B218" s="7">
        <v>4043</v>
      </c>
      <c r="C218" s="21" t="s">
        <v>197</v>
      </c>
      <c r="D218" s="21" t="s">
        <v>902</v>
      </c>
      <c r="E218" s="13">
        <v>42991.174039351848</v>
      </c>
      <c r="F218" s="13">
        <v>42991.184884259259</v>
      </c>
      <c r="G218" s="7">
        <v>55</v>
      </c>
      <c r="H218" s="21" t="s">
        <v>903</v>
      </c>
      <c r="I218" s="13">
        <v>42991.185034722221</v>
      </c>
      <c r="J218" s="7">
        <v>0</v>
      </c>
      <c r="K218" s="89" t="str">
        <f t="shared" si="98"/>
        <v>4043/4044</v>
      </c>
      <c r="L218" s="214" t="str">
        <f>VLOOKUP(A218,'Trips&amp;Operators'!$C$1:$G$99911,5,FALSE)</f>
        <v>DAVIS WENDY</v>
      </c>
      <c r="M218" s="6">
        <f t="shared" si="99"/>
        <v>1.5046296175569296E-4</v>
      </c>
      <c r="N218" s="7">
        <f t="shared" si="95"/>
        <v>0.21666666492819786</v>
      </c>
      <c r="O218" s="7"/>
      <c r="P218" s="7"/>
      <c r="Q218" s="22"/>
      <c r="R218" s="167"/>
      <c r="S218" s="210">
        <f t="shared" si="96"/>
        <v>0</v>
      </c>
      <c r="T218" s="192" t="str">
        <f t="shared" si="100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3" t="str">
        <f t="shared" si="101"/>
        <v>https://d0f6bd738d7f1b3e5a7ca70fe4ff75f0.us-east-1.aws.found.io/app/kibana#/discover/Steve-Slow-Train-Analysis-(2080s-and-2083s)?_g=(refreshInterval:(display:Off,pause:!f,section:0,value:0),time:(from:'2017-09-13T03:10:37-0600',mode:absolute,to:'2017-09-13T05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194" t="str">
        <f>IF(AA218&lt;VLOOKUP(AG218,Variables!$AC$3:$AD$8,2,FALSE),"Y","N")</f>
        <v>Y</v>
      </c>
      <c r="X218" s="194">
        <f t="shared" si="97"/>
        <v>1</v>
      </c>
      <c r="Y218" s="194">
        <f t="shared" si="92"/>
        <v>2.2507999999999999</v>
      </c>
      <c r="Z218" s="194">
        <f t="shared" si="93"/>
        <v>2.1798999999999999</v>
      </c>
      <c r="AA218" s="194">
        <f t="shared" si="102"/>
        <v>7.0899999999999963E-2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 t="shared" si="103"/>
        <v>308</v>
      </c>
      <c r="AE218" s="77" t="str">
        <f t="shared" si="104"/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AF218" s="74" t="str">
        <f t="shared" si="105"/>
        <v>"C:\Program Files (x86)\AstroGrep\AstroGrep.exe" /e /r /s /spath="%USERPROFILE%\AppData\Local\Temp\OnboardLogs" /stypes="app*4043*20170913*" /stext=" 10:.+((SYSTEM_STATE.+slice.+state.+changed )|(ment ac)|(multiple cpu faults)|(system.+state.+changed )|(\[timeout)|(PRM\|1\|D)|(kpr)|(kdp)|(train st.+moving)|(\|lc)|(penalty))"</v>
      </c>
      <c r="AG218" s="206" t="str">
        <f t="shared" si="106"/>
        <v>Other</v>
      </c>
      <c r="AH218" s="78" t="str">
        <f t="shared" si="107"/>
        <v>"%USERPROFILE%\Documents\GitHub\eaglep3\Utilities\RefineRTDCRunTimes.py" --tripid 308-13 --locoid 4043 --swversion DE.1.0.9.0 --startMP 300:22508 --initTime 2017-09-13T04:10:37 --startdatetime 2017-09-13T04:26:14 --delay 55 --endMP 300:21799 --enddatetime 2017-09-13T04:26:27 --enforcementcount 0 &gt;&gt;C:\Users\stu\Documents\GitHub\eaglep3-reporting\EC\2017-09-13-refined-times.txt</v>
      </c>
      <c r="AI218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{"issue":{"subject":"","project_id":79,"tracker_id":40,"status_id":1,"priority_id":2,"assigned_to_id":338,"start_date":"2017-09-13","description":"","custom_fields":[{"id":1,"name":"Subdivision","value":"Other"},{"id":4,"name":"Milepost","value":"2.1799"},{"id":17,"name":"Train ID","value":"308-13"},{"id":16,"name":"Locomotive ID","value":"4043"},{"id":130,"name":"Impact","value":""},{"id":150,"name":"Time of Event (Mountain Time)","value":"04:26:27"},{"id":151,"name":"Denver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9"/>
        <v>start /low /b %USERPROFILE%\Documents\GitHub\eaglep3\Utilities\DownloadLogsFromS3.py --loco 4043 --day 2017-09-13</v>
      </c>
      <c r="AN218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838</v>
      </c>
      <c r="B219" s="7">
        <v>4020</v>
      </c>
      <c r="C219" s="21" t="s">
        <v>197</v>
      </c>
      <c r="D219" s="21" t="s">
        <v>361</v>
      </c>
      <c r="E219" s="13">
        <v>42992.046990740739</v>
      </c>
      <c r="F219" s="13">
        <v>42992.048101851855</v>
      </c>
      <c r="G219" s="7">
        <v>53</v>
      </c>
      <c r="H219" s="21" t="s">
        <v>556</v>
      </c>
      <c r="I219" s="13">
        <v>42992.054224537038</v>
      </c>
      <c r="J219" s="7">
        <v>0</v>
      </c>
      <c r="K219" s="89" t="str">
        <f t="shared" si="98"/>
        <v>4019/4020</v>
      </c>
      <c r="L219" s="214" t="str">
        <f>VLOOKUP(A219,'Trips&amp;Operators'!$C$1:$G$99911,5,FALSE)</f>
        <v>DUNCAN SHEILA</v>
      </c>
      <c r="M219" s="6">
        <f t="shared" si="99"/>
        <v>6.1226851830724627E-3</v>
      </c>
      <c r="N219" s="7">
        <f t="shared" si="95"/>
        <v>8.8166666636243463</v>
      </c>
      <c r="O219" s="7"/>
      <c r="P219" s="7"/>
      <c r="Q219" s="22"/>
      <c r="R219" s="167"/>
      <c r="S219" s="210">
        <f t="shared" si="96"/>
        <v>1</v>
      </c>
      <c r="T219" s="192" t="str">
        <f t="shared" si="100"/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3" t="str">
        <f t="shared" si="101"/>
        <v>https://d0f6bd738d7f1b3e5a7ca70fe4ff75f0.us-east-1.aws.found.io/app/kibana#/discover/Steve-Slow-Train-Analysis-(2080s-and-2083s)?_g=(refreshInterval:(display:Off,pause:!f,section:0,value:0),time:(from:'2017-09-14T00:07:40-0600',mode:absolute,to:'2017-09-14T02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9" s="194" t="str">
        <f>IF(AA219&lt;VLOOKUP(AG219,Variables!$AC$3:$AD$8,2,FALSE),"Y","N")</f>
        <v>Y</v>
      </c>
      <c r="X219" s="194">
        <f t="shared" si="97"/>
        <v>1</v>
      </c>
      <c r="Y219" s="194">
        <f t="shared" si="92"/>
        <v>4.4900000000000002E-2</v>
      </c>
      <c r="Z219" s="194">
        <f t="shared" si="93"/>
        <v>2.3346</v>
      </c>
      <c r="AA219" s="194">
        <f t="shared" si="102"/>
        <v>2.2896999999999998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 t="shared" si="103"/>
        <v>309</v>
      </c>
      <c r="AE219" s="77" t="str">
        <f t="shared" si="104"/>
        <v>aws s3 cp s3://rtdc.mdm.uploadarchive.raw/RTDC4020/ "%USERPROFILE%\AppData\Local\Temp\OnboardLogs"\RTDC4020\2017-09-14 --exclude "*" --recursive --include "*20170914*" &amp; "%USERPROFILE%\Documents\GitHub\mrs-test-scripts\Headless Mode &amp; Sideloading\WalkAndUnGZ.bat" "%USERPROFILE%\AppData\Local\Temp\OnboardLogs"\RTDC4020\2017-09-14 &amp; aws s3 cp s3://rtdc.mdm.uploadarchive.raw/RTDC4020/ "%USERPROFILE%\AppData\Local\Temp\OnboardLogs"\RTDC4020\2017-09-15 --exclude "*" --recursive --include "*20170915*" &amp; "%USERPROFILE%\Documents\GitHub\mrs-test-scripts\Headless Mode &amp; Sideloading\WalkAndUnGZ.bat" "%USERPROFILE%\AppData\Local\Temp\OnboardLogs"\RTDC4020\2017-09-15</v>
      </c>
      <c r="AF219" s="74" t="str">
        <f t="shared" si="105"/>
        <v>"C:\Program Files (x86)\AstroGrep\AstroGrep.exe" /e /r /s /spath="%USERPROFILE%\AppData\Local\Temp\OnboardLogs" /stypes="app*4020*20170914*" /stext=" 07:.+((SYSTEM_STATE.+slice.+state.+changed )|(ment ac)|(multiple cpu faults)|(system.+state.+changed )|(\[timeout)|(PRM\|1\|D)|(kpr)|(kdp)|(train st.+moving)|(\|lc)|(penalty))"</v>
      </c>
      <c r="AG219" s="206" t="str">
        <f t="shared" si="106"/>
        <v>Other</v>
      </c>
      <c r="AH219" s="78" t="str">
        <f t="shared" si="107"/>
        <v>"%USERPROFILE%\Documents\GitHub\eaglep3\Utilities\RefineRTDCRunTimes.py" --tripid 309-13 --locoid 4020 --swversion DE.1.0.9.0 --startMP 204:449 --initTime 2017-09-14T01:07:40 --startdatetime 2017-09-14T01:09:16 --delay 53 --endMP 300:23346 --enddatetime 2017-09-14T01:18:05 --enforcementcount 0 &gt;&gt;C:\Users\stu\Documents\GitHub\eaglep3-reporting\EC\2017-09-13-refined-times.txt</v>
      </c>
      <c r="AI219" s="96" t="str">
        <f t="shared" si="108"/>
        <v>echo {"issue":{"subject":"","project_id":79,"tracker_id":40,"status_id":1,"priority_id":2,"assigned_to_id":338,"start_date":"2017-09-14","description":"","custom_fields":[{"id":1,"name":"Subdivision","value":"Other"},{"id":4,"name":"Milepost","value":"2.3346"},{"id":17,"name":"Train ID","value":"309-13"},{"id":16,"name":"Locomotive ID","value":"4020"},{"id":130,"name":"Impact","value":""},{"id":150,"name":"Time of Event (Mountain Time)","value":"01:18:05"},{"id":151,"name":"Denver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9"/>
        <v>start /low /b %USERPROFILE%\Documents\GitHub\eaglep3\Utilities\DownloadLogsFromS3.py --loco 4020 --day 2017-09-14</v>
      </c>
      <c r="AN219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07:18:05"},{"id":29,"name":"Sharepoint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626</v>
      </c>
      <c r="B220" s="7">
        <v>4009</v>
      </c>
      <c r="C220" s="21" t="s">
        <v>197</v>
      </c>
      <c r="D220" s="21" t="s">
        <v>904</v>
      </c>
      <c r="E220" s="13">
        <v>42991.196342592593</v>
      </c>
      <c r="F220" s="13">
        <v>42991.198912037034</v>
      </c>
      <c r="G220" s="7">
        <v>85</v>
      </c>
      <c r="H220" s="21" t="s">
        <v>360</v>
      </c>
      <c r="I220" s="13">
        <v>42991.204224537039</v>
      </c>
      <c r="J220" s="7">
        <v>0</v>
      </c>
      <c r="K220" s="89" t="str">
        <f t="shared" si="98"/>
        <v>4009/4010</v>
      </c>
      <c r="L220" s="214" t="str">
        <f>VLOOKUP(A220,'Trips&amp;Operators'!$C$1:$G$99911,5,FALSE)</f>
        <v>YANAI IAN</v>
      </c>
      <c r="M220" s="6">
        <f t="shared" si="99"/>
        <v>5.3125000049476512E-3</v>
      </c>
      <c r="N220" s="7">
        <f t="shared" si="95"/>
        <v>7.6500000071246177</v>
      </c>
      <c r="O220" s="7"/>
      <c r="P220" s="7"/>
      <c r="Q220" s="22"/>
      <c r="R220" s="167"/>
      <c r="S220" s="210">
        <f t="shared" si="96"/>
        <v>1</v>
      </c>
      <c r="T220" s="192" t="str">
        <f t="shared" si="100"/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 t="shared" si="101"/>
        <v>https://d0f6bd738d7f1b3e5a7ca70fe4ff75f0.us-east-1.aws.found.io/app/kibana#/discover/Steve-Slow-Train-Analysis-(2080s-and-2083s)?_g=(refreshInterval:(display:Off,pause:!f,section:0,value:0),time:(from:'2017-09-13T03:42:44-0600',mode:absolute,to:'2017-09-13T05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194" t="str">
        <f>IF(AA220&lt;VLOOKUP(AG220,Variables!$AC$3:$AD$8,2,FALSE),"Y","N")</f>
        <v>Y</v>
      </c>
      <c r="X220" s="194">
        <f t="shared" si="97"/>
        <v>1</v>
      </c>
      <c r="Y220" s="194">
        <f t="shared" ref="Y220:Y249" si="111">RIGHT(D220,LEN(D220)-4)/10000</f>
        <v>2.3660000000000001</v>
      </c>
      <c r="Z220" s="194">
        <f t="shared" ref="Z220:Z249" si="112">RIGHT(H220,LEN(H220)-4)/10000</f>
        <v>1.52E-2</v>
      </c>
      <c r="AA220" s="194">
        <f t="shared" si="102"/>
        <v>2.3508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 t="shared" si="103"/>
        <v>310</v>
      </c>
      <c r="AE220" s="77" t="str">
        <f t="shared" si="104"/>
        <v>aws s3 cp s3://rtdc.mdm.uploadarchive.raw/RTDC4009/ "%USERPROFILE%\AppData\Local\Temp\OnboardLogs"\RTDC4009\2017-09-13 --exclude "*" --recursive --include "*20170913*" &amp; "%USERPROFILE%\Documents\GitHub\mrs-test-scripts\Headless Mode &amp; Sideloading\WalkAndUnGZ.bat" "%USERPROFILE%\AppData\Local\Temp\OnboardLogs"\RTDC4009\2017-09-13 &amp; aws s3 cp s3://rtdc.mdm.uploadarchive.raw/RTDC4009/ "%USERPROFILE%\AppData\Local\Temp\OnboardLogs"\RTDC4009\2017-09-14 --exclude "*" --recursive --include "*20170914*" &amp; "%USERPROFILE%\Documents\GitHub\mrs-test-scripts\Headless Mode &amp; Sideloading\WalkAndUnGZ.bat" "%USERPROFILE%\AppData\Local\Temp\OnboardLogs"\RTDC4009\2017-09-14</v>
      </c>
      <c r="AF220" s="74" t="str">
        <f t="shared" si="105"/>
        <v>"C:\Program Files (x86)\AstroGrep\AstroGrep.exe" /e /r /s /spath="%USERPROFILE%\AppData\Local\Temp\OnboardLogs" /stypes="app*4009*20170913*" /stext=" 10:.+((SYSTEM_STATE.+slice.+state.+changed )|(ment ac)|(multiple cpu faults)|(system.+state.+changed )|(\[timeout)|(PRM\|1\|D)|(kpr)|(kdp)|(train st.+moving)|(\|lc)|(penalty))"</v>
      </c>
      <c r="AG220" s="206" t="str">
        <f t="shared" si="106"/>
        <v>Other</v>
      </c>
      <c r="AH220" s="78" t="str">
        <f t="shared" si="107"/>
        <v>"%USERPROFILE%\Documents\GitHub\eaglep3\Utilities\RefineRTDCRunTimes.py" --tripid 310-13 --locoid 4009 --swversion DE.1.0.9.0 --startMP 300:23660 --initTime 2017-09-13T04:42:44 --startdatetime 2017-09-13T04:46:26 --delay 85 --endMP 204:152 --enddatetime 2017-09-13T04:54:05 --enforcementcount 0 &gt;&gt;C:\Users\stu\Documents\GitHub\eaglep3-reporting\EC\2017-09-13-refined-times.txt</v>
      </c>
      <c r="AI220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{"issue":{"subject":"","project_id":79,"tracker_id":40,"status_id":1,"priority_id":2,"assigned_to_id":338,"start_date":"2017-09-13","description":"","custom_fields":[{"id":1,"name":"Subdivision","value":"Other"},{"id":4,"name":"Milepost","value":"0.0152"},{"id":17,"name":"Train ID","value":"310-13"},{"id":16,"name":"Locomotive ID","value":"4009"},{"id":130,"name":"Impact","value":""},{"id":150,"name":"Time of Event (Mountain Time)","value":"04:54:05"},{"id":151,"name":"Denver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9"/>
        <v>start /low /b %USERPROFILE%\Documents\GitHub\eaglep3\Utilities\DownloadLogsFromS3.py --loco 4009 --day 2017-09-13</v>
      </c>
      <c r="AN220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840</v>
      </c>
      <c r="B221" s="7">
        <v>4028</v>
      </c>
      <c r="C221" s="21" t="s">
        <v>197</v>
      </c>
      <c r="D221" s="21" t="s">
        <v>905</v>
      </c>
      <c r="E221" s="13">
        <v>42992.066261574073</v>
      </c>
      <c r="F221" s="13">
        <v>42992.067835648151</v>
      </c>
      <c r="G221" s="7">
        <v>72</v>
      </c>
      <c r="H221" s="21" t="s">
        <v>906</v>
      </c>
      <c r="I221" s="13">
        <v>42992.077708333331</v>
      </c>
      <c r="J221" s="7">
        <v>0</v>
      </c>
      <c r="K221" s="89" t="str">
        <f t="shared" si="98"/>
        <v>4027/4028</v>
      </c>
      <c r="L221" s="214" t="str">
        <f>VLOOKUP(A221,'Trips&amp;Operators'!$C$1:$G$99911,5,FALSE)</f>
        <v>LOZA FIDEL</v>
      </c>
      <c r="M221" s="6">
        <f t="shared" si="99"/>
        <v>9.8726851792889647E-3</v>
      </c>
      <c r="N221" s="7">
        <f t="shared" si="95"/>
        <v>14.216666658176109</v>
      </c>
      <c r="O221" s="7"/>
      <c r="P221" s="7"/>
      <c r="Q221" s="22"/>
      <c r="R221" s="167"/>
      <c r="S221" s="210">
        <f t="shared" si="96"/>
        <v>1</v>
      </c>
      <c r="T221" s="192" t="str">
        <f t="shared" si="100"/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 t="shared" si="101"/>
        <v>https://d0f6bd738d7f1b3e5a7ca70fe4ff75f0.us-east-1.aws.found.io/app/kibana#/discover/Steve-Slow-Train-Analysis-(2080s-and-2083s)?_g=(refreshInterval:(display:Off,pause:!f,section:0,value:0),time:(from:'2017-09-14T00:35:25-0600',mode:absolute,to:'2017-09-14T02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194" t="str">
        <f>IF(AA221&lt;VLOOKUP(AG221,Variables!$AC$3:$AD$8,2,FALSE),"Y","N")</f>
        <v>Y</v>
      </c>
      <c r="X221" s="194">
        <f t="shared" si="97"/>
        <v>1</v>
      </c>
      <c r="Y221" s="194">
        <f t="shared" si="111"/>
        <v>4.9299999999999997E-2</v>
      </c>
      <c r="Z221" s="194">
        <f t="shared" si="112"/>
        <v>2.3298999999999999</v>
      </c>
      <c r="AA221" s="194">
        <f t="shared" si="102"/>
        <v>2.2805999999999997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 t="shared" si="103"/>
        <v>311</v>
      </c>
      <c r="AE221" s="77" t="str">
        <f t="shared" si="104"/>
        <v>aws s3 cp s3://rtdc.mdm.uploadarchive.raw/RTDC4028/ "%USERPROFILE%\AppData\Local\Temp\OnboardLogs"\RTDC4028\2017-09-14 --exclude "*" --recursive --include "*20170914*" &amp; "%USERPROFILE%\Documents\GitHub\mrs-test-scripts\Headless Mode &amp; Sideloading\WalkAndUnGZ.bat" "%USERPROFILE%\AppData\Local\Temp\OnboardLogs"\RTDC4028\2017-09-14 &amp; aws s3 cp s3://rtdc.mdm.uploadarchive.raw/RTDC4028/ "%USERPROFILE%\AppData\Local\Temp\OnboardLogs"\RTDC4028\2017-09-15 --exclude "*" --recursive --include "*20170915*" &amp; "%USERPROFILE%\Documents\GitHub\mrs-test-scripts\Headless Mode &amp; Sideloading\WalkAndUnGZ.bat" "%USERPROFILE%\AppData\Local\Temp\OnboardLogs"\RTDC4028\2017-09-15</v>
      </c>
      <c r="AF221" s="74" t="str">
        <f t="shared" si="105"/>
        <v>"C:\Program Files (x86)\AstroGrep\AstroGrep.exe" /e /r /s /spath="%USERPROFILE%\AppData\Local\Temp\OnboardLogs" /stypes="app*4028*20170914*" /stext=" 07:.+((SYSTEM_STATE.+slice.+state.+changed )|(ment ac)|(multiple cpu faults)|(system.+state.+changed )|(\[timeout)|(PRM\|1\|D)|(kpr)|(kdp)|(train st.+moving)|(\|lc)|(penalty))"</v>
      </c>
      <c r="AG221" s="206" t="str">
        <f t="shared" si="106"/>
        <v>Other</v>
      </c>
      <c r="AH221" s="78" t="str">
        <f t="shared" si="107"/>
        <v>"%USERPROFILE%\Documents\GitHub\eaglep3\Utilities\RefineRTDCRunTimes.py" --tripid 311-13 --locoid 4028 --swversion DE.1.0.9.0 --startMP 204:493 --initTime 2017-09-14T01:35:25 --startdatetime 2017-09-14T01:37:41 --delay 72 --endMP 300:23299 --enddatetime 2017-09-14T01:51:54 --enforcementcount 0 &gt;&gt;C:\Users\stu\Documents\GitHub\eaglep3-reporting\EC\2017-09-13-refined-times.txt</v>
      </c>
      <c r="AI221" s="96" t="str">
        <f t="shared" si="108"/>
        <v>echo {"issue":{"subject":"","project_id":79,"tracker_id":40,"status_id":1,"priority_id":2,"assigned_to_id":338,"start_date":"2017-09-14","description":"","custom_fields":[{"id":1,"name":"Subdivision","value":"Other"},{"id":4,"name":"Milepost","value":"2.3299"},{"id":17,"name":"Train ID","value":"311-13"},{"id":16,"name":"Locomotive ID","value":"4028"},{"id":130,"name":"Impact","value":""},{"id":150,"name":"Time of Event (Mountain Time)","value":"01:51:54"},{"id":151,"name":"Denver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09"/>
        <v>start /low /b %USERPROFILE%\Documents\GitHub\eaglep3\Utilities\DownloadLogsFromS3.py --loco 4028 --day 2017-09-14</v>
      </c>
      <c r="AN221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07:51:54"},{"id":29,"name":"Sharepoint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633</v>
      </c>
      <c r="B222" s="7">
        <v>4055</v>
      </c>
      <c r="C222" s="21" t="s">
        <v>197</v>
      </c>
      <c r="D222" s="21" t="s">
        <v>907</v>
      </c>
      <c r="E222" s="13">
        <v>42991.220902777779</v>
      </c>
      <c r="F222" s="13">
        <v>42991.223935185182</v>
      </c>
      <c r="G222" s="7">
        <v>81</v>
      </c>
      <c r="H222" s="21" t="s">
        <v>366</v>
      </c>
      <c r="I222" s="13">
        <v>42991.233368055553</v>
      </c>
      <c r="J222" s="7">
        <v>0</v>
      </c>
      <c r="K222" s="89" t="str">
        <f t="shared" si="98"/>
        <v>4055/4056</v>
      </c>
      <c r="L222" s="214" t="str">
        <f>VLOOKUP(A222,'Trips&amp;Operators'!$C$1:$G$99911,5,FALSE)</f>
        <v>FORTUNATO FRANK</v>
      </c>
      <c r="M222" s="6">
        <f t="shared" si="99"/>
        <v>9.4328703708015382E-3</v>
      </c>
      <c r="N222" s="7">
        <f t="shared" si="95"/>
        <v>13.583333333954215</v>
      </c>
      <c r="O222" s="7"/>
      <c r="P222" s="7"/>
      <c r="Q222" s="22"/>
      <c r="R222" s="167"/>
      <c r="S222" s="210">
        <f t="shared" si="96"/>
        <v>1</v>
      </c>
      <c r="T222" s="192" t="str">
        <f t="shared" si="100"/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 t="shared" si="101"/>
        <v>https://d0f6bd738d7f1b3e5a7ca70fe4ff75f0.us-east-1.aws.found.io/app/kibana#/discover/Steve-Slow-Train-Analysis-(2080s-and-2083s)?_g=(refreshInterval:(display:Off,pause:!f,section:0,value:0),time:(from:'2017-09-13T04:18:06-0600',mode:absolute,to:'2017-09-13T06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194" t="str">
        <f>IF(AA222&lt;VLOOKUP(AG222,Variables!$AC$3:$AD$8,2,FALSE),"Y","N")</f>
        <v>Y</v>
      </c>
      <c r="X222" s="194">
        <f t="shared" si="97"/>
        <v>1</v>
      </c>
      <c r="Y222" s="194">
        <f t="shared" si="111"/>
        <v>2.3628999999999998</v>
      </c>
      <c r="Z222" s="194">
        <f t="shared" si="112"/>
        <v>1.4500000000000001E-2</v>
      </c>
      <c r="AA222" s="194">
        <f t="shared" si="102"/>
        <v>2.3483999999999998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 t="shared" si="103"/>
        <v>312</v>
      </c>
      <c r="AE222" s="77" t="str">
        <f t="shared" si="104"/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AF222" s="74" t="str">
        <f t="shared" si="105"/>
        <v>"C:\Program Files (x86)\AstroGrep\AstroGrep.exe" /e /r /s /spath="%USERPROFILE%\AppData\Local\Temp\OnboardLogs" /stypes="app*4055*20170913*" /stext=" 11:.+((SYSTEM_STATE.+slice.+state.+changed )|(ment ac)|(multiple cpu faults)|(system.+state.+changed )|(\[timeout)|(PRM\|1\|D)|(kpr)|(kdp)|(train st.+moving)|(\|lc)|(penalty))"</v>
      </c>
      <c r="AG222" s="206" t="str">
        <f t="shared" si="106"/>
        <v>Other</v>
      </c>
      <c r="AH222" s="78" t="str">
        <f t="shared" si="107"/>
        <v>"%USERPROFILE%\Documents\GitHub\eaglep3\Utilities\RefineRTDCRunTimes.py" --tripid 312-13 --locoid 4055 --swversion DE.1.0.9.0 --startMP 300:23629 --initTime 2017-09-13T05:18:06 --startdatetime 2017-09-13T05:22:28 --delay 81 --endMP 204:145 --enddatetime 2017-09-13T05:36:03 --enforcementcount 0 &gt;&gt;C:\Users\stu\Documents\GitHub\eaglep3-reporting\EC\2017-09-13-refined-times.txt</v>
      </c>
      <c r="AI222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{"issue":{"subject":"","project_id":79,"tracker_id":40,"status_id":1,"priority_id":2,"assigned_to_id":338,"start_date":"2017-09-13","description":"","custom_fields":[{"id":1,"name":"Subdivision","value":"Other"},{"id":4,"name":"Milepost","value":"0.0145"},{"id":17,"name":"Train ID","value":"312-13"},{"id":16,"name":"Locomotive ID","value":"4055"},{"id":130,"name":"Impact","value":""},{"id":150,"name":"Time of Event (Mountain Time)","value":"05:36:03"},{"id":151,"name":"Denver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9"/>
        <v>start /low /b %USERPROFILE%\Documents\GitHub\eaglep3\Utilities\DownloadLogsFromS3.py --loco 4055 --day 2017-09-13</v>
      </c>
      <c r="AN222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841</v>
      </c>
      <c r="B223" s="7">
        <v>4016</v>
      </c>
      <c r="C223" s="21" t="s">
        <v>197</v>
      </c>
      <c r="D223" s="21" t="s">
        <v>540</v>
      </c>
      <c r="E223" s="13">
        <v>42992.088263888887</v>
      </c>
      <c r="F223" s="13">
        <v>42992.090196759258</v>
      </c>
      <c r="G223" s="7">
        <v>48</v>
      </c>
      <c r="H223" s="21" t="s">
        <v>505</v>
      </c>
      <c r="I223" s="13">
        <v>25568.708333333332</v>
      </c>
      <c r="J223" s="7">
        <v>0</v>
      </c>
      <c r="K223" s="89" t="str">
        <f t="shared" si="98"/>
        <v>4015/4016</v>
      </c>
      <c r="L223" s="214" t="str">
        <f>VLOOKUP(A223,'Trips&amp;Operators'!$C$1:$G$99911,5,FALSE)</f>
        <v>HART KEVIN</v>
      </c>
      <c r="M223" s="6">
        <f t="shared" si="99"/>
        <v>-17423.381863425926</v>
      </c>
      <c r="N223" s="7">
        <f t="shared" ref="N223:N249" si="113">24*60*SUM($M223:$M223)</f>
        <v>-25089669.883333333</v>
      </c>
      <c r="O223" s="7"/>
      <c r="P223" s="7"/>
      <c r="Q223" s="22"/>
      <c r="R223" s="167"/>
      <c r="S223" s="210">
        <f t="shared" ref="S223:S249" si="114">1/IF(AG223="EC",12,1)*SUM(U223:U223)</f>
        <v>1</v>
      </c>
      <c r="T223" s="192" t="str">
        <f t="shared" si="100"/>
        <v>NorthBound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3" t="str">
        <f t="shared" si="101"/>
        <v>https://d0f6bd738d7f1b3e5a7ca70fe4ff75f0.us-east-1.aws.found.io/app/kibana#/discover/Steve-Slow-Train-Analysis-(2080s-and-2083s)?_g=(refreshInterval:(display:Off,pause:!f,section:0,value:0),time:(from:'2017-09-14T01:07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3" s="194" t="str">
        <f>IF(AA223&lt;VLOOKUP(AG223,Variables!$AC$3:$AD$8,2,FALSE),"Y","N")</f>
        <v>Y</v>
      </c>
      <c r="X223" s="194">
        <f t="shared" si="97"/>
        <v>1</v>
      </c>
      <c r="Y223" s="194">
        <f t="shared" si="111"/>
        <v>4.24E-2</v>
      </c>
      <c r="Z223" s="194">
        <f t="shared" si="112"/>
        <v>2.3302</v>
      </c>
      <c r="AA223" s="194">
        <f t="shared" si="102"/>
        <v>2.2877999999999998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 t="shared" si="103"/>
        <v>313</v>
      </c>
      <c r="AE223" s="77" t="str">
        <f t="shared" si="104"/>
        <v>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 &amp; aws s3 cp s3://rtdc.mdm.uploadarchive.raw/RTDC4016/ "%USERPROFILE%\AppData\Local\Temp\OnboardLogs"\RTDC4016\2017-09-15 --exclude "*" --recursive --include "*20170915*" &amp; "%USERPROFILE%\Documents\GitHub\mrs-test-scripts\Headless Mode &amp; Sideloading\WalkAndUnGZ.bat" "%USERPROFILE%\AppData\Local\Temp\OnboardLogs"\RTDC4016\2017-09-15</v>
      </c>
      <c r="AF223" s="74" t="str">
        <f t="shared" si="105"/>
        <v>"C:\Program Files (x86)\AstroGrep\AstroGrep.exe" /e /r /s /spath="%USERPROFILE%\AppData\Local\Temp\OnboardLogs" /stypes="app*4016*19691231*" /stext=" 23:.+((SYSTEM_STATE.+slice.+state.+changed )|(ment ac)|(multiple cpu faults)|(system.+state.+changed )|(\[timeout)|(PRM\|1\|D)|(kpr)|(kdp)|(train st.+moving)|(\|lc)|(penalty))"</v>
      </c>
      <c r="AG223" s="206" t="str">
        <f t="shared" si="106"/>
        <v>Other</v>
      </c>
      <c r="AH223" s="78" t="str">
        <f t="shared" si="107"/>
        <v>"%USERPROFILE%\Documents\GitHub\eaglep3\Utilities\RefineRTDCRunTimes.py" --tripid 313-13 --locoid 4016 --swversion DE.1.0.9.0 --startMP 204:424 --initTime 2017-09-14T02:07:06 --startdatetime 2017-09-14T02:09:53 --delay 48 --endMP 300:23302 --enddatetime 1969-12-31T17:00:00 --enforcementcount 0 &gt;&gt;C:\Users\stu\Documents\GitHub\eaglep3-reporting\EC\2017-09-13-refined-times.txt</v>
      </c>
      <c r="AI223" s="96" t="str">
        <f t="shared" si="108"/>
        <v>echo {"issue":{"subject":"","project_id":79,"tracker_id":40,"status_id":1,"priority_id":2,"assigned_to_id":338,"start_date":"1969-12-31","description":"","custom_fields":[{"id":1,"name":"Subdivision","value":"Other"},{"id":4,"name":"Milepost","value":"2.3302"},{"id":17,"name":"Train ID","value":"313-13"},{"id":16,"name":"Locomotive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9"/>
        <v>start /low /b %USERPROFILE%\Documents\GitHub\eaglep3\Utilities\DownloadLogsFromS3.py --loco 4016 --day 2017-09-14</v>
      </c>
      <c r="AN223" s="151" t="str">
        <f t="shared" si="11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628</v>
      </c>
      <c r="B224" s="7">
        <v>4026</v>
      </c>
      <c r="C224" s="21" t="s">
        <v>197</v>
      </c>
      <c r="D224" s="21" t="s">
        <v>986</v>
      </c>
      <c r="E224" s="13">
        <v>42991.204074074078</v>
      </c>
      <c r="F224" s="13">
        <v>42991.207858796297</v>
      </c>
      <c r="G224" s="7">
        <v>65</v>
      </c>
      <c r="H224" s="21" t="s">
        <v>953</v>
      </c>
      <c r="I224" s="13">
        <v>42991.213703703703</v>
      </c>
      <c r="J224" s="7">
        <v>0</v>
      </c>
      <c r="K224" s="89" t="str">
        <f t="shared" si="98"/>
        <v>4025/4026</v>
      </c>
      <c r="L224" s="214" t="str">
        <f>VLOOKUP(A224,'Trips&amp;Operators'!$C$1:$G$99911,5,FALSE)</f>
        <v>HUFFSMITH MONTY</v>
      </c>
      <c r="M224" s="6">
        <f t="shared" si="99"/>
        <v>5.8449074058444239E-3</v>
      </c>
      <c r="N224" s="7">
        <f t="shared" si="113"/>
        <v>8.4166666644159704</v>
      </c>
      <c r="O224" s="7"/>
      <c r="P224" s="7"/>
      <c r="Q224" s="22"/>
      <c r="R224" s="167"/>
      <c r="S224" s="210">
        <f t="shared" si="114"/>
        <v>0</v>
      </c>
      <c r="T224" s="192" t="str">
        <f t="shared" si="100"/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101"/>
        <v>https://d0f6bd738d7f1b3e5a7ca70fe4ff75f0.us-east-1.aws.found.io/app/kibana#/discover/Steve-Slow-Train-Analysis-(2080s-and-2083s)?_g=(refreshInterval:(display:Off,pause:!f,section:0,value:0),time:(from:'2017-09-13T03:53:52-0600',mode:absolute,to:'2017-09-13T06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4" s="194" t="str">
        <f>IF(AA224&lt;VLOOKUP(AG224,Variables!$AC$3:$AD$8,2,FALSE),"Y","N")</f>
        <v>Y</v>
      </c>
      <c r="X224" s="194">
        <f t="shared" si="97"/>
        <v>588</v>
      </c>
      <c r="Y224" s="194">
        <f t="shared" si="111"/>
        <v>3.0091000000000001</v>
      </c>
      <c r="Z224" s="194">
        <f t="shared" si="112"/>
        <v>5.8975999999999997</v>
      </c>
      <c r="AA224" s="194">
        <f t="shared" si="102"/>
        <v>2.8884999999999996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 t="shared" si="103"/>
        <v>901</v>
      </c>
      <c r="AE224" s="77" t="str">
        <f t="shared" si="104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224" s="74" t="str">
        <f t="shared" si="105"/>
        <v>"C:\Program Files (x86)\AstroGrep\AstroGrep.exe" /e /r /s /spath="%USERPROFILE%\AppData\Local\Temp\OnboardLogs" /stypes="app*4026*20170913*" /stext=" 11:.+((SYSTEM_STATE.+slice.+state.+changed )|(ment ac)|(multiple cpu faults)|(system.+state.+changed )|(\[timeout)|(PRM\|1\|D)|(kpr)|(kdp)|(train st.+moving)|(\|lc)|(penalty))"</v>
      </c>
      <c r="AG224" s="206" t="str">
        <f t="shared" si="106"/>
        <v>Other</v>
      </c>
      <c r="AH224" s="78" t="str">
        <f t="shared" si="107"/>
        <v>"%USERPROFILE%\Documents\GitHub\eaglep3\Utilities\RefineRTDCRunTimes.py" --tripid 901-13 --locoid 4026 --swversion DE.1.0.9.0 --startMP 300:30091 --initTime 2017-09-13T04:53:52 --startdatetime 2017-09-13T04:59:19 --delay 65 --endMP 300:58976 --enddatetime 2017-09-13T05:07:44 --enforcementcount 0 &gt;&gt;C:\Users\stu\Documents\GitHub\eaglep3-reporting\EC\2017-09-13-refined-times.txt</v>
      </c>
      <c r="AI224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{"issue":{"subject":"","project_id":79,"tracker_id":40,"status_id":1,"priority_id":2,"assigned_to_id":338,"start_date":"2017-09-13","description":"","custom_fields":[{"id":1,"name":"Subdivision","value":"Other"},{"id":4,"name":"Milepost","value":"5.8976"},{"id":17,"name":"Train ID","value":"901-13"},{"id":16,"name":"Locomotive ID","value":"4026"},{"id":130,"name":"Impact","value":""},{"id":150,"name":"Time of Event (Mountain Time)","value":"05:07:44"},{"id":151,"name":"Denver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9"/>
        <v>start /low /b %USERPROFILE%\Documents\GitHub\eaglep3\Utilities\DownloadLogsFromS3.py --loco 4026 --day 2017-09-13</v>
      </c>
      <c r="AN224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639</v>
      </c>
      <c r="B225" s="7">
        <v>4059</v>
      </c>
      <c r="C225" s="21" t="s">
        <v>197</v>
      </c>
      <c r="D225" s="21" t="s">
        <v>987</v>
      </c>
      <c r="E225" s="13">
        <v>42991.239224537036</v>
      </c>
      <c r="F225" s="13">
        <v>42991.242800925924</v>
      </c>
      <c r="G225" s="7">
        <v>77</v>
      </c>
      <c r="H225" s="21" t="s">
        <v>570</v>
      </c>
      <c r="I225" s="13">
        <v>42991.248055555552</v>
      </c>
      <c r="J225" s="7">
        <v>0</v>
      </c>
      <c r="K225" s="89" t="str">
        <f t="shared" si="98"/>
        <v>4059/4060</v>
      </c>
      <c r="L225" s="214" t="str">
        <f>VLOOKUP(A225,'Trips&amp;Operators'!$C$1:$G$99911,5,FALSE)</f>
        <v>GEBRETEKLE DAGNEW</v>
      </c>
      <c r="M225" s="6">
        <f t="shared" si="99"/>
        <v>5.2546296283253469E-3</v>
      </c>
      <c r="N225" s="7">
        <f t="shared" si="113"/>
        <v>7.5666666647884995</v>
      </c>
      <c r="O225" s="7"/>
      <c r="P225" s="7"/>
      <c r="Q225" s="22"/>
      <c r="R225" s="167"/>
      <c r="S225" s="210">
        <f t="shared" si="114"/>
        <v>1</v>
      </c>
      <c r="T225" s="192" t="str">
        <f t="shared" si="100"/>
        <v>Southbound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 t="shared" si="101"/>
        <v>https://d0f6bd738d7f1b3e5a7ca70fe4ff75f0.us-east-1.aws.found.io/app/kibana#/discover/Steve-Slow-Train-Analysis-(2080s-and-2083s)?_g=(refreshInterval:(display:Off,pause:!f,section:0,value:0),time:(from:'2017-09-13T04:44:29-0600',mode:absolute,to:'2017-09-13T06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5" s="194" t="str">
        <f>IF(AA225&lt;VLOOKUP(AG225,Variables!$AC$3:$AD$8,2,FALSE),"Y","N")</f>
        <v>Y</v>
      </c>
      <c r="X225" s="194">
        <f t="shared" si="97"/>
        <v>1</v>
      </c>
      <c r="Y225" s="194">
        <f t="shared" si="111"/>
        <v>2.3586</v>
      </c>
      <c r="Z225" s="194">
        <f t="shared" si="112"/>
        <v>6.9900000000000004E-2</v>
      </c>
      <c r="AA225" s="194">
        <f t="shared" si="102"/>
        <v>2.2887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 t="shared" si="103"/>
        <v>902</v>
      </c>
      <c r="AE225" s="77" t="str">
        <f t="shared" si="104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25" s="74" t="str">
        <f t="shared" si="105"/>
        <v>"C:\Program Files (x86)\AstroGrep\AstroGrep.exe" /e /r /s /spath="%USERPROFILE%\AppData\Local\Temp\OnboardLogs" /stypes="app*4059*20170913*" /stext=" 11:.+((SYSTEM_STATE.+slice.+state.+changed )|(ment ac)|(multiple cpu faults)|(system.+state.+changed )|(\[timeout)|(PRM\|1\|D)|(kpr)|(kdp)|(train st.+moving)|(\|lc)|(penalty))"</v>
      </c>
      <c r="AG225" s="206" t="str">
        <f t="shared" si="106"/>
        <v>Other</v>
      </c>
      <c r="AH225" s="78" t="str">
        <f t="shared" si="107"/>
        <v>"%USERPROFILE%\Documents\GitHub\eaglep3\Utilities\RefineRTDCRunTimes.py" --tripid 902-13 --locoid 4059 --swversion DE.1.0.9.0 --startMP 300:23586 --initTime 2017-09-13T05:44:29 --startdatetime 2017-09-13T05:49:38 --delay 77 --endMP 204:699 --enddatetime 2017-09-13T05:57:12 --enforcementcount 0 &gt;&gt;C:\Users\stu\Documents\GitHub\eaglep3-reporting\EC\2017-09-13-refined-times.txt</v>
      </c>
      <c r="AI225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{"issue":{"subject":"","project_id":79,"tracker_id":40,"status_id":1,"priority_id":2,"assigned_to_id":338,"start_date":"2017-09-13","description":"","custom_fields":[{"id":1,"name":"Subdivision","value":"Other"},{"id":4,"name":"Milepost","value":"0.0699"},{"id":17,"name":"Train ID","value":"902-13"},{"id":16,"name":"Locomotive ID","value":"4059"},{"id":130,"name":"Impact","value":""},{"id":150,"name":"Time of Event (Mountain Time)","value":"05:57:12"},{"id":151,"name":"Denver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9"/>
        <v>start /low /b %USERPROFILE%\Documents\GitHub\eaglep3\Utilities\DownloadLogsFromS3.py --loco 4059 --day 2017-09-13</v>
      </c>
      <c r="AN225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11:57:12"},{"id":29,"name":"Sharepoint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677</v>
      </c>
      <c r="B226" s="7">
        <v>4026</v>
      </c>
      <c r="C226" s="21" t="s">
        <v>197</v>
      </c>
      <c r="D226" s="21" t="s">
        <v>988</v>
      </c>
      <c r="E226" s="13">
        <v>42991.353935185187</v>
      </c>
      <c r="F226" s="13">
        <v>42991.356481481482</v>
      </c>
      <c r="G226" s="7">
        <v>63</v>
      </c>
      <c r="H226" s="21" t="s">
        <v>989</v>
      </c>
      <c r="I226" s="13">
        <v>42991.363402777781</v>
      </c>
      <c r="J226" s="7">
        <v>0</v>
      </c>
      <c r="K226" s="89" t="str">
        <f t="shared" si="98"/>
        <v>4025/4026</v>
      </c>
      <c r="L226" s="214" t="str">
        <f>VLOOKUP(A226,'Trips&amp;Operators'!$C$1:$G$99911,5,FALSE)</f>
        <v>HUFFSMITH MONTY</v>
      </c>
      <c r="M226" s="6">
        <f t="shared" si="99"/>
        <v>6.921296298969537E-3</v>
      </c>
      <c r="N226" s="7">
        <f t="shared" si="113"/>
        <v>9.9666666705161333</v>
      </c>
      <c r="O226" s="7"/>
      <c r="P226" s="7"/>
      <c r="Q226" s="22"/>
      <c r="R226" s="167"/>
      <c r="S226" s="210">
        <f t="shared" si="114"/>
        <v>1</v>
      </c>
      <c r="T226" s="192" t="str">
        <f t="shared" si="100"/>
        <v>NorthBound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 t="shared" si="101"/>
        <v>https://d0f6bd738d7f1b3e5a7ca70fe4ff75f0.us-east-1.aws.found.io/app/kibana#/discover/Steve-Slow-Train-Analysis-(2080s-and-2083s)?_g=(refreshInterval:(display:Off,pause:!f,section:0,value:0),time:(from:'2017-09-13T07:29:40-0600',mode:absolute,to:'2017-09-13T09:43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6" s="194" t="str">
        <f>IF(AA226&lt;VLOOKUP(AG226,Variables!$AC$3:$AD$8,2,FALSE),"Y","N")</f>
        <v>Y</v>
      </c>
      <c r="X226" s="194">
        <f t="shared" si="97"/>
        <v>1</v>
      </c>
      <c r="Y226" s="194">
        <f t="shared" si="111"/>
        <v>0.1013</v>
      </c>
      <c r="Z226" s="194">
        <f t="shared" si="112"/>
        <v>2.4226000000000001</v>
      </c>
      <c r="AA226" s="194">
        <f t="shared" si="102"/>
        <v>2.3212999999999999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 t="shared" si="103"/>
        <v>903</v>
      </c>
      <c r="AE226" s="77" t="str">
        <f t="shared" si="104"/>
        <v>aws s3 cp s3://rtdc.mdm.uploadarchive.raw/RTDC4026/ "%USERPROFILE%\AppData\Local\Temp\OnboardLogs"\RTDC4026\2017-09-13 --exclude "*" --recursive --include "*20170913*" &amp; "%USERPROFILE%\Documents\GitHub\mrs-test-scripts\Headless Mode &amp; Sideloading\WalkAndUnGZ.bat" "%USERPROFILE%\AppData\Local\Temp\OnboardLogs"\RTDC4026\2017-09-13 &amp; aws s3 cp s3://rtdc.mdm.uploadarchive.raw/RTDC4026/ "%USERPROFILE%\AppData\Local\Temp\OnboardLogs"\RTDC4026\2017-09-14 --exclude "*" --recursive --include "*20170914*" &amp; "%USERPROFILE%\Documents\GitHub\mrs-test-scripts\Headless Mode &amp; Sideloading\WalkAndUnGZ.bat" "%USERPROFILE%\AppData\Local\Temp\OnboardLogs"\RTDC4026\2017-09-14</v>
      </c>
      <c r="AF226" s="74" t="str">
        <f t="shared" si="105"/>
        <v>"C:\Program Files (x86)\AstroGrep\AstroGrep.exe" /e /r /s /spath="%USERPROFILE%\AppData\Local\Temp\OnboardLogs" /stypes="app*4026*20170913*" /stext=" 14:.+((SYSTEM_STATE.+slice.+state.+changed )|(ment ac)|(multiple cpu faults)|(system.+state.+changed )|(\[timeout)|(PRM\|1\|D)|(kpr)|(kdp)|(train st.+moving)|(\|lc)|(penalty))"</v>
      </c>
      <c r="AG226" s="206" t="str">
        <f t="shared" si="106"/>
        <v>Other</v>
      </c>
      <c r="AH226" s="78" t="str">
        <f t="shared" si="107"/>
        <v>"%USERPROFILE%\Documents\GitHub\eaglep3\Utilities\RefineRTDCRunTimes.py" --tripid 903-13 --locoid 4026 --swversion DE.1.0.9.0 --startMP 204:1013 --initTime 2017-09-13T08:29:40 --startdatetime 2017-09-13T08:33:20 --delay 63 --endMP 300:24226 --enddatetime 2017-09-13T08:43:18 --enforcementcount 0 &gt;&gt;C:\Users\stu\Documents\GitHub\eaglep3-reporting\EC\2017-09-13-refined-times.txt</v>
      </c>
      <c r="AI226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{"issue":{"subject":"","project_id":79,"tracker_id":40,"status_id":1,"priority_id":2,"assigned_to_id":338,"start_date":"2017-09-13","description":"","custom_fields":[{"id":1,"name":"Subdivision","value":"Other"},{"id":4,"name":"Milepost","value":"2.4226"},{"id":17,"name":"Train ID","value":"903-13"},{"id":16,"name":"Locomotive ID","value":"4026"},{"id":130,"name":"Impact","value":""},{"id":150,"name":"Time of Event (Mountain Time)","value":"08:43:18"},{"id":151,"name":"Denver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9"/>
        <v>start /low /b %USERPROFILE%\Documents\GitHub\eaglep3\Utilities\DownloadLogsFromS3.py --loco 4026 --day 2017-09-13</v>
      </c>
      <c r="AN226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14:43:18"},{"id":29,"name":"Sharepoint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601</v>
      </c>
      <c r="B227" s="7">
        <v>4025</v>
      </c>
      <c r="C227" s="21" t="s">
        <v>197</v>
      </c>
      <c r="D227" s="21" t="s">
        <v>990</v>
      </c>
      <c r="E227" s="13">
        <v>42991.62703703704</v>
      </c>
      <c r="F227" s="13">
        <v>42991.631840277776</v>
      </c>
      <c r="G227" s="7">
        <v>107</v>
      </c>
      <c r="H227" s="21" t="s">
        <v>991</v>
      </c>
      <c r="I227" s="13">
        <v>42991.637407407405</v>
      </c>
      <c r="J227" s="7">
        <v>0</v>
      </c>
      <c r="K227" s="89" t="str">
        <f t="shared" si="98"/>
        <v>4025/4026</v>
      </c>
      <c r="L227" s="214" t="str">
        <f>VLOOKUP(A227,'Trips&amp;Operators'!$C$1:$G$99911,5,FALSE)</f>
        <v>STAMBAUGH JAMES</v>
      </c>
      <c r="M227" s="6">
        <f t="shared" si="99"/>
        <v>5.5671296286163852E-3</v>
      </c>
      <c r="N227" s="7">
        <f t="shared" si="113"/>
        <v>8.0166666652075946</v>
      </c>
      <c r="O227" s="7"/>
      <c r="P227" s="7"/>
      <c r="Q227" s="22"/>
      <c r="R227" s="167"/>
      <c r="S227" s="210">
        <f t="shared" si="114"/>
        <v>1</v>
      </c>
      <c r="T227" s="192" t="str">
        <f t="shared" si="100"/>
        <v>Southbound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 t="shared" si="101"/>
        <v>https://d0f6bd738d7f1b3e5a7ca70fe4ff75f0.us-east-1.aws.found.io/app/kibana#/discover/Steve-Slow-Train-Analysis-(2080s-and-2083s)?_g=(refreshInterval:(display:Off,pause:!f,section:0,value:0),time:(from:'2017-09-13T14:02:56-0600',mode:absolute,to:'2017-09-13T16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194" t="str">
        <f>IF(AA227&lt;VLOOKUP(AG227,Variables!$AC$3:$AD$8,2,FALSE),"Y","N")</f>
        <v>Y</v>
      </c>
      <c r="X227" s="194">
        <f t="shared" si="97"/>
        <v>1</v>
      </c>
      <c r="Y227" s="194">
        <f t="shared" si="111"/>
        <v>2.3713000000000002</v>
      </c>
      <c r="Z227" s="194">
        <f t="shared" si="112"/>
        <v>7.4499999999999997E-2</v>
      </c>
      <c r="AA227" s="194">
        <f t="shared" si="102"/>
        <v>2.2968000000000002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 t="shared" si="103"/>
        <v>904</v>
      </c>
      <c r="AE227" s="77" t="str">
        <f t="shared" si="104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227" s="74" t="str">
        <f t="shared" si="105"/>
        <v>"C:\Program Files (x86)\AstroGrep\AstroGrep.exe" /e /r /s /spath="%USERPROFILE%\AppData\Local\Temp\OnboardLogs" /stypes="app*4025*20170913*" /stext=" 21:.+((SYSTEM_STATE.+slice.+state.+changed )|(ment ac)|(multiple cpu faults)|(system.+state.+changed )|(\[timeout)|(PRM\|1\|D)|(kpr)|(kdp)|(train st.+moving)|(\|lc)|(penalty))"</v>
      </c>
      <c r="AG227" s="206" t="str">
        <f t="shared" si="106"/>
        <v>Other</v>
      </c>
      <c r="AH227" s="78" t="str">
        <f t="shared" si="107"/>
        <v>"%USERPROFILE%\Documents\GitHub\eaglep3\Utilities\RefineRTDCRunTimes.py" --tripid 904-13 --locoid 4025 --swversion DE.1.0.9.0 --startMP 300:23713 --initTime 2017-09-13T15:02:56 --startdatetime 2017-09-13T15:09:51 --delay 107 --endMP 204:745 --enddatetime 2017-09-13T15:17:52 --enforcementcount 0 &gt;&gt;C:\Users\stu\Documents\GitHub\eaglep3-reporting\EC\2017-09-13-refined-times.txt</v>
      </c>
      <c r="AI227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{"issue":{"subject":"","project_id":79,"tracker_id":40,"status_id":1,"priority_id":2,"assigned_to_id":338,"start_date":"2017-09-13","description":"","custom_fields":[{"id":1,"name":"Subdivision","value":"Other"},{"id":4,"name":"Milepost","value":"0.0745"},{"id":17,"name":"Train ID","value":"904-13"},{"id":16,"name":"Locomotive ID","value":"4025"},{"id":130,"name":"Impact","value":""},{"id":150,"name":"Time of Event (Mountain Time)","value":"15:17:52"},{"id":151,"name":"Denver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09"/>
        <v>start /low /b %USERPROFILE%\Documents\GitHub\eaglep3\Utilities\DownloadLogsFromS3.py --loco 4025 --day 2017-09-13</v>
      </c>
      <c r="AN227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21:17:52"},{"id":29,"name":"Sharepoint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804</v>
      </c>
      <c r="B228" s="7">
        <v>4025</v>
      </c>
      <c r="C228" s="21" t="s">
        <v>197</v>
      </c>
      <c r="D228" s="21" t="s">
        <v>981</v>
      </c>
      <c r="E228" s="13">
        <v>42991.788310185184</v>
      </c>
      <c r="F228" s="13">
        <v>42991.789467592593</v>
      </c>
      <c r="G228" s="7">
        <v>53</v>
      </c>
      <c r="H228" s="21" t="s">
        <v>992</v>
      </c>
      <c r="I228" s="13">
        <v>42991.796377314815</v>
      </c>
      <c r="J228" s="7">
        <v>0</v>
      </c>
      <c r="K228" s="89" t="str">
        <f t="shared" si="98"/>
        <v>4025/4026</v>
      </c>
      <c r="L228" s="214" t="str">
        <f>VLOOKUP(A228,'Trips&amp;Operators'!$C$1:$G$99911,5,FALSE)</f>
        <v>STAMBAUGH JAMES</v>
      </c>
      <c r="M228" s="6">
        <f t="shared" si="99"/>
        <v>6.9097222221898846E-3</v>
      </c>
      <c r="N228" s="7">
        <f t="shared" si="113"/>
        <v>9.9499999999534339</v>
      </c>
      <c r="O228" s="7"/>
      <c r="P228" s="7"/>
      <c r="Q228" s="22"/>
      <c r="R228" s="167"/>
      <c r="S228" s="210">
        <f t="shared" si="114"/>
        <v>0</v>
      </c>
      <c r="T228" s="192" t="str">
        <f t="shared" si="100"/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101"/>
        <v>https://d0f6bd738d7f1b3e5a7ca70fe4ff75f0.us-east-1.aws.found.io/app/kibana#/discover/Steve-Slow-Train-Analysis-(2080s-and-2083s)?_g=(refreshInterval:(display:Off,pause:!f,section:0,value:0),time:(from:'2017-09-13T17:55:10-0600',mode:absolute,to:'2017-09-13T20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4" t="str">
        <f>IF(AA228&lt;VLOOKUP(AG228,Variables!$AC$3:$AD$8,2,FALSE),"Y","N")</f>
        <v>Y</v>
      </c>
      <c r="X228" s="194">
        <f t="shared" si="97"/>
        <v>2</v>
      </c>
      <c r="Y228" s="194">
        <f t="shared" si="111"/>
        <v>5.8630000000000004</v>
      </c>
      <c r="Z228" s="194">
        <f t="shared" si="112"/>
        <v>2.8763000000000001</v>
      </c>
      <c r="AA228" s="194">
        <f t="shared" si="102"/>
        <v>2.9867000000000004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 t="shared" si="103"/>
        <v>906</v>
      </c>
      <c r="AE228" s="77" t="str">
        <f t="shared" si="104"/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AF228" s="74" t="str">
        <f t="shared" si="105"/>
        <v>"C:\Program Files (x86)\AstroGrep\AstroGrep.exe" /e /r /s /spath="%USERPROFILE%\AppData\Local\Temp\OnboardLogs" /stypes="app*4025*20170914*" /stext=" 01:.+((SYSTEM_STATE.+slice.+state.+changed )|(ment ac)|(multiple cpu faults)|(system.+state.+changed )|(\[timeout)|(PRM\|1\|D)|(kpr)|(kdp)|(train st.+moving)|(\|lc)|(penalty))"</v>
      </c>
      <c r="AG228" s="206" t="str">
        <f t="shared" si="106"/>
        <v>Other</v>
      </c>
      <c r="AH228" s="78" t="str">
        <f t="shared" si="107"/>
        <v>"%USERPROFILE%\Documents\GitHub\eaglep3\Utilities\RefineRTDCRunTimes.py" --tripid 906-13 --locoid 4025 --swversion DE.1.0.9.0 --startMP 300:58630 --initTime 2017-09-13T18:55:10 --startdatetime 2017-09-13T18:56:50 --delay 53 --endMP 300:28763 --enddatetime 2017-09-13T19:06:47 --enforcementcount 0 &gt;&gt;C:\Users\stu\Documents\GitHub\eaglep3-reporting\EC\2017-09-13-refined-times.txt</v>
      </c>
      <c r="AI228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{"issue":{"subject":"","project_id":79,"tracker_id":40,"status_id":1,"priority_id":2,"assigned_to_id":338,"start_date":"2017-09-13","description":"","custom_fields":[{"id":1,"name":"Subdivision","value":"Other"},{"id":4,"name":"Milepost","value":"2.8763"},{"id":17,"name":"Train ID","value":"906-13"},{"id":16,"name":"Locomotive ID","value":"4025"},{"id":130,"name":"Impact","value":""},{"id":150,"name":"Time of Event (Mountain Time)","value":"19:06:47"},{"id":151,"name":"Denver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109"/>
        <v>start /low /b %USERPROFILE%\Documents\GitHub\eaglep3\Utilities\DownloadLogsFromS3.py --loco 4025 --day 2017-09-13</v>
      </c>
      <c r="AN228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01:06:47"},{"id":29,"name":"Sharepoint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830</v>
      </c>
      <c r="B229" s="7">
        <v>4059</v>
      </c>
      <c r="C229" s="21" t="s">
        <v>197</v>
      </c>
      <c r="D229" s="21" t="s">
        <v>981</v>
      </c>
      <c r="E229" s="13">
        <v>42991.974710648145</v>
      </c>
      <c r="F229" s="13">
        <v>42991.976076388892</v>
      </c>
      <c r="G229" s="7">
        <v>65</v>
      </c>
      <c r="H229" s="21" t="s">
        <v>993</v>
      </c>
      <c r="I229" s="13">
        <v>42991.982499999998</v>
      </c>
      <c r="J229" s="7">
        <v>0</v>
      </c>
      <c r="K229" s="89" t="str">
        <f t="shared" si="98"/>
        <v>4059/4060</v>
      </c>
      <c r="L229" s="214" t="str">
        <f>VLOOKUP(A229,'Trips&amp;Operators'!$C$1:$G$99911,5,FALSE)</f>
        <v>STAMBAUGH JAMES</v>
      </c>
      <c r="M229" s="6">
        <f t="shared" si="99"/>
        <v>6.4236111065838486E-3</v>
      </c>
      <c r="N229" s="7">
        <f t="shared" si="113"/>
        <v>9.249999993480742</v>
      </c>
      <c r="O229" s="7"/>
      <c r="P229" s="7"/>
      <c r="Q229" s="22"/>
      <c r="R229" s="167"/>
      <c r="S229" s="210">
        <f t="shared" si="114"/>
        <v>0</v>
      </c>
      <c r="T229" s="192" t="str">
        <f t="shared" si="100"/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101"/>
        <v>https://d0f6bd738d7f1b3e5a7ca70fe4ff75f0.us-east-1.aws.found.io/app/kibana#/discover/Steve-Slow-Train-Analysis-(2080s-and-2083s)?_g=(refreshInterval:(display:Off,pause:!f,section:0,value:0),time:(from:'2017-09-13T22:23:35-0600',mode:absolute,to:'2017-09-14T00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9" s="194" t="str">
        <f>IF(AA229&lt;VLOOKUP(AG229,Variables!$AC$3:$AD$8,2,FALSE),"Y","N")</f>
        <v>Y</v>
      </c>
      <c r="X229" s="194">
        <f t="shared" si="97"/>
        <v>2</v>
      </c>
      <c r="Y229" s="194">
        <f t="shared" si="111"/>
        <v>5.8630000000000004</v>
      </c>
      <c r="Z229" s="194">
        <f t="shared" si="112"/>
        <v>2.8797000000000001</v>
      </c>
      <c r="AA229" s="194">
        <f t="shared" si="102"/>
        <v>2.9833000000000003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 t="shared" si="103"/>
        <v>908</v>
      </c>
      <c r="AE229" s="77" t="str">
        <f t="shared" si="104"/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AF229" s="74" t="str">
        <f t="shared" si="105"/>
        <v>"C:\Program Files (x86)\AstroGrep\AstroGrep.exe" /e /r /s /spath="%USERPROFILE%\AppData\Local\Temp\OnboardLogs" /stypes="app*4059*20170914*" /stext=" 05:.+((SYSTEM_STATE.+slice.+state.+changed )|(ment ac)|(multiple cpu faults)|(system.+state.+changed )|(\[timeout)|(PRM\|1\|D)|(kpr)|(kdp)|(train st.+moving)|(\|lc)|(penalty))"</v>
      </c>
      <c r="AG229" s="206" t="str">
        <f t="shared" si="106"/>
        <v>Other</v>
      </c>
      <c r="AH229" s="78" t="str">
        <f t="shared" si="107"/>
        <v>"%USERPROFILE%\Documents\GitHub\eaglep3\Utilities\RefineRTDCRunTimes.py" --tripid 908-13 --locoid 4059 --swversion DE.1.0.9.0 --startMP 300:58630 --initTime 2017-09-13T23:23:35 --startdatetime 2017-09-13T23:25:33 --delay 65 --endMP 300:28797 --enddatetime 2017-09-13T23:34:48 --enforcementcount 0 &gt;&gt;C:\Users\stu\Documents\GitHub\eaglep3-reporting\EC\2017-09-13-refined-times.txt</v>
      </c>
      <c r="AI229" s="96" t="str">
        <f t="shared" si="108"/>
        <v>echo {"issue":{"subject":"","project_id":79,"tracker_id":40,"status_id":1,"priority_id":2,"assigned_to_id":338,"start_date":"2017-09-13","description":"","custom_fields":[{"id":1,"name":"Subdivision","value":"Other"},{"id":4,"name":"Milepost","value":"2.8797"},{"id":17,"name":"Train ID","value":"908-13"},{"id":16,"name":"Locomotive ID","value":"4059"},{"id":130,"name":"Impact","value":""},{"id":150,"name":"Time of Event (Mountain Time)","value":"23:34:48"},{"id":151,"name":"Denver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9"/>
        <v>start /low /b %USERPROFILE%\Documents\GitHub\eaglep3\Utilities\DownloadLogsFromS3.py --loco 4059 --day 2017-09-13</v>
      </c>
      <c r="AN229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789</v>
      </c>
      <c r="B230" s="7">
        <v>4011</v>
      </c>
      <c r="C230" s="21" t="s">
        <v>197</v>
      </c>
      <c r="D230" s="21" t="s">
        <v>908</v>
      </c>
      <c r="E230" s="13">
        <v>42991.735590277778</v>
      </c>
      <c r="F230" s="13">
        <v>42991.745011574072</v>
      </c>
      <c r="G230" s="7">
        <v>82</v>
      </c>
      <c r="H230" s="21" t="s">
        <v>909</v>
      </c>
      <c r="I230" s="13">
        <v>42991.750543981485</v>
      </c>
      <c r="J230" s="7">
        <v>0</v>
      </c>
      <c r="K230" s="89" t="str">
        <f t="shared" si="98"/>
        <v>4011/4012</v>
      </c>
      <c r="L230" s="214" t="str">
        <f>VLOOKUP(A230,'Trips&amp;Operators'!$C$1:$G$99911,5,FALSE)</f>
        <v>ANDERS STEVEN</v>
      </c>
      <c r="M230" s="6">
        <f t="shared" si="99"/>
        <v>5.5324074128293432E-3</v>
      </c>
      <c r="N230" s="7">
        <f t="shared" si="113"/>
        <v>7.9666666744742543</v>
      </c>
      <c r="O230" s="7"/>
      <c r="P230" s="7"/>
      <c r="Q230" s="22"/>
      <c r="R230" s="167"/>
      <c r="S230" s="210">
        <f t="shared" si="114"/>
        <v>1</v>
      </c>
      <c r="T230" s="192" t="str">
        <f t="shared" si="100"/>
        <v>Southbound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3" t="str">
        <f t="shared" si="101"/>
        <v>https://d0f6bd738d7f1b3e5a7ca70fe4ff75f0.us-east-1.aws.found.io/app/kibana#/discover/Steve-Slow-Train-Analysis-(2080s-and-2083s)?_g=(refreshInterval:(display:Off,pause:!f,section:0,value:0),time:(from:'2017-09-13T16:39:15-0600',mode:absolute,to:'2017-09-13T19:00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0" s="194" t="str">
        <f>IF(AA230&lt;VLOOKUP(AG230,Variables!$AC$3:$AD$8,2,FALSE),"Y","N")</f>
        <v>Y</v>
      </c>
      <c r="X230" s="194">
        <f t="shared" si="97"/>
        <v>-858</v>
      </c>
      <c r="Y230" s="194">
        <f t="shared" si="111"/>
        <v>2.3239000000000001</v>
      </c>
      <c r="Z230" s="194">
        <f t="shared" si="112"/>
        <v>0.1116</v>
      </c>
      <c r="AA230" s="194">
        <f t="shared" si="102"/>
        <v>2.2122999999999999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 t="shared" si="103"/>
        <v>50</v>
      </c>
      <c r="AE230" s="77" t="str">
        <f t="shared" si="104"/>
        <v>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 &amp; aws s3 cp s3://rtdc.mdm.uploadarchive.raw/RTDC4011/ "%USERPROFILE%\AppData\Local\Temp\OnboardLogs"\RTDC4011\2017-09-14 --exclude "*" --recursive --include "*20170914*" &amp; "%USERPROFILE%\Documents\GitHub\mrs-test-scripts\Headless Mode &amp; Sideloading\WalkAndUnGZ.bat" "%USERPROFILE%\AppData\Local\Temp\OnboardLogs"\RTDC4011\2017-09-14</v>
      </c>
      <c r="AF230" s="74" t="str">
        <f t="shared" si="105"/>
        <v>"C:\Program Files (x86)\AstroGrep\AstroGrep.exe" /e /r /s /spath="%USERPROFILE%\AppData\Local\Temp\OnboardLogs" /stypes="app*4011*20170914*" /stext=" 00:.+((SYSTEM_STATE.+slice.+state.+changed )|(ment ac)|(multiple cpu faults)|(system.+state.+changed )|(\[timeout)|(PRM\|1\|D)|(kpr)|(kdp)|(train st.+moving)|(\|lc)|(penalty))"</v>
      </c>
      <c r="AG230" s="206" t="str">
        <f t="shared" si="106"/>
        <v>Shuttle/Test</v>
      </c>
      <c r="AH230" s="78" t="str">
        <f t="shared" si="107"/>
        <v>"%USERPROFILE%\Documents\GitHub\eaglep3\Utilities\RefineRTDCRunTimes.py" --tripid 50-13 --locoid 4011 --swversion DE.1.0.9.0 --startMP 300:23239 --initTime 2017-09-13T17:39:15 --startdatetime 2017-09-13T17:52:49 --delay 82 --endMP 204:1116 --enddatetime 2017-09-13T18:00:47 --enforcementcount 0 &gt;&gt;C:\Users\stu\Documents\GitHub\eaglep3-reporting\EC\2017-09-13-refined-times.txt</v>
      </c>
      <c r="AI230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0.1116"},{"id":17,"name":"Train ID","value":"50-13"},{"id":16,"name":"Locomotive ID","value":"4011"},{"id":130,"name":"Impact","value":""},{"id":150,"name":"Time of Event (Mountain Time)","value":"18:00:47"},{"id":151,"name":"Denver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9"/>
        <v>start /low /b %USERPROFILE%\Documents\GitHub\eaglep3\Utilities\DownloadLogsFromS3.py --loco 4011 --day 2017-09-13</v>
      </c>
      <c r="AN230" s="151" t="str">
        <f t="shared" si="110"/>
        <v>echo {"issue":{"subject":"","project_id":30,"tracker_id":4,"status_id":1,"priority_id":1,"assigned_to_id":10,"start_date":"2017-09-14","description":"","custom_fields":[{"id":30,"name":"Category","value":"Issue"},{"id":3,"name":"Functional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UTC","value":"2017-09-14 00:00:47"},{"id":29,"name":"Sharepoint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s="20" customFormat="1" x14ac:dyDescent="0.25">
      <c r="A231" s="32" t="s">
        <v>612</v>
      </c>
      <c r="B231" s="7">
        <v>4040</v>
      </c>
      <c r="C231" s="21" t="s">
        <v>197</v>
      </c>
      <c r="D231" s="21" t="s">
        <v>910</v>
      </c>
      <c r="E231" s="13">
        <v>42991.125578703701</v>
      </c>
      <c r="F231" s="13">
        <v>42991.137233796297</v>
      </c>
      <c r="G231" s="7">
        <v>109</v>
      </c>
      <c r="H231" s="21" t="s">
        <v>911</v>
      </c>
      <c r="I231" s="13">
        <v>42991.138425925928</v>
      </c>
      <c r="J231" s="7">
        <v>0</v>
      </c>
      <c r="K231" s="89" t="str">
        <f t="shared" si="98"/>
        <v>4039/4040</v>
      </c>
      <c r="L231" s="214" t="str">
        <f>VLOOKUP(A231,'Trips&amp;Operators'!$C$1:$G$99911,5,FALSE)</f>
        <v>SPECTOR MICHAEL</v>
      </c>
      <c r="M231" s="6">
        <f t="shared" si="99"/>
        <v>1.1921296318178065E-3</v>
      </c>
      <c r="N231" s="7">
        <f t="shared" si="113"/>
        <v>1.7166666698176414</v>
      </c>
      <c r="O231" s="7"/>
      <c r="P231" s="7"/>
      <c r="Q231" s="22"/>
      <c r="R231" s="167"/>
      <c r="S231" s="210">
        <f t="shared" si="114"/>
        <v>0</v>
      </c>
      <c r="T231" s="192" t="str">
        <f t="shared" si="100"/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101"/>
        <v>https://d0f6bd738d7f1b3e5a7ca70fe4ff75f0.us-east-1.aws.found.io/app/kibana#/discover/Steve-Slow-Train-Analysis-(2080s-and-2083s)?_g=(refreshInterval:(display:Off,pause:!f,section:0,value:0),time:(from:'2017-09-13T02:00:50-0600',mode:absolute,to:'2017-09-13T04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1" s="194" t="str">
        <f>IF(AA231&lt;VLOOKUP(AG231,Variables!$AC$3:$AD$8,2,FALSE),"Y","N")</f>
        <v>Y</v>
      </c>
      <c r="X231" s="194">
        <f t="shared" si="97"/>
        <v>1</v>
      </c>
      <c r="Y231" s="194">
        <f t="shared" si="111"/>
        <v>4.2900000000000001E-2</v>
      </c>
      <c r="Z231" s="194">
        <f t="shared" si="112"/>
        <v>0.3574</v>
      </c>
      <c r="AA231" s="194">
        <f t="shared" si="102"/>
        <v>0.3145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 t="shared" si="103"/>
        <v>51</v>
      </c>
      <c r="AE231" s="77" t="str">
        <f t="shared" si="104"/>
        <v>aws s3 cp s3://rtdc.mdm.uploadarchive.raw/RTDC4040/ "%USERPROFILE%\AppData\Local\Temp\OnboardLogs"\RTDC4040\2017-09-13 --exclude "*" --recursive --include "*20170913*" &amp; "%USERPROFILE%\Documents\GitHub\mrs-test-scripts\Headless Mode &amp; Sideloading\WalkAndUnGZ.bat" "%USERPROFILE%\AppData\Local\Temp\OnboardLogs"\RTDC4040\2017-09-13 &amp; aws s3 cp s3://rtdc.mdm.uploadarchive.raw/RTDC4040/ "%USERPROFILE%\AppData\Local\Temp\OnboardLogs"\RTDC4040\2017-09-14 --exclude "*" --recursive --include "*20170914*" &amp; "%USERPROFILE%\Documents\GitHub\mrs-test-scripts\Headless Mode &amp; Sideloading\WalkAndUnGZ.bat" "%USERPROFILE%\AppData\Local\Temp\OnboardLogs"\RTDC4040\2017-09-14</v>
      </c>
      <c r="AF231" s="74" t="str">
        <f t="shared" si="105"/>
        <v>"C:\Program Files (x86)\AstroGrep\AstroGrep.exe" /e /r /s /spath="%USERPROFILE%\AppData\Local\Temp\OnboardLogs" /stypes="app*4040*20170913*" /stext=" 09:.+((SYSTEM_STATE.+slice.+state.+changed )|(ment ac)|(multiple cpu faults)|(system.+state.+changed )|(\[timeout)|(PRM\|1\|D)|(kpr)|(kdp)|(train st.+moving)|(\|lc)|(penalty))"</v>
      </c>
      <c r="AG231" s="206" t="str">
        <f t="shared" si="106"/>
        <v>Shuttle/Test</v>
      </c>
      <c r="AH231" s="78" t="str">
        <f t="shared" si="107"/>
        <v>"%USERPROFILE%\Documents\GitHub\eaglep3\Utilities\RefineRTDCRunTimes.py" --tripid 51-13 --locoid 4040 --swversion DE.1.0.9.0 --startMP 204:429 --initTime 2017-09-13T03:00:50 --startdatetime 2017-09-13T03:17:37 --delay 109 --endMP 204:3574 --enddatetime 2017-09-13T03:19:20 --enforcementcount 0 &gt;&gt;C:\Users\stu\Documents\GitHub\eaglep3-reporting\EC\2017-09-13-refined-times.txt</v>
      </c>
      <c r="AI231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0.3574"},{"id":17,"name":"Train ID","value":"51-13"},{"id":16,"name":"Locomotive ID","value":"4040"},{"id":130,"name":"Impact","value":""},{"id":150,"name":"Time of Event (Mountain Time)","value":"03:19:20"},{"id":151,"name":"Denver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09"/>
        <v>start /low /b %USERPROFILE%\Documents\GitHub\eaglep3\Utilities\DownloadLogsFromS3.py --loco 4040 --day 2017-09-13</v>
      </c>
      <c r="AN231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09:19:20"},{"id":29,"name":"Sharepoint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 s="32" t="s">
        <v>614</v>
      </c>
      <c r="B232" s="7">
        <v>4039</v>
      </c>
      <c r="C232" s="21" t="s">
        <v>197</v>
      </c>
      <c r="D232" s="21" t="s">
        <v>912</v>
      </c>
      <c r="E232" s="13">
        <v>42991.139386574076</v>
      </c>
      <c r="F232" s="13">
        <v>42991.140787037039</v>
      </c>
      <c r="G232" s="7">
        <v>70</v>
      </c>
      <c r="H232" s="21" t="s">
        <v>913</v>
      </c>
      <c r="I232" s="13">
        <v>42991.141875000001</v>
      </c>
      <c r="J232" s="7">
        <v>0</v>
      </c>
      <c r="K232" s="89" t="str">
        <f t="shared" si="98"/>
        <v>4039/4040</v>
      </c>
      <c r="L232" s="214" t="str">
        <f>VLOOKUP(A232,'Trips&amp;Operators'!$C$1:$G$99911,5,FALSE)</f>
        <v>SPECTOR MICHAEL</v>
      </c>
      <c r="M232" s="6">
        <f t="shared" si="99"/>
        <v>1.0879629626288079E-3</v>
      </c>
      <c r="N232" s="7">
        <f t="shared" si="113"/>
        <v>1.5666666661854833</v>
      </c>
      <c r="O232" s="7"/>
      <c r="P232" s="7"/>
      <c r="Q232" s="22"/>
      <c r="R232" s="167"/>
      <c r="S232" s="210">
        <f t="shared" si="114"/>
        <v>0</v>
      </c>
      <c r="T232" s="192" t="str">
        <f t="shared" si="100"/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101"/>
        <v>https://d0f6bd738d7f1b3e5a7ca70fe4ff75f0.us-east-1.aws.found.io/app/kibana#/discover/Steve-Slow-Train-Analysis-(2080s-and-2083s)?_g=(refreshInterval:(display:Off,pause:!f,section:0,value:0),time:(from:'2017-09-13T02:20:43-0600',mode:absolute,to:'2017-09-13T04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2" s="194" t="str">
        <f>IF(AA232&lt;VLOOKUP(AG232,Variables!$AC$3:$AD$8,2,FALSE),"Y","N")</f>
        <v>Y</v>
      </c>
      <c r="X232" s="194">
        <f t="shared" si="97"/>
        <v>1</v>
      </c>
      <c r="Y232" s="194">
        <f t="shared" si="111"/>
        <v>0.32429999999999998</v>
      </c>
      <c r="Z232" s="194">
        <f t="shared" si="112"/>
        <v>0.1179</v>
      </c>
      <c r="AA232" s="194">
        <f t="shared" si="102"/>
        <v>0.20639999999999997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 t="shared" si="103"/>
        <v>52</v>
      </c>
      <c r="AE232" s="77" t="str">
        <f t="shared" si="104"/>
        <v>aws s3 cp s3://rtdc.mdm.uploadarchive.raw/RTDC4039/ "%USERPROFILE%\AppData\Local\Temp\OnboardLogs"\RTDC4039\2017-09-13 --exclude "*" --recursive --include "*20170913*" &amp; "%USERPROFILE%\Documents\GitHub\mrs-test-scripts\Headless Mode &amp; Sideloading\WalkAndUnGZ.bat" "%USERPROFILE%\AppData\Local\Temp\OnboardLogs"\RTDC4039\2017-09-13 &amp; aws s3 cp s3://rtdc.mdm.uploadarchive.raw/RTDC4039/ "%USERPROFILE%\AppData\Local\Temp\OnboardLogs"\RTDC4039\2017-09-14 --exclude "*" --recursive --include "*20170914*" &amp; "%USERPROFILE%\Documents\GitHub\mrs-test-scripts\Headless Mode &amp; Sideloading\WalkAndUnGZ.bat" "%USERPROFILE%\AppData\Local\Temp\OnboardLogs"\RTDC4039\2017-09-14</v>
      </c>
      <c r="AF232" s="74" t="str">
        <f t="shared" si="105"/>
        <v>"C:\Program Files (x86)\AstroGrep\AstroGrep.exe" /e /r /s /spath="%USERPROFILE%\AppData\Local\Temp\OnboardLogs" /stypes="app*4039*20170913*" /stext=" 09:.+((SYSTEM_STATE.+slice.+state.+changed )|(ment ac)|(multiple cpu faults)|(system.+state.+changed )|(\[timeout)|(PRM\|1\|D)|(kpr)|(kdp)|(train st.+moving)|(\|lc)|(penalty))"</v>
      </c>
      <c r="AG232" s="206" t="str">
        <f t="shared" si="106"/>
        <v>Shuttle/Test</v>
      </c>
      <c r="AH232" s="78" t="str">
        <f t="shared" si="107"/>
        <v>"%USERPROFILE%\Documents\GitHub\eaglep3\Utilities\RefineRTDCRunTimes.py" --tripid 52-13 --locoid 4039 --swversion DE.1.0.9.0 --startMP 204:3243 --initTime 2017-09-13T03:20:43 --startdatetime 2017-09-13T03:22:44 --delay 70 --endMP 204:1179 --enddatetime 2017-09-13T03:24:18 --enforcementcount 0 &gt;&gt;C:\Users\stu\Documents\GitHub\eaglep3-reporting\EC\2017-09-13-refined-times.txt</v>
      </c>
      <c r="AI232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0.1179"},{"id":17,"name":"Train ID","value":"52-13"},{"id":16,"name":"Locomotive ID","value":"4039"},{"id":130,"name":"Impact","value":""},{"id":150,"name":"Time of Event (Mountain Time)","value":"03:24:18"},{"id":151,"name":"Denver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09"/>
        <v>start /low /b %USERPROFILE%\Documents\GitHub\eaglep3\Utilities\DownloadLogsFromS3.py --loco 4039 --day 2017-09-13</v>
      </c>
      <c r="AN232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09:24:18"},{"id":29,"name":"Sharepoint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590</v>
      </c>
      <c r="B233" s="7">
        <v>4017</v>
      </c>
      <c r="C233" s="21" t="s">
        <v>197</v>
      </c>
      <c r="D233" s="21" t="s">
        <v>914</v>
      </c>
      <c r="E233" s="13">
        <v>42991.447638888887</v>
      </c>
      <c r="F233" s="13">
        <v>42991.453611111108</v>
      </c>
      <c r="G233" s="7">
        <v>102</v>
      </c>
      <c r="H233" s="21" t="s">
        <v>915</v>
      </c>
      <c r="I233" s="13">
        <v>42991.460069444445</v>
      </c>
      <c r="J233" s="7">
        <v>0</v>
      </c>
      <c r="K233" s="89" t="str">
        <f t="shared" si="98"/>
        <v>4017/4018</v>
      </c>
      <c r="L233" s="214" t="str">
        <f>VLOOKUP(A233,'Trips&amp;Operators'!$C$1:$G$99911,5,FALSE)</f>
        <v>MOSES BRADLEY</v>
      </c>
      <c r="M233" s="6">
        <f t="shared" si="99"/>
        <v>6.4583333369228058E-3</v>
      </c>
      <c r="N233" s="7">
        <f t="shared" si="113"/>
        <v>9.3000000051688403</v>
      </c>
      <c r="O233" s="7"/>
      <c r="P233" s="7"/>
      <c r="Q233" s="22"/>
      <c r="R233" s="167"/>
      <c r="S233" s="210">
        <f t="shared" si="114"/>
        <v>1</v>
      </c>
      <c r="T233" s="192" t="str">
        <f t="shared" si="100"/>
        <v>Southbound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3" t="str">
        <f t="shared" si="101"/>
        <v>https://d0f6bd738d7f1b3e5a7ca70fe4ff75f0.us-east-1.aws.found.io/app/kibana#/discover/Steve-Slow-Train-Analysis-(2080s-and-2083s)?_g=(refreshInterval:(display:Off,pause:!f,section:0,value:0),time:(from:'2017-09-13T09:44:36-0600',mode:absolute,to:'2017-09-13T12:02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194" t="str">
        <f>IF(AA233&lt;VLOOKUP(AG233,Variables!$AC$3:$AD$8,2,FALSE),"Y","N")</f>
        <v>Y</v>
      </c>
      <c r="X233" s="194">
        <f t="shared" si="97"/>
        <v>2</v>
      </c>
      <c r="Y233" s="194">
        <f t="shared" si="111"/>
        <v>2.2105999999999999</v>
      </c>
      <c r="Z233" s="194">
        <f t="shared" si="112"/>
        <v>0.10150000000000001</v>
      </c>
      <c r="AA233" s="194">
        <f t="shared" si="102"/>
        <v>2.1090999999999998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 t="shared" si="103"/>
        <v>54</v>
      </c>
      <c r="AE233" s="77" t="str">
        <f t="shared" si="104"/>
        <v>aws s3 cp s3://rtdc.mdm.uploadarchive.raw/RTDC4017/ "%USERPROFILE%\AppData\Local\Temp\OnboardLogs"\RTDC4017\2017-09-13 --exclude "*" --recursive --include "*20170913*" &amp; "%USERPROFILE%\Documents\GitHub\mrs-test-scripts\Headless Mode &amp; Sideloading\WalkAndUnGZ.bat" "%USERPROFILE%\AppData\Local\Temp\OnboardLogs"\RTDC4017\2017-09-13 &amp; aws s3 cp s3://rtdc.mdm.uploadarchive.raw/RTDC4017/ "%USERPROFILE%\AppData\Local\Temp\OnboardLogs"\RTDC4017\2017-09-14 --exclude "*" --recursive --include "*20170914*" &amp; "%USERPROFILE%\Documents\GitHub\mrs-test-scripts\Headless Mode &amp; Sideloading\WalkAndUnGZ.bat" "%USERPROFILE%\AppData\Local\Temp\OnboardLogs"\RTDC4017\2017-09-14</v>
      </c>
      <c r="AF233" s="74" t="str">
        <f t="shared" si="105"/>
        <v>"C:\Program Files (x86)\AstroGrep\AstroGrep.exe" /e /r /s /spath="%USERPROFILE%\AppData\Local\Temp\OnboardLogs" /stypes="app*4017*20170913*" /stext=" 17:.+((SYSTEM_STATE.+slice.+state.+changed )|(ment ac)|(multiple cpu faults)|(system.+state.+changed )|(\[timeout)|(PRM\|1\|D)|(kpr)|(kdp)|(train st.+moving)|(\|lc)|(penalty))"</v>
      </c>
      <c r="AG233" s="206" t="str">
        <f t="shared" si="106"/>
        <v>Shuttle/Test</v>
      </c>
      <c r="AH233" s="78" t="str">
        <f t="shared" si="107"/>
        <v>"%USERPROFILE%\Documents\GitHub\eaglep3\Utilities\RefineRTDCRunTimes.py" --tripid 54-13 --locoid 4017 --swversion DE.1.0.9.0 --startMP 300:22106 --initTime 2017-09-13T10:44:36 --startdatetime 2017-09-13T10:53:12 --delay 102 --endMP 204:1015 --enddatetime 2017-09-13T11:02:30 --enforcementcount 0 &gt;&gt;C:\Users\stu\Documents\GitHub\eaglep3-reporting\EC\2017-09-13-refined-times.txt</v>
      </c>
      <c r="AI233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0.1015"},{"id":17,"name":"Train ID","value":"54-13"},{"id":16,"name":"Locomotive ID","value":"4017"},{"id":130,"name":"Impact","value":""},{"id":150,"name":"Time of Event (Mountain Time)","value":"11:02:30"},{"id":151,"name":"Denver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09"/>
        <v>start /low /b %USERPROFILE%\Documents\GitHub\eaglep3\Utilities\DownloadLogsFromS3.py --loco 4017 --day 2017-09-13</v>
      </c>
      <c r="AN233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17:02:30"},{"id":29,"name":"Sharepoint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704</v>
      </c>
      <c r="B234" s="7">
        <v>4018</v>
      </c>
      <c r="C234" s="21" t="s">
        <v>197</v>
      </c>
      <c r="D234" s="21" t="s">
        <v>916</v>
      </c>
      <c r="E234" s="13">
        <v>42991.47724537037</v>
      </c>
      <c r="F234" s="13">
        <v>42991.479675925926</v>
      </c>
      <c r="G234" s="7">
        <v>68</v>
      </c>
      <c r="H234" s="21" t="s">
        <v>560</v>
      </c>
      <c r="I234" s="13">
        <v>42991.486134259256</v>
      </c>
      <c r="J234" s="7">
        <v>0</v>
      </c>
      <c r="K234" s="89" t="str">
        <f t="shared" si="98"/>
        <v>4017/4018</v>
      </c>
      <c r="L234" s="214" t="str">
        <f>VLOOKUP(A234,'Trips&amp;Operators'!$C$1:$G$99911,5,FALSE)</f>
        <v>YORK EDGAR</v>
      </c>
      <c r="M234" s="6">
        <f t="shared" si="99"/>
        <v>6.4583333296468481E-3</v>
      </c>
      <c r="N234" s="7">
        <f t="shared" si="113"/>
        <v>9.2999999946914613</v>
      </c>
      <c r="O234" s="7"/>
      <c r="P234" s="7"/>
      <c r="Q234" s="22"/>
      <c r="R234" s="167"/>
      <c r="S234" s="210">
        <f t="shared" si="114"/>
        <v>1</v>
      </c>
      <c r="T234" s="192" t="str">
        <f t="shared" si="100"/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3" t="str">
        <f t="shared" si="101"/>
        <v>https://d0f6bd738d7f1b3e5a7ca70fe4ff75f0.us-east-1.aws.found.io/app/kibana#/discover/Steve-Slow-Train-Analysis-(2080s-and-2083s)?_g=(refreshInterval:(display:Off,pause:!f,section:0,value:0),time:(from:'2017-09-13T10:27:14-0600',mode:absolute,to:'2017-09-13T12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194" t="str">
        <f>IF(AA234&lt;VLOOKUP(AG234,Variables!$AC$3:$AD$8,2,FALSE),"Y","N")</f>
        <v>Y</v>
      </c>
      <c r="X234" s="194">
        <f t="shared" si="97"/>
        <v>1</v>
      </c>
      <c r="Y234" s="194">
        <f t="shared" si="111"/>
        <v>0.1326</v>
      </c>
      <c r="Z234" s="194">
        <f t="shared" si="112"/>
        <v>2.4232999999999998</v>
      </c>
      <c r="AA234" s="194">
        <f t="shared" si="102"/>
        <v>2.2906999999999997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 t="shared" si="103"/>
        <v>55</v>
      </c>
      <c r="AE234" s="77" t="str">
        <f t="shared" si="104"/>
        <v>aws s3 cp s3://rtdc.mdm.uploadarchive.raw/RTDC4018/ "%USERPROFILE%\AppData\Local\Temp\OnboardLogs"\RTDC4018\2017-09-13 --exclude "*" --recursive --include "*20170913*" &amp; "%USERPROFILE%\Documents\GitHub\mrs-test-scripts\Headless Mode &amp; Sideloading\WalkAndUnGZ.bat" "%USERPROFILE%\AppData\Local\Temp\OnboardLogs"\RTDC4018\2017-09-13 &amp; aws s3 cp s3://rtdc.mdm.uploadarchive.raw/RTDC4018/ "%USERPROFILE%\AppData\Local\Temp\OnboardLogs"\RTDC4018\2017-09-14 --exclude "*" --recursive --include "*20170914*" &amp; "%USERPROFILE%\Documents\GitHub\mrs-test-scripts\Headless Mode &amp; Sideloading\WalkAndUnGZ.bat" "%USERPROFILE%\AppData\Local\Temp\OnboardLogs"\RTDC4018\2017-09-14</v>
      </c>
      <c r="AF234" s="74" t="str">
        <f t="shared" si="105"/>
        <v>"C:\Program Files (x86)\AstroGrep\AstroGrep.exe" /e /r /s /spath="%USERPROFILE%\AppData\Local\Temp\OnboardLogs" /stypes="app*4018*20170913*" /stext=" 17:.+((SYSTEM_STATE.+slice.+state.+changed )|(ment ac)|(multiple cpu faults)|(system.+state.+changed )|(\[timeout)|(PRM\|1\|D)|(kpr)|(kdp)|(train st.+moving)|(\|lc)|(penalty))"</v>
      </c>
      <c r="AG234" s="206" t="str">
        <f t="shared" si="106"/>
        <v>Shuttle/Test</v>
      </c>
      <c r="AH234" s="78" t="str">
        <f t="shared" si="107"/>
        <v>"%USERPROFILE%\Documents\GitHub\eaglep3\Utilities\RefineRTDCRunTimes.py" --tripid 55-13 --locoid 4018 --swversion DE.1.0.9.0 --startMP 204:1326 --initTime 2017-09-13T11:27:14 --startdatetime 2017-09-13T11:30:44 --delay 68 --endMP 300:24233 --enddatetime 2017-09-13T11:40:02 --enforcementcount 0 &gt;&gt;C:\Users\stu\Documents\GitHub\eaglep3-reporting\EC\2017-09-13-refined-times.txt</v>
      </c>
      <c r="AI234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2.4233"},{"id":17,"name":"Train ID","value":"55-13"},{"id":16,"name":"Locomotive ID","value":"4018"},{"id":130,"name":"Impact","value":""},{"id":150,"name":"Time of Event (Mountain Time)","value":"11:40:02"},{"id":151,"name":"Denver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09"/>
        <v>start /low /b %USERPROFILE%\Documents\GitHub\eaglep3\Utilities\DownloadLogsFromS3.py --loco 4018 --day 2017-09-13</v>
      </c>
      <c r="AN234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729</v>
      </c>
      <c r="B235" s="7">
        <v>4065</v>
      </c>
      <c r="C235" s="21" t="s">
        <v>197</v>
      </c>
      <c r="D235" s="21" t="s">
        <v>917</v>
      </c>
      <c r="E235" s="13">
        <v>42991.537615740737</v>
      </c>
      <c r="F235" s="13">
        <v>42991.539236111108</v>
      </c>
      <c r="G235" s="7">
        <v>93</v>
      </c>
      <c r="H235" s="21" t="s">
        <v>918</v>
      </c>
      <c r="I235" s="13">
        <v>42991.560081018521</v>
      </c>
      <c r="J235" s="7">
        <v>0</v>
      </c>
      <c r="K235" s="89" t="str">
        <f t="shared" si="98"/>
        <v>4065/4066</v>
      </c>
      <c r="L235" s="214" t="str">
        <f>VLOOKUP(A235,'Trips&amp;Operators'!$C$1:$G$99911,5,FALSE)</f>
        <v>BROWN JACOB</v>
      </c>
      <c r="M235" s="6">
        <f t="shared" si="99"/>
        <v>2.0844907412538305E-2</v>
      </c>
      <c r="N235" s="7">
        <f t="shared" si="113"/>
        <v>30.016666674055159</v>
      </c>
      <c r="O235" s="7"/>
      <c r="P235" s="7"/>
      <c r="Q235" s="22"/>
      <c r="R235" s="167"/>
      <c r="S235" s="210">
        <f t="shared" si="114"/>
        <v>1</v>
      </c>
      <c r="T235" s="192" t="str">
        <f t="shared" si="100"/>
        <v>Southbound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3" t="str">
        <f t="shared" si="101"/>
        <v>https://d0f6bd738d7f1b3e5a7ca70fe4ff75f0.us-east-1.aws.found.io/app/kibana#/discover/Steve-Slow-Train-Analysis-(2080s-and-2083s)?_g=(refreshInterval:(display:Off,pause:!f,section:0,value:0),time:(from:'2017-09-13T11:54:10-0600',mode:absolute,to:'2017-09-13T14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94" t="str">
        <f>IF(AA235&lt;VLOOKUP(AG235,Variables!$AC$3:$AD$8,2,FALSE),"Y","N")</f>
        <v>Y</v>
      </c>
      <c r="X235" s="194">
        <f t="shared" si="97"/>
        <v>5</v>
      </c>
      <c r="Y235" s="194">
        <f t="shared" si="111"/>
        <v>11.220599999999999</v>
      </c>
      <c r="Z235" s="194">
        <f t="shared" si="112"/>
        <v>9.4999999999999998E-3</v>
      </c>
      <c r="AA235" s="194">
        <f t="shared" si="102"/>
        <v>11.2111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 t="shared" si="103"/>
        <v>60</v>
      </c>
      <c r="AE235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35" s="74" t="str">
        <f t="shared" si="105"/>
        <v>"C:\Program Files (x86)\AstroGrep\AstroGrep.exe" /e /r /s /spath="%USERPROFILE%\AppData\Local\Temp\OnboardLogs" /stypes="app*4065*20170913*" /stext=" 19:.+((SYSTEM_STATE.+slice.+state.+changed )|(ment ac)|(multiple cpu faults)|(system.+state.+changed )|(\[timeout)|(PRM\|1\|D)|(kpr)|(kdp)|(train st.+moving)|(\|lc)|(penalty))"</v>
      </c>
      <c r="AG235" s="206" t="str">
        <f t="shared" si="106"/>
        <v>Shuttle/Test</v>
      </c>
      <c r="AH235" s="78" t="str">
        <f t="shared" si="107"/>
        <v>"%USERPROFILE%\Documents\GitHub\eaglep3\Utilities\RefineRTDCRunTimes.py" --tripid 60-13 --locoid 4065 --swversion DE.1.0.9.0 --startMP 300:112206 --initTime 2017-09-13T12:54:10 --startdatetime 2017-09-13T12:56:30 --delay 93 --endMP 204:95 --enddatetime 2017-09-13T13:26:31 --enforcementcount 0 &gt;&gt;C:\Users\stu\Documents\GitHub\eaglep3-reporting\EC\2017-09-13-refined-times.txt</v>
      </c>
      <c r="AI235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0.0095"},{"id":17,"name":"Train ID","value":"60-13"},{"id":16,"name":"Locomotive ID","value":"4065"},{"id":130,"name":"Impact","value":""},{"id":150,"name":"Time of Event (Mountain Time)","value":"13:26:31"},{"id":151,"name":"Denver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09"/>
        <v>start /low /b %USERPROFILE%\Documents\GitHub\eaglep3\Utilities\DownloadLogsFromS3.py --loco 4065 --day 2017-09-13</v>
      </c>
      <c r="AN235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19:26:31"},{"id":29,"name":"Sharepoint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714</v>
      </c>
      <c r="B236" s="7">
        <v>4066</v>
      </c>
      <c r="C236" s="21" t="s">
        <v>197</v>
      </c>
      <c r="D236" s="21" t="s">
        <v>444</v>
      </c>
      <c r="E236" s="13">
        <v>42991.51059027778</v>
      </c>
      <c r="F236" s="13">
        <v>42991.51189814815</v>
      </c>
      <c r="G236" s="7">
        <v>59</v>
      </c>
      <c r="H236" s="21" t="s">
        <v>919</v>
      </c>
      <c r="I236" s="13">
        <v>42991.513321759259</v>
      </c>
      <c r="J236" s="7">
        <v>0</v>
      </c>
      <c r="K236" s="89" t="str">
        <f t="shared" si="98"/>
        <v>4065/4066</v>
      </c>
      <c r="L236" s="214" t="str">
        <f>VLOOKUP(A236,'Trips&amp;Operators'!$C$1:$G$99911,5,FALSE)</f>
        <v>BROWN JACOB</v>
      </c>
      <c r="M236" s="6">
        <f t="shared" si="99"/>
        <v>1.4236111092031933E-3</v>
      </c>
      <c r="N236" s="7">
        <f t="shared" si="113"/>
        <v>2.0499999972525984</v>
      </c>
      <c r="O236" s="7"/>
      <c r="P236" s="7"/>
      <c r="Q236" s="22"/>
      <c r="R236" s="167"/>
      <c r="S236" s="210">
        <f t="shared" si="114"/>
        <v>0</v>
      </c>
      <c r="T236" s="192" t="str">
        <f t="shared" si="100"/>
        <v>NorthBound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3" t="str">
        <f t="shared" si="101"/>
        <v>https://d0f6bd738d7f1b3e5a7ca70fe4ff75f0.us-east-1.aws.found.io/app/kibana#/discover/Steve-Slow-Train-Analysis-(2080s-and-2083s)?_g=(refreshInterval:(display:Off,pause:!f,section:0,value:0),time:(from:'2017-09-13T11:15:15-0600',mode:absolute,to:'2017-09-13T13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194" t="str">
        <f>IF(AA236&lt;VLOOKUP(AG236,Variables!$AC$3:$AD$8,2,FALSE),"Y","N")</f>
        <v>Y</v>
      </c>
      <c r="X236" s="194">
        <f t="shared" si="97"/>
        <v>1</v>
      </c>
      <c r="Y236" s="194">
        <f t="shared" si="111"/>
        <v>4.4400000000000002E-2</v>
      </c>
      <c r="Z236" s="194">
        <f t="shared" si="112"/>
        <v>0.4904</v>
      </c>
      <c r="AA236" s="194">
        <f t="shared" si="102"/>
        <v>0.44600000000000001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 t="shared" si="103"/>
        <v>61</v>
      </c>
      <c r="AE236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36" s="74" t="str">
        <f t="shared" si="105"/>
        <v>"C:\Program Files (x86)\AstroGrep\AstroGrep.exe" /e /r /s /spath="%USERPROFILE%\AppData\Local\Temp\OnboardLogs" /stypes="app*4066*20170913*" /stext=" 18:.+((SYSTEM_STATE.+slice.+state.+changed )|(ment ac)|(multiple cpu faults)|(system.+state.+changed )|(\[timeout)|(PRM\|1\|D)|(kpr)|(kdp)|(train st.+moving)|(\|lc)|(penalty))"</v>
      </c>
      <c r="AG236" s="206" t="str">
        <f t="shared" si="106"/>
        <v>Shuttle/Test</v>
      </c>
      <c r="AH236" s="78" t="str">
        <f t="shared" si="107"/>
        <v>"%USERPROFILE%\Documents\GitHub\eaglep3\Utilities\RefineRTDCRunTimes.py" --tripid 61-13 --locoid 4066 --swversion DE.1.0.9.0 --startMP 204:444 --initTime 2017-09-13T12:15:15 --startdatetime 2017-09-13T12:17:08 --delay 59 --endMP 300:4904 --enddatetime 2017-09-13T12:19:11 --enforcementcount 0 &gt;&gt;C:\Users\stu\Documents\GitHub\eaglep3-reporting\EC\2017-09-13-refined-times.txt</v>
      </c>
      <c r="AI236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0.4904"},{"id":17,"name":"Train ID","value":"61-13"},{"id":16,"name":"Locomotive ID","value":"4066"},{"id":130,"name":"Impact","value":""},{"id":150,"name":"Time of Event (Mountain Time)","value":"12:19:11"},{"id":151,"name":"Denver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09"/>
        <v>start /low /b %USERPROFILE%\Documents\GitHub\eaglep3\Utilities\DownloadLogsFromS3.py --loco 4066 --day 2017-09-13</v>
      </c>
      <c r="AN236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586</v>
      </c>
      <c r="B237" s="7">
        <v>4065</v>
      </c>
      <c r="C237" s="21" t="s">
        <v>197</v>
      </c>
      <c r="D237" s="21" t="s">
        <v>920</v>
      </c>
      <c r="E237" s="13">
        <v>42991.390763888892</v>
      </c>
      <c r="F237" s="13">
        <v>42991.401412037034</v>
      </c>
      <c r="G237" s="7">
        <v>103</v>
      </c>
      <c r="H237" s="21" t="s">
        <v>921</v>
      </c>
      <c r="I237" s="13">
        <v>42991.432488425926</v>
      </c>
      <c r="J237" s="7">
        <v>0</v>
      </c>
      <c r="K237" s="89" t="str">
        <f t="shared" si="98"/>
        <v>4065/4066</v>
      </c>
      <c r="L237" s="214" t="str">
        <f>VLOOKUP(A237,'Trips&amp;Operators'!$C$1:$G$99911,5,FALSE)</f>
        <v>ROMERO CHAD</v>
      </c>
      <c r="M237" s="6">
        <f t="shared" si="99"/>
        <v>3.107638889196096E-2</v>
      </c>
      <c r="N237" s="7">
        <f t="shared" si="113"/>
        <v>44.750000004423782</v>
      </c>
      <c r="O237" s="7"/>
      <c r="P237" s="7"/>
      <c r="Q237" s="22"/>
      <c r="R237" s="167"/>
      <c r="S237" s="210">
        <f t="shared" si="114"/>
        <v>0</v>
      </c>
      <c r="T237" s="192" t="str">
        <f t="shared" si="100"/>
        <v>Southbound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3" t="str">
        <f t="shared" si="101"/>
        <v>https://d0f6bd738d7f1b3e5a7ca70fe4ff75f0.us-east-1.aws.found.io/app/kibana#/discover/Steve-Slow-Train-Analysis-(2080s-and-2083s)?_g=(refreshInterval:(display:Off,pause:!f,section:0,value:0),time:(from:'2017-09-13T08:22:42-0600',mode:absolute,to:'2017-09-13T11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7" s="194" t="str">
        <f>IF(AA237&lt;VLOOKUP(AG237,Variables!$AC$3:$AD$8,2,FALSE),"Y","N")</f>
        <v>Y</v>
      </c>
      <c r="X237" s="194">
        <f t="shared" si="97"/>
        <v>1</v>
      </c>
      <c r="Y237" s="194">
        <f t="shared" si="111"/>
        <v>11.2204</v>
      </c>
      <c r="Z237" s="194">
        <f t="shared" si="112"/>
        <v>11.161799999999999</v>
      </c>
      <c r="AA237" s="194">
        <f t="shared" si="102"/>
        <v>5.8600000000000207E-2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 t="shared" si="103"/>
        <v>62</v>
      </c>
      <c r="AE237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37" s="74" t="str">
        <f t="shared" si="105"/>
        <v>"C:\Program Files (x86)\AstroGrep\AstroGrep.exe" /e /r /s /spath="%USERPROFILE%\AppData\Local\Temp\OnboardLogs" /stypes="app*4065*20170913*" /stext=" 16:.+((SYSTEM_STATE.+slice.+state.+changed )|(ment ac)|(multiple cpu faults)|(system.+state.+changed )|(\[timeout)|(PRM\|1\|D)|(kpr)|(kdp)|(train st.+moving)|(\|lc)|(penalty))"</v>
      </c>
      <c r="AG237" s="206" t="str">
        <f t="shared" si="106"/>
        <v>Shuttle/Test</v>
      </c>
      <c r="AH237" s="78" t="str">
        <f t="shared" si="107"/>
        <v>"%USERPROFILE%\Documents\GitHub\eaglep3\Utilities\RefineRTDCRunTimes.py" --tripid 62-13 --locoid 4065 --swversion DE.1.0.9.0 --startMP 300:112204 --initTime 2017-09-13T09:22:42 --startdatetime 2017-09-13T09:38:02 --delay 103 --endMP 300:111618 --enddatetime 2017-09-13T10:22:47 --enforcementcount 0 &gt;&gt;C:\Users\stu\Documents\GitHub\eaglep3-reporting\EC\2017-09-13-refined-times.txt</v>
      </c>
      <c r="AI237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11.1618"},{"id":17,"name":"Train ID","value":"62-13"},{"id":16,"name":"Locomotive ID","value":"4065"},{"id":130,"name":"Impact","value":""},{"id":150,"name":"Time of Event (Mountain Time)","value":"10:22:47"},{"id":151,"name":"Denver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09"/>
        <v>start /low /b %USERPROFILE%\Documents\GitHub\eaglep3\Utilities\DownloadLogsFromS3.py --loco 4065 --day 2017-09-13</v>
      </c>
      <c r="AN237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586</v>
      </c>
      <c r="B238" s="7">
        <v>4065</v>
      </c>
      <c r="C238" s="21" t="s">
        <v>197</v>
      </c>
      <c r="D238" s="21" t="s">
        <v>922</v>
      </c>
      <c r="E238" s="13">
        <v>42991.399918981479</v>
      </c>
      <c r="F238" s="13">
        <v>42991.401412037034</v>
      </c>
      <c r="G238" s="7">
        <v>68</v>
      </c>
      <c r="H238" s="21" t="s">
        <v>367</v>
      </c>
      <c r="I238" s="13">
        <v>42991.432488425926</v>
      </c>
      <c r="J238" s="7">
        <v>0</v>
      </c>
      <c r="K238" s="89" t="str">
        <f t="shared" si="98"/>
        <v>4065/4066</v>
      </c>
      <c r="L238" s="214" t="str">
        <f>VLOOKUP(A238,'Trips&amp;Operators'!$C$1:$G$99911,5,FALSE)</f>
        <v>ROMERO CHAD</v>
      </c>
      <c r="M238" s="6">
        <f t="shared" si="99"/>
        <v>3.107638889196096E-2</v>
      </c>
      <c r="N238" s="7">
        <f t="shared" si="113"/>
        <v>44.750000004423782</v>
      </c>
      <c r="O238" s="7"/>
      <c r="P238" s="7"/>
      <c r="Q238" s="22"/>
      <c r="R238" s="167"/>
      <c r="S238" s="210">
        <f t="shared" si="114"/>
        <v>1</v>
      </c>
      <c r="T238" s="192" t="str">
        <f t="shared" si="100"/>
        <v>Southbound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 t="shared" si="101"/>
        <v>https://d0f6bd738d7f1b3e5a7ca70fe4ff75f0.us-east-1.aws.found.io/app/kibana#/discover/Steve-Slow-Train-Analysis-(2080s-and-2083s)?_g=(refreshInterval:(display:Off,pause:!f,section:0,value:0),time:(from:'2017-09-13T08:35:53-0600',mode:absolute,to:'2017-09-13T11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8" s="194" t="str">
        <f>IF(AA238&lt;VLOOKUP(AG238,Variables!$AC$3:$AD$8,2,FALSE),"Y","N")</f>
        <v>Y</v>
      </c>
      <c r="X238" s="194">
        <f t="shared" si="97"/>
        <v>0</v>
      </c>
      <c r="Y238" s="194">
        <f t="shared" si="111"/>
        <v>11.15</v>
      </c>
      <c r="Z238" s="194">
        <f t="shared" si="112"/>
        <v>1.38E-2</v>
      </c>
      <c r="AA238" s="194">
        <f t="shared" si="102"/>
        <v>11.136200000000001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 t="shared" si="103"/>
        <v>62</v>
      </c>
      <c r="AE238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38" s="74" t="str">
        <f t="shared" si="105"/>
        <v>"C:\Program Files (x86)\AstroGrep\AstroGrep.exe" /e /r /s /spath="%USERPROFILE%\AppData\Local\Temp\OnboardLogs" /stypes="app*4065*20170913*" /stext=" 16:.+((SYSTEM_STATE.+slice.+state.+changed )|(ment ac)|(multiple cpu faults)|(system.+state.+changed )|(\[timeout)|(PRM\|1\|D)|(kpr)|(kdp)|(train st.+moving)|(\|lc)|(penalty))"</v>
      </c>
      <c r="AG238" s="206" t="str">
        <f t="shared" si="106"/>
        <v>Shuttle/Test</v>
      </c>
      <c r="AH238" s="78" t="str">
        <f t="shared" si="107"/>
        <v>"%USERPROFILE%\Documents\GitHub\eaglep3\Utilities\RefineRTDCRunTimes.py" --tripid 62-13 --locoid 4065 --swversion DE.1.0.9.0 --startMP 300:111500 --initTime 2017-09-13T09:35:53 --startdatetime 2017-09-13T09:38:02 --delay 68 --endMP 204:138 --enddatetime 2017-09-13T10:22:47 --enforcementcount 0 &gt;&gt;C:\Users\stu\Documents\GitHub\eaglep3-reporting\EC\2017-09-13-refined-times.txt</v>
      </c>
      <c r="AI238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0.0138"},{"id":17,"name":"Train ID","value":"62-13"},{"id":16,"name":"Locomotive ID","value":"4065"},{"id":130,"name":"Impact","value":""},{"id":150,"name":"Time of Event (Mountain Time)","value":"10:22:47"},{"id":151,"name":"Denver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09"/>
        <v>start /low /b %USERPROFILE%\Documents\GitHub\eaglep3\Utilities\DownloadLogsFromS3.py --loco 4065 --day 2017-09-13</v>
      </c>
      <c r="AN238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586</v>
      </c>
      <c r="B239" s="7">
        <v>4065</v>
      </c>
      <c r="C239" s="21" t="s">
        <v>197</v>
      </c>
      <c r="D239" s="21" t="s">
        <v>923</v>
      </c>
      <c r="E239" s="13">
        <v>42991.456365740742</v>
      </c>
      <c r="F239" s="13">
        <v>42991.458645833336</v>
      </c>
      <c r="G239" s="7">
        <v>74</v>
      </c>
      <c r="H239" s="21" t="s">
        <v>924</v>
      </c>
      <c r="I239" s="13">
        <v>42991.479502314818</v>
      </c>
      <c r="J239" s="7">
        <v>0</v>
      </c>
      <c r="K239" s="89" t="str">
        <f t="shared" si="98"/>
        <v>4065/4066</v>
      </c>
      <c r="L239" s="214" t="str">
        <f>VLOOKUP(A239,'Trips&amp;Operators'!$C$1:$G$99911,5,FALSE)</f>
        <v>ROMERO CHAD</v>
      </c>
      <c r="M239" s="6">
        <f t="shared" si="99"/>
        <v>2.0856481482042E-2</v>
      </c>
      <c r="N239" s="7">
        <f t="shared" si="113"/>
        <v>30.03333333414048</v>
      </c>
      <c r="O239" s="7"/>
      <c r="P239" s="7"/>
      <c r="Q239" s="22"/>
      <c r="R239" s="167"/>
      <c r="S239" s="210">
        <f t="shared" si="114"/>
        <v>1</v>
      </c>
      <c r="T239" s="192" t="str">
        <f t="shared" si="100"/>
        <v>Southbound</v>
      </c>
      <c r="U239" s="19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3" t="str">
        <f t="shared" si="101"/>
        <v>https://d0f6bd738d7f1b3e5a7ca70fe4ff75f0.us-east-1.aws.found.io/app/kibana#/discover/Steve-Slow-Train-Analysis-(2080s-and-2083s)?_g=(refreshInterval:(display:Off,pause:!f,section:0,value:0),time:(from:'2017-09-13T09:57:10-0600',mode:absolute,to:'2017-09-13T12:30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9" s="194" t="str">
        <f>IF(AA239&lt;VLOOKUP(AG239,Variables!$AC$3:$AD$8,2,FALSE),"Y","N")</f>
        <v>Y</v>
      </c>
      <c r="X239" s="194">
        <f t="shared" si="97"/>
        <v>0</v>
      </c>
      <c r="Y239" s="194">
        <f t="shared" si="111"/>
        <v>11.219900000000001</v>
      </c>
      <c r="Z239" s="194">
        <f t="shared" si="112"/>
        <v>1.44E-2</v>
      </c>
      <c r="AA239" s="194">
        <f t="shared" si="102"/>
        <v>11.205500000000001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3">
        <f t="shared" si="103"/>
        <v>62</v>
      </c>
      <c r="AE239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39" s="74" t="str">
        <f t="shared" si="105"/>
        <v>"C:\Program Files (x86)\AstroGrep\AstroGrep.exe" /e /r /s /spath="%USERPROFILE%\AppData\Local\Temp\OnboardLogs" /stypes="app*4065*20170913*" /stext=" 17:.+((SYSTEM_STATE.+slice.+state.+changed )|(ment ac)|(multiple cpu faults)|(system.+state.+changed )|(\[timeout)|(PRM\|1\|D)|(kpr)|(kdp)|(train st.+moving)|(\|lc)|(penalty))"</v>
      </c>
      <c r="AG239" s="206" t="str">
        <f t="shared" si="106"/>
        <v>Shuttle/Test</v>
      </c>
      <c r="AH239" s="78" t="str">
        <f t="shared" si="107"/>
        <v>"%USERPROFILE%\Documents\GitHub\eaglep3\Utilities\RefineRTDCRunTimes.py" --tripid 62-13 --locoid 4065 --swversion DE.1.0.9.0 --startMP 300:112199 --initTime 2017-09-13T10:57:10 --startdatetime 2017-09-13T11:00:27 --delay 74 --endMP 204:144 --enddatetime 2017-09-13T11:30:29 --enforcementcount 0 &gt;&gt;C:\Users\stu\Documents\GitHub\eaglep3-reporting\EC\2017-09-13-refined-times.txt</v>
      </c>
      <c r="AI239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0.0144"},{"id":17,"name":"Train ID","value":"62-13"},{"id":16,"name":"Locomotive ID","value":"4065"},{"id":130,"name":"Impact","value":""},{"id":150,"name":"Time of Event (Mountain Time)","value":"11:30:29"},{"id":151,"name":"Denver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09"/>
        <v>start /low /b %USERPROFILE%\Documents\GitHub\eaglep3\Utilities\DownloadLogsFromS3.py --loco 4065 --day 2017-09-13</v>
      </c>
      <c r="AN239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17:30:29"},{"id":29,"name":"Sharepoint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585</v>
      </c>
      <c r="B240" s="7">
        <v>4066</v>
      </c>
      <c r="C240" s="21" t="s">
        <v>197</v>
      </c>
      <c r="D240" s="21" t="s">
        <v>925</v>
      </c>
      <c r="E240" s="13">
        <v>42991.367129629631</v>
      </c>
      <c r="F240" s="13">
        <v>42991.37164351852</v>
      </c>
      <c r="G240" s="7">
        <v>145</v>
      </c>
      <c r="H240" s="21" t="s">
        <v>926</v>
      </c>
      <c r="I240" s="13">
        <v>42991.38962962963</v>
      </c>
      <c r="J240" s="7">
        <v>0</v>
      </c>
      <c r="K240" s="89" t="str">
        <f t="shared" si="98"/>
        <v>4065/4066</v>
      </c>
      <c r="L240" s="214" t="str">
        <f>VLOOKUP(A240,'Trips&amp;Operators'!$C$1:$G$99911,5,FALSE)</f>
        <v>ROMERO CHAD</v>
      </c>
      <c r="M240" s="6">
        <f t="shared" si="99"/>
        <v>1.7986111110076308E-2</v>
      </c>
      <c r="N240" s="7">
        <f t="shared" si="113"/>
        <v>25.899999998509884</v>
      </c>
      <c r="O240" s="7"/>
      <c r="P240" s="7"/>
      <c r="Q240" s="22"/>
      <c r="R240" s="167"/>
      <c r="S240" s="210">
        <f t="shared" si="114"/>
        <v>0</v>
      </c>
      <c r="T240" s="192" t="str">
        <f t="shared" si="100"/>
        <v>NorthBound</v>
      </c>
      <c r="U240" s="19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3" t="str">
        <f t="shared" si="101"/>
        <v>https://d0f6bd738d7f1b3e5a7ca70fe4ff75f0.us-east-1.aws.found.io/app/kibana#/discover/Steve-Slow-Train-Analysis-(2080s-and-2083s)?_g=(refreshInterval:(display:Off,pause:!f,section:0,value:0),time:(from:'2017-09-13T07:48:40-0600',mode:absolute,to:'2017-09-13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0" s="194" t="str">
        <f>IF(AA240&lt;VLOOKUP(AG240,Variables!$AC$3:$AD$8,2,FALSE),"Y","N")</f>
        <v>Y</v>
      </c>
      <c r="X240" s="194">
        <f t="shared" si="97"/>
        <v>1</v>
      </c>
      <c r="Y240" s="194">
        <f t="shared" si="111"/>
        <v>3.0005999999999999</v>
      </c>
      <c r="Z240" s="194">
        <f t="shared" si="112"/>
        <v>11.2515</v>
      </c>
      <c r="AA240" s="194">
        <f t="shared" si="102"/>
        <v>8.2508999999999997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3">
        <f t="shared" si="103"/>
        <v>63</v>
      </c>
      <c r="AE240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0" s="74" t="str">
        <f t="shared" si="105"/>
        <v>"C:\Program Files (x86)\AstroGrep\AstroGrep.exe" /e /r /s /spath="%USERPROFILE%\AppData\Local\Temp\OnboardLogs" /stypes="app*4066*20170913*" /stext=" 15:.+((SYSTEM_STATE.+slice.+state.+changed )|(ment ac)|(multiple cpu faults)|(system.+state.+changed )|(\[timeout)|(PRM\|1\|D)|(kpr)|(kdp)|(train st.+moving)|(\|lc)|(penalty))"</v>
      </c>
      <c r="AG240" s="206" t="str">
        <f t="shared" si="106"/>
        <v>Shuttle/Test</v>
      </c>
      <c r="AH240" s="78" t="str">
        <f t="shared" si="107"/>
        <v>"%USERPROFILE%\Documents\GitHub\eaglep3\Utilities\RefineRTDCRunTimes.py" --tripid 63-13 --locoid 4066 --swversion DE.1.0.9.0 --startMP 300:30006 --initTime 2017-09-13T08:48:40 --startdatetime 2017-09-13T08:55:10 --delay 145 --endMP 300:112515 --enddatetime 2017-09-13T09:21:04 --enforcementcount 0 &gt;&gt;C:\Users\stu\Documents\GitHub\eaglep3-reporting\EC\2017-09-13-refined-times.txt</v>
      </c>
      <c r="AI240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11.2515"},{"id":17,"name":"Train ID","value":"63-13"},{"id":16,"name":"Locomotive ID","value":"4066"},{"id":130,"name":"Impact","value":""},{"id":150,"name":"Time of Event (Mountain Time)","value":"09:21:04"},{"id":151,"name":"Denver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09"/>
        <v>start /low /b %USERPROFILE%\Documents\GitHub\eaglep3\Utilities\DownloadLogsFromS3.py --loco 4066 --day 2017-09-13</v>
      </c>
      <c r="AN240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585</v>
      </c>
      <c r="B241" s="7">
        <v>4066</v>
      </c>
      <c r="C241" s="21" t="s">
        <v>197</v>
      </c>
      <c r="D241" s="21" t="s">
        <v>927</v>
      </c>
      <c r="E241" s="13">
        <v>42991.433738425927</v>
      </c>
      <c r="F241" s="13">
        <v>42991.435324074075</v>
      </c>
      <c r="G241" s="7">
        <v>49</v>
      </c>
      <c r="H241" s="21" t="s">
        <v>928</v>
      </c>
      <c r="I241" s="13">
        <v>42991.455439814818</v>
      </c>
      <c r="J241" s="7">
        <v>0</v>
      </c>
      <c r="K241" s="89" t="str">
        <f t="shared" si="98"/>
        <v>4065/4066</v>
      </c>
      <c r="L241" s="214" t="str">
        <f>VLOOKUP(A241,'Trips&amp;Operators'!$C$1:$G$99911,5,FALSE)</f>
        <v>ROMERO CHAD</v>
      </c>
      <c r="M241" s="6">
        <f t="shared" si="99"/>
        <v>2.011574074276723E-2</v>
      </c>
      <c r="N241" s="7">
        <f t="shared" si="113"/>
        <v>28.966666669584811</v>
      </c>
      <c r="O241" s="7"/>
      <c r="P241" s="7"/>
      <c r="Q241" s="22"/>
      <c r="R241" s="167"/>
      <c r="S241" s="210">
        <f t="shared" si="114"/>
        <v>1</v>
      </c>
      <c r="T241" s="192" t="str">
        <f t="shared" si="100"/>
        <v>NorthBound</v>
      </c>
      <c r="U241" s="19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3" t="str">
        <f t="shared" si="101"/>
        <v>https://d0f6bd738d7f1b3e5a7ca70fe4ff75f0.us-east-1.aws.found.io/app/kibana#/discover/Steve-Slow-Train-Analysis-(2080s-and-2083s)?_g=(refreshInterval:(display:Off,pause:!f,section:0,value:0),time:(from:'2017-09-13T09:24:35-0600',mode:absolute,to:'2017-09-13T11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1" s="194" t="str">
        <f>IF(AA241&lt;VLOOKUP(AG241,Variables!$AC$3:$AD$8,2,FALSE),"Y","N")</f>
        <v>Y</v>
      </c>
      <c r="X241" s="194">
        <f t="shared" si="97"/>
        <v>0</v>
      </c>
      <c r="Y241" s="194">
        <f t="shared" si="111"/>
        <v>4.2299999999999997E-2</v>
      </c>
      <c r="Z241" s="194">
        <f t="shared" si="112"/>
        <v>11.251300000000001</v>
      </c>
      <c r="AA241" s="194">
        <f t="shared" si="102"/>
        <v>11.209000000000001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3">
        <f t="shared" si="103"/>
        <v>63</v>
      </c>
      <c r="AE241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1" s="74" t="str">
        <f t="shared" si="105"/>
        <v>"C:\Program Files (x86)\AstroGrep\AstroGrep.exe" /e /r /s /spath="%USERPROFILE%\AppData\Local\Temp\OnboardLogs" /stypes="app*4066*20170913*" /stext=" 16:.+((SYSTEM_STATE.+slice.+state.+changed )|(ment ac)|(multiple cpu faults)|(system.+state.+changed )|(\[timeout)|(PRM\|1\|D)|(kpr)|(kdp)|(train st.+moving)|(\|lc)|(penalty))"</v>
      </c>
      <c r="AG241" s="206" t="str">
        <f t="shared" si="106"/>
        <v>Shuttle/Test</v>
      </c>
      <c r="AH241" s="78" t="str">
        <f t="shared" si="107"/>
        <v>"%USERPROFILE%\Documents\GitHub\eaglep3\Utilities\RefineRTDCRunTimes.py" --tripid 63-13 --locoid 4066 --swversion DE.1.0.9.0 --startMP 204:423 --initTime 2017-09-13T10:24:35 --startdatetime 2017-09-13T10:26:52 --delay 49 --endMP 300:112513 --enddatetime 2017-09-13T10:55:50 --enforcementcount 0 &gt;&gt;C:\Users\stu\Documents\GitHub\eaglep3-reporting\EC\2017-09-13-refined-times.txt</v>
      </c>
      <c r="AI241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11.2513"},{"id":17,"name":"Train ID","value":"63-13"},{"id":16,"name":"Locomotive ID","value":"4066"},{"id":130,"name":"Impact","value":""},{"id":150,"name":"Time of Event (Mountain Time)","value":"10:55:50"},{"id":151,"name":"Denver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09"/>
        <v>start /low /b %USERPROFILE%\Documents\GitHub\eaglep3\Utilities\DownloadLogsFromS3.py --loco 4066 --day 2017-09-13</v>
      </c>
      <c r="AN241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16:55:50"},{"id":29,"name":"Sharepoint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s="20" customFormat="1" x14ac:dyDescent="0.25">
      <c r="A242" s="32" t="s">
        <v>593</v>
      </c>
      <c r="B242" s="7">
        <v>4066</v>
      </c>
      <c r="C242" s="21" t="s">
        <v>197</v>
      </c>
      <c r="D242" s="21" t="s">
        <v>929</v>
      </c>
      <c r="E242" s="13">
        <v>42991.515300925923</v>
      </c>
      <c r="F242" s="13">
        <v>42991.517118055555</v>
      </c>
      <c r="G242" s="7">
        <v>83</v>
      </c>
      <c r="H242" s="21" t="s">
        <v>930</v>
      </c>
      <c r="I242" s="13">
        <v>42991.534918981481</v>
      </c>
      <c r="J242" s="7">
        <v>0</v>
      </c>
      <c r="K242" s="89" t="str">
        <f t="shared" si="98"/>
        <v>4065/4066</v>
      </c>
      <c r="L242" s="214" t="str">
        <f>VLOOKUP(A242,'Trips&amp;Operators'!$C$1:$G$99911,5,FALSE)</f>
        <v>PELLITIER GEORGE</v>
      </c>
      <c r="M242" s="6">
        <f t="shared" si="99"/>
        <v>1.7800925925257616E-2</v>
      </c>
      <c r="N242" s="7">
        <f t="shared" si="113"/>
        <v>25.633333332370967</v>
      </c>
      <c r="O242" s="7"/>
      <c r="P242" s="7"/>
      <c r="Q242" s="22"/>
      <c r="R242" s="167"/>
      <c r="S242" s="210">
        <f t="shared" si="114"/>
        <v>1</v>
      </c>
      <c r="T242" s="192" t="str">
        <f t="shared" si="100"/>
        <v>NorthBound</v>
      </c>
      <c r="U242" s="19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3" t="str">
        <f t="shared" si="101"/>
        <v>https://d0f6bd738d7f1b3e5a7ca70fe4ff75f0.us-east-1.aws.found.io/app/kibana#/discover/Steve-Slow-Train-Analysis-(2080s-and-2083s)?_g=(refreshInterval:(display:Off,pause:!f,section:0,value:0),time:(from:'2017-09-13T11:22:02-0600',mode:absolute,to:'2017-09-13T13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2" s="194" t="str">
        <f>IF(AA242&lt;VLOOKUP(AG242,Variables!$AC$3:$AD$8,2,FALSE),"Y","N")</f>
        <v>Y</v>
      </c>
      <c r="X242" s="194">
        <f t="shared" si="97"/>
        <v>2</v>
      </c>
      <c r="Y242" s="194">
        <f t="shared" si="111"/>
        <v>0.4879</v>
      </c>
      <c r="Z242" s="194">
        <f t="shared" si="112"/>
        <v>11.251099999999999</v>
      </c>
      <c r="AA242" s="194">
        <f t="shared" si="102"/>
        <v>10.763199999999999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3">
        <f t="shared" si="103"/>
        <v>65</v>
      </c>
      <c r="AE242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2" s="74" t="str">
        <f t="shared" si="105"/>
        <v>"C:\Program Files (x86)\AstroGrep\AstroGrep.exe" /e /r /s /spath="%USERPROFILE%\AppData\Local\Temp\OnboardLogs" /stypes="app*4066*20170913*" /stext=" 18:.+((SYSTEM_STATE.+slice.+state.+changed )|(ment ac)|(multiple cpu faults)|(system.+state.+changed )|(\[timeout)|(PRM\|1\|D)|(kpr)|(kdp)|(train st.+moving)|(\|lc)|(penalty))"</v>
      </c>
      <c r="AG242" s="206" t="str">
        <f t="shared" si="106"/>
        <v>Shuttle/Test</v>
      </c>
      <c r="AH242" s="78" t="str">
        <f t="shared" si="107"/>
        <v>"%USERPROFILE%\Documents\GitHub\eaglep3\Utilities\RefineRTDCRunTimes.py" --tripid 65-13 --locoid 4066 --swversion DE.1.0.9.0 --startMP 300:4879 --initTime 2017-09-13T12:22:02 --startdatetime 2017-09-13T12:24:39 --delay 83 --endMP 300:112511 --enddatetime 2017-09-13T12:50:17 --enforcementcount 0 &gt;&gt;C:\Users\stu\Documents\GitHub\eaglep3-reporting\EC\2017-09-13-refined-times.txt</v>
      </c>
      <c r="AI242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11.2511"},{"id":17,"name":"Train ID","value":"65-13"},{"id":16,"name":"Locomotive ID","value":"4066"},{"id":130,"name":"Impact","value":""},{"id":150,"name":"Time of Event (Mountain Time)","value":"12:50:17"},{"id":151,"name":"Denver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2" s="47"/>
      <c r="AL242" s="47"/>
      <c r="AM242" s="142" t="str">
        <f t="shared" si="109"/>
        <v>start /low /b %USERPROFILE%\Documents\GitHub\eaglep3\Utilities\DownloadLogsFromS3.py --loco 4066 --day 2017-09-13</v>
      </c>
      <c r="AN242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18:50:17"},{"id":29,"name":"Sharepoint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 s="32" t="s">
        <v>744</v>
      </c>
      <c r="B243" s="7">
        <v>4065</v>
      </c>
      <c r="C243" s="21" t="s">
        <v>197</v>
      </c>
      <c r="D243" s="21" t="s">
        <v>931</v>
      </c>
      <c r="E243" s="13">
        <v>42991.597187500003</v>
      </c>
      <c r="F243" s="13">
        <v>42991.598958333336</v>
      </c>
      <c r="G243" s="7">
        <v>64</v>
      </c>
      <c r="H243" s="21" t="s">
        <v>932</v>
      </c>
      <c r="I243" s="13">
        <v>42991.619328703702</v>
      </c>
      <c r="J243" s="7">
        <v>0</v>
      </c>
      <c r="K243" s="89" t="str">
        <f t="shared" si="98"/>
        <v>4065/4066</v>
      </c>
      <c r="L243" s="214" t="str">
        <f>VLOOKUP(A243,'Trips&amp;Operators'!$C$1:$G$99911,5,FALSE)</f>
        <v>MAGEE KENYA</v>
      </c>
      <c r="M243" s="6">
        <f t="shared" si="99"/>
        <v>2.0370370366435964E-2</v>
      </c>
      <c r="N243" s="7">
        <f t="shared" si="113"/>
        <v>29.333333327667788</v>
      </c>
      <c r="O243" s="7"/>
      <c r="P243" s="7"/>
      <c r="Q243" s="22"/>
      <c r="R243" s="167"/>
      <c r="S243" s="210">
        <f t="shared" si="114"/>
        <v>1</v>
      </c>
      <c r="T243" s="192" t="str">
        <f t="shared" si="100"/>
        <v>Southbound</v>
      </c>
      <c r="U243" s="19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3" t="str">
        <f t="shared" si="101"/>
        <v>https://d0f6bd738d7f1b3e5a7ca70fe4ff75f0.us-east-1.aws.found.io/app/kibana#/discover/Steve-Slow-Train-Analysis-(2080s-and-2083s)?_g=(refreshInterval:(display:Off,pause:!f,section:0,value:0),time:(from:'2017-09-13T13:19:57-0600',mode:absolute,to:'2017-09-13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3" s="194" t="str">
        <f>IF(AA243&lt;VLOOKUP(AG243,Variables!$AC$3:$AD$8,2,FALSE),"Y","N")</f>
        <v>Y</v>
      </c>
      <c r="X243" s="194">
        <f t="shared" si="97"/>
        <v>5</v>
      </c>
      <c r="Y243" s="194">
        <f t="shared" si="111"/>
        <v>11.2189</v>
      </c>
      <c r="Z243" s="194">
        <f t="shared" si="112"/>
        <v>1.66E-2</v>
      </c>
      <c r="AA243" s="194">
        <f t="shared" si="102"/>
        <v>11.202299999999999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3">
        <f t="shared" si="103"/>
        <v>70</v>
      </c>
      <c r="AE243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43" s="74" t="str">
        <f t="shared" si="105"/>
        <v>"C:\Program Files (x86)\AstroGrep\AstroGrep.exe" /e /r /s /spath="%USERPROFILE%\AppData\Local\Temp\OnboardLogs" /stypes="app*4065*20170913*" /stext=" 20:.+((SYSTEM_STATE.+slice.+state.+changed )|(ment ac)|(multiple cpu faults)|(system.+state.+changed )|(\[timeout)|(PRM\|1\|D)|(kpr)|(kdp)|(train st.+moving)|(\|lc)|(penalty))"</v>
      </c>
      <c r="AG243" s="206" t="str">
        <f t="shared" si="106"/>
        <v>Shuttle/Test</v>
      </c>
      <c r="AH243" s="78" t="str">
        <f t="shared" si="107"/>
        <v>"%USERPROFILE%\Documents\GitHub\eaglep3\Utilities\RefineRTDCRunTimes.py" --tripid 70-13 --locoid 4065 --swversion DE.1.0.9.0 --startMP 300:112189 --initTime 2017-09-13T14:19:57 --startdatetime 2017-09-13T14:22:30 --delay 64 --endMP 204:166 --enddatetime 2017-09-13T14:51:50 --enforcementcount 0 &gt;&gt;C:\Users\stu\Documents\GitHub\eaglep3-reporting\EC\2017-09-13-refined-times.txt</v>
      </c>
      <c r="AI243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0.0166"},{"id":17,"name":"Train ID","value":"70-13"},{"id":16,"name":"Locomotive ID","value":"4065"},{"id":130,"name":"Impact","value":""},{"id":150,"name":"Time of Event (Mountain Time)","value":"14:51:50"},{"id":151,"name":"Denver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09"/>
        <v>start /low /b %USERPROFILE%\Documents\GitHub\eaglep3\Utilities\DownloadLogsFromS3.py --loco 4065 --day 2017-09-13</v>
      </c>
      <c r="AN243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598</v>
      </c>
      <c r="B244" s="7">
        <v>4066</v>
      </c>
      <c r="C244" s="21" t="s">
        <v>197</v>
      </c>
      <c r="D244" s="21" t="s">
        <v>933</v>
      </c>
      <c r="E244" s="13">
        <v>42991.567523148151</v>
      </c>
      <c r="F244" s="13">
        <v>42991.598958333336</v>
      </c>
      <c r="G244" s="7">
        <v>119</v>
      </c>
      <c r="H244" s="21" t="s">
        <v>934</v>
      </c>
      <c r="I244" s="13">
        <v>42991.619328703702</v>
      </c>
      <c r="J244" s="7">
        <v>0</v>
      </c>
      <c r="K244" s="89" t="str">
        <f t="shared" si="98"/>
        <v>4065/4066</v>
      </c>
      <c r="L244" s="214" t="str">
        <f>VLOOKUP(A244,'Trips&amp;Operators'!$C$1:$G$99911,5,FALSE)</f>
        <v>MAGEE KENYA</v>
      </c>
      <c r="M244" s="6">
        <f t="shared" si="99"/>
        <v>2.0370370366435964E-2</v>
      </c>
      <c r="N244" s="7">
        <f t="shared" si="113"/>
        <v>29.333333327667788</v>
      </c>
      <c r="O244" s="7"/>
      <c r="P244" s="7"/>
      <c r="Q244" s="22"/>
      <c r="R244" s="167"/>
      <c r="S244" s="210">
        <f t="shared" si="114"/>
        <v>1</v>
      </c>
      <c r="T244" s="192" t="str">
        <f t="shared" si="100"/>
        <v>NorthBound</v>
      </c>
      <c r="U244" s="19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3" t="str">
        <f t="shared" si="101"/>
        <v>https://d0f6bd738d7f1b3e5a7ca70fe4ff75f0.us-east-1.aws.found.io/app/kibana#/discover/Steve-Slow-Train-Analysis-(2080s-and-2083s)?_g=(refreshInterval:(display:Off,pause:!f,section:0,value:0),time:(from:'2017-09-13T12:37:14-0600',mode:absolute,to:'2017-09-13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4" s="194" t="str">
        <f>IF(AA244&lt;VLOOKUP(AG244,Variables!$AC$3:$AD$8,2,FALSE),"Y","N")</f>
        <v>Y</v>
      </c>
      <c r="X244" s="194">
        <f t="shared" si="97"/>
        <v>1</v>
      </c>
      <c r="Y244" s="194">
        <f t="shared" si="111"/>
        <v>4.0300000000000002E-2</v>
      </c>
      <c r="Z244" s="194">
        <f t="shared" si="112"/>
        <v>11.250400000000001</v>
      </c>
      <c r="AA244" s="194">
        <f t="shared" si="102"/>
        <v>11.210100000000001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3">
        <f t="shared" si="103"/>
        <v>71</v>
      </c>
      <c r="AE244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4" s="74" t="str">
        <f t="shared" si="105"/>
        <v>"C:\Program Files (x86)\AstroGrep\AstroGrep.exe" /e /r /s /spath="%USERPROFILE%\AppData\Local\Temp\OnboardLogs" /stypes="app*4066*20170913*" /stext=" 20:.+((SYSTEM_STATE.+slice.+state.+changed )|(ment ac)|(multiple cpu faults)|(system.+state.+changed )|(\[timeout)|(PRM\|1\|D)|(kpr)|(kdp)|(train st.+moving)|(\|lc)|(penalty))"</v>
      </c>
      <c r="AG244" s="206" t="str">
        <f t="shared" si="106"/>
        <v>Shuttle/Test</v>
      </c>
      <c r="AH244" s="78" t="str">
        <f t="shared" si="107"/>
        <v>"%USERPROFILE%\Documents\GitHub\eaglep3\Utilities\RefineRTDCRunTimes.py" --tripid 71-13 --locoid 4066 --swversion DE.1.0.9.0 --startMP 204:403 --initTime 2017-09-13T13:37:14 --startdatetime 2017-09-13T14:22:30 --delay 119 --endMP 300:112504 --enddatetime 2017-09-13T14:51:50 --enforcementcount 0 &gt;&gt;C:\Users\stu\Documents\GitHub\eaglep3-reporting\EC\2017-09-13-refined-times.txt</v>
      </c>
      <c r="AI244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11.2504"},{"id":17,"name":"Train ID","value":"71-13"},{"id":16,"name":"Locomotive ID","value":"4066"},{"id":130,"name":"Impact","value":""},{"id":150,"name":"Time of Event (Mountain Time)","value":"14:51:50"},{"id":151,"name":"Denver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09"/>
        <v>start /low /b %USERPROFILE%\Documents\GitHub\eaglep3\Utilities\DownloadLogsFromS3.py --loco 4066 --day 2017-09-13</v>
      </c>
      <c r="AN244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 s="32" t="s">
        <v>763</v>
      </c>
      <c r="B245" s="7">
        <v>4065</v>
      </c>
      <c r="C245" s="21" t="s">
        <v>197</v>
      </c>
      <c r="D245" s="21" t="s">
        <v>935</v>
      </c>
      <c r="E245" s="13">
        <v>42991.709409722222</v>
      </c>
      <c r="F245" s="13">
        <v>42991.712094907409</v>
      </c>
      <c r="G245" s="7">
        <v>61</v>
      </c>
      <c r="H245" s="21" t="s">
        <v>936</v>
      </c>
      <c r="I245" s="13">
        <v>42991.731493055559</v>
      </c>
      <c r="J245" s="7">
        <v>0</v>
      </c>
      <c r="K245" s="89" t="str">
        <f t="shared" si="98"/>
        <v>4065/4066</v>
      </c>
      <c r="L245" s="214" t="str">
        <f>VLOOKUP(A245,'Trips&amp;Operators'!$C$1:$G$99911,5,FALSE)</f>
        <v>BIRKHOLZ NADINE</v>
      </c>
      <c r="M245" s="6">
        <f t="shared" si="99"/>
        <v>1.9398148149775807E-2</v>
      </c>
      <c r="N245" s="7">
        <f t="shared" si="113"/>
        <v>27.933333335677162</v>
      </c>
      <c r="O245" s="7"/>
      <c r="P245" s="7"/>
      <c r="Q245" s="22"/>
      <c r="R245" s="167"/>
      <c r="S245" s="210">
        <f t="shared" si="114"/>
        <v>0</v>
      </c>
      <c r="T245" s="192" t="str">
        <f t="shared" si="100"/>
        <v>Southbound</v>
      </c>
      <c r="U245" s="19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3" t="str">
        <f t="shared" si="101"/>
        <v>https://d0f6bd738d7f1b3e5a7ca70fe4ff75f0.us-east-1.aws.found.io/app/kibana#/discover/Steve-Slow-Train-Analysis-(2080s-and-2083s)?_g=(refreshInterval:(display:Off,pause:!f,section:0,value:0),time:(from:'2017-09-13T16:01:33-0600',mode:absolute,to:'2017-09-13T18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5" s="194" t="str">
        <f>IF(AA245&lt;VLOOKUP(AG245,Variables!$AC$3:$AD$8,2,FALSE),"Y","N")</f>
        <v>Y</v>
      </c>
      <c r="X245" s="194">
        <f t="shared" si="97"/>
        <v>1</v>
      </c>
      <c r="Y245" s="194">
        <f t="shared" si="111"/>
        <v>11.2197</v>
      </c>
      <c r="Z245" s="194">
        <f t="shared" si="112"/>
        <v>2.8788999999999998</v>
      </c>
      <c r="AA245" s="194">
        <f t="shared" si="102"/>
        <v>8.3407999999999998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3">
        <f t="shared" si="103"/>
        <v>72</v>
      </c>
      <c r="AE245" s="77" t="str">
        <f t="shared" si="104"/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AF245" s="74" t="str">
        <f t="shared" si="105"/>
        <v>"C:\Program Files (x86)\AstroGrep\AstroGrep.exe" /e /r /s /spath="%USERPROFILE%\AppData\Local\Temp\OnboardLogs" /stypes="app*4065*20170913*" /stext=" 23:.+((SYSTEM_STATE.+slice.+state.+changed )|(ment ac)|(multiple cpu faults)|(system.+state.+changed )|(\[timeout)|(PRM\|1\|D)|(kpr)|(kdp)|(train st.+moving)|(\|lc)|(penalty))"</v>
      </c>
      <c r="AG245" s="206" t="str">
        <f t="shared" si="106"/>
        <v>Shuttle/Test</v>
      </c>
      <c r="AH245" s="78" t="str">
        <f t="shared" si="107"/>
        <v>"%USERPROFILE%\Documents\GitHub\eaglep3\Utilities\RefineRTDCRunTimes.py" --tripid 72-13 --locoid 4065 --swversion DE.1.0.9.0 --startMP 300:112197 --initTime 2017-09-13T17:01:33 --startdatetime 2017-09-13T17:05:25 --delay 61 --endMP 300:28789 --enddatetime 2017-09-13T17:33:21 --enforcementcount 0 &gt;&gt;C:\Users\stu\Documents\GitHub\eaglep3-reporting\EC\2017-09-13-refined-times.txt</v>
      </c>
      <c r="AI245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2.8789"},{"id":17,"name":"Train ID","value":"72-13"},{"id":16,"name":"Locomotive ID","value":"4065"},{"id":130,"name":"Impact","value":""},{"id":150,"name":"Time of Event (Mountain Time)","value":"17:33:21"},{"id":151,"name":"Denver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09"/>
        <v>start /low /b %USERPROFILE%\Documents\GitHub\eaglep3\Utilities\DownloadLogsFromS3.py --loco 4065 --day 2017-09-13</v>
      </c>
      <c r="AN245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 s="32" t="s">
        <v>602</v>
      </c>
      <c r="B246" s="7">
        <v>4066</v>
      </c>
      <c r="C246" s="21" t="s">
        <v>197</v>
      </c>
      <c r="D246" s="21" t="s">
        <v>548</v>
      </c>
      <c r="E246" s="13">
        <v>42991.685659722221</v>
      </c>
      <c r="F246" s="13">
        <v>42991.687777777777</v>
      </c>
      <c r="G246" s="7">
        <v>59</v>
      </c>
      <c r="H246" s="21" t="s">
        <v>926</v>
      </c>
      <c r="I246" s="13">
        <v>42991.708298611113</v>
      </c>
      <c r="J246" s="7">
        <v>0</v>
      </c>
      <c r="K246" s="89" t="str">
        <f t="shared" si="98"/>
        <v>4065/4066</v>
      </c>
      <c r="L246" s="214" t="str">
        <f>VLOOKUP(A246,'Trips&amp;Operators'!$C$1:$G$99911,5,FALSE)</f>
        <v>BIRKHOLZ NADINE</v>
      </c>
      <c r="M246" s="6">
        <f t="shared" si="99"/>
        <v>2.0520833335467614E-2</v>
      </c>
      <c r="N246" s="7">
        <f t="shared" si="113"/>
        <v>29.550000003073364</v>
      </c>
      <c r="O246" s="7"/>
      <c r="P246" s="7"/>
      <c r="Q246" s="22"/>
      <c r="R246" s="167"/>
      <c r="S246" s="210">
        <f t="shared" si="114"/>
        <v>1</v>
      </c>
      <c r="T246" s="192" t="str">
        <f t="shared" si="100"/>
        <v>NorthBound</v>
      </c>
      <c r="U246" s="19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3" t="str">
        <f t="shared" si="101"/>
        <v>https://d0f6bd738d7f1b3e5a7ca70fe4ff75f0.us-east-1.aws.found.io/app/kibana#/discover/Steve-Slow-Train-Analysis-(2080s-and-2083s)?_g=(refreshInterval:(display:Off,pause:!f,section:0,value:0),time:(from:'2017-09-13T15:27:21-0600',mode:absolute,to:'2017-09-13T17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6" s="194" t="str">
        <f>IF(AA246&lt;VLOOKUP(AG246,Variables!$AC$3:$AD$8,2,FALSE),"Y","N")</f>
        <v>Y</v>
      </c>
      <c r="X246" s="194">
        <f t="shared" si="97"/>
        <v>1</v>
      </c>
      <c r="Y246" s="194">
        <f t="shared" si="111"/>
        <v>4.3499999999999997E-2</v>
      </c>
      <c r="Z246" s="194">
        <f t="shared" si="112"/>
        <v>11.2515</v>
      </c>
      <c r="AA246" s="194">
        <f t="shared" si="102"/>
        <v>11.208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3">
        <f t="shared" si="103"/>
        <v>73</v>
      </c>
      <c r="AE246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6" s="74" t="str">
        <f t="shared" si="105"/>
        <v>"C:\Program Files (x86)\AstroGrep\AstroGrep.exe" /e /r /s /spath="%USERPROFILE%\AppData\Local\Temp\OnboardLogs" /stypes="app*4066*20170913*" /stext=" 22:.+((SYSTEM_STATE.+slice.+state.+changed )|(ment ac)|(multiple cpu faults)|(system.+state.+changed )|(\[timeout)|(PRM\|1\|D)|(kpr)|(kdp)|(train st.+moving)|(\|lc)|(penalty))"</v>
      </c>
      <c r="AG246" s="206" t="str">
        <f t="shared" si="106"/>
        <v>Shuttle/Test</v>
      </c>
      <c r="AH246" s="78" t="str">
        <f t="shared" si="107"/>
        <v>"%USERPROFILE%\Documents\GitHub\eaglep3\Utilities\RefineRTDCRunTimes.py" --tripid 73-13 --locoid 4066 --swversion DE.1.0.9.0 --startMP 204:435 --initTime 2017-09-13T16:27:21 --startdatetime 2017-09-13T16:30:24 --delay 59 --endMP 300:112515 --enddatetime 2017-09-13T16:59:57 --enforcementcount 0 &gt;&gt;C:\Users\stu\Documents\GitHub\eaglep3-reporting\EC\2017-09-13-refined-times.txt</v>
      </c>
      <c r="AI246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11.2515"},{"id":17,"name":"Train ID","value":"73-13"},{"id":16,"name":"Locomotive ID","value":"4066"},{"id":130,"name":"Impact","value":""},{"id":150,"name":"Time of Event (Mountain Time)","value":"16:59:57"},{"id":151,"name":"Denver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09"/>
        <v>start /low /b %USERPROFILE%\Documents\GitHub\eaglep3\Utilities\DownloadLogsFromS3.py --loco 4066 --day 2017-09-13</v>
      </c>
      <c r="AN246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22:59:57"},{"id":29,"name":"Sharepoint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x14ac:dyDescent="0.25">
      <c r="A247" s="32" t="s">
        <v>602</v>
      </c>
      <c r="B247" s="7">
        <v>4066</v>
      </c>
      <c r="C247" s="21" t="s">
        <v>197</v>
      </c>
      <c r="D247" s="21" t="s">
        <v>444</v>
      </c>
      <c r="E247" s="13">
        <v>42991.629907407405</v>
      </c>
      <c r="F247" s="13">
        <v>42991.633009259262</v>
      </c>
      <c r="G247" s="7">
        <v>76</v>
      </c>
      <c r="H247" s="21" t="s">
        <v>934</v>
      </c>
      <c r="I247" s="13">
        <v>42991.654641203706</v>
      </c>
      <c r="J247" s="7">
        <v>0</v>
      </c>
      <c r="K247" s="89" t="str">
        <f t="shared" si="98"/>
        <v>4065/4066</v>
      </c>
      <c r="L247" s="214" t="str">
        <f>VLOOKUP(A247,'Trips&amp;Operators'!$C$1:$G$99911,5,FALSE)</f>
        <v>BIRKHOLZ NADINE</v>
      </c>
      <c r="M247" s="6">
        <f t="shared" si="99"/>
        <v>2.1631944444379769E-2</v>
      </c>
      <c r="N247" s="7">
        <f t="shared" si="113"/>
        <v>31.149999999906868</v>
      </c>
      <c r="O247" s="7"/>
      <c r="P247" s="7"/>
      <c r="Q247" s="22"/>
      <c r="R247" s="167"/>
      <c r="S247" s="210">
        <f t="shared" si="114"/>
        <v>1</v>
      </c>
      <c r="T247" s="192" t="str">
        <f t="shared" si="100"/>
        <v>NorthBound</v>
      </c>
      <c r="U247" s="19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3" t="str">
        <f t="shared" si="101"/>
        <v>https://d0f6bd738d7f1b3e5a7ca70fe4ff75f0.us-east-1.aws.found.io/app/kibana#/discover/Steve-Slow-Train-Analysis-(2080s-and-2083s)?_g=(refreshInterval:(display:Off,pause:!f,section:0,value:0),time:(from:'2017-09-13T14:07:04-0600',mode:absolute,to:'2017-09-13T16:42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7" s="194" t="str">
        <f>IF(AA247&lt;VLOOKUP(AG247,Variables!$AC$3:$AD$8,2,FALSE),"Y","N")</f>
        <v>Y</v>
      </c>
      <c r="X247" s="194">
        <f t="shared" si="97"/>
        <v>0</v>
      </c>
      <c r="Y247" s="194">
        <f t="shared" si="111"/>
        <v>4.4400000000000002E-2</v>
      </c>
      <c r="Z247" s="194">
        <f t="shared" si="112"/>
        <v>11.250400000000001</v>
      </c>
      <c r="AA247" s="194">
        <f t="shared" si="102"/>
        <v>11.206000000000001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203">
        <f t="shared" si="103"/>
        <v>73</v>
      </c>
      <c r="AE247" s="77" t="str">
        <f t="shared" si="104"/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AF247" s="74" t="str">
        <f t="shared" si="105"/>
        <v>"C:\Program Files (x86)\AstroGrep\AstroGrep.exe" /e /r /s /spath="%USERPROFILE%\AppData\Local\Temp\OnboardLogs" /stypes="app*4066*20170913*" /stext=" 21:.+((SYSTEM_STATE.+slice.+state.+changed )|(ment ac)|(multiple cpu faults)|(system.+state.+changed )|(\[timeout)|(PRM\|1\|D)|(kpr)|(kdp)|(train st.+moving)|(\|lc)|(penalty))"</v>
      </c>
      <c r="AG247" s="206" t="str">
        <f t="shared" si="106"/>
        <v>Shuttle/Test</v>
      </c>
      <c r="AH247" s="78" t="str">
        <f t="shared" si="107"/>
        <v>"%USERPROFILE%\Documents\GitHub\eaglep3\Utilities\RefineRTDCRunTimes.py" --tripid 73-13 --locoid 4066 --swversion DE.1.0.9.0 --startMP 204:444 --initTime 2017-09-13T15:07:04 --startdatetime 2017-09-13T15:11:32 --delay 76 --endMP 300:112504 --enddatetime 2017-09-13T15:42:41 --enforcementcount 0 &gt;&gt;C:\Users\stu\Documents\GitHub\eaglep3-reporting\EC\2017-09-13-refined-times.txt</v>
      </c>
      <c r="AI247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11.2504"},{"id":17,"name":"Train ID","value":"73-13"},{"id":16,"name":"Locomotive ID","value":"4066"},{"id":130,"name":"Impact","value":""},{"id":150,"name":"Time of Event (Mountain Time)","value":"15:42:41"},{"id":151,"name":"Denver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09"/>
        <v>start /low /b %USERPROFILE%\Documents\GitHub\eaglep3\Utilities\DownloadLogsFromS3.py --loco 4066 --day 2017-09-13</v>
      </c>
      <c r="AN247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21:42:41"},{"id":29,"name":"Sharepoint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91" s="20" customFormat="1" x14ac:dyDescent="0.25">
      <c r="A248" s="32" t="s">
        <v>776</v>
      </c>
      <c r="B248" s="7">
        <v>4040</v>
      </c>
      <c r="C248" s="21" t="s">
        <v>197</v>
      </c>
      <c r="D248" s="21" t="s">
        <v>937</v>
      </c>
      <c r="E248" s="13">
        <v>42991.695914351854</v>
      </c>
      <c r="F248" s="13">
        <v>42991.697546296295</v>
      </c>
      <c r="G248" s="7">
        <v>57</v>
      </c>
      <c r="H248" s="21" t="s">
        <v>557</v>
      </c>
      <c r="I248" s="13">
        <v>42991.710960648146</v>
      </c>
      <c r="J248" s="7">
        <v>0</v>
      </c>
      <c r="K248" s="89" t="str">
        <f t="shared" si="98"/>
        <v>4039/4040</v>
      </c>
      <c r="L248" s="214" t="str">
        <f>VLOOKUP(A248,'Trips&amp;Operators'!$C$1:$G$99911,5,FALSE)</f>
        <v>NEWELL JAMES</v>
      </c>
      <c r="M248" s="6">
        <f t="shared" si="99"/>
        <v>1.3414351851679385E-2</v>
      </c>
      <c r="N248" s="7">
        <f t="shared" si="113"/>
        <v>19.316666666418314</v>
      </c>
      <c r="O248" s="7"/>
      <c r="P248" s="7"/>
      <c r="Q248" s="22"/>
      <c r="R248" s="167"/>
      <c r="S248" s="210">
        <f t="shared" si="114"/>
        <v>1</v>
      </c>
      <c r="T248" s="192" t="str">
        <f t="shared" si="100"/>
        <v>NorthBound</v>
      </c>
      <c r="U248" s="192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3" t="str">
        <f t="shared" si="101"/>
        <v>https://d0f6bd738d7f1b3e5a7ca70fe4ff75f0.us-east-1.aws.found.io/app/kibana#/discover/Steve-Slow-Train-Analysis-(2080s-and-2083s)?_g=(refreshInterval:(display:Off,pause:!f,section:0,value:0),time:(from:'2017-09-13T15:42:07-0600',mode:absolute,to:'2017-09-13T18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8" s="194" t="str">
        <f>IF(AA248&lt;VLOOKUP(AG248,Variables!$AC$3:$AD$8,2,FALSE),"Y","N")</f>
        <v>Y</v>
      </c>
      <c r="X248" s="194">
        <f t="shared" si="97"/>
        <v>2</v>
      </c>
      <c r="Y248" s="194">
        <f t="shared" si="111"/>
        <v>0.15010000000000001</v>
      </c>
      <c r="Z248" s="194">
        <f t="shared" si="112"/>
        <v>2.331</v>
      </c>
      <c r="AA248" s="194">
        <f t="shared" si="102"/>
        <v>2.1808999999999998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203">
        <f t="shared" si="103"/>
        <v>75</v>
      </c>
      <c r="AE248" s="77" t="str">
        <f t="shared" si="104"/>
        <v>aws s3 cp s3://rtdc.mdm.uploadarchive.raw/RTDC4040/ "%USERPROFILE%\AppData\Local\Temp\OnboardLogs"\RTDC4040\2017-09-13 --exclude "*" --recursive --include "*20170913*" &amp; "%USERPROFILE%\Documents\GitHub\mrs-test-scripts\Headless Mode &amp; Sideloading\WalkAndUnGZ.bat" "%USERPROFILE%\AppData\Local\Temp\OnboardLogs"\RTDC4040\2017-09-13 &amp; aws s3 cp s3://rtdc.mdm.uploadarchive.raw/RTDC4040/ "%USERPROFILE%\AppData\Local\Temp\OnboardLogs"\RTDC4040\2017-09-14 --exclude "*" --recursive --include "*20170914*" &amp; "%USERPROFILE%\Documents\GitHub\mrs-test-scripts\Headless Mode &amp; Sideloading\WalkAndUnGZ.bat" "%USERPROFILE%\AppData\Local\Temp\OnboardLogs"\RTDC4040\2017-09-14</v>
      </c>
      <c r="AF248" s="74" t="str">
        <f t="shared" si="105"/>
        <v>"C:\Program Files (x86)\AstroGrep\AstroGrep.exe" /e /r /s /spath="%USERPROFILE%\AppData\Local\Temp\OnboardLogs" /stypes="app*4040*20170913*" /stext=" 23:.+((SYSTEM_STATE.+slice.+state.+changed )|(ment ac)|(multiple cpu faults)|(system.+state.+changed )|(\[timeout)|(PRM\|1\|D)|(kpr)|(kdp)|(train st.+moving)|(\|lc)|(penalty))"</v>
      </c>
      <c r="AG248" s="206" t="str">
        <f t="shared" si="106"/>
        <v>Shuttle/Test</v>
      </c>
      <c r="AH248" s="78" t="str">
        <f t="shared" si="107"/>
        <v>"%USERPROFILE%\Documents\GitHub\eaglep3\Utilities\RefineRTDCRunTimes.py" --tripid 75-13 --locoid 4040 --swversion DE.1.0.9.0 --startMP 204:1501 --initTime 2017-09-13T16:42:07 --startdatetime 2017-09-13T16:44:28 --delay 57 --endMP 300:23310 --enddatetime 2017-09-13T17:03:47 --enforcementcount 0 &gt;&gt;C:\Users\stu\Documents\GitHub\eaglep3-reporting\EC\2017-09-13-refined-times.txt</v>
      </c>
      <c r="AI248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2.331"},{"id":17,"name":"Train ID","value":"75-13"},{"id":16,"name":"Locomotive ID","value":"4040"},{"id":130,"name":"Impact","value":""},{"id":150,"name":"Time of Event (Mountain Time)","value":"17:03:47"},{"id":151,"name":"Denver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8" s="47"/>
      <c r="AL248" s="47"/>
      <c r="AM248" s="142" t="str">
        <f t="shared" si="109"/>
        <v>start /low /b %USERPROFILE%\Documents\GitHub\eaglep3\Utilities\DownloadLogsFromS3.py --loco 4040 --day 2017-09-13</v>
      </c>
      <c r="AN248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 s="32" t="s">
        <v>781</v>
      </c>
      <c r="B249" s="7">
        <v>4054</v>
      </c>
      <c r="C249" s="21" t="s">
        <v>197</v>
      </c>
      <c r="D249" s="21" t="s">
        <v>559</v>
      </c>
      <c r="E249" s="13">
        <v>42991.696099537039</v>
      </c>
      <c r="F249" s="13">
        <v>42991.725277777776</v>
      </c>
      <c r="G249" s="7">
        <v>1260</v>
      </c>
      <c r="H249" s="21" t="s">
        <v>556</v>
      </c>
      <c r="I249" s="13">
        <v>42991.732314814813</v>
      </c>
      <c r="J249" s="7">
        <v>0</v>
      </c>
      <c r="K249" s="89" t="str">
        <f t="shared" si="98"/>
        <v>4053/4054</v>
      </c>
      <c r="L249" s="214" t="str">
        <f>VLOOKUP(A249,'Trips&amp;Operators'!$C$1:$G$99911,5,FALSE)</f>
        <v>LOPES KIMBERLY</v>
      </c>
      <c r="M249" s="6">
        <f t="shared" si="99"/>
        <v>7.0370370376622304E-3</v>
      </c>
      <c r="N249" s="7">
        <f t="shared" si="113"/>
        <v>10.133333334233612</v>
      </c>
      <c r="O249" s="7"/>
      <c r="P249" s="7"/>
      <c r="Q249" s="22"/>
      <c r="R249" s="167"/>
      <c r="S249" s="210">
        <f t="shared" si="114"/>
        <v>1</v>
      </c>
      <c r="T249" s="192" t="str">
        <f t="shared" si="100"/>
        <v>NorthBound</v>
      </c>
      <c r="U249" s="192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3" t="str">
        <f t="shared" si="101"/>
        <v>https://d0f6bd738d7f1b3e5a7ca70fe4ff75f0.us-east-1.aws.found.io/app/kibana#/discover/Steve-Slow-Train-Analysis-(2080s-and-2083s)?_g=(refreshInterval:(display:Off,pause:!f,section:0,value:0),time:(from:'2017-09-13T15:42:23-0600',mode:absolute,to:'2017-09-13T18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9" s="194" t="str">
        <f>IF(AA249&lt;VLOOKUP(AG249,Variables!$AC$3:$AD$8,2,FALSE),"Y","N")</f>
        <v>Y</v>
      </c>
      <c r="X249" s="194">
        <f t="shared" si="97"/>
        <v>2</v>
      </c>
      <c r="Y249" s="194">
        <f t="shared" si="111"/>
        <v>0.1147</v>
      </c>
      <c r="Z249" s="194">
        <f t="shared" si="112"/>
        <v>2.3346</v>
      </c>
      <c r="AA249" s="194">
        <f t="shared" si="102"/>
        <v>2.2199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203">
        <f t="shared" si="103"/>
        <v>77</v>
      </c>
      <c r="AE249" s="77" t="str">
        <f t="shared" si="104"/>
        <v>aws s3 cp s3://rtdc.mdm.uploadarchive.raw/RTDC4054/ "%USERPROFILE%\AppData\Local\Temp\OnboardLogs"\RTDC4054\2017-09-13 --exclude "*" --recursive --include "*20170913*" &amp; "%USERPROFILE%\Documents\GitHub\mrs-test-scripts\Headless Mode &amp; Sideloading\WalkAndUnGZ.bat" "%USERPROFILE%\AppData\Local\Temp\OnboardLogs"\RTDC4054\2017-09-13 &amp; aws s3 cp s3://rtdc.mdm.uploadarchive.raw/RTDC4054/ "%USERPROFILE%\AppData\Local\Temp\OnboardLogs"\RTDC4054\2017-09-14 --exclude "*" --recursive --include "*20170914*" &amp; "%USERPROFILE%\Documents\GitHub\mrs-test-scripts\Headless Mode &amp; Sideloading\WalkAndUnGZ.bat" "%USERPROFILE%\AppData\Local\Temp\OnboardLogs"\RTDC4054\2017-09-14</v>
      </c>
      <c r="AF249" s="74" t="str">
        <f t="shared" si="105"/>
        <v>"C:\Program Files (x86)\AstroGrep\AstroGrep.exe" /e /r /s /spath="%USERPROFILE%\AppData\Local\Temp\OnboardLogs" /stypes="app*4054*20170913*" /stext=" 23:.+((SYSTEM_STATE.+slice.+state.+changed )|(ment ac)|(multiple cpu faults)|(system.+state.+changed )|(\[timeout)|(PRM\|1\|D)|(kpr)|(kdp)|(train st.+moving)|(\|lc)|(penalty))"</v>
      </c>
      <c r="AG249" s="206" t="str">
        <f t="shared" si="106"/>
        <v>Shuttle/Test</v>
      </c>
      <c r="AH249" s="78" t="str">
        <f t="shared" si="107"/>
        <v>"%USERPROFILE%\Documents\GitHub\eaglep3\Utilities\RefineRTDCRunTimes.py" --tripid 77-13 --locoid 4054 --swversion DE.1.0.9.0 --startMP 204:1147 --initTime 2017-09-13T16:42:23 --startdatetime 2017-09-13T17:24:24 --delay 1260 --endMP 300:23346 --enddatetime 2017-09-13T17:34:32 --enforcementcount 0 &gt;&gt;C:\Users\stu\Documents\GitHub\eaglep3-reporting\EC\2017-09-13-refined-times.txt</v>
      </c>
      <c r="AI249" s="96" t="str">
        <f t="shared" si="108"/>
        <v>echo {"issue":{"subject":"","project_id":79,"tracker_id":40,"status_id":1,"priority_id":2,"assigned_to_id":338,"start_date":"2017-09-13","description":"","custom_fields":[{"id":1,"name":"Subdivision","value":"Shuttle/Test"},{"id":4,"name":"Milepost","value":"2.3346"},{"id":17,"name":"Train ID","value":"77-13"},{"id":16,"name":"Locomotive ID","value":"4054"},{"id":130,"name":"Impact","value":""},{"id":150,"name":"Time of Event (Mountain Time)","value":"17:34:32"},{"id":151,"name":"Denver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09"/>
        <v>start /low /b %USERPROFILE%\Documents\GitHub\eaglep3\Utilities\DownloadLogsFromS3.py --loco 4054 --day 2017-09-13</v>
      </c>
      <c r="AN249" s="151" t="str">
        <f t="shared" si="110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23:34:32"},{"id":29,"name":"Sharepoint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4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4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4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4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4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</sheetData>
  <autoFilter ref="A12:AG285"/>
  <sortState ref="A13:AN240">
    <sortCondition ref="AG13:AG240"/>
    <sortCondition ref="AD13:AD240"/>
  </sortState>
  <mergeCells count="1">
    <mergeCell ref="A11:P11"/>
  </mergeCells>
  <conditionalFormatting sqref="W11:W12 W291:X1048576 W13:X249">
    <cfRule type="cellIs" dxfId="10" priority="422" operator="equal">
      <formula>"Y"</formula>
    </cfRule>
  </conditionalFormatting>
  <conditionalFormatting sqref="X291:X1048576 X13:X249">
    <cfRule type="cellIs" dxfId="9" priority="405" operator="greaterThan">
      <formula>1</formula>
    </cfRule>
  </conditionalFormatting>
  <conditionalFormatting sqref="X291:X1048576 X12:X249">
    <cfRule type="cellIs" dxfId="8" priority="402" operator="equal">
      <formula>0</formula>
    </cfRule>
  </conditionalFormatting>
  <conditionalFormatting sqref="A13:S249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AK13:AK249</xm:sqref>
        </x14:dataValidation>
        <x14:dataValidation type="list" allowBlank="1" showInputMessage="1" showErrorMessage="1">
          <x14:formula1>
            <xm:f>'Redmine List Values'!$C$2:$C$15</xm:f>
          </x14:formula1>
          <xm:sqref>AL13:AL249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abSelected="1" topLeftCell="A2" workbookViewId="0">
      <selection activeCell="P7" sqref="P7:P1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COUNTIF($O$7:$O$251,"=Y")</f>
        <v>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COUNTA($O$7:$O$251)-O2</f>
        <v>34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1" t="str">
        <f>"Eagle P3 Braking Events - "&amp;TEXT(Variables!$A$2,"YYYY-mm-dd")</f>
        <v>Eagle P3 Braking Events - 2017-09-13</v>
      </c>
      <c r="B5" s="221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205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42991.556689814817</v>
      </c>
      <c r="B7" s="30" t="s">
        <v>411</v>
      </c>
      <c r="C7" s="30" t="s">
        <v>594</v>
      </c>
      <c r="D7" s="30" t="s">
        <v>49</v>
      </c>
      <c r="E7" s="30" t="s">
        <v>187</v>
      </c>
      <c r="F7" s="42">
        <v>110</v>
      </c>
      <c r="G7" s="42">
        <v>231</v>
      </c>
      <c r="H7" s="42">
        <v>26700</v>
      </c>
      <c r="I7" s="42">
        <v>27037</v>
      </c>
      <c r="J7" s="30" t="s">
        <v>188</v>
      </c>
      <c r="K7" s="42">
        <v>27053</v>
      </c>
      <c r="L7" s="131" t="s">
        <v>50</v>
      </c>
      <c r="M7" s="132">
        <f t="shared" ref="M7:M40" si="0">CONVERT((I7-K7)/10000,"mi","ft")*IF(L7="Increasing Mileposts (1)",-1,1)</f>
        <v>8.4480000000000004</v>
      </c>
      <c r="N7" s="133" t="str">
        <f>VLOOKUP(C7,'Trips&amp;Operators'!$C$1:$G$99911,5,FALSE)</f>
        <v>MOSES BRADLEY</v>
      </c>
      <c r="O7" s="200" t="s">
        <v>180</v>
      </c>
      <c r="P7" s="134" t="s">
        <v>371</v>
      </c>
      <c r="Q7" s="30"/>
      <c r="R7" s="81" t="str">
        <f>VLOOKUP(C7,'Train Runs'!$A$13:$AE$9944,31,0)</f>
        <v>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 &amp; aws s3 cp s3://rtdc.mdm.uploadarchive.raw/RTDC4016/ "%USERPROFILE%\AppData\Local\Temp\OnboardLogs"\RTDC4016\2017-09-14 --exclude "*" --recursive --include "*20170914*" &amp; "%USERPROFILE%\Documents\GitHub\mrs-test-scripts\Headless Mode &amp; Sideloading\WalkAndUnGZ.bat" "%USERPROFILE%\AppData\Local\Temp\OnboardLogs"\RTDC4016\2017-09-14</v>
      </c>
      <c r="S7" s="84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-09-13T12:07:31-0600',mode:absolute,to:'2017-09-13T14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7" s="86" t="str">
        <f t="shared" ref="T7:T4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/stypes="*4016*201709131*" /stext=" 19:.+((SYSTEM_STATE.+slice.+state.+changed )|(ment ac)|(multiple cpu faults)|(system.+state.+changed )|(\[timeout)|(PRM\|1\|D)|(kpr)|(kdp)|(train st.+moving)|(\|lc)|(penalty))"</v>
      </c>
      <c r="U7" s="9" t="str">
        <f t="shared" ref="U7:U40" si="2">MID(B7,13,4)</f>
        <v>4016</v>
      </c>
      <c r="V7" s="31">
        <f t="shared" ref="V7:V40" si="3">A7-utc_offset/24</f>
        <v>42991.806689814817</v>
      </c>
      <c r="W7" s="45" t="str">
        <f t="shared" ref="W7:W40" si="4">DetSubdiv(C7)</f>
        <v>EC</v>
      </c>
      <c r="X7" s="22">
        <f t="shared" ref="X7:X40" si="5">VALUE(LEFT(C7,LEN(C7)-3))</f>
        <v>177</v>
      </c>
      <c r="Y7" s="96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Arrival","project_id":79,"tracker_id":40,"status_id":1,"priority_id":2,"assigned_to_id":338,"start_date":"2017-09-13","description":"","custom_fields":[{"id":1,"name":"Subdivision","value":"EC"},{"id":4,"name":"Milepost","value":"2.7053"},{"id":17,"name":"Train ID","value":"177-13"},{"id":16,"name":"Locomotive ID","value":"4016"},{"id":130,"name":"Impact","value":""},{"id":150,"name":"Time of Event (Mountain Time)","value":"13:21:38"},{"id":151,"name":"Denver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/c/Users/stu/AppData/Local/Temp/OnboardLogs/RTDC4016 --include="*4016*201709131*"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"%USERPROFILE%\AppData\Local\Temp\OnboardLogs"\RTDC4016\*4016*201709131* &gt;&gt; 2017-09-13-SliceDisagreementCheck.txt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4016 --day 2017-09-13</v>
      </c>
    </row>
    <row r="8" spans="1:32" s="1" customFormat="1" x14ac:dyDescent="0.25">
      <c r="A8" s="31">
        <v>42991.797615740739</v>
      </c>
      <c r="B8" s="30" t="s">
        <v>448</v>
      </c>
      <c r="C8" s="30" t="s">
        <v>604</v>
      </c>
      <c r="D8" s="30" t="s">
        <v>96</v>
      </c>
      <c r="E8" s="30" t="s">
        <v>187</v>
      </c>
      <c r="F8" s="42">
        <v>440</v>
      </c>
      <c r="G8" s="42">
        <v>496</v>
      </c>
      <c r="H8" s="42">
        <v>33244</v>
      </c>
      <c r="I8" s="42">
        <v>34968</v>
      </c>
      <c r="J8" s="30" t="s">
        <v>188</v>
      </c>
      <c r="K8" s="42">
        <v>33137</v>
      </c>
      <c r="L8" s="131" t="s">
        <v>50</v>
      </c>
      <c r="M8" s="132">
        <f t="shared" si="0"/>
        <v>-966.76800000000003</v>
      </c>
      <c r="N8" s="133" t="str">
        <f>VLOOKUP(C8,'Trips&amp;Operators'!$C$1:$G$99911,5,FALSE)</f>
        <v>PERKINS DARREN</v>
      </c>
      <c r="O8" s="200" t="s">
        <v>180</v>
      </c>
      <c r="P8" s="134" t="s">
        <v>371</v>
      </c>
      <c r="Q8" s="30"/>
      <c r="R8" s="81" t="str">
        <f>VLOOKUP(C8,'Train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8" s="84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-09-13T17:51:18-0600',mode:absolute,to:'2017-09-13T20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8" s="86" t="str">
        <f t="shared" si="1"/>
        <v>"C:\Program Files (x86)\AstroGrep\AstroGrep.exe" /e /r /s /spath="%USERPROFILE%\AppData\Local\Temp\OnboardLogs" /stypes="*4006*201709140*"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4006</v>
      </c>
      <c r="V8" s="31">
        <f t="shared" si="3"/>
        <v>42992.047615740739</v>
      </c>
      <c r="W8" s="45" t="str">
        <f t="shared" si="4"/>
        <v>EC</v>
      </c>
      <c r="X8" s="22">
        <f t="shared" si="5"/>
        <v>221</v>
      </c>
      <c r="Y8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Arrival","project_id":79,"tracker_id":40,"status_id":1,"priority_id":2,"assigned_to_id":338,"start_date":"2017-09-13","description":"","custom_fields":[{"id":1,"name":"Subdivision","value":"EC"},{"id":4,"name":"Milepost","value":"3.3137"},{"id":17,"name":"Train ID","value":"221-13"},{"id":16,"name":"Locomotive ID","value":"4006"},{"id":130,"name":"Impact","value":""},{"id":150,"name":"Time of Event (Mountain Time)","value":"19:08:34"},{"id":151,"name":"Denver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/c/Users/stu/AppData/Local/Temp/OnboardLogs/RTDC4006 --include="*4006*201709140*"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"%USERPROFILE%\AppData\Local\Temp\OnboardLogs"\RTDC4006\*4006*201709140* &gt;&gt; 2017-09-13-SliceDisagreementCheck.txt</v>
      </c>
      <c r="AE8" s="145" t="str">
        <f t="shared" ref="AE8:AE40" si="9">"start /low /b "&amp;dls3logs&amp;" --loco "&amp;U8&amp;" --day "&amp;TEXT(V8,"YYYY-MM-DD")</f>
        <v>start /low /b %USERPROFILE%\Documents\GitHub\eaglep3\Utilities\DownloadLogsFromS3.py --loco 4006 --day 2017-09-14</v>
      </c>
    </row>
    <row r="9" spans="1:32" s="1" customFormat="1" x14ac:dyDescent="0.25">
      <c r="A9" s="31">
        <v>42991.727685185186</v>
      </c>
      <c r="B9" s="30" t="s">
        <v>448</v>
      </c>
      <c r="C9" s="30" t="s">
        <v>603</v>
      </c>
      <c r="D9" s="30" t="s">
        <v>49</v>
      </c>
      <c r="E9" s="30" t="s">
        <v>187</v>
      </c>
      <c r="F9" s="42">
        <v>0</v>
      </c>
      <c r="G9" s="42">
        <v>432</v>
      </c>
      <c r="H9" s="42">
        <v>57627</v>
      </c>
      <c r="I9" s="42">
        <v>58830</v>
      </c>
      <c r="J9" s="30" t="s">
        <v>188</v>
      </c>
      <c r="K9" s="42">
        <v>58118</v>
      </c>
      <c r="L9" s="131" t="s">
        <v>50</v>
      </c>
      <c r="M9" s="132">
        <f t="shared" si="0"/>
        <v>-375.93599999999998</v>
      </c>
      <c r="N9" s="133" t="str">
        <f>VLOOKUP(C9,'Trips&amp;Operators'!$C$1:$G$99911,5,FALSE)</f>
        <v>LEVIN SCOTT</v>
      </c>
      <c r="O9" s="200" t="s">
        <v>180</v>
      </c>
      <c r="P9" s="134" t="s">
        <v>371</v>
      </c>
      <c r="Q9" s="30"/>
      <c r="R9" s="81" t="str">
        <f>VLOOKUP(C9,'Train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9" s="84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-09-13T16:06:38-0600',mode:absolute,to:'2017-09-13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86" t="str">
        <f t="shared" si="1"/>
        <v>"C:\Program Files (x86)\AstroGrep\AstroGrep.exe" /e /r /s /spath="%USERPROFILE%\AppData\Local\Temp\OnboardLogs" /stypes="*4006*201709132*"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4006</v>
      </c>
      <c r="V9" s="31">
        <f t="shared" si="3"/>
        <v>42991.977685185186</v>
      </c>
      <c r="W9" s="45" t="str">
        <f t="shared" si="4"/>
        <v>EC</v>
      </c>
      <c r="X9" s="22">
        <f t="shared" si="5"/>
        <v>209</v>
      </c>
      <c r="Y9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Arrival","project_id":79,"tracker_id":40,"status_id":1,"priority_id":2,"assigned_to_id":338,"start_date":"2017-09-13","description":"","custom_fields":[{"id":1,"name":"Subdivision","value":"EC"},{"id":4,"name":"Milepost","value":"5.8118"},{"id":17,"name":"Train ID","value":"209-13"},{"id":16,"name":"Locomotive ID","value":"4006"},{"id":130,"name":"Impact","value":""},{"id":150,"name":"Time of Event (Mountain Time)","value":"17:27:52"},{"id":151,"name":"Denver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/c/Users/stu/AppData/Local/Temp/OnboardLogs/RTDC4006 --include="*4006*201709132*"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"%USERPROFILE%\AppData\Local\Temp\OnboardLogs"\RTDC4006\*4006*201709132* &gt;&gt; 2017-09-13-SliceDisagreementCheck.txt</v>
      </c>
      <c r="AE9" s="145" t="str">
        <f t="shared" si="9"/>
        <v>start /low /b %USERPROFILE%\Documents\GitHub\eaglep3\Utilities\DownloadLogsFromS3.py --loco 4006 --day 2017-09-13</v>
      </c>
    </row>
    <row r="10" spans="1:32" s="1" customFormat="1" x14ac:dyDescent="0.25">
      <c r="A10" s="31">
        <v>42991.932060185187</v>
      </c>
      <c r="B10" s="30" t="s">
        <v>513</v>
      </c>
      <c r="C10" s="30" t="s">
        <v>607</v>
      </c>
      <c r="D10" s="30" t="s">
        <v>96</v>
      </c>
      <c r="E10" s="30" t="s">
        <v>187</v>
      </c>
      <c r="F10" s="42">
        <v>280</v>
      </c>
      <c r="G10" s="42">
        <v>331</v>
      </c>
      <c r="H10" s="42">
        <v>58158</v>
      </c>
      <c r="I10" s="42">
        <v>57174</v>
      </c>
      <c r="J10" s="30" t="s">
        <v>188</v>
      </c>
      <c r="K10" s="42">
        <v>58301</v>
      </c>
      <c r="L10" s="131" t="s">
        <v>51</v>
      </c>
      <c r="M10" s="132">
        <f t="shared" si="0"/>
        <v>-595.05600000000004</v>
      </c>
      <c r="N10" s="133" t="str">
        <f>VLOOKUP(C10,'Trips&amp;Operators'!$C$1:$G$99911,5,FALSE)</f>
        <v>PERKINS DARREN</v>
      </c>
      <c r="O10" s="200" t="s">
        <v>180</v>
      </c>
      <c r="P10" s="134" t="s">
        <v>371</v>
      </c>
      <c r="Q10" s="30"/>
      <c r="R10" s="81" t="str">
        <f>VLOOKUP(C10,'Train Runs'!$A$13:$AE$9944,31,0)</f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S10" s="84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-09-13T20:39:43-0600',mode:absolute,to:'2017-09-13T23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/stypes="*4005*201709140*"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42992.182060185187</v>
      </c>
      <c r="W10" s="45" t="str">
        <f t="shared" si="4"/>
        <v>EC</v>
      </c>
      <c r="X10" s="22">
        <f t="shared" si="5"/>
        <v>230</v>
      </c>
      <c r="Y10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Arrival","project_id":79,"tracker_id":40,"status_id":1,"priority_id":2,"assigned_to_id":338,"start_date":"2017-09-13","description":"","custom_fields":[{"id":1,"name":"Subdivision","value":"EC"},{"id":4,"name":"Milepost","value":"5.8301"},{"id":17,"name":"Train ID","value":"230-13"},{"id":16,"name":"Locomotive ID","value":"4005"},{"id":130,"name":"Impact","value":""},{"id":150,"name":"Time of Event (Mountain Time)","value":"22:22:10"},{"id":151,"name":"Denver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/c/Users/stu/AppData/Local/Temp/OnboardLogs/RTDC4005 --include="*4005*201709140*"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"%USERPROFILE%\AppData\Local\Temp\OnboardLogs"\RTDC4005\*4005*201709140* &gt;&gt; 2017-09-13-SliceDisagreementCheck.txt</v>
      </c>
      <c r="AE10" s="145" t="str">
        <f t="shared" si="9"/>
        <v>start /low /b %USERPROFILE%\Documents\GitHub\eaglep3\Utilities\DownloadLogsFromS3.py --loco 4005 --day 2017-09-14</v>
      </c>
    </row>
    <row r="11" spans="1:32" s="1" customFormat="1" x14ac:dyDescent="0.25">
      <c r="A11" s="31">
        <v>42991.462581018517</v>
      </c>
      <c r="B11" s="30" t="s">
        <v>410</v>
      </c>
      <c r="C11" s="30" t="s">
        <v>591</v>
      </c>
      <c r="D11" s="30" t="s">
        <v>49</v>
      </c>
      <c r="E11" s="30" t="s">
        <v>187</v>
      </c>
      <c r="F11" s="42">
        <v>0</v>
      </c>
      <c r="G11" s="42">
        <v>187</v>
      </c>
      <c r="H11" s="42">
        <v>63355</v>
      </c>
      <c r="I11" s="42">
        <v>63119</v>
      </c>
      <c r="J11" s="30" t="s">
        <v>188</v>
      </c>
      <c r="K11" s="42">
        <v>63309</v>
      </c>
      <c r="L11" s="131" t="s">
        <v>51</v>
      </c>
      <c r="M11" s="132">
        <f t="shared" si="0"/>
        <v>-100.32</v>
      </c>
      <c r="N11" s="133" t="str">
        <f>VLOOKUP(C11,'Trips&amp;Operators'!$C$1:$G$99911,5,FALSE)</f>
        <v>YANG JAN</v>
      </c>
      <c r="O11" s="200" t="s">
        <v>180</v>
      </c>
      <c r="P11" s="134" t="s">
        <v>371</v>
      </c>
      <c r="Q11" s="30"/>
      <c r="R11" s="81" t="str">
        <f>VLOOKUP(C11,'Train Runs'!$A$13:$AE$9944,31,0)</f>
        <v>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 &amp; aws s3 cp s3://rtdc.mdm.uploadarchive.raw/RTDC4015/ "%USERPROFILE%\AppData\Local\Temp\OnboardLogs"\RTDC4015\2017-09-14 --exclude "*" --recursive --include "*20170914*" &amp; "%USERPROFILE%\Documents\GitHub\mrs-test-scripts\Headless Mode &amp; Sideloading\WalkAndUnGZ.bat" "%USERPROFILE%\AppData\Local\Temp\OnboardLogs"\RTDC4015\2017-09-14</v>
      </c>
      <c r="S11" s="84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-09-13T09:34:52-0600',mode:absolute,to:'2017-09-13T12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86" t="str">
        <f t="shared" si="1"/>
        <v>"C:\Program Files (x86)\AstroGrep\AstroGrep.exe" /e /r /s /spath="%USERPROFILE%\AppData\Local\Temp\OnboardLogs" /stypes="*4015*201709131*"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4015</v>
      </c>
      <c r="V11" s="31">
        <f t="shared" si="3"/>
        <v>42991.712581018517</v>
      </c>
      <c r="W11" s="45" t="str">
        <f t="shared" si="4"/>
        <v>EC</v>
      </c>
      <c r="X11" s="22">
        <f t="shared" si="5"/>
        <v>150</v>
      </c>
      <c r="Y11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Arrival","project_id":79,"tracker_id":40,"status_id":1,"priority_id":2,"assigned_to_id":338,"start_date":"2017-09-13","description":"","custom_fields":[{"id":1,"name":"Subdivision","value":"EC"},{"id":4,"name":"Milepost","value":"6.3309"},{"id":17,"name":"Train ID","value":"150-13"},{"id":16,"name":"Locomotive ID","value":"4015"},{"id":130,"name":"Impact","value":""},{"id":150,"name":"Time of Event (Mountain Time)","value":"11:06:07"},{"id":151,"name":"Denver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/c/Users/stu/AppData/Local/Temp/OnboardLogs/RTDC4015 --include="*4015*201709131*"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"%USERPROFILE%\AppData\Local\Temp\OnboardLogs"\RTDC4015\*4015*201709131* &gt;&gt; 2017-09-13-SliceDisagreementCheck.txt</v>
      </c>
      <c r="AE11" s="145" t="str">
        <f t="shared" si="9"/>
        <v>start /low /b %USERPROFILE%\Documents\GitHub\eaglep3\Utilities\DownloadLogsFromS3.py --loco 4015 --day 2017-09-13</v>
      </c>
    </row>
    <row r="12" spans="1:32" x14ac:dyDescent="0.25">
      <c r="A12" s="31">
        <v>42991.58699074074</v>
      </c>
      <c r="B12" s="30" t="s">
        <v>596</v>
      </c>
      <c r="C12" s="30" t="s">
        <v>597</v>
      </c>
      <c r="D12" s="30" t="s">
        <v>49</v>
      </c>
      <c r="E12" s="30" t="s">
        <v>187</v>
      </c>
      <c r="F12" s="42">
        <v>120</v>
      </c>
      <c r="G12" s="42">
        <v>171</v>
      </c>
      <c r="H12" s="42">
        <v>63890</v>
      </c>
      <c r="I12" s="42">
        <v>63635</v>
      </c>
      <c r="J12" s="30" t="s">
        <v>188</v>
      </c>
      <c r="K12" s="42">
        <v>63309</v>
      </c>
      <c r="L12" s="131" t="s">
        <v>51</v>
      </c>
      <c r="M12" s="132">
        <f t="shared" si="0"/>
        <v>172.12799999999999</v>
      </c>
      <c r="N12" s="133" t="str">
        <f>VLOOKUP(C12,'Trips&amp;Operators'!$C$1:$G$99911,5,FALSE)</f>
        <v>HOLCOMB KAMDEN</v>
      </c>
      <c r="O12" s="200" t="s">
        <v>180</v>
      </c>
      <c r="P12" s="134" t="s">
        <v>371</v>
      </c>
      <c r="Q12" s="30"/>
      <c r="R12" s="81" t="str">
        <f>VLOOKUP(C12,'Train Runs'!$A$13:$AE$9944,31,0)</f>
        <v>aws s3 cp s3://rtdc.mdm.uploadarchive.raw/RTDC4055/ "%USERPROFILE%\AppData\Local\Temp\OnboardLogs"\RTDC4055\2017-09-13 --exclude "*" --recursive --include "*20170913*" &amp; "%USERPROFILE%\Documents\GitHub\mrs-test-scripts\Headless Mode &amp; Sideloading\WalkAndUnGZ.bat" "%USERPROFILE%\AppData\Local\Temp\OnboardLogs"\RTDC4055\2017-09-13 &amp; aws s3 cp s3://rtdc.mdm.uploadarchive.raw/RTDC4055/ "%USERPROFILE%\AppData\Local\Temp\OnboardLogs"\RTDC4055\2017-09-14 --exclude "*" --recursive --include "*20170914*" &amp; "%USERPROFILE%\Documents\GitHub\mrs-test-scripts\Headless Mode &amp; Sideloading\WalkAndUnGZ.bat" "%USERPROFILE%\AppData\Local\Temp\OnboardLogs"\RTDC4055\2017-09-14</v>
      </c>
      <c r="S12" s="84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-09-13T12:29:58-0600',mode:absolute,to:'2017-09-13T15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/stypes="*4055*201709132*"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42991.83699074074</v>
      </c>
      <c r="W12" s="45" t="str">
        <f t="shared" si="4"/>
        <v>EC</v>
      </c>
      <c r="X12" s="22">
        <f t="shared" si="5"/>
        <v>174</v>
      </c>
      <c r="Y12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Arrival","project_id":79,"tracker_id":40,"status_id":1,"priority_id":2,"assigned_to_id":338,"start_date":"2017-09-13","description":"","custom_fields":[{"id":1,"name":"Subdivision","value":"EC"},{"id":4,"name":"Milepost","value":"6.3309"},{"id":17,"name":"Train ID","value":"174-13"},{"id":16,"name":"Locomotive ID","value":"4055"},{"id":130,"name":"Impact","value":""},{"id":150,"name":"Time of Event (Mountain Time)","value":"14:05:16"},{"id":151,"name":"Denver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/c/Users/stu/AppData/Local/Temp/OnboardLogs/RTDC4055 --include="*4055*201709132*"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"%USERPROFILE%\AppData\Local\Temp\OnboardLogs"\RTDC4055\*4055*201709132* &gt;&gt; 2017-09-13-SliceDisagreementCheck.txt</v>
      </c>
      <c r="AE12" s="145" t="str">
        <f t="shared" si="9"/>
        <v>start /low /b %USERPROFILE%\Documents\GitHub\eaglep3\Utilities\DownloadLogsFromS3.py --loco 4055 --day 2017-09-13</v>
      </c>
      <c r="AF12" s="1"/>
    </row>
    <row r="13" spans="1:32" x14ac:dyDescent="0.25">
      <c r="A13" s="31">
        <v>42991.453090277777</v>
      </c>
      <c r="B13" s="30" t="s">
        <v>512</v>
      </c>
      <c r="C13" s="30" t="s">
        <v>588</v>
      </c>
      <c r="D13" s="30" t="s">
        <v>49</v>
      </c>
      <c r="E13" s="30" t="s">
        <v>187</v>
      </c>
      <c r="F13" s="42">
        <v>150</v>
      </c>
      <c r="G13" s="42">
        <v>207</v>
      </c>
      <c r="H13" s="42">
        <v>63822</v>
      </c>
      <c r="I13" s="42">
        <v>63504</v>
      </c>
      <c r="J13" s="30" t="s">
        <v>188</v>
      </c>
      <c r="K13" s="42">
        <v>63309</v>
      </c>
      <c r="L13" s="131" t="s">
        <v>51</v>
      </c>
      <c r="M13" s="132">
        <f t="shared" si="0"/>
        <v>102.96</v>
      </c>
      <c r="N13" s="133" t="str">
        <f>VLOOKUP(C13,'Trips&amp;Operators'!$C$1:$G$99911,5,FALSE)</f>
        <v>YORK EDGAR</v>
      </c>
      <c r="O13" s="200" t="s">
        <v>180</v>
      </c>
      <c r="P13" s="134" t="s">
        <v>371</v>
      </c>
      <c r="Q13" s="30"/>
      <c r="R13" s="81" t="str">
        <f>VLOOKUP(C13,'Train Runs'!$A$13:$AE$9944,31,0)</f>
        <v>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 &amp; aws s3 cp s3://rtdc.mdm.uploadarchive.raw/RTDC4027/ "%USERPROFILE%\AppData\Local\Temp\OnboardLogs"\RTDC4027\2017-09-14 --exclude "*" --recursive --include "*20170914*" &amp; "%USERPROFILE%\Documents\GitHub\mrs-test-scripts\Headless Mode &amp; Sideloading\WalkAndUnGZ.bat" "%USERPROFILE%\AppData\Local\Temp\OnboardLogs"\RTDC4027\2017-09-14</v>
      </c>
      <c r="S13" s="84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-09-13T09:07:06-0600',mode:absolute,to:'2017-09-13T12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 t="shared" si="1"/>
        <v>"C:\Program Files (x86)\AstroGrep\AstroGrep.exe" /e /r /s /spath="%USERPROFILE%\AppData\Local\Temp\OnboardLogs" /stypes="*4027*201709131*"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4027</v>
      </c>
      <c r="V13" s="31">
        <f t="shared" si="3"/>
        <v>42991.703090277777</v>
      </c>
      <c r="W13" s="45" t="str">
        <f t="shared" si="4"/>
        <v>EC</v>
      </c>
      <c r="X13" s="22">
        <f t="shared" si="5"/>
        <v>148</v>
      </c>
      <c r="Y13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Arrival","project_id":79,"tracker_id":40,"status_id":1,"priority_id":2,"assigned_to_id":338,"start_date":"2017-09-13","description":"","custom_fields":[{"id":1,"name":"Subdivision","value":"EC"},{"id":4,"name":"Milepost","value":"6.3309"},{"id":17,"name":"Train ID","value":"148-13"},{"id":16,"name":"Locomotive ID","value":"4027"},{"id":130,"name":"Impact","value":""},{"id":150,"name":"Time of Event (Mountain Time)","value":"10:52:27"},{"id":151,"name":"Denver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/c/Users/stu/AppData/Local/Temp/OnboardLogs/RTDC4027 --include="*4027*201709131*"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"%USERPROFILE%\AppData\Local\Temp\OnboardLogs"\RTDC4027\*4027*201709131* &gt;&gt; 2017-09-13-SliceDisagreementCheck.txt</v>
      </c>
      <c r="AE13" s="145" t="str">
        <f t="shared" si="9"/>
        <v>start /low /b %USERPROFILE%\Documents\GitHub\eaglep3\Utilities\DownloadLogsFromS3.py --loco 4027 --day 2017-09-13</v>
      </c>
      <c r="AF13" s="1"/>
    </row>
    <row r="14" spans="1:32" x14ac:dyDescent="0.25">
      <c r="A14" s="31">
        <v>42991.811851851853</v>
      </c>
      <c r="B14" s="30" t="s">
        <v>448</v>
      </c>
      <c r="C14" s="30" t="s">
        <v>604</v>
      </c>
      <c r="D14" s="30" t="s">
        <v>96</v>
      </c>
      <c r="E14" s="30" t="s">
        <v>195</v>
      </c>
      <c r="F14" s="42">
        <v>700</v>
      </c>
      <c r="G14" s="42">
        <v>751</v>
      </c>
      <c r="H14" s="42">
        <v>170383</v>
      </c>
      <c r="I14" s="42">
        <v>174062</v>
      </c>
      <c r="J14" s="30" t="s">
        <v>196</v>
      </c>
      <c r="K14" s="42">
        <v>161962</v>
      </c>
      <c r="L14" s="131" t="s">
        <v>50</v>
      </c>
      <c r="M14" s="132">
        <f t="shared" si="0"/>
        <v>-6388.8</v>
      </c>
      <c r="N14" s="133" t="str">
        <f>VLOOKUP(C14,'Trips&amp;Operators'!$C$1:$G$99911,5,FALSE)</f>
        <v>PERKINS DARREN</v>
      </c>
      <c r="O14" s="200" t="s">
        <v>180</v>
      </c>
      <c r="P14" s="134"/>
      <c r="Q14" s="30"/>
      <c r="R14" s="81" t="str">
        <f>VLOOKUP(C14,'Train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14" s="84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-09-13T17:51:18-0600',mode:absolute,to:'2017-09-13T20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4" s="86" t="str">
        <f t="shared" si="1"/>
        <v>"C:\Program Files (x86)\AstroGrep\AstroGrep.exe" /e /r /s /spath="%USERPROFILE%\AppData\Local\Temp\OnboardLogs" /stypes="*4006*201709140*"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4006</v>
      </c>
      <c r="V14" s="31">
        <f t="shared" si="3"/>
        <v>42992.061851851853</v>
      </c>
      <c r="W14" s="45" t="str">
        <f t="shared" si="4"/>
        <v>EC</v>
      </c>
      <c r="X14" s="22">
        <f t="shared" si="5"/>
        <v>221</v>
      </c>
      <c r="Y14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{"issue":{"subject":"","project_id":79,"tracker_id":40,"status_id":1,"priority_id":2,"assigned_to_id":338,"start_date":"2017-09-13","description":"","custom_fields":[{"id":1,"name":"Subdivision","value":"EC"},{"id":4,"name":"Milepost","value":"16.1962"},{"id":17,"name":"Train ID","value":"221-13"},{"id":16,"name":"Locomotive ID","value":"4006"},{"id":130,"name":"Impact","value":""},{"id":150,"name":"Time of Event (Mountain Time)","value":"19:29:04"},{"id":151,"name":"Denver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/c/Users/stu/AppData/Local/Temp/OnboardLogs/RTDC4006 --include="*4006*201709140*"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"%USERPROFILE%\AppData\Local\Temp\OnboardLogs"\RTDC4006\*4006*201709140* &gt;&gt; 2017-09-13-SliceDisagreementCheck.txt</v>
      </c>
      <c r="AE14" s="145" t="str">
        <f t="shared" si="9"/>
        <v>start /low /b %USERPROFILE%\Documents\GitHub\eaglep3\Utilities\DownloadLogsFromS3.py --loco 4006 --day 2017-09-14</v>
      </c>
      <c r="AF14" s="1"/>
    </row>
    <row r="15" spans="1:32" x14ac:dyDescent="0.25">
      <c r="A15" s="31">
        <v>42991.62767361111</v>
      </c>
      <c r="B15" s="30" t="s">
        <v>463</v>
      </c>
      <c r="C15" s="30" t="s">
        <v>599</v>
      </c>
      <c r="D15" s="30" t="s">
        <v>49</v>
      </c>
      <c r="E15" s="30" t="s">
        <v>195</v>
      </c>
      <c r="F15" s="42">
        <v>150</v>
      </c>
      <c r="G15" s="42">
        <v>399</v>
      </c>
      <c r="H15" s="42">
        <v>229193</v>
      </c>
      <c r="I15" s="42">
        <v>230267</v>
      </c>
      <c r="J15" s="30" t="s">
        <v>196</v>
      </c>
      <c r="K15" s="42">
        <v>232107</v>
      </c>
      <c r="L15" s="131" t="s">
        <v>50</v>
      </c>
      <c r="M15" s="132">
        <f t="shared" si="0"/>
        <v>971.52</v>
      </c>
      <c r="N15" s="133" t="str">
        <f>VLOOKUP(C15,'Trips&amp;Operators'!$C$1:$G$99911,5,FALSE)</f>
        <v>HOLCOMB KAMDEN</v>
      </c>
      <c r="O15" s="200" t="s">
        <v>180</v>
      </c>
      <c r="P15" s="134"/>
      <c r="Q15" s="30"/>
      <c r="R15" s="81" t="str">
        <f>VLOOKUP(C15,'Train Runs'!$A$13:$AE$9944,31,0)</f>
        <v>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 &amp; aws s3 cp s3://rtdc.mdm.uploadarchive.raw/RTDC4056/ "%USERPROFILE%\AppData\Local\Temp\OnboardLogs"\RTDC4056\2017-09-14 --exclude "*" --recursive --include "*20170914*" &amp; "%USERPROFILE%\Documents\GitHub\mrs-test-scripts\Headless Mode &amp; Sideloading\WalkAndUnGZ.bat" "%USERPROFILE%\AppData\Local\Temp\OnboardLogs"\RTDC4056\2017-09-14</v>
      </c>
      <c r="S15" s="84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-09-13T13:21:37-0600',mode:absolute,to:'2017-09-13T16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5" s="86" t="str">
        <f t="shared" si="1"/>
        <v>"C:\Program Files (x86)\AstroGrep\AstroGrep.exe" /e /r /s /spath="%USERPROFILE%\AppData\Local\Temp\OnboardLogs" /stypes="*4056*201709132*"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4056</v>
      </c>
      <c r="V15" s="31">
        <f t="shared" si="3"/>
        <v>42991.87767361111</v>
      </c>
      <c r="W15" s="45" t="str">
        <f t="shared" si="4"/>
        <v>EC</v>
      </c>
      <c r="X15" s="22">
        <f t="shared" si="5"/>
        <v>187</v>
      </c>
      <c r="Y15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{"issue":{"subject":"","project_id":79,"tracker_id":40,"status_id":1,"priority_id":2,"assigned_to_id":338,"start_date":"2017-09-13","description":"","custom_fields":[{"id":1,"name":"Subdivision","value":"EC"},{"id":4,"name":"Milepost","value":"23.2107"},{"id":17,"name":"Train ID","value":"187-13"},{"id":16,"name":"Locomotive ID","value":"4056"},{"id":130,"name":"Impact","value":""},{"id":150,"name":"Time of Event (Mountain Time)","value":"15:03:51"},{"id":151,"name":"Denver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/c/Users/stu/AppData/Local/Temp/OnboardLogs/RTDC4056 --include="*4056*201709132*"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"%USERPROFILE%\AppData\Local\Temp\OnboardLogs"\RTDC4056\*4056*201709132* &gt;&gt; 2017-09-13-SliceDisagreementCheck.txt</v>
      </c>
      <c r="AE15" s="145" t="str">
        <f t="shared" si="9"/>
        <v>start /low /b %USERPROFILE%\Documents\GitHub\eaglep3\Utilities\DownloadLogsFromS3.py --loco 4056 --day 2017-09-13</v>
      </c>
      <c r="AF15" s="1"/>
    </row>
    <row r="16" spans="1:32" x14ac:dyDescent="0.25">
      <c r="A16" s="31">
        <v>42991.566064814811</v>
      </c>
      <c r="B16" s="30" t="s">
        <v>513</v>
      </c>
      <c r="C16" s="30" t="s">
        <v>595</v>
      </c>
      <c r="D16" s="30" t="s">
        <v>49</v>
      </c>
      <c r="E16" s="30" t="s">
        <v>181</v>
      </c>
      <c r="F16" s="42">
        <v>0</v>
      </c>
      <c r="G16" s="42">
        <v>56</v>
      </c>
      <c r="H16" s="42">
        <v>170</v>
      </c>
      <c r="I16" s="42">
        <v>129</v>
      </c>
      <c r="J16" s="30" t="s">
        <v>182</v>
      </c>
      <c r="K16" s="42">
        <v>1</v>
      </c>
      <c r="L16" s="131" t="s">
        <v>51</v>
      </c>
      <c r="M16" s="132">
        <f t="shared" si="0"/>
        <v>67.584000000000003</v>
      </c>
      <c r="N16" s="133" t="str">
        <f>VLOOKUP(C16,'Trips&amp;Operators'!$C$1:$G$99911,5,FALSE)</f>
        <v>LEVIN SCOTT</v>
      </c>
      <c r="O16" s="200" t="s">
        <v>180</v>
      </c>
      <c r="P16" s="134"/>
      <c r="Q16" s="30"/>
      <c r="R16" s="81" t="str">
        <f>VLOOKUP(C16,'Train Runs'!$A$13:$AE$9944,31,0)</f>
        <v>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 &amp; aws s3 cp s3://rtdc.mdm.uploadarchive.raw/RTDC4005/ "%USERPROFILE%\AppData\Local\Temp\OnboardLogs"\RTDC4005\2017-09-14 --exclude "*" --recursive --include "*20170914*" &amp; "%USERPROFILE%\Documents\GitHub\mrs-test-scripts\Headless Mode &amp; Sideloading\WalkAndUnGZ.bat" "%USERPROFILE%\AppData\Local\Temp\OnboardLogs"\RTDC4005\2017-09-14</v>
      </c>
      <c r="S16" s="84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-09-13T11:44:05-0600',mode:absolute,to:'2017-09-13T14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6" t="str">
        <f t="shared" si="1"/>
        <v>"C:\Program Files (x86)\AstroGrep\AstroGrep.exe" /e /r /s /spath="%USERPROFILE%\AppData\Local\Temp\OnboardLogs" /stypes="*4005*201709131*"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4005</v>
      </c>
      <c r="V16" s="31">
        <f t="shared" si="3"/>
        <v>42991.816064814811</v>
      </c>
      <c r="W16" s="45" t="str">
        <f t="shared" si="4"/>
        <v>EC</v>
      </c>
      <c r="X16" s="22">
        <f t="shared" si="5"/>
        <v>168</v>
      </c>
      <c r="Y16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{"issue":{"subject":"","project_id":79,"tracker_id":40,"status_id":1,"priority_id":2,"assigned_to_id":338,"start_date":"2017-09-13","description":"","custom_fields":[{"id":1,"name":"Subdivision","value":"EC"},{"id":4,"name":"Milepost","value":"0.0001"},{"id":17,"name":"Train ID","value":"168-13"},{"id":16,"name":"Locomotive ID","value":"4005"},{"id":130,"name":"Impact","value":""},{"id":150,"name":"Time of Event (Mountain Time)","value":"13:35:08"},{"id":151,"name":"Denver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/c/Users/stu/AppData/Local/Temp/OnboardLogs/RTDC4005 --include="*4005*201709131*"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"%USERPROFILE%\AppData\Local\Temp\OnboardLogs"\RTDC4005\*4005*201709131* &gt;&gt; 2017-09-13-SliceDisagreementCheck.txt</v>
      </c>
      <c r="AE16" s="145" t="str">
        <f t="shared" si="9"/>
        <v>start /low /b %USERPROFILE%\Documents\GitHub\eaglep3\Utilities\DownloadLogsFromS3.py --loco 4005 --day 2017-09-13</v>
      </c>
      <c r="AF16" s="1"/>
    </row>
    <row r="17" spans="1:32" x14ac:dyDescent="0.25">
      <c r="A17" s="31">
        <v>42991.236608796295</v>
      </c>
      <c r="B17" s="30" t="s">
        <v>448</v>
      </c>
      <c r="C17" s="30" t="s">
        <v>582</v>
      </c>
      <c r="D17" s="30" t="s">
        <v>49</v>
      </c>
      <c r="E17" s="30" t="s">
        <v>181</v>
      </c>
      <c r="F17" s="42">
        <v>0</v>
      </c>
      <c r="G17" s="42">
        <v>47</v>
      </c>
      <c r="H17" s="42">
        <v>233304</v>
      </c>
      <c r="I17" s="42">
        <v>233346</v>
      </c>
      <c r="J17" s="30" t="s">
        <v>182</v>
      </c>
      <c r="K17" s="42">
        <v>233491</v>
      </c>
      <c r="L17" s="131" t="s">
        <v>50</v>
      </c>
      <c r="M17" s="132">
        <f t="shared" si="0"/>
        <v>76.56</v>
      </c>
      <c r="N17" s="133" t="str">
        <f>VLOOKUP(C17,'Trips&amp;Operators'!$C$1:$G$99911,5,FALSE)</f>
        <v>BONDS REYNALDO</v>
      </c>
      <c r="O17" s="200" t="s">
        <v>180</v>
      </c>
      <c r="P17" s="134"/>
      <c r="Q17" s="30"/>
      <c r="R17" s="81" t="str">
        <f>VLOOKUP(C17,'Train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17" s="84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-09-13T03:53:01-0600',mode:absolute,to:'2017-09-13T06:40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 t="shared" si="1"/>
        <v>"C:\Program Files (x86)\AstroGrep\AstroGrep.exe" /e /r /s /spath="%USERPROFILE%\AppData\Local\Temp\OnboardLogs" /stypes="*4006*201709131*"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4006</v>
      </c>
      <c r="V17" s="31">
        <f t="shared" si="3"/>
        <v>42991.486608796295</v>
      </c>
      <c r="W17" s="45" t="str">
        <f t="shared" si="4"/>
        <v>EC</v>
      </c>
      <c r="X17" s="22">
        <f t="shared" si="5"/>
        <v>111</v>
      </c>
      <c r="Y17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ID","value":"111-13"},{"id":16,"name":"Locomotive ID","value":"4006"},{"id":130,"name":"Impact","value":""},{"id":150,"name":"Time of Event (Mountain Time)","value":"05:40:43"},{"id":151,"name":"Denver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/c/Users/stu/AppData/Local/Temp/OnboardLogs/RTDC4006 --include="*4006*201709131*"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"%USERPROFILE%\AppData\Local\Temp\OnboardLogs"\RTDC4006\*4006*201709131* &gt;&gt; 2017-09-13-SliceDisagreementCheck.txt</v>
      </c>
      <c r="AE17" s="145" t="str">
        <f t="shared" si="9"/>
        <v>start /low /b %USERPROFILE%\Documents\GitHub\eaglep3\Utilities\DownloadLogsFromS3.py --loco 4006 --day 2017-09-13</v>
      </c>
      <c r="AF17" s="1"/>
    </row>
    <row r="18" spans="1:32" x14ac:dyDescent="0.25">
      <c r="A18" s="31">
        <v>42991.297303240739</v>
      </c>
      <c r="B18" s="30" t="s">
        <v>583</v>
      </c>
      <c r="C18" s="30" t="s">
        <v>584</v>
      </c>
      <c r="D18" s="30" t="s">
        <v>49</v>
      </c>
      <c r="E18" s="30" t="s">
        <v>181</v>
      </c>
      <c r="F18" s="42">
        <v>0</v>
      </c>
      <c r="G18" s="42">
        <v>77</v>
      </c>
      <c r="H18" s="42">
        <v>233202</v>
      </c>
      <c r="I18" s="42">
        <v>233272</v>
      </c>
      <c r="J18" s="30" t="s">
        <v>182</v>
      </c>
      <c r="K18" s="42">
        <v>233491</v>
      </c>
      <c r="L18" s="131" t="s">
        <v>50</v>
      </c>
      <c r="M18" s="132">
        <f t="shared" si="0"/>
        <v>115.63200000000001</v>
      </c>
      <c r="N18" s="133" t="str">
        <f>VLOOKUP(C18,'Trips&amp;Operators'!$C$1:$G$99911,5,FALSE)</f>
        <v>DAVIS WENDY</v>
      </c>
      <c r="O18" s="200" t="s">
        <v>180</v>
      </c>
      <c r="P18" s="134"/>
      <c r="Q18" s="30"/>
      <c r="R18" s="81" t="str">
        <f>VLOOKUP(C18,'Train Runs'!$A$13:$AE$9944,31,0)</f>
        <v>aws s3 cp s3://rtdc.mdm.uploadarchive.raw/RTDC4044/ "%USERPROFILE%\AppData\Local\Temp\OnboardLogs"\RTDC4044\2017-09-13 --exclude "*" --recursive --include "*20170913*" &amp; "%USERPROFILE%\Documents\GitHub\mrs-test-scripts\Headless Mode &amp; Sideloading\WalkAndUnGZ.bat" "%USERPROFILE%\AppData\Local\Temp\OnboardLogs"\RTDC4044\2017-09-13 &amp; aws s3 cp s3://rtdc.mdm.uploadarchive.raw/RTDC4044/ "%USERPROFILE%\AppData\Local\Temp\OnboardLogs"\RTDC4044\2017-09-14 --exclude "*" --recursive --include "*20170914*" &amp; "%USERPROFILE%\Documents\GitHub\mrs-test-scripts\Headless Mode &amp; Sideloading\WalkAndUnGZ.bat" "%USERPROFILE%\AppData\Local\Temp\OnboardLogs"\RTDC4044\2017-09-14</v>
      </c>
      <c r="S18" s="84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-09-13T05:25:49-0600',mode:absolute,to:'2017-09-13T08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8" s="86" t="str">
        <f t="shared" si="1"/>
        <v>"C:\Program Files (x86)\AstroGrep\AstroGrep.exe" /e /r /s /spath="%USERPROFILE%\AppData\Local\Temp\OnboardLogs" /stypes="*4044*201709131*"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4044</v>
      </c>
      <c r="V18" s="31">
        <f t="shared" si="3"/>
        <v>42991.547303240739</v>
      </c>
      <c r="W18" s="45" t="str">
        <f t="shared" si="4"/>
        <v>EC</v>
      </c>
      <c r="X18" s="22">
        <f t="shared" si="5"/>
        <v>123</v>
      </c>
      <c r="Y18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ID","value":"123-13"},{"id":16,"name":"Locomotive ID","value":"4044"},{"id":130,"name":"Impact","value":""},{"id":150,"name":"Time of Event (Mountain Time)","value":"07:08:07"},{"id":151,"name":"Denver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/c/Users/stu/AppData/Local/Temp/OnboardLogs/RTDC4044 --include="*4044*201709131*"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"%USERPROFILE%\AppData\Local\Temp\OnboardLogs"\RTDC4044\*4044*201709131* &gt;&gt; 2017-09-13-SliceDisagreementCheck.txt</v>
      </c>
      <c r="AE18" s="145" t="str">
        <f t="shared" si="9"/>
        <v>start /low /b %USERPROFILE%\Documents\GitHub\eaglep3\Utilities\DownloadLogsFromS3.py --loco 4044 --day 2017-09-13</v>
      </c>
      <c r="AF18" s="1"/>
    </row>
    <row r="19" spans="1:32" x14ac:dyDescent="0.25">
      <c r="A19" s="31">
        <v>42991.534317129626</v>
      </c>
      <c r="B19" s="30" t="s">
        <v>393</v>
      </c>
      <c r="C19" s="30" t="s">
        <v>592</v>
      </c>
      <c r="D19" s="30" t="s">
        <v>49</v>
      </c>
      <c r="E19" s="30" t="s">
        <v>181</v>
      </c>
      <c r="F19" s="42">
        <v>0</v>
      </c>
      <c r="G19" s="42">
        <v>35</v>
      </c>
      <c r="H19" s="42">
        <v>233347</v>
      </c>
      <c r="I19" s="42">
        <v>233391</v>
      </c>
      <c r="J19" s="30" t="s">
        <v>182</v>
      </c>
      <c r="K19" s="42">
        <v>233491</v>
      </c>
      <c r="L19" s="131" t="s">
        <v>50</v>
      </c>
      <c r="M19" s="132">
        <f t="shared" si="0"/>
        <v>52.8</v>
      </c>
      <c r="N19" s="133" t="str">
        <f>VLOOKUP(C19,'Trips&amp;Operators'!$C$1:$G$99911,5,FALSE)</f>
        <v>DELGADO DIANAH</v>
      </c>
      <c r="O19" s="200" t="s">
        <v>180</v>
      </c>
      <c r="P19" s="134"/>
      <c r="Q19" s="30"/>
      <c r="R19" s="81" t="str">
        <f>VLOOKUP(C19,'Train Runs'!$A$13:$AE$9944,31,0)</f>
        <v>aws s3 cp s3://rtdc.mdm.uploadarchive.raw/RTDC4010/ "%USERPROFILE%\AppData\Local\Temp\OnboardLogs"\RTDC4010\2017-09-13 --exclude "*" --recursive --include "*20170913*" &amp; "%USERPROFILE%\Documents\GitHub\mrs-test-scripts\Headless Mode &amp; Sideloading\WalkAndUnGZ.bat" "%USERPROFILE%\AppData\Local\Temp\OnboardLogs"\RTDC4010\2017-09-13 &amp; aws s3 cp s3://rtdc.mdm.uploadarchive.raw/RTDC4010/ "%USERPROFILE%\AppData\Local\Temp\OnboardLogs"\RTDC4010\2017-09-14 --exclude "*" --recursive --include "*20170914*" &amp; "%USERPROFILE%\Documents\GitHub\mrs-test-scripts\Headless Mode &amp; Sideloading\WalkAndUnGZ.bat" "%USERPROFILE%\AppData\Local\Temp\OnboardLogs"\RTDC4010\2017-09-14</v>
      </c>
      <c r="S19" s="84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-09-13T11:05:38-0600',mode:absolute,to:'2017-09-13T13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9" s="86" t="str">
        <f t="shared" si="1"/>
        <v>"C:\Program Files (x86)\AstroGrep\AstroGrep.exe" /e /r /s /spath="%USERPROFILE%\AppData\Local\Temp\OnboardLogs" /stypes="*4010*201709131*"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4010</v>
      </c>
      <c r="V19" s="31">
        <f t="shared" si="3"/>
        <v>42991.784317129626</v>
      </c>
      <c r="W19" s="45" t="str">
        <f t="shared" si="4"/>
        <v>EC</v>
      </c>
      <c r="X19" s="22">
        <f t="shared" si="5"/>
        <v>169</v>
      </c>
      <c r="Y19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ID","value":"169-13"},{"id":16,"name":"Locomotive ID","value":"4010"},{"id":130,"name":"Impact","value":""},{"id":150,"name":"Time of Event (Mountain Time)","value":"12:49:25"},{"id":151,"name":"Denver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/c/Users/stu/AppData/Local/Temp/OnboardLogs/RTDC4010 --include="*4010*201709131*"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"%USERPROFILE%\AppData\Local\Temp\OnboardLogs"\RTDC4010\*4010*201709131* &gt;&gt; 2017-09-13-SliceDisagreementCheck.txt</v>
      </c>
      <c r="AE19" s="145" t="str">
        <f t="shared" si="9"/>
        <v>start /low /b %USERPROFILE%\Documents\GitHub\eaglep3\Utilities\DownloadLogsFromS3.py --loco 4010 --day 2017-09-13</v>
      </c>
      <c r="AF19" s="1"/>
    </row>
    <row r="20" spans="1:32" x14ac:dyDescent="0.25">
      <c r="A20" s="31">
        <v>42991.9</v>
      </c>
      <c r="B20" s="30" t="s">
        <v>448</v>
      </c>
      <c r="C20" s="30" t="s">
        <v>606</v>
      </c>
      <c r="D20" s="30" t="s">
        <v>49</v>
      </c>
      <c r="E20" s="30" t="s">
        <v>181</v>
      </c>
      <c r="F20" s="42">
        <v>0</v>
      </c>
      <c r="G20" s="42">
        <v>156</v>
      </c>
      <c r="H20" s="42">
        <v>232711</v>
      </c>
      <c r="I20" s="42">
        <v>233017</v>
      </c>
      <c r="J20" s="30" t="s">
        <v>182</v>
      </c>
      <c r="K20" s="42">
        <v>233491</v>
      </c>
      <c r="L20" s="131" t="s">
        <v>50</v>
      </c>
      <c r="M20" s="132">
        <f t="shared" si="0"/>
        <v>250.27199999999999</v>
      </c>
      <c r="N20" s="133" t="str">
        <f>VLOOKUP(C20,'Trips&amp;Operators'!$C$1:$G$99911,5,FALSE)</f>
        <v>PERKINS DARREN</v>
      </c>
      <c r="O20" s="200" t="s">
        <v>180</v>
      </c>
      <c r="P20" s="134"/>
      <c r="Q20" s="30"/>
      <c r="R20" s="81" t="str">
        <f>VLOOKUP(C20,'Train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20" s="84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-09-13T19:40:08-0600',mode:absolute,to:'2017-09-13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 t="shared" si="1"/>
        <v>"C:\Program Files (x86)\AstroGrep\AstroGrep.exe" /e /r /s /spath="%USERPROFILE%\AppData\Local\Temp\OnboardLogs" /stypes="*4006*201709140*" /stext=" 03:.+((SYSTEM_STATE.+slice.+state.+changed )|(ment ac)|(multiple cpu faults)|(system.+state.+changed )|(\[timeout)|(PRM\|1\|D)|(kpr)|(kdp)|(train st.+moving)|(\|lc)|(penalty))"</v>
      </c>
      <c r="U20" s="9" t="str">
        <f t="shared" si="2"/>
        <v>4006</v>
      </c>
      <c r="V20" s="31">
        <f t="shared" si="3"/>
        <v>42992.15</v>
      </c>
      <c r="W20" s="45" t="str">
        <f t="shared" si="4"/>
        <v>EC</v>
      </c>
      <c r="X20" s="22">
        <f t="shared" si="5"/>
        <v>229</v>
      </c>
      <c r="Y20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ID","value":"229-13"},{"id":16,"name":"Locomotive ID","value":"4006"},{"id":130,"name":"Impact","value":""},{"id":150,"name":"Time of Event (Mountain Time)","value":"21:36:00"},{"id":151,"name":"Denver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/c/Users/stu/AppData/Local/Temp/OnboardLogs/RTDC4006 --include="*4006*201709140*"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"%USERPROFILE%\AppData\Local\Temp\OnboardLogs"\RTDC4006\*4006*201709140* &gt;&gt; 2017-09-13-SliceDisagreementCheck.txt</v>
      </c>
      <c r="AE20" s="145" t="str">
        <f t="shared" si="9"/>
        <v>start /low /b %USERPROFILE%\Documents\GitHub\eaglep3\Utilities\DownloadLogsFromS3.py --loco 4006 --day 2017-09-14</v>
      </c>
      <c r="AF20" s="1"/>
    </row>
    <row r="21" spans="1:32" x14ac:dyDescent="0.25">
      <c r="A21" s="31">
        <v>42991.90053240741</v>
      </c>
      <c r="B21" s="30" t="s">
        <v>448</v>
      </c>
      <c r="C21" s="30" t="s">
        <v>606</v>
      </c>
      <c r="D21" s="30" t="s">
        <v>49</v>
      </c>
      <c r="E21" s="30" t="s">
        <v>181</v>
      </c>
      <c r="F21" s="42">
        <v>0</v>
      </c>
      <c r="G21" s="42">
        <v>53</v>
      </c>
      <c r="H21" s="42">
        <v>233259</v>
      </c>
      <c r="I21" s="42">
        <v>233308</v>
      </c>
      <c r="J21" s="30" t="s">
        <v>182</v>
      </c>
      <c r="K21" s="42">
        <v>233491</v>
      </c>
      <c r="L21" s="131" t="s">
        <v>50</v>
      </c>
      <c r="M21" s="132">
        <f t="shared" si="0"/>
        <v>96.623999999999995</v>
      </c>
      <c r="N21" s="133" t="str">
        <f>VLOOKUP(C21,'Trips&amp;Operators'!$C$1:$G$99911,5,FALSE)</f>
        <v>PERKINS DARREN</v>
      </c>
      <c r="O21" s="200" t="s">
        <v>180</v>
      </c>
      <c r="P21" s="134"/>
      <c r="Q21" s="30"/>
      <c r="R21" s="81" t="str">
        <f>VLOOKUP(C21,'Train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21" s="84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-09-13T19:40:08-0600',mode:absolute,to:'2017-09-13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1" s="86" t="str">
        <f t="shared" si="1"/>
        <v>"C:\Program Files (x86)\AstroGrep\AstroGrep.exe" /e /r /s /spath="%USERPROFILE%\AppData\Local\Temp\OnboardLogs" /stypes="*4006*201709140*" /stext=" 03:.+((SYSTEM_STATE.+slice.+state.+changed )|(ment ac)|(multiple cpu faults)|(system.+state.+changed )|(\[timeout)|(PRM\|1\|D)|(kpr)|(kdp)|(train st.+moving)|(\|lc)|(penalty))"</v>
      </c>
      <c r="U21" s="9" t="str">
        <f t="shared" si="2"/>
        <v>4006</v>
      </c>
      <c r="V21" s="31">
        <f t="shared" si="3"/>
        <v>42992.15053240741</v>
      </c>
      <c r="W21" s="45" t="str">
        <f t="shared" si="4"/>
        <v>EC</v>
      </c>
      <c r="X21" s="22">
        <f t="shared" si="5"/>
        <v>229</v>
      </c>
      <c r="Y21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ID","value":"229-13"},{"id":16,"name":"Locomotive ID","value":"4006"},{"id":130,"name":"Impact","value":""},{"id":150,"name":"Time of Event (Mountain Time)","value":"21:36:46"},{"id":151,"name":"Denver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/c/Users/stu/AppData/Local/Temp/OnboardLogs/RTDC4006 --include="*4006*201709140*"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"%USERPROFILE%\AppData\Local\Temp\OnboardLogs"\RTDC4006\*4006*201709140* &gt;&gt; 2017-09-13-SliceDisagreementCheck.txt</v>
      </c>
      <c r="AE21" s="145" t="str">
        <f t="shared" si="9"/>
        <v>start /low /b %USERPROFILE%\Documents\GitHub\eaglep3\Utilities\DownloadLogsFromS3.py --loco 4006 --day 2017-09-14</v>
      </c>
      <c r="AF21" s="1"/>
    </row>
    <row r="22" spans="1:32" x14ac:dyDescent="0.25">
      <c r="A22" s="31">
        <v>42991.983043981483</v>
      </c>
      <c r="B22" s="30" t="s">
        <v>448</v>
      </c>
      <c r="C22" s="30" t="s">
        <v>608</v>
      </c>
      <c r="D22" s="30" t="s">
        <v>49</v>
      </c>
      <c r="E22" s="30" t="s">
        <v>181</v>
      </c>
      <c r="F22" s="42">
        <v>0</v>
      </c>
      <c r="G22" s="42">
        <v>93</v>
      </c>
      <c r="H22" s="42">
        <v>233102</v>
      </c>
      <c r="I22" s="42">
        <v>233219</v>
      </c>
      <c r="J22" s="30" t="s">
        <v>182</v>
      </c>
      <c r="K22" s="42">
        <v>233491</v>
      </c>
      <c r="L22" s="131" t="s">
        <v>50</v>
      </c>
      <c r="M22" s="132">
        <f t="shared" si="0"/>
        <v>143.61600000000001</v>
      </c>
      <c r="N22" s="133" t="str">
        <f>VLOOKUP(C22,'Trips&amp;Operators'!$C$1:$G$99911,5,FALSE)</f>
        <v>PERKINS DARREN</v>
      </c>
      <c r="O22" s="200" t="s">
        <v>180</v>
      </c>
      <c r="P22" s="134"/>
      <c r="Q22" s="30"/>
      <c r="R22" s="81" t="str">
        <f>VLOOKUP(C22,'Train Runs'!$A$13:$AE$9944,31,0)</f>
        <v>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 &amp; aws s3 cp s3://rtdc.mdm.uploadarchive.raw/RTDC4006/ "%USERPROFILE%\AppData\Local\Temp\OnboardLogs"\RTDC4006\2017-09-14 --exclude "*" --recursive --include "*20170914*" &amp; "%USERPROFILE%\Documents\GitHub\mrs-test-scripts\Headless Mode &amp; Sideloading\WalkAndUnGZ.bat" "%USERPROFILE%\AppData\Local\Temp\OnboardLogs"\RTDC4006\2017-09-14</v>
      </c>
      <c r="S22" s="84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-09-13T21:38:45-0600',mode:absolute,to:'2017-09-14T00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2" s="86" t="str">
        <f t="shared" si="1"/>
        <v>"C:\Program Files (x86)\AstroGrep\AstroGrep.exe" /e /r /s /spath="%USERPROFILE%\AppData\Local\Temp\OnboardLogs" /stypes="*4006*201709140*" /stext=" 05:.+((SYSTEM_STATE.+slice.+state.+changed )|(ment ac)|(multiple cpu faults)|(system.+state.+changed )|(\[timeout)|(PRM\|1\|D)|(kpr)|(kdp)|(train st.+moving)|(\|lc)|(penalty))"</v>
      </c>
      <c r="U22" s="9" t="str">
        <f t="shared" si="2"/>
        <v>4006</v>
      </c>
      <c r="V22" s="31">
        <f t="shared" si="3"/>
        <v>42992.233043981483</v>
      </c>
      <c r="W22" s="45" t="str">
        <f t="shared" si="4"/>
        <v>EC</v>
      </c>
      <c r="X22" s="22">
        <f t="shared" si="5"/>
        <v>237</v>
      </c>
      <c r="Y22" s="96" t="str">
        <f t="shared" si="6"/>
        <v>echo {"issue":{"subject":"","project_id":79,"tracker_id":40,"status_id":1,"priority_id":2,"assigned_to_id":338,"start_date":"2017-09-13","description":"","custom_fields":[{"id":1,"name":"Subdivision","value":"EC"},{"id":4,"name":"Milepost","value":"23.3491"},{"id":17,"name":"Train ID","value":"237-13"},{"id":16,"name":"Locomotive ID","value":"4006"},{"id":130,"name":"Impact","value":""},{"id":150,"name":"Time of Event (Mountain Time)","value":"23:35:35"},{"id":151,"name":"Denver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/c/Users/stu/AppData/Local/Temp/OnboardLogs/RTDC4006 --include="*4006*201709140*"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"%USERPROFILE%\AppData\Local\Temp\OnboardLogs"\RTDC4006\*4006*201709140* &gt;&gt; 2017-09-13-SliceDisagreementCheck.txt</v>
      </c>
      <c r="AE22" s="145" t="str">
        <f t="shared" si="9"/>
        <v>start /low /b %USERPROFILE%\Documents\GitHub\eaglep3\Utilities\DownloadLogsFromS3.py --loco 4006 --day 2017-09-14</v>
      </c>
      <c r="AF22" s="1"/>
    </row>
    <row r="23" spans="1:32" x14ac:dyDescent="0.25">
      <c r="A23" s="31">
        <v>42991.452233796299</v>
      </c>
      <c r="B23" s="30" t="s">
        <v>409</v>
      </c>
      <c r="C23" s="30" t="s">
        <v>587</v>
      </c>
      <c r="D23" s="30" t="s">
        <v>49</v>
      </c>
      <c r="E23" s="30" t="s">
        <v>187</v>
      </c>
      <c r="F23" s="42">
        <v>0</v>
      </c>
      <c r="G23" s="42">
        <v>213</v>
      </c>
      <c r="H23" s="42">
        <v>11097</v>
      </c>
      <c r="I23" s="42">
        <v>10843</v>
      </c>
      <c r="J23" s="30" t="s">
        <v>188</v>
      </c>
      <c r="K23" s="42">
        <v>10988</v>
      </c>
      <c r="L23" s="131" t="s">
        <v>51</v>
      </c>
      <c r="M23" s="132">
        <f t="shared" si="0"/>
        <v>-76.56</v>
      </c>
      <c r="N23" s="133" t="str">
        <f>VLOOKUP(C23,'Trips&amp;Operators'!$C$1:$G$99911,5,FALSE)</f>
        <v>GEBRETEKLE DAGNEW</v>
      </c>
      <c r="O23" s="200" t="s">
        <v>180</v>
      </c>
      <c r="P23" s="134" t="s">
        <v>371</v>
      </c>
      <c r="Q23" s="30"/>
      <c r="R23" s="81" t="str">
        <f>VLOOKUP(C23,'Train Runs'!$A$13:$AE$9944,31,0)</f>
        <v>aws s3 cp s3://rtdc.mdm.uploadarchive.raw/RTDC4059/ "%USERPROFILE%\AppData\Local\Temp\OnboardLogs"\RTDC4059\2017-09-13 --exclude "*" --recursive --include "*20170913*" &amp; "%USERPROFILE%\Documents\GitHub\mrs-test-scripts\Headless Mode &amp; Sideloading\WalkAndUnGZ.bat" "%USERPROFILE%\AppData\Local\Temp\OnboardLogs"\RTDC4059\2017-09-13 &amp; aws s3 cp s3://rtdc.mdm.uploadarchive.raw/RTDC4059/ "%USERPROFILE%\AppData\Local\Temp\OnboardLogs"\RTDC4059\2017-09-14 --exclude "*" --recursive --include "*20170914*" &amp; "%USERPROFILE%\Documents\GitHub\mrs-test-scripts\Headless Mode &amp; Sideloading\WalkAndUnGZ.bat" "%USERPROFILE%\AppData\Local\Temp\OnboardLogs"\RTDC4059\2017-09-14</v>
      </c>
      <c r="S23" s="84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-09-13T09:26:03-0600',mode:absolute,to:'2017-09-13T11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23" s="86" t="str">
        <f t="shared" si="1"/>
        <v>"C:\Program Files (x86)\AstroGrep\AstroGrep.exe" /e /r /s /spath="%USERPROFILE%\AppData\Local\Temp\OnboardLogs" /stypes="*4059*201709131*"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4059</v>
      </c>
      <c r="V23" s="31">
        <f t="shared" si="3"/>
        <v>42991.702233796299</v>
      </c>
      <c r="W23" s="45" t="str">
        <f t="shared" si="4"/>
        <v>NW</v>
      </c>
      <c r="X23" s="22">
        <f t="shared" si="5"/>
        <v>816</v>
      </c>
      <c r="Y23" s="96" t="str">
        <f t="shared" si="6"/>
        <v>echo {"issue":{"subject":"Early Arrival","project_id":79,"tracker_id":40,"status_id":1,"priority_id":2,"assigned_to_id":338,"start_date":"2017-09-13","description":"","custom_fields":[{"id":1,"name":"Subdivision","value":"NW"},{"id":4,"name":"Milepost","value":"1.0988"},{"id":17,"name":"Train ID","value":"816-13"},{"id":16,"name":"Locomotive ID","value":"4059"},{"id":130,"name":"Impact","value":""},{"id":150,"name":"Time of Event (Mountain Time)","value":"10:51:13"},{"id":151,"name":"Denver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/c/Users/stu/AppData/Local/Temp/OnboardLogs/RTDC4059 --include="*4059*201709131*"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"%USERPROFILE%\AppData\Local\Temp\OnboardLogs"\RTDC4059\*4059*201709131* &gt;&gt; 2017-09-13-SliceDisagreementCheck.txt</v>
      </c>
      <c r="AE23" s="145" t="str">
        <f t="shared" si="9"/>
        <v>start /low /b %USERPROFILE%\Documents\GitHub\eaglep3\Utilities\DownloadLogsFromS3.py --loco 4059 --day 2017-09-13</v>
      </c>
      <c r="AF23" s="1"/>
    </row>
    <row r="24" spans="1:32" x14ac:dyDescent="0.25">
      <c r="A24" s="31">
        <v>42991.890555555554</v>
      </c>
      <c r="B24" s="30" t="s">
        <v>413</v>
      </c>
      <c r="C24" s="30" t="s">
        <v>605</v>
      </c>
      <c r="D24" s="30" t="s">
        <v>49</v>
      </c>
      <c r="E24" s="30" t="s">
        <v>181</v>
      </c>
      <c r="F24" s="42">
        <v>0</v>
      </c>
      <c r="G24" s="42">
        <v>47</v>
      </c>
      <c r="H24" s="42">
        <v>58941</v>
      </c>
      <c r="I24" s="42">
        <v>58973</v>
      </c>
      <c r="J24" s="30" t="s">
        <v>182</v>
      </c>
      <c r="K24" s="42">
        <v>59048</v>
      </c>
      <c r="L24" s="131" t="s">
        <v>50</v>
      </c>
      <c r="M24" s="132">
        <f t="shared" si="0"/>
        <v>39.6</v>
      </c>
      <c r="N24" s="133" t="str">
        <f>VLOOKUP(C24,'Trips&amp;Operators'!$C$1:$G$99911,5,FALSE)</f>
        <v>STAMBAUGH JAMES</v>
      </c>
      <c r="O24" s="200" t="s">
        <v>180</v>
      </c>
      <c r="P24" s="134"/>
      <c r="Q24" s="30"/>
      <c r="R24" s="81" t="str">
        <f>VLOOKUP(C24,'Train Runs'!$A$13:$AE$9944,31,0)</f>
        <v>aws s3 cp s3://rtdc.mdm.uploadarchive.raw/RTDC4060/ "%USERPROFILE%\AppData\Local\Temp\OnboardLogs"\RTDC4060\2017-09-13 --exclude "*" --recursive --include "*20170913*" &amp; "%USERPROFILE%\Documents\GitHub\mrs-test-scripts\Headless Mode &amp; Sideloading\WalkAndUnGZ.bat" "%USERPROFILE%\AppData\Local\Temp\OnboardLogs"\RTDC4060\2017-09-13 &amp; aws s3 cp s3://rtdc.mdm.uploadarchive.raw/RTDC4060/ "%USERPROFILE%\AppData\Local\Temp\OnboardLogs"\RTDC4060\2017-09-14 --exclude "*" --recursive --include "*20170914*" &amp; "%USERPROFILE%\Documents\GitHub\mrs-test-scripts\Headless Mode &amp; Sideloading\WalkAndUnGZ.bat" "%USERPROFILE%\AppData\Local\Temp\OnboardLogs"\RTDC4060\2017-09-14</v>
      </c>
      <c r="S24" s="84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-09-13T20:03:58-0600',mode:absolute,to:'2017-09-13T22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 t="shared" si="1"/>
        <v>"C:\Program Files (x86)\AstroGrep\AstroGrep.exe" /e /r /s /spath="%USERPROFILE%\AppData\Local\Temp\OnboardLogs" /stypes="*4060*201709140*" /stext=" 03:.+((SYSTEM_STATE.+slice.+state.+changed )|(ment ac)|(multiple cpu faults)|(system.+state.+changed )|(\[timeout)|(PRM\|1\|D)|(kpr)|(kdp)|(train st.+moving)|(\|lc)|(penalty))"</v>
      </c>
      <c r="U24" s="9" t="str">
        <f t="shared" si="2"/>
        <v>4060</v>
      </c>
      <c r="V24" s="31">
        <f t="shared" si="3"/>
        <v>42992.140555555554</v>
      </c>
      <c r="W24" s="45" t="str">
        <f t="shared" si="4"/>
        <v>NW</v>
      </c>
      <c r="X24" s="22">
        <f t="shared" si="5"/>
        <v>845</v>
      </c>
      <c r="Y24" s="96" t="str">
        <f t="shared" si="6"/>
        <v>echo {"issue":{"subject":"","project_id":79,"tracker_id":40,"status_id":1,"priority_id":2,"assigned_to_id":338,"start_date":"2017-09-13","description":"","custom_fields":[{"id":1,"name":"Subdivision","value":"NW"},{"id":4,"name":"Milepost","value":"5.9048"},{"id":17,"name":"Train ID","value":"845-13"},{"id":16,"name":"Locomotive ID","value":"4060"},{"id":130,"name":"Impact","value":""},{"id":150,"name":"Time of Event (Mountain Time)","value":"21:22:24"},{"id":151,"name":"Denver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/c/Users/stu/AppData/Local/Temp/OnboardLogs/RTDC4060 --include="*4060*201709140*"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"%USERPROFILE%\AppData\Local\Temp\OnboardLogs"\RTDC4060\*4060*201709140* &gt;&gt; 2017-09-13-SliceDisagreementCheck.txt</v>
      </c>
      <c r="AE24" s="145" t="str">
        <f t="shared" si="9"/>
        <v>start /low /b %USERPROFILE%\Documents\GitHub\eaglep3\Utilities\DownloadLogsFromS3.py --loco 4060 --day 2017-09-14</v>
      </c>
      <c r="AF24" s="1"/>
    </row>
    <row r="25" spans="1:32" x14ac:dyDescent="0.25">
      <c r="A25" s="31">
        <v>42991.185034722221</v>
      </c>
      <c r="B25" s="30" t="s">
        <v>580</v>
      </c>
      <c r="C25" s="30" t="s">
        <v>581</v>
      </c>
      <c r="D25" s="30" t="s">
        <v>96</v>
      </c>
      <c r="E25" s="30" t="s">
        <v>363</v>
      </c>
      <c r="F25" s="42">
        <v>0</v>
      </c>
      <c r="G25" s="42">
        <v>141</v>
      </c>
      <c r="H25" s="42">
        <v>21829</v>
      </c>
      <c r="I25" s="42">
        <v>21706</v>
      </c>
      <c r="J25" s="30" t="s">
        <v>364</v>
      </c>
      <c r="K25" s="42">
        <v>24161</v>
      </c>
      <c r="L25" s="131" t="s">
        <v>51</v>
      </c>
      <c r="M25" s="132">
        <f t="shared" si="0"/>
        <v>-1296.24</v>
      </c>
      <c r="N25" s="133" t="str">
        <f>VLOOKUP(C25,'Trips&amp;Operators'!$C$1:$G$99911,5,FALSE)</f>
        <v>DAVIS WENDY</v>
      </c>
      <c r="O25" s="200" t="s">
        <v>180</v>
      </c>
      <c r="P25" s="134"/>
      <c r="Q25" s="30"/>
      <c r="R25" s="81" t="str">
        <f>VLOOKUP(C25,'Train Runs'!$A$13:$AE$9944,31,0)</f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S25" s="84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-09-13T03:10:37-0600',mode:absolute,to:'2017-09-13T05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86" t="str">
        <f t="shared" si="1"/>
        <v>"C:\Program Files (x86)\AstroGrep\AstroGrep.exe" /e /r /s /spath="%USERPROFILE%\AppData\Local\Temp\OnboardLogs" /stypes="*4043*201709131*" /stext=" 10:.+((SYSTEM_STATE.+slice.+state.+changed )|(ment ac)|(multiple cpu faults)|(system.+state.+changed )|(\[timeout)|(PRM\|1\|D)|(kpr)|(kdp)|(train st.+moving)|(\|lc)|(penalty))"</v>
      </c>
      <c r="U25" s="9" t="str">
        <f t="shared" si="2"/>
        <v>4043</v>
      </c>
      <c r="V25" s="31">
        <f t="shared" si="3"/>
        <v>42991.435034722221</v>
      </c>
      <c r="W25" s="45" t="str">
        <f t="shared" si="4"/>
        <v>Other</v>
      </c>
      <c r="X25" s="22">
        <f t="shared" si="5"/>
        <v>308</v>
      </c>
      <c r="Y25" s="96" t="str">
        <f t="shared" si="6"/>
        <v>echo {"issue":{"subject":"","project_id":79,"tracker_id":40,"status_id":1,"priority_id":2,"assigned_to_id":338,"start_date":"2017-09-13","description":"","custom_fields":[{"id":1,"name":"Subdivision","value":"Other"},{"id":4,"name":"Milepost","value":"2.4161"},{"id":17,"name":"Train ID","value":"308-13"},{"id":16,"name":"Locomotive ID","value":"4043"},{"id":130,"name":"Impact","value":""},{"id":150,"name":"Time of Event (Mountain Time)","value":"04:26:27"},{"id":151,"name":"Denver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/c/Users/stu/AppData/Local/Temp/OnboardLogs/RTDC4043 --include="*4043*201709131*"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"%USERPROFILE%\AppData\Local\Temp\OnboardLogs"\RTDC4043\*4043*201709131* &gt;&gt; 2017-09-13-SliceDisagreementCheck.txt</v>
      </c>
      <c r="AE25" s="145" t="str">
        <f t="shared" si="9"/>
        <v>start /low /b %USERPROFILE%\Documents\GitHub\eaglep3\Utilities\DownloadLogsFromS3.py --loco 4043 --day 2017-09-13</v>
      </c>
      <c r="AF25" s="1"/>
    </row>
    <row r="26" spans="1:32" x14ac:dyDescent="0.25">
      <c r="A26" s="31">
        <v>42991.185069444444</v>
      </c>
      <c r="B26" s="30" t="s">
        <v>580</v>
      </c>
      <c r="C26" s="30" t="s">
        <v>581</v>
      </c>
      <c r="D26" s="30" t="s">
        <v>96</v>
      </c>
      <c r="E26" s="30" t="s">
        <v>363</v>
      </c>
      <c r="F26" s="42">
        <v>0</v>
      </c>
      <c r="G26" s="42">
        <v>6</v>
      </c>
      <c r="H26" s="42">
        <v>21708</v>
      </c>
      <c r="I26" s="42">
        <v>21708</v>
      </c>
      <c r="J26" s="30" t="s">
        <v>364</v>
      </c>
      <c r="K26" s="42">
        <v>24161</v>
      </c>
      <c r="L26" s="131" t="s">
        <v>51</v>
      </c>
      <c r="M26" s="132">
        <f t="shared" si="0"/>
        <v>-1295.184</v>
      </c>
      <c r="N26" s="133" t="str">
        <f>VLOOKUP(C26,'Trips&amp;Operators'!$C$1:$G$99911,5,FALSE)</f>
        <v>DAVIS WENDY</v>
      </c>
      <c r="O26" s="200" t="s">
        <v>180</v>
      </c>
      <c r="P26" s="134"/>
      <c r="Q26" s="30"/>
      <c r="R26" s="81" t="str">
        <f>VLOOKUP(C26,'Train Runs'!$A$13:$AE$9944,31,0)</f>
        <v>aws s3 cp s3://rtdc.mdm.uploadarchive.raw/RTDC4043/ "%USERPROFILE%\AppData\Local\Temp\OnboardLogs"\RTDC4043\2017-09-13 --exclude "*" --recursive --include "*20170913*" &amp; "%USERPROFILE%\Documents\GitHub\mrs-test-scripts\Headless Mode &amp; Sideloading\WalkAndUnGZ.bat" "%USERPROFILE%\AppData\Local\Temp\OnboardLogs"\RTDC4043\2017-09-13 &amp; aws s3 cp s3://rtdc.mdm.uploadarchive.raw/RTDC4043/ "%USERPROFILE%\AppData\Local\Temp\OnboardLogs"\RTDC4043\2017-09-14 --exclude "*" --recursive --include "*20170914*" &amp; "%USERPROFILE%\Documents\GitHub\mrs-test-scripts\Headless Mode &amp; Sideloading\WalkAndUnGZ.bat" "%USERPROFILE%\AppData\Local\Temp\OnboardLogs"\RTDC4043\2017-09-14</v>
      </c>
      <c r="S26" s="84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-09-13T03:10:37-0600',mode:absolute,to:'2017-09-13T05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86" t="str">
        <f t="shared" si="1"/>
        <v>"C:\Program Files (x86)\AstroGrep\AstroGrep.exe" /e /r /s /spath="%USERPROFILE%\AppData\Local\Temp\OnboardLogs" /stypes="*4043*201709131*"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4043</v>
      </c>
      <c r="V26" s="31">
        <f t="shared" si="3"/>
        <v>42991.435069444444</v>
      </c>
      <c r="W26" s="45" t="str">
        <f t="shared" si="4"/>
        <v>Other</v>
      </c>
      <c r="X26" s="22">
        <f t="shared" si="5"/>
        <v>308</v>
      </c>
      <c r="Y26" s="96" t="str">
        <f t="shared" si="6"/>
        <v>echo {"issue":{"subject":"","project_id":79,"tracker_id":40,"status_id":1,"priority_id":2,"assigned_to_id":338,"start_date":"2017-09-13","description":"","custom_fields":[{"id":1,"name":"Subdivision","value":"Other"},{"id":4,"name":"Milepost","value":"2.4161"},{"id":17,"name":"Train ID","value":"308-13"},{"id":16,"name":"Locomotive ID","value":"4043"},{"id":130,"name":"Impact","value":""},{"id":150,"name":"Time of Event (Mountain Time)","value":"04:26:30"},{"id":151,"name":"Denver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/c/Users/stu/AppData/Local/Temp/OnboardLogs/RTDC4043 --include="*4043*201709131*"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"%USERPROFILE%\AppData\Local\Temp\OnboardLogs"\RTDC4043\*4043*201709131* &gt;&gt; 2017-09-13-SliceDisagreementCheck.txt</v>
      </c>
      <c r="AE26" s="145" t="str">
        <f t="shared" si="9"/>
        <v>start /low /b %USERPROFILE%\Documents\GitHub\eaglep3\Utilities\DownloadLogsFromS3.py --loco 4043 --day 2017-09-13</v>
      </c>
      <c r="AF26" s="1"/>
    </row>
    <row r="27" spans="1:32" x14ac:dyDescent="0.25">
      <c r="A27" s="31">
        <v>42991.150069444448</v>
      </c>
      <c r="B27" s="30" t="s">
        <v>399</v>
      </c>
      <c r="C27" s="30" t="s">
        <v>579</v>
      </c>
      <c r="D27" s="30" t="s">
        <v>49</v>
      </c>
      <c r="E27" s="30" t="s">
        <v>181</v>
      </c>
      <c r="F27" s="42">
        <v>0</v>
      </c>
      <c r="G27" s="42">
        <v>58</v>
      </c>
      <c r="H27" s="42">
        <v>214</v>
      </c>
      <c r="I27" s="42">
        <v>169</v>
      </c>
      <c r="J27" s="30" t="s">
        <v>182</v>
      </c>
      <c r="K27" s="42">
        <v>1</v>
      </c>
      <c r="L27" s="131" t="s">
        <v>51</v>
      </c>
      <c r="M27" s="132">
        <f t="shared" si="0"/>
        <v>88.703999999999994</v>
      </c>
      <c r="N27" s="133" t="str">
        <f>VLOOKUP(C27,'Trips&amp;Operators'!$C$1:$G$99911,5,FALSE)</f>
        <v>STARKS ANGELINA</v>
      </c>
      <c r="O27" s="200" t="s">
        <v>180</v>
      </c>
      <c r="P27" s="134"/>
      <c r="Q27" s="30"/>
      <c r="R27" s="81" t="str">
        <f>VLOOKUP(C27,'Train Runs'!$A$13:$AE$9944,31,0)</f>
        <v>aws s3 cp s3://rtdc.mdm.uploadarchive.raw/RTDC4019/ "%USERPROFILE%\AppData\Local\Temp\OnboardLogs"\RTDC4019\2017-09-13 --exclude "*" --recursive --include "*20170913*" &amp; "%USERPROFILE%\Documents\GitHub\mrs-test-scripts\Headless Mode &amp; Sideloading\WalkAndUnGZ.bat" "%USERPROFILE%\AppData\Local\Temp\OnboardLogs"\RTDC4019\2017-09-13 &amp; aws s3 cp s3://rtdc.mdm.uploadarchive.raw/RTDC4019/ "%USERPROFILE%\AppData\Local\Temp\OnboardLogs"\RTDC4019\2017-09-14 --exclude "*" --recursive --include "*20170914*" &amp; "%USERPROFILE%\Documents\GitHub\mrs-test-scripts\Headless Mode &amp; Sideloading\WalkAndUnGZ.bat" "%USERPROFILE%\AppData\Local\Temp\OnboardLogs"\RTDC4019\2017-09-14</v>
      </c>
      <c r="S27" s="84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-09-13T02:22:12-0600',mode:absolute,to:'2017-09-13T04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6" t="str">
        <f t="shared" si="1"/>
        <v>"C:\Program Files (x86)\AstroGrep\AstroGrep.exe" /e /r /s /spath="%USERPROFILE%\AppData\Local\Temp\OnboardLogs" /stypes="*4019*201709130*" /stext=" 09:.+((SYSTEM_STATE.+slice.+state.+changed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42991.400069444448</v>
      </c>
      <c r="W27" s="45" t="str">
        <f t="shared" si="4"/>
        <v>Other</v>
      </c>
      <c r="X27" s="22">
        <f t="shared" si="5"/>
        <v>302</v>
      </c>
      <c r="Y27" s="96" t="str">
        <f t="shared" si="6"/>
        <v>echo {"issue":{"subject":"","project_id":79,"tracker_id":40,"status_id":1,"priority_id":2,"assigned_to_id":338,"start_date":"2017-09-13","description":"","custom_fields":[{"id":1,"name":"Subdivision","value":"Other"},{"id":4,"name":"Milepost","value":"0.0001"},{"id":17,"name":"Train ID","value":"302-13"},{"id":16,"name":"Locomotive ID","value":"4019"},{"id":130,"name":"Impact","value":""},{"id":150,"name":"Time of Event (Mountain Time)","value":"03:36:06"},{"id":151,"name":"Denver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/c/Users/stu/AppData/Local/Temp/OnboardLogs/RTDC4019 --include="*4019*201709130*"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"%USERPROFILE%\AppData\Local\Temp\OnboardLogs"\RTDC4019\*4019*201709130* &gt;&gt; 2017-09-13-SliceDisagreementCheck.txt</v>
      </c>
      <c r="AE27" s="145" t="str">
        <f t="shared" si="9"/>
        <v>start /low /b %USERPROFILE%\Documents\GitHub\eaglep3\Utilities\DownloadLogsFromS3.py --loco 4019 --day 2017-09-13</v>
      </c>
      <c r="AF27" s="1"/>
    </row>
    <row r="28" spans="1:32" x14ac:dyDescent="0.25">
      <c r="A28" s="31">
        <v>42991.637407407405</v>
      </c>
      <c r="B28" s="30" t="s">
        <v>600</v>
      </c>
      <c r="C28" s="30" t="s">
        <v>601</v>
      </c>
      <c r="D28" s="30" t="s">
        <v>49</v>
      </c>
      <c r="E28" s="30" t="s">
        <v>181</v>
      </c>
      <c r="F28" s="42">
        <v>0</v>
      </c>
      <c r="G28" s="42">
        <v>61</v>
      </c>
      <c r="H28" s="42">
        <v>766</v>
      </c>
      <c r="I28" s="42">
        <v>706</v>
      </c>
      <c r="J28" s="30" t="s">
        <v>182</v>
      </c>
      <c r="K28" s="42">
        <v>575</v>
      </c>
      <c r="L28" s="131" t="s">
        <v>51</v>
      </c>
      <c r="M28" s="132">
        <f t="shared" si="0"/>
        <v>69.168000000000006</v>
      </c>
      <c r="N28" s="133" t="str">
        <f>VLOOKUP(C28,'Trips&amp;Operators'!$C$1:$G$99911,5,FALSE)</f>
        <v>STAMBAUGH JAMES</v>
      </c>
      <c r="O28" s="200" t="s">
        <v>180</v>
      </c>
      <c r="P28" s="134"/>
      <c r="Q28" s="30"/>
      <c r="R28" s="81" t="str">
        <f>VLOOKUP(C28,'Train Runs'!$A$13:$AE$9944,31,0)</f>
        <v>aws s3 cp s3://rtdc.mdm.uploadarchive.raw/RTDC4025/ "%USERPROFILE%\AppData\Local\Temp\OnboardLogs"\RTDC4025\2017-09-13 --exclude "*" --recursive --include "*20170913*" &amp; "%USERPROFILE%\Documents\GitHub\mrs-test-scripts\Headless Mode &amp; Sideloading\WalkAndUnGZ.bat" "%USERPROFILE%\AppData\Local\Temp\OnboardLogs"\RTDC4025\2017-09-13 &amp; aws s3 cp s3://rtdc.mdm.uploadarchive.raw/RTDC4025/ "%USERPROFILE%\AppData\Local\Temp\OnboardLogs"\RTDC4025\2017-09-14 --exclude "*" --recursive --include "*20170914*" &amp; "%USERPROFILE%\Documents\GitHub\mrs-test-scripts\Headless Mode &amp; Sideloading\WalkAndUnGZ.bat" "%USERPROFILE%\AppData\Local\Temp\OnboardLogs"\RTDC4025\2017-09-14</v>
      </c>
      <c r="S28" s="84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-09-13T14:02:56-0600',mode:absolute,to:'2017-09-13T16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6" t="str">
        <f t="shared" si="1"/>
        <v>"C:\Program Files (x86)\AstroGrep\AstroGrep.exe" /e /r /s /spath="%USERPROFILE%\AppData\Local\Temp\OnboardLogs" /stypes="*4025*201709132*"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42991.887407407405</v>
      </c>
      <c r="W28" s="45" t="str">
        <f t="shared" si="4"/>
        <v>Other</v>
      </c>
      <c r="X28" s="22">
        <f t="shared" si="5"/>
        <v>904</v>
      </c>
      <c r="Y28" s="96" t="str">
        <f t="shared" si="6"/>
        <v>echo {"issue":{"subject":"","project_id":79,"tracker_id":40,"status_id":1,"priority_id":2,"assigned_to_id":338,"start_date":"2017-09-13","description":"","custom_fields":[{"id":1,"name":"Subdivision","value":"Other"},{"id":4,"name":"Milepost","value":"0.0575"},{"id":17,"name":"Train ID","value":"904-13"},{"id":16,"name":"Locomotive ID","value":"4025"},{"id":130,"name":"Impact","value":""},{"id":150,"name":"Time of Event (Mountain Time)","value":"15:17:52"},{"id":151,"name":"Denver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/c/Users/stu/AppData/Local/Temp/OnboardLogs/RTDC4025 --include="*4025*201709132*"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"%USERPROFILE%\AppData\Local\Temp\OnboardLogs"\RTDC4025\*4025*201709132* &gt;&gt; 2017-09-13-SliceDisagreementCheck.txt</v>
      </c>
      <c r="AE28" s="145" t="str">
        <f t="shared" si="9"/>
        <v>start /low /b %USERPROFILE%\Documents\GitHub\eaglep3\Utilities\DownloadLogsFromS3.py --loco 4025 --day 2017-09-13</v>
      </c>
      <c r="AF28" s="1"/>
    </row>
    <row r="29" spans="1:32" x14ac:dyDescent="0.25">
      <c r="A29" s="31">
        <v>42991.460416666669</v>
      </c>
      <c r="B29" s="30" t="s">
        <v>476</v>
      </c>
      <c r="C29" s="30" t="s">
        <v>586</v>
      </c>
      <c r="D29" s="30" t="s">
        <v>96</v>
      </c>
      <c r="E29" s="30" t="s">
        <v>195</v>
      </c>
      <c r="F29" s="42">
        <v>150</v>
      </c>
      <c r="G29" s="42">
        <v>212</v>
      </c>
      <c r="H29" s="42">
        <v>109575</v>
      </c>
      <c r="I29" s="42">
        <v>109016</v>
      </c>
      <c r="J29" s="30" t="s">
        <v>196</v>
      </c>
      <c r="K29" s="42">
        <v>112550</v>
      </c>
      <c r="L29" s="131" t="s">
        <v>51</v>
      </c>
      <c r="M29" s="132">
        <f t="shared" si="0"/>
        <v>-1865.952</v>
      </c>
      <c r="N29" s="133" t="str">
        <f>VLOOKUP(C29,'Trips&amp;Operators'!$C$1:$G$99911,5,FALSE)</f>
        <v>ROMERO CHAD</v>
      </c>
      <c r="O29" s="200" t="s">
        <v>180</v>
      </c>
      <c r="P29" s="134"/>
      <c r="Q29" s="30"/>
      <c r="R29" s="81" t="str">
        <f>VLOOKUP(C29,'Train Runs'!$A$13:$AE$9944,31,0)</f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S29" s="84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-09-13T08:22:42-0600',mode:absolute,to:'2017-09-13T11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9" s="86" t="str">
        <f t="shared" si="1"/>
        <v>"C:\Program Files (x86)\AstroGrep\AstroGrep.exe" /e /r /s /spath="%USERPROFILE%\AppData\Local\Temp\OnboardLogs" /stypes="*4065*201709131*"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4065</v>
      </c>
      <c r="V29" s="31">
        <f t="shared" si="3"/>
        <v>42991.710416666669</v>
      </c>
      <c r="W29" s="45" t="str">
        <f t="shared" si="4"/>
        <v>Shuttle/Test</v>
      </c>
      <c r="X29" s="22">
        <f t="shared" si="5"/>
        <v>62</v>
      </c>
      <c r="Y29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11.255"},{"id":17,"name":"Train ID","value":"62-13"},{"id":16,"name":"Locomotive ID","value":"4065"},{"id":130,"name":"Impact","value":""},{"id":150,"name":"Time of Event (Mountain Time)","value":"11:03:00"},{"id":151,"name":"Denver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/c/Users/stu/AppData/Local/Temp/OnboardLogs/RTDC4065 --include="*4065*201709131*"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"%USERPROFILE%\AppData\Local\Temp\OnboardLogs"\RTDC4065\*4065*201709131* &gt;&gt; 2017-09-13-SliceDisagreementCheck.txt</v>
      </c>
      <c r="AE29" s="145" t="str">
        <f t="shared" si="9"/>
        <v>start /low /b %USERPROFILE%\Documents\GitHub\eaglep3\Utilities\DownloadLogsFromS3.py --loco 4065 --day 2017-09-13</v>
      </c>
      <c r="AF29" s="1"/>
    </row>
    <row r="30" spans="1:32" x14ac:dyDescent="0.25">
      <c r="A30" s="31">
        <v>42991.397719907407</v>
      </c>
      <c r="B30" s="30" t="s">
        <v>476</v>
      </c>
      <c r="C30" s="30" t="s">
        <v>586</v>
      </c>
      <c r="D30" s="30" t="s">
        <v>49</v>
      </c>
      <c r="E30" s="30" t="s">
        <v>363</v>
      </c>
      <c r="F30" s="42">
        <v>0</v>
      </c>
      <c r="G30" s="42">
        <v>70</v>
      </c>
      <c r="H30" s="42">
        <v>111637</v>
      </c>
      <c r="I30" s="42">
        <v>111616</v>
      </c>
      <c r="J30" s="30" t="s">
        <v>364</v>
      </c>
      <c r="K30" s="42">
        <v>50899</v>
      </c>
      <c r="L30" s="131" t="s">
        <v>51</v>
      </c>
      <c r="M30" s="132">
        <f t="shared" si="0"/>
        <v>32058.576000000001</v>
      </c>
      <c r="N30" s="133" t="str">
        <f>VLOOKUP(C30,'Trips&amp;Operators'!$C$1:$G$99911,5,FALSE)</f>
        <v>ROMERO CHAD</v>
      </c>
      <c r="O30" s="200" t="s">
        <v>180</v>
      </c>
      <c r="P30" s="134"/>
      <c r="Q30" s="30"/>
      <c r="R30" s="81" t="str">
        <f>VLOOKUP(C30,'Train Runs'!$A$13:$AE$9944,31,0)</f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S30" s="84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-09-13T08:22:42-0600',mode:absolute,to:'2017-09-13T11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0" s="86" t="str">
        <f t="shared" si="1"/>
        <v>"C:\Program Files (x86)\AstroGrep\AstroGrep.exe" /e /r /s /spath="%USERPROFILE%\AppData\Local\Temp\OnboardLogs" /stypes="*4065*201709131*"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4065</v>
      </c>
      <c r="V30" s="31">
        <f t="shared" si="3"/>
        <v>42991.647719907407</v>
      </c>
      <c r="W30" s="45" t="str">
        <f t="shared" si="4"/>
        <v>Shuttle/Test</v>
      </c>
      <c r="X30" s="22">
        <f t="shared" si="5"/>
        <v>62</v>
      </c>
      <c r="Y30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5.0899"},{"id":17,"name":"Train ID","value":"62-13"},{"id":16,"name":"Locomotive ID","value":"4065"},{"id":130,"name":"Impact","value":""},{"id":150,"name":"Time of Event (Mountain Time)","value":"09:32:43"},{"id":151,"name":"Denver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/c/Users/stu/AppData/Local/Temp/OnboardLogs/RTDC4065 --include="*4065*201709131*"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"%USERPROFILE%\AppData\Local\Temp\OnboardLogs"\RTDC4065\*4065*201709131* &gt;&gt; 2017-09-13-SliceDisagreementCheck.txt</v>
      </c>
      <c r="AE30" s="145" t="str">
        <f t="shared" si="9"/>
        <v>start /low /b %USERPROFILE%\Documents\GitHub\eaglep3\Utilities\DownloadLogsFromS3.py --loco 4065 --day 2017-09-13</v>
      </c>
      <c r="AF30" s="1"/>
    </row>
    <row r="31" spans="1:32" x14ac:dyDescent="0.25">
      <c r="A31" s="31">
        <v>42991.397743055553</v>
      </c>
      <c r="B31" s="30" t="s">
        <v>476</v>
      </c>
      <c r="C31" s="30" t="s">
        <v>586</v>
      </c>
      <c r="D31" s="30" t="s">
        <v>49</v>
      </c>
      <c r="E31" s="30" t="s">
        <v>363</v>
      </c>
      <c r="F31" s="42">
        <v>0</v>
      </c>
      <c r="G31" s="42">
        <v>70</v>
      </c>
      <c r="H31" s="42">
        <v>111635</v>
      </c>
      <c r="I31" s="42">
        <v>111550</v>
      </c>
      <c r="J31" s="30" t="s">
        <v>364</v>
      </c>
      <c r="K31" s="42">
        <v>50899</v>
      </c>
      <c r="L31" s="131" t="s">
        <v>51</v>
      </c>
      <c r="M31" s="132">
        <f t="shared" si="0"/>
        <v>32023.727999999999</v>
      </c>
      <c r="N31" s="133" t="str">
        <f>VLOOKUP(C31,'Trips&amp;Operators'!$C$1:$G$99911,5,FALSE)</f>
        <v>ROMERO CHAD</v>
      </c>
      <c r="O31" s="200" t="s">
        <v>180</v>
      </c>
      <c r="P31" s="134"/>
      <c r="Q31" s="30"/>
      <c r="R31" s="81" t="str">
        <f>VLOOKUP(C31,'Train Runs'!$A$13:$AE$9944,31,0)</f>
        <v>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 &amp; aws s3 cp s3://rtdc.mdm.uploadarchive.raw/RTDC4065/ "%USERPROFILE%\AppData\Local\Temp\OnboardLogs"\RTDC4065\2017-09-14 --exclude "*" --recursive --include "*20170914*" &amp; "%USERPROFILE%\Documents\GitHub\mrs-test-scripts\Headless Mode &amp; Sideloading\WalkAndUnGZ.bat" "%USERPROFILE%\AppData\Local\Temp\OnboardLogs"\RTDC4065\2017-09-14</v>
      </c>
      <c r="S31" s="84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-09-13T08:22:42-0600',mode:absolute,to:'2017-09-13T11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1" s="86" t="str">
        <f t="shared" si="1"/>
        <v>"C:\Program Files (x86)\AstroGrep\AstroGrep.exe" /e /r /s /spath="%USERPROFILE%\AppData\Local\Temp\OnboardLogs" /stypes="*4065*201709131*" /stext=" 15:.+((SYSTEM_STATE.+slice.+state.+changed )|(ment ac)|(multiple cpu faults)|(system.+state.+changed )|(\[timeout)|(PRM\|1\|D)|(kpr)|(kdp)|(train st.+moving)|(\|lc)|(penalty))"</v>
      </c>
      <c r="U31" s="9" t="str">
        <f t="shared" si="2"/>
        <v>4065</v>
      </c>
      <c r="V31" s="31">
        <f t="shared" si="3"/>
        <v>42991.647743055553</v>
      </c>
      <c r="W31" s="45" t="str">
        <f t="shared" si="4"/>
        <v>Shuttle/Test</v>
      </c>
      <c r="X31" s="22">
        <f t="shared" si="5"/>
        <v>62</v>
      </c>
      <c r="Y31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5.0899"},{"id":17,"name":"Train ID","value":"62-13"},{"id":16,"name":"Locomotive ID","value":"4065"},{"id":130,"name":"Impact","value":""},{"id":150,"name":"Time of Event (Mountain Time)","value":"09:32:45"},{"id":151,"name":"Denver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/c/Users/stu/AppData/Local/Temp/OnboardLogs/RTDC4065 --include="*4065*201709131*"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"%USERPROFILE%\AppData\Local\Temp\OnboardLogs"\RTDC4065\*4065*201709131* &gt;&gt; 2017-09-13-SliceDisagreementCheck.txt</v>
      </c>
      <c r="AE31" s="145" t="str">
        <f t="shared" si="9"/>
        <v>start /low /b %USERPROFILE%\Documents\GitHub\eaglep3\Utilities\DownloadLogsFromS3.py --loco 4065 --day 2017-09-13</v>
      </c>
      <c r="AF31" s="1"/>
    </row>
    <row r="32" spans="1:32" x14ac:dyDescent="0.25">
      <c r="A32" s="31">
        <v>42991.45957175926</v>
      </c>
      <c r="B32" s="30" t="s">
        <v>589</v>
      </c>
      <c r="C32" s="30" t="s">
        <v>590</v>
      </c>
      <c r="D32" s="30" t="s">
        <v>49</v>
      </c>
      <c r="E32" s="30" t="s">
        <v>181</v>
      </c>
      <c r="F32" s="42">
        <v>0</v>
      </c>
      <c r="G32" s="42">
        <v>79</v>
      </c>
      <c r="H32" s="42">
        <v>1136</v>
      </c>
      <c r="I32" s="42">
        <v>1066</v>
      </c>
      <c r="J32" s="30" t="s">
        <v>182</v>
      </c>
      <c r="K32" s="42">
        <v>826</v>
      </c>
      <c r="L32" s="131" t="s">
        <v>51</v>
      </c>
      <c r="M32" s="132">
        <f t="shared" si="0"/>
        <v>126.72</v>
      </c>
      <c r="N32" s="133" t="str">
        <f>VLOOKUP(C32,'Trips&amp;Operators'!$C$1:$G$99911,5,FALSE)</f>
        <v>MOSES BRADLEY</v>
      </c>
      <c r="O32" s="200" t="s">
        <v>180</v>
      </c>
      <c r="P32" s="134"/>
      <c r="Q32" s="30"/>
      <c r="R32" s="81" t="str">
        <f>VLOOKUP(C32,'Train Runs'!$A$13:$AE$9944,31,0)</f>
        <v>aws s3 cp s3://rtdc.mdm.uploadarchive.raw/RTDC4017/ "%USERPROFILE%\AppData\Local\Temp\OnboardLogs"\RTDC4017\2017-09-13 --exclude "*" --recursive --include "*20170913*" &amp; "%USERPROFILE%\Documents\GitHub\mrs-test-scripts\Headless Mode &amp; Sideloading\WalkAndUnGZ.bat" "%USERPROFILE%\AppData\Local\Temp\OnboardLogs"\RTDC4017\2017-09-13 &amp; aws s3 cp s3://rtdc.mdm.uploadarchive.raw/RTDC4017/ "%USERPROFILE%\AppData\Local\Temp\OnboardLogs"\RTDC4017\2017-09-14 --exclude "*" --recursive --include "*20170914*" &amp; "%USERPROFILE%\Documents\GitHub\mrs-test-scripts\Headless Mode &amp; Sideloading\WalkAndUnGZ.bat" "%USERPROFILE%\AppData\Local\Temp\OnboardLogs"\RTDC4017\2017-09-14</v>
      </c>
      <c r="S32" s="84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-09-13T09:44:36-0600',mode:absolute,to:'2017-09-13T12:02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2" s="86" t="str">
        <f t="shared" si="1"/>
        <v>"C:\Program Files (x86)\AstroGrep\AstroGrep.exe" /e /r /s /spath="%USERPROFILE%\AppData\Local\Temp\OnboardLogs" /stypes="*4017*201709131*"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4017</v>
      </c>
      <c r="V32" s="31">
        <f t="shared" si="3"/>
        <v>42991.70957175926</v>
      </c>
      <c r="W32" s="45" t="str">
        <f t="shared" si="4"/>
        <v>Shuttle/Test</v>
      </c>
      <c r="X32" s="22">
        <f t="shared" si="5"/>
        <v>54</v>
      </c>
      <c r="Y32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0.0826"},{"id":17,"name":"Train ID","value":"54-13"},{"id":16,"name":"Locomotive ID","value":"4017"},{"id":130,"name":"Impact","value":""},{"id":150,"name":"Time of Event (Mountain Time)","value":"11:01:47"},{"id":151,"name":"Denver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/c/Users/stu/AppData/Local/Temp/OnboardLogs/RTDC4017 --include="*4017*201709131*"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"%USERPROFILE%\AppData\Local\Temp\OnboardLogs"\RTDC4017\*4017*201709131* &gt;&gt; 2017-09-13-SliceDisagreementCheck.txt</v>
      </c>
      <c r="AE32" s="145" t="str">
        <f t="shared" si="9"/>
        <v>start /low /b %USERPROFILE%\Documents\GitHub\eaglep3\Utilities\DownloadLogsFromS3.py --loco 4017 --day 2017-09-13</v>
      </c>
      <c r="AF32" s="1"/>
    </row>
    <row r="33" spans="1:32" x14ac:dyDescent="0.25">
      <c r="A33" s="31">
        <v>42991.460069444445</v>
      </c>
      <c r="B33" s="30" t="s">
        <v>589</v>
      </c>
      <c r="C33" s="30" t="s">
        <v>590</v>
      </c>
      <c r="D33" s="30" t="s">
        <v>49</v>
      </c>
      <c r="E33" s="30" t="s">
        <v>181</v>
      </c>
      <c r="F33" s="42">
        <v>0</v>
      </c>
      <c r="G33" s="42">
        <v>42</v>
      </c>
      <c r="H33" s="42">
        <v>1017</v>
      </c>
      <c r="I33" s="42">
        <v>995</v>
      </c>
      <c r="J33" s="30" t="s">
        <v>182</v>
      </c>
      <c r="K33" s="42">
        <v>826</v>
      </c>
      <c r="L33" s="131" t="s">
        <v>51</v>
      </c>
      <c r="M33" s="132">
        <f t="shared" si="0"/>
        <v>89.231999999999985</v>
      </c>
      <c r="N33" s="133" t="str">
        <f>VLOOKUP(C33,'Trips&amp;Operators'!$C$1:$G$99911,5,FALSE)</f>
        <v>MOSES BRADLEY</v>
      </c>
      <c r="O33" s="200" t="s">
        <v>180</v>
      </c>
      <c r="P33" s="134"/>
      <c r="Q33" s="30"/>
      <c r="R33" s="81" t="str">
        <f>VLOOKUP(C33,'Train Runs'!$A$13:$AE$9944,31,0)</f>
        <v>aws s3 cp s3://rtdc.mdm.uploadarchive.raw/RTDC4017/ "%USERPROFILE%\AppData\Local\Temp\OnboardLogs"\RTDC4017\2017-09-13 --exclude "*" --recursive --include "*20170913*" &amp; "%USERPROFILE%\Documents\GitHub\mrs-test-scripts\Headless Mode &amp; Sideloading\WalkAndUnGZ.bat" "%USERPROFILE%\AppData\Local\Temp\OnboardLogs"\RTDC4017\2017-09-13 &amp; aws s3 cp s3://rtdc.mdm.uploadarchive.raw/RTDC4017/ "%USERPROFILE%\AppData\Local\Temp\OnboardLogs"\RTDC4017\2017-09-14 --exclude "*" --recursive --include "*20170914*" &amp; "%USERPROFILE%\Documents\GitHub\mrs-test-scripts\Headless Mode &amp; Sideloading\WalkAndUnGZ.bat" "%USERPROFILE%\AppData\Local\Temp\OnboardLogs"\RTDC4017\2017-09-14</v>
      </c>
      <c r="S33" s="84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-09-13T09:44:36-0600',mode:absolute,to:'2017-09-13T12:02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3" s="86" t="str">
        <f t="shared" si="1"/>
        <v>"C:\Program Files (x86)\AstroGrep\AstroGrep.exe" /e /r /s /spath="%USERPROFILE%\AppData\Local\Temp\OnboardLogs" /stypes="*4017*201709131*"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4017</v>
      </c>
      <c r="V33" s="31">
        <f t="shared" si="3"/>
        <v>42991.710069444445</v>
      </c>
      <c r="W33" s="45" t="str">
        <f t="shared" si="4"/>
        <v>Shuttle/Test</v>
      </c>
      <c r="X33" s="22">
        <f t="shared" si="5"/>
        <v>54</v>
      </c>
      <c r="Y33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0.0826"},{"id":17,"name":"Train ID","value":"54-13"},{"id":16,"name":"Locomotive ID","value":"4017"},{"id":130,"name":"Impact","value":""},{"id":150,"name":"Time of Event (Mountain Time)","value":"11:02:30"},{"id":151,"name":"Denver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/c/Users/stu/AppData/Local/Temp/OnboardLogs/RTDC4017 --include="*4017*201709131*"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"%USERPROFILE%\AppData\Local\Temp\OnboardLogs"\RTDC4017\*4017*201709131* &gt;&gt; 2017-09-13-SliceDisagreementCheck.txt</v>
      </c>
      <c r="AE33" s="145" t="str">
        <f t="shared" si="9"/>
        <v>start /low /b %USERPROFILE%\Documents\GitHub\eaglep3\Utilities\DownloadLogsFromS3.py --loco 4017 --day 2017-09-13</v>
      </c>
      <c r="AF33" s="1"/>
    </row>
    <row r="34" spans="1:32" x14ac:dyDescent="0.25">
      <c r="A34" s="31">
        <v>42991.389756944445</v>
      </c>
      <c r="B34" s="30" t="s">
        <v>475</v>
      </c>
      <c r="C34" s="30" t="s">
        <v>585</v>
      </c>
      <c r="D34" s="30" t="s">
        <v>96</v>
      </c>
      <c r="E34" s="30" t="s">
        <v>181</v>
      </c>
      <c r="F34" s="42">
        <v>0</v>
      </c>
      <c r="G34" s="42">
        <v>6</v>
      </c>
      <c r="H34" s="42">
        <v>112547</v>
      </c>
      <c r="I34" s="42">
        <v>112547</v>
      </c>
      <c r="J34" s="30" t="s">
        <v>182</v>
      </c>
      <c r="K34" s="42">
        <v>112547</v>
      </c>
      <c r="L34" s="131" t="s">
        <v>50</v>
      </c>
      <c r="M34" s="132">
        <f t="shared" si="0"/>
        <v>0</v>
      </c>
      <c r="N34" s="133" t="str">
        <f>VLOOKUP(C34,'Trips&amp;Operators'!$C$1:$G$99911,5,FALSE)</f>
        <v>ROMERO CHAD</v>
      </c>
      <c r="O34" s="200" t="s">
        <v>180</v>
      </c>
      <c r="P34" s="134"/>
      <c r="Q34" s="30"/>
      <c r="R34" s="81" t="str">
        <f>VLOOKUP(C34,'Train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4" s="84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-09-13T07:48:40-0600',mode:absolute,to:'2017-09-13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4" s="86" t="str">
        <f t="shared" si="1"/>
        <v>"C:\Program Files (x86)\AstroGrep\AstroGrep.exe" /e /r /s /spath="%USERPROFILE%\AppData\Local\Temp\OnboardLogs" /stypes="*4066*201709131*" /stext=" 15:.+((SYSTEM_STATE.+slice.+state.+changed )|(ment ac)|(multiple cpu faults)|(system.+state.+changed )|(\[timeout)|(PRM\|1\|D)|(kpr)|(kdp)|(train st.+moving)|(\|lc)|(penalty))"</v>
      </c>
      <c r="U34" s="9" t="str">
        <f t="shared" si="2"/>
        <v>4066</v>
      </c>
      <c r="V34" s="31">
        <f t="shared" si="3"/>
        <v>42991.639756944445</v>
      </c>
      <c r="W34" s="45" t="str">
        <f t="shared" si="4"/>
        <v>Shuttle/Test</v>
      </c>
      <c r="X34" s="22">
        <f t="shared" si="5"/>
        <v>63</v>
      </c>
      <c r="Y34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ID","value":"63-13"},{"id":16,"name":"Locomotive ID","value":"4066"},{"id":130,"name":"Impact","value":""},{"id":150,"name":"Time of Event (Mountain Time)","value":"09:21:15"},{"id":151,"name":"Denver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/c/Users/stu/AppData/Local/Temp/OnboardLogs/RTDC4066 --include="*4066*201709131*"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"%USERPROFILE%\AppData\Local\Temp\OnboardLogs"\RTDC4066\*4066*201709131* &gt;&gt; 2017-09-13-SliceDisagreementCheck.txt</v>
      </c>
      <c r="AE34" s="145" t="str">
        <f t="shared" si="9"/>
        <v>start /low /b %USERPROFILE%\Documents\GitHub\eaglep3\Utilities\DownloadLogsFromS3.py --loco 4066 --day 2017-09-13</v>
      </c>
      <c r="AF34" s="1"/>
    </row>
    <row r="35" spans="1:32" x14ac:dyDescent="0.25">
      <c r="A35" s="31">
        <v>42991.455439814818</v>
      </c>
      <c r="B35" s="30" t="s">
        <v>475</v>
      </c>
      <c r="C35" s="30" t="s">
        <v>585</v>
      </c>
      <c r="D35" s="30" t="s">
        <v>49</v>
      </c>
      <c r="E35" s="30" t="s">
        <v>181</v>
      </c>
      <c r="F35" s="42">
        <v>0</v>
      </c>
      <c r="G35" s="42">
        <v>7</v>
      </c>
      <c r="H35" s="42">
        <v>112545</v>
      </c>
      <c r="I35" s="42">
        <v>112545</v>
      </c>
      <c r="J35" s="30" t="s">
        <v>182</v>
      </c>
      <c r="K35" s="42">
        <v>112547</v>
      </c>
      <c r="L35" s="131" t="s">
        <v>50</v>
      </c>
      <c r="M35" s="132">
        <f t="shared" si="0"/>
        <v>1.056</v>
      </c>
      <c r="N35" s="133" t="str">
        <f>VLOOKUP(C35,'Trips&amp;Operators'!$C$1:$G$99911,5,FALSE)</f>
        <v>ROMERO CHAD</v>
      </c>
      <c r="O35" s="200" t="s">
        <v>180</v>
      </c>
      <c r="P35" s="134"/>
      <c r="Q35" s="30"/>
      <c r="R35" s="81" t="str">
        <f>VLOOKUP(C35,'Train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5" s="84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-09-13T07:48:40-0600',mode:absolute,to:'2017-09-13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5" s="86" t="str">
        <f t="shared" si="1"/>
        <v>"C:\Program Files (x86)\AstroGrep\AstroGrep.exe" /e /r /s /spath="%USERPROFILE%\AppData\Local\Temp\OnboardLogs" /stypes="*4066*201709131*" /stext=" 16:.+((SYSTEM_STATE.+slice.+state.+changed )|(ment ac)|(multiple cpu faults)|(system.+state.+changed )|(\[timeout)|(PRM\|1\|D)|(kpr)|(kdp)|(train st.+moving)|(\|lc)|(penalty))"</v>
      </c>
      <c r="U35" s="9" t="str">
        <f t="shared" si="2"/>
        <v>4066</v>
      </c>
      <c r="V35" s="31">
        <f t="shared" si="3"/>
        <v>42991.705439814818</v>
      </c>
      <c r="W35" s="45" t="str">
        <f t="shared" si="4"/>
        <v>Shuttle/Test</v>
      </c>
      <c r="X35" s="22">
        <f t="shared" si="5"/>
        <v>63</v>
      </c>
      <c r="Y35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ID","value":"63-13"},{"id":16,"name":"Locomotive ID","value":"4066"},{"id":130,"name":"Impact","value":""},{"id":150,"name":"Time of Event (Mountain Time)","value":"10:55:50"},{"id":151,"name":"Denver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/c/Users/stu/AppData/Local/Temp/OnboardLogs/RTDC4066 --include="*4066*201709131*"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"%USERPROFILE%\AppData\Local\Temp\OnboardLogs"\RTDC4066\*4066*201709131* &gt;&gt; 2017-09-13-SliceDisagreementCheck.txt</v>
      </c>
      <c r="AE35" s="145" t="str">
        <f t="shared" si="9"/>
        <v>start /low /b %USERPROFILE%\Documents\GitHub\eaglep3\Utilities\DownloadLogsFromS3.py --loco 4066 --day 2017-09-13</v>
      </c>
      <c r="AF35" s="1"/>
    </row>
    <row r="36" spans="1:32" x14ac:dyDescent="0.25">
      <c r="A36" s="31">
        <v>42991.534918981481</v>
      </c>
      <c r="B36" s="30" t="s">
        <v>475</v>
      </c>
      <c r="C36" s="30" t="s">
        <v>593</v>
      </c>
      <c r="D36" s="30" t="s">
        <v>49</v>
      </c>
      <c r="E36" s="30" t="s">
        <v>181</v>
      </c>
      <c r="F36" s="42">
        <v>0</v>
      </c>
      <c r="G36" s="42">
        <v>14</v>
      </c>
      <c r="H36" s="42">
        <v>112524</v>
      </c>
      <c r="I36" s="42">
        <v>112538</v>
      </c>
      <c r="J36" s="30" t="s">
        <v>182</v>
      </c>
      <c r="K36" s="42">
        <v>112547</v>
      </c>
      <c r="L36" s="131" t="s">
        <v>50</v>
      </c>
      <c r="M36" s="132">
        <f t="shared" si="0"/>
        <v>4.7519999999999998</v>
      </c>
      <c r="N36" s="133" t="str">
        <f>VLOOKUP(C36,'Trips&amp;Operators'!$C$1:$G$99911,5,FALSE)</f>
        <v>PELLITIER GEORGE</v>
      </c>
      <c r="O36" s="200" t="s">
        <v>180</v>
      </c>
      <c r="P36" s="134"/>
      <c r="Q36" s="30"/>
      <c r="R36" s="81" t="str">
        <f>VLOOKUP(C36,'Train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6" s="84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-09-13T11:22:02-0600',mode:absolute,to:'2017-09-13T13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6" s="86" t="str">
        <f t="shared" si="1"/>
        <v>"C:\Program Files (x86)\AstroGrep\AstroGrep.exe" /e /r /s /spath="%USERPROFILE%\AppData\Local\Temp\OnboardLogs" /stypes="*4066*201709131*"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4066</v>
      </c>
      <c r="V36" s="31">
        <f t="shared" si="3"/>
        <v>42991.784918981481</v>
      </c>
      <c r="W36" s="45" t="str">
        <f t="shared" si="4"/>
        <v>Shuttle/Test</v>
      </c>
      <c r="X36" s="22">
        <f t="shared" si="5"/>
        <v>65</v>
      </c>
      <c r="Y36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ID","value":"65-13"},{"id":16,"name":"Locomotive ID","value":"4066"},{"id":130,"name":"Impact","value":""},{"id":150,"name":"Time of Event (Mountain Time)","value":"12:50:17"},{"id":151,"name":"Denver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/c/Users/stu/AppData/Local/Temp/OnboardLogs/RTDC4066 --include="*4066*201709131*"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"%USERPROFILE%\AppData\Local\Temp\OnboardLogs"\RTDC4066\*4066*201709131* &gt;&gt; 2017-09-13-SliceDisagreementCheck.txt</v>
      </c>
      <c r="AE36" s="145" t="str">
        <f t="shared" si="9"/>
        <v>start /low /b %USERPROFILE%\Documents\GitHub\eaglep3\Utilities\DownloadLogsFromS3.py --loco 4066 --day 2017-09-13</v>
      </c>
      <c r="AF36" s="1"/>
    </row>
    <row r="37" spans="1:32" x14ac:dyDescent="0.25">
      <c r="A37" s="31">
        <v>42991.535324074073</v>
      </c>
      <c r="B37" s="30" t="s">
        <v>475</v>
      </c>
      <c r="C37" s="30" t="s">
        <v>593</v>
      </c>
      <c r="D37" s="30" t="s">
        <v>96</v>
      </c>
      <c r="E37" s="30" t="s">
        <v>181</v>
      </c>
      <c r="F37" s="42">
        <v>0</v>
      </c>
      <c r="G37" s="42">
        <v>7</v>
      </c>
      <c r="H37" s="42">
        <v>112547</v>
      </c>
      <c r="I37" s="42">
        <v>0</v>
      </c>
      <c r="J37" s="30" t="s">
        <v>182</v>
      </c>
      <c r="K37" s="42">
        <v>112547</v>
      </c>
      <c r="L37" s="131" t="s">
        <v>50</v>
      </c>
      <c r="M37" s="132">
        <f t="shared" si="0"/>
        <v>59424.815999999999</v>
      </c>
      <c r="N37" s="133" t="str">
        <f>VLOOKUP(C37,'Trips&amp;Operators'!$C$1:$G$99911,5,FALSE)</f>
        <v>PELLITIER GEORGE</v>
      </c>
      <c r="O37" s="200" t="s">
        <v>180</v>
      </c>
      <c r="P37" s="134"/>
      <c r="Q37" s="30"/>
      <c r="R37" s="81" t="str">
        <f>VLOOKUP(C37,'Train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7" s="84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-09-13T11:22:02-0600',mode:absolute,to:'2017-09-13T13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7" s="86" t="str">
        <f t="shared" si="1"/>
        <v>"C:\Program Files (x86)\AstroGrep\AstroGrep.exe" /e /r /s /spath="%USERPROFILE%\AppData\Local\Temp\OnboardLogs" /stypes="*4066*201709131*" /stext=" 18:.+((SYSTEM_STATE.+slice.+state.+changed )|(ment ac)|(multiple cpu faults)|(system.+state.+changed )|(\[timeout)|(PRM\|1\|D)|(kpr)|(kdp)|(train st.+moving)|(\|lc)|(penalty))"</v>
      </c>
      <c r="U37" s="9" t="str">
        <f t="shared" si="2"/>
        <v>4066</v>
      </c>
      <c r="V37" s="31">
        <f t="shared" si="3"/>
        <v>42991.785324074073</v>
      </c>
      <c r="W37" s="45" t="str">
        <f t="shared" si="4"/>
        <v>Shuttle/Test</v>
      </c>
      <c r="X37" s="22">
        <f t="shared" si="5"/>
        <v>65</v>
      </c>
      <c r="Y37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ID","value":"65-13"},{"id":16,"name":"Locomotive ID","value":"4066"},{"id":130,"name":"Impact","value":""},{"id":150,"name":"Time of Event (Mountain Time)","value":"12:50:52"},{"id":151,"name":"Denver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/c/Users/stu/AppData/Local/Temp/OnboardLogs/RTDC4066 --include="*4066*201709131*"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"%USERPROFILE%\AppData\Local\Temp\OnboardLogs"\RTDC4066\*4066*201709131* &gt;&gt; 2017-09-13-SliceDisagreementCheck.txt</v>
      </c>
      <c r="AE37" s="145" t="str">
        <f t="shared" si="9"/>
        <v>start /low /b %USERPROFILE%\Documents\GitHub\eaglep3\Utilities\DownloadLogsFromS3.py --loco 4066 --day 2017-09-13</v>
      </c>
      <c r="AF37" s="1"/>
    </row>
    <row r="38" spans="1:32" x14ac:dyDescent="0.25">
      <c r="A38" s="31">
        <v>42991.593784722223</v>
      </c>
      <c r="B38" s="30" t="s">
        <v>475</v>
      </c>
      <c r="C38" s="30" t="s">
        <v>598</v>
      </c>
      <c r="D38" s="30" t="s">
        <v>49</v>
      </c>
      <c r="E38" s="30" t="s">
        <v>181</v>
      </c>
      <c r="F38" s="42">
        <v>0</v>
      </c>
      <c r="G38" s="42">
        <v>4</v>
      </c>
      <c r="H38" s="42">
        <v>112530</v>
      </c>
      <c r="I38" s="42">
        <v>112534</v>
      </c>
      <c r="J38" s="30" t="s">
        <v>182</v>
      </c>
      <c r="K38" s="42">
        <v>112547</v>
      </c>
      <c r="L38" s="131" t="s">
        <v>50</v>
      </c>
      <c r="M38" s="132">
        <f t="shared" si="0"/>
        <v>6.8639999999999999</v>
      </c>
      <c r="N38" s="133" t="str">
        <f>VLOOKUP(C38,'Trips&amp;Operators'!$C$1:$G$99911,5,FALSE)</f>
        <v>MAGEE KENYA</v>
      </c>
      <c r="O38" s="200" t="s">
        <v>180</v>
      </c>
      <c r="P38" s="134"/>
      <c r="Q38" s="30"/>
      <c r="R38" s="81" t="str">
        <f>VLOOKUP(C38,'Train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8" s="84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-09-13T12:37:14-0600',mode:absolute,to:'2017-09-13T15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8" s="86" t="str">
        <f t="shared" si="1"/>
        <v>"C:\Program Files (x86)\AstroGrep\AstroGrep.exe" /e /r /s /spath="%USERPROFILE%\AppData\Local\Temp\OnboardLogs" /stypes="*4066*201709132*"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4066</v>
      </c>
      <c r="V38" s="31">
        <f t="shared" si="3"/>
        <v>42991.843784722223</v>
      </c>
      <c r="W38" s="45" t="str">
        <f t="shared" si="4"/>
        <v>Shuttle/Test</v>
      </c>
      <c r="X38" s="22">
        <f t="shared" si="5"/>
        <v>71</v>
      </c>
      <c r="Y38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ID","value":"71-13"},{"id":16,"name":"Locomotive ID","value":"4066"},{"id":130,"name":"Impact","value":""},{"id":150,"name":"Time of Event (Mountain Time)","value":"14:15:03"},{"id":151,"name":"Denver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/c/Users/stu/AppData/Local/Temp/OnboardLogs/RTDC4066 --include="*4066*201709132*"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"%USERPROFILE%\AppData\Local\Temp\OnboardLogs"\RTDC4066\*4066*201709132* &gt;&gt; 2017-09-13-SliceDisagreementCheck.txt</v>
      </c>
      <c r="AE38" s="145" t="str">
        <f t="shared" si="9"/>
        <v>start /low /b %USERPROFILE%\Documents\GitHub\eaglep3\Utilities\DownloadLogsFromS3.py --loco 4066 --day 2017-09-13</v>
      </c>
      <c r="AF38" s="1"/>
    </row>
    <row r="39" spans="1:32" x14ac:dyDescent="0.25">
      <c r="A39" s="31">
        <v>42991.654722222222</v>
      </c>
      <c r="B39" s="30" t="s">
        <v>475</v>
      </c>
      <c r="C39" s="30" t="s">
        <v>602</v>
      </c>
      <c r="D39" s="30" t="s">
        <v>49</v>
      </c>
      <c r="E39" s="30" t="s">
        <v>181</v>
      </c>
      <c r="F39" s="42">
        <v>0</v>
      </c>
      <c r="G39" s="42">
        <v>6</v>
      </c>
      <c r="H39" s="42">
        <v>112536</v>
      </c>
      <c r="I39" s="42">
        <v>112536</v>
      </c>
      <c r="J39" s="30" t="s">
        <v>182</v>
      </c>
      <c r="K39" s="42">
        <v>112547</v>
      </c>
      <c r="L39" s="131" t="s">
        <v>50</v>
      </c>
      <c r="M39" s="132">
        <f t="shared" si="0"/>
        <v>5.8079999999999998</v>
      </c>
      <c r="N39" s="133" t="str">
        <f>VLOOKUP(C39,'Trips&amp;Operators'!$C$1:$G$99911,5,FALSE)</f>
        <v>BIRKHOLZ NADINE</v>
      </c>
      <c r="O39" s="200" t="s">
        <v>180</v>
      </c>
      <c r="P39" s="134"/>
      <c r="Q39" s="30"/>
      <c r="R39" s="81" t="str">
        <f>VLOOKUP(C39,'Train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39" s="84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-09-13T15:27:21-0600',mode:absolute,to:'2017-09-13T17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9" s="86" t="str">
        <f t="shared" si="1"/>
        <v>"C:\Program Files (x86)\AstroGrep\AstroGrep.exe" /e /r /s /spath="%USERPROFILE%\AppData\Local\Temp\OnboardLogs" /stypes="*4066*201709132*" /stext=" 21:.+((SYSTEM_STATE.+slice.+state.+changed )|(ment ac)|(multiple cpu faults)|(system.+state.+changed )|(\[timeout)|(PRM\|1\|D)|(kpr)|(kdp)|(train st.+moving)|(\|lc)|(penalty))"</v>
      </c>
      <c r="U39" s="9" t="str">
        <f t="shared" si="2"/>
        <v>4066</v>
      </c>
      <c r="V39" s="31">
        <f t="shared" si="3"/>
        <v>42991.904722222222</v>
      </c>
      <c r="W39" s="45" t="str">
        <f t="shared" si="4"/>
        <v>Shuttle/Test</v>
      </c>
      <c r="X39" s="22">
        <f t="shared" si="5"/>
        <v>73</v>
      </c>
      <c r="Y39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ID","value":"73-13"},{"id":16,"name":"Locomotive ID","value":"4066"},{"id":130,"name":"Impact","value":""},{"id":150,"name":"Time of Event (Mountain Time)","value":"15:42:48"},{"id":151,"name":"Denver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/c/Users/stu/AppData/Local/Temp/OnboardLogs/RTDC4066 --include="*4066*201709132*"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"%USERPROFILE%\AppData\Local\Temp\OnboardLogs"\RTDC4066\*4066*201709132* &gt;&gt; 2017-09-13-SliceDisagreementCheck.txt</v>
      </c>
      <c r="AE39" s="145" t="str">
        <f t="shared" si="9"/>
        <v>start /low /b %USERPROFILE%\Documents\GitHub\eaglep3\Utilities\DownloadLogsFromS3.py --loco 4066 --day 2017-09-13</v>
      </c>
      <c r="AF39" s="1"/>
    </row>
    <row r="40" spans="1:32" x14ac:dyDescent="0.25">
      <c r="A40" s="31">
        <v>42991.708495370367</v>
      </c>
      <c r="B40" s="30" t="s">
        <v>475</v>
      </c>
      <c r="C40" s="30" t="s">
        <v>602</v>
      </c>
      <c r="D40" s="30" t="s">
        <v>49</v>
      </c>
      <c r="E40" s="30" t="s">
        <v>181</v>
      </c>
      <c r="F40" s="42">
        <v>0</v>
      </c>
      <c r="G40" s="42">
        <v>9</v>
      </c>
      <c r="H40" s="42">
        <v>112545</v>
      </c>
      <c r="I40" s="42">
        <v>112547</v>
      </c>
      <c r="J40" s="30" t="s">
        <v>182</v>
      </c>
      <c r="K40" s="42">
        <v>112547</v>
      </c>
      <c r="L40" s="131" t="s">
        <v>50</v>
      </c>
      <c r="M40" s="132">
        <f t="shared" si="0"/>
        <v>0</v>
      </c>
      <c r="N40" s="133" t="str">
        <f>VLOOKUP(C40,'Trips&amp;Operators'!$C$1:$G$99911,5,FALSE)</f>
        <v>BIRKHOLZ NADINE</v>
      </c>
      <c r="O40" s="200" t="s">
        <v>180</v>
      </c>
      <c r="P40" s="134"/>
      <c r="Q40" s="30"/>
      <c r="R40" s="81" t="str">
        <f>VLOOKUP(C40,'Train Runs'!$A$13:$AE$9944,31,0)</f>
        <v>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 &amp; aws s3 cp s3://rtdc.mdm.uploadarchive.raw/RTDC4066/ "%USERPROFILE%\AppData\Local\Temp\OnboardLogs"\RTDC4066\2017-09-14 --exclude "*" --recursive --include "*20170914*" &amp; "%USERPROFILE%\Documents\GitHub\mrs-test-scripts\Headless Mode &amp; Sideloading\WalkAndUnGZ.bat" "%USERPROFILE%\AppData\Local\Temp\OnboardLogs"\RTDC4066\2017-09-14</v>
      </c>
      <c r="S40" s="84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-09-13T15:27:21-0600',mode:absolute,to:'2017-09-13T17:59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0" s="86" t="str">
        <f t="shared" si="1"/>
        <v>"C:\Program Files (x86)\AstroGrep\AstroGrep.exe" /e /r /s /spath="%USERPROFILE%\AppData\Local\Temp\OnboardLogs" /stypes="*4066*201709132*"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4066</v>
      </c>
      <c r="V40" s="31">
        <f t="shared" si="3"/>
        <v>42991.958495370367</v>
      </c>
      <c r="W40" s="45" t="str">
        <f t="shared" si="4"/>
        <v>Shuttle/Test</v>
      </c>
      <c r="X40" s="22">
        <f t="shared" si="5"/>
        <v>73</v>
      </c>
      <c r="Y40" s="96" t="str">
        <f t="shared" si="6"/>
        <v>echo {"issue":{"subject":"","project_id":79,"tracker_id":40,"status_id":1,"priority_id":2,"assigned_to_id":338,"start_date":"2017-09-13","description":"","custom_fields":[{"id":1,"name":"Subdivision","value":"Shuttle/Test"},{"id":4,"name":"Milepost","value":"11.2547"},{"id":17,"name":"Train ID","value":"73-13"},{"id":16,"name":"Locomotive ID","value":"4066"},{"id":130,"name":"Impact","value":""},{"id":150,"name":"Time of Event (Mountain Time)","value":"17:00:14"},{"id":151,"name":"Denver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/c/Users/stu/AppData/Local/Temp/OnboardLogs/RTDC4066 --include="*4066*201709132*"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"%USERPROFILE%\AppData\Local\Temp\OnboardLogs"\RTDC4066\*4066*201709132* &gt;&gt; 2017-09-13-SliceDisagreementCheck.txt</v>
      </c>
      <c r="AE40" s="145" t="str">
        <f t="shared" si="9"/>
        <v>start /low /b %USERPROFILE%\Documents\GitHub\eaglep3\Utilities\DownloadLogsFromS3.py --loco 4066 --day 2017-09-13</v>
      </c>
      <c r="AF40" s="1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9">
    <sortState ref="A7:AC49">
      <sortCondition ref="W7:W40"/>
      <sortCondition ref="E7:E40"/>
      <sortCondition ref="K7:K40"/>
      <sortCondition ref="F7:F40"/>
    </sortState>
  </autoFilter>
  <sortState ref="A7:AE31">
    <sortCondition ref="W7:W31"/>
    <sortCondition ref="E7:E31"/>
    <sortCondition ref="K7:K31"/>
    <sortCondition ref="C7:C31"/>
    <sortCondition ref="F7:F31"/>
  </sortState>
  <mergeCells count="1">
    <mergeCell ref="A5:O5"/>
  </mergeCells>
  <conditionalFormatting sqref="O6:P6 R6 O55:O1048576 O7:O4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218" customWidth="1"/>
    <col min="10" max="10" width="9.140625" customWidth="1"/>
  </cols>
  <sheetData>
    <row r="1" spans="1:10" s="20" customFormat="1" x14ac:dyDescent="0.25">
      <c r="A1" s="169"/>
      <c r="B1" s="222" t="str">
        <f>"Trips that did not appear in PTC Data "&amp;TEXT(Variables!$A$2,"YYYY-mm-dd")</f>
        <v>Trips that did not appear in PTC Data 2017-09-13</v>
      </c>
      <c r="C1" s="222"/>
      <c r="D1" s="222"/>
      <c r="E1" s="222"/>
      <c r="F1" s="222"/>
      <c r="I1" s="218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19" t="s">
        <v>102</v>
      </c>
      <c r="J2" s="28" t="s">
        <v>60</v>
      </c>
    </row>
    <row r="3" spans="1:10" x14ac:dyDescent="0.25">
      <c r="A3" s="192"/>
      <c r="B3" s="42" t="str">
        <f>A3&amp;"-"&amp;IF(DAY(Variables!$A$2)&lt;10,0,"")&amp;DAY(Variables!$A$2)</f>
        <v>-13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220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Runs'!$A$13:$A$99941,1,FALSE)</f>
        <v>#N/A</v>
      </c>
    </row>
    <row r="4" spans="1:10" x14ac:dyDescent="0.25">
      <c r="A4" s="192"/>
      <c r="B4" s="42" t="str">
        <f>A4&amp;"-"&amp;IF(DAY(Variables!$A$2)&lt;10,0,"")&amp;DAY(Variables!$A$2)</f>
        <v>-13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220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Runs'!$A$13:$A$99941,1,FALSE)</f>
        <v>#N/A</v>
      </c>
    </row>
    <row r="5" spans="1:10" x14ac:dyDescent="0.25">
      <c r="A5" s="192"/>
      <c r="B5" s="42" t="str">
        <f>A5&amp;"-"&amp;IF(DAY(Variables!$A$2)&lt;10,0,"")&amp;DAY(Variables!$A$2)</f>
        <v>-13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Runs'!$A$13:$A$99941,1,FALSE)</f>
        <v>#N/A</v>
      </c>
    </row>
    <row r="6" spans="1:10" x14ac:dyDescent="0.25">
      <c r="A6" s="192"/>
      <c r="B6" s="42" t="str">
        <f>A6&amp;"-"&amp;IF(DAY(Variables!$A$2)&lt;10,0,"")&amp;DAY(Variables!$A$2)</f>
        <v>-13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Runs'!$A$13:$A$99941,1,FALSE)</f>
        <v>#N/A</v>
      </c>
    </row>
    <row r="7" spans="1:10" x14ac:dyDescent="0.25">
      <c r="A7" s="192"/>
      <c r="B7" s="42" t="str">
        <f>A7&amp;"-"&amp;IF(DAY(Variables!$A$2)&lt;10,0,"")&amp;DAY(Variables!$A$2)</f>
        <v>-13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Runs'!$A$13:$A$99941,1,FALSE)</f>
        <v>#N/A</v>
      </c>
    </row>
    <row r="8" spans="1:10" x14ac:dyDescent="0.25">
      <c r="A8" s="192"/>
      <c r="B8" s="42" t="str">
        <f>A8&amp;"-"&amp;IF(DAY(Variables!$A$2)&lt;10,0,"")&amp;DAY(Variables!$A$2)</f>
        <v>-13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Runs'!$A$13:$A$99941,1,FALSE)</f>
        <v>#N/A</v>
      </c>
    </row>
    <row r="9" spans="1:10" x14ac:dyDescent="0.25">
      <c r="A9" s="192"/>
      <c r="B9" s="42" t="str">
        <f>A9&amp;"-"&amp;IF(DAY(Variables!$A$2)&lt;10,0,"")&amp;DAY(Variables!$A$2)</f>
        <v>-13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Runs'!$A$13:$A$99941,1,FALSE)</f>
        <v>#N/A</v>
      </c>
    </row>
    <row r="10" spans="1:10" x14ac:dyDescent="0.25">
      <c r="A10" s="192"/>
      <c r="B10" s="42" t="str">
        <f>A10&amp;"-"&amp;IF(DAY(Variables!$A$2)&lt;10,0,"")&amp;DAY(Variables!$A$2)</f>
        <v>-13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Runs'!$A$13:$A$99941,1,FALSE)</f>
        <v>#N/A</v>
      </c>
    </row>
    <row r="11" spans="1:10" x14ac:dyDescent="0.25">
      <c r="A11" s="192"/>
      <c r="B11" s="42" t="str">
        <f>A11&amp;"-"&amp;IF(DAY(Variables!$A$2)&lt;10,0,"")&amp;DAY(Variables!$A$2)</f>
        <v>-13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Runs'!$A$13:$A$99941,1,FALSE)</f>
        <v>#N/A</v>
      </c>
    </row>
    <row r="12" spans="1:10" x14ac:dyDescent="0.25">
      <c r="A12" s="192"/>
      <c r="B12" s="42" t="str">
        <f>A12&amp;"-"&amp;IF(DAY(Variables!$A$2)&lt;10,0,"")&amp;DAY(Variables!$A$2)</f>
        <v>-13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Runs'!$A$13:$A$99941,1,FALSE)</f>
        <v>#N/A</v>
      </c>
    </row>
    <row r="13" spans="1:10" x14ac:dyDescent="0.25">
      <c r="A13" s="192"/>
      <c r="B13" s="42" t="str">
        <f>A13&amp;"-"&amp;IF(DAY(Variables!$A$2)&lt;10,0,"")&amp;DAY(Variables!$A$2)</f>
        <v>-13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Runs'!$A$13:$A$99941,1,FALSE)</f>
        <v>#N/A</v>
      </c>
    </row>
    <row r="14" spans="1:10" x14ac:dyDescent="0.25">
      <c r="A14" s="192"/>
      <c r="B14" s="42" t="str">
        <f>A14&amp;"-"&amp;IF(DAY(Variables!$A$2)&lt;10,0,"")&amp;DAY(Variables!$A$2)</f>
        <v>-13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Runs'!$A$13:$A$99941,1,FALSE)</f>
        <v>#N/A</v>
      </c>
    </row>
    <row r="15" spans="1:10" x14ac:dyDescent="0.25">
      <c r="A15" s="192"/>
      <c r="B15" s="42" t="str">
        <f>A15&amp;"-"&amp;IF(DAY(Variables!$A$2)&lt;10,0,"")&amp;DAY(Variables!$A$2)</f>
        <v>-13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Runs'!$A$13:$A$99941,1,FALSE)</f>
        <v>#N/A</v>
      </c>
    </row>
    <row r="16" spans="1:10" x14ac:dyDescent="0.25">
      <c r="A16" s="192"/>
      <c r="B16" s="42" t="str">
        <f>A16&amp;"-"&amp;IF(DAY(Variables!$A$2)&lt;10,0,"")&amp;DAY(Variables!$A$2)</f>
        <v>-13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Runs'!$A$13:$A$99941,1,FALSE)</f>
        <v>#N/A</v>
      </c>
    </row>
    <row r="17" spans="1:10" x14ac:dyDescent="0.25">
      <c r="A17" s="192"/>
      <c r="B17" s="42" t="str">
        <f>A17&amp;"-"&amp;IF(DAY(Variables!$A$2)&lt;10,0,"")&amp;DAY(Variables!$A$2)</f>
        <v>-13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Runs'!$A$13:$A$99941,1,FALSE)</f>
        <v>#N/A</v>
      </c>
    </row>
    <row r="18" spans="1:10" x14ac:dyDescent="0.25">
      <c r="A18" s="192"/>
      <c r="B18" s="42" t="str">
        <f>A18&amp;"-"&amp;IF(DAY(Variables!$A$2)&lt;10,0,"")&amp;DAY(Variables!$A$2)</f>
        <v>-13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220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Runs'!$A$13:$A$99941,1,FALSE)</f>
        <v>#N/A</v>
      </c>
    </row>
    <row r="19" spans="1:10" x14ac:dyDescent="0.25">
      <c r="A19" s="192"/>
      <c r="B19" s="42"/>
      <c r="C19" s="135"/>
      <c r="D19" s="153"/>
      <c r="E19" s="30"/>
      <c r="F19" s="21"/>
      <c r="G19" s="21"/>
      <c r="H19" s="29"/>
      <c r="I19" s="220"/>
      <c r="J19" s="30"/>
    </row>
    <row r="20" spans="1:10" x14ac:dyDescent="0.25">
      <c r="A20" s="192"/>
      <c r="B20" s="42"/>
      <c r="C20" s="135"/>
      <c r="D20" s="153"/>
      <c r="E20" s="30"/>
      <c r="F20" s="21"/>
      <c r="G20" s="21"/>
      <c r="H20" s="29"/>
      <c r="I20" s="220"/>
      <c r="J20" s="30"/>
    </row>
    <row r="21" spans="1:10" x14ac:dyDescent="0.25">
      <c r="A21" s="192"/>
      <c r="B21" s="42"/>
      <c r="C21" s="135"/>
      <c r="D21" s="153"/>
      <c r="E21" s="30"/>
      <c r="F21" s="21"/>
      <c r="G21" s="21"/>
      <c r="H21" s="29"/>
      <c r="I21" s="220"/>
      <c r="J21" s="30"/>
    </row>
    <row r="22" spans="1:10" x14ac:dyDescent="0.25">
      <c r="A22" s="192"/>
      <c r="B22" s="42"/>
      <c r="C22" s="135"/>
      <c r="D22" s="153"/>
      <c r="E22" s="30"/>
      <c r="F22" s="21"/>
      <c r="G22" s="21"/>
      <c r="H22" s="29"/>
      <c r="I22" s="220"/>
      <c r="J22" s="30"/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220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220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220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220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220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220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220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220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220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220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220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220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220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220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220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220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220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220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220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220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220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220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220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220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220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220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220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220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220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220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220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220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220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220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220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220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220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220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220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220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220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220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220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220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220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220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220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220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220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220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220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220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42991.047094907408</v>
      </c>
      <c r="B2" s="20" t="s">
        <v>446</v>
      </c>
      <c r="C2" s="20" t="s">
        <v>529</v>
      </c>
      <c r="D2" s="138">
        <v>890000</v>
      </c>
      <c r="E2" s="20" t="s">
        <v>374</v>
      </c>
      <c r="F2" s="20" t="s">
        <v>375</v>
      </c>
      <c r="G2" s="8" t="str">
        <f>E2&amp;" "&amp;F2</f>
        <v>LOZA FIDEL</v>
      </c>
      <c r="H2" t="str">
        <f>MID(B2,13,4)</f>
        <v>4002</v>
      </c>
    </row>
    <row r="3" spans="1:8" x14ac:dyDescent="0.25">
      <c r="A3" s="8">
        <v>42991.058587962965</v>
      </c>
      <c r="B3" s="20" t="s">
        <v>447</v>
      </c>
      <c r="C3" s="20" t="s">
        <v>530</v>
      </c>
      <c r="D3" s="138">
        <v>3190000</v>
      </c>
      <c r="E3" s="20" t="s">
        <v>402</v>
      </c>
      <c r="F3" s="20" t="s">
        <v>403</v>
      </c>
      <c r="G3" s="8" t="str">
        <f t="shared" ref="G3:G66" si="0">E3&amp;" "&amp;F3</f>
        <v>HART KEVIN</v>
      </c>
      <c r="H3" s="20" t="str">
        <f t="shared" ref="H3:H66" si="1">MID(B3,13,4)</f>
        <v>4029</v>
      </c>
    </row>
    <row r="4" spans="1:8" x14ac:dyDescent="0.25">
      <c r="A4" s="8">
        <v>42991.067858796298</v>
      </c>
      <c r="B4" s="20" t="s">
        <v>486</v>
      </c>
      <c r="C4" s="20" t="s">
        <v>531</v>
      </c>
      <c r="D4" s="138">
        <v>2620000</v>
      </c>
      <c r="E4" s="20" t="s">
        <v>400</v>
      </c>
      <c r="F4" s="20" t="s">
        <v>401</v>
      </c>
      <c r="G4" s="8" t="str">
        <f t="shared" si="0"/>
        <v>PERKINS DARREN</v>
      </c>
      <c r="H4" s="20" t="str">
        <f t="shared" si="1"/>
        <v>4058</v>
      </c>
    </row>
    <row r="5" spans="1:8" x14ac:dyDescent="0.25">
      <c r="A5" s="8">
        <v>42991.087395833332</v>
      </c>
      <c r="B5" s="20" t="s">
        <v>379</v>
      </c>
      <c r="C5" s="20" t="s">
        <v>514</v>
      </c>
      <c r="D5" s="138">
        <v>3190000</v>
      </c>
      <c r="E5" s="20" t="s">
        <v>402</v>
      </c>
      <c r="F5" s="20" t="s">
        <v>403</v>
      </c>
      <c r="G5" s="8" t="str">
        <f t="shared" si="0"/>
        <v>HART KEVIN</v>
      </c>
      <c r="H5" s="20" t="str">
        <f t="shared" si="1"/>
        <v>4030</v>
      </c>
    </row>
    <row r="6" spans="1:8" x14ac:dyDescent="0.25">
      <c r="A6" s="8">
        <v>42991.115706018521</v>
      </c>
      <c r="B6" s="20" t="s">
        <v>609</v>
      </c>
      <c r="C6" s="20" t="s">
        <v>610</v>
      </c>
      <c r="D6" s="138">
        <v>940000</v>
      </c>
      <c r="E6" s="20" t="s">
        <v>478</v>
      </c>
      <c r="F6" s="20" t="s">
        <v>479</v>
      </c>
      <c r="G6" s="8" t="str">
        <f t="shared" si="0"/>
        <v>BONDS REYNALDO</v>
      </c>
      <c r="H6" s="20" t="str">
        <f t="shared" si="1"/>
        <v>4039</v>
      </c>
    </row>
    <row r="7" spans="1:8" x14ac:dyDescent="0.25">
      <c r="A7" s="8">
        <v>42991.126273148147</v>
      </c>
      <c r="B7" s="20" t="s">
        <v>611</v>
      </c>
      <c r="C7" s="20" t="s">
        <v>612</v>
      </c>
      <c r="D7" s="138">
        <v>1090000</v>
      </c>
      <c r="E7" s="20" t="s">
        <v>477</v>
      </c>
      <c r="F7" s="20" t="s">
        <v>191</v>
      </c>
      <c r="G7" s="8" t="str">
        <f t="shared" si="0"/>
        <v>SPECTOR MICHAEL</v>
      </c>
      <c r="H7" s="20" t="str">
        <f t="shared" si="1"/>
        <v>4040</v>
      </c>
    </row>
    <row r="8" spans="1:8" x14ac:dyDescent="0.25">
      <c r="A8" s="8">
        <v>42991.126921296294</v>
      </c>
      <c r="B8" s="20" t="s">
        <v>448</v>
      </c>
      <c r="C8" s="20" t="s">
        <v>613</v>
      </c>
      <c r="D8" s="138">
        <v>940000</v>
      </c>
      <c r="E8" s="20" t="s">
        <v>478</v>
      </c>
      <c r="F8" s="20" t="s">
        <v>479</v>
      </c>
      <c r="G8" s="8" t="str">
        <f t="shared" si="0"/>
        <v>BONDS REYNALDO</v>
      </c>
      <c r="H8" s="20" t="str">
        <f t="shared" si="1"/>
        <v>4006</v>
      </c>
    </row>
    <row r="9" spans="1:8" ht="15.75" thickBot="1" x14ac:dyDescent="0.3">
      <c r="A9" s="24">
        <v>42991.139884259261</v>
      </c>
      <c r="B9" s="20" t="s">
        <v>609</v>
      </c>
      <c r="C9" s="20" t="s">
        <v>614</v>
      </c>
      <c r="D9" s="138">
        <v>1090000</v>
      </c>
      <c r="E9" s="20" t="s">
        <v>477</v>
      </c>
      <c r="F9" s="20" t="s">
        <v>191</v>
      </c>
      <c r="G9" s="8" t="str">
        <f t="shared" si="0"/>
        <v>SPECTOR MICHAEL</v>
      </c>
      <c r="H9" s="20" t="str">
        <f t="shared" si="1"/>
        <v>4039</v>
      </c>
    </row>
    <row r="10" spans="1:8" x14ac:dyDescent="0.25">
      <c r="A10" s="8">
        <v>42991.141168981485</v>
      </c>
      <c r="B10" s="20" t="s">
        <v>399</v>
      </c>
      <c r="C10" s="20" t="s">
        <v>579</v>
      </c>
      <c r="D10" s="138">
        <v>1110000</v>
      </c>
      <c r="E10" s="20" t="s">
        <v>480</v>
      </c>
      <c r="F10" s="20" t="s">
        <v>481</v>
      </c>
      <c r="G10" s="8" t="str">
        <f t="shared" si="0"/>
        <v>STARKS ANGELINA</v>
      </c>
      <c r="H10" s="20" t="str">
        <f t="shared" si="1"/>
        <v>4019</v>
      </c>
    </row>
    <row r="11" spans="1:8" x14ac:dyDescent="0.25">
      <c r="A11" s="8">
        <v>42991.153101851851</v>
      </c>
      <c r="B11" s="20" t="s">
        <v>398</v>
      </c>
      <c r="C11" s="20" t="s">
        <v>615</v>
      </c>
      <c r="D11" s="138">
        <v>1110000</v>
      </c>
      <c r="E11" s="20" t="s">
        <v>480</v>
      </c>
      <c r="F11" s="20" t="s">
        <v>481</v>
      </c>
      <c r="G11" s="8" t="str">
        <f t="shared" si="0"/>
        <v>STARKS ANGELINA</v>
      </c>
      <c r="H11" s="20" t="str">
        <f t="shared" si="1"/>
        <v>4020</v>
      </c>
    </row>
    <row r="12" spans="1:8" x14ac:dyDescent="0.25">
      <c r="A12" s="8">
        <v>42991.153865740744</v>
      </c>
      <c r="B12" s="20" t="s">
        <v>512</v>
      </c>
      <c r="C12" s="20" t="s">
        <v>616</v>
      </c>
      <c r="D12" s="138">
        <v>1830000</v>
      </c>
      <c r="E12" s="20" t="s">
        <v>617</v>
      </c>
      <c r="F12" s="20" t="s">
        <v>618</v>
      </c>
      <c r="G12" s="8" t="str">
        <f t="shared" si="0"/>
        <v>YORK EDGAR</v>
      </c>
      <c r="H12" s="20" t="str">
        <f t="shared" si="1"/>
        <v>4027</v>
      </c>
    </row>
    <row r="13" spans="1:8" x14ac:dyDescent="0.25">
      <c r="A13" s="8">
        <v>42991.162557870368</v>
      </c>
      <c r="B13" s="20" t="s">
        <v>511</v>
      </c>
      <c r="C13" s="20" t="s">
        <v>619</v>
      </c>
      <c r="D13" s="138">
        <v>1830000</v>
      </c>
      <c r="E13" s="20" t="s">
        <v>617</v>
      </c>
      <c r="F13" s="20" t="s">
        <v>618</v>
      </c>
      <c r="G13" s="8" t="str">
        <f t="shared" si="0"/>
        <v>YORK EDGAR</v>
      </c>
      <c r="H13" s="20" t="str">
        <f t="shared" si="1"/>
        <v>4028</v>
      </c>
    </row>
    <row r="14" spans="1:8" x14ac:dyDescent="0.25">
      <c r="A14" s="8">
        <v>42991.167129629626</v>
      </c>
      <c r="B14" s="20" t="s">
        <v>410</v>
      </c>
      <c r="C14" s="20" t="s">
        <v>620</v>
      </c>
      <c r="D14" s="138">
        <v>2730000</v>
      </c>
      <c r="E14" s="20" t="s">
        <v>482</v>
      </c>
      <c r="F14" s="20" t="s">
        <v>483</v>
      </c>
      <c r="G14" s="8" t="str">
        <f t="shared" si="0"/>
        <v>YANG JAN</v>
      </c>
      <c r="H14" s="20" t="str">
        <f t="shared" si="1"/>
        <v>4015</v>
      </c>
    </row>
    <row r="15" spans="1:8" x14ac:dyDescent="0.25">
      <c r="A15" s="8">
        <v>42991.172164351854</v>
      </c>
      <c r="B15" s="20" t="s">
        <v>513</v>
      </c>
      <c r="C15" s="20" t="s">
        <v>621</v>
      </c>
      <c r="D15" s="138">
        <v>940000</v>
      </c>
      <c r="E15" s="20" t="s">
        <v>478</v>
      </c>
      <c r="F15" s="20" t="s">
        <v>479</v>
      </c>
      <c r="G15" s="8" t="str">
        <f t="shared" si="0"/>
        <v>BONDS REYNALDO</v>
      </c>
      <c r="H15" s="20" t="str">
        <f t="shared" si="1"/>
        <v>4005</v>
      </c>
    </row>
    <row r="16" spans="1:8" x14ac:dyDescent="0.25">
      <c r="A16" s="8">
        <v>42991.174467592595</v>
      </c>
      <c r="B16" s="20" t="s">
        <v>580</v>
      </c>
      <c r="C16" s="20" t="s">
        <v>581</v>
      </c>
      <c r="D16" s="138">
        <v>1990000</v>
      </c>
      <c r="E16" s="20" t="s">
        <v>345</v>
      </c>
      <c r="F16" s="20" t="s">
        <v>622</v>
      </c>
      <c r="G16" s="8" t="str">
        <f t="shared" si="0"/>
        <v>DAVIS WENDY</v>
      </c>
      <c r="H16" s="20" t="str">
        <f t="shared" si="1"/>
        <v>4043</v>
      </c>
    </row>
    <row r="17" spans="1:8" x14ac:dyDescent="0.25">
      <c r="A17" s="8">
        <v>42991.183240740742</v>
      </c>
      <c r="B17" s="20" t="s">
        <v>411</v>
      </c>
      <c r="C17" s="20" t="s">
        <v>623</v>
      </c>
      <c r="D17" s="138">
        <v>2730000</v>
      </c>
      <c r="E17" s="20" t="s">
        <v>482</v>
      </c>
      <c r="F17" s="20" t="s">
        <v>483</v>
      </c>
      <c r="G17" s="8" t="str">
        <f t="shared" si="0"/>
        <v>YANG JAN</v>
      </c>
      <c r="H17" s="20" t="str">
        <f t="shared" si="1"/>
        <v>4016</v>
      </c>
    </row>
    <row r="18" spans="1:8" x14ac:dyDescent="0.25">
      <c r="A18" s="8">
        <v>42991.186759259261</v>
      </c>
      <c r="B18" s="20" t="s">
        <v>399</v>
      </c>
      <c r="C18" s="20" t="s">
        <v>624</v>
      </c>
      <c r="D18" s="138">
        <v>1110000</v>
      </c>
      <c r="E18" s="20" t="s">
        <v>480</v>
      </c>
      <c r="F18" s="20" t="s">
        <v>481</v>
      </c>
      <c r="G18" s="8" t="str">
        <f t="shared" si="0"/>
        <v>STARKS ANGELINA</v>
      </c>
      <c r="H18" s="20" t="str">
        <f t="shared" si="1"/>
        <v>4019</v>
      </c>
    </row>
    <row r="19" spans="1:8" x14ac:dyDescent="0.25">
      <c r="A19" s="8">
        <v>42991.194155092591</v>
      </c>
      <c r="B19" s="20" t="s">
        <v>583</v>
      </c>
      <c r="C19" s="20" t="s">
        <v>625</v>
      </c>
      <c r="D19" s="138">
        <v>1990000</v>
      </c>
      <c r="E19" s="20" t="s">
        <v>345</v>
      </c>
      <c r="F19" s="20" t="s">
        <v>622</v>
      </c>
      <c r="G19" s="8" t="str">
        <f t="shared" si="0"/>
        <v>DAVIS WENDY</v>
      </c>
      <c r="H19" s="20" t="str">
        <f t="shared" si="1"/>
        <v>4044</v>
      </c>
    </row>
    <row r="20" spans="1:8" x14ac:dyDescent="0.25">
      <c r="A20" s="8">
        <v>42991.197106481479</v>
      </c>
      <c r="B20" s="20" t="s">
        <v>392</v>
      </c>
      <c r="C20" s="20" t="s">
        <v>626</v>
      </c>
      <c r="D20" s="138">
        <v>1230000</v>
      </c>
      <c r="E20" s="20" t="s">
        <v>484</v>
      </c>
      <c r="F20" s="20" t="s">
        <v>485</v>
      </c>
      <c r="G20" s="8" t="str">
        <f t="shared" si="0"/>
        <v>YANAI IAN</v>
      </c>
      <c r="H20" s="20" t="str">
        <f t="shared" si="1"/>
        <v>4009</v>
      </c>
    </row>
    <row r="21" spans="1:8" x14ac:dyDescent="0.25">
      <c r="A21" s="8">
        <v>42991.202337962961</v>
      </c>
      <c r="B21" s="20" t="s">
        <v>512</v>
      </c>
      <c r="C21" s="20" t="s">
        <v>627</v>
      </c>
      <c r="D21" s="138">
        <v>1830000</v>
      </c>
      <c r="E21" s="20" t="s">
        <v>617</v>
      </c>
      <c r="F21" s="20" t="s">
        <v>618</v>
      </c>
      <c r="G21" s="8" t="str">
        <f t="shared" si="0"/>
        <v>YORK EDGAR</v>
      </c>
      <c r="H21" s="20" t="str">
        <f t="shared" si="1"/>
        <v>4027</v>
      </c>
    </row>
    <row r="22" spans="1:8" x14ac:dyDescent="0.25">
      <c r="A22" s="26">
        <v>42991.203865740739</v>
      </c>
      <c r="B22" s="20" t="s">
        <v>448</v>
      </c>
      <c r="C22" s="20" t="s">
        <v>582</v>
      </c>
      <c r="D22" s="138">
        <v>940000</v>
      </c>
      <c r="E22" s="20" t="s">
        <v>478</v>
      </c>
      <c r="F22" s="20" t="s">
        <v>479</v>
      </c>
      <c r="G22" s="8" t="str">
        <f t="shared" si="0"/>
        <v>BONDS REYNALDO</v>
      </c>
      <c r="H22" s="20" t="str">
        <f t="shared" si="1"/>
        <v>4006</v>
      </c>
    </row>
    <row r="23" spans="1:8" x14ac:dyDescent="0.25">
      <c r="A23" s="8">
        <v>42991.204606481479</v>
      </c>
      <c r="B23" s="20" t="s">
        <v>449</v>
      </c>
      <c r="C23" s="20" t="s">
        <v>628</v>
      </c>
      <c r="D23" s="138">
        <v>3180000</v>
      </c>
      <c r="E23" s="20" t="s">
        <v>629</v>
      </c>
      <c r="F23" s="20" t="s">
        <v>630</v>
      </c>
      <c r="G23" s="8" t="str">
        <f t="shared" si="0"/>
        <v>HUFFSMITH MONTY</v>
      </c>
      <c r="H23" s="20" t="str">
        <f t="shared" si="1"/>
        <v>4026</v>
      </c>
    </row>
    <row r="24" spans="1:8" x14ac:dyDescent="0.25">
      <c r="A24" s="8">
        <v>42991.209745370368</v>
      </c>
      <c r="B24" s="20" t="s">
        <v>393</v>
      </c>
      <c r="C24" s="20" t="s">
        <v>631</v>
      </c>
      <c r="D24" s="138">
        <v>1230000</v>
      </c>
      <c r="E24" s="20" t="s">
        <v>484</v>
      </c>
      <c r="F24" s="20" t="s">
        <v>485</v>
      </c>
      <c r="G24" s="8" t="str">
        <f t="shared" si="0"/>
        <v>YANAI IAN</v>
      </c>
      <c r="H24" s="20" t="str">
        <f t="shared" si="1"/>
        <v>4010</v>
      </c>
    </row>
    <row r="25" spans="1:8" x14ac:dyDescent="0.25">
      <c r="A25" s="8">
        <v>42991.215416666666</v>
      </c>
      <c r="B25" s="20" t="s">
        <v>600</v>
      </c>
      <c r="C25" s="20" t="s">
        <v>632</v>
      </c>
      <c r="D25" s="138">
        <v>3180000</v>
      </c>
      <c r="E25" s="20" t="s">
        <v>629</v>
      </c>
      <c r="F25" s="20" t="s">
        <v>630</v>
      </c>
      <c r="G25" s="8" t="str">
        <f t="shared" si="0"/>
        <v>HUFFSMITH MONTY</v>
      </c>
      <c r="H25" s="20" t="str">
        <f t="shared" si="1"/>
        <v>4025</v>
      </c>
    </row>
    <row r="26" spans="1:8" x14ac:dyDescent="0.25">
      <c r="A26" s="8">
        <v>42991.215995370374</v>
      </c>
      <c r="B26" s="20" t="s">
        <v>448</v>
      </c>
      <c r="C26" s="20" t="s">
        <v>582</v>
      </c>
      <c r="D26" s="138">
        <v>940000</v>
      </c>
      <c r="E26" s="20" t="s">
        <v>478</v>
      </c>
      <c r="F26" s="20" t="s">
        <v>479</v>
      </c>
      <c r="G26" s="8" t="str">
        <f t="shared" si="0"/>
        <v>BONDS REYNALDO</v>
      </c>
      <c r="H26" s="20" t="str">
        <f t="shared" si="1"/>
        <v>4006</v>
      </c>
    </row>
    <row r="27" spans="1:8" x14ac:dyDescent="0.25">
      <c r="A27" s="8">
        <v>42991.221493055556</v>
      </c>
      <c r="B27" s="20" t="s">
        <v>596</v>
      </c>
      <c r="C27" s="20" t="s">
        <v>633</v>
      </c>
      <c r="D27" s="138">
        <v>3000000</v>
      </c>
      <c r="E27" s="20" t="s">
        <v>516</v>
      </c>
      <c r="F27" s="20" t="s">
        <v>517</v>
      </c>
      <c r="G27" s="8" t="str">
        <f t="shared" si="0"/>
        <v>FORTUNATO FRANK</v>
      </c>
      <c r="H27" s="20" t="str">
        <f t="shared" si="1"/>
        <v>4055</v>
      </c>
    </row>
    <row r="28" spans="1:8" x14ac:dyDescent="0.25">
      <c r="A28" s="8">
        <v>42991.223726851851</v>
      </c>
      <c r="B28" s="20" t="s">
        <v>410</v>
      </c>
      <c r="C28" s="20" t="s">
        <v>634</v>
      </c>
      <c r="D28" s="138">
        <v>2730000</v>
      </c>
      <c r="E28" s="20" t="s">
        <v>482</v>
      </c>
      <c r="F28" s="20" t="s">
        <v>483</v>
      </c>
      <c r="G28" s="8" t="str">
        <f t="shared" si="0"/>
        <v>YANG JAN</v>
      </c>
      <c r="H28" s="20" t="str">
        <f t="shared" si="1"/>
        <v>4015</v>
      </c>
    </row>
    <row r="29" spans="1:8" x14ac:dyDescent="0.25">
      <c r="A29" s="8">
        <v>42991.224861111114</v>
      </c>
      <c r="B29" s="20" t="s">
        <v>398</v>
      </c>
      <c r="C29" s="20" t="s">
        <v>635</v>
      </c>
      <c r="D29" s="138">
        <v>1110000</v>
      </c>
      <c r="E29" s="20" t="s">
        <v>480</v>
      </c>
      <c r="F29" s="20" t="s">
        <v>481</v>
      </c>
      <c r="G29" s="8" t="str">
        <f t="shared" si="0"/>
        <v>STARKS ANGELINA</v>
      </c>
      <c r="H29" s="20" t="str">
        <f t="shared" si="1"/>
        <v>4020</v>
      </c>
    </row>
    <row r="30" spans="1:8" x14ac:dyDescent="0.25">
      <c r="A30" s="8">
        <v>42991.226840277777</v>
      </c>
      <c r="B30" s="20" t="s">
        <v>580</v>
      </c>
      <c r="C30" s="20" t="s">
        <v>636</v>
      </c>
      <c r="D30" s="138">
        <v>1990000</v>
      </c>
      <c r="E30" s="20" t="s">
        <v>345</v>
      </c>
      <c r="F30" s="20" t="s">
        <v>622</v>
      </c>
      <c r="G30" s="8" t="str">
        <f t="shared" si="0"/>
        <v>DAVIS WENDY</v>
      </c>
      <c r="H30" s="20" t="str">
        <f t="shared" si="1"/>
        <v>4043</v>
      </c>
    </row>
    <row r="31" spans="1:8" x14ac:dyDescent="0.25">
      <c r="A31" s="8">
        <v>42991.228750000002</v>
      </c>
      <c r="B31" s="20" t="s">
        <v>449</v>
      </c>
      <c r="C31" s="20" t="s">
        <v>637</v>
      </c>
      <c r="D31" s="138">
        <v>3180000</v>
      </c>
      <c r="E31" s="20" t="s">
        <v>629</v>
      </c>
      <c r="F31" s="20" t="s">
        <v>630</v>
      </c>
      <c r="G31" s="8" t="str">
        <f t="shared" si="0"/>
        <v>HUFFSMITH MONTY</v>
      </c>
      <c r="H31" s="20" t="str">
        <f t="shared" si="1"/>
        <v>4026</v>
      </c>
    </row>
    <row r="32" spans="1:8" x14ac:dyDescent="0.25">
      <c r="A32" s="8">
        <v>42991.235613425924</v>
      </c>
      <c r="B32" s="20" t="s">
        <v>463</v>
      </c>
      <c r="C32" s="20" t="s">
        <v>638</v>
      </c>
      <c r="D32" s="138">
        <v>3000000</v>
      </c>
      <c r="E32" s="20" t="s">
        <v>516</v>
      </c>
      <c r="F32" s="20" t="s">
        <v>517</v>
      </c>
      <c r="G32" s="8" t="str">
        <f t="shared" si="0"/>
        <v>FORTUNATO FRANK</v>
      </c>
      <c r="H32" s="20" t="str">
        <f t="shared" si="1"/>
        <v>4056</v>
      </c>
    </row>
    <row r="33" spans="1:8" x14ac:dyDescent="0.25">
      <c r="A33" s="8">
        <v>42991.239884259259</v>
      </c>
      <c r="B33" s="20" t="s">
        <v>409</v>
      </c>
      <c r="C33" s="20" t="s">
        <v>639</v>
      </c>
      <c r="D33" s="138">
        <v>1100000</v>
      </c>
      <c r="E33" s="20" t="s">
        <v>640</v>
      </c>
      <c r="F33" s="20" t="s">
        <v>641</v>
      </c>
      <c r="G33" s="8" t="str">
        <f t="shared" si="0"/>
        <v>GEBRETEKLE DAGNEW</v>
      </c>
      <c r="H33" s="20" t="str">
        <f t="shared" si="1"/>
        <v>4059</v>
      </c>
    </row>
    <row r="34" spans="1:8" x14ac:dyDescent="0.25">
      <c r="A34" s="8">
        <v>42991.243773148148</v>
      </c>
      <c r="B34" s="20" t="s">
        <v>511</v>
      </c>
      <c r="C34" s="20" t="s">
        <v>642</v>
      </c>
      <c r="D34" s="138">
        <v>1830000</v>
      </c>
      <c r="E34" s="20" t="s">
        <v>617</v>
      </c>
      <c r="F34" s="20" t="s">
        <v>618</v>
      </c>
      <c r="G34" s="8" t="str">
        <f t="shared" si="0"/>
        <v>YORK EDGAR</v>
      </c>
      <c r="H34" s="20" t="str">
        <f t="shared" si="1"/>
        <v>4028</v>
      </c>
    </row>
    <row r="35" spans="1:8" x14ac:dyDescent="0.25">
      <c r="A35" s="8">
        <v>42991.244537037041</v>
      </c>
      <c r="B35" s="20" t="s">
        <v>392</v>
      </c>
      <c r="C35" s="20" t="s">
        <v>643</v>
      </c>
      <c r="D35" s="138">
        <v>1230000</v>
      </c>
      <c r="E35" s="20" t="s">
        <v>484</v>
      </c>
      <c r="F35" s="20" t="s">
        <v>485</v>
      </c>
      <c r="G35" s="8" t="str">
        <f t="shared" si="0"/>
        <v>YANAI IAN</v>
      </c>
      <c r="H35" s="20" t="str">
        <f t="shared" si="1"/>
        <v>4009</v>
      </c>
    </row>
    <row r="36" spans="1:8" x14ac:dyDescent="0.25">
      <c r="A36" s="8">
        <v>42991.244618055556</v>
      </c>
      <c r="B36" s="20" t="s">
        <v>513</v>
      </c>
      <c r="C36" s="20" t="s">
        <v>644</v>
      </c>
      <c r="D36" s="138">
        <v>940000</v>
      </c>
      <c r="E36" s="20" t="s">
        <v>478</v>
      </c>
      <c r="F36" s="20" t="s">
        <v>479</v>
      </c>
      <c r="G36" s="8" t="str">
        <f t="shared" si="0"/>
        <v>BONDS REYNALDO</v>
      </c>
      <c r="H36" s="20" t="str">
        <f t="shared" si="1"/>
        <v>4005</v>
      </c>
    </row>
    <row r="37" spans="1:8" x14ac:dyDescent="0.25">
      <c r="A37" s="8">
        <v>42991.248067129629</v>
      </c>
      <c r="B37" s="20" t="s">
        <v>600</v>
      </c>
      <c r="C37" s="20" t="s">
        <v>645</v>
      </c>
      <c r="D37" s="138">
        <v>3180000</v>
      </c>
      <c r="E37" s="20" t="s">
        <v>629</v>
      </c>
      <c r="F37" s="20" t="s">
        <v>630</v>
      </c>
      <c r="G37" s="8" t="str">
        <f t="shared" si="0"/>
        <v>HUFFSMITH MONTY</v>
      </c>
      <c r="H37" s="20" t="str">
        <f t="shared" si="1"/>
        <v>4025</v>
      </c>
    </row>
    <row r="38" spans="1:8" x14ac:dyDescent="0.25">
      <c r="A38" s="8">
        <v>42991.252638888887</v>
      </c>
      <c r="B38" s="20" t="s">
        <v>413</v>
      </c>
      <c r="C38" s="20" t="s">
        <v>646</v>
      </c>
      <c r="D38" s="138">
        <v>1100000</v>
      </c>
      <c r="E38" s="20" t="s">
        <v>640</v>
      </c>
      <c r="F38" s="20" t="s">
        <v>641</v>
      </c>
      <c r="G38" s="8" t="str">
        <f t="shared" si="0"/>
        <v>GEBRETEKLE DAGNEW</v>
      </c>
      <c r="H38" s="20" t="str">
        <f t="shared" si="1"/>
        <v>4060</v>
      </c>
    </row>
    <row r="39" spans="1:8" x14ac:dyDescent="0.25">
      <c r="A39" s="8">
        <v>42991.257060185184</v>
      </c>
      <c r="B39" s="20" t="s">
        <v>411</v>
      </c>
      <c r="C39" s="20" t="s">
        <v>647</v>
      </c>
      <c r="D39" s="138">
        <v>2730000</v>
      </c>
      <c r="E39" s="20" t="s">
        <v>482</v>
      </c>
      <c r="F39" s="20" t="s">
        <v>483</v>
      </c>
      <c r="G39" s="8" t="str">
        <f t="shared" si="0"/>
        <v>YANG JAN</v>
      </c>
      <c r="H39" s="20" t="str">
        <f t="shared" si="1"/>
        <v>4016</v>
      </c>
    </row>
    <row r="40" spans="1:8" x14ac:dyDescent="0.25">
      <c r="A40" s="8">
        <v>42991.265717592592</v>
      </c>
      <c r="B40" s="25" t="s">
        <v>399</v>
      </c>
      <c r="C40" s="20" t="s">
        <v>648</v>
      </c>
      <c r="D40" s="138">
        <v>1110000</v>
      </c>
      <c r="E40" s="20" t="s">
        <v>480</v>
      </c>
      <c r="F40" s="20" t="s">
        <v>481</v>
      </c>
      <c r="G40" s="8" t="str">
        <f t="shared" si="0"/>
        <v>STARKS ANGELINA</v>
      </c>
      <c r="H40" s="20" t="str">
        <f t="shared" si="1"/>
        <v>4019</v>
      </c>
    </row>
    <row r="41" spans="1:8" x14ac:dyDescent="0.25">
      <c r="A41" s="8">
        <v>42991.266145833331</v>
      </c>
      <c r="B41" s="20" t="s">
        <v>596</v>
      </c>
      <c r="C41" s="20" t="s">
        <v>649</v>
      </c>
      <c r="D41" s="138">
        <v>3000000</v>
      </c>
      <c r="E41" s="20" t="s">
        <v>516</v>
      </c>
      <c r="F41" s="20" t="s">
        <v>517</v>
      </c>
      <c r="G41" s="8" t="str">
        <f t="shared" si="0"/>
        <v>FORTUNATO FRANK</v>
      </c>
      <c r="H41" s="20" t="str">
        <f t="shared" si="1"/>
        <v>4055</v>
      </c>
    </row>
    <row r="42" spans="1:8" x14ac:dyDescent="0.25">
      <c r="A42" s="8">
        <v>42991.268368055556</v>
      </c>
      <c r="B42" s="20" t="s">
        <v>583</v>
      </c>
      <c r="C42" s="20" t="s">
        <v>584</v>
      </c>
      <c r="D42" s="138">
        <v>1990000</v>
      </c>
      <c r="E42" s="20" t="s">
        <v>345</v>
      </c>
      <c r="F42" s="20" t="s">
        <v>622</v>
      </c>
      <c r="G42" s="8" t="str">
        <f t="shared" si="0"/>
        <v>DAVIS WENDY</v>
      </c>
      <c r="H42" s="20" t="str">
        <f t="shared" si="1"/>
        <v>4044</v>
      </c>
    </row>
    <row r="43" spans="1:8" x14ac:dyDescent="0.25">
      <c r="A43" s="8">
        <v>42991.269525462965</v>
      </c>
      <c r="B43" s="20" t="s">
        <v>409</v>
      </c>
      <c r="C43" s="20" t="s">
        <v>650</v>
      </c>
      <c r="D43" s="138">
        <v>1100000</v>
      </c>
      <c r="E43" s="20" t="s">
        <v>640</v>
      </c>
      <c r="F43" s="20" t="s">
        <v>641</v>
      </c>
      <c r="G43" s="8" t="str">
        <f t="shared" si="0"/>
        <v>GEBRETEKLE DAGNEW</v>
      </c>
      <c r="H43" s="20" t="str">
        <f t="shared" si="1"/>
        <v>4059</v>
      </c>
    </row>
    <row r="44" spans="1:8" x14ac:dyDescent="0.25">
      <c r="A44" s="8">
        <v>42991.275138888886</v>
      </c>
      <c r="B44" s="20" t="s">
        <v>449</v>
      </c>
      <c r="C44" s="20" t="s">
        <v>651</v>
      </c>
      <c r="D44" s="138">
        <v>3180000</v>
      </c>
      <c r="E44" s="20" t="s">
        <v>629</v>
      </c>
      <c r="F44" s="20" t="s">
        <v>630</v>
      </c>
      <c r="G44" s="8" t="str">
        <f t="shared" si="0"/>
        <v>HUFFSMITH MONTY</v>
      </c>
      <c r="H44" s="20" t="str">
        <f t="shared" si="1"/>
        <v>4026</v>
      </c>
    </row>
    <row r="45" spans="1:8" x14ac:dyDescent="0.25">
      <c r="A45" s="8">
        <v>42991.276585648149</v>
      </c>
      <c r="B45" s="20" t="s">
        <v>512</v>
      </c>
      <c r="C45" s="20" t="s">
        <v>652</v>
      </c>
      <c r="D45" s="138">
        <v>1830000</v>
      </c>
      <c r="E45" s="20" t="s">
        <v>617</v>
      </c>
      <c r="F45" s="20" t="s">
        <v>618</v>
      </c>
      <c r="G45" s="8" t="str">
        <f t="shared" si="0"/>
        <v>YORK EDGAR</v>
      </c>
      <c r="H45" s="20" t="str">
        <f t="shared" si="1"/>
        <v>4027</v>
      </c>
    </row>
    <row r="46" spans="1:8" x14ac:dyDescent="0.25">
      <c r="A46" s="8">
        <v>42991.278078703705</v>
      </c>
      <c r="B46" s="20" t="s">
        <v>448</v>
      </c>
      <c r="C46" s="20" t="s">
        <v>653</v>
      </c>
      <c r="D46" s="138">
        <v>940000</v>
      </c>
      <c r="E46" s="20" t="s">
        <v>478</v>
      </c>
      <c r="F46" s="20" t="s">
        <v>479</v>
      </c>
      <c r="G46" s="8" t="str">
        <f t="shared" si="0"/>
        <v>BONDS REYNALDO</v>
      </c>
      <c r="H46" s="20" t="str">
        <f t="shared" si="1"/>
        <v>4006</v>
      </c>
    </row>
    <row r="47" spans="1:8" x14ac:dyDescent="0.25">
      <c r="A47" s="8">
        <v>42991.287928240738</v>
      </c>
      <c r="B47" s="20" t="s">
        <v>393</v>
      </c>
      <c r="C47" s="20" t="s">
        <v>654</v>
      </c>
      <c r="D47" s="138">
        <v>3260000</v>
      </c>
      <c r="E47" s="20" t="s">
        <v>655</v>
      </c>
      <c r="F47" s="20" t="s">
        <v>656</v>
      </c>
      <c r="G47" s="8" t="str">
        <f t="shared" si="0"/>
        <v>PAGE MARCUS</v>
      </c>
      <c r="H47" s="20" t="str">
        <f t="shared" si="1"/>
        <v>4010</v>
      </c>
    </row>
    <row r="48" spans="1:8" x14ac:dyDescent="0.25">
      <c r="A48" s="8">
        <v>42991.293842592589</v>
      </c>
      <c r="B48" s="20" t="s">
        <v>413</v>
      </c>
      <c r="C48" s="20" t="s">
        <v>657</v>
      </c>
      <c r="D48" s="138">
        <v>1100000</v>
      </c>
      <c r="E48" s="20" t="s">
        <v>640</v>
      </c>
      <c r="F48" s="20" t="s">
        <v>641</v>
      </c>
      <c r="G48" s="8" t="str">
        <f t="shared" si="0"/>
        <v>GEBRETEKLE DAGNEW</v>
      </c>
      <c r="H48" s="20" t="str">
        <f t="shared" si="1"/>
        <v>4060</v>
      </c>
    </row>
    <row r="49" spans="1:8" x14ac:dyDescent="0.25">
      <c r="A49" s="8">
        <v>42991.294131944444</v>
      </c>
      <c r="B49" s="20" t="s">
        <v>600</v>
      </c>
      <c r="C49" s="20" t="s">
        <v>658</v>
      </c>
      <c r="D49" s="138">
        <v>3180000</v>
      </c>
      <c r="E49" s="20" t="s">
        <v>629</v>
      </c>
      <c r="F49" s="20" t="s">
        <v>630</v>
      </c>
      <c r="G49" s="8" t="str">
        <f t="shared" si="0"/>
        <v>HUFFSMITH MONTY</v>
      </c>
      <c r="H49" s="20" t="str">
        <f t="shared" si="1"/>
        <v>4025</v>
      </c>
    </row>
    <row r="50" spans="1:8" x14ac:dyDescent="0.25">
      <c r="A50" s="8">
        <v>42991.294212962966</v>
      </c>
      <c r="B50" s="20" t="s">
        <v>410</v>
      </c>
      <c r="C50" s="20" t="s">
        <v>659</v>
      </c>
      <c r="D50" s="138">
        <v>2730000</v>
      </c>
      <c r="E50" s="20" t="s">
        <v>482</v>
      </c>
      <c r="F50" s="20" t="s">
        <v>483</v>
      </c>
      <c r="G50" s="8" t="str">
        <f t="shared" si="0"/>
        <v>YANG JAN</v>
      </c>
      <c r="H50" s="20" t="str">
        <f t="shared" si="1"/>
        <v>4015</v>
      </c>
    </row>
    <row r="51" spans="1:8" x14ac:dyDescent="0.25">
      <c r="A51" s="8">
        <v>42991.29724537037</v>
      </c>
      <c r="B51" s="20" t="s">
        <v>398</v>
      </c>
      <c r="C51" s="20" t="s">
        <v>660</v>
      </c>
      <c r="D51" s="138">
        <v>1110000</v>
      </c>
      <c r="E51" s="20" t="s">
        <v>480</v>
      </c>
      <c r="F51" s="20" t="s">
        <v>481</v>
      </c>
      <c r="G51" s="8" t="str">
        <f t="shared" si="0"/>
        <v>STARKS ANGELINA</v>
      </c>
      <c r="H51" s="20" t="str">
        <f t="shared" si="1"/>
        <v>4020</v>
      </c>
    </row>
    <row r="52" spans="1:8" x14ac:dyDescent="0.25">
      <c r="A52" s="8">
        <v>42991.303136574075</v>
      </c>
      <c r="B52" s="20" t="s">
        <v>580</v>
      </c>
      <c r="C52" s="20" t="s">
        <v>661</v>
      </c>
      <c r="D52" s="138">
        <v>1990000</v>
      </c>
      <c r="E52" s="20" t="s">
        <v>345</v>
      </c>
      <c r="F52" s="20" t="s">
        <v>622</v>
      </c>
      <c r="G52" s="8" t="str">
        <f t="shared" si="0"/>
        <v>DAVIS WENDY</v>
      </c>
      <c r="H52" s="20" t="str">
        <f t="shared" si="1"/>
        <v>4043</v>
      </c>
    </row>
    <row r="53" spans="1:8" x14ac:dyDescent="0.25">
      <c r="A53" s="8">
        <v>42991.308171296296</v>
      </c>
      <c r="B53" s="20" t="s">
        <v>463</v>
      </c>
      <c r="C53" s="20" t="s">
        <v>662</v>
      </c>
      <c r="D53" s="138">
        <v>3000000</v>
      </c>
      <c r="E53" s="20" t="s">
        <v>516</v>
      </c>
      <c r="F53" s="20" t="s">
        <v>517</v>
      </c>
      <c r="G53" s="8" t="str">
        <f t="shared" si="0"/>
        <v>FORTUNATO FRANK</v>
      </c>
      <c r="H53" s="20" t="str">
        <f t="shared" si="1"/>
        <v>4056</v>
      </c>
    </row>
    <row r="54" spans="1:8" x14ac:dyDescent="0.25">
      <c r="A54" s="8">
        <v>42991.310532407406</v>
      </c>
      <c r="B54" s="20" t="s">
        <v>409</v>
      </c>
      <c r="C54" s="20" t="s">
        <v>663</v>
      </c>
      <c r="D54" s="138">
        <v>1100000</v>
      </c>
      <c r="E54" s="20" t="s">
        <v>640</v>
      </c>
      <c r="F54" s="20" t="s">
        <v>641</v>
      </c>
      <c r="G54" s="8" t="str">
        <f t="shared" si="0"/>
        <v>GEBRETEKLE DAGNEW</v>
      </c>
      <c r="H54" s="20" t="str">
        <f t="shared" si="1"/>
        <v>4059</v>
      </c>
    </row>
    <row r="55" spans="1:8" x14ac:dyDescent="0.25">
      <c r="A55" s="8">
        <v>42991.314710648148</v>
      </c>
      <c r="B55" s="20" t="s">
        <v>449</v>
      </c>
      <c r="C55" s="20" t="s">
        <v>664</v>
      </c>
      <c r="D55" s="138">
        <v>3180000</v>
      </c>
      <c r="E55" s="20" t="s">
        <v>629</v>
      </c>
      <c r="F55" s="20" t="s">
        <v>630</v>
      </c>
      <c r="G55" s="8" t="str">
        <f t="shared" si="0"/>
        <v>HUFFSMITH MONTY</v>
      </c>
      <c r="H55" s="20" t="str">
        <f t="shared" si="1"/>
        <v>4026</v>
      </c>
    </row>
    <row r="56" spans="1:8" x14ac:dyDescent="0.25">
      <c r="A56" s="8">
        <v>42991.316724537035</v>
      </c>
      <c r="B56" s="20" t="s">
        <v>511</v>
      </c>
      <c r="C56" s="20" t="s">
        <v>665</v>
      </c>
      <c r="D56" s="138">
        <v>1830000</v>
      </c>
      <c r="E56" s="20" t="s">
        <v>617</v>
      </c>
      <c r="F56" s="20" t="s">
        <v>618</v>
      </c>
      <c r="G56" s="8" t="str">
        <f t="shared" si="0"/>
        <v>YORK EDGAR</v>
      </c>
      <c r="H56" s="20" t="str">
        <f t="shared" si="1"/>
        <v>4028</v>
      </c>
    </row>
    <row r="57" spans="1:8" x14ac:dyDescent="0.25">
      <c r="A57" s="8">
        <v>42991.318009259259</v>
      </c>
      <c r="B57" s="20" t="s">
        <v>513</v>
      </c>
      <c r="C57" s="20" t="s">
        <v>666</v>
      </c>
      <c r="D57" s="138">
        <v>940000</v>
      </c>
      <c r="E57" s="20" t="s">
        <v>478</v>
      </c>
      <c r="F57" s="20" t="s">
        <v>479</v>
      </c>
      <c r="G57" s="8" t="str">
        <f t="shared" si="0"/>
        <v>BONDS REYNALDO</v>
      </c>
      <c r="H57" s="20" t="str">
        <f t="shared" si="1"/>
        <v>4005</v>
      </c>
    </row>
    <row r="58" spans="1:8" x14ac:dyDescent="0.25">
      <c r="A58" s="8">
        <v>42991.328935185185</v>
      </c>
      <c r="B58" s="20" t="s">
        <v>392</v>
      </c>
      <c r="C58" s="20" t="s">
        <v>667</v>
      </c>
      <c r="D58" s="138">
        <v>3260000</v>
      </c>
      <c r="E58" s="20" t="s">
        <v>655</v>
      </c>
      <c r="F58" s="20" t="s">
        <v>656</v>
      </c>
      <c r="G58" s="8" t="str">
        <f t="shared" si="0"/>
        <v>PAGE MARCUS</v>
      </c>
      <c r="H58" s="20" t="str">
        <f t="shared" si="1"/>
        <v>4009</v>
      </c>
    </row>
    <row r="59" spans="1:8" x14ac:dyDescent="0.25">
      <c r="A59" s="8">
        <v>42991.330277777779</v>
      </c>
      <c r="B59" s="20" t="s">
        <v>411</v>
      </c>
      <c r="C59" s="20" t="s">
        <v>668</v>
      </c>
      <c r="D59" s="138">
        <v>2730000</v>
      </c>
      <c r="E59" s="20" t="s">
        <v>482</v>
      </c>
      <c r="F59" s="20" t="s">
        <v>483</v>
      </c>
      <c r="G59" s="8" t="str">
        <f t="shared" si="0"/>
        <v>YANG JAN</v>
      </c>
      <c r="H59" s="20" t="str">
        <f t="shared" si="1"/>
        <v>4016</v>
      </c>
    </row>
    <row r="60" spans="1:8" x14ac:dyDescent="0.25">
      <c r="A60" s="8">
        <v>42991.331319444442</v>
      </c>
      <c r="B60" s="20" t="s">
        <v>600</v>
      </c>
      <c r="C60" s="20" t="s">
        <v>669</v>
      </c>
      <c r="D60" s="138">
        <v>3180000</v>
      </c>
      <c r="E60" s="20" t="s">
        <v>629</v>
      </c>
      <c r="F60" s="20" t="s">
        <v>630</v>
      </c>
      <c r="G60" s="8" t="str">
        <f t="shared" si="0"/>
        <v>HUFFSMITH MONTY</v>
      </c>
      <c r="H60" s="20" t="str">
        <f t="shared" si="1"/>
        <v>4025</v>
      </c>
    </row>
    <row r="61" spans="1:8" x14ac:dyDescent="0.25">
      <c r="A61" s="8">
        <v>42991.33152777778</v>
      </c>
      <c r="B61" s="20" t="s">
        <v>399</v>
      </c>
      <c r="C61" s="20" t="s">
        <v>670</v>
      </c>
      <c r="D61" s="138">
        <v>1110000</v>
      </c>
      <c r="E61" s="20" t="s">
        <v>480</v>
      </c>
      <c r="F61" s="20" t="s">
        <v>481</v>
      </c>
      <c r="G61" s="8" t="str">
        <f t="shared" si="0"/>
        <v>STARKS ANGELINA</v>
      </c>
      <c r="H61" s="20" t="str">
        <f t="shared" si="1"/>
        <v>4019</v>
      </c>
    </row>
    <row r="62" spans="1:8" x14ac:dyDescent="0.25">
      <c r="A62" s="8">
        <v>42991.331712962965</v>
      </c>
      <c r="B62" s="20" t="s">
        <v>413</v>
      </c>
      <c r="C62" s="20" t="s">
        <v>671</v>
      </c>
      <c r="D62" s="138">
        <v>1100000</v>
      </c>
      <c r="E62" s="20" t="s">
        <v>640</v>
      </c>
      <c r="F62" s="20" t="s">
        <v>641</v>
      </c>
      <c r="G62" s="8" t="str">
        <f t="shared" si="0"/>
        <v>GEBRETEKLE DAGNEW</v>
      </c>
      <c r="H62" s="20" t="str">
        <f t="shared" si="1"/>
        <v>4060</v>
      </c>
    </row>
    <row r="63" spans="1:8" x14ac:dyDescent="0.25">
      <c r="A63" s="8">
        <v>42991.339583333334</v>
      </c>
      <c r="B63" s="20" t="s">
        <v>583</v>
      </c>
      <c r="C63" s="20" t="s">
        <v>672</v>
      </c>
      <c r="D63" s="138">
        <v>1990000</v>
      </c>
      <c r="E63" s="20" t="s">
        <v>345</v>
      </c>
      <c r="F63" s="20" t="s">
        <v>622</v>
      </c>
      <c r="G63" s="8" t="str">
        <f t="shared" si="0"/>
        <v>DAVIS WENDY</v>
      </c>
      <c r="H63" s="20" t="str">
        <f t="shared" si="1"/>
        <v>4044</v>
      </c>
    </row>
    <row r="64" spans="1:8" x14ac:dyDescent="0.25">
      <c r="A64" s="26">
        <v>42991.339768518519</v>
      </c>
      <c r="B64" s="20" t="s">
        <v>596</v>
      </c>
      <c r="C64" s="20" t="s">
        <v>673</v>
      </c>
      <c r="D64" s="138">
        <v>3000000</v>
      </c>
      <c r="E64" s="20" t="s">
        <v>516</v>
      </c>
      <c r="F64" s="20" t="s">
        <v>517</v>
      </c>
      <c r="G64" s="8" t="str">
        <f t="shared" si="0"/>
        <v>FORTUNATO FRANK</v>
      </c>
      <c r="H64" s="20" t="str">
        <f t="shared" si="1"/>
        <v>4055</v>
      </c>
    </row>
    <row r="65" spans="1:8" x14ac:dyDescent="0.25">
      <c r="A65" s="8">
        <v>42991.349293981482</v>
      </c>
      <c r="B65" s="20" t="s">
        <v>512</v>
      </c>
      <c r="C65" s="20" t="s">
        <v>674</v>
      </c>
      <c r="D65" s="138">
        <v>1830000</v>
      </c>
      <c r="E65" s="20" t="s">
        <v>617</v>
      </c>
      <c r="F65" s="20" t="s">
        <v>618</v>
      </c>
      <c r="G65" s="8" t="str">
        <f t="shared" si="0"/>
        <v>YORK EDGAR</v>
      </c>
      <c r="H65" s="20" t="str">
        <f t="shared" si="1"/>
        <v>4027</v>
      </c>
    </row>
    <row r="66" spans="1:8" x14ac:dyDescent="0.25">
      <c r="A66" s="8">
        <v>42991.35193287037</v>
      </c>
      <c r="B66" s="20" t="s">
        <v>409</v>
      </c>
      <c r="C66" s="20" t="s">
        <v>675</v>
      </c>
      <c r="D66" s="138">
        <v>1100000</v>
      </c>
      <c r="E66" s="20" t="s">
        <v>640</v>
      </c>
      <c r="F66" s="20" t="s">
        <v>641</v>
      </c>
      <c r="G66" s="8" t="str">
        <f t="shared" si="0"/>
        <v>GEBRETEKLE DAGNEW</v>
      </c>
      <c r="H66" s="20" t="str">
        <f t="shared" si="1"/>
        <v>4059</v>
      </c>
    </row>
    <row r="67" spans="1:8" x14ac:dyDescent="0.25">
      <c r="A67" s="8">
        <v>42991.35229166667</v>
      </c>
      <c r="B67" s="20" t="s">
        <v>448</v>
      </c>
      <c r="C67" s="20" t="s">
        <v>676</v>
      </c>
      <c r="D67" s="138">
        <v>940000</v>
      </c>
      <c r="E67" s="20" t="s">
        <v>478</v>
      </c>
      <c r="F67" s="20" t="s">
        <v>479</v>
      </c>
      <c r="G67" s="8" t="str">
        <f t="shared" ref="G67:G130" si="2">E67&amp;" "&amp;F67</f>
        <v>BONDS REYNALDO</v>
      </c>
      <c r="H67" s="20" t="str">
        <f t="shared" ref="H67:H130" si="3">MID(B67,13,4)</f>
        <v>4006</v>
      </c>
    </row>
    <row r="68" spans="1:8" x14ac:dyDescent="0.25">
      <c r="A68" s="8">
        <v>42991.354409722226</v>
      </c>
      <c r="B68" s="20" t="s">
        <v>449</v>
      </c>
      <c r="C68" s="20" t="s">
        <v>677</v>
      </c>
      <c r="D68" s="138">
        <v>3180000</v>
      </c>
      <c r="E68" s="20" t="s">
        <v>629</v>
      </c>
      <c r="F68" s="20" t="s">
        <v>630</v>
      </c>
      <c r="G68" s="8" t="str">
        <f t="shared" si="2"/>
        <v>HUFFSMITH MONTY</v>
      </c>
      <c r="H68" s="20" t="str">
        <f t="shared" si="3"/>
        <v>4026</v>
      </c>
    </row>
    <row r="69" spans="1:8" x14ac:dyDescent="0.25">
      <c r="A69" s="8">
        <v>42991.359988425924</v>
      </c>
      <c r="B69" s="20" t="s">
        <v>393</v>
      </c>
      <c r="C69" s="20" t="s">
        <v>678</v>
      </c>
      <c r="D69" s="138">
        <v>1230000</v>
      </c>
      <c r="E69" s="20" t="s">
        <v>484</v>
      </c>
      <c r="F69" s="20" t="s">
        <v>485</v>
      </c>
      <c r="G69" s="8" t="str">
        <f t="shared" si="2"/>
        <v>YANAI IAN</v>
      </c>
      <c r="H69" s="20" t="str">
        <f t="shared" si="3"/>
        <v>4010</v>
      </c>
    </row>
    <row r="70" spans="1:8" x14ac:dyDescent="0.25">
      <c r="A70" s="8">
        <v>42991.367847222224</v>
      </c>
      <c r="B70" s="20" t="s">
        <v>410</v>
      </c>
      <c r="C70" s="20" t="s">
        <v>679</v>
      </c>
      <c r="D70" s="138">
        <v>2730000</v>
      </c>
      <c r="E70" s="20" t="s">
        <v>482</v>
      </c>
      <c r="F70" s="20" t="s">
        <v>483</v>
      </c>
      <c r="G70" s="8" t="str">
        <f t="shared" si="2"/>
        <v>YANG JAN</v>
      </c>
      <c r="H70" s="20" t="str">
        <f t="shared" si="3"/>
        <v>4015</v>
      </c>
    </row>
    <row r="71" spans="1:8" x14ac:dyDescent="0.25">
      <c r="A71" s="8">
        <v>42991.36855324074</v>
      </c>
      <c r="B71" s="20" t="s">
        <v>475</v>
      </c>
      <c r="C71" s="20" t="s">
        <v>585</v>
      </c>
      <c r="D71" s="138">
        <v>2470000</v>
      </c>
      <c r="E71" s="20" t="s">
        <v>464</v>
      </c>
      <c r="F71" s="20" t="s">
        <v>465</v>
      </c>
      <c r="G71" s="8" t="str">
        <f t="shared" si="2"/>
        <v>ROMERO CHAD</v>
      </c>
      <c r="H71" s="20" t="str">
        <f t="shared" si="3"/>
        <v>4066</v>
      </c>
    </row>
    <row r="72" spans="1:8" x14ac:dyDescent="0.25">
      <c r="A72" s="8">
        <v>42991.373344907406</v>
      </c>
      <c r="B72" s="20" t="s">
        <v>398</v>
      </c>
      <c r="C72" s="20" t="s">
        <v>680</v>
      </c>
      <c r="D72" s="138">
        <v>1110000</v>
      </c>
      <c r="E72" s="20" t="s">
        <v>480</v>
      </c>
      <c r="F72" s="20" t="s">
        <v>481</v>
      </c>
      <c r="G72" s="8" t="str">
        <f t="shared" si="2"/>
        <v>STARKS ANGELINA</v>
      </c>
      <c r="H72" s="20" t="str">
        <f t="shared" si="3"/>
        <v>4020</v>
      </c>
    </row>
    <row r="73" spans="1:8" x14ac:dyDescent="0.25">
      <c r="A73" s="8">
        <v>42991.378217592595</v>
      </c>
      <c r="B73" s="20" t="s">
        <v>413</v>
      </c>
      <c r="C73" s="20" t="s">
        <v>681</v>
      </c>
      <c r="D73" s="138">
        <v>1100000</v>
      </c>
      <c r="E73" s="20" t="s">
        <v>640</v>
      </c>
      <c r="F73" s="20" t="s">
        <v>641</v>
      </c>
      <c r="G73" s="8" t="str">
        <f t="shared" si="2"/>
        <v>GEBRETEKLE DAGNEW</v>
      </c>
      <c r="H73" s="20" t="str">
        <f t="shared" si="3"/>
        <v>4060</v>
      </c>
    </row>
    <row r="74" spans="1:8" x14ac:dyDescent="0.25">
      <c r="A74" s="8">
        <v>42991.381238425929</v>
      </c>
      <c r="B74" s="20" t="s">
        <v>580</v>
      </c>
      <c r="C74" s="20" t="s">
        <v>682</v>
      </c>
      <c r="D74" s="138">
        <v>1990000</v>
      </c>
      <c r="E74" s="20" t="s">
        <v>345</v>
      </c>
      <c r="F74" s="20" t="s">
        <v>622</v>
      </c>
      <c r="G74" s="8" t="str">
        <f t="shared" si="2"/>
        <v>DAVIS WENDY</v>
      </c>
      <c r="H74" s="20" t="str">
        <f t="shared" si="3"/>
        <v>4043</v>
      </c>
    </row>
    <row r="75" spans="1:8" x14ac:dyDescent="0.25">
      <c r="A75" s="8">
        <v>42991.382395833331</v>
      </c>
      <c r="B75" s="20" t="s">
        <v>463</v>
      </c>
      <c r="C75" s="20" t="s">
        <v>683</v>
      </c>
      <c r="D75" s="138">
        <v>3000000</v>
      </c>
      <c r="E75" s="20" t="s">
        <v>516</v>
      </c>
      <c r="F75" s="20" t="s">
        <v>517</v>
      </c>
      <c r="G75" s="8" t="str">
        <f t="shared" si="2"/>
        <v>FORTUNATO FRANK</v>
      </c>
      <c r="H75" s="20" t="str">
        <f t="shared" si="3"/>
        <v>4056</v>
      </c>
    </row>
    <row r="76" spans="1:8" x14ac:dyDescent="0.25">
      <c r="A76" s="8">
        <v>42991.389537037037</v>
      </c>
      <c r="B76" s="20" t="s">
        <v>511</v>
      </c>
      <c r="C76" s="20" t="s">
        <v>684</v>
      </c>
      <c r="D76" s="138">
        <v>1830000</v>
      </c>
      <c r="E76" s="20" t="s">
        <v>617</v>
      </c>
      <c r="F76" s="20" t="s">
        <v>618</v>
      </c>
      <c r="G76" s="8" t="str">
        <f t="shared" si="2"/>
        <v>YORK EDGAR</v>
      </c>
      <c r="H76" s="20" t="str">
        <f t="shared" si="3"/>
        <v>4028</v>
      </c>
    </row>
    <row r="77" spans="1:8" x14ac:dyDescent="0.25">
      <c r="A77" s="8">
        <v>42991.390520833331</v>
      </c>
      <c r="B77" s="20" t="s">
        <v>513</v>
      </c>
      <c r="C77" s="20" t="s">
        <v>685</v>
      </c>
      <c r="D77" s="138">
        <v>940000</v>
      </c>
      <c r="E77" s="20" t="s">
        <v>478</v>
      </c>
      <c r="F77" s="20" t="s">
        <v>479</v>
      </c>
      <c r="G77" s="8" t="str">
        <f t="shared" si="2"/>
        <v>BONDS REYNALDO</v>
      </c>
      <c r="H77" s="20" t="str">
        <f t="shared" si="3"/>
        <v>4005</v>
      </c>
    </row>
    <row r="78" spans="1:8" x14ac:dyDescent="0.25">
      <c r="A78" s="8">
        <v>42991.390567129631</v>
      </c>
      <c r="B78" s="20" t="s">
        <v>392</v>
      </c>
      <c r="C78" s="20" t="s">
        <v>686</v>
      </c>
      <c r="D78" s="138">
        <v>1230000</v>
      </c>
      <c r="E78" s="20" t="s">
        <v>484</v>
      </c>
      <c r="F78" s="20" t="s">
        <v>485</v>
      </c>
      <c r="G78" s="8" t="str">
        <f t="shared" si="2"/>
        <v>YANAI IAN</v>
      </c>
      <c r="H78" s="20" t="str">
        <f t="shared" si="3"/>
        <v>4009</v>
      </c>
    </row>
    <row r="79" spans="1:8" x14ac:dyDescent="0.25">
      <c r="A79" s="8">
        <v>42991.391724537039</v>
      </c>
      <c r="B79" s="20" t="s">
        <v>476</v>
      </c>
      <c r="C79" s="20" t="s">
        <v>586</v>
      </c>
      <c r="D79" s="138">
        <v>2470000</v>
      </c>
      <c r="E79" s="20" t="s">
        <v>464</v>
      </c>
      <c r="F79" s="20" t="s">
        <v>465</v>
      </c>
      <c r="G79" s="8" t="str">
        <f t="shared" si="2"/>
        <v>ROMERO CHAD</v>
      </c>
      <c r="H79" s="20" t="str">
        <f t="shared" si="3"/>
        <v>4065</v>
      </c>
    </row>
    <row r="80" spans="1:8" x14ac:dyDescent="0.25">
      <c r="A80" s="8">
        <v>42991.393125000002</v>
      </c>
      <c r="B80" s="20" t="s">
        <v>409</v>
      </c>
      <c r="C80" s="20" t="s">
        <v>687</v>
      </c>
      <c r="D80" s="138">
        <v>1100000</v>
      </c>
      <c r="E80" s="20" t="s">
        <v>640</v>
      </c>
      <c r="F80" s="20" t="s">
        <v>641</v>
      </c>
      <c r="G80" s="8" t="str">
        <f t="shared" si="2"/>
        <v>GEBRETEKLE DAGNEW</v>
      </c>
      <c r="H80" s="20" t="str">
        <f t="shared" si="3"/>
        <v>4059</v>
      </c>
    </row>
    <row r="81" spans="1:8" x14ac:dyDescent="0.25">
      <c r="A81" s="8">
        <v>42991.400312500002</v>
      </c>
      <c r="B81" s="20" t="s">
        <v>476</v>
      </c>
      <c r="C81" s="20" t="s">
        <v>586</v>
      </c>
      <c r="D81" s="138">
        <v>2470000</v>
      </c>
      <c r="E81" s="20" t="s">
        <v>464</v>
      </c>
      <c r="F81" s="20" t="s">
        <v>465</v>
      </c>
      <c r="G81" s="8" t="str">
        <f t="shared" si="2"/>
        <v>ROMERO CHAD</v>
      </c>
      <c r="H81" s="20" t="str">
        <f t="shared" si="3"/>
        <v>4065</v>
      </c>
    </row>
    <row r="82" spans="1:8" x14ac:dyDescent="0.25">
      <c r="A82" s="8">
        <v>42991.402592592596</v>
      </c>
      <c r="B82" s="20" t="s">
        <v>411</v>
      </c>
      <c r="C82" s="20" t="s">
        <v>688</v>
      </c>
      <c r="D82" s="138">
        <v>2730000</v>
      </c>
      <c r="E82" s="20" t="s">
        <v>482</v>
      </c>
      <c r="F82" s="20" t="s">
        <v>483</v>
      </c>
      <c r="G82" s="8" t="str">
        <f t="shared" si="2"/>
        <v>YANG JAN</v>
      </c>
      <c r="H82" s="20" t="str">
        <f t="shared" si="3"/>
        <v>4016</v>
      </c>
    </row>
    <row r="83" spans="1:8" x14ac:dyDescent="0.25">
      <c r="A83" s="8">
        <v>42991.412615740737</v>
      </c>
      <c r="B83" s="20" t="s">
        <v>399</v>
      </c>
      <c r="C83" s="20" t="s">
        <v>689</v>
      </c>
      <c r="D83" s="138">
        <v>1110000</v>
      </c>
      <c r="E83" s="20" t="s">
        <v>480</v>
      </c>
      <c r="F83" s="20" t="s">
        <v>481</v>
      </c>
      <c r="G83" s="8" t="str">
        <f t="shared" si="2"/>
        <v>STARKS ANGELINA</v>
      </c>
      <c r="H83" s="20" t="str">
        <f t="shared" si="3"/>
        <v>4019</v>
      </c>
    </row>
    <row r="84" spans="1:8" x14ac:dyDescent="0.25">
      <c r="A84" s="8">
        <v>42991.412662037037</v>
      </c>
      <c r="B84" s="20" t="s">
        <v>583</v>
      </c>
      <c r="C84" s="20" t="s">
        <v>690</v>
      </c>
      <c r="D84" s="138">
        <v>1990000</v>
      </c>
      <c r="E84" s="20" t="s">
        <v>345</v>
      </c>
      <c r="F84" s="20" t="s">
        <v>622</v>
      </c>
      <c r="G84" s="8" t="str">
        <f t="shared" si="2"/>
        <v>DAVIS WENDY</v>
      </c>
      <c r="H84" s="20" t="str">
        <f t="shared" si="3"/>
        <v>4044</v>
      </c>
    </row>
    <row r="85" spans="1:8" x14ac:dyDescent="0.25">
      <c r="A85" s="8">
        <v>42991.413298611114</v>
      </c>
      <c r="B85" s="20" t="s">
        <v>596</v>
      </c>
      <c r="C85" s="20" t="s">
        <v>691</v>
      </c>
      <c r="D85" s="138">
        <v>3000000</v>
      </c>
      <c r="E85" s="20" t="s">
        <v>516</v>
      </c>
      <c r="F85" s="20" t="s">
        <v>517</v>
      </c>
      <c r="G85" s="8" t="str">
        <f t="shared" si="2"/>
        <v>FORTUNATO FRANK</v>
      </c>
      <c r="H85" s="20" t="str">
        <f t="shared" si="3"/>
        <v>4055</v>
      </c>
    </row>
    <row r="86" spans="1:8" x14ac:dyDescent="0.25">
      <c r="A86" s="8">
        <v>42991.41574074074</v>
      </c>
      <c r="B86" s="20" t="s">
        <v>413</v>
      </c>
      <c r="C86" s="20" t="s">
        <v>692</v>
      </c>
      <c r="D86" s="138">
        <v>1100000</v>
      </c>
      <c r="E86" s="20" t="s">
        <v>640</v>
      </c>
      <c r="F86" s="20" t="s">
        <v>641</v>
      </c>
      <c r="G86" s="8" t="str">
        <f t="shared" si="2"/>
        <v>GEBRETEKLE DAGNEW</v>
      </c>
      <c r="H86" s="20" t="str">
        <f t="shared" si="3"/>
        <v>4060</v>
      </c>
    </row>
    <row r="87" spans="1:8" x14ac:dyDescent="0.25">
      <c r="A87" s="8">
        <v>42991.421898148146</v>
      </c>
      <c r="B87" s="20" t="s">
        <v>512</v>
      </c>
      <c r="C87" s="20" t="s">
        <v>588</v>
      </c>
      <c r="D87" s="138">
        <v>1830000</v>
      </c>
      <c r="E87" s="20" t="s">
        <v>617</v>
      </c>
      <c r="F87" s="20" t="s">
        <v>618</v>
      </c>
      <c r="G87" s="8" t="str">
        <f t="shared" si="2"/>
        <v>YORK EDGAR</v>
      </c>
      <c r="H87" s="20" t="str">
        <f t="shared" si="3"/>
        <v>4027</v>
      </c>
    </row>
    <row r="88" spans="1:8" x14ac:dyDescent="0.25">
      <c r="A88" s="8">
        <v>42991.423692129632</v>
      </c>
      <c r="B88" s="20" t="s">
        <v>448</v>
      </c>
      <c r="C88" s="20" t="s">
        <v>693</v>
      </c>
      <c r="D88" s="138">
        <v>3180000</v>
      </c>
      <c r="E88" s="20" t="s">
        <v>629</v>
      </c>
      <c r="F88" s="20" t="s">
        <v>630</v>
      </c>
      <c r="G88" s="8" t="str">
        <f t="shared" si="2"/>
        <v>HUFFSMITH MONTY</v>
      </c>
      <c r="H88" s="20" t="str">
        <f t="shared" si="3"/>
        <v>4006</v>
      </c>
    </row>
    <row r="89" spans="1:8" x14ac:dyDescent="0.25">
      <c r="A89" s="8">
        <v>42991.432881944442</v>
      </c>
      <c r="B89" s="20" t="s">
        <v>393</v>
      </c>
      <c r="C89" s="20" t="s">
        <v>694</v>
      </c>
      <c r="D89" s="138">
        <v>1230000</v>
      </c>
      <c r="E89" s="20" t="s">
        <v>484</v>
      </c>
      <c r="F89" s="20" t="s">
        <v>485</v>
      </c>
      <c r="G89" s="8" t="str">
        <f t="shared" si="2"/>
        <v>YANAI IAN</v>
      </c>
      <c r="H89" s="20" t="str">
        <f t="shared" si="3"/>
        <v>4010</v>
      </c>
    </row>
    <row r="90" spans="1:8" x14ac:dyDescent="0.25">
      <c r="A90" s="8">
        <v>42991.434004629627</v>
      </c>
      <c r="B90" s="20" t="s">
        <v>475</v>
      </c>
      <c r="C90" s="20" t="s">
        <v>585</v>
      </c>
      <c r="D90" s="138">
        <v>2470000</v>
      </c>
      <c r="E90" s="20" t="s">
        <v>464</v>
      </c>
      <c r="F90" s="20" t="s">
        <v>465</v>
      </c>
      <c r="G90" s="8" t="str">
        <f t="shared" si="2"/>
        <v>ROMERO CHAD</v>
      </c>
      <c r="H90" s="20" t="str">
        <f t="shared" si="3"/>
        <v>4066</v>
      </c>
    </row>
    <row r="91" spans="1:8" x14ac:dyDescent="0.25">
      <c r="A91" s="8">
        <v>42991.434016203704</v>
      </c>
      <c r="B91" s="20" t="s">
        <v>393</v>
      </c>
      <c r="C91" s="20" t="s">
        <v>694</v>
      </c>
      <c r="D91" s="138">
        <v>1230000</v>
      </c>
      <c r="E91" s="20" t="s">
        <v>484</v>
      </c>
      <c r="F91" s="20" t="s">
        <v>485</v>
      </c>
      <c r="G91" s="8" t="str">
        <f t="shared" si="2"/>
        <v>YANAI IAN</v>
      </c>
      <c r="H91" s="20" t="str">
        <f t="shared" si="3"/>
        <v>4010</v>
      </c>
    </row>
    <row r="92" spans="1:8" x14ac:dyDescent="0.25">
      <c r="A92" s="8">
        <v>42991.435185185182</v>
      </c>
      <c r="B92" s="20" t="s">
        <v>409</v>
      </c>
      <c r="C92" s="20" t="s">
        <v>587</v>
      </c>
      <c r="D92" s="138">
        <v>1100000</v>
      </c>
      <c r="E92" s="20" t="s">
        <v>640</v>
      </c>
      <c r="F92" s="20" t="s">
        <v>641</v>
      </c>
      <c r="G92" s="8" t="str">
        <f t="shared" si="2"/>
        <v>GEBRETEKLE DAGNEW</v>
      </c>
      <c r="H92" s="20" t="str">
        <f t="shared" si="3"/>
        <v>4059</v>
      </c>
    </row>
    <row r="93" spans="1:8" x14ac:dyDescent="0.25">
      <c r="A93" s="8">
        <v>42991.441388888888</v>
      </c>
      <c r="B93" s="20" t="s">
        <v>410</v>
      </c>
      <c r="C93" s="20" t="s">
        <v>591</v>
      </c>
      <c r="D93" s="138">
        <v>2730000</v>
      </c>
      <c r="E93" s="20" t="s">
        <v>482</v>
      </c>
      <c r="F93" s="20" t="s">
        <v>483</v>
      </c>
      <c r="G93" s="8" t="str">
        <f t="shared" si="2"/>
        <v>YANG JAN</v>
      </c>
      <c r="H93" s="20" t="str">
        <f t="shared" si="3"/>
        <v>4015</v>
      </c>
    </row>
    <row r="94" spans="1:8" x14ac:dyDescent="0.25">
      <c r="A94" s="8">
        <v>42991.444814814815</v>
      </c>
      <c r="B94" s="20" t="s">
        <v>398</v>
      </c>
      <c r="C94" s="20" t="s">
        <v>695</v>
      </c>
      <c r="D94" s="138">
        <v>920000</v>
      </c>
      <c r="E94" s="20" t="s">
        <v>345</v>
      </c>
      <c r="F94" s="20" t="s">
        <v>191</v>
      </c>
      <c r="G94" s="8" t="str">
        <f t="shared" si="2"/>
        <v>DAVIS MICHAEL</v>
      </c>
      <c r="H94" s="20" t="str">
        <f t="shared" si="3"/>
        <v>4020</v>
      </c>
    </row>
    <row r="95" spans="1:8" x14ac:dyDescent="0.25">
      <c r="A95" s="8">
        <v>42991.44804398148</v>
      </c>
      <c r="B95" s="20" t="s">
        <v>580</v>
      </c>
      <c r="C95" s="20" t="s">
        <v>696</v>
      </c>
      <c r="D95" s="138">
        <v>1990000</v>
      </c>
      <c r="E95" s="20" t="s">
        <v>345</v>
      </c>
      <c r="F95" s="20" t="s">
        <v>622</v>
      </c>
      <c r="G95" s="8" t="str">
        <f t="shared" si="2"/>
        <v>DAVIS WENDY</v>
      </c>
      <c r="H95" s="20" t="str">
        <f t="shared" si="3"/>
        <v>4043</v>
      </c>
    </row>
    <row r="96" spans="1:8" x14ac:dyDescent="0.25">
      <c r="A96" s="8">
        <v>42991.448437500003</v>
      </c>
      <c r="B96" s="20" t="s">
        <v>589</v>
      </c>
      <c r="C96" s="20" t="s">
        <v>590</v>
      </c>
      <c r="D96" s="138">
        <v>2040000</v>
      </c>
      <c r="E96" s="20" t="s">
        <v>521</v>
      </c>
      <c r="F96" s="20" t="s">
        <v>522</v>
      </c>
      <c r="G96" s="8" t="str">
        <f t="shared" si="2"/>
        <v>MOSES BRADLEY</v>
      </c>
      <c r="H96" s="20" t="str">
        <f t="shared" si="3"/>
        <v>4017</v>
      </c>
    </row>
    <row r="97" spans="1:8" x14ac:dyDescent="0.25">
      <c r="A97" s="8">
        <v>42991.456805555557</v>
      </c>
      <c r="B97" s="20" t="s">
        <v>463</v>
      </c>
      <c r="C97" s="20" t="s">
        <v>697</v>
      </c>
      <c r="D97" s="138">
        <v>3000000</v>
      </c>
      <c r="E97" s="20" t="s">
        <v>516</v>
      </c>
      <c r="F97" s="20" t="s">
        <v>517</v>
      </c>
      <c r="G97" s="8" t="str">
        <f t="shared" si="2"/>
        <v>FORTUNATO FRANK</v>
      </c>
      <c r="H97" s="20" t="str">
        <f t="shared" si="3"/>
        <v>4056</v>
      </c>
    </row>
    <row r="98" spans="1:8" x14ac:dyDescent="0.25">
      <c r="A98" s="8">
        <v>42991.456979166665</v>
      </c>
      <c r="B98" s="20" t="s">
        <v>476</v>
      </c>
      <c r="C98" s="20" t="s">
        <v>586</v>
      </c>
      <c r="D98" s="138">
        <v>2470000</v>
      </c>
      <c r="E98" s="20" t="s">
        <v>464</v>
      </c>
      <c r="F98" s="20" t="s">
        <v>465</v>
      </c>
      <c r="G98" s="8" t="str">
        <f t="shared" si="2"/>
        <v>ROMERO CHAD</v>
      </c>
      <c r="H98" s="20" t="str">
        <f t="shared" si="3"/>
        <v>4065</v>
      </c>
    </row>
    <row r="99" spans="1:8" x14ac:dyDescent="0.25">
      <c r="A99" s="8">
        <v>42991.45890046296</v>
      </c>
      <c r="B99" s="20" t="s">
        <v>413</v>
      </c>
      <c r="C99" s="20" t="s">
        <v>698</v>
      </c>
      <c r="D99" s="138">
        <v>1100000</v>
      </c>
      <c r="E99" s="20" t="s">
        <v>640</v>
      </c>
      <c r="F99" s="20" t="s">
        <v>641</v>
      </c>
      <c r="G99" s="8" t="str">
        <f t="shared" si="2"/>
        <v>GEBRETEKLE DAGNEW</v>
      </c>
      <c r="H99" s="20" t="str">
        <f t="shared" si="3"/>
        <v>4060</v>
      </c>
    </row>
    <row r="100" spans="1:8" x14ac:dyDescent="0.25">
      <c r="A100" s="8">
        <v>42991.462951388887</v>
      </c>
      <c r="B100" s="20" t="s">
        <v>513</v>
      </c>
      <c r="C100" s="20" t="s">
        <v>699</v>
      </c>
      <c r="D100" s="138">
        <v>3180000</v>
      </c>
      <c r="E100" s="20" t="s">
        <v>629</v>
      </c>
      <c r="F100" s="20" t="s">
        <v>630</v>
      </c>
      <c r="G100" s="8" t="str">
        <f t="shared" si="2"/>
        <v>HUFFSMITH MONTY</v>
      </c>
      <c r="H100" s="20" t="str">
        <f t="shared" si="3"/>
        <v>4005</v>
      </c>
    </row>
    <row r="101" spans="1:8" x14ac:dyDescent="0.25">
      <c r="A101" s="8">
        <v>42991.464999999997</v>
      </c>
      <c r="B101" s="20" t="s">
        <v>392</v>
      </c>
      <c r="C101" s="20" t="s">
        <v>700</v>
      </c>
      <c r="D101" s="138">
        <v>1230000</v>
      </c>
      <c r="E101" s="20" t="s">
        <v>484</v>
      </c>
      <c r="F101" s="20" t="s">
        <v>485</v>
      </c>
      <c r="G101" s="8" t="str">
        <f t="shared" si="2"/>
        <v>YANAI IAN</v>
      </c>
      <c r="H101" s="20" t="str">
        <f t="shared" si="3"/>
        <v>4009</v>
      </c>
    </row>
    <row r="102" spans="1:8" x14ac:dyDescent="0.25">
      <c r="A102" s="8">
        <v>42991.466898148145</v>
      </c>
      <c r="B102" s="20" t="s">
        <v>511</v>
      </c>
      <c r="C102" s="20" t="s">
        <v>701</v>
      </c>
      <c r="D102" s="138">
        <v>1770000</v>
      </c>
      <c r="E102" s="20" t="s">
        <v>519</v>
      </c>
      <c r="F102" s="20" t="s">
        <v>520</v>
      </c>
      <c r="G102" s="8" t="str">
        <f t="shared" si="2"/>
        <v>BRUDER RICHARD</v>
      </c>
      <c r="H102" s="20" t="str">
        <f t="shared" si="3"/>
        <v>4028</v>
      </c>
    </row>
    <row r="103" spans="1:8" x14ac:dyDescent="0.25">
      <c r="A103" s="8">
        <v>42991.476493055554</v>
      </c>
      <c r="B103" s="20" t="s">
        <v>411</v>
      </c>
      <c r="C103" s="20" t="s">
        <v>702</v>
      </c>
      <c r="D103" s="138">
        <v>2040000</v>
      </c>
      <c r="E103" s="20" t="s">
        <v>521</v>
      </c>
      <c r="F103" s="20" t="s">
        <v>522</v>
      </c>
      <c r="G103" s="8" t="str">
        <f t="shared" si="2"/>
        <v>MOSES BRADLEY</v>
      </c>
      <c r="H103" s="20" t="str">
        <f t="shared" si="3"/>
        <v>4016</v>
      </c>
    </row>
    <row r="104" spans="1:8" x14ac:dyDescent="0.25">
      <c r="A104" s="8">
        <v>42991.477824074071</v>
      </c>
      <c r="B104" s="20" t="s">
        <v>703</v>
      </c>
      <c r="C104" s="20" t="s">
        <v>704</v>
      </c>
      <c r="D104" s="138">
        <v>1830000</v>
      </c>
      <c r="E104" s="20" t="s">
        <v>617</v>
      </c>
      <c r="F104" s="20" t="s">
        <v>618</v>
      </c>
      <c r="G104" s="8" t="str">
        <f t="shared" si="2"/>
        <v>YORK EDGAR</v>
      </c>
      <c r="H104" s="20" t="str">
        <f t="shared" si="3"/>
        <v>4018</v>
      </c>
    </row>
    <row r="105" spans="1:8" x14ac:dyDescent="0.25">
      <c r="A105" s="8">
        <v>42991.478495370371</v>
      </c>
      <c r="B105" s="20" t="s">
        <v>409</v>
      </c>
      <c r="C105" s="20" t="s">
        <v>705</v>
      </c>
      <c r="D105" s="138">
        <v>1100000</v>
      </c>
      <c r="E105" s="20" t="s">
        <v>640</v>
      </c>
      <c r="F105" s="20" t="s">
        <v>641</v>
      </c>
      <c r="G105" s="8" t="str">
        <f t="shared" si="2"/>
        <v>GEBRETEKLE DAGNEW</v>
      </c>
      <c r="H105" s="20" t="str">
        <f t="shared" si="3"/>
        <v>4059</v>
      </c>
    </row>
    <row r="106" spans="1:8" x14ac:dyDescent="0.25">
      <c r="A106" s="8">
        <v>42991.485625000001</v>
      </c>
      <c r="B106" s="20" t="s">
        <v>583</v>
      </c>
      <c r="C106" s="20" t="s">
        <v>706</v>
      </c>
      <c r="D106" s="138">
        <v>2970000</v>
      </c>
      <c r="E106" s="20" t="s">
        <v>454</v>
      </c>
      <c r="F106" s="20" t="s">
        <v>455</v>
      </c>
      <c r="G106" s="8" t="str">
        <f t="shared" si="2"/>
        <v>GUZMAN DANNY</v>
      </c>
      <c r="H106" s="20" t="str">
        <f t="shared" si="3"/>
        <v>4044</v>
      </c>
    </row>
    <row r="107" spans="1:8" x14ac:dyDescent="0.25">
      <c r="A107" s="8">
        <v>42991.485949074071</v>
      </c>
      <c r="B107" s="20" t="s">
        <v>596</v>
      </c>
      <c r="C107" s="20" t="s">
        <v>707</v>
      </c>
      <c r="D107" s="138">
        <v>3000000</v>
      </c>
      <c r="E107" s="20" t="s">
        <v>516</v>
      </c>
      <c r="F107" s="20" t="s">
        <v>517</v>
      </c>
      <c r="G107" s="8" t="str">
        <f t="shared" si="2"/>
        <v>FORTUNATO FRANK</v>
      </c>
      <c r="H107" s="20" t="str">
        <f t="shared" si="3"/>
        <v>4055</v>
      </c>
    </row>
    <row r="108" spans="1:8" x14ac:dyDescent="0.25">
      <c r="A108" s="8">
        <v>42991.486388888887</v>
      </c>
      <c r="B108" s="20" t="s">
        <v>399</v>
      </c>
      <c r="C108" s="20" t="s">
        <v>708</v>
      </c>
      <c r="D108" s="138">
        <v>920000</v>
      </c>
      <c r="E108" s="20" t="s">
        <v>345</v>
      </c>
      <c r="F108" s="20" t="s">
        <v>191</v>
      </c>
      <c r="G108" s="8" t="str">
        <f t="shared" si="2"/>
        <v>DAVIS MICHAEL</v>
      </c>
      <c r="H108" s="20" t="str">
        <f t="shared" si="3"/>
        <v>4019</v>
      </c>
    </row>
    <row r="109" spans="1:8" x14ac:dyDescent="0.25">
      <c r="A109" s="8">
        <v>42991.497048611112</v>
      </c>
      <c r="B109" s="20" t="s">
        <v>448</v>
      </c>
      <c r="C109" s="20" t="s">
        <v>709</v>
      </c>
      <c r="D109" s="138">
        <v>1300000</v>
      </c>
      <c r="E109" s="20" t="s">
        <v>523</v>
      </c>
      <c r="F109" s="20" t="s">
        <v>524</v>
      </c>
      <c r="G109" s="8" t="str">
        <f t="shared" si="2"/>
        <v>LEVIN SCOTT</v>
      </c>
      <c r="H109" s="20" t="str">
        <f t="shared" si="3"/>
        <v>4006</v>
      </c>
    </row>
    <row r="110" spans="1:8" x14ac:dyDescent="0.25">
      <c r="A110" s="8">
        <v>42991.499305555553</v>
      </c>
      <c r="B110" s="20" t="s">
        <v>413</v>
      </c>
      <c r="C110" s="20" t="s">
        <v>710</v>
      </c>
      <c r="D110" s="138">
        <v>1100000</v>
      </c>
      <c r="E110" s="20" t="s">
        <v>640</v>
      </c>
      <c r="F110" s="20" t="s">
        <v>641</v>
      </c>
      <c r="G110" s="8" t="str">
        <f t="shared" si="2"/>
        <v>GEBRETEKLE DAGNEW</v>
      </c>
      <c r="H110" s="20" t="str">
        <f t="shared" si="3"/>
        <v>4060</v>
      </c>
    </row>
    <row r="111" spans="1:8" x14ac:dyDescent="0.25">
      <c r="A111" s="8">
        <v>42991.505416666667</v>
      </c>
      <c r="B111" s="20" t="s">
        <v>393</v>
      </c>
      <c r="C111" s="20" t="s">
        <v>592</v>
      </c>
      <c r="D111" s="138">
        <v>2370000</v>
      </c>
      <c r="E111" s="20" t="s">
        <v>711</v>
      </c>
      <c r="F111" s="20" t="s">
        <v>712</v>
      </c>
      <c r="G111" s="8" t="str">
        <f t="shared" si="2"/>
        <v>DELGADO DIANAH</v>
      </c>
      <c r="H111" s="20" t="str">
        <f t="shared" si="3"/>
        <v>4010</v>
      </c>
    </row>
    <row r="112" spans="1:8" x14ac:dyDescent="0.25">
      <c r="A112" s="8">
        <v>42991.506215277775</v>
      </c>
      <c r="B112" s="20" t="s">
        <v>512</v>
      </c>
      <c r="C112" s="20" t="s">
        <v>713</v>
      </c>
      <c r="D112" s="138">
        <v>1770000</v>
      </c>
      <c r="E112" s="20" t="s">
        <v>519</v>
      </c>
      <c r="F112" s="20" t="s">
        <v>520</v>
      </c>
      <c r="G112" s="8" t="str">
        <f t="shared" si="2"/>
        <v>BRUDER RICHARD</v>
      </c>
      <c r="H112" s="20" t="str">
        <f t="shared" si="3"/>
        <v>4027</v>
      </c>
    </row>
    <row r="113" spans="1:8" x14ac:dyDescent="0.25">
      <c r="A113" s="8">
        <v>42991.511064814818</v>
      </c>
      <c r="B113" s="20" t="s">
        <v>475</v>
      </c>
      <c r="C113" s="20" t="s">
        <v>714</v>
      </c>
      <c r="D113" s="138">
        <v>2270000</v>
      </c>
      <c r="E113" s="20" t="s">
        <v>715</v>
      </c>
      <c r="F113" s="20" t="s">
        <v>716</v>
      </c>
      <c r="G113" s="8" t="str">
        <f t="shared" si="2"/>
        <v>BROWN JACOB</v>
      </c>
      <c r="H113" s="20" t="str">
        <f t="shared" si="3"/>
        <v>4066</v>
      </c>
    </row>
    <row r="114" spans="1:8" x14ac:dyDescent="0.25">
      <c r="A114" s="8">
        <v>42991.515601851854</v>
      </c>
      <c r="B114" s="20" t="s">
        <v>580</v>
      </c>
      <c r="C114" s="20" t="s">
        <v>717</v>
      </c>
      <c r="D114" s="138">
        <v>2970000</v>
      </c>
      <c r="E114" s="20" t="s">
        <v>454</v>
      </c>
      <c r="F114" s="20" t="s">
        <v>455</v>
      </c>
      <c r="G114" s="8" t="str">
        <f t="shared" si="2"/>
        <v>GUZMAN DANNY</v>
      </c>
      <c r="H114" s="20" t="str">
        <f t="shared" si="3"/>
        <v>4043</v>
      </c>
    </row>
    <row r="115" spans="1:8" x14ac:dyDescent="0.25">
      <c r="A115" s="8">
        <v>42991.515925925924</v>
      </c>
      <c r="B115" s="20" t="s">
        <v>475</v>
      </c>
      <c r="C115" s="20" t="s">
        <v>593</v>
      </c>
      <c r="D115" s="138">
        <v>330000</v>
      </c>
      <c r="E115" s="20" t="s">
        <v>718</v>
      </c>
      <c r="F115" s="20" t="s">
        <v>719</v>
      </c>
      <c r="G115" s="8" t="str">
        <f t="shared" si="2"/>
        <v>PELLITIER GEORGE</v>
      </c>
      <c r="H115" s="20" t="str">
        <f t="shared" si="3"/>
        <v>4066</v>
      </c>
    </row>
    <row r="116" spans="1:8" x14ac:dyDescent="0.25">
      <c r="A116" s="8">
        <v>42991.516932870371</v>
      </c>
      <c r="B116" s="20" t="s">
        <v>410</v>
      </c>
      <c r="C116" s="20" t="s">
        <v>720</v>
      </c>
      <c r="D116" s="138">
        <v>2040000</v>
      </c>
      <c r="E116" s="20" t="s">
        <v>521</v>
      </c>
      <c r="F116" s="20" t="s">
        <v>522</v>
      </c>
      <c r="G116" s="8" t="str">
        <f t="shared" si="2"/>
        <v>MOSES BRADLEY</v>
      </c>
      <c r="H116" s="20" t="str">
        <f t="shared" si="3"/>
        <v>4015</v>
      </c>
    </row>
    <row r="117" spans="1:8" x14ac:dyDescent="0.25">
      <c r="A117" s="8">
        <v>42991.518437500003</v>
      </c>
      <c r="B117" s="20" t="s">
        <v>409</v>
      </c>
      <c r="C117" s="20" t="s">
        <v>721</v>
      </c>
      <c r="D117" s="138">
        <v>1100000</v>
      </c>
      <c r="E117" s="20" t="s">
        <v>640</v>
      </c>
      <c r="F117" s="20" t="s">
        <v>641</v>
      </c>
      <c r="G117" s="8" t="str">
        <f t="shared" si="2"/>
        <v>GEBRETEKLE DAGNEW</v>
      </c>
      <c r="H117" s="20" t="str">
        <f t="shared" si="3"/>
        <v>4059</v>
      </c>
    </row>
    <row r="118" spans="1:8" x14ac:dyDescent="0.25">
      <c r="A118" s="8">
        <v>42991.519386574073</v>
      </c>
      <c r="B118" s="20" t="s">
        <v>398</v>
      </c>
      <c r="C118" s="20" t="s">
        <v>722</v>
      </c>
      <c r="D118" s="138">
        <v>2140000</v>
      </c>
      <c r="E118" s="20" t="s">
        <v>723</v>
      </c>
      <c r="F118" s="20" t="s">
        <v>724</v>
      </c>
      <c r="G118" s="8" t="str">
        <f t="shared" si="2"/>
        <v>ROBINSON KADDIBA</v>
      </c>
      <c r="H118" s="20" t="str">
        <f t="shared" si="3"/>
        <v>4020</v>
      </c>
    </row>
    <row r="119" spans="1:8" x14ac:dyDescent="0.25">
      <c r="A119" s="8">
        <v>42991.526655092595</v>
      </c>
      <c r="B119" s="20" t="s">
        <v>463</v>
      </c>
      <c r="C119" s="20" t="s">
        <v>725</v>
      </c>
      <c r="D119" s="138">
        <v>2420000</v>
      </c>
      <c r="E119" s="20" t="s">
        <v>726</v>
      </c>
      <c r="F119" s="20" t="s">
        <v>727</v>
      </c>
      <c r="G119" s="8" t="str">
        <f t="shared" si="2"/>
        <v>HOLCOMB KAMDEN</v>
      </c>
      <c r="H119" s="20" t="str">
        <f t="shared" si="3"/>
        <v>4056</v>
      </c>
    </row>
    <row r="120" spans="1:8" x14ac:dyDescent="0.25">
      <c r="A120" s="8">
        <v>42991.531238425923</v>
      </c>
      <c r="B120" s="20" t="s">
        <v>513</v>
      </c>
      <c r="C120" s="20" t="s">
        <v>595</v>
      </c>
      <c r="D120" s="138">
        <v>1300000</v>
      </c>
      <c r="E120" s="20" t="s">
        <v>523</v>
      </c>
      <c r="F120" s="20" t="s">
        <v>524</v>
      </c>
      <c r="G120" s="8" t="str">
        <f t="shared" si="2"/>
        <v>LEVIN SCOTT</v>
      </c>
      <c r="H120" s="20" t="str">
        <f t="shared" si="3"/>
        <v>4005</v>
      </c>
    </row>
    <row r="121" spans="1:8" x14ac:dyDescent="0.25">
      <c r="A121" s="8">
        <v>42991.536828703705</v>
      </c>
      <c r="B121" s="20" t="s">
        <v>511</v>
      </c>
      <c r="C121" s="20" t="s">
        <v>728</v>
      </c>
      <c r="D121" s="138">
        <v>1770000</v>
      </c>
      <c r="E121" s="20" t="s">
        <v>519</v>
      </c>
      <c r="F121" s="20" t="s">
        <v>520</v>
      </c>
      <c r="G121" s="8" t="str">
        <f t="shared" si="2"/>
        <v>BRUDER RICHARD</v>
      </c>
      <c r="H121" s="20" t="str">
        <f t="shared" si="3"/>
        <v>4028</v>
      </c>
    </row>
    <row r="122" spans="1:8" x14ac:dyDescent="0.25">
      <c r="A122" s="8">
        <v>42991.538414351853</v>
      </c>
      <c r="B122" s="25" t="s">
        <v>476</v>
      </c>
      <c r="C122" s="20" t="s">
        <v>729</v>
      </c>
      <c r="D122" s="138">
        <v>2270000</v>
      </c>
      <c r="E122" s="20" t="s">
        <v>715</v>
      </c>
      <c r="F122" s="20" t="s">
        <v>716</v>
      </c>
      <c r="G122" s="8" t="str">
        <f t="shared" si="2"/>
        <v>BROWN JACOB</v>
      </c>
      <c r="H122" s="20" t="str">
        <f t="shared" si="3"/>
        <v>4065</v>
      </c>
    </row>
    <row r="123" spans="1:8" x14ac:dyDescent="0.25">
      <c r="A123" s="8">
        <v>42991.541898148149</v>
      </c>
      <c r="B123" s="20" t="s">
        <v>413</v>
      </c>
      <c r="C123" s="20" t="s">
        <v>730</v>
      </c>
      <c r="D123" s="138">
        <v>1180000</v>
      </c>
      <c r="E123" s="20" t="s">
        <v>387</v>
      </c>
      <c r="F123" s="20" t="s">
        <v>388</v>
      </c>
      <c r="G123" s="8" t="str">
        <f t="shared" si="2"/>
        <v>LEVERE CRAIG</v>
      </c>
      <c r="H123" s="20" t="str">
        <f t="shared" si="3"/>
        <v>4060</v>
      </c>
    </row>
    <row r="124" spans="1:8" x14ac:dyDescent="0.25">
      <c r="A124" s="8">
        <v>42991.542361111111</v>
      </c>
      <c r="B124" s="20" t="s">
        <v>392</v>
      </c>
      <c r="C124" s="20" t="s">
        <v>731</v>
      </c>
      <c r="D124" s="138">
        <v>2370000</v>
      </c>
      <c r="E124" s="20" t="s">
        <v>711</v>
      </c>
      <c r="F124" s="20" t="s">
        <v>712</v>
      </c>
      <c r="G124" s="8" t="str">
        <f t="shared" si="2"/>
        <v>DELGADO DIANAH</v>
      </c>
      <c r="H124" s="20" t="str">
        <f t="shared" si="3"/>
        <v>4009</v>
      </c>
    </row>
    <row r="125" spans="1:8" x14ac:dyDescent="0.25">
      <c r="A125" s="8">
        <v>42991.547268518516</v>
      </c>
      <c r="B125" s="20" t="s">
        <v>411</v>
      </c>
      <c r="C125" s="20" t="s">
        <v>594</v>
      </c>
      <c r="D125" s="138">
        <v>2040000</v>
      </c>
      <c r="E125" s="20" t="s">
        <v>521</v>
      </c>
      <c r="F125" s="20" t="s">
        <v>522</v>
      </c>
      <c r="G125" s="8" t="str">
        <f t="shared" si="2"/>
        <v>MOSES BRADLEY</v>
      </c>
      <c r="H125" s="20" t="str">
        <f t="shared" si="3"/>
        <v>4016</v>
      </c>
    </row>
    <row r="126" spans="1:8" x14ac:dyDescent="0.25">
      <c r="A126" s="8">
        <v>42991.558136574073</v>
      </c>
      <c r="B126" s="20" t="s">
        <v>399</v>
      </c>
      <c r="C126" s="20" t="s">
        <v>732</v>
      </c>
      <c r="D126" s="138">
        <v>920000</v>
      </c>
      <c r="E126" s="20" t="s">
        <v>345</v>
      </c>
      <c r="F126" s="20" t="s">
        <v>191</v>
      </c>
      <c r="G126" s="8" t="str">
        <f t="shared" si="2"/>
        <v>DAVIS MICHAEL</v>
      </c>
      <c r="H126" s="20" t="str">
        <f t="shared" si="3"/>
        <v>4019</v>
      </c>
    </row>
    <row r="127" spans="1:8" x14ac:dyDescent="0.25">
      <c r="A127" s="8">
        <v>42991.558171296296</v>
      </c>
      <c r="B127" s="20" t="s">
        <v>583</v>
      </c>
      <c r="C127" s="20" t="s">
        <v>733</v>
      </c>
      <c r="D127" s="138">
        <v>2970000</v>
      </c>
      <c r="E127" s="20" t="s">
        <v>454</v>
      </c>
      <c r="F127" s="20" t="s">
        <v>455</v>
      </c>
      <c r="G127" s="8" t="str">
        <f t="shared" si="2"/>
        <v>GUZMAN DANNY</v>
      </c>
      <c r="H127" s="20" t="str">
        <f t="shared" si="3"/>
        <v>4044</v>
      </c>
    </row>
    <row r="128" spans="1:8" x14ac:dyDescent="0.25">
      <c r="A128" s="8">
        <v>42991.563078703701</v>
      </c>
      <c r="B128" s="20" t="s">
        <v>596</v>
      </c>
      <c r="C128" s="20" t="s">
        <v>597</v>
      </c>
      <c r="D128" s="138">
        <v>2420000</v>
      </c>
      <c r="E128" s="20" t="s">
        <v>726</v>
      </c>
      <c r="F128" s="20" t="s">
        <v>727</v>
      </c>
      <c r="G128" s="8" t="str">
        <f t="shared" si="2"/>
        <v>HOLCOMB KAMDEN</v>
      </c>
      <c r="H128" s="20" t="str">
        <f t="shared" si="3"/>
        <v>4055</v>
      </c>
    </row>
    <row r="129" spans="1:8" x14ac:dyDescent="0.25">
      <c r="A129" s="8">
        <v>42991.564976851849</v>
      </c>
      <c r="B129" s="20" t="s">
        <v>409</v>
      </c>
      <c r="C129" s="20" t="s">
        <v>734</v>
      </c>
      <c r="D129" s="138">
        <v>1180000</v>
      </c>
      <c r="E129" s="20" t="s">
        <v>387</v>
      </c>
      <c r="F129" s="20" t="s">
        <v>388</v>
      </c>
      <c r="G129" s="8" t="str">
        <f t="shared" si="2"/>
        <v>LEVERE CRAIG</v>
      </c>
      <c r="H129" s="20" t="str">
        <f t="shared" si="3"/>
        <v>4059</v>
      </c>
    </row>
    <row r="130" spans="1:8" x14ac:dyDescent="0.25">
      <c r="A130" s="8">
        <v>42991.567974537036</v>
      </c>
      <c r="B130" s="20" t="s">
        <v>448</v>
      </c>
      <c r="C130" s="20" t="s">
        <v>735</v>
      </c>
      <c r="D130" s="138">
        <v>1300000</v>
      </c>
      <c r="E130" s="20" t="s">
        <v>523</v>
      </c>
      <c r="F130" s="20" t="s">
        <v>524</v>
      </c>
      <c r="G130" s="8" t="str">
        <f t="shared" si="2"/>
        <v>LEVIN SCOTT</v>
      </c>
      <c r="H130" s="20" t="str">
        <f t="shared" si="3"/>
        <v>4006</v>
      </c>
    </row>
    <row r="131" spans="1:8" x14ac:dyDescent="0.25">
      <c r="A131" s="8">
        <v>42991.56832175926</v>
      </c>
      <c r="B131" s="20" t="s">
        <v>475</v>
      </c>
      <c r="C131" s="20" t="s">
        <v>598</v>
      </c>
      <c r="D131" s="138">
        <v>2610000</v>
      </c>
      <c r="E131" s="20" t="s">
        <v>736</v>
      </c>
      <c r="F131" s="20" t="s">
        <v>737</v>
      </c>
      <c r="G131" s="8" t="str">
        <f t="shared" ref="G131:G194" si="4">E131&amp;" "&amp;F131</f>
        <v>MAGEE KENYA</v>
      </c>
      <c r="H131" s="20" t="str">
        <f t="shared" ref="H131:H194" si="5">MID(B131,13,4)</f>
        <v>4066</v>
      </c>
    </row>
    <row r="132" spans="1:8" x14ac:dyDescent="0.25">
      <c r="A132" s="8">
        <v>42991.578506944446</v>
      </c>
      <c r="B132" s="20" t="s">
        <v>393</v>
      </c>
      <c r="C132" s="20" t="s">
        <v>738</v>
      </c>
      <c r="D132" s="138">
        <v>2370000</v>
      </c>
      <c r="E132" s="20" t="s">
        <v>711</v>
      </c>
      <c r="F132" s="20" t="s">
        <v>712</v>
      </c>
      <c r="G132" s="8" t="str">
        <f t="shared" si="4"/>
        <v>DELGADO DIANAH</v>
      </c>
      <c r="H132" s="20" t="str">
        <f t="shared" si="5"/>
        <v>4010</v>
      </c>
    </row>
    <row r="133" spans="1:8" x14ac:dyDescent="0.25">
      <c r="A133" s="8">
        <v>42991.579062500001</v>
      </c>
      <c r="B133" s="20" t="s">
        <v>512</v>
      </c>
      <c r="C133" s="20" t="s">
        <v>739</v>
      </c>
      <c r="D133" s="138">
        <v>1770000</v>
      </c>
      <c r="E133" s="20" t="s">
        <v>519</v>
      </c>
      <c r="F133" s="20" t="s">
        <v>520</v>
      </c>
      <c r="G133" s="8" t="str">
        <f t="shared" si="4"/>
        <v>BRUDER RICHARD</v>
      </c>
      <c r="H133" s="20" t="str">
        <f t="shared" si="5"/>
        <v>4027</v>
      </c>
    </row>
    <row r="134" spans="1:8" x14ac:dyDescent="0.25">
      <c r="A134" s="8">
        <v>42991.586909722224</v>
      </c>
      <c r="B134" s="20" t="s">
        <v>413</v>
      </c>
      <c r="C134" s="20" t="s">
        <v>740</v>
      </c>
      <c r="D134" s="138">
        <v>1180000</v>
      </c>
      <c r="E134" s="20" t="s">
        <v>387</v>
      </c>
      <c r="F134" s="20" t="s">
        <v>388</v>
      </c>
      <c r="G134" s="8" t="str">
        <f t="shared" si="4"/>
        <v>LEVERE CRAIG</v>
      </c>
      <c r="H134" s="20" t="str">
        <f t="shared" si="5"/>
        <v>4060</v>
      </c>
    </row>
    <row r="135" spans="1:8" x14ac:dyDescent="0.25">
      <c r="A135" s="8">
        <v>42991.588703703703</v>
      </c>
      <c r="B135" s="20" t="s">
        <v>410</v>
      </c>
      <c r="C135" s="20" t="s">
        <v>741</v>
      </c>
      <c r="D135" s="138">
        <v>2040000</v>
      </c>
      <c r="E135" s="20" t="s">
        <v>521</v>
      </c>
      <c r="F135" s="20" t="s">
        <v>522</v>
      </c>
      <c r="G135" s="8" t="str">
        <f t="shared" si="4"/>
        <v>MOSES BRADLEY</v>
      </c>
      <c r="H135" s="20" t="str">
        <f t="shared" si="5"/>
        <v>4015</v>
      </c>
    </row>
    <row r="136" spans="1:8" x14ac:dyDescent="0.25">
      <c r="A136" s="8">
        <v>42991.589780092596</v>
      </c>
      <c r="B136" s="20" t="s">
        <v>580</v>
      </c>
      <c r="C136" s="20" t="s">
        <v>742</v>
      </c>
      <c r="D136" s="138">
        <v>2970000</v>
      </c>
      <c r="E136" s="20" t="s">
        <v>454</v>
      </c>
      <c r="F136" s="20" t="s">
        <v>455</v>
      </c>
      <c r="G136" s="8" t="str">
        <f t="shared" si="4"/>
        <v>GUZMAN DANNY</v>
      </c>
      <c r="H136" s="20" t="str">
        <f t="shared" si="5"/>
        <v>4043</v>
      </c>
    </row>
    <row r="137" spans="1:8" x14ac:dyDescent="0.25">
      <c r="A137" s="8">
        <v>42991.590381944443</v>
      </c>
      <c r="B137" s="20" t="s">
        <v>398</v>
      </c>
      <c r="C137" s="20" t="s">
        <v>743</v>
      </c>
      <c r="D137" s="138">
        <v>920000</v>
      </c>
      <c r="E137" s="20" t="s">
        <v>345</v>
      </c>
      <c r="F137" s="20" t="s">
        <v>191</v>
      </c>
      <c r="G137" s="8" t="str">
        <f t="shared" si="4"/>
        <v>DAVIS MICHAEL</v>
      </c>
      <c r="H137" s="20" t="str">
        <f t="shared" si="5"/>
        <v>4020</v>
      </c>
    </row>
    <row r="138" spans="1:8" x14ac:dyDescent="0.25">
      <c r="A138" s="8">
        <v>42991.596435185187</v>
      </c>
      <c r="B138" s="20" t="s">
        <v>476</v>
      </c>
      <c r="C138" s="20" t="s">
        <v>598</v>
      </c>
      <c r="D138" s="138">
        <v>2610000</v>
      </c>
      <c r="E138" s="20" t="s">
        <v>736</v>
      </c>
      <c r="F138" s="20" t="s">
        <v>737</v>
      </c>
      <c r="G138" s="8" t="str">
        <f t="shared" si="4"/>
        <v>MAGEE KENYA</v>
      </c>
      <c r="H138" s="20" t="str">
        <f t="shared" si="5"/>
        <v>4065</v>
      </c>
    </row>
    <row r="139" spans="1:8" x14ac:dyDescent="0.25">
      <c r="A139" s="8">
        <v>42991.597615740742</v>
      </c>
      <c r="B139" s="20" t="s">
        <v>476</v>
      </c>
      <c r="C139" s="20" t="s">
        <v>744</v>
      </c>
      <c r="D139" s="138">
        <v>2610000</v>
      </c>
      <c r="E139" s="20" t="s">
        <v>736</v>
      </c>
      <c r="F139" s="20" t="s">
        <v>737</v>
      </c>
      <c r="G139" s="8" t="str">
        <f t="shared" si="4"/>
        <v>MAGEE KENYA</v>
      </c>
      <c r="H139" s="20" t="str">
        <f t="shared" si="5"/>
        <v>4065</v>
      </c>
    </row>
    <row r="140" spans="1:8" x14ac:dyDescent="0.25">
      <c r="A140" s="8">
        <v>42991.598726851851</v>
      </c>
      <c r="B140" s="20" t="s">
        <v>463</v>
      </c>
      <c r="C140" s="20" t="s">
        <v>599</v>
      </c>
      <c r="D140" s="138">
        <v>2420000</v>
      </c>
      <c r="E140" s="20" t="s">
        <v>726</v>
      </c>
      <c r="F140" s="20" t="s">
        <v>727</v>
      </c>
      <c r="G140" s="8" t="str">
        <f t="shared" si="4"/>
        <v>HOLCOMB KAMDEN</v>
      </c>
      <c r="H140" s="20" t="str">
        <f t="shared" si="5"/>
        <v>4056</v>
      </c>
    </row>
    <row r="141" spans="1:8" x14ac:dyDescent="0.25">
      <c r="A141" s="8">
        <v>42991.602731481478</v>
      </c>
      <c r="B141" s="20" t="s">
        <v>409</v>
      </c>
      <c r="C141" s="20" t="s">
        <v>745</v>
      </c>
      <c r="D141" s="138">
        <v>1180000</v>
      </c>
      <c r="E141" s="20" t="s">
        <v>387</v>
      </c>
      <c r="F141" s="20" t="s">
        <v>388</v>
      </c>
      <c r="G141" s="8" t="str">
        <f t="shared" si="4"/>
        <v>LEVERE CRAIG</v>
      </c>
      <c r="H141" s="20" t="str">
        <f t="shared" si="5"/>
        <v>4059</v>
      </c>
    </row>
    <row r="142" spans="1:8" x14ac:dyDescent="0.25">
      <c r="A142" s="8">
        <v>42991.604212962964</v>
      </c>
      <c r="B142" s="20" t="s">
        <v>513</v>
      </c>
      <c r="C142" s="20" t="s">
        <v>746</v>
      </c>
      <c r="D142" s="138">
        <v>1300000</v>
      </c>
      <c r="E142" s="20" t="s">
        <v>523</v>
      </c>
      <c r="F142" s="20" t="s">
        <v>524</v>
      </c>
      <c r="G142" s="8" t="str">
        <f t="shared" si="4"/>
        <v>LEVIN SCOTT</v>
      </c>
      <c r="H142" s="20" t="str">
        <f t="shared" si="5"/>
        <v>4005</v>
      </c>
    </row>
    <row r="143" spans="1:8" x14ac:dyDescent="0.25">
      <c r="A143" s="8">
        <v>42991.61078703704</v>
      </c>
      <c r="B143" s="20" t="s">
        <v>511</v>
      </c>
      <c r="C143" s="20" t="s">
        <v>747</v>
      </c>
      <c r="D143" s="138">
        <v>2030000</v>
      </c>
      <c r="E143" s="20" t="s">
        <v>748</v>
      </c>
      <c r="F143" s="20" t="s">
        <v>749</v>
      </c>
      <c r="G143" s="8" t="str">
        <f t="shared" si="4"/>
        <v>KILLION DAVID</v>
      </c>
      <c r="H143" s="20" t="str">
        <f t="shared" si="5"/>
        <v>4028</v>
      </c>
    </row>
    <row r="144" spans="1:8" x14ac:dyDescent="0.25">
      <c r="A144" s="8">
        <v>42991.612557870372</v>
      </c>
      <c r="B144" s="20" t="s">
        <v>392</v>
      </c>
      <c r="C144" s="20" t="s">
        <v>750</v>
      </c>
      <c r="D144" s="138">
        <v>2370000</v>
      </c>
      <c r="E144" s="20" t="s">
        <v>711</v>
      </c>
      <c r="F144" s="20" t="s">
        <v>712</v>
      </c>
      <c r="G144" s="8" t="str">
        <f t="shared" si="4"/>
        <v>DELGADO DIANAH</v>
      </c>
      <c r="H144" s="20" t="str">
        <f t="shared" si="5"/>
        <v>4009</v>
      </c>
    </row>
    <row r="145" spans="1:8" x14ac:dyDescent="0.25">
      <c r="A145" s="8">
        <v>42991.622476851851</v>
      </c>
      <c r="B145" s="20" t="s">
        <v>411</v>
      </c>
      <c r="C145" s="20" t="s">
        <v>751</v>
      </c>
      <c r="D145" s="138">
        <v>2040000</v>
      </c>
      <c r="E145" s="20" t="s">
        <v>521</v>
      </c>
      <c r="F145" s="20" t="s">
        <v>522</v>
      </c>
      <c r="G145" s="8" t="str">
        <f t="shared" si="4"/>
        <v>MOSES BRADLEY</v>
      </c>
      <c r="H145" s="20" t="str">
        <f t="shared" si="5"/>
        <v>4016</v>
      </c>
    </row>
    <row r="146" spans="1:8" x14ac:dyDescent="0.25">
      <c r="A146" s="8">
        <v>42991.626261574071</v>
      </c>
      <c r="B146" s="20" t="s">
        <v>413</v>
      </c>
      <c r="C146" s="20" t="s">
        <v>752</v>
      </c>
      <c r="D146" s="138">
        <v>2350000</v>
      </c>
      <c r="E146" s="20" t="s">
        <v>753</v>
      </c>
      <c r="F146" s="20" t="s">
        <v>754</v>
      </c>
      <c r="G146" s="8" t="str">
        <f t="shared" si="4"/>
        <v>BERLING GARY</v>
      </c>
      <c r="H146" s="20" t="str">
        <f t="shared" si="5"/>
        <v>4060</v>
      </c>
    </row>
    <row r="147" spans="1:8" x14ac:dyDescent="0.25">
      <c r="A147" s="8">
        <v>42991.627893518518</v>
      </c>
      <c r="B147" s="20" t="s">
        <v>600</v>
      </c>
      <c r="C147" s="20" t="s">
        <v>601</v>
      </c>
      <c r="D147" s="138">
        <v>2000000</v>
      </c>
      <c r="E147" s="20" t="s">
        <v>466</v>
      </c>
      <c r="F147" s="20" t="s">
        <v>383</v>
      </c>
      <c r="G147" s="8" t="str">
        <f t="shared" si="4"/>
        <v>STAMBAUGH JAMES</v>
      </c>
      <c r="H147" s="20" t="str">
        <f t="shared" si="5"/>
        <v>4025</v>
      </c>
    </row>
    <row r="148" spans="1:8" x14ac:dyDescent="0.25">
      <c r="A148" s="8">
        <v>42991.63040509259</v>
      </c>
      <c r="B148" s="20" t="s">
        <v>475</v>
      </c>
      <c r="C148" s="20" t="s">
        <v>602</v>
      </c>
      <c r="D148" s="138">
        <v>3280000</v>
      </c>
      <c r="E148" s="20" t="s">
        <v>527</v>
      </c>
      <c r="F148" s="20" t="s">
        <v>528</v>
      </c>
      <c r="G148" s="8" t="str">
        <f t="shared" si="4"/>
        <v>BIRKHOLZ NADINE</v>
      </c>
      <c r="H148" s="20" t="str">
        <f t="shared" si="5"/>
        <v>4066</v>
      </c>
    </row>
    <row r="149" spans="1:8" x14ac:dyDescent="0.25">
      <c r="A149" s="8">
        <v>42991.630555555559</v>
      </c>
      <c r="B149" s="20" t="s">
        <v>583</v>
      </c>
      <c r="C149" s="20" t="s">
        <v>755</v>
      </c>
      <c r="D149" s="138">
        <v>2970000</v>
      </c>
      <c r="E149" s="20" t="s">
        <v>454</v>
      </c>
      <c r="F149" s="20" t="s">
        <v>455</v>
      </c>
      <c r="G149" s="8" t="str">
        <f t="shared" si="4"/>
        <v>GUZMAN DANNY</v>
      </c>
      <c r="H149" s="20" t="str">
        <f t="shared" si="5"/>
        <v>4044</v>
      </c>
    </row>
    <row r="150" spans="1:8" x14ac:dyDescent="0.25">
      <c r="A150" s="8">
        <v>42991.632731481484</v>
      </c>
      <c r="B150" s="20" t="s">
        <v>399</v>
      </c>
      <c r="C150" s="20" t="s">
        <v>756</v>
      </c>
      <c r="D150" s="138">
        <v>920000</v>
      </c>
      <c r="E150" s="20" t="s">
        <v>345</v>
      </c>
      <c r="F150" s="20" t="s">
        <v>191</v>
      </c>
      <c r="G150" s="8" t="str">
        <f t="shared" si="4"/>
        <v>DAVIS MICHAEL</v>
      </c>
      <c r="H150" s="20" t="str">
        <f t="shared" si="5"/>
        <v>4019</v>
      </c>
    </row>
    <row r="151" spans="1:8" x14ac:dyDescent="0.25">
      <c r="A151" s="8">
        <v>42991.640717592592</v>
      </c>
      <c r="B151" s="20" t="s">
        <v>596</v>
      </c>
      <c r="C151" s="20" t="s">
        <v>757</v>
      </c>
      <c r="D151" s="138">
        <v>2420000</v>
      </c>
      <c r="E151" s="20" t="s">
        <v>726</v>
      </c>
      <c r="F151" s="20" t="s">
        <v>727</v>
      </c>
      <c r="G151" s="8" t="str">
        <f t="shared" si="4"/>
        <v>HOLCOMB KAMDEN</v>
      </c>
      <c r="H151" s="20" t="str">
        <f t="shared" si="5"/>
        <v>4055</v>
      </c>
    </row>
    <row r="152" spans="1:8" x14ac:dyDescent="0.25">
      <c r="A152" s="8">
        <v>42991.643819444442</v>
      </c>
      <c r="B152" s="20" t="s">
        <v>409</v>
      </c>
      <c r="C152" s="20" t="s">
        <v>758</v>
      </c>
      <c r="D152" s="138">
        <v>2350000</v>
      </c>
      <c r="E152" s="20" t="s">
        <v>753</v>
      </c>
      <c r="F152" s="20" t="s">
        <v>754</v>
      </c>
      <c r="G152" s="8" t="str">
        <f t="shared" si="4"/>
        <v>BERLING GARY</v>
      </c>
      <c r="H152" s="20" t="str">
        <f t="shared" si="5"/>
        <v>4059</v>
      </c>
    </row>
    <row r="153" spans="1:8" x14ac:dyDescent="0.25">
      <c r="A153" s="8">
        <v>42991.644016203703</v>
      </c>
      <c r="B153" s="20" t="s">
        <v>448</v>
      </c>
      <c r="C153" s="20" t="s">
        <v>759</v>
      </c>
      <c r="D153" s="138">
        <v>1300000</v>
      </c>
      <c r="E153" s="20" t="s">
        <v>523</v>
      </c>
      <c r="F153" s="20" t="s">
        <v>524</v>
      </c>
      <c r="G153" s="8" t="str">
        <f t="shared" si="4"/>
        <v>LEVIN SCOTT</v>
      </c>
      <c r="H153" s="20" t="str">
        <f t="shared" si="5"/>
        <v>4006</v>
      </c>
    </row>
    <row r="154" spans="1:8" x14ac:dyDescent="0.25">
      <c r="A154" s="8">
        <v>42991.647407407407</v>
      </c>
      <c r="B154" s="20" t="s">
        <v>512</v>
      </c>
      <c r="C154" s="20" t="s">
        <v>760</v>
      </c>
      <c r="D154" s="138">
        <v>2030000</v>
      </c>
      <c r="E154" s="20" t="s">
        <v>748</v>
      </c>
      <c r="F154" s="20" t="s">
        <v>749</v>
      </c>
      <c r="G154" s="8" t="str">
        <f t="shared" si="4"/>
        <v>KILLION DAVID</v>
      </c>
      <c r="H154" s="20" t="str">
        <f t="shared" si="5"/>
        <v>4027</v>
      </c>
    </row>
    <row r="155" spans="1:8" x14ac:dyDescent="0.25">
      <c r="A155" s="8">
        <v>42991.650520833333</v>
      </c>
      <c r="B155" s="20" t="s">
        <v>449</v>
      </c>
      <c r="C155" s="20" t="s">
        <v>761</v>
      </c>
      <c r="D155" s="138">
        <v>2000000</v>
      </c>
      <c r="E155" s="20" t="s">
        <v>466</v>
      </c>
      <c r="F155" s="20" t="s">
        <v>383</v>
      </c>
      <c r="G155" s="8" t="str">
        <f t="shared" si="4"/>
        <v>STAMBAUGH JAMES</v>
      </c>
      <c r="H155" s="20" t="str">
        <f t="shared" si="5"/>
        <v>4026</v>
      </c>
    </row>
    <row r="156" spans="1:8" x14ac:dyDescent="0.25">
      <c r="A156" s="8">
        <v>42991.652141203704</v>
      </c>
      <c r="B156" s="20" t="s">
        <v>393</v>
      </c>
      <c r="C156" s="20" t="s">
        <v>762</v>
      </c>
      <c r="D156" s="138">
        <v>2370000</v>
      </c>
      <c r="E156" s="20" t="s">
        <v>711</v>
      </c>
      <c r="F156" s="20" t="s">
        <v>712</v>
      </c>
      <c r="G156" s="8" t="str">
        <f t="shared" si="4"/>
        <v>DELGADO DIANAH</v>
      </c>
      <c r="H156" s="20" t="str">
        <f t="shared" si="5"/>
        <v>4010</v>
      </c>
    </row>
    <row r="157" spans="1:8" x14ac:dyDescent="0.25">
      <c r="A157" s="8">
        <v>42991.656354166669</v>
      </c>
      <c r="B157" s="20" t="s">
        <v>476</v>
      </c>
      <c r="C157" s="20" t="s">
        <v>763</v>
      </c>
      <c r="D157" s="138">
        <v>3280000</v>
      </c>
      <c r="E157" s="20" t="s">
        <v>527</v>
      </c>
      <c r="F157" s="20" t="s">
        <v>528</v>
      </c>
      <c r="G157" s="8" t="str">
        <f t="shared" si="4"/>
        <v>BIRKHOLZ NADINE</v>
      </c>
      <c r="H157" s="20" t="str">
        <f t="shared" si="5"/>
        <v>4065</v>
      </c>
    </row>
    <row r="158" spans="1:8" x14ac:dyDescent="0.25">
      <c r="A158" s="8">
        <v>42991.659872685188</v>
      </c>
      <c r="B158" s="20" t="s">
        <v>410</v>
      </c>
      <c r="C158" s="20" t="s">
        <v>764</v>
      </c>
      <c r="D158" s="138">
        <v>2040000</v>
      </c>
      <c r="E158" s="20" t="s">
        <v>521</v>
      </c>
      <c r="F158" s="20" t="s">
        <v>522</v>
      </c>
      <c r="G158" s="8" t="str">
        <f t="shared" si="4"/>
        <v>MOSES BRADLEY</v>
      </c>
      <c r="H158" s="20" t="str">
        <f t="shared" si="5"/>
        <v>4015</v>
      </c>
    </row>
    <row r="159" spans="1:8" x14ac:dyDescent="0.25">
      <c r="A159" s="8">
        <v>42991.662638888891</v>
      </c>
      <c r="B159" s="20" t="s">
        <v>580</v>
      </c>
      <c r="C159" s="20" t="s">
        <v>765</v>
      </c>
      <c r="D159" s="138">
        <v>2970000</v>
      </c>
      <c r="E159" s="20" t="s">
        <v>454</v>
      </c>
      <c r="F159" s="20" t="s">
        <v>455</v>
      </c>
      <c r="G159" s="8" t="str">
        <f t="shared" si="4"/>
        <v>GUZMAN DANNY</v>
      </c>
      <c r="H159" s="20" t="str">
        <f t="shared" si="5"/>
        <v>4043</v>
      </c>
    </row>
    <row r="160" spans="1:8" x14ac:dyDescent="0.25">
      <c r="A160" s="8">
        <v>42991.663043981483</v>
      </c>
      <c r="B160" s="20" t="s">
        <v>398</v>
      </c>
      <c r="C160" s="20" t="s">
        <v>766</v>
      </c>
      <c r="D160" s="138">
        <v>920000</v>
      </c>
      <c r="E160" s="20" t="s">
        <v>345</v>
      </c>
      <c r="F160" s="20" t="s">
        <v>191</v>
      </c>
      <c r="G160" s="8" t="str">
        <f t="shared" si="4"/>
        <v>DAVIS MICHAEL</v>
      </c>
      <c r="H160" s="20" t="str">
        <f t="shared" si="5"/>
        <v>4020</v>
      </c>
    </row>
    <row r="161" spans="1:8" x14ac:dyDescent="0.25">
      <c r="A161" s="8">
        <v>42991.663888888892</v>
      </c>
      <c r="B161" s="20" t="s">
        <v>600</v>
      </c>
      <c r="C161" s="20" t="s">
        <v>767</v>
      </c>
      <c r="D161" s="138">
        <v>2000000</v>
      </c>
      <c r="E161" s="20" t="s">
        <v>466</v>
      </c>
      <c r="F161" s="20" t="s">
        <v>383</v>
      </c>
      <c r="G161" s="8" t="str">
        <f t="shared" si="4"/>
        <v>STAMBAUGH JAMES</v>
      </c>
      <c r="H161" s="20" t="str">
        <f t="shared" si="5"/>
        <v>4025</v>
      </c>
    </row>
    <row r="162" spans="1:8" x14ac:dyDescent="0.25">
      <c r="A162" s="8">
        <v>42991.666018518517</v>
      </c>
      <c r="B162" s="20" t="s">
        <v>413</v>
      </c>
      <c r="C162" s="20" t="s">
        <v>768</v>
      </c>
      <c r="D162" s="138">
        <v>2350000</v>
      </c>
      <c r="E162" s="20" t="s">
        <v>753</v>
      </c>
      <c r="F162" s="20" t="s">
        <v>754</v>
      </c>
      <c r="G162" s="8" t="str">
        <f t="shared" si="4"/>
        <v>BERLING GARY</v>
      </c>
      <c r="H162" s="20" t="str">
        <f t="shared" si="5"/>
        <v>4060</v>
      </c>
    </row>
    <row r="163" spans="1:8" x14ac:dyDescent="0.25">
      <c r="A163" s="8">
        <v>42991.6719212963</v>
      </c>
      <c r="B163" s="20" t="s">
        <v>413</v>
      </c>
      <c r="C163" s="20" t="s">
        <v>768</v>
      </c>
      <c r="D163" s="138">
        <v>2350000</v>
      </c>
      <c r="E163" s="20" t="s">
        <v>753</v>
      </c>
      <c r="F163" s="20" t="s">
        <v>754</v>
      </c>
      <c r="G163" s="8" t="str">
        <f t="shared" si="4"/>
        <v>BERLING GARY</v>
      </c>
      <c r="H163" s="20" t="str">
        <f t="shared" si="5"/>
        <v>4060</v>
      </c>
    </row>
    <row r="164" spans="1:8" x14ac:dyDescent="0.25">
      <c r="A164" s="8">
        <v>42991.674178240741</v>
      </c>
      <c r="B164" s="20" t="s">
        <v>463</v>
      </c>
      <c r="C164" s="20" t="s">
        <v>769</v>
      </c>
      <c r="D164" s="138">
        <v>3130000</v>
      </c>
      <c r="E164" s="20" t="s">
        <v>525</v>
      </c>
      <c r="F164" s="20" t="s">
        <v>526</v>
      </c>
      <c r="G164" s="8" t="str">
        <f t="shared" si="4"/>
        <v>ZEWDU DEREJE</v>
      </c>
      <c r="H164" s="20" t="str">
        <f t="shared" si="5"/>
        <v>4056</v>
      </c>
    </row>
    <row r="165" spans="1:8" x14ac:dyDescent="0.25">
      <c r="A165" s="8">
        <v>42991.681990740741</v>
      </c>
      <c r="B165" s="20" t="s">
        <v>513</v>
      </c>
      <c r="C165" s="20" t="s">
        <v>770</v>
      </c>
      <c r="D165" s="138">
        <v>1300000</v>
      </c>
      <c r="E165" s="20" t="s">
        <v>523</v>
      </c>
      <c r="F165" s="20" t="s">
        <v>524</v>
      </c>
      <c r="G165" s="8" t="str">
        <f t="shared" si="4"/>
        <v>LEVIN SCOTT</v>
      </c>
      <c r="H165" s="20" t="str">
        <f t="shared" si="5"/>
        <v>4005</v>
      </c>
    </row>
    <row r="166" spans="1:8" x14ac:dyDescent="0.25">
      <c r="A166" s="8">
        <v>42991.683275462965</v>
      </c>
      <c r="B166" s="20" t="s">
        <v>511</v>
      </c>
      <c r="C166" s="20" t="s">
        <v>771</v>
      </c>
      <c r="D166" s="138">
        <v>1770000</v>
      </c>
      <c r="E166" s="20" t="s">
        <v>519</v>
      </c>
      <c r="F166" s="20" t="s">
        <v>520</v>
      </c>
      <c r="G166" s="8" t="str">
        <f t="shared" si="4"/>
        <v>BRUDER RICHARD</v>
      </c>
      <c r="H166" s="20" t="str">
        <f t="shared" si="5"/>
        <v>4028</v>
      </c>
    </row>
    <row r="167" spans="1:8" x14ac:dyDescent="0.25">
      <c r="A167" s="8">
        <v>42991.686006944445</v>
      </c>
      <c r="B167" s="20" t="s">
        <v>475</v>
      </c>
      <c r="C167" s="20" t="s">
        <v>602</v>
      </c>
      <c r="D167" s="138">
        <v>3280000</v>
      </c>
      <c r="E167" s="20" t="s">
        <v>527</v>
      </c>
      <c r="F167" s="20" t="s">
        <v>528</v>
      </c>
      <c r="G167" s="8" t="str">
        <f t="shared" si="4"/>
        <v>BIRKHOLZ NADINE</v>
      </c>
      <c r="H167" s="20" t="str">
        <f t="shared" si="5"/>
        <v>4066</v>
      </c>
    </row>
    <row r="168" spans="1:8" x14ac:dyDescent="0.25">
      <c r="A168" s="8">
        <v>42991.688055555554</v>
      </c>
      <c r="B168" s="20" t="s">
        <v>409</v>
      </c>
      <c r="C168" s="20" t="s">
        <v>772</v>
      </c>
      <c r="D168" s="138">
        <v>2350000</v>
      </c>
      <c r="E168" s="20" t="s">
        <v>753</v>
      </c>
      <c r="F168" s="20" t="s">
        <v>754</v>
      </c>
      <c r="G168" s="8" t="str">
        <f t="shared" si="4"/>
        <v>BERLING GARY</v>
      </c>
      <c r="H168" s="20" t="str">
        <f t="shared" si="5"/>
        <v>4059</v>
      </c>
    </row>
    <row r="169" spans="1:8" x14ac:dyDescent="0.25">
      <c r="A169" s="8">
        <v>42991.689629629633</v>
      </c>
      <c r="B169" s="20" t="s">
        <v>392</v>
      </c>
      <c r="C169" s="20" t="s">
        <v>773</v>
      </c>
      <c r="D169" s="138">
        <v>2370000</v>
      </c>
      <c r="E169" s="20" t="s">
        <v>711</v>
      </c>
      <c r="F169" s="20" t="s">
        <v>712</v>
      </c>
      <c r="G169" s="8" t="str">
        <f t="shared" si="4"/>
        <v>DELGADO DIANAH</v>
      </c>
      <c r="H169" s="20" t="str">
        <f t="shared" si="5"/>
        <v>4009</v>
      </c>
    </row>
    <row r="170" spans="1:8" x14ac:dyDescent="0.25">
      <c r="A170" s="8">
        <v>42991.691736111112</v>
      </c>
      <c r="B170" s="20" t="s">
        <v>449</v>
      </c>
      <c r="C170" s="20" t="s">
        <v>774</v>
      </c>
      <c r="D170" s="138">
        <v>2000000</v>
      </c>
      <c r="E170" s="20" t="s">
        <v>466</v>
      </c>
      <c r="F170" s="20" t="s">
        <v>383</v>
      </c>
      <c r="G170" s="8" t="str">
        <f t="shared" si="4"/>
        <v>STAMBAUGH JAMES</v>
      </c>
      <c r="H170" s="20" t="str">
        <f t="shared" si="5"/>
        <v>4026</v>
      </c>
    </row>
    <row r="171" spans="1:8" x14ac:dyDescent="0.25">
      <c r="A171" s="8">
        <v>42991.695150462961</v>
      </c>
      <c r="B171" s="20" t="s">
        <v>411</v>
      </c>
      <c r="C171" s="20" t="s">
        <v>775</v>
      </c>
      <c r="D171" s="138">
        <v>2040000</v>
      </c>
      <c r="E171" s="20" t="s">
        <v>521</v>
      </c>
      <c r="F171" s="20" t="s">
        <v>522</v>
      </c>
      <c r="G171" s="8" t="str">
        <f t="shared" si="4"/>
        <v>MOSES BRADLEY</v>
      </c>
      <c r="H171" s="20" t="str">
        <f t="shared" si="5"/>
        <v>4016</v>
      </c>
    </row>
    <row r="172" spans="1:8" x14ac:dyDescent="0.25">
      <c r="A172" s="8">
        <v>42991.695798611108</v>
      </c>
      <c r="B172" s="20" t="s">
        <v>611</v>
      </c>
      <c r="C172" s="20" t="s">
        <v>776</v>
      </c>
      <c r="D172" s="138">
        <v>1810000</v>
      </c>
      <c r="E172" s="20" t="s">
        <v>518</v>
      </c>
      <c r="F172" s="20" t="s">
        <v>383</v>
      </c>
      <c r="G172" s="8" t="str">
        <f t="shared" si="4"/>
        <v>NEWELL JAMES</v>
      </c>
      <c r="H172" s="20" t="str">
        <f t="shared" si="5"/>
        <v>4040</v>
      </c>
    </row>
    <row r="173" spans="1:8" x14ac:dyDescent="0.25">
      <c r="A173" s="8">
        <v>42991.696284722224</v>
      </c>
      <c r="B173" s="20" t="s">
        <v>611</v>
      </c>
      <c r="C173" s="20" t="s">
        <v>776</v>
      </c>
      <c r="D173" s="138">
        <v>1810000</v>
      </c>
      <c r="E173" s="20" t="s">
        <v>518</v>
      </c>
      <c r="F173" s="20" t="s">
        <v>383</v>
      </c>
      <c r="G173" s="8" t="str">
        <f t="shared" si="4"/>
        <v>NEWELL JAMES</v>
      </c>
      <c r="H173" s="20" t="str">
        <f t="shared" si="5"/>
        <v>4040</v>
      </c>
    </row>
    <row r="174" spans="1:8" x14ac:dyDescent="0.25">
      <c r="A174" s="8">
        <v>42991.702569444446</v>
      </c>
      <c r="B174" s="20" t="s">
        <v>583</v>
      </c>
      <c r="C174" s="20" t="s">
        <v>777</v>
      </c>
      <c r="D174" s="138">
        <v>2970000</v>
      </c>
      <c r="E174" s="20" t="s">
        <v>454</v>
      </c>
      <c r="F174" s="20" t="s">
        <v>455</v>
      </c>
      <c r="G174" s="8" t="str">
        <f t="shared" si="4"/>
        <v>GUZMAN DANNY</v>
      </c>
      <c r="H174" s="20" t="str">
        <f t="shared" si="5"/>
        <v>4044</v>
      </c>
    </row>
    <row r="175" spans="1:8" x14ac:dyDescent="0.25">
      <c r="A175" s="8">
        <v>42991.704340277778</v>
      </c>
      <c r="B175" s="20" t="s">
        <v>399</v>
      </c>
      <c r="C175" s="20" t="s">
        <v>778</v>
      </c>
      <c r="D175" s="138">
        <v>920000</v>
      </c>
      <c r="E175" s="20" t="s">
        <v>345</v>
      </c>
      <c r="F175" s="20" t="s">
        <v>191</v>
      </c>
      <c r="G175" s="8" t="str">
        <f t="shared" si="4"/>
        <v>DAVIS MICHAEL</v>
      </c>
      <c r="H175" s="20" t="str">
        <f t="shared" si="5"/>
        <v>4019</v>
      </c>
    </row>
    <row r="176" spans="1:8" x14ac:dyDescent="0.25">
      <c r="A176" s="8">
        <v>42991.705405092594</v>
      </c>
      <c r="B176" s="20" t="s">
        <v>600</v>
      </c>
      <c r="C176" s="20" t="s">
        <v>779</v>
      </c>
      <c r="D176" s="138">
        <v>2000000</v>
      </c>
      <c r="E176" s="20" t="s">
        <v>466</v>
      </c>
      <c r="F176" s="20" t="s">
        <v>383</v>
      </c>
      <c r="G176" s="8" t="str">
        <f t="shared" si="4"/>
        <v>STAMBAUGH JAMES</v>
      </c>
      <c r="H176" s="20" t="str">
        <f t="shared" si="5"/>
        <v>4025</v>
      </c>
    </row>
    <row r="177" spans="1:8" x14ac:dyDescent="0.25">
      <c r="A177" s="8">
        <v>42991.707407407404</v>
      </c>
      <c r="B177" s="20" t="s">
        <v>413</v>
      </c>
      <c r="C177" s="20" t="s">
        <v>780</v>
      </c>
      <c r="D177" s="138">
        <v>1180000</v>
      </c>
      <c r="E177" s="20" t="s">
        <v>387</v>
      </c>
      <c r="F177" s="20" t="s">
        <v>388</v>
      </c>
      <c r="G177" s="8" t="str">
        <f t="shared" si="4"/>
        <v>LEVERE CRAIG</v>
      </c>
      <c r="H177" s="20" t="str">
        <f t="shared" si="5"/>
        <v>4060</v>
      </c>
    </row>
    <row r="178" spans="1:8" x14ac:dyDescent="0.25">
      <c r="A178" s="8">
        <v>42991.709768518522</v>
      </c>
      <c r="B178" s="20" t="s">
        <v>476</v>
      </c>
      <c r="C178" s="20" t="s">
        <v>763</v>
      </c>
      <c r="D178" s="138">
        <v>3280000</v>
      </c>
      <c r="E178" s="20" t="s">
        <v>527</v>
      </c>
      <c r="F178" s="20" t="s">
        <v>528</v>
      </c>
      <c r="G178" s="8" t="str">
        <f t="shared" si="4"/>
        <v>BIRKHOLZ NADINE</v>
      </c>
      <c r="H178" s="20" t="str">
        <f t="shared" si="5"/>
        <v>4065</v>
      </c>
    </row>
    <row r="179" spans="1:8" x14ac:dyDescent="0.25">
      <c r="A179" s="8">
        <v>42991.710486111115</v>
      </c>
      <c r="B179" s="20" t="s">
        <v>453</v>
      </c>
      <c r="C179" s="20" t="s">
        <v>781</v>
      </c>
      <c r="D179" s="138">
        <v>2440000</v>
      </c>
      <c r="E179" s="20" t="s">
        <v>782</v>
      </c>
      <c r="F179" s="20" t="s">
        <v>783</v>
      </c>
      <c r="G179" s="8" t="str">
        <f t="shared" si="4"/>
        <v>LOPES KIMBERLY</v>
      </c>
      <c r="H179" s="20" t="str">
        <f t="shared" si="5"/>
        <v>4054</v>
      </c>
    </row>
    <row r="180" spans="1:8" x14ac:dyDescent="0.25">
      <c r="A180" s="8">
        <v>42991.713530092595</v>
      </c>
      <c r="B180" s="20" t="s">
        <v>448</v>
      </c>
      <c r="C180" s="20" t="s">
        <v>603</v>
      </c>
      <c r="D180" s="138">
        <v>1300000</v>
      </c>
      <c r="E180" s="20" t="s">
        <v>523</v>
      </c>
      <c r="F180" s="20" t="s">
        <v>524</v>
      </c>
      <c r="G180" s="8" t="str">
        <f t="shared" si="4"/>
        <v>LEVIN SCOTT</v>
      </c>
      <c r="H180" s="20" t="str">
        <f t="shared" si="5"/>
        <v>4006</v>
      </c>
    </row>
    <row r="181" spans="1:8" x14ac:dyDescent="0.25">
      <c r="A181" s="8">
        <v>42991.71361111111</v>
      </c>
      <c r="B181" s="20" t="s">
        <v>596</v>
      </c>
      <c r="C181" s="20" t="s">
        <v>784</v>
      </c>
      <c r="D181" s="138">
        <v>3130000</v>
      </c>
      <c r="E181" s="20" t="s">
        <v>525</v>
      </c>
      <c r="F181" s="20" t="s">
        <v>526</v>
      </c>
      <c r="G181" s="8" t="str">
        <f t="shared" si="4"/>
        <v>ZEWDU DEREJE</v>
      </c>
      <c r="H181" s="20" t="str">
        <f t="shared" si="5"/>
        <v>4055</v>
      </c>
    </row>
    <row r="182" spans="1:8" x14ac:dyDescent="0.25">
      <c r="A182" s="8">
        <v>42991.723391203705</v>
      </c>
      <c r="B182" s="20" t="s">
        <v>393</v>
      </c>
      <c r="C182" s="20" t="s">
        <v>785</v>
      </c>
      <c r="D182" s="138">
        <v>2370000</v>
      </c>
      <c r="E182" s="20" t="s">
        <v>711</v>
      </c>
      <c r="F182" s="20" t="s">
        <v>712</v>
      </c>
      <c r="G182" s="8" t="str">
        <f t="shared" si="4"/>
        <v>DELGADO DIANAH</v>
      </c>
      <c r="H182" s="20" t="str">
        <f t="shared" si="5"/>
        <v>4010</v>
      </c>
    </row>
    <row r="183" spans="1:8" x14ac:dyDescent="0.25">
      <c r="A183" s="8">
        <v>42991.725335648145</v>
      </c>
      <c r="B183" s="20" t="s">
        <v>512</v>
      </c>
      <c r="C183" s="20" t="s">
        <v>786</v>
      </c>
      <c r="D183" s="138">
        <v>1770000</v>
      </c>
      <c r="E183" s="20" t="s">
        <v>519</v>
      </c>
      <c r="F183" s="20" t="s">
        <v>520</v>
      </c>
      <c r="G183" s="8" t="str">
        <f t="shared" si="4"/>
        <v>BRUDER RICHARD</v>
      </c>
      <c r="H183" s="20" t="str">
        <f t="shared" si="5"/>
        <v>4027</v>
      </c>
    </row>
    <row r="184" spans="1:8" x14ac:dyDescent="0.25">
      <c r="A184" s="8">
        <v>42991.727592592593</v>
      </c>
      <c r="B184" s="20" t="s">
        <v>409</v>
      </c>
      <c r="C184" s="20" t="s">
        <v>787</v>
      </c>
      <c r="D184" s="138">
        <v>1180000</v>
      </c>
      <c r="E184" s="20" t="s">
        <v>387</v>
      </c>
      <c r="F184" s="20" t="s">
        <v>388</v>
      </c>
      <c r="G184" s="8" t="str">
        <f t="shared" si="4"/>
        <v>LEVERE CRAIG</v>
      </c>
      <c r="H184" s="20" t="str">
        <f t="shared" si="5"/>
        <v>4059</v>
      </c>
    </row>
    <row r="185" spans="1:8" x14ac:dyDescent="0.25">
      <c r="A185" s="8">
        <v>42991.733472222222</v>
      </c>
      <c r="B185" s="20" t="s">
        <v>410</v>
      </c>
      <c r="C185" s="20" t="s">
        <v>788</v>
      </c>
      <c r="D185" s="138">
        <v>2040000</v>
      </c>
      <c r="E185" s="20" t="s">
        <v>521</v>
      </c>
      <c r="F185" s="20" t="s">
        <v>522</v>
      </c>
      <c r="G185" s="8" t="str">
        <f t="shared" si="4"/>
        <v>MOSES BRADLEY</v>
      </c>
      <c r="H185" s="20" t="str">
        <f t="shared" si="5"/>
        <v>4015</v>
      </c>
    </row>
    <row r="186" spans="1:8" x14ac:dyDescent="0.25">
      <c r="A186" s="8">
        <v>42991.734375</v>
      </c>
      <c r="B186" s="20" t="s">
        <v>449</v>
      </c>
      <c r="C186" s="20" t="s">
        <v>774</v>
      </c>
      <c r="D186" s="138">
        <v>2000000</v>
      </c>
      <c r="E186" s="20" t="s">
        <v>466</v>
      </c>
      <c r="F186" s="20" t="s">
        <v>383</v>
      </c>
      <c r="G186" s="8" t="str">
        <f t="shared" si="4"/>
        <v>STAMBAUGH JAMES</v>
      </c>
      <c r="H186" s="20" t="str">
        <f t="shared" si="5"/>
        <v>4026</v>
      </c>
    </row>
    <row r="187" spans="1:8" x14ac:dyDescent="0.25">
      <c r="A187" s="8">
        <v>42991.736226851855</v>
      </c>
      <c r="B187" s="20" t="s">
        <v>515</v>
      </c>
      <c r="C187" s="20" t="s">
        <v>789</v>
      </c>
      <c r="D187" s="138">
        <v>3310000</v>
      </c>
      <c r="E187" s="20" t="s">
        <v>456</v>
      </c>
      <c r="F187" s="20" t="s">
        <v>457</v>
      </c>
      <c r="G187" s="8" t="str">
        <f t="shared" si="4"/>
        <v>ANDERS STEVEN</v>
      </c>
      <c r="H187" s="20" t="str">
        <f t="shared" si="5"/>
        <v>4011</v>
      </c>
    </row>
    <row r="188" spans="1:8" x14ac:dyDescent="0.25">
      <c r="A188" s="8">
        <v>42991.736817129633</v>
      </c>
      <c r="B188" s="20" t="s">
        <v>398</v>
      </c>
      <c r="C188" s="20" t="s">
        <v>790</v>
      </c>
      <c r="D188" s="138">
        <v>2680000</v>
      </c>
      <c r="E188" s="20" t="s">
        <v>394</v>
      </c>
      <c r="F188" s="20" t="s">
        <v>395</v>
      </c>
      <c r="G188" s="8" t="str">
        <f t="shared" si="4"/>
        <v>DUNCAN SHEILA</v>
      </c>
      <c r="H188" s="20" t="str">
        <f t="shared" si="5"/>
        <v>4020</v>
      </c>
    </row>
    <row r="189" spans="1:8" x14ac:dyDescent="0.25">
      <c r="A189" s="8">
        <v>42991.739108796297</v>
      </c>
      <c r="B189" s="20" t="s">
        <v>580</v>
      </c>
      <c r="C189" s="20" t="s">
        <v>791</v>
      </c>
      <c r="D189" s="138">
        <v>2970000</v>
      </c>
      <c r="E189" s="20" t="s">
        <v>454</v>
      </c>
      <c r="F189" s="20" t="s">
        <v>455</v>
      </c>
      <c r="G189" s="8" t="str">
        <f t="shared" si="4"/>
        <v>GUZMAN DANNY</v>
      </c>
      <c r="H189" s="20" t="str">
        <f t="shared" si="5"/>
        <v>4043</v>
      </c>
    </row>
    <row r="190" spans="1:8" x14ac:dyDescent="0.25">
      <c r="A190" s="8">
        <v>42991.74145833333</v>
      </c>
      <c r="B190" s="20" t="s">
        <v>512</v>
      </c>
      <c r="C190" s="20" t="s">
        <v>786</v>
      </c>
      <c r="D190" s="138">
        <v>1770000</v>
      </c>
      <c r="E190" s="20" t="s">
        <v>519</v>
      </c>
      <c r="F190" s="20" t="s">
        <v>520</v>
      </c>
      <c r="G190" s="8" t="str">
        <f t="shared" si="4"/>
        <v>BRUDER RICHARD</v>
      </c>
      <c r="H190" s="20" t="str">
        <f t="shared" si="5"/>
        <v>4027</v>
      </c>
    </row>
    <row r="191" spans="1:8" x14ac:dyDescent="0.25">
      <c r="A191" s="8">
        <v>42991.744375000002</v>
      </c>
      <c r="B191" s="20" t="s">
        <v>463</v>
      </c>
      <c r="C191" s="20" t="s">
        <v>792</v>
      </c>
      <c r="D191" s="138">
        <v>2420000</v>
      </c>
      <c r="E191" s="20" t="s">
        <v>726</v>
      </c>
      <c r="F191" s="20" t="s">
        <v>727</v>
      </c>
      <c r="G191" s="8" t="str">
        <f t="shared" si="4"/>
        <v>HOLCOMB KAMDEN</v>
      </c>
      <c r="H191" s="20" t="str">
        <f t="shared" si="5"/>
        <v>4056</v>
      </c>
    </row>
    <row r="192" spans="1:8" x14ac:dyDescent="0.25">
      <c r="A192" s="8">
        <v>42991.748356481483</v>
      </c>
      <c r="B192" s="20" t="s">
        <v>600</v>
      </c>
      <c r="C192" s="20" t="s">
        <v>793</v>
      </c>
      <c r="D192" s="138">
        <v>2000000</v>
      </c>
      <c r="E192" s="20" t="s">
        <v>466</v>
      </c>
      <c r="F192" s="20" t="s">
        <v>383</v>
      </c>
      <c r="G192" s="8" t="str">
        <f t="shared" si="4"/>
        <v>STAMBAUGH JAMES</v>
      </c>
      <c r="H192" s="20" t="str">
        <f t="shared" si="5"/>
        <v>4025</v>
      </c>
    </row>
    <row r="193" spans="1:8" x14ac:dyDescent="0.25">
      <c r="A193" s="8">
        <v>42991.753067129626</v>
      </c>
      <c r="B193" s="20" t="s">
        <v>413</v>
      </c>
      <c r="C193" s="20" t="s">
        <v>794</v>
      </c>
      <c r="D193" s="138">
        <v>1180000</v>
      </c>
      <c r="E193" s="20" t="s">
        <v>387</v>
      </c>
      <c r="F193" s="20" t="s">
        <v>388</v>
      </c>
      <c r="G193" s="8" t="str">
        <f t="shared" si="4"/>
        <v>LEVERE CRAIG</v>
      </c>
      <c r="H193" s="20" t="str">
        <f t="shared" si="5"/>
        <v>4060</v>
      </c>
    </row>
    <row r="194" spans="1:8" x14ac:dyDescent="0.25">
      <c r="A194" s="8">
        <v>42991.754675925928</v>
      </c>
      <c r="B194" s="20" t="s">
        <v>513</v>
      </c>
      <c r="C194" s="20" t="s">
        <v>795</v>
      </c>
      <c r="D194" s="138">
        <v>1300000</v>
      </c>
      <c r="E194" s="20" t="s">
        <v>523</v>
      </c>
      <c r="F194" s="20" t="s">
        <v>524</v>
      </c>
      <c r="G194" s="8" t="str">
        <f t="shared" si="4"/>
        <v>LEVIN SCOTT</v>
      </c>
      <c r="H194" s="20" t="str">
        <f t="shared" si="5"/>
        <v>4005</v>
      </c>
    </row>
    <row r="195" spans="1:8" x14ac:dyDescent="0.25">
      <c r="A195" s="8">
        <v>42991.760648148149</v>
      </c>
      <c r="B195" s="20" t="s">
        <v>511</v>
      </c>
      <c r="C195" s="20" t="s">
        <v>796</v>
      </c>
      <c r="D195" s="138">
        <v>890000</v>
      </c>
      <c r="E195" s="20" t="s">
        <v>374</v>
      </c>
      <c r="F195" s="20" t="s">
        <v>375</v>
      </c>
      <c r="G195" s="8" t="str">
        <f t="shared" ref="G195:G258" si="6">E195&amp;" "&amp;F195</f>
        <v>LOZA FIDEL</v>
      </c>
      <c r="H195" s="20" t="str">
        <f t="shared" ref="H195:H258" si="7">MID(B195,13,4)</f>
        <v>4028</v>
      </c>
    </row>
    <row r="196" spans="1:8" x14ac:dyDescent="0.25">
      <c r="A196" s="8">
        <v>42991.765949074077</v>
      </c>
      <c r="B196" s="20" t="s">
        <v>392</v>
      </c>
      <c r="C196" s="20" t="s">
        <v>797</v>
      </c>
      <c r="D196" s="138">
        <v>2370000</v>
      </c>
      <c r="E196" s="20" t="s">
        <v>711</v>
      </c>
      <c r="F196" s="20" t="s">
        <v>712</v>
      </c>
      <c r="G196" s="8" t="str">
        <f t="shared" si="6"/>
        <v>DELGADO DIANAH</v>
      </c>
      <c r="H196" s="20" t="str">
        <f t="shared" si="7"/>
        <v>4009</v>
      </c>
    </row>
    <row r="197" spans="1:8" x14ac:dyDescent="0.25">
      <c r="A197" s="8">
        <v>42991.768333333333</v>
      </c>
      <c r="B197" s="20" t="s">
        <v>411</v>
      </c>
      <c r="C197" s="20" t="s">
        <v>798</v>
      </c>
      <c r="D197" s="138">
        <v>3190000</v>
      </c>
      <c r="E197" s="20" t="s">
        <v>402</v>
      </c>
      <c r="F197" s="20" t="s">
        <v>403</v>
      </c>
      <c r="G197" s="8" t="str">
        <f t="shared" si="6"/>
        <v>HART KEVIN</v>
      </c>
      <c r="H197" s="20" t="str">
        <f t="shared" si="7"/>
        <v>4016</v>
      </c>
    </row>
    <row r="198" spans="1:8" x14ac:dyDescent="0.25">
      <c r="A198" s="8">
        <v>42991.769317129627</v>
      </c>
      <c r="B198" s="20" t="s">
        <v>399</v>
      </c>
      <c r="C198" s="20" t="s">
        <v>799</v>
      </c>
      <c r="D198" s="138">
        <v>2680000</v>
      </c>
      <c r="E198" s="20" t="s">
        <v>394</v>
      </c>
      <c r="F198" s="20" t="s">
        <v>395</v>
      </c>
      <c r="G198" s="8" t="str">
        <f t="shared" si="6"/>
        <v>DUNCAN SHEILA</v>
      </c>
      <c r="H198" s="20" t="str">
        <f t="shared" si="7"/>
        <v>4019</v>
      </c>
    </row>
    <row r="199" spans="1:8" x14ac:dyDescent="0.25">
      <c r="A199" s="8">
        <v>42991.769884259258</v>
      </c>
      <c r="B199" s="20" t="s">
        <v>409</v>
      </c>
      <c r="C199" s="20" t="s">
        <v>800</v>
      </c>
      <c r="D199" s="138">
        <v>1180000</v>
      </c>
      <c r="E199" s="20" t="s">
        <v>387</v>
      </c>
      <c r="F199" s="20" t="s">
        <v>388</v>
      </c>
      <c r="G199" s="8" t="str">
        <f t="shared" si="6"/>
        <v>LEVERE CRAIG</v>
      </c>
      <c r="H199" s="20" t="str">
        <f t="shared" si="7"/>
        <v>4059</v>
      </c>
    </row>
    <row r="200" spans="1:8" x14ac:dyDescent="0.25">
      <c r="A200" s="8">
        <v>42991.776053240741</v>
      </c>
      <c r="B200" s="20" t="s">
        <v>449</v>
      </c>
      <c r="C200" s="20" t="s">
        <v>801</v>
      </c>
      <c r="D200" s="138">
        <v>2000000</v>
      </c>
      <c r="E200" s="20" t="s">
        <v>466</v>
      </c>
      <c r="F200" s="20" t="s">
        <v>383</v>
      </c>
      <c r="G200" s="8" t="str">
        <f t="shared" si="6"/>
        <v>STAMBAUGH JAMES</v>
      </c>
      <c r="H200" s="20" t="str">
        <f t="shared" si="7"/>
        <v>4026</v>
      </c>
    </row>
    <row r="201" spans="1:8" x14ac:dyDescent="0.25">
      <c r="A201" s="8">
        <v>42991.778124999997</v>
      </c>
      <c r="B201" s="20" t="s">
        <v>583</v>
      </c>
      <c r="C201" s="20" t="s">
        <v>802</v>
      </c>
      <c r="D201" s="138">
        <v>2970000</v>
      </c>
      <c r="E201" s="20" t="s">
        <v>454</v>
      </c>
      <c r="F201" s="20" t="s">
        <v>455</v>
      </c>
      <c r="G201" s="8" t="str">
        <f t="shared" si="6"/>
        <v>GUZMAN DANNY</v>
      </c>
      <c r="H201" s="20" t="str">
        <f t="shared" si="7"/>
        <v>4044</v>
      </c>
    </row>
    <row r="202" spans="1:8" x14ac:dyDescent="0.25">
      <c r="A202" s="26">
        <v>42991.784930555557</v>
      </c>
      <c r="B202" s="20" t="s">
        <v>596</v>
      </c>
      <c r="C202" s="20" t="s">
        <v>803</v>
      </c>
      <c r="D202" s="138">
        <v>2420000</v>
      </c>
      <c r="E202" s="20" t="s">
        <v>726</v>
      </c>
      <c r="F202" s="20" t="s">
        <v>727</v>
      </c>
      <c r="G202" s="8" t="str">
        <f t="shared" si="6"/>
        <v>HOLCOMB KAMDEN</v>
      </c>
      <c r="H202" s="20" t="str">
        <f t="shared" si="7"/>
        <v>4055</v>
      </c>
    </row>
    <row r="203" spans="1:8" x14ac:dyDescent="0.25">
      <c r="A203" s="8">
        <v>42991.786215277774</v>
      </c>
      <c r="B203" s="20" t="s">
        <v>448</v>
      </c>
      <c r="C203" s="20" t="s">
        <v>604</v>
      </c>
      <c r="D203" s="138">
        <v>2620000</v>
      </c>
      <c r="E203" s="20" t="s">
        <v>400</v>
      </c>
      <c r="F203" s="20" t="s">
        <v>401</v>
      </c>
      <c r="G203" s="8" t="str">
        <f t="shared" si="6"/>
        <v>PERKINS DARREN</v>
      </c>
      <c r="H203" s="20" t="str">
        <f t="shared" si="7"/>
        <v>4006</v>
      </c>
    </row>
    <row r="204" spans="1:8" x14ac:dyDescent="0.25">
      <c r="A204" s="8">
        <v>42991.788703703707</v>
      </c>
      <c r="B204" s="20" t="s">
        <v>600</v>
      </c>
      <c r="C204" s="20" t="s">
        <v>804</v>
      </c>
      <c r="D204" s="138">
        <v>2000000</v>
      </c>
      <c r="E204" s="20" t="s">
        <v>466</v>
      </c>
      <c r="F204" s="20" t="s">
        <v>383</v>
      </c>
      <c r="G204" s="8" t="str">
        <f t="shared" si="6"/>
        <v>STAMBAUGH JAMES</v>
      </c>
      <c r="H204" s="20" t="str">
        <f t="shared" si="7"/>
        <v>4025</v>
      </c>
    </row>
    <row r="205" spans="1:8" x14ac:dyDescent="0.25">
      <c r="A205" s="8">
        <v>42991.7966087963</v>
      </c>
      <c r="B205" s="20" t="s">
        <v>393</v>
      </c>
      <c r="C205" s="20" t="s">
        <v>805</v>
      </c>
      <c r="D205" s="138">
        <v>2370000</v>
      </c>
      <c r="E205" s="20" t="s">
        <v>711</v>
      </c>
      <c r="F205" s="20" t="s">
        <v>712</v>
      </c>
      <c r="G205" s="8" t="str">
        <f t="shared" si="6"/>
        <v>DELGADO DIANAH</v>
      </c>
      <c r="H205" s="20" t="str">
        <f t="shared" si="7"/>
        <v>4010</v>
      </c>
    </row>
    <row r="206" spans="1:8" x14ac:dyDescent="0.25">
      <c r="A206" s="8">
        <v>42991.796712962961</v>
      </c>
      <c r="B206" s="20" t="s">
        <v>413</v>
      </c>
      <c r="C206" s="20" t="s">
        <v>806</v>
      </c>
      <c r="D206" s="138">
        <v>1180000</v>
      </c>
      <c r="E206" s="20" t="s">
        <v>387</v>
      </c>
      <c r="F206" s="20" t="s">
        <v>388</v>
      </c>
      <c r="G206" s="8" t="str">
        <f t="shared" si="6"/>
        <v>LEVERE CRAIG</v>
      </c>
      <c r="H206" s="20" t="str">
        <f t="shared" si="7"/>
        <v>4060</v>
      </c>
    </row>
    <row r="207" spans="1:8" x14ac:dyDescent="0.25">
      <c r="A207" s="8">
        <v>42991.797372685185</v>
      </c>
      <c r="B207" s="20" t="s">
        <v>512</v>
      </c>
      <c r="C207" s="20" t="s">
        <v>807</v>
      </c>
      <c r="D207" s="138">
        <v>890000</v>
      </c>
      <c r="E207" s="20" t="s">
        <v>374</v>
      </c>
      <c r="F207" s="20" t="s">
        <v>375</v>
      </c>
      <c r="G207" s="8" t="str">
        <f t="shared" si="6"/>
        <v>LOZA FIDEL</v>
      </c>
      <c r="H207" s="20" t="str">
        <f t="shared" si="7"/>
        <v>4027</v>
      </c>
    </row>
    <row r="208" spans="1:8" x14ac:dyDescent="0.25">
      <c r="A208" s="8">
        <v>42991.807592592595</v>
      </c>
      <c r="B208" s="20" t="s">
        <v>410</v>
      </c>
      <c r="C208" s="20" t="s">
        <v>808</v>
      </c>
      <c r="D208" s="138">
        <v>3190000</v>
      </c>
      <c r="E208" s="20" t="s">
        <v>402</v>
      </c>
      <c r="F208" s="20" t="s">
        <v>403</v>
      </c>
      <c r="G208" s="8" t="str">
        <f t="shared" si="6"/>
        <v>HART KEVIN</v>
      </c>
      <c r="H208" s="20" t="str">
        <f t="shared" si="7"/>
        <v>4015</v>
      </c>
    </row>
    <row r="209" spans="1:8" x14ac:dyDescent="0.25">
      <c r="A209" s="8">
        <v>42991.809016203704</v>
      </c>
      <c r="B209" s="20" t="s">
        <v>398</v>
      </c>
      <c r="C209" s="20" t="s">
        <v>809</v>
      </c>
      <c r="D209" s="138">
        <v>2680000</v>
      </c>
      <c r="E209" s="20" t="s">
        <v>394</v>
      </c>
      <c r="F209" s="20" t="s">
        <v>395</v>
      </c>
      <c r="G209" s="8" t="str">
        <f t="shared" si="6"/>
        <v>DUNCAN SHEILA</v>
      </c>
      <c r="H209" s="20" t="str">
        <f t="shared" si="7"/>
        <v>4020</v>
      </c>
    </row>
    <row r="210" spans="1:8" x14ac:dyDescent="0.25">
      <c r="A210" s="8">
        <v>42991.813344907408</v>
      </c>
      <c r="B210" s="20" t="s">
        <v>409</v>
      </c>
      <c r="C210" s="20" t="s">
        <v>810</v>
      </c>
      <c r="D210" s="138">
        <v>1180000</v>
      </c>
      <c r="E210" s="20" t="s">
        <v>387</v>
      </c>
      <c r="F210" s="20" t="s">
        <v>388</v>
      </c>
      <c r="G210" s="8" t="str">
        <f t="shared" si="6"/>
        <v>LEVERE CRAIG</v>
      </c>
      <c r="H210" s="20" t="str">
        <f t="shared" si="7"/>
        <v>4059</v>
      </c>
    </row>
    <row r="211" spans="1:8" x14ac:dyDescent="0.25">
      <c r="A211" s="8">
        <v>42991.818749999999</v>
      </c>
      <c r="B211" s="20" t="s">
        <v>463</v>
      </c>
      <c r="C211" s="20" t="s">
        <v>811</v>
      </c>
      <c r="D211" s="138">
        <v>2420000</v>
      </c>
      <c r="E211" s="20" t="s">
        <v>726</v>
      </c>
      <c r="F211" s="20" t="s">
        <v>727</v>
      </c>
      <c r="G211" s="8" t="str">
        <f t="shared" si="6"/>
        <v>HOLCOMB KAMDEN</v>
      </c>
      <c r="H211" s="20" t="str">
        <f t="shared" si="7"/>
        <v>4056</v>
      </c>
    </row>
    <row r="212" spans="1:8" x14ac:dyDescent="0.25">
      <c r="A212" s="8">
        <v>42991.825729166667</v>
      </c>
      <c r="B212" s="20" t="s">
        <v>513</v>
      </c>
      <c r="C212" s="20" t="s">
        <v>812</v>
      </c>
      <c r="D212" s="138">
        <v>2620000</v>
      </c>
      <c r="E212" s="20" t="s">
        <v>400</v>
      </c>
      <c r="F212" s="20" t="s">
        <v>401</v>
      </c>
      <c r="G212" s="8" t="str">
        <f t="shared" si="6"/>
        <v>PERKINS DARREN</v>
      </c>
      <c r="H212" s="20" t="str">
        <f t="shared" si="7"/>
        <v>4005</v>
      </c>
    </row>
    <row r="213" spans="1:8" x14ac:dyDescent="0.25">
      <c r="A213" s="8">
        <v>42991.831157407411</v>
      </c>
      <c r="B213" s="20" t="s">
        <v>511</v>
      </c>
      <c r="C213" s="20" t="s">
        <v>813</v>
      </c>
      <c r="D213" s="138">
        <v>890000</v>
      </c>
      <c r="E213" s="20" t="s">
        <v>374</v>
      </c>
      <c r="F213" s="20" t="s">
        <v>375</v>
      </c>
      <c r="G213" s="8" t="str">
        <f t="shared" si="6"/>
        <v>LOZA FIDEL</v>
      </c>
      <c r="H213" s="20" t="str">
        <f t="shared" si="7"/>
        <v>4028</v>
      </c>
    </row>
    <row r="214" spans="1:8" x14ac:dyDescent="0.25">
      <c r="A214" s="8">
        <v>42991.836793981478</v>
      </c>
      <c r="B214" s="20" t="s">
        <v>413</v>
      </c>
      <c r="C214" s="20" t="s">
        <v>814</v>
      </c>
      <c r="D214" s="138">
        <v>1180000</v>
      </c>
      <c r="E214" s="20" t="s">
        <v>387</v>
      </c>
      <c r="F214" s="20" t="s">
        <v>388</v>
      </c>
      <c r="G214" s="8" t="str">
        <f t="shared" si="6"/>
        <v>LEVERE CRAIG</v>
      </c>
      <c r="H214" s="20" t="str">
        <f t="shared" si="7"/>
        <v>4060</v>
      </c>
    </row>
    <row r="215" spans="1:8" x14ac:dyDescent="0.25">
      <c r="A215" s="8">
        <v>42991.844490740739</v>
      </c>
      <c r="B215" s="20" t="s">
        <v>399</v>
      </c>
      <c r="C215" s="20" t="s">
        <v>815</v>
      </c>
      <c r="D215" s="138">
        <v>2680000</v>
      </c>
      <c r="E215" s="20" t="s">
        <v>394</v>
      </c>
      <c r="F215" s="20" t="s">
        <v>395</v>
      </c>
      <c r="G215" s="8" t="str">
        <f t="shared" si="6"/>
        <v>DUNCAN SHEILA</v>
      </c>
      <c r="H215" s="20" t="str">
        <f t="shared" si="7"/>
        <v>4019</v>
      </c>
    </row>
    <row r="216" spans="1:8" x14ac:dyDescent="0.25">
      <c r="A216" s="8">
        <v>42991.851377314815</v>
      </c>
      <c r="B216" s="20" t="s">
        <v>411</v>
      </c>
      <c r="C216" s="20" t="s">
        <v>816</v>
      </c>
      <c r="D216" s="138">
        <v>3190000</v>
      </c>
      <c r="E216" s="20" t="s">
        <v>402</v>
      </c>
      <c r="F216" s="20" t="s">
        <v>403</v>
      </c>
      <c r="G216" s="8" t="str">
        <f t="shared" si="6"/>
        <v>HART KEVIN</v>
      </c>
      <c r="H216" s="20" t="str">
        <f t="shared" si="7"/>
        <v>4016</v>
      </c>
    </row>
    <row r="217" spans="1:8" x14ac:dyDescent="0.25">
      <c r="A217" s="8">
        <v>42991.852500000001</v>
      </c>
      <c r="B217" s="20" t="s">
        <v>409</v>
      </c>
      <c r="C217" s="20" t="s">
        <v>817</v>
      </c>
      <c r="D217" s="138">
        <v>1180000</v>
      </c>
      <c r="E217" s="20" t="s">
        <v>387</v>
      </c>
      <c r="F217" s="20" t="s">
        <v>388</v>
      </c>
      <c r="G217" s="8" t="str">
        <f t="shared" si="6"/>
        <v>LEVERE CRAIG</v>
      </c>
      <c r="H217" s="20" t="str">
        <f t="shared" si="7"/>
        <v>4059</v>
      </c>
    </row>
    <row r="218" spans="1:8" x14ac:dyDescent="0.25">
      <c r="A218" s="8">
        <v>42991.861631944441</v>
      </c>
      <c r="B218" s="20" t="s">
        <v>448</v>
      </c>
      <c r="C218" s="20" t="s">
        <v>606</v>
      </c>
      <c r="D218" s="138">
        <v>2620000</v>
      </c>
      <c r="E218" s="20" t="s">
        <v>400</v>
      </c>
      <c r="F218" s="20" t="s">
        <v>401</v>
      </c>
      <c r="G218" s="8" t="str">
        <f t="shared" si="6"/>
        <v>PERKINS DARREN</v>
      </c>
      <c r="H218" s="20" t="str">
        <f t="shared" si="7"/>
        <v>4006</v>
      </c>
    </row>
    <row r="219" spans="1:8" x14ac:dyDescent="0.25">
      <c r="A219" s="8">
        <v>42991.870995370373</v>
      </c>
      <c r="B219" s="20" t="s">
        <v>512</v>
      </c>
      <c r="C219" s="20" t="s">
        <v>818</v>
      </c>
      <c r="D219" s="138">
        <v>890000</v>
      </c>
      <c r="E219" s="20" t="s">
        <v>374</v>
      </c>
      <c r="F219" s="20" t="s">
        <v>375</v>
      </c>
      <c r="G219" s="8" t="str">
        <f t="shared" si="6"/>
        <v>LOZA FIDEL</v>
      </c>
      <c r="H219" s="20" t="str">
        <f t="shared" si="7"/>
        <v>4027</v>
      </c>
    </row>
    <row r="220" spans="1:8" x14ac:dyDescent="0.25">
      <c r="A220" s="8">
        <v>42991.878634259258</v>
      </c>
      <c r="B220" s="20" t="s">
        <v>413</v>
      </c>
      <c r="C220" s="20" t="s">
        <v>605</v>
      </c>
      <c r="D220" s="138">
        <v>2000000</v>
      </c>
      <c r="E220" s="20" t="s">
        <v>466</v>
      </c>
      <c r="F220" s="20" t="s">
        <v>383</v>
      </c>
      <c r="G220" s="8" t="str">
        <f t="shared" si="6"/>
        <v>STAMBAUGH JAMES</v>
      </c>
      <c r="H220" s="20" t="str">
        <f t="shared" si="7"/>
        <v>4060</v>
      </c>
    </row>
    <row r="221" spans="1:8" x14ac:dyDescent="0.25">
      <c r="A221" s="8">
        <v>42991.880358796298</v>
      </c>
      <c r="B221" s="20" t="s">
        <v>398</v>
      </c>
      <c r="C221" s="20" t="s">
        <v>819</v>
      </c>
      <c r="D221" s="138">
        <v>2680000</v>
      </c>
      <c r="E221" s="20" t="s">
        <v>394</v>
      </c>
      <c r="F221" s="20" t="s">
        <v>395</v>
      </c>
      <c r="G221" s="8" t="str">
        <f t="shared" si="6"/>
        <v>DUNCAN SHEILA</v>
      </c>
      <c r="H221" s="20" t="str">
        <f t="shared" si="7"/>
        <v>4020</v>
      </c>
    </row>
    <row r="222" spans="1:8" x14ac:dyDescent="0.25">
      <c r="A222" s="8">
        <v>42991.891747685186</v>
      </c>
      <c r="B222" s="20" t="s">
        <v>410</v>
      </c>
      <c r="C222" s="20" t="s">
        <v>820</v>
      </c>
      <c r="D222" s="138">
        <v>3190000</v>
      </c>
      <c r="E222" s="20" t="s">
        <v>402</v>
      </c>
      <c r="F222" s="20" t="s">
        <v>403</v>
      </c>
      <c r="G222" s="8" t="str">
        <f t="shared" si="6"/>
        <v>HART KEVIN</v>
      </c>
      <c r="H222" s="20" t="str">
        <f t="shared" si="7"/>
        <v>4015</v>
      </c>
    </row>
    <row r="223" spans="1:8" x14ac:dyDescent="0.25">
      <c r="A223" s="8">
        <v>42991.89334490741</v>
      </c>
      <c r="B223" s="20" t="s">
        <v>409</v>
      </c>
      <c r="C223" s="20" t="s">
        <v>821</v>
      </c>
      <c r="D223" s="138">
        <v>2000000</v>
      </c>
      <c r="E223" s="20" t="s">
        <v>466</v>
      </c>
      <c r="F223" s="20" t="s">
        <v>383</v>
      </c>
      <c r="G223" s="8" t="str">
        <f t="shared" si="6"/>
        <v>STAMBAUGH JAMES</v>
      </c>
      <c r="H223" s="20" t="str">
        <f t="shared" si="7"/>
        <v>4059</v>
      </c>
    </row>
    <row r="224" spans="1:8" x14ac:dyDescent="0.25">
      <c r="A224" s="8">
        <v>42991.902974537035</v>
      </c>
      <c r="B224" t="s">
        <v>513</v>
      </c>
      <c r="C224" t="s">
        <v>607</v>
      </c>
      <c r="D224" s="138">
        <v>2620000</v>
      </c>
      <c r="E224" t="s">
        <v>400</v>
      </c>
      <c r="F224" s="20" t="s">
        <v>401</v>
      </c>
      <c r="G224" s="8" t="str">
        <f t="shared" si="6"/>
        <v>PERKINS DARREN</v>
      </c>
      <c r="H224" s="20" t="str">
        <f t="shared" si="7"/>
        <v>4005</v>
      </c>
    </row>
    <row r="225" spans="1:8" x14ac:dyDescent="0.25">
      <c r="A225" s="8">
        <v>42991.906851851854</v>
      </c>
      <c r="B225" t="s">
        <v>511</v>
      </c>
      <c r="C225" t="s">
        <v>822</v>
      </c>
      <c r="D225" s="138">
        <v>890000</v>
      </c>
      <c r="E225" t="s">
        <v>374</v>
      </c>
      <c r="F225" s="20" t="s">
        <v>375</v>
      </c>
      <c r="G225" s="8" t="str">
        <f t="shared" si="6"/>
        <v>LOZA FIDEL</v>
      </c>
      <c r="H225" s="20" t="str">
        <f t="shared" si="7"/>
        <v>4028</v>
      </c>
    </row>
    <row r="226" spans="1:8" x14ac:dyDescent="0.25">
      <c r="A226" s="8">
        <v>42991.921226851853</v>
      </c>
      <c r="B226" t="s">
        <v>413</v>
      </c>
      <c r="C226" t="s">
        <v>823</v>
      </c>
      <c r="D226" s="138">
        <v>2000000</v>
      </c>
      <c r="E226" t="s">
        <v>466</v>
      </c>
      <c r="F226" s="20" t="s">
        <v>383</v>
      </c>
      <c r="G226" s="8" t="str">
        <f t="shared" si="6"/>
        <v>STAMBAUGH JAMES</v>
      </c>
      <c r="H226" s="20" t="str">
        <f t="shared" si="7"/>
        <v>4060</v>
      </c>
    </row>
    <row r="227" spans="1:8" x14ac:dyDescent="0.25">
      <c r="A227" s="8">
        <v>42991.922800925924</v>
      </c>
      <c r="B227" t="s">
        <v>399</v>
      </c>
      <c r="C227" t="s">
        <v>824</v>
      </c>
      <c r="D227" s="138">
        <v>2680000</v>
      </c>
      <c r="E227" t="s">
        <v>394</v>
      </c>
      <c r="F227" s="20" t="s">
        <v>395</v>
      </c>
      <c r="G227" s="8" t="str">
        <f t="shared" si="6"/>
        <v>DUNCAN SHEILA</v>
      </c>
      <c r="H227" s="20" t="str">
        <f t="shared" si="7"/>
        <v>4019</v>
      </c>
    </row>
    <row r="228" spans="1:8" x14ac:dyDescent="0.25">
      <c r="A228" s="8">
        <v>42991.93378472222</v>
      </c>
      <c r="B228" t="s">
        <v>409</v>
      </c>
      <c r="C228" t="s">
        <v>825</v>
      </c>
      <c r="D228" s="138">
        <v>2000000</v>
      </c>
      <c r="E228" t="s">
        <v>466</v>
      </c>
      <c r="F228" s="20" t="s">
        <v>383</v>
      </c>
      <c r="G228" s="8" t="str">
        <f t="shared" si="6"/>
        <v>STAMBAUGH JAMES</v>
      </c>
      <c r="H228" s="20" t="str">
        <f t="shared" si="7"/>
        <v>4059</v>
      </c>
    </row>
    <row r="229" spans="1:8" x14ac:dyDescent="0.25">
      <c r="A229" s="8">
        <v>42991.935115740744</v>
      </c>
      <c r="B229" t="s">
        <v>411</v>
      </c>
      <c r="C229" t="s">
        <v>826</v>
      </c>
      <c r="D229" s="138">
        <v>3190000</v>
      </c>
      <c r="E229" t="s">
        <v>402</v>
      </c>
      <c r="F229" s="20" t="s">
        <v>403</v>
      </c>
      <c r="G229" s="8" t="str">
        <f t="shared" si="6"/>
        <v>HART KEVIN</v>
      </c>
      <c r="H229" s="20" t="str">
        <f t="shared" si="7"/>
        <v>4016</v>
      </c>
    </row>
    <row r="230" spans="1:8" x14ac:dyDescent="0.25">
      <c r="A230" s="8">
        <v>42991.943969907406</v>
      </c>
      <c r="B230" t="s">
        <v>448</v>
      </c>
      <c r="C230" t="s">
        <v>608</v>
      </c>
      <c r="D230" s="138">
        <v>2620000</v>
      </c>
      <c r="E230" t="s">
        <v>400</v>
      </c>
      <c r="F230" s="20" t="s">
        <v>401</v>
      </c>
      <c r="G230" s="8" t="str">
        <f t="shared" si="6"/>
        <v>PERKINS DARREN</v>
      </c>
      <c r="H230" s="20" t="str">
        <f t="shared" si="7"/>
        <v>4006</v>
      </c>
    </row>
    <row r="231" spans="1:8" x14ac:dyDescent="0.25">
      <c r="A231" s="8">
        <v>42991.953611111108</v>
      </c>
      <c r="B231" t="s">
        <v>512</v>
      </c>
      <c r="C231" t="s">
        <v>827</v>
      </c>
      <c r="D231" s="138">
        <v>890000</v>
      </c>
      <c r="E231" t="s">
        <v>374</v>
      </c>
      <c r="F231" s="20" t="s">
        <v>375</v>
      </c>
      <c r="G231" s="8" t="str">
        <f t="shared" si="6"/>
        <v>LOZA FIDEL</v>
      </c>
      <c r="H231" s="20" t="str">
        <f t="shared" si="7"/>
        <v>4027</v>
      </c>
    </row>
    <row r="232" spans="1:8" x14ac:dyDescent="0.25">
      <c r="A232" s="8">
        <v>42991.959965277776</v>
      </c>
      <c r="B232" t="s">
        <v>413</v>
      </c>
      <c r="C232" t="s">
        <v>828</v>
      </c>
      <c r="D232" s="138">
        <v>2000000</v>
      </c>
      <c r="E232" t="s">
        <v>466</v>
      </c>
      <c r="F232" s="20" t="s">
        <v>383</v>
      </c>
      <c r="G232" s="8" t="str">
        <f t="shared" si="6"/>
        <v>STAMBAUGH JAMES</v>
      </c>
      <c r="H232" s="20" t="str">
        <f t="shared" si="7"/>
        <v>4060</v>
      </c>
    </row>
    <row r="233" spans="1:8" x14ac:dyDescent="0.25">
      <c r="A233" s="8">
        <v>42991.963414351849</v>
      </c>
      <c r="B233" t="s">
        <v>398</v>
      </c>
      <c r="C233" t="s">
        <v>829</v>
      </c>
      <c r="D233" s="138">
        <v>2680000</v>
      </c>
      <c r="E233" t="s">
        <v>394</v>
      </c>
      <c r="F233" s="20" t="s">
        <v>395</v>
      </c>
      <c r="G233" s="8" t="str">
        <f t="shared" si="6"/>
        <v>DUNCAN SHEILA</v>
      </c>
      <c r="H233" s="20" t="str">
        <f t="shared" si="7"/>
        <v>4020</v>
      </c>
    </row>
    <row r="234" spans="1:8" x14ac:dyDescent="0.25">
      <c r="A234" s="8">
        <v>42991.975277777776</v>
      </c>
      <c r="B234" t="s">
        <v>409</v>
      </c>
      <c r="C234" t="s">
        <v>830</v>
      </c>
      <c r="D234" s="138">
        <v>2000000</v>
      </c>
      <c r="E234" t="s">
        <v>466</v>
      </c>
      <c r="F234" s="20" t="s">
        <v>383</v>
      </c>
      <c r="G234" s="8" t="str">
        <f t="shared" si="6"/>
        <v>STAMBAUGH JAMES</v>
      </c>
      <c r="H234" s="20" t="str">
        <f t="shared" si="7"/>
        <v>4059</v>
      </c>
    </row>
    <row r="235" spans="1:8" x14ac:dyDescent="0.25">
      <c r="A235" s="8">
        <v>42991.97556712963</v>
      </c>
      <c r="B235" t="s">
        <v>410</v>
      </c>
      <c r="C235" t="s">
        <v>831</v>
      </c>
      <c r="D235" s="138">
        <v>3190000</v>
      </c>
      <c r="E235" t="s">
        <v>402</v>
      </c>
      <c r="F235" s="20" t="s">
        <v>403</v>
      </c>
      <c r="G235" s="8" t="str">
        <f t="shared" si="6"/>
        <v>HART KEVIN</v>
      </c>
      <c r="H235" s="20" t="str">
        <f t="shared" si="7"/>
        <v>4015</v>
      </c>
    </row>
    <row r="236" spans="1:8" x14ac:dyDescent="0.25">
      <c r="A236" s="8">
        <v>42991.985312500001</v>
      </c>
      <c r="B236" t="s">
        <v>513</v>
      </c>
      <c r="C236" t="s">
        <v>832</v>
      </c>
      <c r="D236" s="138">
        <v>2620000</v>
      </c>
      <c r="E236" t="s">
        <v>400</v>
      </c>
      <c r="F236" s="20" t="s">
        <v>401</v>
      </c>
      <c r="G236" s="8" t="str">
        <f t="shared" si="6"/>
        <v>PERKINS DARREN</v>
      </c>
      <c r="H236" s="20" t="str">
        <f t="shared" si="7"/>
        <v>4005</v>
      </c>
    </row>
    <row r="237" spans="1:8" x14ac:dyDescent="0.25">
      <c r="A237" s="8">
        <v>42991.98814814815</v>
      </c>
      <c r="B237" t="s">
        <v>511</v>
      </c>
      <c r="C237" t="s">
        <v>833</v>
      </c>
      <c r="D237" s="138">
        <v>890000</v>
      </c>
      <c r="E237" t="s">
        <v>374</v>
      </c>
      <c r="F237" s="20" t="s">
        <v>375</v>
      </c>
      <c r="G237" s="8" t="str">
        <f t="shared" si="6"/>
        <v>LOZA FIDEL</v>
      </c>
      <c r="H237" s="20" t="str">
        <f t="shared" si="7"/>
        <v>4028</v>
      </c>
    </row>
    <row r="238" spans="1:8" x14ac:dyDescent="0.25">
      <c r="A238" s="8">
        <v>42992.005208333336</v>
      </c>
      <c r="B238" t="s">
        <v>399</v>
      </c>
      <c r="C238" t="s">
        <v>834</v>
      </c>
      <c r="D238" s="138">
        <v>2680000</v>
      </c>
      <c r="E238" t="s">
        <v>394</v>
      </c>
      <c r="F238" s="20" t="s">
        <v>395</v>
      </c>
      <c r="G238" s="8" t="str">
        <f t="shared" si="6"/>
        <v>DUNCAN SHEILA</v>
      </c>
      <c r="H238" s="20" t="str">
        <f t="shared" si="7"/>
        <v>4019</v>
      </c>
    </row>
    <row r="239" spans="1:8" x14ac:dyDescent="0.25">
      <c r="A239" s="8">
        <v>42992.018599537034</v>
      </c>
      <c r="B239" t="s">
        <v>411</v>
      </c>
      <c r="C239" t="s">
        <v>835</v>
      </c>
      <c r="D239" s="138">
        <v>3190000</v>
      </c>
      <c r="E239" t="s">
        <v>402</v>
      </c>
      <c r="F239" s="20" t="s">
        <v>403</v>
      </c>
      <c r="G239" s="8" t="str">
        <f t="shared" si="6"/>
        <v>HART KEVIN</v>
      </c>
      <c r="H239" s="20" t="str">
        <f t="shared" si="7"/>
        <v>4016</v>
      </c>
    </row>
    <row r="240" spans="1:8" x14ac:dyDescent="0.25">
      <c r="A240" s="8">
        <v>42992.028506944444</v>
      </c>
      <c r="B240" t="s">
        <v>448</v>
      </c>
      <c r="C240" t="s">
        <v>836</v>
      </c>
      <c r="D240" s="138">
        <v>2620000</v>
      </c>
      <c r="E240" t="s">
        <v>400</v>
      </c>
      <c r="F240" s="20" t="s">
        <v>401</v>
      </c>
      <c r="G240" s="8" t="str">
        <f t="shared" si="6"/>
        <v>PERKINS DARREN</v>
      </c>
      <c r="H240" s="20" t="str">
        <f t="shared" si="7"/>
        <v>4006</v>
      </c>
    </row>
    <row r="241" spans="1:8" x14ac:dyDescent="0.25">
      <c r="A241" s="8">
        <v>42992.029363425929</v>
      </c>
      <c r="B241" t="s">
        <v>448</v>
      </c>
      <c r="C241" t="s">
        <v>836</v>
      </c>
      <c r="D241" s="138">
        <v>2620000</v>
      </c>
      <c r="E241" t="s">
        <v>400</v>
      </c>
      <c r="F241" s="20" t="s">
        <v>401</v>
      </c>
      <c r="G241" s="8" t="str">
        <f t="shared" si="6"/>
        <v>PERKINS DARREN</v>
      </c>
      <c r="H241" s="20" t="str">
        <f t="shared" si="7"/>
        <v>4006</v>
      </c>
    </row>
    <row r="242" spans="1:8" x14ac:dyDescent="0.25">
      <c r="A242" s="8">
        <v>42992.030844907407</v>
      </c>
      <c r="B242" t="s">
        <v>448</v>
      </c>
      <c r="C242" t="s">
        <v>836</v>
      </c>
      <c r="D242" s="138">
        <v>2620000</v>
      </c>
      <c r="E242" t="s">
        <v>400</v>
      </c>
      <c r="F242" s="20" t="s">
        <v>401</v>
      </c>
      <c r="G242" s="8" t="str">
        <f t="shared" si="6"/>
        <v>PERKINS DARREN</v>
      </c>
      <c r="H242" s="20" t="str">
        <f t="shared" si="7"/>
        <v>4006</v>
      </c>
    </row>
    <row r="243" spans="1:8" x14ac:dyDescent="0.25">
      <c r="A243" s="8">
        <v>42992.037835648145</v>
      </c>
      <c r="B243" t="s">
        <v>512</v>
      </c>
      <c r="C243" t="s">
        <v>837</v>
      </c>
      <c r="D243" s="138">
        <v>890000</v>
      </c>
      <c r="E243" t="s">
        <v>374</v>
      </c>
      <c r="F243" s="20" t="s">
        <v>375</v>
      </c>
      <c r="G243" s="8" t="str">
        <f t="shared" si="6"/>
        <v>LOZA FIDEL</v>
      </c>
      <c r="H243" s="20" t="str">
        <f t="shared" si="7"/>
        <v>4027</v>
      </c>
    </row>
    <row r="244" spans="1:8" x14ac:dyDescent="0.25">
      <c r="A244" s="8">
        <v>42992.046840277777</v>
      </c>
      <c r="B244" t="s">
        <v>398</v>
      </c>
      <c r="C244" t="s">
        <v>834</v>
      </c>
      <c r="D244" s="138">
        <v>2680000</v>
      </c>
      <c r="E244" t="s">
        <v>394</v>
      </c>
      <c r="F244" s="20" t="s">
        <v>395</v>
      </c>
      <c r="G244" s="8" t="str">
        <f t="shared" si="6"/>
        <v>DUNCAN SHEILA</v>
      </c>
      <c r="H244" s="20" t="str">
        <f t="shared" si="7"/>
        <v>4020</v>
      </c>
    </row>
    <row r="245" spans="1:8" x14ac:dyDescent="0.25">
      <c r="A245" s="8">
        <v>42992.047395833331</v>
      </c>
      <c r="B245" t="s">
        <v>398</v>
      </c>
      <c r="C245" t="s">
        <v>838</v>
      </c>
      <c r="D245" s="138">
        <v>2680000</v>
      </c>
      <c r="E245" t="s">
        <v>394</v>
      </c>
      <c r="F245" s="20" t="s">
        <v>395</v>
      </c>
      <c r="G245" s="8" t="str">
        <f t="shared" si="6"/>
        <v>DUNCAN SHEILA</v>
      </c>
      <c r="H245" s="20" t="str">
        <f t="shared" si="7"/>
        <v>4020</v>
      </c>
    </row>
    <row r="246" spans="1:8" x14ac:dyDescent="0.25">
      <c r="A246" s="8">
        <v>42992.057442129626</v>
      </c>
      <c r="B246" t="s">
        <v>410</v>
      </c>
      <c r="C246" t="s">
        <v>839</v>
      </c>
      <c r="D246" s="138">
        <v>3190000</v>
      </c>
      <c r="E246" t="s">
        <v>402</v>
      </c>
      <c r="F246" s="20" t="s">
        <v>403</v>
      </c>
      <c r="G246" s="8" t="str">
        <f t="shared" si="6"/>
        <v>HART KEVIN</v>
      </c>
      <c r="H246" s="20" t="str">
        <f t="shared" si="7"/>
        <v>4015</v>
      </c>
    </row>
    <row r="247" spans="1:8" x14ac:dyDescent="0.25">
      <c r="A247" s="8">
        <v>42992.066851851851</v>
      </c>
      <c r="B247" t="s">
        <v>511</v>
      </c>
      <c r="C247" t="s">
        <v>840</v>
      </c>
      <c r="D247" s="138">
        <v>890000</v>
      </c>
      <c r="E247" t="s">
        <v>374</v>
      </c>
      <c r="F247" s="20" t="s">
        <v>375</v>
      </c>
      <c r="G247" s="8" t="str">
        <f t="shared" si="6"/>
        <v>LOZA FIDEL</v>
      </c>
      <c r="H247" s="20" t="str">
        <f t="shared" si="7"/>
        <v>4028</v>
      </c>
    </row>
    <row r="248" spans="1:8" x14ac:dyDescent="0.25">
      <c r="A248" s="8">
        <v>42992.088599537034</v>
      </c>
      <c r="B248" t="s">
        <v>411</v>
      </c>
      <c r="C248" t="s">
        <v>841</v>
      </c>
      <c r="D248" s="138">
        <v>3190000</v>
      </c>
      <c r="E248" t="s">
        <v>402</v>
      </c>
      <c r="F248" s="20" t="s">
        <v>403</v>
      </c>
      <c r="G248" s="8" t="str">
        <f t="shared" si="6"/>
        <v>HART KEVIN</v>
      </c>
      <c r="H248" s="20" t="str">
        <f t="shared" si="7"/>
        <v>4016</v>
      </c>
    </row>
    <row r="249" spans="1:8" x14ac:dyDescent="0.25">
      <c r="A249" s="8">
        <v>42992.114247685182</v>
      </c>
      <c r="B249" t="s">
        <v>842</v>
      </c>
      <c r="C249" t="s">
        <v>843</v>
      </c>
      <c r="D249" s="138">
        <v>900000</v>
      </c>
      <c r="E249" t="s">
        <v>844</v>
      </c>
      <c r="F249" s="20" t="s">
        <v>845</v>
      </c>
      <c r="G249" s="8" t="str">
        <f t="shared" si="6"/>
        <v>ROCHA YAOTL</v>
      </c>
      <c r="H249" s="20" t="str">
        <f t="shared" si="7"/>
        <v>4003</v>
      </c>
    </row>
    <row r="250" spans="1:8" x14ac:dyDescent="0.25">
      <c r="A250" s="8">
        <v>42984.907199074078</v>
      </c>
      <c r="B250" t="s">
        <v>408</v>
      </c>
      <c r="C250" t="s">
        <v>415</v>
      </c>
      <c r="D250" s="138">
        <v>2620000</v>
      </c>
      <c r="E250" t="s">
        <v>400</v>
      </c>
      <c r="F250" s="20" t="s">
        <v>401</v>
      </c>
      <c r="G250" s="8" t="str">
        <f t="shared" si="6"/>
        <v>PERKINS DARREN</v>
      </c>
      <c r="H250" s="20" t="str">
        <f t="shared" si="7"/>
        <v>4031</v>
      </c>
    </row>
    <row r="251" spans="1:8" x14ac:dyDescent="0.25">
      <c r="A251" s="8">
        <v>42984.915034722224</v>
      </c>
      <c r="B251" t="s">
        <v>414</v>
      </c>
      <c r="C251" t="s">
        <v>416</v>
      </c>
      <c r="D251" s="138">
        <v>890000</v>
      </c>
      <c r="E251" t="s">
        <v>374</v>
      </c>
      <c r="F251" s="20" t="s">
        <v>375</v>
      </c>
      <c r="G251" s="8" t="str">
        <f t="shared" si="6"/>
        <v>LOZA FIDEL</v>
      </c>
      <c r="H251" s="20" t="str">
        <f t="shared" si="7"/>
        <v>4062</v>
      </c>
    </row>
    <row r="252" spans="1:8" x14ac:dyDescent="0.25">
      <c r="A252" s="8">
        <v>42984.91915509259</v>
      </c>
      <c r="B252" t="s">
        <v>413</v>
      </c>
      <c r="C252" t="s">
        <v>417</v>
      </c>
      <c r="D252" s="138">
        <v>3490000</v>
      </c>
      <c r="E252" t="s">
        <v>376</v>
      </c>
      <c r="F252" s="20" t="s">
        <v>377</v>
      </c>
      <c r="G252" s="8" t="str">
        <f t="shared" si="6"/>
        <v>WEST BRYAN</v>
      </c>
      <c r="H252" s="20" t="str">
        <f t="shared" si="7"/>
        <v>4060</v>
      </c>
    </row>
    <row r="253" spans="1:8" x14ac:dyDescent="0.25">
      <c r="A253" s="8">
        <v>42984.923252314817</v>
      </c>
      <c r="B253" t="s">
        <v>410</v>
      </c>
      <c r="C253" t="s">
        <v>418</v>
      </c>
      <c r="D253" s="138">
        <v>2680000</v>
      </c>
      <c r="E253" t="s">
        <v>394</v>
      </c>
      <c r="F253" s="20" t="s">
        <v>395</v>
      </c>
      <c r="G253" s="8" t="str">
        <f t="shared" si="6"/>
        <v>DUNCAN SHEILA</v>
      </c>
      <c r="H253" s="20" t="str">
        <f t="shared" si="7"/>
        <v>4015</v>
      </c>
    </row>
    <row r="254" spans="1:8" x14ac:dyDescent="0.25">
      <c r="A254" s="8">
        <v>42984.928993055553</v>
      </c>
      <c r="B254" t="s">
        <v>398</v>
      </c>
      <c r="C254" t="s">
        <v>419</v>
      </c>
      <c r="D254" s="138">
        <v>3190000</v>
      </c>
      <c r="E254" t="s">
        <v>402</v>
      </c>
      <c r="F254" s="20" t="s">
        <v>403</v>
      </c>
      <c r="G254" s="8" t="str">
        <f t="shared" si="6"/>
        <v>HART KEVIN</v>
      </c>
      <c r="H254" s="20" t="str">
        <f t="shared" si="7"/>
        <v>4020</v>
      </c>
    </row>
    <row r="255" spans="1:8" x14ac:dyDescent="0.25">
      <c r="A255" s="8">
        <v>42984.93545138889</v>
      </c>
      <c r="B255" t="s">
        <v>409</v>
      </c>
      <c r="C255" t="s">
        <v>420</v>
      </c>
      <c r="D255" s="138">
        <v>3490000</v>
      </c>
      <c r="E255" t="s">
        <v>376</v>
      </c>
      <c r="F255" s="20" t="s">
        <v>377</v>
      </c>
      <c r="G255" s="8" t="str">
        <f t="shared" si="6"/>
        <v>WEST BRYAN</v>
      </c>
      <c r="H255" s="20" t="str">
        <f t="shared" si="7"/>
        <v>4059</v>
      </c>
    </row>
    <row r="256" spans="1:8" x14ac:dyDescent="0.25">
      <c r="A256" s="8">
        <v>42984.944201388891</v>
      </c>
      <c r="B256" t="s">
        <v>389</v>
      </c>
      <c r="C256" t="s">
        <v>421</v>
      </c>
      <c r="D256" s="138">
        <v>2620000</v>
      </c>
      <c r="E256" t="s">
        <v>400</v>
      </c>
      <c r="F256" s="20" t="s">
        <v>401</v>
      </c>
      <c r="G256" s="8" t="str">
        <f t="shared" si="6"/>
        <v>PERKINS DARREN</v>
      </c>
      <c r="H256" s="20" t="str">
        <f t="shared" si="7"/>
        <v>4032</v>
      </c>
    </row>
    <row r="257" spans="1:8" x14ac:dyDescent="0.25">
      <c r="A257" s="8">
        <v>42984.955381944441</v>
      </c>
      <c r="B257" t="s">
        <v>389</v>
      </c>
      <c r="C257" t="s">
        <v>421</v>
      </c>
      <c r="D257" s="138">
        <v>2620000</v>
      </c>
      <c r="E257" t="s">
        <v>400</v>
      </c>
      <c r="F257" s="20" t="s">
        <v>401</v>
      </c>
      <c r="G257" s="8" t="str">
        <f t="shared" si="6"/>
        <v>PERKINS DARREN</v>
      </c>
      <c r="H257" s="20" t="str">
        <f t="shared" si="7"/>
        <v>4032</v>
      </c>
    </row>
    <row r="258" spans="1:8" x14ac:dyDescent="0.25">
      <c r="A258" s="8">
        <v>42984.955405092594</v>
      </c>
      <c r="B258" t="s">
        <v>396</v>
      </c>
      <c r="C258" t="s">
        <v>422</v>
      </c>
      <c r="D258" s="138">
        <v>890000</v>
      </c>
      <c r="E258" t="s">
        <v>374</v>
      </c>
      <c r="F258" s="20" t="s">
        <v>375</v>
      </c>
      <c r="G258" s="8" t="str">
        <f t="shared" si="6"/>
        <v>LOZA FIDEL</v>
      </c>
      <c r="H258" s="20" t="str">
        <f t="shared" si="7"/>
        <v>4061</v>
      </c>
    </row>
    <row r="259" spans="1:8" x14ac:dyDescent="0.25">
      <c r="A259" s="8">
        <v>42984.963391203702</v>
      </c>
      <c r="B259" t="s">
        <v>413</v>
      </c>
      <c r="C259" t="s">
        <v>423</v>
      </c>
      <c r="D259" s="138">
        <v>3490000</v>
      </c>
      <c r="E259" t="s">
        <v>376</v>
      </c>
      <c r="F259" s="20" t="s">
        <v>377</v>
      </c>
      <c r="G259" s="8" t="str">
        <f t="shared" ref="G259:G273" si="8">E259&amp;" "&amp;F259</f>
        <v>WEST BRYAN</v>
      </c>
      <c r="H259" s="20" t="str">
        <f t="shared" ref="H259:H273" si="9">MID(B259,13,4)</f>
        <v>4060</v>
      </c>
    </row>
    <row r="260" spans="1:8" x14ac:dyDescent="0.25">
      <c r="A260" s="8">
        <v>42984.966168981482</v>
      </c>
      <c r="B260" t="s">
        <v>411</v>
      </c>
      <c r="C260" t="s">
        <v>424</v>
      </c>
      <c r="D260" s="138">
        <v>3320000</v>
      </c>
      <c r="E260" t="s">
        <v>425</v>
      </c>
      <c r="F260" s="20" t="s">
        <v>426</v>
      </c>
      <c r="G260" s="8" t="str">
        <f t="shared" si="8"/>
        <v>NICHOLSON WESLEY</v>
      </c>
      <c r="H260" s="20" t="str">
        <f t="shared" si="9"/>
        <v>4016</v>
      </c>
    </row>
    <row r="261" spans="1:8" x14ac:dyDescent="0.25">
      <c r="A261" s="8">
        <v>42984.973449074074</v>
      </c>
      <c r="B261" t="s">
        <v>399</v>
      </c>
      <c r="C261" t="s">
        <v>427</v>
      </c>
      <c r="D261" s="138">
        <v>3190000</v>
      </c>
      <c r="E261" t="s">
        <v>402</v>
      </c>
      <c r="F261" s="20" t="s">
        <v>403</v>
      </c>
      <c r="G261" s="8" t="str">
        <f t="shared" si="8"/>
        <v>HART KEVIN</v>
      </c>
      <c r="H261" s="20" t="str">
        <f t="shared" si="9"/>
        <v>4019</v>
      </c>
    </row>
    <row r="262" spans="1:8" x14ac:dyDescent="0.25">
      <c r="A262" s="8">
        <v>42984.975162037037</v>
      </c>
      <c r="B262" t="s">
        <v>409</v>
      </c>
      <c r="C262" t="s">
        <v>428</v>
      </c>
      <c r="D262" s="138">
        <v>3490000</v>
      </c>
      <c r="E262" t="s">
        <v>376</v>
      </c>
      <c r="F262" s="20" t="s">
        <v>377</v>
      </c>
      <c r="G262" s="8" t="str">
        <f t="shared" si="8"/>
        <v>WEST BRYAN</v>
      </c>
      <c r="H262" s="20" t="str">
        <f t="shared" si="9"/>
        <v>4059</v>
      </c>
    </row>
    <row r="263" spans="1:8" x14ac:dyDescent="0.25">
      <c r="A263" s="8">
        <v>42984.993217592593</v>
      </c>
      <c r="B263" t="s">
        <v>408</v>
      </c>
      <c r="C263" t="s">
        <v>429</v>
      </c>
      <c r="D263" s="138">
        <v>2620000</v>
      </c>
      <c r="E263" t="s">
        <v>400</v>
      </c>
      <c r="F263" s="20" t="s">
        <v>401</v>
      </c>
      <c r="G263" s="8" t="str">
        <f t="shared" si="8"/>
        <v>PERKINS DARREN</v>
      </c>
      <c r="H263" s="20" t="str">
        <f t="shared" si="9"/>
        <v>4031</v>
      </c>
    </row>
    <row r="264" spans="1:8" x14ac:dyDescent="0.25">
      <c r="A264" s="8">
        <v>42984.998888888891</v>
      </c>
      <c r="B264" t="s">
        <v>414</v>
      </c>
      <c r="C264" t="s">
        <v>430</v>
      </c>
      <c r="D264" s="138">
        <v>890000</v>
      </c>
      <c r="E264" t="s">
        <v>374</v>
      </c>
      <c r="F264" s="20" t="s">
        <v>375</v>
      </c>
      <c r="G264" s="8" t="str">
        <f t="shared" si="8"/>
        <v>LOZA FIDEL</v>
      </c>
      <c r="H264" s="20" t="str">
        <f t="shared" si="9"/>
        <v>4062</v>
      </c>
    </row>
    <row r="265" spans="1:8" x14ac:dyDescent="0.25">
      <c r="A265" s="8">
        <v>42985.008680555555</v>
      </c>
      <c r="B265" t="s">
        <v>408</v>
      </c>
      <c r="C265" t="s">
        <v>429</v>
      </c>
      <c r="D265" s="138">
        <v>2620000</v>
      </c>
      <c r="E265" t="s">
        <v>400</v>
      </c>
      <c r="F265" s="20" t="s">
        <v>401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410</v>
      </c>
      <c r="C266" t="s">
        <v>431</v>
      </c>
      <c r="D266" s="138">
        <v>3320000</v>
      </c>
      <c r="E266" t="s">
        <v>425</v>
      </c>
      <c r="F266" s="20" t="s">
        <v>426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398</v>
      </c>
      <c r="C267" t="s">
        <v>432</v>
      </c>
      <c r="D267" s="138">
        <v>3190000</v>
      </c>
      <c r="E267" t="s">
        <v>402</v>
      </c>
      <c r="F267" s="20" t="s">
        <v>403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389</v>
      </c>
      <c r="C268" t="s">
        <v>433</v>
      </c>
      <c r="D268" s="138">
        <v>2620000</v>
      </c>
      <c r="E268" t="s">
        <v>400</v>
      </c>
      <c r="F268" s="20" t="s">
        <v>401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396</v>
      </c>
      <c r="C269" t="s">
        <v>434</v>
      </c>
      <c r="D269" s="138">
        <v>890000</v>
      </c>
      <c r="E269" t="s">
        <v>374</v>
      </c>
      <c r="F269" s="20" t="s">
        <v>375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411</v>
      </c>
      <c r="C270" t="s">
        <v>435</v>
      </c>
      <c r="D270" s="138">
        <v>2680000</v>
      </c>
      <c r="E270" t="s">
        <v>394</v>
      </c>
      <c r="F270" s="20" t="s">
        <v>395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399</v>
      </c>
      <c r="C271" t="s">
        <v>436</v>
      </c>
      <c r="D271" s="138">
        <v>3190000</v>
      </c>
      <c r="E271" t="s">
        <v>402</v>
      </c>
      <c r="F271" s="20" t="s">
        <v>403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414</v>
      </c>
      <c r="C272" t="s">
        <v>437</v>
      </c>
      <c r="D272" s="138">
        <v>890000</v>
      </c>
      <c r="E272" t="s">
        <v>374</v>
      </c>
      <c r="F272" s="20" t="s">
        <v>375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398</v>
      </c>
      <c r="C273" t="s">
        <v>412</v>
      </c>
      <c r="D273" s="138">
        <v>3190000</v>
      </c>
      <c r="E273" t="s">
        <v>402</v>
      </c>
      <c r="F273" s="20" t="s">
        <v>403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846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348</v>
      </c>
      <c r="P1" s="168" t="s">
        <v>156</v>
      </c>
      <c r="Q1" s="168" t="s">
        <v>163</v>
      </c>
      <c r="R1" s="168" t="s">
        <v>349</v>
      </c>
      <c r="S1" s="168" t="s">
        <v>160</v>
      </c>
    </row>
    <row r="2" spans="1:19" x14ac:dyDescent="0.25">
      <c r="A2" s="169">
        <v>67.510000000000005</v>
      </c>
      <c r="B2" s="169">
        <v>0.02</v>
      </c>
      <c r="C2" s="169">
        <v>43.98</v>
      </c>
      <c r="D2" s="8">
        <v>42991</v>
      </c>
      <c r="E2" s="169">
        <v>0.43</v>
      </c>
      <c r="F2" s="169" t="s">
        <v>370</v>
      </c>
      <c r="G2" s="169">
        <v>282.92</v>
      </c>
      <c r="H2" s="169">
        <v>0</v>
      </c>
      <c r="I2" s="169">
        <v>0</v>
      </c>
      <c r="J2" s="169"/>
      <c r="K2" s="169">
        <v>1008.74</v>
      </c>
      <c r="L2" s="169" t="s">
        <v>369</v>
      </c>
      <c r="M2" s="169">
        <v>67.510000000000005</v>
      </c>
      <c r="N2" s="169">
        <v>1505282400</v>
      </c>
      <c r="O2" s="169">
        <v>0</v>
      </c>
      <c r="P2" s="169">
        <v>2.66</v>
      </c>
      <c r="Q2" s="169">
        <v>191</v>
      </c>
      <c r="R2" s="169">
        <v>4.53</v>
      </c>
      <c r="S2" s="169">
        <v>1.1200000000000001</v>
      </c>
    </row>
    <row r="3" spans="1:19" x14ac:dyDescent="0.25">
      <c r="A3" s="169">
        <v>65.86</v>
      </c>
      <c r="B3" s="169">
        <v>0.18</v>
      </c>
      <c r="C3" s="169">
        <v>43.81</v>
      </c>
      <c r="D3" s="8">
        <v>42991.041666666664</v>
      </c>
      <c r="E3" s="169">
        <v>0.45</v>
      </c>
      <c r="F3" s="169" t="s">
        <v>370</v>
      </c>
      <c r="G3" s="169">
        <v>282.57</v>
      </c>
      <c r="H3" s="169">
        <v>0</v>
      </c>
      <c r="I3" s="169">
        <v>0</v>
      </c>
      <c r="J3" s="169"/>
      <c r="K3" s="169">
        <v>1008.41</v>
      </c>
      <c r="L3" s="169" t="s">
        <v>369</v>
      </c>
      <c r="M3" s="169">
        <v>65.86</v>
      </c>
      <c r="N3" s="169">
        <v>1505286000</v>
      </c>
      <c r="O3" s="169">
        <v>0</v>
      </c>
      <c r="P3" s="169">
        <v>2.98</v>
      </c>
      <c r="Q3" s="169">
        <v>221</v>
      </c>
      <c r="R3" s="169">
        <v>3.49</v>
      </c>
      <c r="S3" s="169">
        <v>1.1599999999999999</v>
      </c>
    </row>
    <row r="4" spans="1:19" x14ac:dyDescent="0.25">
      <c r="A4" s="169">
        <v>64.680000000000007</v>
      </c>
      <c r="B4" s="169">
        <v>0.04</v>
      </c>
      <c r="C4" s="169">
        <v>43.67</v>
      </c>
      <c r="D4" s="8">
        <v>42991.083333333336</v>
      </c>
      <c r="E4" s="169">
        <v>0.46</v>
      </c>
      <c r="F4" s="169" t="s">
        <v>370</v>
      </c>
      <c r="G4" s="169">
        <v>282.20999999999998</v>
      </c>
      <c r="H4" s="169">
        <v>0</v>
      </c>
      <c r="I4" s="169">
        <v>0</v>
      </c>
      <c r="J4" s="169"/>
      <c r="K4" s="169">
        <v>1008.26</v>
      </c>
      <c r="L4" s="169" t="s">
        <v>369</v>
      </c>
      <c r="M4" s="169">
        <v>64.680000000000007</v>
      </c>
      <c r="N4" s="169">
        <v>1505289600</v>
      </c>
      <c r="O4" s="169">
        <v>0</v>
      </c>
      <c r="P4" s="169">
        <v>3.32</v>
      </c>
      <c r="Q4" s="169">
        <v>207</v>
      </c>
      <c r="R4" s="169">
        <v>3.29</v>
      </c>
      <c r="S4" s="169">
        <v>1.35</v>
      </c>
    </row>
    <row r="5" spans="1:19" x14ac:dyDescent="0.25">
      <c r="A5" s="169">
        <v>63.64</v>
      </c>
      <c r="B5" s="169">
        <v>0.03</v>
      </c>
      <c r="C5" s="169">
        <v>43.41</v>
      </c>
      <c r="D5" s="8">
        <v>42991.125</v>
      </c>
      <c r="E5" s="169">
        <v>0.48</v>
      </c>
      <c r="F5" s="169" t="s">
        <v>370</v>
      </c>
      <c r="G5" s="169">
        <v>281.86</v>
      </c>
      <c r="H5" s="169">
        <v>0</v>
      </c>
      <c r="I5" s="169">
        <v>0</v>
      </c>
      <c r="J5" s="169"/>
      <c r="K5" s="169">
        <v>1008.92</v>
      </c>
      <c r="L5" s="169" t="s">
        <v>369</v>
      </c>
      <c r="M5" s="169">
        <v>63.64</v>
      </c>
      <c r="N5" s="169">
        <v>1505293200</v>
      </c>
      <c r="O5" s="169">
        <v>0</v>
      </c>
      <c r="P5" s="169">
        <v>3.83</v>
      </c>
      <c r="Q5" s="169">
        <v>209</v>
      </c>
      <c r="R5" s="169">
        <v>3.88</v>
      </c>
      <c r="S5" s="169">
        <v>1.39</v>
      </c>
    </row>
    <row r="6" spans="1:19" x14ac:dyDescent="0.25">
      <c r="A6" s="169">
        <v>62.92</v>
      </c>
      <c r="B6" s="169">
        <v>0.01</v>
      </c>
      <c r="C6" s="169">
        <v>42.79</v>
      </c>
      <c r="D6" s="8">
        <v>42991.166666666664</v>
      </c>
      <c r="E6" s="169">
        <v>0.48</v>
      </c>
      <c r="F6" s="169" t="s">
        <v>370</v>
      </c>
      <c r="G6" s="169">
        <v>281.74</v>
      </c>
      <c r="H6" s="169">
        <v>0</v>
      </c>
      <c r="I6" s="169">
        <v>0</v>
      </c>
      <c r="J6" s="169"/>
      <c r="K6" s="169">
        <v>1007.89</v>
      </c>
      <c r="L6" s="169" t="s">
        <v>369</v>
      </c>
      <c r="M6" s="169">
        <v>62.92</v>
      </c>
      <c r="N6" s="169">
        <v>1505296800</v>
      </c>
      <c r="O6" s="169">
        <v>0</v>
      </c>
      <c r="P6" s="169">
        <v>3.69</v>
      </c>
      <c r="Q6" s="169">
        <v>196</v>
      </c>
      <c r="R6" s="169">
        <v>4.6100000000000003</v>
      </c>
      <c r="S6" s="169">
        <v>1.86</v>
      </c>
    </row>
    <row r="7" spans="1:19" x14ac:dyDescent="0.25">
      <c r="A7" s="169">
        <v>62.66</v>
      </c>
      <c r="B7" s="169">
        <v>0.03</v>
      </c>
      <c r="C7" s="169">
        <v>43.14</v>
      </c>
      <c r="D7" s="8">
        <v>42991.208333333336</v>
      </c>
      <c r="E7" s="169">
        <v>0.49</v>
      </c>
      <c r="F7" s="169" t="s">
        <v>370</v>
      </c>
      <c r="G7" s="169">
        <v>281.86</v>
      </c>
      <c r="H7" s="169">
        <v>0</v>
      </c>
      <c r="I7" s="169">
        <v>0</v>
      </c>
      <c r="J7" s="169"/>
      <c r="K7" s="169">
        <v>1008.54</v>
      </c>
      <c r="L7" s="169" t="s">
        <v>369</v>
      </c>
      <c r="M7" s="169">
        <v>62.66</v>
      </c>
      <c r="N7" s="169">
        <v>1505300400</v>
      </c>
      <c r="O7" s="169">
        <v>0</v>
      </c>
      <c r="P7" s="169">
        <v>2.2799999999999998</v>
      </c>
      <c r="Q7" s="169">
        <v>202</v>
      </c>
      <c r="R7" s="169">
        <v>4.5199999999999996</v>
      </c>
      <c r="S7" s="169">
        <v>1.99</v>
      </c>
    </row>
    <row r="8" spans="1:19" x14ac:dyDescent="0.25">
      <c r="A8" s="169">
        <v>61.81</v>
      </c>
      <c r="B8" s="169">
        <v>0.04</v>
      </c>
      <c r="C8" s="169">
        <v>43.09</v>
      </c>
      <c r="D8" s="8">
        <v>42991.25</v>
      </c>
      <c r="E8" s="169">
        <v>0.5</v>
      </c>
      <c r="F8" s="169" t="s">
        <v>370</v>
      </c>
      <c r="G8" s="169">
        <v>283.38</v>
      </c>
      <c r="H8" s="169">
        <v>0</v>
      </c>
      <c r="I8" s="169">
        <v>0</v>
      </c>
      <c r="J8" s="169"/>
      <c r="K8" s="169">
        <v>1007.95</v>
      </c>
      <c r="L8" s="169" t="s">
        <v>369</v>
      </c>
      <c r="M8" s="169">
        <v>61.81</v>
      </c>
      <c r="N8" s="169">
        <v>1505304000</v>
      </c>
      <c r="O8" s="169">
        <v>0</v>
      </c>
      <c r="P8" s="169">
        <v>2.98</v>
      </c>
      <c r="Q8" s="169">
        <v>198</v>
      </c>
      <c r="R8" s="169">
        <v>4.4000000000000004</v>
      </c>
      <c r="S8" s="169">
        <v>1.61</v>
      </c>
    </row>
    <row r="9" spans="1:19" x14ac:dyDescent="0.25">
      <c r="A9" s="169">
        <v>63.08</v>
      </c>
      <c r="B9" s="169">
        <v>0.08</v>
      </c>
      <c r="C9" s="169">
        <v>43.13</v>
      </c>
      <c r="D9" s="8">
        <v>42991.291666666664</v>
      </c>
      <c r="E9" s="169">
        <v>0.48</v>
      </c>
      <c r="F9" s="169" t="s">
        <v>368</v>
      </c>
      <c r="G9" s="169">
        <v>283.5</v>
      </c>
      <c r="H9" s="169">
        <v>0</v>
      </c>
      <c r="I9" s="169">
        <v>0</v>
      </c>
      <c r="J9" s="169"/>
      <c r="K9" s="169">
        <v>1008.7</v>
      </c>
      <c r="L9" s="169" t="s">
        <v>369</v>
      </c>
      <c r="M9" s="169">
        <v>63.08</v>
      </c>
      <c r="N9" s="169">
        <v>1505307600</v>
      </c>
      <c r="O9" s="169">
        <v>0</v>
      </c>
      <c r="P9" s="169">
        <v>2.96</v>
      </c>
      <c r="Q9" s="169">
        <v>204</v>
      </c>
      <c r="R9" s="169">
        <v>5.33</v>
      </c>
      <c r="S9" s="169">
        <v>1.94</v>
      </c>
    </row>
    <row r="10" spans="1:19" x14ac:dyDescent="0.25">
      <c r="A10" s="169">
        <v>66.87</v>
      </c>
      <c r="B10" s="169">
        <v>0.02</v>
      </c>
      <c r="C10" s="169">
        <v>45.05</v>
      </c>
      <c r="D10" s="8">
        <v>42991.333333333336</v>
      </c>
      <c r="E10" s="169">
        <v>0.45</v>
      </c>
      <c r="F10" s="169" t="s">
        <v>368</v>
      </c>
      <c r="G10" s="169">
        <v>283.5</v>
      </c>
      <c r="H10" s="169">
        <v>0</v>
      </c>
      <c r="I10" s="169">
        <v>0</v>
      </c>
      <c r="J10" s="169"/>
      <c r="K10" s="169">
        <v>1008.58</v>
      </c>
      <c r="L10" s="169" t="s">
        <v>369</v>
      </c>
      <c r="M10" s="169">
        <v>66.87</v>
      </c>
      <c r="N10" s="169">
        <v>1505311200</v>
      </c>
      <c r="O10" s="169">
        <v>1</v>
      </c>
      <c r="P10" s="169">
        <v>10</v>
      </c>
      <c r="Q10" s="169">
        <v>210</v>
      </c>
      <c r="R10" s="169">
        <v>8.1199999999999992</v>
      </c>
      <c r="S10" s="169">
        <v>2.0299999999999998</v>
      </c>
    </row>
    <row r="11" spans="1:19" x14ac:dyDescent="0.25">
      <c r="A11" s="169">
        <v>73.55</v>
      </c>
      <c r="B11" s="169">
        <v>0.05</v>
      </c>
      <c r="C11" s="169">
        <v>46.71</v>
      </c>
      <c r="D11" s="8">
        <v>42991.375</v>
      </c>
      <c r="E11" s="169">
        <v>0.38</v>
      </c>
      <c r="F11" s="169" t="s">
        <v>368</v>
      </c>
      <c r="G11" s="169">
        <v>283.26</v>
      </c>
      <c r="H11" s="169">
        <v>0</v>
      </c>
      <c r="I11" s="169">
        <v>0</v>
      </c>
      <c r="J11" s="169"/>
      <c r="K11" s="169">
        <v>1008.39</v>
      </c>
      <c r="L11" s="169" t="s">
        <v>369</v>
      </c>
      <c r="M11" s="169">
        <v>73.55</v>
      </c>
      <c r="N11" s="169">
        <v>1505314800</v>
      </c>
      <c r="O11" s="169">
        <v>2</v>
      </c>
      <c r="P11" s="169">
        <v>2.92</v>
      </c>
      <c r="Q11" s="169">
        <v>213</v>
      </c>
      <c r="R11" s="169">
        <v>5.92</v>
      </c>
      <c r="S11" s="169">
        <v>1.58</v>
      </c>
    </row>
    <row r="12" spans="1:19" x14ac:dyDescent="0.25">
      <c r="A12" s="169">
        <v>78.180000000000007</v>
      </c>
      <c r="B12" s="169">
        <v>0.03</v>
      </c>
      <c r="C12" s="169">
        <v>40.11</v>
      </c>
      <c r="D12" s="8">
        <v>42991.416666666664</v>
      </c>
      <c r="E12" s="169">
        <v>0.26</v>
      </c>
      <c r="F12" s="169" t="s">
        <v>368</v>
      </c>
      <c r="G12" s="169">
        <v>282.68</v>
      </c>
      <c r="H12" s="169">
        <v>0</v>
      </c>
      <c r="I12" s="169">
        <v>0</v>
      </c>
      <c r="J12" s="169"/>
      <c r="K12" s="169">
        <v>1006.82</v>
      </c>
      <c r="L12" s="169" t="s">
        <v>369</v>
      </c>
      <c r="M12" s="169">
        <v>78.180000000000007</v>
      </c>
      <c r="N12" s="169">
        <v>1505318400</v>
      </c>
      <c r="O12" s="169">
        <v>3</v>
      </c>
      <c r="P12" s="169">
        <v>10</v>
      </c>
      <c r="Q12" s="169">
        <v>226</v>
      </c>
      <c r="R12" s="169">
        <v>7.84</v>
      </c>
      <c r="S12" s="169">
        <v>4.38</v>
      </c>
    </row>
    <row r="13" spans="1:19" x14ac:dyDescent="0.25">
      <c r="A13" s="169">
        <v>85.07</v>
      </c>
      <c r="B13" s="169">
        <v>0.04</v>
      </c>
      <c r="C13" s="169">
        <v>44.52</v>
      </c>
      <c r="D13" s="8">
        <v>42991.458333333336</v>
      </c>
      <c r="E13" s="169">
        <v>0.24</v>
      </c>
      <c r="F13" s="169" t="s">
        <v>368</v>
      </c>
      <c r="G13" s="169">
        <v>281.86</v>
      </c>
      <c r="H13" s="169">
        <v>0</v>
      </c>
      <c r="I13" s="169">
        <v>0</v>
      </c>
      <c r="J13" s="169"/>
      <c r="K13" s="169">
        <v>1007</v>
      </c>
      <c r="L13" s="169" t="s">
        <v>369</v>
      </c>
      <c r="M13" s="169">
        <v>85.07</v>
      </c>
      <c r="N13" s="169">
        <v>1505322000</v>
      </c>
      <c r="O13" s="169">
        <v>5</v>
      </c>
      <c r="P13" s="169">
        <v>3.84</v>
      </c>
      <c r="Q13" s="169">
        <v>78</v>
      </c>
      <c r="R13" s="169">
        <v>5.0599999999999996</v>
      </c>
      <c r="S13" s="169">
        <v>0.6</v>
      </c>
    </row>
    <row r="14" spans="1:19" x14ac:dyDescent="0.25">
      <c r="A14" s="169">
        <v>86.34</v>
      </c>
      <c r="B14" s="169">
        <v>0.1</v>
      </c>
      <c r="C14" s="169">
        <v>42.65</v>
      </c>
      <c r="D14" s="8">
        <v>42991.5</v>
      </c>
      <c r="E14" s="169">
        <v>0.22</v>
      </c>
      <c r="F14" s="169" t="s">
        <v>368</v>
      </c>
      <c r="G14" s="169">
        <v>280.10000000000002</v>
      </c>
      <c r="H14" s="169">
        <v>0</v>
      </c>
      <c r="I14" s="169">
        <v>0</v>
      </c>
      <c r="J14" s="169"/>
      <c r="K14" s="169">
        <v>1005.91</v>
      </c>
      <c r="L14" s="169" t="s">
        <v>369</v>
      </c>
      <c r="M14" s="169">
        <v>86.34</v>
      </c>
      <c r="N14" s="169">
        <v>1505325600</v>
      </c>
      <c r="O14" s="169">
        <v>7</v>
      </c>
      <c r="P14" s="169">
        <v>3.96</v>
      </c>
      <c r="Q14" s="169">
        <v>43</v>
      </c>
      <c r="R14" s="169">
        <v>6.76</v>
      </c>
      <c r="S14" s="169">
        <v>0.34</v>
      </c>
    </row>
    <row r="15" spans="1:19" x14ac:dyDescent="0.25">
      <c r="A15" s="169">
        <v>85.13</v>
      </c>
      <c r="B15" s="169">
        <v>0.43</v>
      </c>
      <c r="C15" s="169">
        <v>42.21</v>
      </c>
      <c r="D15" s="8">
        <v>42991.541666666664</v>
      </c>
      <c r="E15" s="169">
        <v>0.22</v>
      </c>
      <c r="F15" s="169" t="s">
        <v>847</v>
      </c>
      <c r="G15" s="169">
        <v>279.63</v>
      </c>
      <c r="H15" s="169">
        <v>0</v>
      </c>
      <c r="I15" s="169">
        <v>0</v>
      </c>
      <c r="J15" s="169"/>
      <c r="K15" s="169">
        <v>1005.41</v>
      </c>
      <c r="L15" s="169" t="s">
        <v>848</v>
      </c>
      <c r="M15" s="169">
        <v>85.13</v>
      </c>
      <c r="N15" s="169">
        <v>1505329200</v>
      </c>
      <c r="O15" s="169">
        <v>6</v>
      </c>
      <c r="P15" s="169">
        <v>3.88</v>
      </c>
      <c r="Q15" s="169">
        <v>106</v>
      </c>
      <c r="R15" s="169">
        <v>8.43</v>
      </c>
      <c r="S15" s="169">
        <v>0.48</v>
      </c>
    </row>
    <row r="16" spans="1:19" x14ac:dyDescent="0.25">
      <c r="A16" s="169">
        <v>82.23</v>
      </c>
      <c r="B16" s="169">
        <v>0.37</v>
      </c>
      <c r="C16" s="169">
        <v>44.11</v>
      </c>
      <c r="D16" s="8">
        <v>42991.583333333336</v>
      </c>
      <c r="E16" s="169">
        <v>0.26</v>
      </c>
      <c r="F16" s="169" t="s">
        <v>847</v>
      </c>
      <c r="G16" s="169">
        <v>279.52</v>
      </c>
      <c r="H16" s="169">
        <v>2.0000000000000001E-4</v>
      </c>
      <c r="I16" s="169">
        <v>0.01</v>
      </c>
      <c r="J16" s="169" t="s">
        <v>849</v>
      </c>
      <c r="K16" s="169">
        <v>1005.22</v>
      </c>
      <c r="L16" s="169" t="s">
        <v>848</v>
      </c>
      <c r="M16" s="169">
        <v>82.23</v>
      </c>
      <c r="N16" s="169">
        <v>1505332800</v>
      </c>
      <c r="O16" s="169">
        <v>6</v>
      </c>
      <c r="P16" s="169">
        <v>4.0999999999999996</v>
      </c>
      <c r="Q16" s="169">
        <v>265</v>
      </c>
      <c r="R16" s="169">
        <v>10.96</v>
      </c>
      <c r="S16" s="169">
        <v>1.9</v>
      </c>
    </row>
    <row r="17" spans="1:19" x14ac:dyDescent="0.25">
      <c r="A17" s="169">
        <v>80.95</v>
      </c>
      <c r="B17" s="169">
        <v>0.43</v>
      </c>
      <c r="C17" s="169">
        <v>45.02</v>
      </c>
      <c r="D17" s="8">
        <v>42991.625</v>
      </c>
      <c r="E17" s="169">
        <v>0.28000000000000003</v>
      </c>
      <c r="F17" s="169" t="s">
        <v>847</v>
      </c>
      <c r="G17" s="169">
        <v>279.29000000000002</v>
      </c>
      <c r="H17" s="169">
        <v>0</v>
      </c>
      <c r="I17" s="169">
        <v>0</v>
      </c>
      <c r="J17" s="169"/>
      <c r="K17" s="169">
        <v>1006.43</v>
      </c>
      <c r="L17" s="169" t="s">
        <v>848</v>
      </c>
      <c r="M17" s="169">
        <v>80.95</v>
      </c>
      <c r="N17" s="169">
        <v>1505336400</v>
      </c>
      <c r="O17" s="169">
        <v>4</v>
      </c>
      <c r="P17" s="169">
        <v>4.2300000000000004</v>
      </c>
      <c r="Q17" s="169">
        <v>136</v>
      </c>
      <c r="R17" s="169">
        <v>11.1</v>
      </c>
      <c r="S17" s="169">
        <v>1.32</v>
      </c>
    </row>
    <row r="18" spans="1:19" x14ac:dyDescent="0.25">
      <c r="A18" s="169">
        <v>82.58</v>
      </c>
      <c r="B18" s="169">
        <v>0.55000000000000004</v>
      </c>
      <c r="C18" s="169">
        <v>43.69</v>
      </c>
      <c r="D18" s="8">
        <v>42991.666666666664</v>
      </c>
      <c r="E18" s="169">
        <v>0.25</v>
      </c>
      <c r="F18" s="169" t="s">
        <v>847</v>
      </c>
      <c r="G18" s="169">
        <v>279.27999999999997</v>
      </c>
      <c r="H18" s="169">
        <v>0</v>
      </c>
      <c r="I18" s="169">
        <v>0</v>
      </c>
      <c r="J18" s="169"/>
      <c r="K18" s="169">
        <v>1005.18</v>
      </c>
      <c r="L18" s="169" t="s">
        <v>848</v>
      </c>
      <c r="M18" s="169">
        <v>82.58</v>
      </c>
      <c r="N18" s="169">
        <v>1505340000</v>
      </c>
      <c r="O18" s="169">
        <v>2</v>
      </c>
      <c r="P18" s="169">
        <v>3.14</v>
      </c>
      <c r="Q18" s="169">
        <v>102</v>
      </c>
      <c r="R18" s="169">
        <v>6.62</v>
      </c>
      <c r="S18" s="169">
        <v>0.48</v>
      </c>
    </row>
    <row r="19" spans="1:19" x14ac:dyDescent="0.25">
      <c r="A19" s="169">
        <v>84.01</v>
      </c>
      <c r="B19" s="169">
        <v>0.42</v>
      </c>
      <c r="C19" s="169">
        <v>42.47</v>
      </c>
      <c r="D19" s="8">
        <v>42991.708333333336</v>
      </c>
      <c r="E19" s="169">
        <v>0.23</v>
      </c>
      <c r="F19" s="169" t="s">
        <v>847</v>
      </c>
      <c r="G19" s="169">
        <v>279.16000000000003</v>
      </c>
      <c r="H19" s="169">
        <v>0</v>
      </c>
      <c r="I19" s="169">
        <v>0</v>
      </c>
      <c r="J19" s="169"/>
      <c r="K19" s="169">
        <v>1004.56</v>
      </c>
      <c r="L19" s="169" t="s">
        <v>848</v>
      </c>
      <c r="M19" s="169">
        <v>84.01</v>
      </c>
      <c r="N19" s="169">
        <v>1505343600</v>
      </c>
      <c r="O19" s="169">
        <v>1</v>
      </c>
      <c r="P19" s="169">
        <v>4.5</v>
      </c>
      <c r="Q19" s="169">
        <v>36</v>
      </c>
      <c r="R19" s="169">
        <v>5.8</v>
      </c>
      <c r="S19" s="169">
        <v>0.47</v>
      </c>
    </row>
    <row r="20" spans="1:19" x14ac:dyDescent="0.25">
      <c r="A20" s="169">
        <v>84.11</v>
      </c>
      <c r="B20" s="169">
        <v>0.09</v>
      </c>
      <c r="C20" s="169">
        <v>41.83</v>
      </c>
      <c r="D20" s="8">
        <v>42991.75</v>
      </c>
      <c r="E20" s="169">
        <v>0.23</v>
      </c>
      <c r="F20" s="169" t="s">
        <v>368</v>
      </c>
      <c r="G20" s="169">
        <v>278.45</v>
      </c>
      <c r="H20" s="169">
        <v>0</v>
      </c>
      <c r="I20" s="169">
        <v>0</v>
      </c>
      <c r="J20" s="169"/>
      <c r="K20" s="169">
        <v>1003.97</v>
      </c>
      <c r="L20" s="169" t="s">
        <v>369</v>
      </c>
      <c r="M20" s="169">
        <v>84.11</v>
      </c>
      <c r="N20" s="169">
        <v>1505347200</v>
      </c>
      <c r="O20" s="169">
        <v>1</v>
      </c>
      <c r="P20" s="169">
        <v>4.21</v>
      </c>
      <c r="Q20" s="169">
        <v>33</v>
      </c>
      <c r="R20" s="169">
        <v>4.6100000000000003</v>
      </c>
      <c r="S20" s="169">
        <v>0.86</v>
      </c>
    </row>
    <row r="21" spans="1:19" x14ac:dyDescent="0.25">
      <c r="A21" s="169">
        <v>78.28</v>
      </c>
      <c r="B21" s="169">
        <v>0.1</v>
      </c>
      <c r="C21" s="169">
        <v>44.85</v>
      </c>
      <c r="D21" s="8">
        <v>42991.791666666664</v>
      </c>
      <c r="E21" s="169">
        <v>0.31</v>
      </c>
      <c r="F21" s="169" t="s">
        <v>368</v>
      </c>
      <c r="G21" s="169">
        <v>278.08999999999997</v>
      </c>
      <c r="H21" s="169">
        <v>0</v>
      </c>
      <c r="I21" s="169">
        <v>0</v>
      </c>
      <c r="J21" s="169"/>
      <c r="K21" s="169">
        <v>1004.71</v>
      </c>
      <c r="L21" s="169" t="s">
        <v>369</v>
      </c>
      <c r="M21" s="169">
        <v>78.28</v>
      </c>
      <c r="N21" s="169">
        <v>1505350800</v>
      </c>
      <c r="O21" s="169">
        <v>0</v>
      </c>
      <c r="P21" s="169">
        <v>3.92</v>
      </c>
      <c r="Q21" s="169">
        <v>243</v>
      </c>
      <c r="R21" s="169">
        <v>2.11</v>
      </c>
      <c r="S21" s="169">
        <v>0.38</v>
      </c>
    </row>
    <row r="22" spans="1:19" x14ac:dyDescent="0.25">
      <c r="A22" s="169">
        <v>72.819999999999993</v>
      </c>
      <c r="B22" s="169">
        <v>0.05</v>
      </c>
      <c r="C22" s="169">
        <v>45.51</v>
      </c>
      <c r="D22" s="8">
        <v>42991.833333333336</v>
      </c>
      <c r="E22" s="169">
        <v>0.38</v>
      </c>
      <c r="F22" s="169" t="s">
        <v>370</v>
      </c>
      <c r="G22" s="169">
        <v>277.85000000000002</v>
      </c>
      <c r="H22" s="169">
        <v>0</v>
      </c>
      <c r="I22" s="169">
        <v>0</v>
      </c>
      <c r="J22" s="169"/>
      <c r="K22" s="169">
        <v>1005.68</v>
      </c>
      <c r="L22" s="169" t="s">
        <v>369</v>
      </c>
      <c r="M22" s="169">
        <v>72.819999999999993</v>
      </c>
      <c r="N22" s="169">
        <v>1505354400</v>
      </c>
      <c r="O22" s="169">
        <v>0</v>
      </c>
      <c r="P22" s="169">
        <v>4.22</v>
      </c>
      <c r="Q22" s="169">
        <v>259</v>
      </c>
      <c r="R22" s="169">
        <v>2.54</v>
      </c>
      <c r="S22" s="169">
        <v>0.08</v>
      </c>
    </row>
    <row r="23" spans="1:19" x14ac:dyDescent="0.25">
      <c r="A23" s="169">
        <v>71.290000000000006</v>
      </c>
      <c r="B23" s="169">
        <v>0.1</v>
      </c>
      <c r="C23" s="169">
        <v>45.06</v>
      </c>
      <c r="D23" s="8">
        <v>42991.875</v>
      </c>
      <c r="E23" s="169">
        <v>0.39</v>
      </c>
      <c r="F23" s="169" t="s">
        <v>370</v>
      </c>
      <c r="G23" s="169">
        <v>277.49</v>
      </c>
      <c r="H23" s="169">
        <v>0</v>
      </c>
      <c r="I23" s="169">
        <v>0</v>
      </c>
      <c r="J23" s="169"/>
      <c r="K23" s="169">
        <v>1006.6</v>
      </c>
      <c r="L23" s="169" t="s">
        <v>369</v>
      </c>
      <c r="M23" s="169">
        <v>71.290000000000006</v>
      </c>
      <c r="N23" s="169">
        <v>1505358000</v>
      </c>
      <c r="O23" s="169">
        <v>0</v>
      </c>
      <c r="P23" s="169">
        <v>3.47</v>
      </c>
      <c r="Q23" s="169">
        <v>337</v>
      </c>
      <c r="R23" s="169">
        <v>4.79</v>
      </c>
      <c r="S23" s="169">
        <v>1.04</v>
      </c>
    </row>
    <row r="24" spans="1:19" x14ac:dyDescent="0.25">
      <c r="A24" s="169">
        <v>68.209999999999994</v>
      </c>
      <c r="B24" s="169">
        <v>0.05</v>
      </c>
      <c r="C24" s="169">
        <v>45.23</v>
      </c>
      <c r="D24" s="8">
        <v>42991.916666666664</v>
      </c>
      <c r="E24" s="169">
        <v>0.44</v>
      </c>
      <c r="F24" s="169" t="s">
        <v>370</v>
      </c>
      <c r="G24" s="169">
        <v>277.13</v>
      </c>
      <c r="H24" s="169">
        <v>0</v>
      </c>
      <c r="I24" s="169">
        <v>0</v>
      </c>
      <c r="J24" s="169"/>
      <c r="K24" s="169">
        <v>1006.92</v>
      </c>
      <c r="L24" s="169" t="s">
        <v>369</v>
      </c>
      <c r="M24" s="169">
        <v>68.209999999999994</v>
      </c>
      <c r="N24" s="169">
        <v>1505361600</v>
      </c>
      <c r="O24" s="169">
        <v>0</v>
      </c>
      <c r="P24" s="169">
        <v>4.97</v>
      </c>
      <c r="Q24" s="169">
        <v>317</v>
      </c>
      <c r="R24" s="169">
        <v>2.93</v>
      </c>
      <c r="S24" s="169">
        <v>0.35</v>
      </c>
    </row>
    <row r="25" spans="1:19" x14ac:dyDescent="0.25">
      <c r="A25" s="169">
        <v>65.03</v>
      </c>
      <c r="B25" s="169">
        <v>0.05</v>
      </c>
      <c r="C25" s="169">
        <v>45.39</v>
      </c>
      <c r="D25" s="8">
        <v>42991.958333333336</v>
      </c>
      <c r="E25" s="169">
        <v>0.49</v>
      </c>
      <c r="F25" s="169" t="s">
        <v>370</v>
      </c>
      <c r="G25" s="169">
        <v>276.77999999999997</v>
      </c>
      <c r="H25" s="169">
        <v>0</v>
      </c>
      <c r="I25" s="169">
        <v>0</v>
      </c>
      <c r="J25" s="169"/>
      <c r="K25" s="169">
        <v>1006.23</v>
      </c>
      <c r="L25" s="169" t="s">
        <v>369</v>
      </c>
      <c r="M25" s="169">
        <v>65.03</v>
      </c>
      <c r="N25" s="169">
        <v>1505365200</v>
      </c>
      <c r="O25" s="169">
        <v>0</v>
      </c>
      <c r="P25" s="169">
        <v>3.74</v>
      </c>
      <c r="Q25" s="169">
        <v>241</v>
      </c>
      <c r="R25" s="169">
        <v>2.84</v>
      </c>
      <c r="S25" s="169">
        <v>1.08</v>
      </c>
    </row>
    <row r="26" spans="1:19" x14ac:dyDescent="0.25">
      <c r="A26" s="169">
        <v>62.99</v>
      </c>
      <c r="B26" s="169">
        <v>0.04</v>
      </c>
      <c r="C26" s="169">
        <v>45.07</v>
      </c>
      <c r="D26" s="8">
        <v>42992</v>
      </c>
      <c r="E26" s="169">
        <v>0.52</v>
      </c>
      <c r="F26" s="169" t="s">
        <v>370</v>
      </c>
      <c r="G26" s="169">
        <v>276.42</v>
      </c>
      <c r="H26" s="169">
        <v>0</v>
      </c>
      <c r="I26" s="169">
        <v>0</v>
      </c>
      <c r="J26" s="169"/>
      <c r="K26" s="169">
        <v>1006.22</v>
      </c>
      <c r="L26" s="169" t="s">
        <v>369</v>
      </c>
      <c r="M26" s="169">
        <v>62.99</v>
      </c>
      <c r="N26" s="169">
        <v>1505368800</v>
      </c>
      <c r="O26" s="169">
        <v>0</v>
      </c>
      <c r="P26" s="169">
        <v>3.32</v>
      </c>
      <c r="Q26" s="169">
        <v>226</v>
      </c>
      <c r="R26" s="169">
        <v>2.79</v>
      </c>
      <c r="S26" s="169">
        <v>1.24</v>
      </c>
    </row>
    <row r="27" spans="1:19" x14ac:dyDescent="0.25">
      <c r="A27" s="169">
        <v>62.39</v>
      </c>
      <c r="B27" s="169">
        <v>0.04</v>
      </c>
      <c r="C27" s="169">
        <v>43.89</v>
      </c>
      <c r="D27" s="8">
        <v>42992.041666666664</v>
      </c>
      <c r="E27" s="169">
        <v>0.51</v>
      </c>
      <c r="F27" s="169" t="s">
        <v>370</v>
      </c>
      <c r="G27" s="169">
        <v>276.06</v>
      </c>
      <c r="H27" s="169">
        <v>0</v>
      </c>
      <c r="I27" s="169">
        <v>0</v>
      </c>
      <c r="J27" s="169"/>
      <c r="K27" s="169">
        <v>1006.43</v>
      </c>
      <c r="L27" s="169" t="s">
        <v>369</v>
      </c>
      <c r="M27" s="169">
        <v>62.39</v>
      </c>
      <c r="N27" s="169">
        <v>1505372400</v>
      </c>
      <c r="O27" s="169">
        <v>0</v>
      </c>
      <c r="P27" s="169">
        <v>3.46</v>
      </c>
      <c r="Q27" s="169">
        <v>211</v>
      </c>
      <c r="R27" s="169">
        <v>3.88</v>
      </c>
      <c r="S27" s="169">
        <v>1.47</v>
      </c>
    </row>
    <row r="28" spans="1:19" x14ac:dyDescent="0.25">
      <c r="A28" s="169">
        <v>62.17</v>
      </c>
      <c r="B28" s="169">
        <v>0.02</v>
      </c>
      <c r="C28" s="169">
        <v>43.16</v>
      </c>
      <c r="D28" s="8">
        <v>42992.083333333336</v>
      </c>
      <c r="E28" s="169">
        <v>0.5</v>
      </c>
      <c r="F28" s="169" t="s">
        <v>370</v>
      </c>
      <c r="G28" s="169">
        <v>275.58</v>
      </c>
      <c r="H28" s="169">
        <v>0</v>
      </c>
      <c r="I28" s="169">
        <v>0</v>
      </c>
      <c r="J28" s="169"/>
      <c r="K28" s="169">
        <v>1006.36</v>
      </c>
      <c r="L28" s="169" t="s">
        <v>369</v>
      </c>
      <c r="M28" s="169">
        <v>62.17</v>
      </c>
      <c r="N28" s="169">
        <v>1505376000</v>
      </c>
      <c r="O28" s="169">
        <v>0</v>
      </c>
      <c r="P28" s="169">
        <v>2.92</v>
      </c>
      <c r="Q28" s="169">
        <v>205</v>
      </c>
      <c r="R28" s="169">
        <v>3.84</v>
      </c>
      <c r="S28" s="169">
        <v>1.48</v>
      </c>
    </row>
    <row r="29" spans="1:19" x14ac:dyDescent="0.25">
      <c r="A29" s="169">
        <v>61.83</v>
      </c>
      <c r="B29" s="169">
        <v>0.04</v>
      </c>
      <c r="C29" s="169">
        <v>42.56</v>
      </c>
      <c r="D29" s="8">
        <v>42992.125</v>
      </c>
      <c r="E29" s="169">
        <v>0.49</v>
      </c>
      <c r="F29" s="169" t="s">
        <v>370</v>
      </c>
      <c r="G29" s="169">
        <v>275.33999999999997</v>
      </c>
      <c r="H29" s="169">
        <v>0</v>
      </c>
      <c r="I29" s="169">
        <v>0</v>
      </c>
      <c r="J29" s="169"/>
      <c r="K29" s="169">
        <v>1006.69</v>
      </c>
      <c r="L29" s="169" t="s">
        <v>369</v>
      </c>
      <c r="M29" s="169">
        <v>61.83</v>
      </c>
      <c r="N29" s="169">
        <v>1505379600</v>
      </c>
      <c r="O29" s="169">
        <v>0</v>
      </c>
      <c r="P29" s="169">
        <v>3.11</v>
      </c>
      <c r="Q29" s="169">
        <v>207</v>
      </c>
      <c r="R29" s="169">
        <v>4.3600000000000003</v>
      </c>
      <c r="S29" s="169">
        <v>1.57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F3" activeCellId="1" sqref="F7 F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996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997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1001</v>
      </c>
      <c r="J25" s="140" t="s">
        <v>146</v>
      </c>
      <c r="M25" s="154" t="b">
        <v>1</v>
      </c>
    </row>
    <row r="26" spans="3:24" x14ac:dyDescent="0.25">
      <c r="C26" t="s">
        <v>1002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C:\Users\stu\Documents\GitHub\eaglep3-reporting\EC\2017-09-13-refined-times.txt</v>
      </c>
    </row>
    <row r="27" spans="3:24" x14ac:dyDescent="0.25">
      <c r="C27" t="s">
        <v>1003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C:\Users\stu\Documents\GitHub\eaglep3-reporting\EC\2017-09-13-Enforcements.txt</v>
      </c>
    </row>
    <row r="28" spans="3:24" x14ac:dyDescent="0.25">
      <c r="C28" t="s">
        <v>1004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C:\Users\stu\Documents\GitHub\eaglep3-reporting\EC\2017-09-13-Runs-refined.txt</v>
      </c>
    </row>
    <row r="29" spans="3:24" x14ac:dyDescent="0.25">
      <c r="C29" t="s">
        <v>1005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C:\Users\stu\Documents\GitHub\eaglep3-reporting\EC\2017-09-13-Trips.txt</v>
      </c>
    </row>
    <row r="30" spans="3:24" x14ac:dyDescent="0.25">
      <c r="C30" t="s">
        <v>1006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C:\Users\stu\Documents\GitHub\eaglep3-reporting\EC\2017-09-13-Weather.txt</v>
      </c>
    </row>
    <row r="31" spans="3:24" x14ac:dyDescent="0.25">
      <c r="C31" t="s">
        <v>1007</v>
      </c>
      <c r="J31" s="140" t="s">
        <v>193</v>
      </c>
      <c r="M31" s="154" t="s">
        <v>194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2017-09-14T15:38:03Z</dcterms:modified>
</cp:coreProperties>
</file>