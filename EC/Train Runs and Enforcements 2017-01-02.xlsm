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32" i="1" l="1"/>
  <c r="K31" i="1"/>
  <c r="L31" i="1"/>
  <c r="M31" i="1"/>
  <c r="P31" i="1" s="1"/>
  <c r="T31" i="1"/>
  <c r="V31" i="1"/>
  <c r="Y31" i="1"/>
  <c r="Z31" i="1"/>
  <c r="AA31" i="1"/>
  <c r="AB31" i="1"/>
  <c r="AC31" i="1"/>
  <c r="AD31" i="1"/>
  <c r="AG31" i="1" s="1"/>
  <c r="AE31" i="1"/>
  <c r="AF31" i="1"/>
  <c r="AH31" i="1"/>
  <c r="AM31" i="1"/>
  <c r="Z42" i="1"/>
  <c r="AI31" i="1" l="1"/>
  <c r="U31" i="1"/>
  <c r="S31" i="1" s="1"/>
  <c r="W31" i="1"/>
  <c r="K14" i="1"/>
  <c r="L14" i="1"/>
  <c r="M14" i="1"/>
  <c r="N14" i="1" s="1"/>
  <c r="V14" i="1"/>
  <c r="Y14" i="1"/>
  <c r="Z14" i="1"/>
  <c r="AA14" i="1" s="1"/>
  <c r="AB14" i="1"/>
  <c r="AC14" i="1"/>
  <c r="AD14" i="1"/>
  <c r="T14" i="1" s="1"/>
  <c r="AE14" i="1"/>
  <c r="AF14" i="1"/>
  <c r="AG14" i="1"/>
  <c r="AH14" i="1"/>
  <c r="AM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K16" i="1"/>
  <c r="L16" i="1"/>
  <c r="M16" i="1"/>
  <c r="P16" i="1" s="1"/>
  <c r="V16" i="1"/>
  <c r="Y16" i="1"/>
  <c r="Z16" i="1"/>
  <c r="AB16" i="1"/>
  <c r="AC16" i="1"/>
  <c r="AD16" i="1"/>
  <c r="T16" i="1" s="1"/>
  <c r="AE16" i="1"/>
  <c r="AF16" i="1"/>
  <c r="AH16" i="1"/>
  <c r="AM16" i="1"/>
  <c r="K17" i="1"/>
  <c r="L17" i="1"/>
  <c r="M17" i="1"/>
  <c r="V17" i="1"/>
  <c r="Y17" i="1"/>
  <c r="Z17" i="1"/>
  <c r="AA17" i="1" s="1"/>
  <c r="W17" i="1" s="1"/>
  <c r="AB17" i="1"/>
  <c r="AC17" i="1"/>
  <c r="AD17" i="1"/>
  <c r="AG17" i="1" s="1"/>
  <c r="AE17" i="1"/>
  <c r="AF17" i="1"/>
  <c r="AH17" i="1"/>
  <c r="AM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K19" i="1"/>
  <c r="L19" i="1"/>
  <c r="M19" i="1"/>
  <c r="N19" i="1" s="1"/>
  <c r="V19" i="1"/>
  <c r="S10" i="3" s="1"/>
  <c r="Y19" i="1"/>
  <c r="Z19" i="1"/>
  <c r="AB19" i="1"/>
  <c r="AC19" i="1"/>
  <c r="AD19" i="1"/>
  <c r="AG19" i="1" s="1"/>
  <c r="AE19" i="1"/>
  <c r="R11" i="3" s="1"/>
  <c r="AF19" i="1"/>
  <c r="AH19" i="1"/>
  <c r="AM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K21" i="1"/>
  <c r="L21" i="1"/>
  <c r="M21" i="1"/>
  <c r="N21" i="1" s="1"/>
  <c r="V21" i="1"/>
  <c r="Y21" i="1"/>
  <c r="Z21" i="1"/>
  <c r="AI21" i="1" s="1"/>
  <c r="AB21" i="1"/>
  <c r="AC21" i="1"/>
  <c r="AD21" i="1"/>
  <c r="AG21" i="1" s="1"/>
  <c r="AE21" i="1"/>
  <c r="AF21" i="1"/>
  <c r="AH21" i="1"/>
  <c r="AM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AM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K29" i="1"/>
  <c r="L29" i="1"/>
  <c r="M29" i="1"/>
  <c r="N29" i="1" s="1"/>
  <c r="V29" i="1"/>
  <c r="Y29" i="1"/>
  <c r="Z29" i="1"/>
  <c r="AI29" i="1" s="1"/>
  <c r="AB29" i="1"/>
  <c r="AC29" i="1"/>
  <c r="AD29" i="1"/>
  <c r="AG29" i="1" s="1"/>
  <c r="AE29" i="1"/>
  <c r="AF29" i="1"/>
  <c r="AH29" i="1"/>
  <c r="AM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M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AM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AM41" i="1"/>
  <c r="K42" i="1"/>
  <c r="L42" i="1"/>
  <c r="M42" i="1"/>
  <c r="N42" i="1" s="1"/>
  <c r="V42" i="1"/>
  <c r="Y42" i="1"/>
  <c r="AA42" i="1" s="1"/>
  <c r="AB42" i="1"/>
  <c r="AC42" i="1"/>
  <c r="AD42" i="1"/>
  <c r="AG42" i="1" s="1"/>
  <c r="AE42" i="1"/>
  <c r="AF42" i="1"/>
  <c r="AH42" i="1"/>
  <c r="AI42" i="1"/>
  <c r="AM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M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AM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K50" i="1"/>
  <c r="L50" i="1"/>
  <c r="M50" i="1"/>
  <c r="N50" i="1" s="1"/>
  <c r="V50" i="1"/>
  <c r="Y50" i="1"/>
  <c r="Z50" i="1"/>
  <c r="AB50" i="1"/>
  <c r="AC50" i="1"/>
  <c r="AD50" i="1"/>
  <c r="AG50" i="1" s="1"/>
  <c r="AE50" i="1"/>
  <c r="AF50" i="1"/>
  <c r="AH50" i="1"/>
  <c r="AM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AH59" i="1"/>
  <c r="AM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K62" i="1"/>
  <c r="L62" i="1"/>
  <c r="M62" i="1"/>
  <c r="N62" i="1" s="1"/>
  <c r="V62" i="1"/>
  <c r="S15" i="3" s="1"/>
  <c r="Y62" i="1"/>
  <c r="Z62" i="1"/>
  <c r="AB62" i="1"/>
  <c r="AC62" i="1"/>
  <c r="AD62" i="1"/>
  <c r="T62" i="1" s="1"/>
  <c r="AE62" i="1"/>
  <c r="AF62" i="1"/>
  <c r="AH62" i="1"/>
  <c r="AM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AM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AH67" i="1"/>
  <c r="AM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K74" i="1"/>
  <c r="L74" i="1"/>
  <c r="M74" i="1"/>
  <c r="N74" i="1" s="1"/>
  <c r="V74" i="1"/>
  <c r="S16" i="3" s="1"/>
  <c r="Y74" i="1"/>
  <c r="Z74" i="1"/>
  <c r="AB74" i="1"/>
  <c r="AC74" i="1"/>
  <c r="AD74" i="1"/>
  <c r="AG74" i="1" s="1"/>
  <c r="AE74" i="1"/>
  <c r="R16" i="3" s="1"/>
  <c r="AF74" i="1"/>
  <c r="AH74" i="1"/>
  <c r="AM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AM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K78" i="1"/>
  <c r="L78" i="1"/>
  <c r="M78" i="1"/>
  <c r="N78" i="1" s="1"/>
  <c r="V78" i="1"/>
  <c r="Y78" i="1"/>
  <c r="Z78" i="1"/>
  <c r="AI78" i="1" s="1"/>
  <c r="AB78" i="1"/>
  <c r="AC78" i="1"/>
  <c r="AD78" i="1"/>
  <c r="AG78" i="1" s="1"/>
  <c r="AE78" i="1"/>
  <c r="AF78" i="1"/>
  <c r="AH78" i="1"/>
  <c r="AM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AH80" i="1"/>
  <c r="AM80" i="1"/>
  <c r="K81" i="1"/>
  <c r="L81" i="1"/>
  <c r="M81" i="1"/>
  <c r="N81" i="1" s="1"/>
  <c r="V81" i="1"/>
  <c r="Y81" i="1"/>
  <c r="Z81" i="1"/>
  <c r="AA81" i="1" s="1"/>
  <c r="AB81" i="1"/>
  <c r="AC81" i="1"/>
  <c r="AD81" i="1"/>
  <c r="AG81" i="1" s="1"/>
  <c r="AE81" i="1"/>
  <c r="AF81" i="1"/>
  <c r="AH81" i="1"/>
  <c r="AM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K87" i="1"/>
  <c r="L87" i="1"/>
  <c r="M87" i="1"/>
  <c r="N87" i="1" s="1"/>
  <c r="V87" i="1"/>
  <c r="Y87" i="1"/>
  <c r="Z87" i="1"/>
  <c r="AB87" i="1"/>
  <c r="AC87" i="1"/>
  <c r="AD87" i="1"/>
  <c r="AG87" i="1" s="1"/>
  <c r="AE87" i="1"/>
  <c r="AF87" i="1"/>
  <c r="AH87" i="1"/>
  <c r="AM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K93" i="1"/>
  <c r="L93" i="1"/>
  <c r="M93" i="1"/>
  <c r="N93" i="1" s="1"/>
  <c r="V93" i="1"/>
  <c r="Y93" i="1"/>
  <c r="Z93" i="1"/>
  <c r="AA93" i="1" s="1"/>
  <c r="W93" i="1" s="1"/>
  <c r="AB93" i="1"/>
  <c r="AC93" i="1"/>
  <c r="AD93" i="1"/>
  <c r="AG93" i="1" s="1"/>
  <c r="AE93" i="1"/>
  <c r="AF93" i="1"/>
  <c r="AH93" i="1"/>
  <c r="AM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K95" i="1"/>
  <c r="L95" i="1"/>
  <c r="M95" i="1"/>
  <c r="N95" i="1" s="1"/>
  <c r="V95" i="1"/>
  <c r="Y95" i="1"/>
  <c r="Z95" i="1"/>
  <c r="AB95" i="1"/>
  <c r="AC95" i="1"/>
  <c r="AD95" i="1"/>
  <c r="AG95" i="1" s="1"/>
  <c r="AE95" i="1"/>
  <c r="AF95" i="1"/>
  <c r="AH95" i="1"/>
  <c r="AM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K97" i="1"/>
  <c r="L97" i="1"/>
  <c r="M97" i="1"/>
  <c r="N97" i="1" s="1"/>
  <c r="V97" i="1"/>
  <c r="S12" i="3" s="1"/>
  <c r="Y97" i="1"/>
  <c r="Z97" i="1"/>
  <c r="AB97" i="1"/>
  <c r="AC97" i="1"/>
  <c r="AD97" i="1"/>
  <c r="AG97" i="1" s="1"/>
  <c r="AE97" i="1"/>
  <c r="R12" i="3" s="1"/>
  <c r="AF97" i="1"/>
  <c r="AH97" i="1"/>
  <c r="AM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K99" i="1"/>
  <c r="L99" i="1"/>
  <c r="M99" i="1"/>
  <c r="N99" i="1" s="1"/>
  <c r="V99" i="1"/>
  <c r="Y99" i="1"/>
  <c r="Z99" i="1"/>
  <c r="AB99" i="1"/>
  <c r="AC99" i="1"/>
  <c r="AD99" i="1"/>
  <c r="AG99" i="1" s="1"/>
  <c r="AE99" i="1"/>
  <c r="AF99" i="1"/>
  <c r="AH99" i="1"/>
  <c r="AM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03" i="1"/>
  <c r="AM103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04" i="1"/>
  <c r="AM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11" i="1"/>
  <c r="AM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AH112" i="1"/>
  <c r="AM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AM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K116" i="1"/>
  <c r="L116" i="1"/>
  <c r="M116" i="1"/>
  <c r="N116" i="1" s="1"/>
  <c r="V116" i="1"/>
  <c r="Y116" i="1"/>
  <c r="Z116" i="1"/>
  <c r="AA116" i="1" s="1"/>
  <c r="W116" i="1" s="1"/>
  <c r="AB116" i="1"/>
  <c r="AC116" i="1"/>
  <c r="AD116" i="1"/>
  <c r="AG116" i="1" s="1"/>
  <c r="AE116" i="1"/>
  <c r="AF116" i="1"/>
  <c r="AH116" i="1"/>
  <c r="AM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AM117" i="1"/>
  <c r="K118" i="1"/>
  <c r="L118" i="1"/>
  <c r="M118" i="1"/>
  <c r="N118" i="1" s="1"/>
  <c r="T118" i="1"/>
  <c r="V118" i="1"/>
  <c r="Y118" i="1"/>
  <c r="Z118" i="1"/>
  <c r="AA118" i="1" s="1"/>
  <c r="W118" i="1" s="1"/>
  <c r="AB118" i="1"/>
  <c r="AC118" i="1"/>
  <c r="AD118" i="1"/>
  <c r="AG118" i="1" s="1"/>
  <c r="AE118" i="1"/>
  <c r="AF118" i="1"/>
  <c r="AH118" i="1"/>
  <c r="AM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AM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R14" i="3" s="1"/>
  <c r="AF121" i="1"/>
  <c r="AH121" i="1"/>
  <c r="AM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23" i="1"/>
  <c r="AM123" i="1"/>
  <c r="K124" i="1"/>
  <c r="L124" i="1"/>
  <c r="M124" i="1"/>
  <c r="N124" i="1" s="1"/>
  <c r="V124" i="1"/>
  <c r="Y124" i="1"/>
  <c r="Z124" i="1"/>
  <c r="AA124" i="1" s="1"/>
  <c r="W124" i="1" s="1"/>
  <c r="AB124" i="1"/>
  <c r="AC124" i="1"/>
  <c r="AD124" i="1"/>
  <c r="AG124" i="1" s="1"/>
  <c r="AE124" i="1"/>
  <c r="AF124" i="1"/>
  <c r="AH124" i="1"/>
  <c r="AM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R13" i="3" s="1"/>
  <c r="AF125" i="1"/>
  <c r="AH125" i="1"/>
  <c r="AM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K127" i="1"/>
  <c r="L127" i="1"/>
  <c r="M127" i="1"/>
  <c r="N127" i="1" s="1"/>
  <c r="V127" i="1"/>
  <c r="Y127" i="1"/>
  <c r="Z127" i="1"/>
  <c r="AI127" i="1" s="1"/>
  <c r="AB127" i="1"/>
  <c r="AC127" i="1"/>
  <c r="AD127" i="1"/>
  <c r="AG127" i="1" s="1"/>
  <c r="AE127" i="1"/>
  <c r="AF127" i="1"/>
  <c r="AH127" i="1"/>
  <c r="AM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K129" i="1"/>
  <c r="L129" i="1"/>
  <c r="M129" i="1"/>
  <c r="N129" i="1" s="1"/>
  <c r="V129" i="1"/>
  <c r="Y129" i="1"/>
  <c r="Z129" i="1"/>
  <c r="AI129" i="1" s="1"/>
  <c r="AB129" i="1"/>
  <c r="AC129" i="1"/>
  <c r="AD129" i="1"/>
  <c r="AG129" i="1" s="1"/>
  <c r="AE129" i="1"/>
  <c r="AF129" i="1"/>
  <c r="AH129" i="1"/>
  <c r="AM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K131" i="1"/>
  <c r="L131" i="1"/>
  <c r="M131" i="1"/>
  <c r="N131" i="1" s="1"/>
  <c r="V131" i="1"/>
  <c r="Y131" i="1"/>
  <c r="Z131" i="1"/>
  <c r="AI131" i="1" s="1"/>
  <c r="AB131" i="1"/>
  <c r="AC131" i="1"/>
  <c r="AD131" i="1"/>
  <c r="AG131" i="1" s="1"/>
  <c r="AE131" i="1"/>
  <c r="AF131" i="1"/>
  <c r="AH131" i="1"/>
  <c r="AM131" i="1"/>
  <c r="K132" i="1"/>
  <c r="L132" i="1"/>
  <c r="M132" i="1"/>
  <c r="N132" i="1" s="1"/>
  <c r="V132" i="1"/>
  <c r="Y132" i="1"/>
  <c r="Z132" i="1"/>
  <c r="AB132" i="1"/>
  <c r="AC132" i="1"/>
  <c r="AD132" i="1"/>
  <c r="X133" i="1" s="1"/>
  <c r="AE132" i="1"/>
  <c r="AF132" i="1"/>
  <c r="AH132" i="1"/>
  <c r="AM132" i="1"/>
  <c r="K133" i="1"/>
  <c r="L133" i="1"/>
  <c r="M133" i="1"/>
  <c r="N133" i="1" s="1"/>
  <c r="T133" i="1"/>
  <c r="V133" i="1"/>
  <c r="Y133" i="1"/>
  <c r="Z133" i="1"/>
  <c r="AB133" i="1"/>
  <c r="AC133" i="1"/>
  <c r="AD133" i="1"/>
  <c r="AG133" i="1" s="1"/>
  <c r="AE133" i="1"/>
  <c r="AF133" i="1"/>
  <c r="AH133" i="1"/>
  <c r="AM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AM137" i="1"/>
  <c r="K138" i="1"/>
  <c r="L138" i="1"/>
  <c r="M138" i="1"/>
  <c r="N138" i="1" s="1"/>
  <c r="V138" i="1"/>
  <c r="Y138" i="1"/>
  <c r="Z138" i="1"/>
  <c r="AB138" i="1"/>
  <c r="AC138" i="1"/>
  <c r="AD138" i="1"/>
  <c r="AE138" i="1"/>
  <c r="AF138" i="1"/>
  <c r="AH138" i="1"/>
  <c r="AM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40" i="1"/>
  <c r="AM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AH141" i="1"/>
  <c r="AM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AM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AH145" i="1"/>
  <c r="AM145" i="1"/>
  <c r="K146" i="1"/>
  <c r="L146" i="1"/>
  <c r="M146" i="1"/>
  <c r="N146" i="1"/>
  <c r="V146" i="1"/>
  <c r="Y146" i="1"/>
  <c r="Z146" i="1"/>
  <c r="AB146" i="1"/>
  <c r="AC146" i="1"/>
  <c r="AD146" i="1"/>
  <c r="T146" i="1" s="1"/>
  <c r="AE146" i="1"/>
  <c r="AF146" i="1"/>
  <c r="AH146" i="1"/>
  <c r="AM146" i="1"/>
  <c r="K147" i="1"/>
  <c r="L147" i="1"/>
  <c r="M147" i="1"/>
  <c r="N147" i="1"/>
  <c r="V147" i="1"/>
  <c r="Y147" i="1"/>
  <c r="Z147" i="1"/>
  <c r="AI147" i="1" s="1"/>
  <c r="AB147" i="1"/>
  <c r="AC147" i="1"/>
  <c r="AD147" i="1"/>
  <c r="AG147" i="1" s="1"/>
  <c r="AE147" i="1"/>
  <c r="AF147" i="1"/>
  <c r="AH147" i="1"/>
  <c r="AM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AM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AM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50" i="1"/>
  <c r="AM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K153" i="1"/>
  <c r="L153" i="1"/>
  <c r="M153" i="1"/>
  <c r="N153" i="1" s="1"/>
  <c r="V153" i="1"/>
  <c r="Y153" i="1"/>
  <c r="Z153" i="1"/>
  <c r="AB153" i="1"/>
  <c r="AC153" i="1"/>
  <c r="AD153" i="1"/>
  <c r="AG153" i="1" s="1"/>
  <c r="AE153" i="1"/>
  <c r="AF153" i="1"/>
  <c r="AH153" i="1"/>
  <c r="AM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K155" i="1"/>
  <c r="L155" i="1"/>
  <c r="M155" i="1"/>
  <c r="N155" i="1" s="1"/>
  <c r="V155" i="1"/>
  <c r="S9" i="3" s="1"/>
  <c r="Y155" i="1"/>
  <c r="Z155" i="1"/>
  <c r="AB155" i="1"/>
  <c r="AC155" i="1"/>
  <c r="AD155" i="1"/>
  <c r="AE155" i="1"/>
  <c r="R9" i="3" s="1"/>
  <c r="AF155" i="1"/>
  <c r="AH155" i="1"/>
  <c r="AM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AM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AM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159" i="1"/>
  <c r="AM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160" i="1"/>
  <c r="AM160" i="1"/>
  <c r="K209" i="1"/>
  <c r="L209" i="1"/>
  <c r="M209" i="1"/>
  <c r="N209" i="1"/>
  <c r="V209" i="1"/>
  <c r="Y209" i="1"/>
  <c r="Z209" i="1"/>
  <c r="AB209" i="1"/>
  <c r="AC209" i="1"/>
  <c r="AD209" i="1"/>
  <c r="T209" i="1" s="1"/>
  <c r="AE209" i="1"/>
  <c r="AF209" i="1"/>
  <c r="AH161" i="1"/>
  <c r="AM16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2" i="1"/>
  <c r="AM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AM163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64" i="1"/>
  <c r="AM164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5" i="1"/>
  <c r="AM165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6" i="1"/>
  <c r="AM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AM167" i="1"/>
  <c r="K216" i="1"/>
  <c r="L216" i="1"/>
  <c r="M216" i="1"/>
  <c r="N216" i="1" s="1"/>
  <c r="V216" i="1"/>
  <c r="Y216" i="1"/>
  <c r="Z216" i="1"/>
  <c r="AB216" i="1"/>
  <c r="AC216" i="1"/>
  <c r="AD216" i="1"/>
  <c r="AG216" i="1" s="1"/>
  <c r="AI216" i="1" s="1"/>
  <c r="AE216" i="1"/>
  <c r="AF216" i="1"/>
  <c r="AH168" i="1"/>
  <c r="AM168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69" i="1"/>
  <c r="AM169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170" i="1"/>
  <c r="AM170" i="1"/>
  <c r="K224" i="1"/>
  <c r="L224" i="1"/>
  <c r="M224" i="1"/>
  <c r="N224" i="1" s="1"/>
  <c r="V224" i="1"/>
  <c r="S29" i="3" s="1"/>
  <c r="Y224" i="1"/>
  <c r="Z224" i="1"/>
  <c r="AB224" i="1"/>
  <c r="AC224" i="1"/>
  <c r="AD224" i="1"/>
  <c r="T224" i="1" s="1"/>
  <c r="AE224" i="1"/>
  <c r="AF224" i="1"/>
  <c r="AH171" i="1"/>
  <c r="AM171" i="1"/>
  <c r="K225" i="1"/>
  <c r="L225" i="1"/>
  <c r="M225" i="1"/>
  <c r="N225" i="1" s="1"/>
  <c r="V225" i="1"/>
  <c r="Y225" i="1"/>
  <c r="Z225" i="1"/>
  <c r="AB225" i="1"/>
  <c r="AC225" i="1"/>
  <c r="AD225" i="1"/>
  <c r="AG225" i="1" s="1"/>
  <c r="AE225" i="1"/>
  <c r="AF225" i="1"/>
  <c r="AH172" i="1"/>
  <c r="AM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K228" i="1"/>
  <c r="L228" i="1"/>
  <c r="M228" i="1"/>
  <c r="N228" i="1" s="1"/>
  <c r="V228" i="1"/>
  <c r="S27" i="3" s="1"/>
  <c r="Y228" i="1"/>
  <c r="Z228" i="1"/>
  <c r="AB228" i="1"/>
  <c r="AC228" i="1"/>
  <c r="AD228" i="1"/>
  <c r="T228" i="1" s="1"/>
  <c r="AE228" i="1"/>
  <c r="R28" i="3" s="1"/>
  <c r="AF228" i="1"/>
  <c r="AH175" i="1"/>
  <c r="AM175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6" i="1"/>
  <c r="AM176" i="1"/>
  <c r="K159" i="1"/>
  <c r="L159" i="1"/>
  <c r="M159" i="1"/>
  <c r="N159" i="1" s="1"/>
  <c r="V159" i="1"/>
  <c r="S24" i="3" s="1"/>
  <c r="Y159" i="1"/>
  <c r="Z159" i="1"/>
  <c r="AB159" i="1"/>
  <c r="AC159" i="1"/>
  <c r="AD159" i="1"/>
  <c r="T159" i="1" s="1"/>
  <c r="AE159" i="1"/>
  <c r="R24" i="3" s="1"/>
  <c r="AF159" i="1"/>
  <c r="AH177" i="1"/>
  <c r="AM177" i="1"/>
  <c r="AH178" i="1"/>
  <c r="AM178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79" i="1"/>
  <c r="AM179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80" i="1"/>
  <c r="AM180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181" i="1"/>
  <c r="AM181" i="1"/>
  <c r="K163" i="1"/>
  <c r="L163" i="1"/>
  <c r="M163" i="1"/>
  <c r="N163" i="1" s="1"/>
  <c r="V163" i="1"/>
  <c r="S25" i="3" s="1"/>
  <c r="Y163" i="1"/>
  <c r="Z163" i="1"/>
  <c r="AA163" i="1" s="1"/>
  <c r="AB163" i="1"/>
  <c r="AC163" i="1"/>
  <c r="AD163" i="1"/>
  <c r="AE163" i="1"/>
  <c r="R25" i="3" s="1"/>
  <c r="AF163" i="1"/>
  <c r="AH182" i="1"/>
  <c r="AM182" i="1"/>
  <c r="K164" i="1"/>
  <c r="L164" i="1"/>
  <c r="M164" i="1"/>
  <c r="N164" i="1" s="1"/>
  <c r="V164" i="1"/>
  <c r="S19" i="3" s="1"/>
  <c r="Y164" i="1"/>
  <c r="Z164" i="1"/>
  <c r="AB164" i="1"/>
  <c r="AC164" i="1"/>
  <c r="AD164" i="1"/>
  <c r="AG164" i="1" s="1"/>
  <c r="AE164" i="1"/>
  <c r="R19" i="3" s="1"/>
  <c r="AF164" i="1"/>
  <c r="AH183" i="1"/>
  <c r="AM183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AH184" i="1"/>
  <c r="AM184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5" i="1"/>
  <c r="AM185" i="1"/>
  <c r="K167" i="1"/>
  <c r="L167" i="1"/>
  <c r="M167" i="1"/>
  <c r="N167" i="1" s="1"/>
  <c r="V167" i="1"/>
  <c r="S26" i="3" s="1"/>
  <c r="Y167" i="1"/>
  <c r="Z167" i="1"/>
  <c r="AA167" i="1" s="1"/>
  <c r="AB167" i="1"/>
  <c r="AC167" i="1"/>
  <c r="AD167" i="1"/>
  <c r="AE167" i="1"/>
  <c r="R26" i="3" s="1"/>
  <c r="AF167" i="1"/>
  <c r="AH186" i="1"/>
  <c r="AM186" i="1"/>
  <c r="K168" i="1"/>
  <c r="L168" i="1"/>
  <c r="M168" i="1"/>
  <c r="N168" i="1" s="1"/>
  <c r="V168" i="1"/>
  <c r="S20" i="3" s="1"/>
  <c r="Y168" i="1"/>
  <c r="Z168" i="1"/>
  <c r="AB168" i="1"/>
  <c r="AC168" i="1"/>
  <c r="AD168" i="1"/>
  <c r="AG168" i="1" s="1"/>
  <c r="AE168" i="1"/>
  <c r="R20" i="3" s="1"/>
  <c r="AF168" i="1"/>
  <c r="AH187" i="1"/>
  <c r="AM187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8" i="1"/>
  <c r="AM188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9" i="1"/>
  <c r="AM189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190" i="1"/>
  <c r="AM190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1" i="1"/>
  <c r="AM191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92" i="1"/>
  <c r="AM192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3" i="1"/>
  <c r="AM193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AF175" i="1"/>
  <c r="AH194" i="1"/>
  <c r="AM194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5" i="1"/>
  <c r="AM195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AH196" i="1"/>
  <c r="AM19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7" i="1"/>
  <c r="AM197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8" i="1"/>
  <c r="AM198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9" i="1"/>
  <c r="AM199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200" i="1"/>
  <c r="AM20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01" i="1"/>
  <c r="AM20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202" i="1"/>
  <c r="AM202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3" i="1"/>
  <c r="AM203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4" i="1"/>
  <c r="AM204" i="1"/>
  <c r="K186" i="1"/>
  <c r="L186" i="1"/>
  <c r="M186" i="1"/>
  <c r="N186" i="1" s="1"/>
  <c r="V186" i="1"/>
  <c r="Y186" i="1"/>
  <c r="Z186" i="1"/>
  <c r="AA186" i="1" s="1"/>
  <c r="AB186" i="1"/>
  <c r="AC186" i="1"/>
  <c r="AD186" i="1"/>
  <c r="AG186" i="1" s="1"/>
  <c r="AE186" i="1"/>
  <c r="AF186" i="1"/>
  <c r="AH205" i="1"/>
  <c r="AM205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6" i="1"/>
  <c r="AM206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207" i="1"/>
  <c r="AM207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8" i="1"/>
  <c r="AM20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9" i="1"/>
  <c r="AM209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AH210" i="1"/>
  <c r="AM210" i="1"/>
  <c r="K192" i="1"/>
  <c r="L192" i="1"/>
  <c r="M192" i="1"/>
  <c r="N192" i="1" s="1"/>
  <c r="V192" i="1"/>
  <c r="S17" i="3" s="1"/>
  <c r="Y192" i="1"/>
  <c r="Z192" i="1"/>
  <c r="AB192" i="1"/>
  <c r="AC192" i="1"/>
  <c r="AD192" i="1"/>
  <c r="T192" i="1" s="1"/>
  <c r="AE192" i="1"/>
  <c r="AF192" i="1"/>
  <c r="AH211" i="1"/>
  <c r="AM211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12" i="1"/>
  <c r="AM212" i="1"/>
  <c r="K194" i="1"/>
  <c r="L194" i="1"/>
  <c r="M194" i="1"/>
  <c r="N194" i="1" s="1"/>
  <c r="V194" i="1"/>
  <c r="S21" i="3" s="1"/>
  <c r="Y194" i="1"/>
  <c r="Z194" i="1"/>
  <c r="AB194" i="1"/>
  <c r="AC194" i="1"/>
  <c r="AD194" i="1"/>
  <c r="T194" i="1" s="1"/>
  <c r="AE194" i="1"/>
  <c r="R21" i="3" s="1"/>
  <c r="AF194" i="1"/>
  <c r="AH213" i="1"/>
  <c r="AM213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4" i="1"/>
  <c r="AM214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15" i="1"/>
  <c r="AM215" i="1"/>
  <c r="K197" i="1"/>
  <c r="L197" i="1"/>
  <c r="M197" i="1"/>
  <c r="N197" i="1" s="1"/>
  <c r="V197" i="1"/>
  <c r="Y197" i="1"/>
  <c r="Z197" i="1"/>
  <c r="AA197" i="1" s="1"/>
  <c r="AB197" i="1"/>
  <c r="AC197" i="1"/>
  <c r="AD197" i="1"/>
  <c r="AG197" i="1" s="1"/>
  <c r="AE197" i="1"/>
  <c r="AF197" i="1"/>
  <c r="AH216" i="1"/>
  <c r="AM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AM21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18" i="1"/>
  <c r="AM21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9" i="1"/>
  <c r="AM21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0" i="1"/>
  <c r="AM220" i="1"/>
  <c r="K202" i="1"/>
  <c r="L202" i="1"/>
  <c r="M202" i="1"/>
  <c r="N202" i="1" s="1"/>
  <c r="V202" i="1"/>
  <c r="S23" i="3" s="1"/>
  <c r="Y202" i="1"/>
  <c r="Z202" i="1"/>
  <c r="AB202" i="1"/>
  <c r="AC202" i="1"/>
  <c r="AD202" i="1"/>
  <c r="T202" i="1" s="1"/>
  <c r="AE202" i="1"/>
  <c r="R22" i="3" s="1"/>
  <c r="AF202" i="1"/>
  <c r="AH221" i="1"/>
  <c r="AM22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22" i="1"/>
  <c r="AM22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3" i="1"/>
  <c r="AM223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224" i="1"/>
  <c r="AM224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5" i="1"/>
  <c r="AM225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6" i="1"/>
  <c r="AM226" i="1"/>
  <c r="K220" i="1"/>
  <c r="L220" i="1"/>
  <c r="M220" i="1"/>
  <c r="N220" i="1" s="1"/>
  <c r="V220" i="1"/>
  <c r="Y220" i="1"/>
  <c r="Z220" i="1"/>
  <c r="AA220" i="1" s="1"/>
  <c r="W220" i="1" s="1"/>
  <c r="AB220" i="1"/>
  <c r="AC220" i="1"/>
  <c r="AD220" i="1"/>
  <c r="AG220" i="1" s="1"/>
  <c r="AE220" i="1"/>
  <c r="AF220" i="1"/>
  <c r="AH227" i="1"/>
  <c r="AM227" i="1"/>
  <c r="K221" i="1"/>
  <c r="L221" i="1"/>
  <c r="M221" i="1"/>
  <c r="N221" i="1" s="1"/>
  <c r="V221" i="1"/>
  <c r="Y221" i="1"/>
  <c r="Z221" i="1"/>
  <c r="AB221" i="1"/>
  <c r="AC221" i="1"/>
  <c r="AD221" i="1"/>
  <c r="AG221" i="1" s="1"/>
  <c r="AE221" i="1"/>
  <c r="AF221" i="1"/>
  <c r="AH228" i="1"/>
  <c r="AM228" i="1"/>
  <c r="M10" i="3"/>
  <c r="U10" i="3"/>
  <c r="T10" i="3" s="1"/>
  <c r="V10" i="3"/>
  <c r="W10" i="3"/>
  <c r="Y10" i="3" s="1"/>
  <c r="X10" i="3"/>
  <c r="AC10" i="3"/>
  <c r="AD10" i="3"/>
  <c r="M11" i="3"/>
  <c r="U11" i="3"/>
  <c r="V11" i="3"/>
  <c r="W11" i="3"/>
  <c r="X11" i="3"/>
  <c r="M24" i="3"/>
  <c r="U24" i="3"/>
  <c r="AC24" i="3" s="1"/>
  <c r="V24" i="3"/>
  <c r="W24" i="3"/>
  <c r="Y24" i="3" s="1"/>
  <c r="X24" i="3"/>
  <c r="M25" i="3"/>
  <c r="U25" i="3"/>
  <c r="AC25" i="3" s="1"/>
  <c r="V25" i="3"/>
  <c r="W25" i="3"/>
  <c r="X25" i="3"/>
  <c r="AD25" i="3"/>
  <c r="M19" i="3"/>
  <c r="U19" i="3"/>
  <c r="T19" i="3" s="1"/>
  <c r="V19" i="3"/>
  <c r="W19" i="3"/>
  <c r="Y19" i="3" s="1"/>
  <c r="X19" i="3"/>
  <c r="AC19" i="3"/>
  <c r="M26" i="3"/>
  <c r="U26" i="3"/>
  <c r="V26" i="3"/>
  <c r="W26" i="3"/>
  <c r="X26" i="3"/>
  <c r="Y26" i="3"/>
  <c r="M20" i="3"/>
  <c r="U20" i="3"/>
  <c r="AC20" i="3" s="1"/>
  <c r="V20" i="3"/>
  <c r="W20" i="3"/>
  <c r="X20" i="3"/>
  <c r="M15" i="3"/>
  <c r="R15" i="3"/>
  <c r="T15" i="3"/>
  <c r="U15" i="3"/>
  <c r="AC15" i="3" s="1"/>
  <c r="V15" i="3"/>
  <c r="W15" i="3"/>
  <c r="X15" i="3"/>
  <c r="AD15" i="3"/>
  <c r="AE15" i="3"/>
  <c r="M16" i="3"/>
  <c r="T16" i="3"/>
  <c r="U16" i="3"/>
  <c r="AD16" i="3" s="1"/>
  <c r="V16" i="3"/>
  <c r="W16" i="3"/>
  <c r="X16" i="3"/>
  <c r="AC16" i="3"/>
  <c r="M7" i="3"/>
  <c r="R7" i="3"/>
  <c r="S7" i="3"/>
  <c r="U7" i="3"/>
  <c r="V7" i="3"/>
  <c r="W7" i="3"/>
  <c r="X7" i="3"/>
  <c r="M8" i="3"/>
  <c r="R8" i="3"/>
  <c r="S8" i="3"/>
  <c r="U8" i="3"/>
  <c r="AC8" i="3" s="1"/>
  <c r="V8" i="3"/>
  <c r="W8" i="3"/>
  <c r="X8" i="3"/>
  <c r="M12" i="3"/>
  <c r="U12" i="3"/>
  <c r="AC12" i="3" s="1"/>
  <c r="V12" i="3"/>
  <c r="W12" i="3"/>
  <c r="X12" i="3"/>
  <c r="AD12" i="3"/>
  <c r="M29" i="3"/>
  <c r="R29" i="3"/>
  <c r="U29" i="3"/>
  <c r="T29" i="3" s="1"/>
  <c r="V29" i="3"/>
  <c r="W29" i="3"/>
  <c r="X29" i="3"/>
  <c r="AC29" i="3"/>
  <c r="M27" i="3"/>
  <c r="R27" i="3"/>
  <c r="U27" i="3"/>
  <c r="V27" i="3"/>
  <c r="W27" i="3"/>
  <c r="Y27" i="3" s="1"/>
  <c r="X27" i="3"/>
  <c r="M28" i="3"/>
  <c r="U28" i="3"/>
  <c r="AC28" i="3" s="1"/>
  <c r="V28" i="3"/>
  <c r="W28" i="3"/>
  <c r="X28" i="3"/>
  <c r="M17" i="3"/>
  <c r="R17" i="3"/>
  <c r="T17" i="3"/>
  <c r="U17" i="3"/>
  <c r="AC17" i="3" s="1"/>
  <c r="V17" i="3"/>
  <c r="W17" i="3"/>
  <c r="X17" i="3"/>
  <c r="AD17" i="3"/>
  <c r="M30" i="3"/>
  <c r="R30" i="3"/>
  <c r="S30" i="3"/>
  <c r="U30" i="3"/>
  <c r="AD30" i="3" s="1"/>
  <c r="V30" i="3"/>
  <c r="W30" i="3"/>
  <c r="X30" i="3"/>
  <c r="AC30" i="3"/>
  <c r="M21" i="3"/>
  <c r="U21" i="3"/>
  <c r="V21" i="3"/>
  <c r="W21" i="3"/>
  <c r="X21" i="3"/>
  <c r="AC21" i="3"/>
  <c r="M14" i="3"/>
  <c r="S14" i="3"/>
  <c r="U14" i="3"/>
  <c r="AC14" i="3" s="1"/>
  <c r="V14" i="3"/>
  <c r="W14" i="3"/>
  <c r="X14" i="3"/>
  <c r="Y14" i="3"/>
  <c r="M13" i="3"/>
  <c r="S13" i="3"/>
  <c r="U13" i="3"/>
  <c r="AC13" i="3" s="1"/>
  <c r="V13" i="3"/>
  <c r="W13" i="3"/>
  <c r="X13" i="3"/>
  <c r="AD13" i="3"/>
  <c r="M22" i="3"/>
  <c r="U22" i="3"/>
  <c r="AD22" i="3" s="1"/>
  <c r="V22" i="3"/>
  <c r="W22" i="3"/>
  <c r="X22" i="3"/>
  <c r="AC22" i="3"/>
  <c r="M23" i="3"/>
  <c r="U23" i="3"/>
  <c r="AD23" i="3" s="1"/>
  <c r="V23" i="3"/>
  <c r="W23" i="3"/>
  <c r="X23" i="3"/>
  <c r="AC23" i="3"/>
  <c r="M9" i="3"/>
  <c r="U9" i="3"/>
  <c r="AC9" i="3" s="1"/>
  <c r="V9" i="3"/>
  <c r="W9" i="3"/>
  <c r="X9" i="3"/>
  <c r="Y9" i="3" l="1"/>
  <c r="AE13" i="3"/>
  <c r="Y7" i="3"/>
  <c r="Y15" i="3"/>
  <c r="Y11" i="3"/>
  <c r="Y23" i="3"/>
  <c r="T13" i="3"/>
  <c r="Y21" i="3"/>
  <c r="T22" i="3"/>
  <c r="Y13" i="3"/>
  <c r="Y8" i="3"/>
  <c r="AG161" i="1"/>
  <c r="X161" i="1"/>
  <c r="X155" i="1"/>
  <c r="T30" i="1"/>
  <c r="X31" i="1"/>
  <c r="AG163" i="1"/>
  <c r="W163" i="1" s="1"/>
  <c r="X163" i="1"/>
  <c r="T160" i="1"/>
  <c r="X160" i="1"/>
  <c r="T163" i="1"/>
  <c r="T162" i="1"/>
  <c r="X162" i="1"/>
  <c r="AI149" i="1"/>
  <c r="X70" i="1"/>
  <c r="W42" i="1"/>
  <c r="T71" i="1"/>
  <c r="X71" i="1"/>
  <c r="AA206" i="1"/>
  <c r="X81" i="1"/>
  <c r="T69" i="1"/>
  <c r="X69" i="1"/>
  <c r="T66" i="1"/>
  <c r="X66" i="1"/>
  <c r="AI164" i="1"/>
  <c r="X208" i="1"/>
  <c r="AA208" i="1"/>
  <c r="AA155" i="1"/>
  <c r="T67" i="1"/>
  <c r="U67" i="1" s="1"/>
  <c r="S67" i="1" s="1"/>
  <c r="X67" i="1"/>
  <c r="R10" i="3"/>
  <c r="AA165" i="1"/>
  <c r="AI214" i="1"/>
  <c r="AA211" i="1"/>
  <c r="AA207" i="1"/>
  <c r="X157" i="1"/>
  <c r="AA157" i="1"/>
  <c r="AA135" i="1"/>
  <c r="AG72" i="1"/>
  <c r="AI72" i="1" s="1"/>
  <c r="X72" i="1"/>
  <c r="X68" i="1"/>
  <c r="AI36" i="1"/>
  <c r="X33" i="1"/>
  <c r="R23" i="3"/>
  <c r="S11" i="3"/>
  <c r="X197" i="1"/>
  <c r="X118" i="1"/>
  <c r="AG55" i="1"/>
  <c r="AI55" i="1" s="1"/>
  <c r="X55" i="1"/>
  <c r="AA178" i="1"/>
  <c r="W178" i="1" s="1"/>
  <c r="AA151" i="1"/>
  <c r="W151" i="1" s="1"/>
  <c r="AA149" i="1"/>
  <c r="W149" i="1" s="1"/>
  <c r="AI143" i="1"/>
  <c r="AA139" i="1"/>
  <c r="W139" i="1" s="1"/>
  <c r="AA137" i="1"/>
  <c r="W137" i="1" s="1"/>
  <c r="T116" i="1"/>
  <c r="U116" i="1" s="1"/>
  <c r="S116" i="1" s="1"/>
  <c r="AA65" i="1"/>
  <c r="T58" i="1"/>
  <c r="X58" i="1"/>
  <c r="AG54" i="1"/>
  <c r="AI54" i="1" s="1"/>
  <c r="X54" i="1"/>
  <c r="AG41" i="1"/>
  <c r="X41" i="1"/>
  <c r="AA40" i="1"/>
  <c r="W40" i="1" s="1"/>
  <c r="AA25" i="1"/>
  <c r="W25" i="1" s="1"/>
  <c r="AG57" i="1"/>
  <c r="AI57" i="1" s="1"/>
  <c r="X57" i="1"/>
  <c r="AG53" i="1"/>
  <c r="X53" i="1"/>
  <c r="AA159" i="1"/>
  <c r="AA226" i="1"/>
  <c r="AA222" i="1"/>
  <c r="AI145" i="1"/>
  <c r="AA141" i="1"/>
  <c r="W141" i="1" s="1"/>
  <c r="X139" i="1"/>
  <c r="AA138" i="1"/>
  <c r="AG73" i="1"/>
  <c r="X73" i="1"/>
  <c r="X64" i="1"/>
  <c r="X56" i="1"/>
  <c r="AG52" i="1"/>
  <c r="X52" i="1"/>
  <c r="AA44" i="1"/>
  <c r="W44" i="1" s="1"/>
  <c r="AA23" i="1"/>
  <c r="W23" i="1" s="1"/>
  <c r="S28" i="3"/>
  <c r="T149" i="1"/>
  <c r="T120" i="1"/>
  <c r="U120" i="1" s="1"/>
  <c r="S120" i="1" s="1"/>
  <c r="X63" i="1"/>
  <c r="U14" i="1"/>
  <c r="S14" i="1" s="1"/>
  <c r="S22" i="3"/>
  <c r="AA221" i="1"/>
  <c r="W221" i="1" s="1"/>
  <c r="AA217" i="1"/>
  <c r="W217" i="1" s="1"/>
  <c r="AA180" i="1"/>
  <c r="W180" i="1" s="1"/>
  <c r="X172" i="1"/>
  <c r="T145" i="1"/>
  <c r="U145" i="1" s="1"/>
  <c r="S145" i="1" s="1"/>
  <c r="AA131" i="1"/>
  <c r="W131" i="1" s="1"/>
  <c r="T124" i="1"/>
  <c r="U124" i="1" s="1"/>
  <c r="S124" i="1" s="1"/>
  <c r="AA122" i="1"/>
  <c r="W122" i="1" s="1"/>
  <c r="T122" i="1"/>
  <c r="U122" i="1" s="1"/>
  <c r="S122" i="1" s="1"/>
  <c r="AA120" i="1"/>
  <c r="W120" i="1" s="1"/>
  <c r="X114" i="1"/>
  <c r="AA110" i="1"/>
  <c r="AA106" i="1"/>
  <c r="AA102" i="1"/>
  <c r="X83" i="1"/>
  <c r="T78" i="1"/>
  <c r="AA76" i="1"/>
  <c r="W76" i="1" s="1"/>
  <c r="AA71" i="1"/>
  <c r="AA69" i="1"/>
  <c r="AI59" i="1"/>
  <c r="X42" i="1"/>
  <c r="T33" i="1"/>
  <c r="AI27" i="1"/>
  <c r="AI25" i="1"/>
  <c r="AA219" i="1"/>
  <c r="W219" i="1" s="1"/>
  <c r="AA189" i="1"/>
  <c r="W189" i="1" s="1"/>
  <c r="AA172" i="1"/>
  <c r="W172" i="1" s="1"/>
  <c r="AA170" i="1"/>
  <c r="AA213" i="1"/>
  <c r="AA153" i="1"/>
  <c r="W153" i="1" s="1"/>
  <c r="AI151" i="1"/>
  <c r="AA145" i="1"/>
  <c r="W145" i="1" s="1"/>
  <c r="AA143" i="1"/>
  <c r="W143" i="1" s="1"/>
  <c r="AA142" i="1"/>
  <c r="AA133" i="1"/>
  <c r="W133" i="1" s="1"/>
  <c r="X122" i="1"/>
  <c r="AA114" i="1"/>
  <c r="W114" i="1" s="1"/>
  <c r="T114" i="1"/>
  <c r="AA112" i="1"/>
  <c r="AA108" i="1"/>
  <c r="AA104" i="1"/>
  <c r="AA100" i="1"/>
  <c r="AA72" i="1"/>
  <c r="AG71" i="1"/>
  <c r="AG69" i="1"/>
  <c r="U69" i="1" s="1"/>
  <c r="AA68" i="1"/>
  <c r="AG62" i="1"/>
  <c r="AI62" i="1" s="1"/>
  <c r="X62" i="1"/>
  <c r="AA61" i="1"/>
  <c r="W61" i="1" s="1"/>
  <c r="AA52" i="1"/>
  <c r="AA38" i="1"/>
  <c r="W38" i="1" s="1"/>
  <c r="AA35" i="1"/>
  <c r="AA19" i="1"/>
  <c r="W19" i="1" s="1"/>
  <c r="AI17" i="1"/>
  <c r="AG16" i="1"/>
  <c r="U16" i="1" s="1"/>
  <c r="AA16" i="1"/>
  <c r="X180" i="1"/>
  <c r="AG223" i="1"/>
  <c r="T223" i="1"/>
  <c r="T214" i="1"/>
  <c r="X210" i="1"/>
  <c r="AI220" i="1"/>
  <c r="AA203" i="1"/>
  <c r="W203" i="1" s="1"/>
  <c r="AA201" i="1"/>
  <c r="W201" i="1" s="1"/>
  <c r="AA199" i="1"/>
  <c r="W199" i="1" s="1"/>
  <c r="X195" i="1"/>
  <c r="X193" i="1"/>
  <c r="X191" i="1"/>
  <c r="X184" i="1"/>
  <c r="AA176" i="1"/>
  <c r="AA174" i="1"/>
  <c r="W174" i="1" s="1"/>
  <c r="AA166" i="1"/>
  <c r="W166" i="1" s="1"/>
  <c r="T166" i="1"/>
  <c r="U166" i="1" s="1"/>
  <c r="S166" i="1" s="1"/>
  <c r="AA164" i="1"/>
  <c r="W164" i="1" s="1"/>
  <c r="T164" i="1"/>
  <c r="U164" i="1" s="1"/>
  <c r="S164" i="1" s="1"/>
  <c r="AI158" i="1"/>
  <c r="X227" i="1"/>
  <c r="X223" i="1"/>
  <c r="AA212" i="1"/>
  <c r="X212" i="1"/>
  <c r="T212" i="1"/>
  <c r="AA218" i="1"/>
  <c r="X217" i="1"/>
  <c r="X203" i="1"/>
  <c r="X201" i="1"/>
  <c r="X199" i="1"/>
  <c r="AA195" i="1"/>
  <c r="W195" i="1" s="1"/>
  <c r="AA193" i="1"/>
  <c r="W193" i="1" s="1"/>
  <c r="AA191" i="1"/>
  <c r="W191" i="1" s="1"/>
  <c r="X188" i="1"/>
  <c r="AA184" i="1"/>
  <c r="W184" i="1" s="1"/>
  <c r="AA182" i="1"/>
  <c r="X176" i="1"/>
  <c r="AA168" i="1"/>
  <c r="W168" i="1" s="1"/>
  <c r="X166" i="1"/>
  <c r="X164" i="1"/>
  <c r="AA162" i="1"/>
  <c r="AA227" i="1"/>
  <c r="T227" i="1"/>
  <c r="AA223" i="1"/>
  <c r="AA214" i="1"/>
  <c r="W214" i="1" s="1"/>
  <c r="AA152" i="1"/>
  <c r="AA150" i="1"/>
  <c r="AA147" i="1"/>
  <c r="W147" i="1" s="1"/>
  <c r="AG144" i="1"/>
  <c r="X144" i="1"/>
  <c r="X143" i="1"/>
  <c r="AI141" i="1"/>
  <c r="AA136" i="1"/>
  <c r="AA130" i="1"/>
  <c r="X129" i="1"/>
  <c r="AA125" i="1"/>
  <c r="W125" i="1" s="1"/>
  <c r="T125" i="1"/>
  <c r="U125" i="1" s="1"/>
  <c r="S125" i="1" s="1"/>
  <c r="X123" i="1"/>
  <c r="AA121" i="1"/>
  <c r="W121" i="1" s="1"/>
  <c r="T121" i="1"/>
  <c r="U121" i="1" s="1"/>
  <c r="S121" i="1" s="1"/>
  <c r="X119" i="1"/>
  <c r="AA117" i="1"/>
  <c r="W117" i="1" s="1"/>
  <c r="T117" i="1"/>
  <c r="U117" i="1" s="1"/>
  <c r="S117" i="1" s="1"/>
  <c r="X115" i="1"/>
  <c r="AA113" i="1"/>
  <c r="W113" i="1" s="1"/>
  <c r="T113" i="1"/>
  <c r="AA111" i="1"/>
  <c r="W111" i="1" s="1"/>
  <c r="T111" i="1"/>
  <c r="U111" i="1" s="1"/>
  <c r="S111" i="1" s="1"/>
  <c r="AA109" i="1"/>
  <c r="W109" i="1" s="1"/>
  <c r="T109" i="1"/>
  <c r="AA107" i="1"/>
  <c r="W107" i="1" s="1"/>
  <c r="T107" i="1"/>
  <c r="AA105" i="1"/>
  <c r="W105" i="1" s="1"/>
  <c r="T105" i="1"/>
  <c r="AA103" i="1"/>
  <c r="W103" i="1" s="1"/>
  <c r="T103" i="1"/>
  <c r="U103" i="1" s="1"/>
  <c r="S103" i="1" s="1"/>
  <c r="AA101" i="1"/>
  <c r="W101" i="1" s="1"/>
  <c r="T101" i="1"/>
  <c r="AA99" i="1"/>
  <c r="W99" i="1" s="1"/>
  <c r="T99" i="1"/>
  <c r="U99" i="1" s="1"/>
  <c r="S99" i="1" s="1"/>
  <c r="T97" i="1"/>
  <c r="U97" i="1" s="1"/>
  <c r="S97" i="1" s="1"/>
  <c r="AA95" i="1"/>
  <c r="W95" i="1" s="1"/>
  <c r="AA92" i="1"/>
  <c r="T83" i="1"/>
  <c r="AI76" i="1"/>
  <c r="AA75" i="1"/>
  <c r="AA67" i="1"/>
  <c r="W67" i="1" s="1"/>
  <c r="AA63" i="1"/>
  <c r="W63" i="1" s="1"/>
  <c r="T63" i="1"/>
  <c r="U63" i="1" s="1"/>
  <c r="S63" i="1" s="1"/>
  <c r="AI61" i="1"/>
  <c r="AA60" i="1"/>
  <c r="X59" i="1"/>
  <c r="AA55" i="1"/>
  <c r="W55" i="1" s="1"/>
  <c r="AA49" i="1"/>
  <c r="AI40" i="1"/>
  <c r="AA39" i="1"/>
  <c r="AI38" i="1"/>
  <c r="AG37" i="1"/>
  <c r="X37" i="1"/>
  <c r="AG33" i="1"/>
  <c r="AA29" i="1"/>
  <c r="W29" i="1" s="1"/>
  <c r="AA27" i="1"/>
  <c r="W27" i="1" s="1"/>
  <c r="AI23" i="1"/>
  <c r="AI19" i="1"/>
  <c r="AA15" i="1"/>
  <c r="T137" i="1"/>
  <c r="U137" i="1" s="1"/>
  <c r="S137" i="1" s="1"/>
  <c r="X124" i="1"/>
  <c r="X120" i="1"/>
  <c r="X116" i="1"/>
  <c r="AA74" i="1"/>
  <c r="W74" i="1" s="1"/>
  <c r="AA64" i="1"/>
  <c r="T64" i="1"/>
  <c r="T50" i="1"/>
  <c r="X44" i="1"/>
  <c r="AA43" i="1"/>
  <c r="X38" i="1"/>
  <c r="AA36" i="1"/>
  <c r="W36" i="1" s="1"/>
  <c r="AA32" i="1"/>
  <c r="X26" i="1"/>
  <c r="AG15" i="1"/>
  <c r="AI15" i="1" s="1"/>
  <c r="X15" i="1"/>
  <c r="AI153" i="1"/>
  <c r="AG152" i="1"/>
  <c r="W152" i="1" s="1"/>
  <c r="X152" i="1"/>
  <c r="AG150" i="1"/>
  <c r="X150" i="1"/>
  <c r="AA146" i="1"/>
  <c r="AA144" i="1"/>
  <c r="AA134" i="1"/>
  <c r="AA132" i="1"/>
  <c r="AA127" i="1"/>
  <c r="W127" i="1" s="1"/>
  <c r="X125" i="1"/>
  <c r="AA123" i="1"/>
  <c r="W123" i="1" s="1"/>
  <c r="T123" i="1"/>
  <c r="X121" i="1"/>
  <c r="AA119" i="1"/>
  <c r="W119" i="1" s="1"/>
  <c r="T119" i="1"/>
  <c r="U119" i="1" s="1"/>
  <c r="S119" i="1" s="1"/>
  <c r="X117" i="1"/>
  <c r="AA115" i="1"/>
  <c r="W115" i="1" s="1"/>
  <c r="T115" i="1"/>
  <c r="U115" i="1" s="1"/>
  <c r="S115" i="1" s="1"/>
  <c r="X113" i="1"/>
  <c r="X111" i="1"/>
  <c r="X109" i="1"/>
  <c r="X107" i="1"/>
  <c r="X105" i="1"/>
  <c r="X103" i="1"/>
  <c r="X101" i="1"/>
  <c r="X99" i="1"/>
  <c r="AA91" i="1"/>
  <c r="W91" i="1" s="1"/>
  <c r="X85" i="1"/>
  <c r="AA84" i="1"/>
  <c r="AG83" i="1"/>
  <c r="AI83" i="1" s="1"/>
  <c r="AA79" i="1"/>
  <c r="AA57" i="1"/>
  <c r="AA21" i="1"/>
  <c r="AG20" i="1"/>
  <c r="U20" i="1" s="1"/>
  <c r="S20" i="1" s="1"/>
  <c r="X20" i="1"/>
  <c r="X18" i="1"/>
  <c r="X17" i="1"/>
  <c r="AG64" i="1"/>
  <c r="U64" i="1" s="1"/>
  <c r="S64" i="1" s="1"/>
  <c r="W197" i="1"/>
  <c r="X219" i="1"/>
  <c r="X221" i="1"/>
  <c r="T217" i="1"/>
  <c r="AA204" i="1"/>
  <c r="AA202" i="1"/>
  <c r="AA200" i="1"/>
  <c r="AA198" i="1"/>
  <c r="AA196" i="1"/>
  <c r="AA194" i="1"/>
  <c r="AA192" i="1"/>
  <c r="AA190" i="1"/>
  <c r="AA187" i="1"/>
  <c r="W187" i="1" s="1"/>
  <c r="X185" i="1"/>
  <c r="AA183" i="1"/>
  <c r="W183" i="1" s="1"/>
  <c r="X181" i="1"/>
  <c r="AA179" i="1"/>
  <c r="W179" i="1" s="1"/>
  <c r="X177" i="1"/>
  <c r="AA175" i="1"/>
  <c r="W175" i="1" s="1"/>
  <c r="X173" i="1"/>
  <c r="AA171" i="1"/>
  <c r="W171" i="1" s="1"/>
  <c r="X169" i="1"/>
  <c r="AG210" i="1"/>
  <c r="AG207" i="1"/>
  <c r="U207" i="1" s="1"/>
  <c r="S207" i="1" s="1"/>
  <c r="AG205" i="1"/>
  <c r="AI205" i="1" s="1"/>
  <c r="AG156" i="1"/>
  <c r="AI156" i="1" s="1"/>
  <c r="AG154" i="1"/>
  <c r="AI154" i="1" s="1"/>
  <c r="X147" i="1"/>
  <c r="T139" i="1"/>
  <c r="AA129" i="1"/>
  <c r="W129" i="1" s="1"/>
  <c r="T129" i="1"/>
  <c r="U129" i="1" s="1"/>
  <c r="S129" i="1" s="1"/>
  <c r="T219" i="1"/>
  <c r="U219" i="1" s="1"/>
  <c r="S219" i="1" s="1"/>
  <c r="T203" i="1"/>
  <c r="U203" i="1" s="1"/>
  <c r="S203" i="1" s="1"/>
  <c r="T201" i="1"/>
  <c r="U201" i="1" s="1"/>
  <c r="S201" i="1" s="1"/>
  <c r="T199" i="1"/>
  <c r="U199" i="1" s="1"/>
  <c r="S199" i="1" s="1"/>
  <c r="T197" i="1"/>
  <c r="U197" i="1" s="1"/>
  <c r="S197" i="1" s="1"/>
  <c r="T195" i="1"/>
  <c r="U195" i="1" s="1"/>
  <c r="S195" i="1" s="1"/>
  <c r="T193" i="1"/>
  <c r="U193" i="1" s="1"/>
  <c r="S193" i="1" s="1"/>
  <c r="T191" i="1"/>
  <c r="U191" i="1" s="1"/>
  <c r="S191" i="1" s="1"/>
  <c r="X186" i="1"/>
  <c r="X182" i="1"/>
  <c r="X178" i="1"/>
  <c r="X174" i="1"/>
  <c r="X170" i="1"/>
  <c r="AA161" i="1"/>
  <c r="W161" i="1" s="1"/>
  <c r="T161" i="1"/>
  <c r="U161" i="1" s="1"/>
  <c r="S161" i="1" s="1"/>
  <c r="AA160" i="1"/>
  <c r="AA158" i="1"/>
  <c r="T158" i="1"/>
  <c r="U158" i="1" s="1"/>
  <c r="S158" i="1" s="1"/>
  <c r="AA228" i="1"/>
  <c r="AA225" i="1"/>
  <c r="W225" i="1" s="1"/>
  <c r="T225" i="1"/>
  <c r="U225" i="1" s="1"/>
  <c r="S225" i="1" s="1"/>
  <c r="AA224" i="1"/>
  <c r="AA216" i="1"/>
  <c r="W216" i="1" s="1"/>
  <c r="T216" i="1"/>
  <c r="AA215" i="1"/>
  <c r="X214" i="1"/>
  <c r="AG212" i="1"/>
  <c r="AA209" i="1"/>
  <c r="T208" i="1"/>
  <c r="T206" i="1"/>
  <c r="T157" i="1"/>
  <c r="T155" i="1"/>
  <c r="T153" i="1"/>
  <c r="U153" i="1" s="1"/>
  <c r="S153" i="1" s="1"/>
  <c r="X151" i="1"/>
  <c r="AA148" i="1"/>
  <c r="AG146" i="1"/>
  <c r="U146" i="1" s="1"/>
  <c r="S146" i="1" s="1"/>
  <c r="X146" i="1"/>
  <c r="T143" i="1"/>
  <c r="U143" i="1" s="1"/>
  <c r="S143" i="1" s="1"/>
  <c r="T141" i="1"/>
  <c r="U141" i="1" s="1"/>
  <c r="S141" i="1" s="1"/>
  <c r="AA140" i="1"/>
  <c r="T132" i="1"/>
  <c r="X132" i="1"/>
  <c r="AG132" i="1"/>
  <c r="AI132" i="1" s="1"/>
  <c r="T128" i="1"/>
  <c r="U128" i="1" s="1"/>
  <c r="S128" i="1" s="1"/>
  <c r="X128" i="1"/>
  <c r="AG128" i="1"/>
  <c r="W81" i="1"/>
  <c r="T221" i="1"/>
  <c r="U221" i="1" s="1"/>
  <c r="S221" i="1" s="1"/>
  <c r="AA188" i="1"/>
  <c r="X187" i="1"/>
  <c r="AA185" i="1"/>
  <c r="W185" i="1" s="1"/>
  <c r="X183" i="1"/>
  <c r="AA181" i="1"/>
  <c r="W181" i="1" s="1"/>
  <c r="X179" i="1"/>
  <c r="AA177" i="1"/>
  <c r="W177" i="1" s="1"/>
  <c r="X175" i="1"/>
  <c r="AA173" i="1"/>
  <c r="W173" i="1" s="1"/>
  <c r="X171" i="1"/>
  <c r="AA169" i="1"/>
  <c r="W169" i="1" s="1"/>
  <c r="T147" i="1"/>
  <c r="U147" i="1" s="1"/>
  <c r="S147" i="1" s="1"/>
  <c r="W142" i="1"/>
  <c r="X141" i="1"/>
  <c r="AI81" i="1"/>
  <c r="X158" i="1"/>
  <c r="X225" i="1"/>
  <c r="X216" i="1"/>
  <c r="AA210" i="1"/>
  <c r="AG208" i="1"/>
  <c r="W208" i="1" s="1"/>
  <c r="AG206" i="1"/>
  <c r="W206" i="1" s="1"/>
  <c r="AA205" i="1"/>
  <c r="AG157" i="1"/>
  <c r="AA156" i="1"/>
  <c r="W156" i="1" s="1"/>
  <c r="AG155" i="1"/>
  <c r="W155" i="1" s="1"/>
  <c r="AA154" i="1"/>
  <c r="T151" i="1"/>
  <c r="U151" i="1" s="1"/>
  <c r="S151" i="1" s="1"/>
  <c r="AG148" i="1"/>
  <c r="U148" i="1" s="1"/>
  <c r="S148" i="1" s="1"/>
  <c r="X148" i="1"/>
  <c r="AG135" i="1"/>
  <c r="U135" i="1" s="1"/>
  <c r="S135" i="1" s="1"/>
  <c r="X135" i="1"/>
  <c r="AA98" i="1"/>
  <c r="X93" i="1"/>
  <c r="T81" i="1"/>
  <c r="U81" i="1" s="1"/>
  <c r="S81" i="1" s="1"/>
  <c r="W71" i="1"/>
  <c r="AA59" i="1"/>
  <c r="W59" i="1" s="1"/>
  <c r="T59" i="1"/>
  <c r="U59" i="1" s="1"/>
  <c r="S59" i="1" s="1"/>
  <c r="AA56" i="1"/>
  <c r="AA48" i="1"/>
  <c r="W48" i="1" s="1"/>
  <c r="X48" i="1"/>
  <c r="T46" i="1"/>
  <c r="AA45" i="1"/>
  <c r="AA41" i="1"/>
  <c r="X39" i="1"/>
  <c r="AA37" i="1"/>
  <c r="W37" i="1" s="1"/>
  <c r="X35" i="1"/>
  <c r="AA34" i="1"/>
  <c r="AG30" i="1"/>
  <c r="U30" i="1" s="1"/>
  <c r="S30" i="1" s="1"/>
  <c r="X30" i="1"/>
  <c r="AG28" i="1"/>
  <c r="U28" i="1" s="1"/>
  <c r="S28" i="1" s="1"/>
  <c r="X28" i="1"/>
  <c r="AA26" i="1"/>
  <c r="AG24" i="1"/>
  <c r="X24" i="1"/>
  <c r="AG22" i="1"/>
  <c r="AI22" i="1" s="1"/>
  <c r="X22" i="1"/>
  <c r="AA18" i="1"/>
  <c r="AA128" i="1"/>
  <c r="AA96" i="1"/>
  <c r="T91" i="1"/>
  <c r="U91" i="1" s="1"/>
  <c r="S91" i="1" s="1"/>
  <c r="AA90" i="1"/>
  <c r="X89" i="1"/>
  <c r="AA87" i="1"/>
  <c r="W87" i="1" s="1"/>
  <c r="T87" i="1"/>
  <c r="AA86" i="1"/>
  <c r="AA85" i="1"/>
  <c r="T85" i="1"/>
  <c r="AA83" i="1"/>
  <c r="AG79" i="1"/>
  <c r="AI79" i="1" s="1"/>
  <c r="X79" i="1"/>
  <c r="AG77" i="1"/>
  <c r="AI77" i="1" s="1"/>
  <c r="X77" i="1"/>
  <c r="AI74" i="1"/>
  <c r="U71" i="1"/>
  <c r="S71" i="1" s="1"/>
  <c r="AA70" i="1"/>
  <c r="AG66" i="1"/>
  <c r="U66" i="1" s="1"/>
  <c r="S66" i="1" s="1"/>
  <c r="AA54" i="1"/>
  <c r="AA51" i="1"/>
  <c r="AA46" i="1"/>
  <c r="W46" i="1" s="1"/>
  <c r="T26" i="1"/>
  <c r="T18" i="1"/>
  <c r="AA97" i="1"/>
  <c r="W97" i="1" s="1"/>
  <c r="T93" i="1"/>
  <c r="U93" i="1" s="1"/>
  <c r="S93" i="1" s="1"/>
  <c r="AA30" i="1"/>
  <c r="AA28" i="1"/>
  <c r="AG26" i="1"/>
  <c r="AI26" i="1" s="1"/>
  <c r="AA22" i="1"/>
  <c r="W22" i="1" s="1"/>
  <c r="AA20" i="1"/>
  <c r="AG18" i="1"/>
  <c r="U18" i="1" s="1"/>
  <c r="T17" i="1"/>
  <c r="U17" i="1" s="1"/>
  <c r="W14" i="1"/>
  <c r="T95" i="1"/>
  <c r="U95" i="1" s="1"/>
  <c r="S95" i="1" s="1"/>
  <c r="AA94" i="1"/>
  <c r="X91" i="1"/>
  <c r="AA89" i="1"/>
  <c r="T89" i="1"/>
  <c r="AA88" i="1"/>
  <c r="X87" i="1"/>
  <c r="AG85" i="1"/>
  <c r="AI85" i="1" s="1"/>
  <c r="AA82" i="1"/>
  <c r="AA80" i="1"/>
  <c r="AA78" i="1"/>
  <c r="W78" i="1" s="1"/>
  <c r="X75" i="1"/>
  <c r="T74" i="1"/>
  <c r="AA66" i="1"/>
  <c r="AI63" i="1"/>
  <c r="X60" i="1"/>
  <c r="AG58" i="1"/>
  <c r="AI58" i="1" s="1"/>
  <c r="AA53" i="1"/>
  <c r="AA50" i="1"/>
  <c r="W50" i="1" s="1"/>
  <c r="T48" i="1"/>
  <c r="AA47" i="1"/>
  <c r="T44" i="1"/>
  <c r="U44" i="1" s="1"/>
  <c r="S44" i="1" s="1"/>
  <c r="T42" i="1"/>
  <c r="U42" i="1" s="1"/>
  <c r="S42" i="1" s="1"/>
  <c r="T38" i="1"/>
  <c r="U217" i="1"/>
  <c r="S217" i="1" s="1"/>
  <c r="AI227" i="1"/>
  <c r="AG218" i="1"/>
  <c r="AI218" i="1" s="1"/>
  <c r="AG200" i="1"/>
  <c r="AI200" i="1" s="1"/>
  <c r="X220" i="1"/>
  <c r="T220" i="1"/>
  <c r="U220" i="1" s="1"/>
  <c r="S220" i="1" s="1"/>
  <c r="X218" i="1"/>
  <c r="X189" i="1"/>
  <c r="AI203" i="1"/>
  <c r="AI201" i="1"/>
  <c r="AI199" i="1"/>
  <c r="AI197" i="1"/>
  <c r="AI195" i="1"/>
  <c r="AI193" i="1"/>
  <c r="AI191" i="1"/>
  <c r="AI189" i="1"/>
  <c r="AI187" i="1"/>
  <c r="AG167" i="1"/>
  <c r="T167" i="1"/>
  <c r="X167" i="1"/>
  <c r="AI183" i="1"/>
  <c r="U163" i="1"/>
  <c r="S163" i="1" s="1"/>
  <c r="AI182" i="1"/>
  <c r="AI178" i="1"/>
  <c r="U227" i="1"/>
  <c r="S227" i="1" s="1"/>
  <c r="AI174" i="1"/>
  <c r="U223" i="1"/>
  <c r="S223" i="1" s="1"/>
  <c r="AI170" i="1"/>
  <c r="U214" i="1"/>
  <c r="S214" i="1" s="1"/>
  <c r="AI166" i="1"/>
  <c r="X168" i="1"/>
  <c r="W165" i="1"/>
  <c r="W158" i="1"/>
  <c r="AG204" i="1"/>
  <c r="AG198" i="1"/>
  <c r="AI198" i="1" s="1"/>
  <c r="AG196" i="1"/>
  <c r="AG194" i="1"/>
  <c r="AI194" i="1" s="1"/>
  <c r="AG192" i="1"/>
  <c r="AI192" i="1" s="1"/>
  <c r="AG190" i="1"/>
  <c r="AI190" i="1" s="1"/>
  <c r="T188" i="1"/>
  <c r="AI185" i="1"/>
  <c r="AI184" i="1"/>
  <c r="AI180" i="1"/>
  <c r="AI176" i="1"/>
  <c r="AI172" i="1"/>
  <c r="U216" i="1"/>
  <c r="S216" i="1" s="1"/>
  <c r="AI168" i="1"/>
  <c r="AG202" i="1"/>
  <c r="AI202" i="1" s="1"/>
  <c r="X204" i="1"/>
  <c r="X202" i="1"/>
  <c r="X200" i="1"/>
  <c r="X198" i="1"/>
  <c r="X196" i="1"/>
  <c r="X194" i="1"/>
  <c r="X192" i="1"/>
  <c r="X190" i="1"/>
  <c r="T189" i="1"/>
  <c r="U189" i="1" s="1"/>
  <c r="S189" i="1" s="1"/>
  <c r="AG188" i="1"/>
  <c r="AI188" i="1" s="1"/>
  <c r="T187" i="1"/>
  <c r="U187" i="1" s="1"/>
  <c r="S187" i="1" s="1"/>
  <c r="W186" i="1"/>
  <c r="T186" i="1"/>
  <c r="U186" i="1" s="1"/>
  <c r="S186" i="1" s="1"/>
  <c r="T185" i="1"/>
  <c r="U185" i="1" s="1"/>
  <c r="S185" i="1" s="1"/>
  <c r="T184" i="1"/>
  <c r="U184" i="1" s="1"/>
  <c r="S184" i="1" s="1"/>
  <c r="T183" i="1"/>
  <c r="U183" i="1" s="1"/>
  <c r="S183" i="1" s="1"/>
  <c r="W182" i="1"/>
  <c r="T182" i="1"/>
  <c r="U182" i="1" s="1"/>
  <c r="S182" i="1" s="1"/>
  <c r="T181" i="1"/>
  <c r="U181" i="1" s="1"/>
  <c r="S181" i="1" s="1"/>
  <c r="T180" i="1"/>
  <c r="U180" i="1" s="1"/>
  <c r="S180" i="1" s="1"/>
  <c r="T179" i="1"/>
  <c r="U179" i="1" s="1"/>
  <c r="S179" i="1" s="1"/>
  <c r="T178" i="1"/>
  <c r="U178" i="1" s="1"/>
  <c r="S178" i="1" s="1"/>
  <c r="T177" i="1"/>
  <c r="U177" i="1" s="1"/>
  <c r="S177" i="1" s="1"/>
  <c r="W176" i="1"/>
  <c r="T176" i="1"/>
  <c r="U176" i="1" s="1"/>
  <c r="S176" i="1" s="1"/>
  <c r="T175" i="1"/>
  <c r="U175" i="1" s="1"/>
  <c r="S175" i="1" s="1"/>
  <c r="T174" i="1"/>
  <c r="U174" i="1" s="1"/>
  <c r="S174" i="1" s="1"/>
  <c r="T173" i="1"/>
  <c r="U173" i="1" s="1"/>
  <c r="S173" i="1" s="1"/>
  <c r="T172" i="1"/>
  <c r="U172" i="1" s="1"/>
  <c r="S172" i="1" s="1"/>
  <c r="T171" i="1"/>
  <c r="U171" i="1" s="1"/>
  <c r="S171" i="1" s="1"/>
  <c r="W170" i="1"/>
  <c r="T170" i="1"/>
  <c r="U170" i="1" s="1"/>
  <c r="S170" i="1" s="1"/>
  <c r="T169" i="1"/>
  <c r="U169" i="1" s="1"/>
  <c r="S169" i="1" s="1"/>
  <c r="T168" i="1"/>
  <c r="U168" i="1" s="1"/>
  <c r="S168" i="1" s="1"/>
  <c r="W227" i="1"/>
  <c r="X165" i="1"/>
  <c r="T165" i="1"/>
  <c r="U165" i="1" s="1"/>
  <c r="S165" i="1" s="1"/>
  <c r="U149" i="1"/>
  <c r="S149" i="1" s="1"/>
  <c r="AI137" i="1"/>
  <c r="AG134" i="1"/>
  <c r="T134" i="1"/>
  <c r="X134" i="1"/>
  <c r="AG162" i="1"/>
  <c r="AI162" i="1" s="1"/>
  <c r="AG160" i="1"/>
  <c r="AI160" i="1" s="1"/>
  <c r="AG159" i="1"/>
  <c r="AI159" i="1" s="1"/>
  <c r="AG228" i="1"/>
  <c r="AI228" i="1" s="1"/>
  <c r="AG226" i="1"/>
  <c r="AI226" i="1" s="1"/>
  <c r="AG224" i="1"/>
  <c r="AI224" i="1" s="1"/>
  <c r="AG222" i="1"/>
  <c r="AI222" i="1" s="1"/>
  <c r="AG215" i="1"/>
  <c r="AG213" i="1"/>
  <c r="AG211" i="1"/>
  <c r="AG209" i="1"/>
  <c r="W209" i="1" s="1"/>
  <c r="U156" i="1"/>
  <c r="S156" i="1" s="1"/>
  <c r="AI152" i="1"/>
  <c r="AI139" i="1"/>
  <c r="U139" i="1"/>
  <c r="S139" i="1" s="1"/>
  <c r="AG136" i="1"/>
  <c r="T136" i="1"/>
  <c r="X136" i="1"/>
  <c r="X159" i="1"/>
  <c r="X228" i="1"/>
  <c r="X226" i="1"/>
  <c r="X224" i="1"/>
  <c r="X222" i="1"/>
  <c r="X215" i="1"/>
  <c r="X213" i="1"/>
  <c r="X211" i="1"/>
  <c r="X209" i="1"/>
  <c r="X207" i="1"/>
  <c r="X205" i="1"/>
  <c r="X156" i="1"/>
  <c r="X154" i="1"/>
  <c r="X153" i="1"/>
  <c r="X149" i="1"/>
  <c r="X145" i="1"/>
  <c r="T142" i="1"/>
  <c r="U142" i="1" s="1"/>
  <c r="S142" i="1" s="1"/>
  <c r="X142" i="1"/>
  <c r="AG138" i="1"/>
  <c r="T138" i="1"/>
  <c r="X138" i="1"/>
  <c r="X137" i="1"/>
  <c r="W135" i="1"/>
  <c r="AI133" i="1"/>
  <c r="U133" i="1"/>
  <c r="S133" i="1" s="1"/>
  <c r="U152" i="1"/>
  <c r="S152" i="1" s="1"/>
  <c r="AI142" i="1"/>
  <c r="AG140" i="1"/>
  <c r="T140" i="1"/>
  <c r="X140" i="1"/>
  <c r="AI135" i="1"/>
  <c r="AI128" i="1"/>
  <c r="T131" i="1"/>
  <c r="AG130" i="1"/>
  <c r="W130" i="1" s="1"/>
  <c r="X130" i="1"/>
  <c r="W128" i="1"/>
  <c r="T127" i="1"/>
  <c r="U127" i="1" s="1"/>
  <c r="S127" i="1" s="1"/>
  <c r="AG126" i="1"/>
  <c r="X126" i="1"/>
  <c r="T94" i="1"/>
  <c r="X94" i="1"/>
  <c r="AG94" i="1"/>
  <c r="AI89" i="1"/>
  <c r="U89" i="1"/>
  <c r="S89" i="1" s="1"/>
  <c r="X131" i="1"/>
  <c r="X127" i="1"/>
  <c r="AI125" i="1"/>
  <c r="AI124" i="1"/>
  <c r="AI123" i="1"/>
  <c r="U123" i="1"/>
  <c r="S123" i="1" s="1"/>
  <c r="AI122" i="1"/>
  <c r="AI121" i="1"/>
  <c r="AI120" i="1"/>
  <c r="AI119" i="1"/>
  <c r="U118" i="1"/>
  <c r="S118" i="1" s="1"/>
  <c r="AI118" i="1"/>
  <c r="AI117" i="1"/>
  <c r="AI116" i="1"/>
  <c r="AI115" i="1"/>
  <c r="U114" i="1"/>
  <c r="S114" i="1" s="1"/>
  <c r="AI114" i="1"/>
  <c r="AI113" i="1"/>
  <c r="U113" i="1"/>
  <c r="S113" i="1" s="1"/>
  <c r="T112" i="1"/>
  <c r="X112" i="1"/>
  <c r="AG112" i="1"/>
  <c r="AI109" i="1"/>
  <c r="U109" i="1"/>
  <c r="S109" i="1" s="1"/>
  <c r="T108" i="1"/>
  <c r="X108" i="1"/>
  <c r="AG108" i="1"/>
  <c r="AI105" i="1"/>
  <c r="U105" i="1"/>
  <c r="S105" i="1" s="1"/>
  <c r="T104" i="1"/>
  <c r="X104" i="1"/>
  <c r="AG104" i="1"/>
  <c r="AI101" i="1"/>
  <c r="U101" i="1"/>
  <c r="S101" i="1" s="1"/>
  <c r="T100" i="1"/>
  <c r="X100" i="1"/>
  <c r="AG100" i="1"/>
  <c r="AI97" i="1"/>
  <c r="T96" i="1"/>
  <c r="X96" i="1"/>
  <c r="AG96" i="1"/>
  <c r="X95" i="1"/>
  <c r="AI91" i="1"/>
  <c r="X97" i="1"/>
  <c r="AI93" i="1"/>
  <c r="AI87" i="1"/>
  <c r="U87" i="1"/>
  <c r="S87" i="1" s="1"/>
  <c r="U131" i="1"/>
  <c r="S131" i="1" s="1"/>
  <c r="AI111" i="1"/>
  <c r="T110" i="1"/>
  <c r="X110" i="1"/>
  <c r="AG110" i="1"/>
  <c r="AI107" i="1"/>
  <c r="U107" i="1"/>
  <c r="S107" i="1" s="1"/>
  <c r="T106" i="1"/>
  <c r="X106" i="1"/>
  <c r="AG106" i="1"/>
  <c r="AI103" i="1"/>
  <c r="T102" i="1"/>
  <c r="X102" i="1"/>
  <c r="AG102" i="1"/>
  <c r="AI99" i="1"/>
  <c r="T98" i="1"/>
  <c r="X98" i="1"/>
  <c r="AG98" i="1"/>
  <c r="AI95" i="1"/>
  <c r="W94" i="1"/>
  <c r="T92" i="1"/>
  <c r="X92" i="1"/>
  <c r="AG92" i="1"/>
  <c r="W89" i="1"/>
  <c r="U78" i="1"/>
  <c r="S78" i="1" s="1"/>
  <c r="X76" i="1"/>
  <c r="U74" i="1"/>
  <c r="S74" i="1" s="1"/>
  <c r="T70" i="1"/>
  <c r="AG70" i="1"/>
  <c r="AI73" i="1"/>
  <c r="AG90" i="1"/>
  <c r="W90" i="1" s="1"/>
  <c r="AG88" i="1"/>
  <c r="W88" i="1" s="1"/>
  <c r="AG86" i="1"/>
  <c r="AG84" i="1"/>
  <c r="AG82" i="1"/>
  <c r="AG80" i="1"/>
  <c r="X78" i="1"/>
  <c r="T75" i="1"/>
  <c r="X74" i="1"/>
  <c r="AI67" i="1"/>
  <c r="X90" i="1"/>
  <c r="X88" i="1"/>
  <c r="X86" i="1"/>
  <c r="X84" i="1"/>
  <c r="X82" i="1"/>
  <c r="X80" i="1"/>
  <c r="AA77" i="1"/>
  <c r="T76" i="1"/>
  <c r="U76" i="1" s="1"/>
  <c r="S76" i="1" s="1"/>
  <c r="AG75" i="1"/>
  <c r="AA73" i="1"/>
  <c r="W73" i="1" s="1"/>
  <c r="U73" i="1"/>
  <c r="S73" i="1" s="1"/>
  <c r="T72" i="1"/>
  <c r="AI71" i="1"/>
  <c r="T68" i="1"/>
  <c r="AG68" i="1"/>
  <c r="X43" i="1"/>
  <c r="T43" i="1"/>
  <c r="AG43" i="1"/>
  <c r="W43" i="1" s="1"/>
  <c r="T60" i="1"/>
  <c r="T56" i="1"/>
  <c r="AI50" i="1"/>
  <c r="U50" i="1"/>
  <c r="S50" i="1" s="1"/>
  <c r="T49" i="1"/>
  <c r="X49" i="1"/>
  <c r="AG49" i="1"/>
  <c r="W49" i="1" s="1"/>
  <c r="AI46" i="1"/>
  <c r="U46" i="1"/>
  <c r="S46" i="1" s="1"/>
  <c r="T45" i="1"/>
  <c r="X45" i="1"/>
  <c r="AG45" i="1"/>
  <c r="W45" i="1" s="1"/>
  <c r="AI37" i="1"/>
  <c r="U37" i="1"/>
  <c r="S37" i="1" s="1"/>
  <c r="AI66" i="1"/>
  <c r="AG65" i="1"/>
  <c r="AA62" i="1"/>
  <c r="W62" i="1" s="1"/>
  <c r="U62" i="1"/>
  <c r="S62" i="1" s="1"/>
  <c r="T61" i="1"/>
  <c r="U61" i="1" s="1"/>
  <c r="S61" i="1" s="1"/>
  <c r="AG60" i="1"/>
  <c r="W60" i="1" s="1"/>
  <c r="AA58" i="1"/>
  <c r="U58" i="1"/>
  <c r="S58" i="1" s="1"/>
  <c r="T57" i="1"/>
  <c r="AG56" i="1"/>
  <c r="W56" i="1" s="1"/>
  <c r="T55" i="1"/>
  <c r="U55" i="1" s="1"/>
  <c r="S55" i="1" s="1"/>
  <c r="T54" i="1"/>
  <c r="T53" i="1"/>
  <c r="T52" i="1"/>
  <c r="U52" i="1" s="1"/>
  <c r="S52" i="1" s="1"/>
  <c r="X50" i="1"/>
  <c r="X46" i="1"/>
  <c r="AI30" i="1"/>
  <c r="W21" i="1"/>
  <c r="X65" i="1"/>
  <c r="X61" i="1"/>
  <c r="AI53" i="1"/>
  <c r="AI52" i="1"/>
  <c r="T51" i="1"/>
  <c r="X51" i="1"/>
  <c r="AG51" i="1"/>
  <c r="W51" i="1" s="1"/>
  <c r="AI48" i="1"/>
  <c r="U48" i="1"/>
  <c r="S48" i="1" s="1"/>
  <c r="T47" i="1"/>
  <c r="X47" i="1"/>
  <c r="AG47" i="1"/>
  <c r="AI44" i="1"/>
  <c r="AI41" i="1"/>
  <c r="U41" i="1"/>
  <c r="S41" i="1" s="1"/>
  <c r="U33" i="1"/>
  <c r="S33" i="1" s="1"/>
  <c r="U24" i="1"/>
  <c r="S24" i="1" s="1"/>
  <c r="X40" i="1"/>
  <c r="U38" i="1"/>
  <c r="S38" i="1" s="1"/>
  <c r="X36" i="1"/>
  <c r="AA33" i="1"/>
  <c r="W33" i="1" s="1"/>
  <c r="AA24" i="1"/>
  <c r="W24" i="1" s="1"/>
  <c r="S16" i="1"/>
  <c r="T39" i="1"/>
  <c r="T35" i="1"/>
  <c r="AI33" i="1"/>
  <c r="AG32" i="1"/>
  <c r="W32" i="1" s="1"/>
  <c r="T32" i="1"/>
  <c r="AI24" i="1"/>
  <c r="T40" i="1"/>
  <c r="U40" i="1" s="1"/>
  <c r="S40" i="1" s="1"/>
  <c r="AG39" i="1"/>
  <c r="W39" i="1" s="1"/>
  <c r="T36" i="1"/>
  <c r="U36" i="1" s="1"/>
  <c r="S36" i="1" s="1"/>
  <c r="AG35" i="1"/>
  <c r="W35" i="1" s="1"/>
  <c r="AG34" i="1"/>
  <c r="T34" i="1"/>
  <c r="X34" i="1"/>
  <c r="W30" i="1"/>
  <c r="S18" i="1"/>
  <c r="AI14" i="1"/>
  <c r="X29" i="1"/>
  <c r="T29" i="1"/>
  <c r="U29" i="1" s="1"/>
  <c r="S29" i="1" s="1"/>
  <c r="X27" i="1"/>
  <c r="T27" i="1"/>
  <c r="U27" i="1" s="1"/>
  <c r="S27" i="1" s="1"/>
  <c r="X25" i="1"/>
  <c r="T25" i="1"/>
  <c r="U25" i="1" s="1"/>
  <c r="S25" i="1" s="1"/>
  <c r="X23" i="1"/>
  <c r="T23" i="1"/>
  <c r="U23" i="1" s="1"/>
  <c r="S23" i="1" s="1"/>
  <c r="X21" i="1"/>
  <c r="T21" i="1"/>
  <c r="U21" i="1" s="1"/>
  <c r="S21" i="1" s="1"/>
  <c r="X19" i="1"/>
  <c r="T19" i="1"/>
  <c r="U19" i="1" s="1"/>
  <c r="S19" i="1" s="1"/>
  <c r="X16" i="1"/>
  <c r="Y28" i="3"/>
  <c r="AD29" i="3"/>
  <c r="AE29" i="3"/>
  <c r="T8" i="3"/>
  <c r="AD7" i="3"/>
  <c r="Y20" i="3"/>
  <c r="AD19" i="3"/>
  <c r="AE19" i="3"/>
  <c r="T24" i="3"/>
  <c r="AD11" i="3"/>
  <c r="AE20" i="3"/>
  <c r="AD21" i="3"/>
  <c r="AD27" i="3"/>
  <c r="Y29" i="3"/>
  <c r="AD26" i="3"/>
  <c r="Y17" i="3"/>
  <c r="Y16" i="3"/>
  <c r="T25" i="3"/>
  <c r="Y22" i="3"/>
  <c r="T30" i="3"/>
  <c r="T12" i="3"/>
  <c r="AE22" i="3"/>
  <c r="Y30" i="3"/>
  <c r="AE17" i="3"/>
  <c r="AC27" i="3"/>
  <c r="Y12" i="3"/>
  <c r="AE16" i="3"/>
  <c r="T20" i="3"/>
  <c r="Y25" i="3"/>
  <c r="AE24" i="3"/>
  <c r="AE30" i="3"/>
  <c r="AE12" i="3"/>
  <c r="AE25" i="3"/>
  <c r="AC7" i="3"/>
  <c r="AC26" i="3"/>
  <c r="AC11" i="3"/>
  <c r="AE14" i="3"/>
  <c r="T14" i="3"/>
  <c r="T28" i="3"/>
  <c r="AD9" i="3"/>
  <c r="AE23" i="3"/>
  <c r="T23" i="3"/>
  <c r="AD14" i="3"/>
  <c r="AE21" i="3"/>
  <c r="T21" i="3"/>
  <c r="AD28" i="3"/>
  <c r="AE27" i="3"/>
  <c r="T27" i="3"/>
  <c r="AE7" i="3"/>
  <c r="T7" i="3"/>
  <c r="AD20" i="3"/>
  <c r="AE26" i="3"/>
  <c r="T26" i="3"/>
  <c r="AD24" i="3"/>
  <c r="AE11" i="3"/>
  <c r="T11" i="3"/>
  <c r="AE9" i="3"/>
  <c r="T9" i="3"/>
  <c r="AE28" i="3"/>
  <c r="AE10" i="3"/>
  <c r="M18" i="3"/>
  <c r="R18" i="3"/>
  <c r="S18" i="3"/>
  <c r="U18" i="3"/>
  <c r="T18" i="3" s="1"/>
  <c r="V18" i="3"/>
  <c r="W18" i="3"/>
  <c r="X18" i="3"/>
  <c r="AC18" i="3"/>
  <c r="Y18" i="3" l="1"/>
  <c r="W150" i="1"/>
  <c r="W72" i="1"/>
  <c r="U72" i="1"/>
  <c r="S72" i="1" s="1"/>
  <c r="U15" i="1"/>
  <c r="S15" i="1" s="1"/>
  <c r="W52" i="1"/>
  <c r="AI28" i="1"/>
  <c r="W28" i="1"/>
  <c r="W144" i="1"/>
  <c r="AI20" i="1"/>
  <c r="AI64" i="1"/>
  <c r="W98" i="1"/>
  <c r="AI146" i="1"/>
  <c r="W54" i="1"/>
  <c r="W47" i="1"/>
  <c r="U53" i="1"/>
  <c r="S53" i="1" s="1"/>
  <c r="AI69" i="1"/>
  <c r="U79" i="1"/>
  <c r="S79" i="1" s="1"/>
  <c r="W112" i="1"/>
  <c r="W136" i="1"/>
  <c r="W20" i="1"/>
  <c r="W83" i="1"/>
  <c r="U54" i="1"/>
  <c r="S54" i="1" s="1"/>
  <c r="U144" i="1"/>
  <c r="S144" i="1" s="1"/>
  <c r="W53" i="1"/>
  <c r="W79" i="1"/>
  <c r="W148" i="1"/>
  <c r="U83" i="1"/>
  <c r="S83" i="1" s="1"/>
  <c r="U57" i="1"/>
  <c r="S57" i="1" s="1"/>
  <c r="W92" i="1"/>
  <c r="AI144" i="1"/>
  <c r="U205" i="1"/>
  <c r="S205" i="1" s="1"/>
  <c r="W204" i="1"/>
  <c r="W66" i="1"/>
  <c r="U85" i="1"/>
  <c r="S85" i="1" s="1"/>
  <c r="W41" i="1"/>
  <c r="AI18" i="1"/>
  <c r="W58" i="1"/>
  <c r="U154" i="1"/>
  <c r="S154" i="1" s="1"/>
  <c r="W196" i="1"/>
  <c r="W154" i="1"/>
  <c r="W57" i="1"/>
  <c r="W223" i="1"/>
  <c r="AI16" i="1"/>
  <c r="S69" i="1"/>
  <c r="W96" i="1"/>
  <c r="AI150" i="1"/>
  <c r="W134" i="1"/>
  <c r="U150" i="1"/>
  <c r="S150" i="1" s="1"/>
  <c r="W212" i="1"/>
  <c r="U22" i="1"/>
  <c r="S22" i="1" s="1"/>
  <c r="U77" i="1"/>
  <c r="S77" i="1" s="1"/>
  <c r="U132" i="1"/>
  <c r="S132" i="1" s="1"/>
  <c r="AI148" i="1"/>
  <c r="W213" i="1"/>
  <c r="W69" i="1"/>
  <c r="W146" i="1"/>
  <c r="W205" i="1"/>
  <c r="W207" i="1"/>
  <c r="W77" i="1"/>
  <c r="W104" i="1"/>
  <c r="W132" i="1"/>
  <c r="W16" i="1"/>
  <c r="W85" i="1"/>
  <c r="W210" i="1"/>
  <c r="W64" i="1"/>
  <c r="W15" i="1"/>
  <c r="W222" i="1"/>
  <c r="W159" i="1"/>
  <c r="AI196" i="1"/>
  <c r="AI204" i="1"/>
  <c r="W18" i="1"/>
  <c r="U157" i="1"/>
  <c r="S157" i="1" s="1"/>
  <c r="AI157" i="1"/>
  <c r="W157" i="1"/>
  <c r="W26" i="1"/>
  <c r="W226" i="1"/>
  <c r="W162" i="1"/>
  <c r="U26" i="1"/>
  <c r="S26" i="1" s="1"/>
  <c r="U155" i="1"/>
  <c r="S155" i="1" s="1"/>
  <c r="AI155" i="1"/>
  <c r="U206" i="1"/>
  <c r="S206" i="1" s="1"/>
  <c r="AI206" i="1"/>
  <c r="U212" i="1"/>
  <c r="S212" i="1" s="1"/>
  <c r="AI212" i="1"/>
  <c r="U208" i="1"/>
  <c r="S208" i="1" s="1"/>
  <c r="AI208" i="1"/>
  <c r="U210" i="1"/>
  <c r="S210" i="1" s="1"/>
  <c r="AI210" i="1"/>
  <c r="U65" i="1"/>
  <c r="S65" i="1" s="1"/>
  <c r="AI65" i="1"/>
  <c r="U70" i="1"/>
  <c r="S70" i="1" s="1"/>
  <c r="AI70" i="1"/>
  <c r="U102" i="1"/>
  <c r="S102" i="1" s="1"/>
  <c r="AI102" i="1"/>
  <c r="U110" i="1"/>
  <c r="S110" i="1" s="1"/>
  <c r="AI110" i="1"/>
  <c r="W110" i="1"/>
  <c r="AI126" i="1"/>
  <c r="U126" i="1"/>
  <c r="S126" i="1" s="1"/>
  <c r="AI130" i="1"/>
  <c r="U130" i="1"/>
  <c r="S130" i="1" s="1"/>
  <c r="AI171" i="1"/>
  <c r="U224" i="1"/>
  <c r="S224" i="1" s="1"/>
  <c r="AI179" i="1"/>
  <c r="U160" i="1"/>
  <c r="S160" i="1" s="1"/>
  <c r="AI207" i="1"/>
  <c r="U188" i="1"/>
  <c r="S188" i="1" s="1"/>
  <c r="U190" i="1"/>
  <c r="S190" i="1" s="1"/>
  <c r="AI209" i="1"/>
  <c r="U198" i="1"/>
  <c r="S198" i="1" s="1"/>
  <c r="AI217" i="1"/>
  <c r="W224" i="1"/>
  <c r="W160" i="1"/>
  <c r="U51" i="1"/>
  <c r="S51" i="1" s="1"/>
  <c r="AI51" i="1"/>
  <c r="U84" i="1"/>
  <c r="S84" i="1" s="1"/>
  <c r="AI84" i="1"/>
  <c r="U34" i="1"/>
  <c r="S34" i="1" s="1"/>
  <c r="AI34" i="1"/>
  <c r="AI39" i="1"/>
  <c r="U39" i="1"/>
  <c r="S39" i="1" s="1"/>
  <c r="U45" i="1"/>
  <c r="S45" i="1" s="1"/>
  <c r="AI45" i="1"/>
  <c r="AI75" i="1"/>
  <c r="U75" i="1"/>
  <c r="S75" i="1" s="1"/>
  <c r="U86" i="1"/>
  <c r="S86" i="1" s="1"/>
  <c r="AI86" i="1"/>
  <c r="W126" i="1"/>
  <c r="W86" i="1"/>
  <c r="U100" i="1"/>
  <c r="S100" i="1" s="1"/>
  <c r="AI100" i="1"/>
  <c r="U108" i="1"/>
  <c r="S108" i="1" s="1"/>
  <c r="AI108" i="1"/>
  <c r="W84" i="1"/>
  <c r="W108" i="1"/>
  <c r="U140" i="1"/>
  <c r="S140" i="1" s="1"/>
  <c r="AI140" i="1"/>
  <c r="U136" i="1"/>
  <c r="S136" i="1" s="1"/>
  <c r="AI136" i="1"/>
  <c r="AI161" i="1"/>
  <c r="U209" i="1"/>
  <c r="S209" i="1" s="1"/>
  <c r="AI165" i="1"/>
  <c r="U213" i="1"/>
  <c r="S213" i="1" s="1"/>
  <c r="AI173" i="1"/>
  <c r="U226" i="1"/>
  <c r="S226" i="1" s="1"/>
  <c r="AI181" i="1"/>
  <c r="U162" i="1"/>
  <c r="S162" i="1" s="1"/>
  <c r="U134" i="1"/>
  <c r="S134" i="1" s="1"/>
  <c r="AI134" i="1"/>
  <c r="U192" i="1"/>
  <c r="S192" i="1" s="1"/>
  <c r="AI211" i="1"/>
  <c r="U204" i="1"/>
  <c r="S204" i="1" s="1"/>
  <c r="AI223" i="1"/>
  <c r="W188" i="1"/>
  <c r="W190" i="1"/>
  <c r="W198" i="1"/>
  <c r="U32" i="1"/>
  <c r="S32" i="1" s="1"/>
  <c r="AI32" i="1"/>
  <c r="U47" i="1"/>
  <c r="S47" i="1" s="1"/>
  <c r="AI47" i="1"/>
  <c r="U68" i="1"/>
  <c r="S68" i="1" s="1"/>
  <c r="AI68" i="1"/>
  <c r="W68" i="1"/>
  <c r="U98" i="1"/>
  <c r="S98" i="1" s="1"/>
  <c r="AI98" i="1"/>
  <c r="U94" i="1"/>
  <c r="S94" i="1" s="1"/>
  <c r="AI94" i="1"/>
  <c r="U138" i="1"/>
  <c r="S138" i="1" s="1"/>
  <c r="AI138" i="1"/>
  <c r="W138" i="1"/>
  <c r="AI167" i="1"/>
  <c r="U215" i="1"/>
  <c r="S215" i="1" s="1"/>
  <c r="AI175" i="1"/>
  <c r="U228" i="1"/>
  <c r="S228" i="1" s="1"/>
  <c r="U202" i="1"/>
  <c r="S202" i="1" s="1"/>
  <c r="AI221" i="1"/>
  <c r="U194" i="1"/>
  <c r="S194" i="1" s="1"/>
  <c r="AI213" i="1"/>
  <c r="W228" i="1"/>
  <c r="U167" i="1"/>
  <c r="S167" i="1" s="1"/>
  <c r="AI186" i="1"/>
  <c r="AI219" i="1"/>
  <c r="U200" i="1"/>
  <c r="S200" i="1" s="1"/>
  <c r="W192" i="1"/>
  <c r="W200" i="1"/>
  <c r="AI35" i="1"/>
  <c r="U35" i="1"/>
  <c r="S35" i="1" s="1"/>
  <c r="U80" i="1"/>
  <c r="S80" i="1" s="1"/>
  <c r="AI80" i="1"/>
  <c r="U88" i="1"/>
  <c r="S88" i="1" s="1"/>
  <c r="AI88" i="1"/>
  <c r="W34" i="1"/>
  <c r="W80" i="1"/>
  <c r="U106" i="1"/>
  <c r="S106" i="1" s="1"/>
  <c r="AI106" i="1"/>
  <c r="W102" i="1"/>
  <c r="W70" i="1"/>
  <c r="AI56" i="1"/>
  <c r="U56" i="1"/>
  <c r="S56" i="1" s="1"/>
  <c r="AI60" i="1"/>
  <c r="U60" i="1"/>
  <c r="S60" i="1" s="1"/>
  <c r="U49" i="1"/>
  <c r="S49" i="1" s="1"/>
  <c r="AI49" i="1"/>
  <c r="AI43" i="1"/>
  <c r="U43" i="1"/>
  <c r="S43" i="1" s="1"/>
  <c r="W65" i="1"/>
  <c r="U82" i="1"/>
  <c r="S82" i="1" s="1"/>
  <c r="AI82" i="1"/>
  <c r="U90" i="1"/>
  <c r="S90" i="1" s="1"/>
  <c r="AI90" i="1"/>
  <c r="W75" i="1"/>
  <c r="W82" i="1"/>
  <c r="U92" i="1"/>
  <c r="S92" i="1" s="1"/>
  <c r="AI92" i="1"/>
  <c r="W106" i="1"/>
  <c r="U96" i="1"/>
  <c r="S96" i="1" s="1"/>
  <c r="AI96" i="1"/>
  <c r="U104" i="1"/>
  <c r="S104" i="1" s="1"/>
  <c r="AI104" i="1"/>
  <c r="U112" i="1"/>
  <c r="S112" i="1" s="1"/>
  <c r="AI112" i="1"/>
  <c r="W100" i="1"/>
  <c r="W140" i="1"/>
  <c r="AI163" i="1"/>
  <c r="U211" i="1"/>
  <c r="S211" i="1" s="1"/>
  <c r="AI169" i="1"/>
  <c r="U222" i="1"/>
  <c r="S222" i="1" s="1"/>
  <c r="AI177" i="1"/>
  <c r="U159" i="1"/>
  <c r="S159" i="1" s="1"/>
  <c r="W167" i="1"/>
  <c r="W211" i="1"/>
  <c r="U196" i="1"/>
  <c r="S196" i="1" s="1"/>
  <c r="AI215" i="1"/>
  <c r="W215" i="1"/>
  <c r="AI225" i="1"/>
  <c r="U218" i="1"/>
  <c r="S218" i="1" s="1"/>
  <c r="W218" i="1"/>
  <c r="W194" i="1"/>
  <c r="W202" i="1"/>
  <c r="AE8" i="3"/>
  <c r="AD8" i="3"/>
  <c r="AM13" i="1"/>
  <c r="AE18" i="3" l="1"/>
  <c r="AD18" i="3"/>
  <c r="M28" i="5" l="1"/>
  <c r="B5" i="6" l="1"/>
  <c r="F5" i="6" s="1"/>
  <c r="K5" i="6"/>
  <c r="B6" i="6"/>
  <c r="F6" i="6" s="1"/>
  <c r="K6" i="6"/>
  <c r="B7" i="6"/>
  <c r="G7" i="6" s="1"/>
  <c r="K7" i="6"/>
  <c r="B8" i="6"/>
  <c r="F8" i="6" s="1"/>
  <c r="K8" i="6"/>
  <c r="B9" i="6"/>
  <c r="F9" i="6" s="1"/>
  <c r="K9" i="6"/>
  <c r="B10" i="6"/>
  <c r="F10" i="6" s="1"/>
  <c r="K10" i="6"/>
  <c r="B11" i="6"/>
  <c r="G11" i="6" s="1"/>
  <c r="K11" i="6"/>
  <c r="B12" i="6"/>
  <c r="K12" i="6"/>
  <c r="B13" i="6"/>
  <c r="F13" i="6" s="1"/>
  <c r="K13" i="6"/>
  <c r="B14" i="6"/>
  <c r="F14" i="6" s="1"/>
  <c r="K14" i="6"/>
  <c r="B15" i="6"/>
  <c r="G15" i="6" s="1"/>
  <c r="K15" i="6"/>
  <c r="B16" i="6"/>
  <c r="F16" i="6" s="1"/>
  <c r="K16" i="6"/>
  <c r="B17" i="6"/>
  <c r="F17" i="6" s="1"/>
  <c r="K17" i="6"/>
  <c r="I8" i="6" l="1"/>
  <c r="F11" i="6"/>
  <c r="G5" i="6"/>
  <c r="F12" i="6"/>
  <c r="I12" i="6"/>
  <c r="G9" i="6"/>
  <c r="F15" i="6"/>
  <c r="I16" i="6"/>
  <c r="G13" i="6"/>
  <c r="G17" i="6"/>
  <c r="F7" i="6"/>
  <c r="H16" i="6"/>
  <c r="H12" i="6"/>
  <c r="H8" i="6"/>
  <c r="I17" i="6"/>
  <c r="G16" i="6"/>
  <c r="J15" i="6"/>
  <c r="I13" i="6"/>
  <c r="G12" i="6"/>
  <c r="J11" i="6"/>
  <c r="I9" i="6"/>
  <c r="G8" i="6"/>
  <c r="J7" i="6"/>
  <c r="I5" i="6"/>
  <c r="H17" i="6"/>
  <c r="J16" i="6"/>
  <c r="I15" i="6"/>
  <c r="I14" i="6"/>
  <c r="H13" i="6"/>
  <c r="J12" i="6"/>
  <c r="I11" i="6"/>
  <c r="I10" i="6"/>
  <c r="H9" i="6"/>
  <c r="J8" i="6"/>
  <c r="I7" i="6"/>
  <c r="I6" i="6"/>
  <c r="H14" i="6"/>
  <c r="H10" i="6"/>
  <c r="H6" i="6"/>
  <c r="J17" i="6"/>
  <c r="H15" i="6"/>
  <c r="G14" i="6"/>
  <c r="J13" i="6"/>
  <c r="H11" i="6"/>
  <c r="G10" i="6"/>
  <c r="J9" i="6"/>
  <c r="H7" i="6"/>
  <c r="G6" i="6"/>
  <c r="J5" i="6"/>
  <c r="J14" i="6"/>
  <c r="J10" i="6"/>
  <c r="J6" i="6"/>
  <c r="B3" i="6" l="1"/>
  <c r="K3" i="6"/>
  <c r="B4" i="6"/>
  <c r="G4" i="6" s="1"/>
  <c r="K4" i="6"/>
  <c r="J3" i="6" l="1"/>
  <c r="I4" i="6"/>
  <c r="J4" i="6"/>
  <c r="F3" i="6"/>
  <c r="F4" i="6"/>
  <c r="I3" i="6"/>
  <c r="G3" i="6"/>
  <c r="B53" i="9" l="1"/>
  <c r="B54" i="9"/>
  <c r="B55" i="9"/>
  <c r="C55" i="9" l="1"/>
  <c r="C54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N24" i="3" s="1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N25" i="3" s="1"/>
  <c r="G43" i="4"/>
  <c r="G44" i="4"/>
  <c r="G45" i="4"/>
  <c r="N19" i="3" s="1"/>
  <c r="G46" i="4"/>
  <c r="G47" i="4"/>
  <c r="G48" i="4"/>
  <c r="G49" i="4"/>
  <c r="G50" i="4"/>
  <c r="G51" i="4"/>
  <c r="G52" i="4"/>
  <c r="G53" i="4"/>
  <c r="N26" i="3" s="1"/>
  <c r="G54" i="4"/>
  <c r="G55" i="4"/>
  <c r="G56" i="4"/>
  <c r="G57" i="4"/>
  <c r="N20" i="3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N15" i="3" s="1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N16" i="3" s="1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N18" i="3" s="1"/>
  <c r="G110" i="4"/>
  <c r="N7" i="3" s="1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N12" i="3" s="1"/>
  <c r="G131" i="4"/>
  <c r="G132" i="4"/>
  <c r="G133" i="4"/>
  <c r="N8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N29" i="3" s="1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17" i="3" s="1"/>
  <c r="G170" i="4"/>
  <c r="N14" i="3" s="1"/>
  <c r="G171" i="4"/>
  <c r="G172" i="4"/>
  <c r="G173" i="4"/>
  <c r="N30" i="3" s="1"/>
  <c r="G174" i="4"/>
  <c r="G175" i="4"/>
  <c r="N21" i="3" s="1"/>
  <c r="G176" i="4"/>
  <c r="G177" i="4"/>
  <c r="G178" i="4"/>
  <c r="G179" i="4"/>
  <c r="N13" i="3" s="1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N9" i="3" s="1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27" i="3" l="1"/>
  <c r="N28" i="3"/>
  <c r="N10" i="3"/>
  <c r="N11" i="3"/>
  <c r="N22" i="3"/>
  <c r="N23" i="3"/>
  <c r="H5" i="6"/>
  <c r="H3" i="6"/>
  <c r="H4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<sst xmlns="http://schemas.openxmlformats.org/spreadsheetml/2006/main" count="2459" uniqueCount="880">
  <si>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</si>
  <si>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</si>
  <si>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</si>
  <si>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</si>
  <si>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</si>
  <si>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</si>
  <si>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</si>
  <si>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</si>
  <si>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</si>
  <si>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</si>
  <si>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</si>
  <si>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</si>
  <si>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</si>
  <si>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</si>
  <si>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</si>
  <si>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</si>
  <si>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</si>
  <si>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</si>
  <si>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</si>
  <si>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</si>
  <si>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</si>
  <si>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</si>
  <si>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</si>
  <si>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</si>
  <si>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</si>
  <si>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</si>
  <si>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</si>
  <si>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</si>
  <si>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</si>
  <si>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</si>
  <si>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</si>
  <si>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</si>
  <si>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</si>
  <si>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</si>
  <si>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</si>
  <si>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</si>
  <si>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</si>
  <si>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</si>
  <si>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</si>
  <si>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</si>
  <si>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</si>
  <si>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</si>
  <si>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</si>
  <si>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</si>
  <si>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</si>
  <si>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</si>
  <si>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</si>
  <si>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</si>
  <si>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</si>
  <si>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</si>
  <si>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</si>
  <si>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</si>
  <si>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</si>
  <si>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</si>
  <si>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</si>
  <si>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</si>
  <si>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</si>
  <si>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</si>
  <si>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</si>
  <si>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</si>
  <si>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</si>
  <si>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</si>
  <si>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</si>
  <si>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</si>
  <si>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</si>
  <si>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</si>
  <si>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</si>
  <si>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</si>
  <si>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</si>
  <si>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</si>
  <si>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</si>
  <si>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</si>
  <si>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</si>
  <si>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</si>
  <si>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</si>
  <si>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</si>
  <si>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</si>
  <si>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</si>
  <si>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</si>
  <si>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</si>
  <si>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</si>
  <si>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</si>
  <si>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</si>
  <si>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</si>
  <si>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</si>
  <si>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</si>
  <si>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</si>
  <si>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</si>
  <si>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</si>
  <si>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</si>
  <si>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</si>
  <si>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</si>
  <si>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</si>
  <si>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</si>
  <si>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</si>
  <si>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</si>
  <si>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</si>
  <si>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</si>
  <si>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</si>
  <si>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</si>
  <si>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</si>
  <si>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</si>
  <si>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</si>
  <si>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</si>
  <si>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</si>
  <si>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</si>
  <si>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</si>
  <si>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</si>
  <si>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</si>
  <si>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</si>
  <si>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</si>
  <si>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</si>
  <si>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</si>
  <si>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</si>
  <si>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</si>
  <si>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</si>
  <si>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</si>
  <si>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</si>
  <si>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</si>
  <si>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</si>
  <si>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</si>
  <si>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</si>
  <si>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</si>
  <si>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</si>
  <si>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</si>
  <si>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</si>
  <si>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</si>
  <si>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</si>
  <si>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</si>
  <si>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</si>
  <si>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</si>
  <si>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</si>
  <si>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</si>
  <si>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</si>
  <si>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</si>
  <si>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</si>
  <si>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</si>
  <si>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</si>
  <si>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</si>
  <si>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</si>
  <si>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</si>
  <si>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</si>
  <si>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</si>
  <si>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</si>
  <si>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</si>
  <si>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</si>
  <si>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</si>
  <si>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</si>
  <si>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</si>
  <si>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</si>
  <si>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</si>
  <si>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</si>
  <si>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</si>
  <si>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</si>
  <si>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</si>
  <si>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</si>
  <si>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</si>
  <si>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</si>
  <si>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</si>
  <si>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</si>
  <si>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</si>
  <si>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</si>
  <si>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</si>
  <si>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</si>
  <si>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</si>
  <si>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</si>
  <si>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</si>
  <si>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</si>
  <si>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</si>
  <si>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</si>
  <si>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</si>
  <si>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</si>
  <si>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</si>
  <si>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</si>
  <si>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</si>
  <si>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</si>
  <si>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</si>
  <si>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</si>
  <si>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</si>
  <si>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</si>
  <si>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</si>
  <si>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</si>
  <si>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</si>
  <si>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</si>
  <si>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</si>
  <si>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</si>
  <si>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</si>
  <si>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</si>
  <si>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</si>
  <si>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</si>
  <si>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</si>
  <si>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</si>
  <si>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</si>
  <si>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</si>
  <si>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</si>
  <si>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</si>
  <si>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</si>
  <si>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</si>
  <si>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</si>
  <si>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</si>
  <si>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</si>
  <si>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</si>
  <si>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</si>
  <si>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</si>
  <si>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</si>
  <si>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</si>
  <si>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</si>
  <si>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</si>
  <si>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</si>
  <si>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</si>
  <si>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</si>
  <si>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</si>
  <si>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</si>
  <si>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</si>
  <si>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</si>
  <si>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</si>
  <si>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</si>
  <si>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</si>
  <si>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</si>
  <si>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</si>
  <si>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</si>
  <si>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</si>
  <si>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</si>
  <si>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</si>
  <si>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</si>
  <si>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</si>
  <si>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</si>
  <si>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</si>
  <si>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</si>
  <si>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</si>
  <si>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</si>
  <si>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</si>
  <si>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</si>
  <si>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</si>
  <si>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</si>
  <si>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</si>
  <si>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</si>
  <si>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rtdc.l.rtdc.4016:itc</t>
  </si>
  <si>
    <t>204:163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</si>
  <si>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</si>
  <si>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</si>
  <si>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</si>
  <si>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</si>
  <si>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</si>
  <si>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</si>
  <si>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</si>
  <si>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</si>
  <si>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</si>
  <si>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rtdc.l.rtdc.4045:itc</t>
  </si>
  <si>
    <t>204:147</t>
  </si>
  <si>
    <t>204:139</t>
  </si>
  <si>
    <t>MICHAEL</t>
  </si>
  <si>
    <t>DAVIS</t>
  </si>
  <si>
    <t>204:232977</t>
  </si>
  <si>
    <t>204:160</t>
  </si>
  <si>
    <t>204:462</t>
  </si>
  <si>
    <t>rtdc.l.rtdc.4013:itc</t>
  </si>
  <si>
    <t>rtdc.l.rtdc.4004:itc</t>
  </si>
  <si>
    <t>rtdc.l.rtdc.4003:itc</t>
  </si>
  <si>
    <t>204:138</t>
  </si>
  <si>
    <t>204:233289</t>
  </si>
  <si>
    <t>204:232986</t>
  </si>
  <si>
    <t>204:440</t>
  </si>
  <si>
    <t>204:233299</t>
  </si>
  <si>
    <t>SMITH</t>
  </si>
  <si>
    <t>NEWELL</t>
  </si>
  <si>
    <t>204:449</t>
  </si>
  <si>
    <t>204:233308</t>
  </si>
  <si>
    <t>204:232973</t>
  </si>
  <si>
    <t>204:232978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</si>
  <si>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</si>
  <si>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</si>
  <si>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</si>
  <si>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</si>
  <si>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</si>
  <si>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</si>
  <si>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</si>
  <si>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</si>
  <si>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</si>
  <si>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</si>
  <si>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</si>
  <si>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</si>
  <si>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</si>
  <si>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</si>
  <si>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</si>
  <si>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</si>
  <si>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</si>
  <si>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204:233301</t>
  </si>
  <si>
    <t>204:233297</t>
  </si>
  <si>
    <t>204:233312</t>
  </si>
  <si>
    <t>204:233293</t>
  </si>
  <si>
    <t>204:233300</t>
  </si>
  <si>
    <t>204:152</t>
  </si>
  <si>
    <t>204:232980</t>
  </si>
  <si>
    <t>204:232982</t>
  </si>
  <si>
    <t>HILLS</t>
  </si>
  <si>
    <t>DUSTIN</t>
  </si>
  <si>
    <t>BROWN</t>
  </si>
  <si>
    <t>JACOB</t>
  </si>
  <si>
    <t>204:158</t>
  </si>
  <si>
    <t>204:232998</t>
  </si>
  <si>
    <t>204:233304</t>
  </si>
  <si>
    <t>204:232987</t>
  </si>
  <si>
    <t>204:141</t>
  </si>
  <si>
    <t>rtdc.l.rtdc.4025:itc</t>
  </si>
  <si>
    <t>rtdc.l.rtdc.4026:itc</t>
  </si>
  <si>
    <t>244-23</t>
  </si>
  <si>
    <t>311-23</t>
  </si>
  <si>
    <t>246-23</t>
  </si>
  <si>
    <t>313-23</t>
  </si>
  <si>
    <t>315-23</t>
  </si>
  <si>
    <t>204:232971</t>
  </si>
  <si>
    <t>204:457</t>
  </si>
  <si>
    <t>204:233291</t>
  </si>
  <si>
    <t>204:232976</t>
  </si>
  <si>
    <t>204:156</t>
  </si>
  <si>
    <t>204:233317</t>
  </si>
  <si>
    <t>300:23304</t>
  </si>
  <si>
    <t>300:58931</t>
  </si>
  <si>
    <t>rtdc.l.rtdc.4018:itc</t>
  </si>
  <si>
    <t>204:232988</t>
  </si>
  <si>
    <t>204:444</t>
  </si>
  <si>
    <t>204:232989</t>
  </si>
  <si>
    <t>204:232996</t>
  </si>
  <si>
    <t>204:232985</t>
  </si>
  <si>
    <t>rtdc.l.rtdc.4001:itc</t>
  </si>
  <si>
    <t>SIMONEAUX</t>
  </si>
  <si>
    <t>TERA</t>
  </si>
  <si>
    <t>204:232975</t>
  </si>
  <si>
    <t>300:58929</t>
  </si>
  <si>
    <t>rtdc.l.rtdc.4041:itc</t>
  </si>
  <si>
    <t>rtdc.l.rtdc.4019:itc</t>
  </si>
  <si>
    <t>MAELZER</t>
  </si>
  <si>
    <t>KURT</t>
  </si>
  <si>
    <t>244-27</t>
  </si>
  <si>
    <t>313-27</t>
  </si>
  <si>
    <t>315-27</t>
  </si>
  <si>
    <t>partly-cloudy-day</t>
  </si>
  <si>
    <t>204:233310</t>
  </si>
  <si>
    <t>204:437</t>
  </si>
  <si>
    <t>204:233309</t>
  </si>
  <si>
    <t>204:478</t>
  </si>
  <si>
    <t>204:233008</t>
  </si>
  <si>
    <t>204:233011</t>
  </si>
  <si>
    <t>204:232991</t>
  </si>
  <si>
    <t>204:471</t>
  </si>
  <si>
    <t>204:129</t>
  </si>
  <si>
    <t>rtdc.l.rtdc.4030:itc</t>
  </si>
  <si>
    <t>TEMPORARY SPEED RESTRICTION</t>
  </si>
  <si>
    <t>rtdc.l.rtdc.4029:itc</t>
  </si>
  <si>
    <t>ISHMAEL</t>
  </si>
  <si>
    <t>JOSEPH</t>
  </si>
  <si>
    <t>YORK</t>
  </si>
  <si>
    <t>EDGAR</t>
  </si>
  <si>
    <t>JOHN</t>
  </si>
  <si>
    <t>311-28</t>
  </si>
  <si>
    <t>313-28</t>
  </si>
  <si>
    <t>51-29</t>
  </si>
  <si>
    <t>SPECTOR</t>
  </si>
  <si>
    <t>302-29</t>
  </si>
  <si>
    <t>204:233315</t>
  </si>
  <si>
    <t>204:233283</t>
  </si>
  <si>
    <t>204:232969</t>
  </si>
  <si>
    <t>204:233316</t>
  </si>
  <si>
    <t>204:467</t>
  </si>
  <si>
    <t>204:233305</t>
  </si>
  <si>
    <t>204:233000</t>
  </si>
  <si>
    <t>204:232984</t>
  </si>
  <si>
    <t>204:232967</t>
  </si>
  <si>
    <t>204:233319</t>
  </si>
  <si>
    <t>204:486</t>
  </si>
  <si>
    <t>204:233331</t>
  </si>
  <si>
    <t>300:58922</t>
  </si>
  <si>
    <t>300:58621</t>
  </si>
  <si>
    <t>300:58941</t>
  </si>
  <si>
    <t>300:58926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</si>
  <si>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</si>
  <si>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</si>
  <si>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</si>
  <si>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</si>
  <si>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rtdc.l.rtdc.4008:itc</t>
  </si>
  <si>
    <t>rtdc.l.rtdc.4021:itc</t>
  </si>
  <si>
    <t>244-01</t>
  </si>
  <si>
    <t>rtdc.l.rtdc.4007:itc</t>
  </si>
  <si>
    <t>rtdc.l.rtdc.4031:itc</t>
  </si>
  <si>
    <t>WENDY</t>
  </si>
  <si>
    <t>ROBINSON</t>
  </si>
  <si>
    <t>KADDIBA</t>
  </si>
  <si>
    <t>SHOOK</t>
  </si>
  <si>
    <t>rtdc.l.rtdc.4054:itc</t>
  </si>
  <si>
    <t>ADANE</t>
  </si>
  <si>
    <t>ELSHADAY</t>
  </si>
  <si>
    <t>rtdc.l.rtdc.4053:itc</t>
  </si>
  <si>
    <t>STEWART</t>
  </si>
  <si>
    <t>SCOTT</t>
  </si>
  <si>
    <t>KILLION</t>
  </si>
  <si>
    <t>DAVID</t>
  </si>
  <si>
    <t>PERKINS</t>
  </si>
  <si>
    <t>DARREN</t>
  </si>
  <si>
    <t>311-01</t>
  </si>
  <si>
    <t>313-01</t>
  </si>
  <si>
    <t>315-01</t>
  </si>
  <si>
    <t>Mostly Cloudy</t>
  </si>
  <si>
    <t>204:233330</t>
  </si>
  <si>
    <t>204:435</t>
  </si>
  <si>
    <t>204:232968</t>
  </si>
  <si>
    <t>204:730</t>
  </si>
  <si>
    <t>204:233334</t>
  </si>
  <si>
    <t>204:233303</t>
  </si>
  <si>
    <t>204:427</t>
  </si>
  <si>
    <t>204:232990</t>
  </si>
  <si>
    <t>204:475</t>
  </si>
  <si>
    <t>204:232983</t>
  </si>
  <si>
    <t>300:58623</t>
  </si>
  <si>
    <t>204:233298</t>
  </si>
  <si>
    <t>204:232964</t>
  </si>
  <si>
    <t>204:119</t>
  </si>
  <si>
    <t>204:446</t>
  </si>
  <si>
    <t>204:232981</t>
  </si>
  <si>
    <t>204:232965</t>
  </si>
  <si>
    <t>204:233002</t>
  </si>
  <si>
    <t>204:473</t>
  </si>
  <si>
    <t>204:132</t>
  </si>
  <si>
    <t>300:23299</t>
  </si>
  <si>
    <t>204:482</t>
  </si>
  <si>
    <t>300:23308</t>
  </si>
  <si>
    <t>800-02</t>
  </si>
  <si>
    <t>106-02</t>
  </si>
  <si>
    <t>801-02</t>
  </si>
  <si>
    <t>805-02</t>
  </si>
  <si>
    <t>806-02</t>
  </si>
  <si>
    <t>809-02</t>
  </si>
  <si>
    <t>810-02</t>
  </si>
  <si>
    <t>149-02</t>
  </si>
  <si>
    <t>161-02</t>
  </si>
  <si>
    <t>175-02</t>
  </si>
  <si>
    <t>193-02</t>
  </si>
  <si>
    <t>rtdc.l.rtdc.4032:itc</t>
  </si>
  <si>
    <t>184-02</t>
  </si>
  <si>
    <t>52-02</t>
  </si>
  <si>
    <t>rtdc.l.rtdc.4020:itc</t>
  </si>
  <si>
    <t>67-02</t>
  </si>
  <si>
    <t>rtdc.l.rtdc.4017:itc</t>
  </si>
  <si>
    <t>834-02</t>
  </si>
  <si>
    <t>56-02</t>
  </si>
  <si>
    <t>836-02</t>
  </si>
  <si>
    <t>208-02</t>
  </si>
  <si>
    <t>212-02</t>
  </si>
  <si>
    <t>844-02</t>
  </si>
  <si>
    <t>242-02</t>
  </si>
  <si>
    <t>302-02</t>
  </si>
  <si>
    <t>101-02</t>
  </si>
  <si>
    <t>304-02</t>
  </si>
  <si>
    <t>103-02</t>
  </si>
  <si>
    <t>306-02</t>
  </si>
  <si>
    <t>ACKERMAN</t>
  </si>
  <si>
    <t>JARED</t>
  </si>
  <si>
    <t>308-02</t>
  </si>
  <si>
    <t>COMELLA</t>
  </si>
  <si>
    <t>JUSTIN</t>
  </si>
  <si>
    <t>102-02</t>
  </si>
  <si>
    <t>105-02</t>
  </si>
  <si>
    <t>310-02</t>
  </si>
  <si>
    <t>107-02</t>
  </si>
  <si>
    <t>104-02</t>
  </si>
  <si>
    <t>109-02</t>
  </si>
  <si>
    <t>111-02</t>
  </si>
  <si>
    <t>SIMMONS</t>
  </si>
  <si>
    <t>SHYHESHA</t>
  </si>
  <si>
    <t>113-02</t>
  </si>
  <si>
    <t>108-02</t>
  </si>
  <si>
    <t>115-02</t>
  </si>
  <si>
    <t>110-02</t>
  </si>
  <si>
    <t>117-02</t>
  </si>
  <si>
    <t>rtdc.l.rtdc.4015:itc</t>
  </si>
  <si>
    <t>112-02</t>
  </si>
  <si>
    <t>119-02</t>
  </si>
  <si>
    <t>902-02</t>
  </si>
  <si>
    <t>ROCHA</t>
  </si>
  <si>
    <t>YAOTL</t>
  </si>
  <si>
    <t>114-02</t>
  </si>
  <si>
    <t>121-02</t>
  </si>
  <si>
    <t>802-02</t>
  </si>
  <si>
    <t>116-02</t>
  </si>
  <si>
    <t>803-02</t>
  </si>
  <si>
    <t>123-02</t>
  </si>
  <si>
    <t>125-02</t>
  </si>
  <si>
    <t>804-02</t>
  </si>
  <si>
    <t>120-02</t>
  </si>
  <si>
    <t>127-02</t>
  </si>
  <si>
    <t>122-02</t>
  </si>
  <si>
    <t>129-02</t>
  </si>
  <si>
    <t>124-02</t>
  </si>
  <si>
    <t>131-02</t>
  </si>
  <si>
    <t>807-02</t>
  </si>
  <si>
    <t>126-02</t>
  </si>
  <si>
    <t>133-02</t>
  </si>
  <si>
    <t>808-02</t>
  </si>
  <si>
    <t>128-02</t>
  </si>
  <si>
    <t>135-02</t>
  </si>
  <si>
    <t>130-02</t>
  </si>
  <si>
    <t>137-02</t>
  </si>
  <si>
    <t>811-02</t>
  </si>
  <si>
    <t>132-02</t>
  </si>
  <si>
    <t>139-02</t>
  </si>
  <si>
    <t>903-02</t>
  </si>
  <si>
    <t>134-02</t>
  </si>
  <si>
    <t>812-02</t>
  </si>
  <si>
    <t>141-02</t>
  </si>
  <si>
    <t>136-02</t>
  </si>
  <si>
    <t>143-02</t>
  </si>
  <si>
    <t>138-02</t>
  </si>
  <si>
    <t>145-02</t>
  </si>
  <si>
    <t>140-02</t>
  </si>
  <si>
    <t>813-02</t>
  </si>
  <si>
    <t>147-02</t>
  </si>
  <si>
    <t>142-02</t>
  </si>
  <si>
    <t>814-02</t>
  </si>
  <si>
    <t>144-02</t>
  </si>
  <si>
    <t>151-02</t>
  </si>
  <si>
    <t>146-02</t>
  </si>
  <si>
    <t>153-02</t>
  </si>
  <si>
    <t>148-02</t>
  </si>
  <si>
    <t>815-02</t>
  </si>
  <si>
    <t>155-02</t>
  </si>
  <si>
    <t>150-02</t>
  </si>
  <si>
    <t>816-02</t>
  </si>
  <si>
    <t>157-02</t>
  </si>
  <si>
    <t>152-02</t>
  </si>
  <si>
    <t>154-02</t>
  </si>
  <si>
    <t>159-02</t>
  </si>
  <si>
    <t>50-02</t>
  </si>
  <si>
    <t>817-02</t>
  </si>
  <si>
    <t>156-02</t>
  </si>
  <si>
    <t>163-02</t>
  </si>
  <si>
    <t>CLARK</t>
  </si>
  <si>
    <t>KATHLEEN</t>
  </si>
  <si>
    <t>158-02</t>
  </si>
  <si>
    <t>818-02</t>
  </si>
  <si>
    <t>165-02</t>
  </si>
  <si>
    <t>160-02</t>
  </si>
  <si>
    <t>167-02</t>
  </si>
  <si>
    <t>CRAYTON</t>
  </si>
  <si>
    <t>QUNTRELL</t>
  </si>
  <si>
    <t>51-02</t>
  </si>
  <si>
    <t>162-02</t>
  </si>
  <si>
    <t>169-02</t>
  </si>
  <si>
    <t>LEVERE</t>
  </si>
  <si>
    <t>CRAIG</t>
  </si>
  <si>
    <t>164-02</t>
  </si>
  <si>
    <t>819-02</t>
  </si>
  <si>
    <t>171-02</t>
  </si>
  <si>
    <t>166-02</t>
  </si>
  <si>
    <t>173-02</t>
  </si>
  <si>
    <t>820-02</t>
  </si>
  <si>
    <t>168-02</t>
  </si>
  <si>
    <t>821-02</t>
  </si>
  <si>
    <t>170-02</t>
  </si>
  <si>
    <t>177-02</t>
  </si>
  <si>
    <t>172-02</t>
  </si>
  <si>
    <t>179-02</t>
  </si>
  <si>
    <t>174-02</t>
  </si>
  <si>
    <t>822-02</t>
  </si>
  <si>
    <t>181-02</t>
  </si>
  <si>
    <t>176-02</t>
  </si>
  <si>
    <t>183-02</t>
  </si>
  <si>
    <t>178-02</t>
  </si>
  <si>
    <t>180-02</t>
  </si>
  <si>
    <t>185-02</t>
  </si>
  <si>
    <t>823-02</t>
  </si>
  <si>
    <t>187-02</t>
  </si>
  <si>
    <t>182-02</t>
  </si>
  <si>
    <t>824-02</t>
  </si>
  <si>
    <t>189-02</t>
  </si>
  <si>
    <t>191-02</t>
  </si>
  <si>
    <t>186-02</t>
  </si>
  <si>
    <t>825-02</t>
  </si>
  <si>
    <t>904-02</t>
  </si>
  <si>
    <t>188-02</t>
  </si>
  <si>
    <t>195-02</t>
  </si>
  <si>
    <t>190-02</t>
  </si>
  <si>
    <t>826-02</t>
  </si>
  <si>
    <t>827-02</t>
  </si>
  <si>
    <t>197-02</t>
  </si>
  <si>
    <t>192-02</t>
  </si>
  <si>
    <t>199-02</t>
  </si>
  <si>
    <t>194-02</t>
  </si>
  <si>
    <t>828-02</t>
  </si>
  <si>
    <t>201-02</t>
  </si>
  <si>
    <t>196-02</t>
  </si>
  <si>
    <t>829-02</t>
  </si>
  <si>
    <t>203-02</t>
  </si>
  <si>
    <t>831-02</t>
  </si>
  <si>
    <t>198-02</t>
  </si>
  <si>
    <t>830-02</t>
  </si>
  <si>
    <t>205-02</t>
  </si>
  <si>
    <t>200-02</t>
  </si>
  <si>
    <t>207-02</t>
  </si>
  <si>
    <t>BRANDNER</t>
  </si>
  <si>
    <t>MELINDA</t>
  </si>
  <si>
    <t>202-02</t>
  </si>
  <si>
    <t>832-02</t>
  </si>
  <si>
    <t>209-02</t>
  </si>
  <si>
    <t>833-02</t>
  </si>
  <si>
    <t>204-02</t>
  </si>
  <si>
    <t>211-02</t>
  </si>
  <si>
    <t>835-02</t>
  </si>
  <si>
    <t>65-02</t>
  </si>
  <si>
    <t>206-02</t>
  </si>
  <si>
    <t>213-02</t>
  </si>
  <si>
    <t>215-02</t>
  </si>
  <si>
    <t>210-02</t>
  </si>
  <si>
    <t>217-02</t>
  </si>
  <si>
    <t>54-02</t>
  </si>
  <si>
    <t>STORY</t>
  </si>
  <si>
    <t>SAMANTHA</t>
  </si>
  <si>
    <t>837-02</t>
  </si>
  <si>
    <t>214-02</t>
  </si>
  <si>
    <t>219-02</t>
  </si>
  <si>
    <t>DIANE</t>
  </si>
  <si>
    <t>838-02</t>
  </si>
  <si>
    <t>303-02</t>
  </si>
  <si>
    <t>216-02</t>
  </si>
  <si>
    <t>839-02</t>
  </si>
  <si>
    <t>55-02</t>
  </si>
  <si>
    <t>218-02</t>
  </si>
  <si>
    <t>221-02</t>
  </si>
  <si>
    <t>906-02</t>
  </si>
  <si>
    <t>305-02</t>
  </si>
  <si>
    <t>841-02</t>
  </si>
  <si>
    <t>220-02</t>
  </si>
  <si>
    <t>223-02</t>
  </si>
  <si>
    <t>840-02</t>
  </si>
  <si>
    <t>307-02</t>
  </si>
  <si>
    <t>225-02</t>
  </si>
  <si>
    <t>222-02</t>
  </si>
  <si>
    <t>843-02</t>
  </si>
  <si>
    <t>224-02</t>
  </si>
  <si>
    <t>227-02</t>
  </si>
  <si>
    <t>842-02</t>
  </si>
  <si>
    <t>226-02</t>
  </si>
  <si>
    <t>229-02</t>
  </si>
  <si>
    <t>845-02</t>
  </si>
  <si>
    <t>228-02</t>
  </si>
  <si>
    <t>231-02</t>
  </si>
  <si>
    <t>233-02</t>
  </si>
  <si>
    <t>230-02</t>
  </si>
  <si>
    <t>847-02</t>
  </si>
  <si>
    <t>232-02</t>
  </si>
  <si>
    <t>235-02</t>
  </si>
  <si>
    <t>908-02</t>
  </si>
  <si>
    <t>234-02</t>
  </si>
  <si>
    <t>237-02</t>
  </si>
  <si>
    <t>239-02</t>
  </si>
  <si>
    <t>236-02</t>
  </si>
  <si>
    <t>241-02</t>
  </si>
  <si>
    <t>238-02</t>
  </si>
  <si>
    <t>240-02</t>
  </si>
  <si>
    <t>243-02</t>
  </si>
  <si>
    <t>309-02</t>
  </si>
  <si>
    <t>311-02</t>
  </si>
  <si>
    <t>244-02</t>
  </si>
  <si>
    <t>313-02</t>
  </si>
  <si>
    <t>315-02</t>
  </si>
  <si>
    <t>204:779</t>
  </si>
  <si>
    <t>204:233295</t>
  </si>
  <si>
    <t>204:232675</t>
  </si>
  <si>
    <t>204:233336</t>
  </si>
  <si>
    <t>204:232711</t>
  </si>
  <si>
    <t>204:695</t>
  </si>
  <si>
    <t>204:232732</t>
  </si>
  <si>
    <t>204:99</t>
  </si>
  <si>
    <t>204:233266</t>
  </si>
  <si>
    <t>204:788</t>
  </si>
  <si>
    <t>204:170</t>
  </si>
  <si>
    <t>204:418</t>
  </si>
  <si>
    <t>204:783</t>
  </si>
  <si>
    <t>204:433</t>
  </si>
  <si>
    <t>204:726</t>
  </si>
  <si>
    <t>204:233278</t>
  </si>
  <si>
    <t>204:438</t>
  </si>
  <si>
    <t>204:136</t>
  </si>
  <si>
    <t>204:233328</t>
  </si>
  <si>
    <t>204:233004</t>
  </si>
  <si>
    <t>204:232953</t>
  </si>
  <si>
    <t>204:407</t>
  </si>
  <si>
    <t>204:233326</t>
  </si>
  <si>
    <t>204:232992</t>
  </si>
  <si>
    <t>204:172</t>
  </si>
  <si>
    <t>204:232994</t>
  </si>
  <si>
    <t>204:176</t>
  </si>
  <si>
    <t>204:233230</t>
  </si>
  <si>
    <t>204:232919</t>
  </si>
  <si>
    <t>204:233320</t>
  </si>
  <si>
    <t>204:233003</t>
  </si>
  <si>
    <t>204:458</t>
  </si>
  <si>
    <t>204:233327</t>
  </si>
  <si>
    <t>204:180</t>
  </si>
  <si>
    <t>204:480</t>
  </si>
  <si>
    <t>204:191</t>
  </si>
  <si>
    <t>204:233306</t>
  </si>
  <si>
    <t>204:477</t>
  </si>
  <si>
    <t>204:232963</t>
  </si>
  <si>
    <t>204:232966</t>
  </si>
  <si>
    <t>204:233268</t>
  </si>
  <si>
    <t>204:232950</t>
  </si>
  <si>
    <t>204:167</t>
  </si>
  <si>
    <t>204:502</t>
  </si>
  <si>
    <t>204:498</t>
  </si>
  <si>
    <t>204:232970</t>
  </si>
  <si>
    <t>204:233272</t>
  </si>
  <si>
    <t>204:1656</t>
  </si>
  <si>
    <t>204:493</t>
  </si>
  <si>
    <t>204:233353</t>
  </si>
  <si>
    <t>204:233070</t>
  </si>
  <si>
    <t>204:233287</t>
  </si>
  <si>
    <t>204:233013</t>
  </si>
  <si>
    <t>204:233285</t>
  </si>
  <si>
    <t>204:429</t>
  </si>
  <si>
    <t>204:233378</t>
  </si>
  <si>
    <t>204:233091</t>
  </si>
  <si>
    <t>300:23110</t>
  </si>
  <si>
    <t>300:19173</t>
  </si>
  <si>
    <t>300:22337</t>
  </si>
  <si>
    <t>204:103</t>
  </si>
  <si>
    <t>300:23120</t>
  </si>
  <si>
    <t>300:22839</t>
  </si>
  <si>
    <t>300:23302</t>
  </si>
  <si>
    <t>204:484</t>
  </si>
  <si>
    <t>300:23316</t>
  </si>
  <si>
    <t>300:21949</t>
  </si>
  <si>
    <t>204:869</t>
  </si>
  <si>
    <t>204:1181</t>
  </si>
  <si>
    <t>300:24220</t>
  </si>
  <si>
    <t>300:23425</t>
  </si>
  <si>
    <t>204:106</t>
  </si>
  <si>
    <t>300:21755</t>
  </si>
  <si>
    <t>204:341</t>
  </si>
  <si>
    <t>204:404</t>
  </si>
  <si>
    <t>300:22841</t>
  </si>
  <si>
    <t>204:1473</t>
  </si>
  <si>
    <t>204:1827</t>
  </si>
  <si>
    <t>300:58709</t>
  </si>
  <si>
    <t>204:633</t>
  </si>
  <si>
    <t>204:916</t>
  </si>
  <si>
    <t>300:59008</t>
  </si>
  <si>
    <t>300:58692</t>
  </si>
  <si>
    <t>204:621</t>
  </si>
  <si>
    <t>204:964</t>
  </si>
  <si>
    <t>300:58592</t>
  </si>
  <si>
    <t>204:694</t>
  </si>
  <si>
    <t>204:962</t>
  </si>
  <si>
    <t>300:58079</t>
  </si>
  <si>
    <t>204:1298</t>
  </si>
  <si>
    <t>204:974</t>
  </si>
  <si>
    <t>204:670</t>
  </si>
  <si>
    <t>204:894</t>
  </si>
  <si>
    <t>300:59010</t>
  </si>
  <si>
    <t>300:58705</t>
  </si>
  <si>
    <t>204:643</t>
  </si>
  <si>
    <t>204:953</t>
  </si>
  <si>
    <t>300:58914</t>
  </si>
  <si>
    <t>300:58596</t>
  </si>
  <si>
    <t>204:685</t>
  </si>
  <si>
    <t>204:971</t>
  </si>
  <si>
    <t>300:58963</t>
  </si>
  <si>
    <t>300:58634</t>
  </si>
  <si>
    <t>204:673</t>
  </si>
  <si>
    <t>204:960</t>
  </si>
  <si>
    <t>300:58948</t>
  </si>
  <si>
    <t>204:668</t>
  </si>
  <si>
    <t>300:58928</t>
  </si>
  <si>
    <t>300:58609</t>
  </si>
  <si>
    <t>204:680</t>
  </si>
  <si>
    <t>204:951</t>
  </si>
  <si>
    <t>300:58606</t>
  </si>
  <si>
    <t>204:677</t>
  </si>
  <si>
    <t>300:58924</t>
  </si>
  <si>
    <t>300:58600</t>
  </si>
  <si>
    <t>204:684</t>
  </si>
  <si>
    <t>300:58613</t>
  </si>
  <si>
    <t>204:687</t>
  </si>
  <si>
    <t>204:983</t>
  </si>
  <si>
    <t>300:58280</t>
  </si>
  <si>
    <t>204:659</t>
  </si>
  <si>
    <t>204:965</t>
  </si>
  <si>
    <t>204:661</t>
  </si>
  <si>
    <t>204:689</t>
  </si>
  <si>
    <t>204:967</t>
  </si>
  <si>
    <t>300:58602</t>
  </si>
  <si>
    <t>204:972</t>
  </si>
  <si>
    <t>204:691</t>
  </si>
  <si>
    <t>300:58604</t>
  </si>
  <si>
    <t>204:990</t>
  </si>
  <si>
    <t>300:58615</t>
  </si>
  <si>
    <t>204:969</t>
  </si>
  <si>
    <t>204:797</t>
  </si>
  <si>
    <t>300:58916</t>
  </si>
  <si>
    <t>204:1111</t>
  </si>
  <si>
    <t>300:23298</t>
  </si>
  <si>
    <t>204:682</t>
  </si>
  <si>
    <t>204:939</t>
  </si>
  <si>
    <t>300:25459</t>
  </si>
  <si>
    <t>300:23135</t>
  </si>
  <si>
    <t>300:28744</t>
  </si>
  <si>
    <t>300:21769</t>
  </si>
  <si>
    <t>start /low /b %USERPROFILE%\Documents\GitHub\eaglep3\Utilities\DownloadLogsFromS3.py --loco 4019 --day 1969-12-31</t>
  </si>
  <si>
    <t>start /low /b %USERPROFILE%\Documents\GitHub\eaglep3\Utilities\DownloadLogsFromS3.py --loco 4014 --day 2017-01-02</t>
  </si>
  <si>
    <t>start /low /b %USERPROFILE%\Documents\GitHub\eaglep3\Utilities\DownloadLogsFromS3.py --loco 4029 --day 2017-01-02</t>
  </si>
  <si>
    <t>start /low /b %USERPROFILE%\Documents\GitHub\eaglep3\Utilities\DownloadLogsFromS3.py --loco 4013 --day 2017-01-03</t>
  </si>
  <si>
    <t>start /low /b %USERPROFILE%\Documents\GitHub\eaglep3\Utilities\DownloadLogsFromS3.py --loco 4045 --day 2017-01-02</t>
  </si>
  <si>
    <t>start /low /b %USERPROFILE%\Documents\GitHub\eaglep3\Utilities\DownloadLogsFromS3.py --loco 4032 --day 2017-01-02</t>
  </si>
  <si>
    <t>start /low /b %USERPROFILE%\Documents\GitHub\eaglep3\Utilities\DownloadLogsFromS3.py --loco 4032 --day 2017-01-03</t>
  </si>
  <si>
    <t>start /low /b %USERPROFILE%\Documents\GitHub\eaglep3\Utilities\DownloadLogsFromS3.py --loco 4030 --day 2017-01-03</t>
  </si>
  <si>
    <t>start /low /b %USERPROFILE%\Documents\GitHub\eaglep3\Utilities\DownloadLogsFromS3.py --loco 4042 --day 2017-01-02</t>
  </si>
  <si>
    <t>start /low /b %USERPROFILE%\Documents\GitHub\eaglep3\Utilities\DownloadLogsFromS3.py --loco 4017 --day 2017-01-03</t>
  </si>
  <si>
    <t>start /low /b %USERPROFILE%\Documents\GitHub\eaglep3\Utilities\DownloadLogsFromS3.py --loco 4008 --day 2017-01-02</t>
  </si>
  <si>
    <t>start /low /b %USERPROFILE%\Documents\GitHub\eaglep3\Utilities\DownloadLogsFromS3.py --loco 4008 --day 2017-01-03</t>
  </si>
  <si>
    <t>start /low /b %USERPROFILE%\Documents\GitHub\eaglep3\Utilities\DownloadLogsFromS3.py --loco 4007 --day 2017-01-02</t>
  </si>
  <si>
    <t>Onboard in-route failure</t>
  </si>
  <si>
    <t>Wheel tach slip @ 07:39:42</t>
  </si>
  <si>
    <t>118-02</t>
  </si>
  <si>
    <t>Slot10 connect failure</t>
  </si>
  <si>
    <t>Form C</t>
  </si>
  <si>
    <t>Early arrival</t>
  </si>
  <si>
    <t>SYS :2017/01/02 12:27:41.528:ENFORCEMENT:Predictive Enforcement Action:  Target Number: 00001002  Target Speed:   0.0  Current Speed:   1.5</t>
  </si>
  <si>
    <t>SYS :2017/01/02 12:27:42.008:ENFORCEMENT:Predictive Enforcement Action:  Target Number: 00001002  Target Speed:   0.0  Current Speed:   1.6</t>
  </si>
  <si>
    <t>SYS :2017/01/02 12:27:42.077:ENFORCEMENT:Predictive Enforcement Action:  Target Number: 00001002  Target Speed:   0.0  Current Speed:   1.5</t>
  </si>
  <si>
    <t>SYS :2017/01/02 12:51:04.673:ENFORCEMENT:Predictive Enforcement Action:  Target Number: 00001004  Target Speed:   0.0  Current Speed:   6.3</t>
  </si>
  <si>
    <t>SYS :2017/01/02 12:51:04.689:ENFORCEMENT:Predictive Enforcement Action:  Target Number: 00001004  Target Speed:   0.0  Current Speed:   6.3</t>
  </si>
  <si>
    <t>SYS :2017/01/02 12:51:45.673:ENFORCEMENT:Predictive Enforcement Action:  Target Number: 00001004  Target Speed:   0.0  Current Speed:   3.3</t>
  </si>
  <si>
    <t>SYS :2017/01/02 12:51:45.690:ENFORCEMENT:Predictive Enforcement Action:  Target Number: 00001004  Target Speed:   0.0  Current Speed:   3.3</t>
  </si>
  <si>
    <t>SYS :2017/01/02 13:06:56.778:ENFORCEMENT:Predictive Enforcement Action:  Target Number: 0000101B  Target Speed:   0.0  Current Speed:   1.6</t>
  </si>
  <si>
    <t>SYS :2017/01/02 13:06:56.935:ENFORCEMENT:Predictive Enforcement Action:  Target Number: 0000101A  Target Speed:   0.0  Current Speed:   1.6</t>
  </si>
  <si>
    <t>SYS :2017/01/02 14:09:01.775:ENFORCEMENT:Reactive Enforcement Action:  Target Number: 0000101D  Target Speed:   0.0  Current Speed:   0.8</t>
  </si>
  <si>
    <t>SYS :2017/01/02 14:09:02.942:ENFORCEMENT:Reactive Enforcement Action:  Target Number: 0000101C  Target Speed:   0.0  Current Speed:   0.6</t>
  </si>
  <si>
    <t>SYS :2017/01/02 14:27:20.530:ENFORCEMENT:Predictive Enforcement Action:  Target Number: 0000100B  Target Speed:   0.0  Current Speed:   0.9</t>
  </si>
  <si>
    <t>SYS :2017/01/02 14:27:21.005:ENFORCEMENT:Predictive Enforcement Action:  Target Number: 0000100B  Target Speed:   0.0  Current Speed:   0.9</t>
  </si>
  <si>
    <t>SYS :2017/01/02 14:27:21.071:ENFORCEMENT:Reactive Enforcement Action:  Target Number: 0000100B  Target Speed:   0.0  Current Speed:   0.9</t>
  </si>
  <si>
    <t>SYS :2017/01/02 15:06:56.789:ENFORCEMENT:Predictive Enforcement Action:  Target Number: 0000101F  Target Speed:   0.0  Current Speed:   0.6</t>
  </si>
  <si>
    <t>SYS :2017/01/02 15:06:56.946:ENFORCEMENT:Predictive Enforcement Action:  Target Number: 0000101E  Target Speed:   0.0  Current Speed:   0.4</t>
  </si>
  <si>
    <t>SYS :2017/01/02 15:26:32.523:ENFORCEMENT:Predictive Enforcement Action:  Target Number: 0000100E  Target Speed:   0.0  Current Speed:   2.6</t>
  </si>
  <si>
    <t>SYS :2017/01/02 15:26:33.010:ENFORCEMENT:Predictive Enforcement Action:  Target Number: 0000100E  Target Speed:   0.0  Current Speed:   2.7</t>
  </si>
  <si>
    <t>SYS :2017/01/02 15:26:33.075:ENFORCEMENT:Predictive Enforcement Action:  Target Number: 0000100E  Target Speed:   0.0  Current Speed:   2.6</t>
  </si>
  <si>
    <t>SYS :2017/01/02 17:23:11.446:ENFORCEMENT:Predictive Enforcement Action:  Target Number: 00001009  Target Speed:   0.0  Current Speed:   4.6</t>
  </si>
  <si>
    <t>SYS :2017/01/02 17:23:11.981:ENFORCEMENT:Predictive Enforcement Action:  Target Number: 00001009  Target Speed:   0.0  Current Speed:   4.6</t>
  </si>
  <si>
    <t>SYS :2017/01/02 17:23:12.100:ENFORCEMENT:Predictive Enforcement Action:  Target Number: 00001009  Target Speed:   0.0  Current Speed:   4.6</t>
  </si>
  <si>
    <t>SYS :2017/01/02 18:53:52.954:ENFORCEMENT:Predictive Enforcement Action:  Target Number: 0000100A  Target Speed:   0.0  Current Speed:   6.9</t>
  </si>
  <si>
    <t>SYS :2017/01/02 18:53:52.984:ENFORCEMENT:Predictive Enforcement Action:  Target Number: 0000100A  Target Speed:   0.0  Current Speed:   6.9</t>
  </si>
  <si>
    <t>SYS :2017/01/02 18:53:53.055:ENFORCEMENT:Predictive Enforcement Action:  Target Number: 00001004  Target Speed:   0.0  Current Speed:   6.9</t>
  </si>
  <si>
    <t>SYS :2017/01/02 20:10:53.978:ENFORCEMENT:Predictive Enforcement Action:  Target Number: 0000E002  Target Speed:   0.0  Current Speed:   9.0</t>
  </si>
  <si>
    <t>SYS :2017/01/02 20:10:53.986:ENFORCEMENT:Predictive Enforcement Action:  Target Number: 0000E002  Target Speed:   0.0  Current Speed:   9.0</t>
  </si>
  <si>
    <t>SYS :2017/01/02 20:10:54.070:ENFORCEMENT:Predictive Enforcement Action:  Target Number: 0000E002  Target Speed:   0.0  Current Speed:   9.0</t>
  </si>
  <si>
    <t>SYS :2017/01/02 20:13:23.986:ENFORCEMENT:Reactive Enforcement Action:  Target Number: 00017069  Target Speed:  22.0  Current Speed:  27.2</t>
  </si>
  <si>
    <t>SYS :2017/01/02 22:22:04.704:ENFORCEMENT:Reactive Enforcement Action:  Target Number: 000170A0  Target Speed:  15.0  Current Speed:  20.3</t>
  </si>
  <si>
    <t>SYS :2017/01/02 22:22:04.768:ENFORCEMENT:Reactive Enforcement Action:  Target Number: 000170A0  Target Speed:  15.0  Current Speed:  20.3</t>
  </si>
  <si>
    <t>SYS :2017/01/02 22:22:05.229:ENFORCEMENT:Reactive Enforcement Action:  Target Number: 000170A0  Target Speed:  15.0  Current Speed:  20.3</t>
  </si>
  <si>
    <t>SYS :2017/01/02 22:36:21.719:ENFORCEMENT:Predictive Enforcement Action:  Target Number: 00001014  Target Speed:   0.0  Current Speed:   4.0</t>
  </si>
  <si>
    <t>SYS :2017/01/02 22:36:22.145:ENFORCEMENT:Predictive Enforcement Action:  Target Number: 00001015  Target Speed:   0.0  Current Speed:   4.0</t>
  </si>
  <si>
    <t>SYS :2017/01/02 22:36:22.579:ENFORCEMENT:Predictive Enforcement Action:  Target Number: 00001012  Target Speed:   0.0  Current Speed:   4.0</t>
  </si>
  <si>
    <t>SYS :2017/01/03 00:55:25.409:ENFORCEMENT:Predictive Enforcement Action:  Target Number: 0000A011  Target Speed:  10.0  Current Speed:  17.2</t>
  </si>
  <si>
    <t>SYS :2017/01/03 00:55:25.665:ENFORCEMENT:Predictive Enforcement Action:  Target Number: 0000A011  Target Speed:  10.0  Current Speed:  17.7</t>
  </si>
  <si>
    <t>SYS :2017/01/03 01:27:12.523:ENFORCEMENT:Predictive Enforcement Action:  Target Number: 0000101B  Target Speed:   0.0  Current Speed:   4.2</t>
  </si>
  <si>
    <t>SYS :2017/01/03 01:27:13.009:ENFORCEMENT:Predictive Enforcement Action:  Target Number: 0000101B  Target Speed:   0.0  Current Speed:   4.2</t>
  </si>
  <si>
    <t>SYS :2017/01/03 01:27:13.077:ENFORCEMENT:Predictive Enforcement Action:  Target Number: 0000101B  Target Speed:   0.0  Current Speed:   4.2</t>
  </si>
  <si>
    <t>SYS :2017/01/03 01:35:14.959:ENFORCEMENT:Reactive Enforcement Action:  Target Number: 0000100D  Target Speed:   0.0  Current Speed:   1.0</t>
  </si>
  <si>
    <t>SYS :2017/01/03 01:35:15.479:ENFORCEMENT:Reactive Enforcement Action:  Target Number: 0000100B  Target Speed:   0.0  Current Speed:   1.0</t>
  </si>
  <si>
    <t>SYS :2017/01/03 01:35:15.992:ENFORCEMENT:Reactive Enforcement Action:  Target Number: 00001038  Target Speed:   0.0  Current Speed:   1.0</t>
  </si>
  <si>
    <t>SYS :2017/01/03 02:06:27.145:ENFORCEMENT:Predictive Enforcement Action:  Target Number: 00001019  Target Speed:   0.0  Current Speed:   4.0</t>
  </si>
  <si>
    <t>SYS :2017/01/03 02:06:29.575:ENFORCEMENT:Predictive Enforcement Action:  Target Number: 00001016  Target Speed:   0.0  Current Speed:   3.9</t>
  </si>
  <si>
    <t>SYS :2017/01/03 02:06:29.730:ENFORCEMENT:Predictive Enforcement Action:  Target Number: 00001018  Target Speed:   0.0  Current Speed:   3.9</t>
  </si>
  <si>
    <t>SYS :2017/01/03 04:56:16.401:ENFORCEMENT:Predictive Enforcement Action:  Target Number: 00001058  Target Speed:   0.0  Current Speed:  13.5</t>
  </si>
  <si>
    <t>SYS :2017/01/03 04:56:16.658:ENFORCEMENT:Predictive Enforcement Action:  Target Number: 00001056  Target Speed:   0.0  Current Speed:  13.5</t>
  </si>
  <si>
    <t>SYS :2017/01/03 04:56:17.161:ENFORCEMENT:Predictive Enforcement Action:  Target Number: 00001056  Target Speed:   0.0  Current Speed:  13.5</t>
  </si>
  <si>
    <t>SYS :2017/01/03 04:57:09.402:ENFORCEMENT:Predictive Enforcement Action:  Target Number: 00001058  Target Speed:   0.0  Current Speed:   5.6</t>
  </si>
  <si>
    <t>SYS :2017/01/03 04:57:09.662:ENFORCEMENT:Predictive Enforcement Action:  Target Number: 00001056  Target Speed:   0.0  Current Speed:   5.6</t>
  </si>
  <si>
    <t>SYS :2017/01/03 04:57:10.162:ENFORCEMENT:Predictive Enforcement Action:  Target Number: 00001056  Target Speed:   0.0  Current Speed:   5.6</t>
  </si>
  <si>
    <t>SYS :2017/01/03 08:19:54.966:ENFORCEMENT:Predictive Enforcement Action:  Target Number: 000170F2  Target Speed:  17.0  Current Speed:  22.2</t>
  </si>
  <si>
    <t>SYS :2017/01/03 08:19:55.431:ENFORCEMENT:Predictive Enforcement Action:  Target Number: 000170F2  Target Speed:  17.0  Current Speed:  22.2</t>
  </si>
  <si>
    <t>SYS :2017/01/03 08:19:56.248:ENFORCEMENT:Predictive Enforcement Action:  Target Number: 000170F2  Target Speed:  17.0  Current Speed:  22.2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</si>
</sst>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3"/>
  <sheetViews>
    <sheetView tabSelected="1" workbookViewId="0"/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42737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42737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144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COUNTIFS($N$13:$N$9353,"&gt;0",$AG$13:$AG$9353,I1)</f>
        <v>142</v>
      </c>
      <c r="K5" s="41"/>
      <c r="L5" s="41"/>
      <c r="M5" s="42">
        <f>AVERAGEIFS($N$13:$N$9353,$AG$13:$AG$9353,I1)</f>
        <v>38.316314554720805</v>
      </c>
      <c r="N5" s="40">
        <f t="array" ref="N5">MIN(IF($AG$13:$AG$9353=I1,IF(ISNUMBER($N$13:$N$9353),IF($N$13:$N$9353&gt;0,$N$13:$N$9353))))</f>
        <v>34.516666657291353</v>
      </c>
      <c r="O5" s="3">
        <f t="array" ref="O5">MAX(IF($AG$13:$AG$9353=I1,IF(ISNUMBER($N$13:$N$9353),IF($N$13:$N$9353&gt;0,$N$13:$N$9353))))</f>
        <v>47.233333342010155</v>
      </c>
      <c r="P5" s="2"/>
      <c r="R5" s="76" t="s">
        <v>17</v>
      </c>
      <c r="S5" s="52">
        <f>COUNTIFS($N$13:$N$9353,"&gt;0",$AG$13:$AG$9353,R1)</f>
        <v>47</v>
      </c>
      <c r="T5" s="41"/>
      <c r="U5" s="164"/>
      <c r="V5" s="42">
        <f>AVERAGEIFS($N$13:$N$9353,$AG$13:$AG$9353,R1)</f>
        <v>15.771985815793395</v>
      </c>
      <c r="W5" s="40">
        <f t="array" ref="W5">MIN(IF($AG$13:$AG$9353=R1,IF(ISNUMBER($N$13:$N$9353),IF($N$13:$N$9353&gt;0,$N$13:$N$9353))))</f>
        <v>13.749999997671694</v>
      </c>
      <c r="X5" s="169">
        <f t="array" ref="X5">MAX(IF($AG$13:$AG$9353=R1,IF(ISNUMBER($N$13:$N$9353),IF($N$13:$N$9353&gt;0,$N$13:$N$9353))))</f>
        <v>21.133333338657394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COUNT($O$13:$O$132)</f>
        <v>0</v>
      </c>
      <c r="K6" s="41"/>
      <c r="L6" s="41"/>
      <c r="M6" s="42">
        <f>IFERROR(AVERAGE($O$13:$O$132),0)</f>
        <v>0</v>
      </c>
      <c r="N6" s="40">
        <f>MIN($O$13:$O$132)</f>
        <v>0</v>
      </c>
      <c r="O6" s="3">
        <f>MAX($O$13:$O$132)</f>
        <v>0</v>
      </c>
      <c r="P6" s="2"/>
      <c r="R6" s="77" t="s">
        <v>43</v>
      </c>
      <c r="S6" s="52">
        <f>COUNT($O$13:$O$132)</f>
        <v>0</v>
      </c>
      <c r="T6" s="41"/>
      <c r="U6" s="164"/>
      <c r="V6" s="42">
        <f>IFERROR(AVERAGE($O$13:$O$132),0)</f>
        <v>0</v>
      </c>
      <c r="W6" s="40">
        <f>MIN($O$13:$O$132)</f>
        <v>0</v>
      </c>
      <c r="X6" s="169">
        <f>MAX($O$13:$O$132)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COUNTIFS($P$13:$P$9353,"&gt;0",$AG$13:$AG$9353,I1)</f>
        <v>2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COUNTIFS($P$13:$P$9353,"&gt;0",$AG$13:$AG$9353,R1)</f>
        <v>0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142</v>
      </c>
      <c r="K8" s="41"/>
      <c r="L8" s="41"/>
      <c r="M8" s="42">
        <f>M5</f>
        <v>38.316314554720805</v>
      </c>
      <c r="N8" s="40">
        <f>N5</f>
        <v>34.516666657291353</v>
      </c>
      <c r="O8" s="3">
        <f>O5</f>
        <v>47.233333342010155</v>
      </c>
      <c r="P8" s="2"/>
      <c r="R8" s="76" t="s">
        <v>16</v>
      </c>
      <c r="S8" s="52">
        <f>S5</f>
        <v>47</v>
      </c>
      <c r="T8" s="41"/>
      <c r="U8" s="164"/>
      <c r="V8" s="42">
        <f>V5</f>
        <v>15.771985815793395</v>
      </c>
      <c r="W8" s="40">
        <f>W5</f>
        <v>13.749999997671694</v>
      </c>
      <c r="X8" s="169">
        <f>X5</f>
        <v>21.133333338657394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0.98611111111111116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1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- 2017-01-02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AVERAGE(S13:S95)</f>
        <v>0.97560975609756095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376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451</v>
      </c>
      <c r="B13" s="7">
        <v>4016</v>
      </c>
      <c r="C13" s="22" t="s">
        <v>203</v>
      </c>
      <c r="D13" s="22" t="s">
        <v>664</v>
      </c>
      <c r="E13" s="13">
        <v>42737.132037037038</v>
      </c>
      <c r="F13" s="13">
        <v>42737.135659722226</v>
      </c>
      <c r="G13" s="7">
        <v>1</v>
      </c>
      <c r="H13" s="22" t="s">
        <v>665</v>
      </c>
      <c r="I13" s="13">
        <v>42737.161828703705</v>
      </c>
      <c r="J13" s="7">
        <v>0</v>
      </c>
      <c r="K13" s="105" t="str">
        <f t="shared" ref="K13:K75" si="0">IF(ISEVEN(B13),(B13-1)&amp;"/"&amp;B13,B13&amp;"/"&amp;(B13+1))</f>
        <v>4015/4016</v>
      </c>
      <c r="L13" s="22" t="str">
        <f>VLOOKUP(A13,'Trips&amp;Operators'!$C$1:$G$99999,5,FALSE)</f>
        <v>OUN ZACK</v>
      </c>
      <c r="M13" s="6">
        <f t="shared" ref="M13:M75" si="1">I13-F13</f>
        <v>2.6168981479713693E-2</v>
      </c>
      <c r="N13" s="7">
        <f t="shared" ref="N13:P75" si="2">24*60*SUM($M13:$M13)</f>
        <v>37.683333330787718</v>
      </c>
      <c r="O13" s="7"/>
      <c r="P13" s="7"/>
      <c r="Q13" s="23"/>
      <c r="R13" s="23"/>
      <c r="S13" s="32">
        <f t="shared" ref="S13:S75" si="3">SUM(U13:U13)/IF(AG13="EC",12,1)</f>
        <v>1</v>
      </c>
      <c r="T13" s="47" t="str">
        <f t="shared" ref="T13:T75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5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https://search-rtdc-monitor-bjffxe2xuh6vdkpspy63sjmuny.us-east-1.es.amazonaws.com/_plugin/kibana/#/discover/Steve-Slow-Train-Analysis-(2080s-and-2083s)?_g=(refreshInterval:(display:Off,section:0,value:0),time:(from:'2017-01-02 02:10:08-700',mode:absolute,to:'2017-01-02 04:53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" s="49" t="str">
        <f t="shared" ref="W13:W75" si="6">IF(AA13&lt;IF(AG13="EC",23,5.65),"Y","N")</f>
        <v>N</v>
      </c>
      <c r="X13" s="173" t="e">
        <f t="shared" ref="X13:X75" si="7">VALUE(LEFT(AD13,4))-VALUE(LEFT(AD12,4))</f>
        <v>#VALUE!</v>
      </c>
      <c r="Y13" s="64">
        <f t="shared" ref="Y13:Y75" si="8">RIGHT(D13,LEN(D13)-4)/10000</f>
        <v>7.7899999999999997E-2</v>
      </c>
      <c r="Z13" s="64">
        <f t="shared" ref="Z13:Z75" si="9">RIGHT(H13,LEN(H13)-4)/10000</f>
        <v>23.329499999999999</v>
      </c>
      <c r="AA13" s="64">
        <f t="shared" ref="AA13:AA75" si="10">ABS(Z13-Y13)</f>
        <v>23.2516</v>
      </c>
      <c r="AB13" s="61" t="e">
        <f>VLOOKUP(A13,Enforcements!$C$7:$K$19,8,0)</f>
        <v>#N/A</v>
      </c>
      <c r="AC13" s="57" t="e">
        <f>VLOOKUP(A13,Enforcements!$C$7:$E$19,3,0)</f>
        <v>#N/A</v>
      </c>
      <c r="AD13" s="58" t="str">
        <f t="shared" ref="AD13:AD75" si="11">IF(LEN(A13)=6,"0"&amp;A13,A13)</f>
        <v>0101-02</v>
      </c>
      <c r="AE13" s="87" t="str">
        <f t="shared" ref="AE13:AE75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13" s="84" t="str">
        <f t="shared" ref="AF13:AF75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/stypes="app*4016*20170102*" /stext=" 10:.+((SYSTEM_STATE.+slice.+state.+changed )|(ment ac)|(multiple cpu faults)|(system.+state.+changed )|(\[timeout)|(PRM\|1\|D)|(kpr)|(kdp)|(\|lc)|(penalty))" /e /r /s</v>
      </c>
      <c r="AG13" s="1" t="str">
        <f t="shared" ref="AG13:AG75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101-02 --locoid 4016 --swversion DE.1.0.8.0 --startMP 204:779 --initTime 2017-01-02T03:10:08 --startdatetime 2017-01-02T03:15:21 --delay 1 --endMP 204:233295 --enddatetime 2017-01-02T03:53:02 --enforcementcount 0 &gt;&gt;C:\Users\stu\Documents\GitHub\eaglep3-reporting\EC\2017-01-02-refined-times.txt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{"issue":{"subject":"","project_id":79,"tracker_id":40,"status_id":1,"priority_id":2,"assigned_to_id":23,"start_date":"2017-01-02","description":"","custom_fields":[{"id":1,"name":"Subdivision","value":"EC"},{"id":4,"name":"Milepost","value":"23.3295"},{"id":17,"name":"Train ID","value":"101-02"},{"id":16,"name":"Locomotive ID","value":"4016"},{"id":130,"name":"Impact","value":""},{"id":150,"name":"Time of Event (Mountain Time)","value":"03:53:02"},{"id":151,"name":"Denver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" si="17">"start /low /b "&amp;dls3logs&amp;" --loco "&amp;B13&amp;" --day "&amp;TEXT(F13,"YYYY-MM-DD")</f>
        <v>start /low /b %USERPROFILE%\Documents\GitHub\eaglep3\Utilities\DownloadLogsFromS3.py --loco 4016 --day 2017-01-02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460</v>
      </c>
      <c r="B14" s="7">
        <v>4032</v>
      </c>
      <c r="C14" s="22" t="s">
        <v>203</v>
      </c>
      <c r="D14" s="22" t="s">
        <v>666</v>
      </c>
      <c r="E14" s="13">
        <v>42737.16982638889</v>
      </c>
      <c r="F14" s="13">
        <v>42737.174571759257</v>
      </c>
      <c r="G14" s="7">
        <v>0</v>
      </c>
      <c r="H14" s="22" t="s">
        <v>192</v>
      </c>
      <c r="I14" s="13">
        <v>42737.202789351853</v>
      </c>
      <c r="J14" s="7">
        <v>0</v>
      </c>
      <c r="K14" s="105" t="str">
        <f t="shared" si="0"/>
        <v>4031/4032</v>
      </c>
      <c r="L14" s="22" t="str">
        <f>VLOOKUP(A14,'Trips&amp;Operators'!$C$1:$G$99999,5,FALSE)</f>
        <v>OUN ZACK</v>
      </c>
      <c r="M14" s="6">
        <f t="shared" si="1"/>
        <v>2.8217592596774921E-2</v>
      </c>
      <c r="N14" s="7">
        <f t="shared" si="2"/>
        <v>40.633333339355886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03:04:33-700',mode:absolute,to:'2017-01-02 05:52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23.267499999999998</v>
      </c>
      <c r="Z14" s="64">
        <f t="shared" si="9"/>
        <v>1.43E-2</v>
      </c>
      <c r="AA14" s="64">
        <f t="shared" si="10"/>
        <v>23.2532</v>
      </c>
      <c r="AB14" s="61" t="e">
        <f>VLOOKUP(A14,Enforcements!$C$7:$K$19,8,0)</f>
        <v>#N/A</v>
      </c>
      <c r="AC14" s="57" t="e">
        <f>VLOOKUP(A14,Enforcements!$C$7:$E$19,3,0)</f>
        <v>#N/A</v>
      </c>
      <c r="AD14" s="58" t="str">
        <f t="shared" si="11"/>
        <v>0102-02</v>
      </c>
      <c r="AE14" s="87" t="str">
        <f t="shared" si="12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14" s="84" t="str">
        <f t="shared" si="13"/>
        <v>"C:\Program Files (x86)\AstroGrep\AstroGrep.exe" /spath="%USERPROFILE%\AppData\Local\Temp\OnboardLogs" /stypes="app*4032*20170102*"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102-02 --locoid 4032 --swversion DE.1.0.8.0 --startMP 204:232675 --initTime 2017-01-02T04:04:33 --startdatetime 2017-01-02T04:11:23 --delay 0 --endMP 204:143 --enddatetime 2017-01-02T04:52:01 --enforcementcount 0 &gt;&gt;C:\Users\stu\Documents\GitHub\eaglep3-reporting\EC\2017-01-02-refined-times.txt</v>
      </c>
      <c r="AI14" s="115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{"issue":{"subject":"","project_id":79,"tracker_id":40,"status_id":1,"priority_id":2,"assigned_to_id":23,"start_date":"2017-01-02","description":"","custom_fields":[{"id":1,"name":"Subdivision","value":"EC"},{"id":4,"name":"Milepost","value":"0.0143"},{"id":17,"name":"Train ID","value":"102-02"},{"id":16,"name":"Locomotive ID","value":"4032"},{"id":130,"name":"Impact","value":""},{"id":150,"name":"Time of Event (Mountain Time)","value":"04:52:01"},{"id":151,"name":"Denver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ref="AM14:AM76" si="20">"start /low /b "&amp;dls3logs&amp;" --loco "&amp;B14&amp;" --day "&amp;TEXT(F14,"YYYY-MM-DD")</f>
        <v>start /low /b %USERPROFILE%\Documents\GitHub\eaglep3\Utilities\DownloadLogsFromS3.py --loco 4032 --day 2017-01-02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453</v>
      </c>
      <c r="B15" s="7">
        <v>4011</v>
      </c>
      <c r="C15" s="22" t="s">
        <v>203</v>
      </c>
      <c r="D15" s="22" t="s">
        <v>406</v>
      </c>
      <c r="E15" s="13">
        <v>42737.152881944443</v>
      </c>
      <c r="F15" s="13">
        <v>42737.1565625</v>
      </c>
      <c r="G15" s="7">
        <v>1</v>
      </c>
      <c r="H15" s="22" t="s">
        <v>667</v>
      </c>
      <c r="I15" s="13">
        <v>42737.18167824074</v>
      </c>
      <c r="J15" s="7">
        <v>0</v>
      </c>
      <c r="K15" s="105" t="str">
        <f t="shared" si="0"/>
        <v>4011/4012</v>
      </c>
      <c r="L15" s="22" t="str">
        <f>VLOOKUP(A15,'Trips&amp;Operators'!$C$1:$G$99999,5,FALSE)</f>
        <v>MAELZER KURT</v>
      </c>
      <c r="M15" s="6">
        <f t="shared" si="1"/>
        <v>2.5115740740147885E-2</v>
      </c>
      <c r="N15" s="7">
        <f t="shared" si="2"/>
        <v>36.166666665812954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02:40:09-700',mode:absolute,to:'2017-01-02 05:21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7.2999999999999995E-2</v>
      </c>
      <c r="Z15" s="64">
        <f t="shared" si="9"/>
        <v>23.333600000000001</v>
      </c>
      <c r="AA15" s="64">
        <f t="shared" si="10"/>
        <v>23.2606</v>
      </c>
      <c r="AB15" s="61" t="e">
        <f>VLOOKUP(A15,Enforcements!$C$7:$K$19,8,0)</f>
        <v>#N/A</v>
      </c>
      <c r="AC15" s="57" t="e">
        <f>VLOOKUP(A15,Enforcements!$C$7:$E$19,3,0)</f>
        <v>#N/A</v>
      </c>
      <c r="AD15" s="58" t="str">
        <f t="shared" si="11"/>
        <v>0103-02</v>
      </c>
      <c r="AE15" s="87" t="str">
        <f t="shared" si="12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15" s="84" t="str">
        <f t="shared" si="13"/>
        <v>"C:\Program Files (x86)\AstroGrep\AstroGrep.exe" /spath="%USERPROFILE%\AppData\Local\Temp\OnboardLogs" /stypes="app*4011*20170102*"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103-02 --locoid 4011 --swversion DE.1.0.8.0 --startMP 204:730 --initTime 2017-01-02T03:40:09 --startdatetime 2017-01-02T03:45:27 --delay 1 --endMP 204:233336 --enddatetime 2017-01-02T04:21:37 --enforcementcount 0 &gt;&gt;C:\Users\stu\Documents\GitHub\eaglep3-reporting\EC\2017-01-02-refined-times.txt</v>
      </c>
      <c r="AI15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{"issue":{"subject":"","project_id":79,"tracker_id":40,"status_id":1,"priority_id":2,"assigned_to_id":23,"start_date":"2017-01-02","description":"","custom_fields":[{"id":1,"name":"Subdivision","value":"EC"},{"id":4,"name":"Milepost","value":"23.3336"},{"id":17,"name":"Train ID","value":"103-02"},{"id":16,"name":"Locomotive ID","value":"4011"},{"id":130,"name":"Impact","value":""},{"id":150,"name":"Time of Event (Mountain Time)","value":"04:21:37"},{"id":151,"name":"Denver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20"/>
        <v>start /low /b %USERPROFILE%\Documents\GitHub\eaglep3\Utilities\DownloadLogsFromS3.py --loco 4011 --day 2017-01-02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464</v>
      </c>
      <c r="B16" s="7">
        <v>4019</v>
      </c>
      <c r="C16" s="22" t="s">
        <v>203</v>
      </c>
      <c r="D16" s="22" t="s">
        <v>668</v>
      </c>
      <c r="E16" s="13">
        <v>42737.187719907408</v>
      </c>
      <c r="F16" s="13">
        <v>42737.189942129633</v>
      </c>
      <c r="G16" s="7">
        <v>3</v>
      </c>
      <c r="H16" s="22" t="s">
        <v>668</v>
      </c>
      <c r="I16" s="13">
        <v>42737.191446759258</v>
      </c>
      <c r="J16" s="7">
        <v>0</v>
      </c>
      <c r="K16" s="105" t="str">
        <f t="shared" si="0"/>
        <v>4019/4020</v>
      </c>
      <c r="L16" s="22" t="str">
        <f>VLOOKUP(A16,'Trips&amp;Operators'!$C$1:$G$99999,5,FALSE)</f>
        <v>MAELZER KURT</v>
      </c>
      <c r="M16" s="6">
        <f t="shared" si="1"/>
        <v>1.5046296248328872E-3</v>
      </c>
      <c r="N16" s="7"/>
      <c r="O16" s="7"/>
      <c r="P16" s="7">
        <f t="shared" si="2"/>
        <v>2.1666666597593576</v>
      </c>
      <c r="Q16" s="23"/>
      <c r="R16" s="23" t="s">
        <v>819</v>
      </c>
      <c r="S16" s="32">
        <f t="shared" si="3"/>
        <v>0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0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03:30:19-700',mode:absolute,to:'2017-01-02 05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" s="49" t="str">
        <f t="shared" si="6"/>
        <v>Y</v>
      </c>
      <c r="X16" s="173">
        <f t="shared" si="7"/>
        <v>1</v>
      </c>
      <c r="Y16" s="64">
        <f t="shared" si="8"/>
        <v>23.271100000000001</v>
      </c>
      <c r="Z16" s="64">
        <f t="shared" si="9"/>
        <v>23.271100000000001</v>
      </c>
      <c r="AA16" s="64">
        <f t="shared" si="10"/>
        <v>0</v>
      </c>
      <c r="AB16" s="61" t="e">
        <f>VLOOKUP(A16,Enforcements!$C$7:$K$19,8,0)</f>
        <v>#N/A</v>
      </c>
      <c r="AC16" s="57" t="e">
        <f>VLOOKUP(A16,Enforcements!$C$7:$E$19,3,0)</f>
        <v>#N/A</v>
      </c>
      <c r="AD16" s="58" t="str">
        <f t="shared" si="11"/>
        <v>0104-02</v>
      </c>
      <c r="AE16" s="87" t="str">
        <f t="shared" si="12"/>
        <v>aws s3 cp s3://rtdc.mdm.uploadarchive.raw/RTDC4019/ "%USERPROFILE%\AppData\Local\Temp\OnboardLogs"\RTDC4019\2017-01-02 --exclude "*" --recursive --include "*20170102*" &amp; "%USERPROFILE%\Documents\GitHub\mrs-test-scripts\Headless Mode &amp; Sideloading\WalkAndUnGZ.bat" "%USERPROFILE%\AppData\Local\Temp\OnboardLogs"\RTDC4019\2017-01-02 &amp; 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</v>
      </c>
      <c r="AF16" s="84" t="str">
        <f t="shared" si="13"/>
        <v>"C:\Program Files (x86)\AstroGrep\AstroGrep.exe" /spath="%USERPROFILE%\AppData\Local\Temp\OnboardLogs" /stypes="app*4019*20170102*" /stext=" 11:.+((SYSTEM_STATE.+slice.+state.+changed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104-02 --locoid 4019 --swversion DE.1.0.8.0 --startMP 204:232711 --initTime 2017-01-02T04:30:19 --startdatetime 2017-01-02T04:33:31 --delay 3 --endMP 204:232711 --enddatetime 2017-01-02T04:35:41 --enforcementcount 0 &gt;&gt;C:\Users\stu\Documents\GitHub\eaglep3-reporting\EC\2017-01-02-refined-times.txt</v>
      </c>
      <c r="AI16" s="115" t="str">
        <f t="shared" si="19"/>
        <v>echo {"issue":{"subject":"Onboard in-route failure","project_id":79,"tracker_id":40,"status_id":1,"priority_id":2,"assigned_to_id":23,"start_date":"2017-01-02","description":"","custom_fields":[{"id":1,"name":"Subdivision","value":"EC"},{"id":4,"name":"Milepost","value":"23.2711"},{"id":17,"name":"Train ID","value":"104-02"},{"id":16,"name":"Locomotive ID","value":"4019"},{"id":130,"name":"Impact","value":""},{"id":150,"name":"Time of Event (Mountain Time)","value":"04:35:41"},{"id":151,"name":"Denver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20"/>
        <v>start /low /b %USERPROFILE%\Documents\GitHub\eaglep3\Utilities\DownloadLogsFromS3.py --loco 4019 --day 2017-01-02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464</v>
      </c>
      <c r="B17" s="7">
        <v>4019</v>
      </c>
      <c r="C17" s="22" t="s">
        <v>203</v>
      </c>
      <c r="D17" s="22" t="s">
        <v>668</v>
      </c>
      <c r="E17" s="13">
        <v>42737.187719907408</v>
      </c>
      <c r="F17" s="13">
        <v>42737.191446759258</v>
      </c>
      <c r="G17" s="7">
        <v>5</v>
      </c>
      <c r="H17" s="22" t="s">
        <v>668</v>
      </c>
      <c r="I17" s="13">
        <v>42737.191446759258</v>
      </c>
      <c r="J17" s="7">
        <v>0</v>
      </c>
      <c r="K17" s="105" t="str">
        <f t="shared" si="0"/>
        <v>4019/4020</v>
      </c>
      <c r="L17" s="22" t="str">
        <f>VLOOKUP(A17,'Trips&amp;Operators'!$C$1:$G$99999,5,FALSE)</f>
        <v>MAELZER KURT</v>
      </c>
      <c r="M17" s="6">
        <f t="shared" si="1"/>
        <v>0</v>
      </c>
      <c r="N17" s="7"/>
      <c r="O17" s="7"/>
      <c r="P17" s="7"/>
      <c r="Q17" s="23"/>
      <c r="R17" s="23"/>
      <c r="S17" s="32"/>
      <c r="T17" s="47" t="str">
        <f t="shared" si="4"/>
        <v>Southbound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0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03:30:19-700',mode:absolute,to:'2017-01-02 05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7" s="49" t="str">
        <f t="shared" si="6"/>
        <v>Y</v>
      </c>
      <c r="X17" s="173">
        <f t="shared" si="7"/>
        <v>0</v>
      </c>
      <c r="Y17" s="64">
        <f t="shared" si="8"/>
        <v>23.271100000000001</v>
      </c>
      <c r="Z17" s="64">
        <f t="shared" si="9"/>
        <v>23.271100000000001</v>
      </c>
      <c r="AA17" s="64">
        <f t="shared" si="10"/>
        <v>0</v>
      </c>
      <c r="AB17" s="61" t="e">
        <f>VLOOKUP(A17,Enforcements!$C$7:$K$19,8,0)</f>
        <v>#N/A</v>
      </c>
      <c r="AC17" s="57" t="e">
        <f>VLOOKUP(A17,Enforcements!$C$7:$E$19,3,0)</f>
        <v>#N/A</v>
      </c>
      <c r="AD17" s="58" t="str">
        <f t="shared" si="11"/>
        <v>0104-02</v>
      </c>
      <c r="AE17" s="87" t="str">
        <f t="shared" si="12"/>
        <v>aws s3 cp s3://rtdc.mdm.uploadarchive.raw/RTDC4019/ "%USERPROFILE%\AppData\Local\Temp\OnboardLogs"\RTDC4019\2017-01-02 --exclude "*" --recursive --include "*20170102*" &amp; "%USERPROFILE%\Documents\GitHub\mrs-test-scripts\Headless Mode &amp; Sideloading\WalkAndUnGZ.bat" "%USERPROFILE%\AppData\Local\Temp\OnboardLogs"\RTDC4019\2017-01-02 &amp; 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</v>
      </c>
      <c r="AF17" s="84" t="str">
        <f t="shared" si="13"/>
        <v>"C:\Program Files (x86)\AstroGrep\AstroGrep.exe" /spath="%USERPROFILE%\AppData\Local\Temp\OnboardLogs" /stypes="app*4019*20170102*"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104-02 --locoid 4019 --swversion DE.1.0.8.0 --startMP 204:232711 --initTime 2017-01-02T04:30:19 --startdatetime 2017-01-02T04:35:41 --delay 5 --endMP 204:232711 --enddatetime 2017-01-02T04:35:41 --enforcementcount 0 &gt;&gt;C:\Users\stu\Documents\GitHub\eaglep3-reporting\EC\2017-01-02-refined-times.txt</v>
      </c>
      <c r="AI17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{"issue":{"subject":"","project_id":79,"tracker_id":40,"status_id":1,"priority_id":2,"assigned_to_id":23,"start_date":"2017-01-02","description":"","custom_fields":[{"id":1,"name":"Subdivision","value":"EC"},{"id":4,"name":"Milepost","value":"23.2711"},{"id":17,"name":"Train ID","value":"104-02"},{"id":16,"name":"Locomotive ID","value":"4019"},{"id":130,"name":"Impact","value":""},{"id":150,"name":"Time of Event (Mountain Time)","value":"04:35:41"},{"id":151,"name":"Denver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20"/>
        <v>start /low /b %USERPROFILE%\Documents\GitHub\eaglep3\Utilities\DownloadLogsFromS3.py --loco 4019 --day 2017-01-02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461</v>
      </c>
      <c r="B18" s="7">
        <v>4014</v>
      </c>
      <c r="C18" s="22" t="s">
        <v>203</v>
      </c>
      <c r="D18" s="22" t="s">
        <v>669</v>
      </c>
      <c r="E18" s="13">
        <v>42737.171006944445</v>
      </c>
      <c r="F18" s="13">
        <v>42737.177337962959</v>
      </c>
      <c r="G18" s="7">
        <v>2</v>
      </c>
      <c r="H18" s="22" t="s">
        <v>407</v>
      </c>
      <c r="I18" s="13">
        <v>42737.203148148146</v>
      </c>
      <c r="J18" s="7">
        <v>0</v>
      </c>
      <c r="K18" s="105" t="str">
        <f t="shared" si="0"/>
        <v>4013/4014</v>
      </c>
      <c r="L18" s="22" t="str">
        <f>VLOOKUP(A18,'Trips&amp;Operators'!$C$1:$G$99999,5,FALSE)</f>
        <v>ACKERMAN JARED</v>
      </c>
      <c r="M18" s="6">
        <f t="shared" si="1"/>
        <v>2.5810185186855961E-2</v>
      </c>
      <c r="N18" s="7">
        <f t="shared" si="2"/>
        <v>37.166666669072583</v>
      </c>
      <c r="O18" s="7"/>
      <c r="P18" s="7"/>
      <c r="Q18" s="23"/>
      <c r="R18" s="23"/>
      <c r="S18" s="32">
        <f t="shared" si="3"/>
        <v>1</v>
      </c>
      <c r="T18" s="47" t="str">
        <f t="shared" si="4"/>
        <v>NorthBound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03:06:15-700',mode:absolute,to:'2017-01-02 05:52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6.9500000000000006E-2</v>
      </c>
      <c r="Z18" s="64">
        <f t="shared" si="9"/>
        <v>23.333400000000001</v>
      </c>
      <c r="AA18" s="64">
        <f t="shared" si="10"/>
        <v>23.2639</v>
      </c>
      <c r="AB18" s="61" t="e">
        <f>VLOOKUP(A18,Enforcements!$C$7:$K$19,8,0)</f>
        <v>#N/A</v>
      </c>
      <c r="AC18" s="57" t="e">
        <f>VLOOKUP(A18,Enforcements!$C$7:$E$19,3,0)</f>
        <v>#N/A</v>
      </c>
      <c r="AD18" s="58" t="str">
        <f t="shared" si="11"/>
        <v>0105-02</v>
      </c>
      <c r="AE18" s="87" t="str">
        <f t="shared" si="12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18" s="84" t="str">
        <f t="shared" si="13"/>
        <v>"C:\Program Files (x86)\AstroGrep\AstroGrep.exe" /spath="%USERPROFILE%\AppData\Local\Temp\OnboardLogs" /stypes="app*4014*20170102*" /stext=" 11:.+((SYSTEM_STATE.+slice.+state.+changed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105-02 --locoid 4014 --swversion DE.1.0.8.0 --startMP 204:695 --initTime 2017-01-02T04:06:15 --startdatetime 2017-01-02T04:15:22 --delay 2 --endMP 204:233334 --enddatetime 2017-01-02T04:52:32 --enforcementcount 0 &gt;&gt;C:\Users\stu\Documents\GitHub\eaglep3-reporting\EC\2017-01-02-refined-times.txt</v>
      </c>
      <c r="AI18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{"issue":{"subject":"","project_id":79,"tracker_id":40,"status_id":1,"priority_id":2,"assigned_to_id":23,"start_date":"2017-01-02","description":"","custom_fields":[{"id":1,"name":"Subdivision","value":"EC"},{"id":4,"name":"Milepost","value":"23.3334"},{"id":17,"name":"Train ID","value":"105-02"},{"id":16,"name":"Locomotive ID","value":"4014"},{"id":130,"name":"Impact","value":""},{"id":150,"name":"Time of Event (Mountain Time)","value":"04:52:32"},{"id":151,"name":"Denver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20"/>
        <v>start /low /b %USERPROFILE%\Documents\GitHub\eaglep3\Utilities\DownloadLogsFromS3.py --loco 4014 --day 2017-01-02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427</v>
      </c>
      <c r="B19" s="7">
        <v>4045</v>
      </c>
      <c r="C19" s="22" t="s">
        <v>203</v>
      </c>
      <c r="D19" s="22" t="s">
        <v>670</v>
      </c>
      <c r="E19" s="13">
        <v>42737.210081018522</v>
      </c>
      <c r="F19" s="13">
        <v>42737.216215277775</v>
      </c>
      <c r="G19" s="7">
        <v>2</v>
      </c>
      <c r="H19" s="22" t="s">
        <v>671</v>
      </c>
      <c r="I19" s="13">
        <v>42737.243877314817</v>
      </c>
      <c r="J19" s="7">
        <v>0</v>
      </c>
      <c r="K19" s="105" t="str">
        <f t="shared" si="0"/>
        <v>4045/4046</v>
      </c>
      <c r="L19" s="22" t="str">
        <f>VLOOKUP(A19,'Trips&amp;Operators'!$C$1:$G$99999,5,FALSE)</f>
        <v>ACKERMAN JARED</v>
      </c>
      <c r="M19" s="6">
        <f t="shared" si="1"/>
        <v>2.7662037042318843E-2</v>
      </c>
      <c r="N19" s="7">
        <f t="shared" si="2"/>
        <v>39.833333340939134</v>
      </c>
      <c r="O19" s="7"/>
      <c r="P19" s="7"/>
      <c r="Q19" s="23"/>
      <c r="R19" s="23"/>
      <c r="S19" s="32">
        <f t="shared" si="3"/>
        <v>1</v>
      </c>
      <c r="T19" s="47" t="str">
        <f t="shared" si="4"/>
        <v>Southbound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04:02:31-700',mode:absolute,to:'2017-01-02 06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23.273199999999999</v>
      </c>
      <c r="Z19" s="64">
        <f t="shared" si="9"/>
        <v>9.9000000000000008E-3</v>
      </c>
      <c r="AA19" s="64">
        <f t="shared" si="10"/>
        <v>23.263300000000001</v>
      </c>
      <c r="AB19" s="61" t="str">
        <f>VLOOKUP(A19,Enforcements!$C$7:$K$19,8,0)</f>
        <v>Form based authority (4)</v>
      </c>
      <c r="AC19" s="57" t="str">
        <f>VLOOKUP(A19,Enforcements!$C$7:$E$19,3,0)</f>
        <v>TRACK WARRANT AUTHORITY</v>
      </c>
      <c r="AD19" s="58" t="str">
        <f t="shared" si="11"/>
        <v>0106-02</v>
      </c>
      <c r="AE19" s="87" t="str">
        <f t="shared" si="12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19" s="84" t="str">
        <f t="shared" si="13"/>
        <v>"C:\Program Files (x86)\AstroGrep\AstroGrep.exe" /spath="%USERPROFILE%\AppData\Local\Temp\OnboardLogs" /stypes="app*4045*20170102*"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106-02 --locoid 4045 --swversion DE.1.0.8.0 --startMP 204:232732 --initTime 2017-01-02T05:02:31 --startdatetime 2017-01-02T05:11:21 --delay 2 --endMP 204:99 --enddatetime 2017-01-02T05:51:11 --enforcementcount 0 &gt;&gt;C:\Users\stu\Documents\GitHub\eaglep3-reporting\EC\2017-01-02-refined-times.txt</v>
      </c>
      <c r="AI19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{"issue":{"subject":"","project_id":79,"tracker_id":40,"status_id":1,"priority_id":2,"assigned_to_id":23,"start_date":"2017-01-02","description":"","custom_fields":[{"id":1,"name":"Subdivision","value":"EC"},{"id":4,"name":"Milepost","value":"0.0099"},{"id":17,"name":"Train ID","value":"106-02"},{"id":16,"name":"Locomotive ID","value":"4045"},{"id":130,"name":"Impact","value":""},{"id":150,"name":"Time of Event (Mountain Time)","value":"05:51:11"},{"id":151,"name":"Denver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20"/>
        <v>start /low /b %USERPROFILE%\Documents\GitHub\eaglep3\Utilities\DownloadLogsFromS3.py --loco 4045 --day 2017-01-02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463</v>
      </c>
      <c r="B20" s="7">
        <v>4042</v>
      </c>
      <c r="C20" s="22" t="s">
        <v>203</v>
      </c>
      <c r="D20" s="22" t="s">
        <v>246</v>
      </c>
      <c r="E20" s="13">
        <v>42737.184039351851</v>
      </c>
      <c r="F20" s="13">
        <v>42737.187673611108</v>
      </c>
      <c r="G20" s="7">
        <v>2</v>
      </c>
      <c r="H20" s="22" t="s">
        <v>672</v>
      </c>
      <c r="I20" s="13">
        <v>42737.213784722226</v>
      </c>
      <c r="J20" s="7">
        <v>0</v>
      </c>
      <c r="K20" s="105" t="str">
        <f t="shared" si="0"/>
        <v>4041/4042</v>
      </c>
      <c r="L20" s="22" t="str">
        <f>VLOOKUP(A20,'Trips&amp;Operators'!$C$1:$G$99999,5,FALSE)</f>
        <v>COMELLA JUSTIN</v>
      </c>
      <c r="M20" s="6">
        <f t="shared" si="1"/>
        <v>2.6111111117643304E-2</v>
      </c>
      <c r="N20" s="7">
        <f t="shared" si="2"/>
        <v>37.600000009406358</v>
      </c>
      <c r="O20" s="7"/>
      <c r="P20" s="7"/>
      <c r="Q20" s="23"/>
      <c r="R20" s="23"/>
      <c r="S20" s="32">
        <f t="shared" si="3"/>
        <v>1</v>
      </c>
      <c r="T20" s="47" t="str">
        <f t="shared" si="4"/>
        <v>NorthBound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03:25:01-700',mode:absolute,to:'2017-01-02 06:07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4.53E-2</v>
      </c>
      <c r="Z20" s="64">
        <f t="shared" si="9"/>
        <v>23.326599999999999</v>
      </c>
      <c r="AA20" s="64">
        <f t="shared" si="10"/>
        <v>23.281299999999998</v>
      </c>
      <c r="AB20" s="61" t="e">
        <f>VLOOKUP(A20,Enforcements!$C$7:$K$19,8,0)</f>
        <v>#N/A</v>
      </c>
      <c r="AC20" s="57" t="e">
        <f>VLOOKUP(A20,Enforcements!$C$7:$E$19,3,0)</f>
        <v>#N/A</v>
      </c>
      <c r="AD20" s="58" t="str">
        <f t="shared" si="11"/>
        <v>0107-02</v>
      </c>
      <c r="AE20" s="87" t="str">
        <f t="shared" si="12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20" s="84" t="str">
        <f t="shared" si="13"/>
        <v>"C:\Program Files (x86)\AstroGrep\AstroGrep.exe" /spath="%USERPROFILE%\AppData\Local\Temp\OnboardLogs" /stypes="app*4042*20170102*" /stext=" 12:.+((SYSTEM_STATE.+slice.+state.+changed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107-02 --locoid 4042 --swversion DE.1.0.8.0 --startMP 204:453 --initTime 2017-01-02T04:25:01 --startdatetime 2017-01-02T04:30:15 --delay 2 --endMP 204:233266 --enddatetime 2017-01-02T05:07:51 --enforcementcount 0 &gt;&gt;C:\Users\stu\Documents\GitHub\eaglep3-reporting\EC\2017-01-02-refined-times.txt</v>
      </c>
      <c r="AI20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{"issue":{"subject":"","project_id":79,"tracker_id":40,"status_id":1,"priority_id":2,"assigned_to_id":23,"start_date":"2017-01-02","description":"","custom_fields":[{"id":1,"name":"Subdivision","value":"EC"},{"id":4,"name":"Milepost","value":"23.3266"},{"id":17,"name":"Train ID","value":"107-02"},{"id":16,"name":"Locomotive ID","value":"4042"},{"id":130,"name":"Impact","value":""},{"id":150,"name":"Time of Event (Mountain Time)","value":"05:07:51"},{"id":151,"name":"Denver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20"/>
        <v>start /low /b %USERPROFILE%\Documents\GitHub\eaglep3\Utilities\DownloadLogsFromS3.py --loco 4042 --day 2017-01-02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470</v>
      </c>
      <c r="B21" s="7">
        <v>4041</v>
      </c>
      <c r="C21" s="22" t="s">
        <v>203</v>
      </c>
      <c r="D21" s="22" t="s">
        <v>261</v>
      </c>
      <c r="E21" s="13">
        <v>42737.222314814811</v>
      </c>
      <c r="F21" s="13">
        <v>42737.2265625</v>
      </c>
      <c r="G21" s="7">
        <v>1</v>
      </c>
      <c r="H21" s="22" t="s">
        <v>299</v>
      </c>
      <c r="I21" s="13">
        <v>42737.253935185188</v>
      </c>
      <c r="J21" s="7">
        <v>0</v>
      </c>
      <c r="K21" s="105" t="str">
        <f t="shared" si="0"/>
        <v>4041/4042</v>
      </c>
      <c r="L21" s="22" t="str">
        <f>VLOOKUP(A21,'Trips&amp;Operators'!$C$1:$G$99999,5,FALSE)</f>
        <v>COMELLA JUSTIN</v>
      </c>
      <c r="M21" s="6">
        <f t="shared" si="1"/>
        <v>2.7372685188311152E-2</v>
      </c>
      <c r="N21" s="7">
        <f t="shared" si="2"/>
        <v>39.416666671168059</v>
      </c>
      <c r="O21" s="7"/>
      <c r="P21" s="7"/>
      <c r="Q21" s="23"/>
      <c r="R21" s="23"/>
      <c r="S21" s="32">
        <f t="shared" si="3"/>
        <v>1</v>
      </c>
      <c r="T21" s="47" t="str">
        <f t="shared" si="4"/>
        <v>Southbound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04:20:08-700',mode:absolute,to:'2017-01-02 07:05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23.2986</v>
      </c>
      <c r="Z21" s="64">
        <f t="shared" si="9"/>
        <v>1.5800000000000002E-2</v>
      </c>
      <c r="AA21" s="64">
        <f t="shared" si="10"/>
        <v>23.282800000000002</v>
      </c>
      <c r="AB21" s="61" t="e">
        <f>VLOOKUP(A21,Enforcements!$C$7:$K$19,8,0)</f>
        <v>#N/A</v>
      </c>
      <c r="AC21" s="57" t="e">
        <f>VLOOKUP(A21,Enforcements!$C$7:$E$19,3,0)</f>
        <v>#N/A</v>
      </c>
      <c r="AD21" s="58" t="str">
        <f t="shared" si="11"/>
        <v>0108-02</v>
      </c>
      <c r="AE21" s="87" t="str">
        <f t="shared" si="12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21" s="84" t="str">
        <f t="shared" si="13"/>
        <v>"C:\Program Files (x86)\AstroGrep\AstroGrep.exe" /spath="%USERPROFILE%\AppData\Local\Temp\OnboardLogs" /stypes="app*4041*20170102*" /stext=" 13:.+((SYSTEM_STATE.+slice.+state.+changed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108-02 --locoid 4041 --swversion DE.1.0.8.0 --startMP 204:232986 --initTime 2017-01-02T05:20:08 --startdatetime 2017-01-02T05:26:15 --delay 1 --endMP 204:158 --enddatetime 2017-01-02T06:05:40 --enforcementcount 0 &gt;&gt;C:\Users\stu\Documents\GitHub\eaglep3-reporting\EC\2017-01-02-refined-times.txt</v>
      </c>
      <c r="AI21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{"issue":{"subject":"","project_id":79,"tracker_id":40,"status_id":1,"priority_id":2,"assigned_to_id":23,"start_date":"2017-01-02","description":"","custom_fields":[{"id":1,"name":"Subdivision","value":"EC"},{"id":4,"name":"Milepost","value":"0.0158"},{"id":17,"name":"Train ID","value":"108-02"},{"id":16,"name":"Locomotive ID","value":"4041"},{"id":130,"name":"Impact","value":""},{"id":150,"name":"Time of Event (Mountain Time)","value":"06:05:40"},{"id":151,"name":"Denver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20"/>
        <v>start /low /b %USERPROFILE%\Documents\GitHub\eaglep3\Utilities\DownloadLogsFromS3.py --loco 4041 --day 2017-01-02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465</v>
      </c>
      <c r="B22" s="7">
        <v>4029</v>
      </c>
      <c r="C22" s="22" t="s">
        <v>203</v>
      </c>
      <c r="D22" s="22" t="s">
        <v>341</v>
      </c>
      <c r="E22" s="13">
        <v>42737.194155092591</v>
      </c>
      <c r="F22" s="13">
        <v>42737.198136574072</v>
      </c>
      <c r="G22" s="7">
        <v>1</v>
      </c>
      <c r="H22" s="22" t="s">
        <v>667</v>
      </c>
      <c r="I22" s="13">
        <v>42737.224768518521</v>
      </c>
      <c r="J22" s="7">
        <v>0</v>
      </c>
      <c r="K22" s="105" t="str">
        <f t="shared" si="0"/>
        <v>4029/4030</v>
      </c>
      <c r="L22" s="22" t="str">
        <f>VLOOKUP(A22,'Trips&amp;Operators'!$C$1:$G$99999,5,FALSE)</f>
        <v>SHOOK JOHN</v>
      </c>
      <c r="M22" s="6">
        <f t="shared" si="1"/>
        <v>2.6631944449036382E-2</v>
      </c>
      <c r="N22" s="7">
        <f t="shared" si="2"/>
        <v>38.35000000661239</v>
      </c>
      <c r="O22" s="7"/>
      <c r="P22" s="7"/>
      <c r="Q22" s="23"/>
      <c r="R22" s="23"/>
      <c r="S22" s="32">
        <f t="shared" si="3"/>
        <v>1</v>
      </c>
      <c r="T22" s="47" t="str">
        <f t="shared" si="4"/>
        <v>NorthBound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03:39:35-700',mode:absolute,to:'2017-01-02 06:23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4.7800000000000002E-2</v>
      </c>
      <c r="Z22" s="64">
        <f t="shared" si="9"/>
        <v>23.333600000000001</v>
      </c>
      <c r="AA22" s="64">
        <f t="shared" si="10"/>
        <v>23.285800000000002</v>
      </c>
      <c r="AB22" s="61" t="e">
        <f>VLOOKUP(A22,Enforcements!$C$7:$K$19,8,0)</f>
        <v>#N/A</v>
      </c>
      <c r="AC22" s="57" t="e">
        <f>VLOOKUP(A22,Enforcements!$C$7:$E$19,3,0)</f>
        <v>#N/A</v>
      </c>
      <c r="AD22" s="58" t="str">
        <f t="shared" si="11"/>
        <v>0109-02</v>
      </c>
      <c r="AE22" s="87" t="str">
        <f t="shared" si="12"/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AF22" s="84" t="str">
        <f t="shared" si="13"/>
        <v>"C:\Program Files (x86)\AstroGrep\AstroGrep.exe" /spath="%USERPROFILE%\AppData\Local\Temp\OnboardLogs" /stypes="app*4029*20170102*" /stext=" 12:.+((SYSTEM_STATE.+slice.+state.+changed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109-02 --locoid 4029 --swversion DE.1.0.8.0 --startMP 204:478 --initTime 2017-01-02T04:39:35 --startdatetime 2017-01-02T04:45:19 --delay 1 --endMP 204:233336 --enddatetime 2017-01-02T05:23:40 --enforcementcount 0 &gt;&gt;C:\Users\stu\Documents\GitHub\eaglep3-reporting\EC\2017-01-02-refined-times.txt</v>
      </c>
      <c r="AI22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{"issue":{"subject":"","project_id":79,"tracker_id":40,"status_id":1,"priority_id":2,"assigned_to_id":23,"start_date":"2017-01-02","description":"","custom_fields":[{"id":1,"name":"Subdivision","value":"EC"},{"id":4,"name":"Milepost","value":"23.3336"},{"id":17,"name":"Train ID","value":"109-02"},{"id":16,"name":"Locomotive ID","value":"4029"},{"id":130,"name":"Impact","value":""},{"id":150,"name":"Time of Event (Mountain Time)","value":"05:23:40"},{"id":151,"name":"Denver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20"/>
        <v>start /low /b %USERPROFILE%\Documents\GitHub\eaglep3\Utilities\DownloadLogsFromS3.py --loco 4029 --day 2017-01-02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472</v>
      </c>
      <c r="B23" s="7">
        <v>4030</v>
      </c>
      <c r="C23" s="22" t="s">
        <v>203</v>
      </c>
      <c r="D23" s="22" t="s">
        <v>343</v>
      </c>
      <c r="E23" s="13">
        <v>42737.227743055555</v>
      </c>
      <c r="F23" s="13">
        <v>42737.237013888887</v>
      </c>
      <c r="G23" s="7">
        <v>1</v>
      </c>
      <c r="H23" s="22" t="s">
        <v>315</v>
      </c>
      <c r="I23" s="13">
        <v>42737.265659722223</v>
      </c>
      <c r="J23" s="7">
        <v>0</v>
      </c>
      <c r="K23" s="105" t="str">
        <f t="shared" si="0"/>
        <v>4029/4030</v>
      </c>
      <c r="L23" s="22" t="str">
        <f>VLOOKUP(A23,'Trips&amp;Operators'!$C$1:$G$99999,5,FALSE)</f>
        <v>SHOOK JOHN</v>
      </c>
      <c r="M23" s="6">
        <f t="shared" si="1"/>
        <v>2.8645833335758653E-2</v>
      </c>
      <c r="N23" s="7">
        <f t="shared" si="2"/>
        <v>41.25000000349246</v>
      </c>
      <c r="O23" s="7"/>
      <c r="P23" s="7"/>
      <c r="Q23" s="23"/>
      <c r="R23" s="23"/>
      <c r="S23" s="32">
        <f t="shared" si="3"/>
        <v>1</v>
      </c>
      <c r="T23" s="47" t="str">
        <f t="shared" si="4"/>
        <v>Southbound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04:27:57-700',mode:absolute,to:'2017-01-02 07:22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23.301100000000002</v>
      </c>
      <c r="Z23" s="64">
        <f t="shared" si="9"/>
        <v>1.5599999999999999E-2</v>
      </c>
      <c r="AA23" s="64">
        <f t="shared" si="10"/>
        <v>23.285500000000003</v>
      </c>
      <c r="AB23" s="61" t="e">
        <f>VLOOKUP(A23,Enforcements!$C$7:$K$19,8,0)</f>
        <v>#N/A</v>
      </c>
      <c r="AC23" s="57" t="e">
        <f>VLOOKUP(A23,Enforcements!$C$7:$E$19,3,0)</f>
        <v>#N/A</v>
      </c>
      <c r="AD23" s="58" t="str">
        <f t="shared" si="11"/>
        <v>0110-02</v>
      </c>
      <c r="AE23" s="87" t="str">
        <f t="shared" si="12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23" s="84" t="str">
        <f t="shared" si="13"/>
        <v>"C:\Program Files (x86)\AstroGrep\AstroGrep.exe" /spath="%USERPROFILE%\AppData\Local\Temp\OnboardLogs" /stypes="app*4030*20170102*" /stext=" 13:.+((SYSTEM_STATE.+slice.+state.+changed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110-02 --locoid 4030 --swversion DE.1.0.8.0 --startMP 204:233011 --initTime 2017-01-02T05:27:57 --startdatetime 2017-01-02T05:41:18 --delay 1 --endMP 204:156 --enddatetime 2017-01-02T06:22:33 --enforcementcount 0 &gt;&gt;C:\Users\stu\Documents\GitHub\eaglep3-reporting\EC\2017-01-02-refined-times.txt</v>
      </c>
      <c r="AI23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{"issue":{"subject":"","project_id":79,"tracker_id":40,"status_id":1,"priority_id":2,"assigned_to_id":23,"start_date":"2017-01-02","description":"","custom_fields":[{"id":1,"name":"Subdivision","value":"EC"},{"id":4,"name":"Milepost","value":"0.0156"},{"id":17,"name":"Train ID","value":"110-02"},{"id":16,"name":"Locomotive ID","value":"4030"},{"id":130,"name":"Impact","value":""},{"id":150,"name":"Time of Event (Mountain Time)","value":"06:22:33"},{"id":151,"name":"Denver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20"/>
        <v>start /low /b %USERPROFILE%\Documents\GitHub\eaglep3\Utilities\DownloadLogsFromS3.py --loco 4030 --day 2017-01-02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466</v>
      </c>
      <c r="B24" s="7">
        <v>4016</v>
      </c>
      <c r="C24" s="22" t="s">
        <v>203</v>
      </c>
      <c r="D24" s="22" t="s">
        <v>673</v>
      </c>
      <c r="E24" s="13">
        <v>42737.206932870373</v>
      </c>
      <c r="F24" s="13">
        <v>42737.208553240744</v>
      </c>
      <c r="G24" s="7">
        <v>1</v>
      </c>
      <c r="H24" s="22" t="s">
        <v>260</v>
      </c>
      <c r="I24" s="13">
        <v>42737.232719907406</v>
      </c>
      <c r="J24" s="7">
        <v>0</v>
      </c>
      <c r="K24" s="105" t="str">
        <f t="shared" si="0"/>
        <v>4015/4016</v>
      </c>
      <c r="L24" s="22" t="str">
        <f>VLOOKUP(A24,'Trips&amp;Operators'!$C$1:$G$99999,5,FALSE)</f>
        <v>SIMMONS SHYHESHA</v>
      </c>
      <c r="M24" s="6">
        <f t="shared" si="1"/>
        <v>2.4166666662495118E-2</v>
      </c>
      <c r="N24" s="7">
        <f t="shared" si="2"/>
        <v>34.799999993992969</v>
      </c>
      <c r="O24" s="7"/>
      <c r="P24" s="7"/>
      <c r="Q24" s="23"/>
      <c r="R24" s="23"/>
      <c r="S24" s="32">
        <f t="shared" si="3"/>
        <v>1</v>
      </c>
      <c r="T24" s="47" t="str">
        <f t="shared" si="4"/>
        <v>NorthBound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03:57:59-700',mode:absolute,to:'2017-01-02 06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4" s="49" t="str">
        <f t="shared" si="6"/>
        <v>N</v>
      </c>
      <c r="X24" s="173">
        <f t="shared" si="7"/>
        <v>1</v>
      </c>
      <c r="Y24" s="64">
        <f t="shared" si="8"/>
        <v>7.8799999999999995E-2</v>
      </c>
      <c r="Z24" s="64">
        <f t="shared" si="9"/>
        <v>23.328900000000001</v>
      </c>
      <c r="AA24" s="64">
        <f t="shared" si="10"/>
        <v>23.2501</v>
      </c>
      <c r="AB24" s="61" t="e">
        <f>VLOOKUP(A24,Enforcements!$C$7:$K$19,8,0)</f>
        <v>#N/A</v>
      </c>
      <c r="AC24" s="57" t="e">
        <f>VLOOKUP(A24,Enforcements!$C$7:$E$19,3,0)</f>
        <v>#N/A</v>
      </c>
      <c r="AD24" s="58" t="str">
        <f t="shared" si="11"/>
        <v>0111-02</v>
      </c>
      <c r="AE24" s="87" t="str">
        <f t="shared" si="12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24" s="84" t="str">
        <f t="shared" si="13"/>
        <v>"C:\Program Files (x86)\AstroGrep\AstroGrep.exe" /spath="%USERPROFILE%\AppData\Local\Temp\OnboardLogs" /stypes="app*4016*20170102*" /stext=" 12:.+((SYSTEM_STATE.+slice.+state.+changed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111-02 --locoid 4016 --swversion DE.1.0.8.0 --startMP 204:788 --initTime 2017-01-02T04:57:59 --startdatetime 2017-01-02T05:00:19 --delay 1 --endMP 204:233289 --enddatetime 2017-01-02T05:35:07 --enforcementcount 0 &gt;&gt;C:\Users\stu\Documents\GitHub\eaglep3-reporting\EC\2017-01-02-refined-times.txt</v>
      </c>
      <c r="AI24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{"issue":{"subject":"","project_id":79,"tracker_id":40,"status_id":1,"priority_id":2,"assigned_to_id":23,"start_date":"2017-01-02","description":"","custom_fields":[{"id":1,"name":"Subdivision","value":"EC"},{"id":4,"name":"Milepost","value":"23.3289"},{"id":17,"name":"Train ID","value":"111-02"},{"id":16,"name":"Locomotive ID","value":"4016"},{"id":130,"name":"Impact","value":""},{"id":150,"name":"Time of Event (Mountain Time)","value":"05:35:07"},{"id":151,"name":"Denver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20"/>
        <v>start /low /b %USERPROFILE%\Documents\GitHub\eaglep3\Utilities\DownloadLogsFromS3.py --loco 4016 --day 2017-01-02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475</v>
      </c>
      <c r="B25" s="7">
        <v>4015</v>
      </c>
      <c r="C25" s="22" t="s">
        <v>203</v>
      </c>
      <c r="D25" s="22" t="s">
        <v>311</v>
      </c>
      <c r="E25" s="13">
        <v>42737.23574074074</v>
      </c>
      <c r="F25" s="13">
        <v>42737.247407407405</v>
      </c>
      <c r="G25" s="7">
        <v>1</v>
      </c>
      <c r="H25" s="22" t="s">
        <v>674</v>
      </c>
      <c r="I25" s="13">
        <v>42737.273831018516</v>
      </c>
      <c r="J25" s="7">
        <v>0</v>
      </c>
      <c r="K25" s="105" t="str">
        <f t="shared" si="0"/>
        <v>4015/4016</v>
      </c>
      <c r="L25" s="22" t="str">
        <f>VLOOKUP(A25,'Trips&amp;Operators'!$C$1:$G$99999,5,FALSE)</f>
        <v>SIMMONS SHYHESHA</v>
      </c>
      <c r="M25" s="6">
        <f t="shared" si="1"/>
        <v>2.6423611110658385E-2</v>
      </c>
      <c r="N25" s="7">
        <f t="shared" si="2"/>
        <v>38.049999999348074</v>
      </c>
      <c r="O25" s="7"/>
      <c r="P25" s="7"/>
      <c r="Q25" s="23"/>
      <c r="R25" s="23"/>
      <c r="S25" s="32">
        <f t="shared" si="3"/>
        <v>1</v>
      </c>
      <c r="T25" s="47" t="str">
        <f t="shared" si="4"/>
        <v>Southbound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04:39:28-700',mode:absolute,to:'2017-01-02 07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5" s="49" t="str">
        <f t="shared" si="6"/>
        <v>N</v>
      </c>
      <c r="X25" s="173">
        <f t="shared" si="7"/>
        <v>1</v>
      </c>
      <c r="Y25" s="64">
        <f t="shared" si="8"/>
        <v>23.2971</v>
      </c>
      <c r="Z25" s="64">
        <f t="shared" si="9"/>
        <v>1.7000000000000001E-2</v>
      </c>
      <c r="AA25" s="64">
        <f t="shared" si="10"/>
        <v>23.280100000000001</v>
      </c>
      <c r="AB25" s="61" t="e">
        <f>VLOOKUP(A25,Enforcements!$C$7:$K$19,8,0)</f>
        <v>#N/A</v>
      </c>
      <c r="AC25" s="57" t="e">
        <f>VLOOKUP(A25,Enforcements!$C$7:$E$19,3,0)</f>
        <v>#N/A</v>
      </c>
      <c r="AD25" s="58" t="str">
        <f t="shared" si="11"/>
        <v>0112-02</v>
      </c>
      <c r="AE25" s="87" t="str">
        <f t="shared" si="12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25" s="84" t="str">
        <f t="shared" si="13"/>
        <v>"C:\Program Files (x86)\AstroGrep\AstroGrep.exe" /spath="%USERPROFILE%\AppData\Local\Temp\OnboardLogs" /stypes="app*4015*20170102*" /stext=" 13:.+((SYSTEM_STATE.+slice.+state.+changed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112-02 --locoid 4015 --swversion DE.1.0.8.0 --startMP 204:232971 --initTime 2017-01-02T05:39:28 --startdatetime 2017-01-02T05:56:16 --delay 1 --endMP 204:170 --enddatetime 2017-01-02T06:34:19 --enforcementcount 0 &gt;&gt;C:\Users\stu\Documents\GitHub\eaglep3-reporting\EC\2017-01-02-refined-times.txt</v>
      </c>
      <c r="AI25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{"issue":{"subject":"","project_id":79,"tracker_id":40,"status_id":1,"priority_id":2,"assigned_to_id":23,"start_date":"2017-01-02","description":"","custom_fields":[{"id":1,"name":"Subdivision","value":"EC"},{"id":4,"name":"Milepost","value":"0.017"},{"id":17,"name":"Train ID","value":"112-02"},{"id":16,"name":"Locomotive ID","value":"4015"},{"id":130,"name":"Impact","value":""},{"id":150,"name":"Time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20"/>
        <v>start /low /b %USERPROFILE%\Documents\GitHub\eaglep3\Utilities\DownloadLogsFromS3.py --loco 4015 --day 2017-01-02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469</v>
      </c>
      <c r="B26" s="7">
        <v>4031</v>
      </c>
      <c r="C26" s="22" t="s">
        <v>203</v>
      </c>
      <c r="D26" s="22" t="s">
        <v>675</v>
      </c>
      <c r="E26" s="13">
        <v>42737.212893518517</v>
      </c>
      <c r="F26" s="13">
        <v>42737.219004629631</v>
      </c>
      <c r="G26" s="7">
        <v>1</v>
      </c>
      <c r="H26" s="22" t="s">
        <v>338</v>
      </c>
      <c r="I26" s="13">
        <v>42737.244884259257</v>
      </c>
      <c r="J26" s="7">
        <v>0</v>
      </c>
      <c r="K26" s="105" t="str">
        <f t="shared" si="0"/>
        <v>4031/4032</v>
      </c>
      <c r="L26" s="22" t="str">
        <f>VLOOKUP(A26,'Trips&amp;Operators'!$C$1:$G$99999,5,FALSE)</f>
        <v>OUN ZACK</v>
      </c>
      <c r="M26" s="6">
        <f t="shared" si="1"/>
        <v>2.5879629625706002E-2</v>
      </c>
      <c r="N26" s="7">
        <f t="shared" si="2"/>
        <v>37.266666661016643</v>
      </c>
      <c r="O26" s="7"/>
      <c r="P26" s="7"/>
      <c r="Q26" s="23"/>
      <c r="R26" s="23"/>
      <c r="S26" s="32">
        <f t="shared" si="3"/>
        <v>1</v>
      </c>
      <c r="T26" s="47" t="str">
        <f t="shared" si="4"/>
        <v>NorthBound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04:06:34-700',mode:absolute,to:'2017-01-02 06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6" s="49" t="str">
        <f t="shared" si="6"/>
        <v>N</v>
      </c>
      <c r="X26" s="173">
        <f t="shared" si="7"/>
        <v>1</v>
      </c>
      <c r="Y26" s="64">
        <f t="shared" si="8"/>
        <v>4.1799999999999997E-2</v>
      </c>
      <c r="Z26" s="64">
        <f t="shared" si="9"/>
        <v>23.331</v>
      </c>
      <c r="AA26" s="64">
        <f t="shared" si="10"/>
        <v>23.289200000000001</v>
      </c>
      <c r="AB26" s="61" t="e">
        <f>VLOOKUP(A26,Enforcements!$C$7:$K$19,8,0)</f>
        <v>#N/A</v>
      </c>
      <c r="AC26" s="57" t="e">
        <f>VLOOKUP(A26,Enforcements!$C$7:$E$19,3,0)</f>
        <v>#N/A</v>
      </c>
      <c r="AD26" s="58" t="str">
        <f t="shared" si="11"/>
        <v>0113-02</v>
      </c>
      <c r="AE26" s="87" t="str">
        <f t="shared" si="12"/>
        <v>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 &amp; 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</v>
      </c>
      <c r="AF26" s="84" t="str">
        <f t="shared" si="13"/>
        <v>"C:\Program Files (x86)\AstroGrep\AstroGrep.exe" /spath="%USERPROFILE%\AppData\Local\Temp\OnboardLogs" /stypes="app*4031*20170102*" /stext=" 12:.+((SYSTEM_STATE.+slice.+state.+changed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113-02 --locoid 4031 --swversion DE.1.0.8.0 --startMP 204:418 --initTime 2017-01-02T05:06:34 --startdatetime 2017-01-02T05:15:22 --delay 1 --endMP 204:233310 --enddatetime 2017-01-02T05:52:38 --enforcementcount 0 &gt;&gt;C:\Users\stu\Documents\GitHub\eaglep3-reporting\EC\2017-01-02-refined-times.txt</v>
      </c>
      <c r="AI26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{"issue":{"subject":"","project_id":79,"tracker_id":40,"status_id":1,"priority_id":2,"assigned_to_id":23,"start_date":"2017-01-02","description":"","custom_fields":[{"id":1,"name":"Subdivision","value":"EC"},{"id":4,"name":"Milepost","value":"23.331"},{"id":17,"name":"Train ID","value":"113-02"},{"id":16,"name":"Locomotive ID","value":"4031"},{"id":130,"name":"Impact","value":""},{"id":150,"name":"Time of Event (Mountain Time)","value":"05:52:38"},{"id":151,"name":"Denver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20"/>
        <v>start /low /b %USERPROFILE%\Documents\GitHub\eaglep3\Utilities\DownloadLogsFromS3.py --loco 4031 --day 2017-01-02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480</v>
      </c>
      <c r="B27" s="7">
        <v>4032</v>
      </c>
      <c r="C27" s="22" t="s">
        <v>203</v>
      </c>
      <c r="D27" s="22" t="s">
        <v>300</v>
      </c>
      <c r="E27" s="13">
        <v>42737.252847222226</v>
      </c>
      <c r="F27" s="13">
        <v>42737.257881944446</v>
      </c>
      <c r="G27" s="7">
        <v>1</v>
      </c>
      <c r="H27" s="22" t="s">
        <v>303</v>
      </c>
      <c r="I27" s="13">
        <v>42737.285173611112</v>
      </c>
      <c r="J27" s="7">
        <v>0</v>
      </c>
      <c r="K27" s="105" t="str">
        <f t="shared" si="0"/>
        <v>4031/4032</v>
      </c>
      <c r="L27" s="22" t="str">
        <f>VLOOKUP(A27,'Trips&amp;Operators'!$C$1:$G$99999,5,FALSE)</f>
        <v>OUN ZACK</v>
      </c>
      <c r="M27" s="6">
        <f t="shared" si="1"/>
        <v>2.7291666665405501E-2</v>
      </c>
      <c r="N27" s="7">
        <f t="shared" si="2"/>
        <v>39.299999998183921</v>
      </c>
      <c r="O27" s="7"/>
      <c r="P27" s="7"/>
      <c r="Q27" s="23"/>
      <c r="R27" s="23"/>
      <c r="S27" s="32">
        <f t="shared" si="3"/>
        <v>1</v>
      </c>
      <c r="T27" s="47" t="str">
        <f t="shared" si="4"/>
        <v>Southbound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05:04:06-700',mode:absolute,to:'2017-01-02 07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7" s="49" t="str">
        <f t="shared" si="6"/>
        <v>N</v>
      </c>
      <c r="X27" s="173">
        <f t="shared" si="7"/>
        <v>1</v>
      </c>
      <c r="Y27" s="64">
        <f t="shared" si="8"/>
        <v>23.299800000000001</v>
      </c>
      <c r="Z27" s="64">
        <f t="shared" si="9"/>
        <v>1.41E-2</v>
      </c>
      <c r="AA27" s="64">
        <f t="shared" si="10"/>
        <v>23.285700000000002</v>
      </c>
      <c r="AB27" s="61" t="e">
        <f>VLOOKUP(A27,Enforcements!$C$7:$K$19,8,0)</f>
        <v>#N/A</v>
      </c>
      <c r="AC27" s="57" t="e">
        <f>VLOOKUP(A27,Enforcements!$C$7:$E$19,3,0)</f>
        <v>#N/A</v>
      </c>
      <c r="AD27" s="58" t="str">
        <f t="shared" si="11"/>
        <v>0114-02</v>
      </c>
      <c r="AE27" s="87" t="str">
        <f t="shared" si="12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27" s="84" t="str">
        <f t="shared" si="13"/>
        <v>"C:\Program Files (x86)\AstroGrep\AstroGrep.exe" /spath="%USERPROFILE%\AppData\Local\Temp\OnboardLogs" /stypes="app*4032*20170102*"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114-02 --locoid 4032 --swversion DE.1.0.8.0 --startMP 204:232998 --initTime 2017-01-02T06:04:06 --startdatetime 2017-01-02T06:11:21 --delay 1 --endMP 204:141 --enddatetime 2017-01-02T06:50:39 --enforcementcount 0 &gt;&gt;C:\Users\stu\Documents\GitHub\eaglep3-reporting\EC\2017-01-02-refined-times.txt</v>
      </c>
      <c r="AI27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{"issue":{"subject":"","project_id":79,"tracker_id":40,"status_id":1,"priority_id":2,"assigned_to_id":23,"start_date":"2017-01-02","description":"","custom_fields":[{"id":1,"name":"Subdivision","value":"EC"},{"id":4,"name":"Milepost","value":"0.0141"},{"id":17,"name":"Train ID","value":"114-02"},{"id":16,"name":"Locomotive ID","value":"4032"},{"id":130,"name":"Impact","value":""},{"id":150,"name":"Time of Event (Mountain Time)","value":"06:50:39"},{"id":151,"name":"Denver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20"/>
        <v>start /low /b %USERPROFILE%\Documents\GitHub\eaglep3\Utilities\DownloadLogsFromS3.py --loco 4032 --day 2017-01-02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471</v>
      </c>
      <c r="B28" s="7">
        <v>4011</v>
      </c>
      <c r="C28" s="22" t="s">
        <v>203</v>
      </c>
      <c r="D28" s="22" t="s">
        <v>676</v>
      </c>
      <c r="E28" s="13">
        <v>42737.227025462962</v>
      </c>
      <c r="F28" s="13">
        <v>42737.229363425926</v>
      </c>
      <c r="G28" s="7">
        <v>1</v>
      </c>
      <c r="H28" s="22" t="s">
        <v>289</v>
      </c>
      <c r="I28" s="13">
        <v>42737.254293981481</v>
      </c>
      <c r="J28" s="7">
        <v>0</v>
      </c>
      <c r="K28" s="105" t="str">
        <f t="shared" si="0"/>
        <v>4011/4012</v>
      </c>
      <c r="L28" s="22" t="str">
        <f>VLOOKUP(A28,'Trips&amp;Operators'!$C$1:$G$99999,5,FALSE)</f>
        <v>ROBINSON KADDIBA</v>
      </c>
      <c r="M28" s="6">
        <f t="shared" si="1"/>
        <v>2.4930555555329192E-2</v>
      </c>
      <c r="N28" s="7">
        <f t="shared" si="2"/>
        <v>35.899999999674037</v>
      </c>
      <c r="O28" s="7"/>
      <c r="P28" s="7"/>
      <c r="Q28" s="23"/>
      <c r="R28" s="23"/>
      <c r="S28" s="32">
        <f t="shared" si="3"/>
        <v>1</v>
      </c>
      <c r="T28" s="47" t="str">
        <f t="shared" si="4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04:26:55-700',mode:absolute,to:'2017-01-02 07:06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8" s="49" t="str">
        <f t="shared" si="6"/>
        <v>N</v>
      </c>
      <c r="X28" s="173">
        <f t="shared" si="7"/>
        <v>1</v>
      </c>
      <c r="Y28" s="64">
        <f t="shared" si="8"/>
        <v>7.8299999999999995E-2</v>
      </c>
      <c r="Z28" s="64">
        <f t="shared" si="9"/>
        <v>23.331199999999999</v>
      </c>
      <c r="AA28" s="64">
        <f t="shared" si="10"/>
        <v>23.2529</v>
      </c>
      <c r="AB28" s="61" t="e">
        <f>VLOOKUP(A28,Enforcements!$C$7:$K$19,8,0)</f>
        <v>#N/A</v>
      </c>
      <c r="AC28" s="57" t="e">
        <f>VLOOKUP(A28,Enforcements!$C$7:$E$19,3,0)</f>
        <v>#N/A</v>
      </c>
      <c r="AD28" s="58" t="str">
        <f t="shared" si="11"/>
        <v>0115-02</v>
      </c>
      <c r="AE28" s="87" t="str">
        <f t="shared" si="12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28" s="84" t="str">
        <f t="shared" si="13"/>
        <v>"C:\Program Files (x86)\AstroGrep\AstroGrep.exe" /spath="%USERPROFILE%\AppData\Local\Temp\OnboardLogs" /stypes="app*4011*20170102*"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115-02 --locoid 4011 --swversion DE.1.0.8.0 --startMP 204:783 --initTime 2017-01-02T05:26:55 --startdatetime 2017-01-02T05:30:17 --delay 1 --endMP 204:233312 --enddatetime 2017-01-02T06:06:11 --enforcementcount 0 &gt;&gt;C:\Users\stu\Documents\GitHub\eaglep3-reporting\EC\2017-01-02-refined-times.txt</v>
      </c>
      <c r="AI28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{"issue":{"subject":"","project_id":79,"tracker_id":40,"status_id":1,"priority_id":2,"assigned_to_id":23,"start_date":"2017-01-02","description":"","custom_fields":[{"id":1,"name":"Subdivision","value":"EC"},{"id":4,"name":"Milepost","value":"23.3312"},{"id":17,"name":"Train ID","value":"115-02"},{"id":16,"name":"Locomotive ID","value":"4011"},{"id":130,"name":"Impact","value":""},{"id":150,"name":"Time of Event (Mountain Time)","value":"06:06:11"},{"id":151,"name":"Denver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20"/>
        <v>start /low /b %USERPROFILE%\Documents\GitHub\eaglep3\Utilities\DownloadLogsFromS3.py --loco 4011 --day 2017-01-02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483</v>
      </c>
      <c r="B29" s="7">
        <v>4012</v>
      </c>
      <c r="C29" s="22" t="s">
        <v>203</v>
      </c>
      <c r="D29" s="22" t="s">
        <v>410</v>
      </c>
      <c r="E29" s="13">
        <v>42737.261319444442</v>
      </c>
      <c r="F29" s="13">
        <v>42737.26835648148</v>
      </c>
      <c r="G29" s="7">
        <v>1</v>
      </c>
      <c r="H29" s="22" t="s">
        <v>209</v>
      </c>
      <c r="I29" s="13">
        <v>42737.295277777775</v>
      </c>
      <c r="J29" s="7">
        <v>0</v>
      </c>
      <c r="K29" s="105" t="str">
        <f t="shared" si="0"/>
        <v>4011/4012</v>
      </c>
      <c r="L29" s="22" t="str">
        <f>VLOOKUP(A29,'Trips&amp;Operators'!$C$1:$G$99999,5,FALSE)</f>
        <v>ROBINSON KADDIBA</v>
      </c>
      <c r="M29" s="6">
        <f t="shared" si="1"/>
        <v>2.6921296295768116E-2</v>
      </c>
      <c r="N29" s="7">
        <f t="shared" si="2"/>
        <v>38.766666665906087</v>
      </c>
      <c r="O29" s="7"/>
      <c r="P29" s="7"/>
      <c r="Q29" s="23"/>
      <c r="R29" s="23"/>
      <c r="S29" s="32">
        <f t="shared" si="3"/>
        <v>1</v>
      </c>
      <c r="T29" s="47" t="str">
        <f t="shared" si="4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05:16:18-700',mode:absolute,to:'2017-01-02 08:05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9" s="49" t="str">
        <f t="shared" si="6"/>
        <v>N</v>
      </c>
      <c r="X29" s="173">
        <f t="shared" si="7"/>
        <v>1</v>
      </c>
      <c r="Y29" s="64">
        <f t="shared" si="8"/>
        <v>23.298999999999999</v>
      </c>
      <c r="Z29" s="64">
        <f t="shared" si="9"/>
        <v>1.4999999999999999E-2</v>
      </c>
      <c r="AA29" s="64">
        <f t="shared" si="10"/>
        <v>23.283999999999999</v>
      </c>
      <c r="AB29" s="61" t="e">
        <f>VLOOKUP(A29,Enforcements!$C$7:$K$19,8,0)</f>
        <v>#N/A</v>
      </c>
      <c r="AC29" s="57" t="e">
        <f>VLOOKUP(A29,Enforcements!$C$7:$E$19,3,0)</f>
        <v>#N/A</v>
      </c>
      <c r="AD29" s="58" t="str">
        <f t="shared" si="11"/>
        <v>0116-02</v>
      </c>
      <c r="AE29" s="87" t="str">
        <f t="shared" si="12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29" s="84" t="str">
        <f t="shared" si="13"/>
        <v>"C:\Program Files (x86)\AstroGrep\AstroGrep.exe" /spath="%USERPROFILE%\AppData\Local\Temp\OnboardLogs" /stypes="app*4012*20170102*"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116-02 --locoid 4012 --swversion DE.1.0.8.0 --startMP 204:232990 --initTime 2017-01-02T06:16:18 --startdatetime 2017-01-02T06:26:26 --delay 1 --endMP 204:150 --enddatetime 2017-01-02T07:05:12 --enforcementcount 0 &gt;&gt;C:\Users\stu\Documents\GitHub\eaglep3-reporting\EC\2017-01-02-refined-times.txt</v>
      </c>
      <c r="AI29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{"issue":{"subject":"","project_id":79,"tracker_id":40,"status_id":1,"priority_id":2,"assigned_to_id":23,"start_date":"2017-01-02","description":"","custom_fields":[{"id":1,"name":"Subdivision","value":"EC"},{"id":4,"name":"Milepost","value":"0.015"},{"id":17,"name":"Train ID","value":"116-02"},{"id":16,"name":"Locomotive ID","value":"4012"},{"id":130,"name":"Impact","value":""},{"id":150,"name":"Time of Event (Mountain Time)","value":"07:05:12"},{"id":151,"name":"Denver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20"/>
        <v>start /low /b %USERPROFILE%\Documents\GitHub\eaglep3\Utilities\DownloadLogsFromS3.py --loco 4012 --day 2017-01-02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473</v>
      </c>
      <c r="B30" s="7">
        <v>4020</v>
      </c>
      <c r="C30" s="22" t="s">
        <v>203</v>
      </c>
      <c r="D30" s="22" t="s">
        <v>677</v>
      </c>
      <c r="E30" s="13">
        <v>42737.235300925924</v>
      </c>
      <c r="F30" s="13">
        <v>42737.239872685182</v>
      </c>
      <c r="G30" s="7">
        <v>1</v>
      </c>
      <c r="H30" s="22" t="s">
        <v>369</v>
      </c>
      <c r="I30" s="13">
        <v>42737.265810185185</v>
      </c>
      <c r="J30" s="7">
        <v>0</v>
      </c>
      <c r="K30" s="105" t="str">
        <f t="shared" si="0"/>
        <v>4019/4020</v>
      </c>
      <c r="L30" s="22" t="str">
        <f>VLOOKUP(A30,'Trips&amp;Operators'!$C$1:$G$99999,5,FALSE)</f>
        <v>MAELZER KURT</v>
      </c>
      <c r="M30" s="6">
        <f t="shared" si="1"/>
        <v>2.5937500002328306E-2</v>
      </c>
      <c r="N30" s="7">
        <f t="shared" si="2"/>
        <v>37.350000003352761</v>
      </c>
      <c r="O30" s="7"/>
      <c r="P30" s="7"/>
      <c r="Q30" s="23"/>
      <c r="R30" s="23"/>
      <c r="S30" s="32">
        <f t="shared" si="3"/>
        <v>1</v>
      </c>
      <c r="T30" s="47" t="str">
        <f t="shared" si="4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04:38:50-700',mode:absolute,to:'2017-01-02 07:22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0" s="49" t="str">
        <f t="shared" si="6"/>
        <v>N</v>
      </c>
      <c r="X30" s="173">
        <f t="shared" si="7"/>
        <v>1</v>
      </c>
      <c r="Y30" s="64">
        <f t="shared" si="8"/>
        <v>4.3299999999999998E-2</v>
      </c>
      <c r="Z30" s="64">
        <f t="shared" si="9"/>
        <v>23.331900000000001</v>
      </c>
      <c r="AA30" s="64">
        <f t="shared" si="10"/>
        <v>23.288600000000002</v>
      </c>
      <c r="AB30" s="61" t="e">
        <f>VLOOKUP(A30,Enforcements!$C$7:$K$19,8,0)</f>
        <v>#N/A</v>
      </c>
      <c r="AC30" s="57" t="e">
        <f>VLOOKUP(A30,Enforcements!$C$7:$E$19,3,0)</f>
        <v>#N/A</v>
      </c>
      <c r="AD30" s="58" t="str">
        <f t="shared" si="11"/>
        <v>0117-02</v>
      </c>
      <c r="AE30" s="87" t="str">
        <f t="shared" si="12"/>
        <v>aws s3 cp s3://rtdc.mdm.uploadarchive.raw/RTDC4020/ "%USERPROFILE%\AppData\Local\Temp\OnboardLogs"\RTDC4020\2017-01-02 --exclude "*" --recursive --include "*20170102*" &amp; "%USERPROFILE%\Documents\GitHub\mrs-test-scripts\Headless Mode &amp; Sideloading\WalkAndUnGZ.bat" "%USERPROFILE%\AppData\Local\Temp\OnboardLogs"\RTDC4020\2017-01-02 &amp; 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</v>
      </c>
      <c r="AF30" s="84" t="str">
        <f t="shared" si="13"/>
        <v>"C:\Program Files (x86)\AstroGrep\AstroGrep.exe" /spath="%USERPROFILE%\AppData\Local\Temp\OnboardLogs" /stypes="app*4020*20170102*"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117-02 --locoid 4020 --swversion DE.1.0.8.0 --startMP 204:433 --initTime 2017-01-02T05:38:50 --startdatetime 2017-01-02T05:45:25 --delay 1 --endMP 204:233319 --enddatetime 2017-01-02T06:22:46 --enforcementcount 0 &gt;&gt;C:\Users\stu\Documents\GitHub\eaglep3-reporting\EC\2017-01-02-refined-times.txt</v>
      </c>
      <c r="AI30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{"issue":{"subject":"","project_id":79,"tracker_id":40,"status_id":1,"priority_id":2,"assigned_to_id":23,"start_date":"2017-01-02","description":"","custom_fields":[{"id":1,"name":"Subdivision","value":"EC"},{"id":4,"name":"Milepost","value":"23.3319"},{"id":17,"name":"Train ID","value":"117-02"},{"id":16,"name":"Locomotive ID","value":"4020"},{"id":130,"name":"Impact","value":""},{"id":150,"name":"Time of Event (Mountain Time)","value":"06:22:46"},{"id":151,"name":"Denver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20"/>
        <v>start /low /b %USERPROFILE%\Documents\GitHub\eaglep3\Utilities\DownloadLogsFromS3.py --loco 4020 --day 2017-01-02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821</v>
      </c>
      <c r="B31" s="7">
        <v>4019</v>
      </c>
      <c r="C31" s="22" t="s">
        <v>203</v>
      </c>
      <c r="D31" s="22" t="s">
        <v>677</v>
      </c>
      <c r="E31" s="13">
        <v>42737.235300925924</v>
      </c>
      <c r="F31" s="13">
        <v>42737.273611111108</v>
      </c>
      <c r="G31" s="7">
        <v>1</v>
      </c>
      <c r="H31" s="22" t="s">
        <v>369</v>
      </c>
      <c r="I31" s="13">
        <v>42737.274305555555</v>
      </c>
      <c r="J31" s="7">
        <v>0</v>
      </c>
      <c r="K31" s="105" t="str">
        <f t="shared" ref="K31" si="21">IF(ISEVEN(B31),(B31-1)&amp;"/"&amp;B31,B31&amp;"/"&amp;(B31+1))</f>
        <v>4019/4020</v>
      </c>
      <c r="L31" s="22" t="e">
        <f>VLOOKUP(A31,'Trips&amp;Operators'!$C$1:$G$99999,5,FALSE)</f>
        <v>#N/A</v>
      </c>
      <c r="M31" s="6">
        <f t="shared" ref="M31" si="22">I31-F31</f>
        <v>6.944444467080757E-4</v>
      </c>
      <c r="N31" s="7"/>
      <c r="O31" s="7"/>
      <c r="P31" s="7">
        <f t="shared" si="2"/>
        <v>1.000000003259629</v>
      </c>
      <c r="Q31" s="23"/>
      <c r="R31" s="23" t="s">
        <v>822</v>
      </c>
      <c r="S31" s="32">
        <f t="shared" ref="S31" si="23">SUM(U31:U31)/IF(AG31="EC",12,1)</f>
        <v>0</v>
      </c>
      <c r="T31" s="47" t="str">
        <f t="shared" ref="T31" si="24">IF(ISEVEN(LEFT(AD31,4)),"Southbound","NorthBound")</f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0</v>
      </c>
      <c r="V31" s="94" t="str">
        <f t="shared" ref="V31" si="25">"https://search-rtdc-monitor-bjffxe2xuh6vdkpspy63sjmuny.us-east-1.es.amazonaws.com/_plugin/kibana/#/discover/Steve-Slow-Train-Analysis-(2080s-and-2083s)?_g=(refreshInterval:(display:Off,section:0,value:0),time:(from:'"&amp;TEXT(E31-1/24,"yyyy-MM-DD hh:mm:ss")&amp;utc_offset&amp;"00',mode:absolute,to:'"&amp;TEXT(I31+1/24,"yyyy-MM-DD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https://search-rtdc-monitor-bjffxe2xuh6vdkpspy63sjmuny.us-east-1.es.amazonaws.com/_plugin/kibana/#/discover/Steve-Slow-Train-Analysis-(2080s-and-2083s)?_g=(refreshInterval:(display:Off,section:0,value:0),time:(from:'2017-01-02 04:38:50-700',mode:absolute,to:'2017-01-02 07:35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1" s="49" t="str">
        <f t="shared" ref="W31" si="26">IF(AA31&lt;IF(AG31="EC",23,5.65),"Y","N")</f>
        <v>N</v>
      </c>
      <c r="X31" s="173">
        <f t="shared" ref="X31:X32" si="27">VALUE(LEFT(AD31,4))-VALUE(LEFT(AD30,4))</f>
        <v>1</v>
      </c>
      <c r="Y31" s="64">
        <f t="shared" ref="Y31" si="28">RIGHT(D31,LEN(D31)-4)/10000</f>
        <v>4.3299999999999998E-2</v>
      </c>
      <c r="Z31" s="64">
        <f t="shared" ref="Z31" si="29">RIGHT(H31,LEN(H31)-4)/10000</f>
        <v>23.331900000000001</v>
      </c>
      <c r="AA31" s="64">
        <f t="shared" ref="AA31" si="30">ABS(Z31-Y31)</f>
        <v>23.288600000000002</v>
      </c>
      <c r="AB31" s="61" t="e">
        <f>VLOOKUP(A31,Enforcements!$C$7:$K$19,8,0)</f>
        <v>#N/A</v>
      </c>
      <c r="AC31" s="57" t="e">
        <f>VLOOKUP(A31,Enforcements!$C$7:$E$19,3,0)</f>
        <v>#N/A</v>
      </c>
      <c r="AD31" s="58" t="str">
        <f t="shared" ref="AD31" si="31">IF(LEN(A31)=6,"0"&amp;A31,A31)</f>
        <v>0118-02</v>
      </c>
      <c r="AE31" s="87" t="str">
        <f t="shared" ref="AE31" si="32"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s3://rtdc.mdm.uploadarchive.raw/RTDC4019/ "%USERPROFILE%\AppData\Local\Temp\OnboardLogs"\RTDC4019\2017-01-02 --exclude "*" --recursive --include "*20170102*" &amp; "%USERPROFILE%\Documents\GitHub\mrs-test-scripts\Headless Mode &amp; Sideloading\WalkAndUnGZ.bat" "%USERPROFILE%\AppData\Local\Temp\OnboardLogs"\RTDC4019\2017-01-02 &amp; 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</v>
      </c>
      <c r="AF31" s="84" t="str">
        <f t="shared" ref="AF31" si="33"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/stypes="app*4019*20170102*" /stext=" 13:.+((SYSTEM_STATE.+slice.+state.+changed )|(ment ac)|(multiple cpu faults)|(system.+state.+changed )|(\[timeout)|(PRM\|1\|D)|(kpr)|(kdp)|(\|lc)|(penalty))" /e /r /s</v>
      </c>
      <c r="AG31" s="1" t="str">
        <f t="shared" ref="AG31" si="34">IFERROR(IF(VALUE(LEFT(AD31,2))&lt;=2,"EC",IF(OR(VALUE(LEFT(AD31,2))=8,VALUE(LEFT(AD31,2))=18),"NW","Other")),"Other")</f>
        <v>EC</v>
      </c>
      <c r="AH31" s="88" t="str">
        <f t="shared" ref="AH31" si="35">refinertdcruntimes&amp;" --tripid "&amp;A31&amp;" --locoid "&amp;B31&amp;" --swversion "&amp;C31&amp;" --startMP "&amp;D31&amp;" --initTime "&amp;TEXT(E31,"yyyy-mm-ddTHH:MM:SS")&amp;" --startdatetime "&amp;TEXT(F31,"yyyy-mm-ddTHH:MM:SS")&amp;" --delay "&amp;G31&amp;" --endMP "&amp;H31&amp;" --enddatetime "&amp;TEXT(I31,"yyyy-mm-ddTHH:MM:SS")&amp;" --enforcementcount "&amp;J31&amp;IF(outputrefinedruntimes," &gt;&gt;"&amp;RefinedRTDCRunTimesOutputFile,"")</f>
        <v>"%USERPROFILE%\Documents\GitHub\eaglep3\Utilities\RefineRTDCRunTimes.py" --tripid 118-02 --locoid 4019 --swversion DE.1.0.8.0 --startMP 204:433 --initTime 2017-01-02T05:38:50 --startdatetime 2017-01-02T06:34:00 --delay 1 --endMP 204:233319 --enddatetime 2017-01-02T06:35:00 --enforcementcount 0 &gt;&gt;C:\Users\stu\Documents\GitHub\eaglep3-reporting\EC\2017-01-02-refined-times.txt</v>
      </c>
      <c r="AI31" s="115" t="str">
        <f t="shared" ref="AI31" si="36">"echo {""issue"":{""subject"":"""&amp;R31&amp;""",""project_id"":79,""tracker_id"":40,""status_id"":"&amp;redmine_status&amp;",""priority_id"":"&amp;redmine_priority&amp;",""assigned_to_id"":"&amp;redmine_assignee&amp;",""start_date"":"""&amp;TEXT(I31,"YYYY-mm-dd")&amp;""",""description"":"""&amp;AJ31&amp;""",""custom_fields"":[{""id"":1,""name"":""Subdivision"",""value"":"""&amp;AG31&amp;"""},{""id"":4,""name"":""Milepost"",""value"":"""&amp;Z31&amp;"""},{""id"":17,""name"":""Train ID"",""value"":"""&amp;A31&amp;"""},{""id"":16,""name"":""Locomotive ID"",""value"":"""&amp;B31&amp;"""},{""id"":130,""name"":""Impact"",""value"":"""&amp;AK31&amp;"""},{""id"":150,""name"":""Time of Event (Mountain Time)"",""value"":"""&amp;TEXT(I31,"hh:mm:ss")&amp;"""},{""id"":151,""name"":""Denver Issue ID"",""value"":"""&amp;"""},{""id"":178,""name"":""Operational Impact"",""value"":"""&amp;redmine_op_impact&amp;"""},{""id"":179,""name"":""Denver Segment Assigned"",""value"":"""&amp;AL31&amp;"""}]}}"&amp;" | curl -X POST -H ""Content-Type: application/json"" -H ""X-Redmine-API-Key: "&amp;redm_api_key&amp;""" "&amp;redm_url&amp;" --data @-"</f>
        <v>echo {"issue":{"subject":"Slot10 connect failure","project_id":79,"tracker_id":40,"status_id":1,"priority_id":2,"assigned_to_id":23,"start_date":"2017-01-02","description":"","custom_fields":[{"id":1,"name":"Subdivision","value":"EC"},{"id":4,"name":"Milepost","value":"23.3319"},{"id":17,"name":"Train ID","value":"118-02"},{"id":16,"name":"Locomotive ID","value":"4019"},{"id":130,"name":"Impact","value":""},{"id":150,"name":"Time of Event (Mountain Time)","value":"06:35:00"},{"id":151,"name":"Denver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ref="AM31" si="37">"start /low /b "&amp;dls3logs&amp;" --loco "&amp;B31&amp;" --day "&amp;TEXT(F31,"YYYY-MM-DD")</f>
        <v>start /low /b %USERPROFILE%\Documents\GitHub\eaglep3\Utilities\DownloadLogsFromS3.py --loco 4019 --day 2017-01-02</v>
      </c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21"/>
      <c r="BF31" s="21"/>
      <c r="BG31" s="21"/>
      <c r="BH31" s="21"/>
      <c r="BI31" s="21"/>
      <c r="BJ31" s="21"/>
      <c r="BK31" s="21"/>
      <c r="BL31" s="21"/>
      <c r="BM31" s="21"/>
      <c r="BN31" s="21"/>
      <c r="BO31" s="21"/>
      <c r="BP31" s="21"/>
      <c r="BQ31" s="21"/>
      <c r="BR31" s="21"/>
      <c r="BS31" s="21"/>
      <c r="BT31" s="21"/>
      <c r="BU31" s="21"/>
      <c r="BV31" s="21"/>
      <c r="BW31" s="21"/>
      <c r="BX31" s="21"/>
      <c r="BY31" s="21"/>
      <c r="BZ31" s="21"/>
      <c r="CA31" s="21"/>
      <c r="CB31" s="21"/>
      <c r="CC31" s="21"/>
      <c r="CD31" s="21"/>
      <c r="CE31" s="21"/>
      <c r="CF31" s="21"/>
      <c r="CG31" s="21"/>
      <c r="CH31" s="21"/>
      <c r="CI31" s="21"/>
      <c r="CJ31" s="21"/>
      <c r="CK31" s="21"/>
      <c r="CL31" s="21"/>
      <c r="CM31" s="21"/>
    </row>
    <row r="32" spans="1:91" s="1" customFormat="1" x14ac:dyDescent="0.25">
      <c r="A32" s="34" t="s">
        <v>476</v>
      </c>
      <c r="B32" s="7">
        <v>4014</v>
      </c>
      <c r="C32" s="22" t="s">
        <v>203</v>
      </c>
      <c r="D32" s="22" t="s">
        <v>678</v>
      </c>
      <c r="E32" s="13">
        <v>42737.247800925928</v>
      </c>
      <c r="F32" s="13">
        <v>42737.250219907408</v>
      </c>
      <c r="G32" s="7">
        <v>1</v>
      </c>
      <c r="H32" s="22" t="s">
        <v>263</v>
      </c>
      <c r="I32" s="13">
        <v>42737.275451388887</v>
      </c>
      <c r="J32" s="7">
        <v>0</v>
      </c>
      <c r="K32" s="105" t="str">
        <f t="shared" si="0"/>
        <v>4013/4014</v>
      </c>
      <c r="L32" s="22" t="str">
        <f>VLOOKUP(A32,'Trips&amp;Operators'!$C$1:$G$99999,5,FALSE)</f>
        <v>ACKERMAN JARED</v>
      </c>
      <c r="M32" s="6">
        <f t="shared" si="1"/>
        <v>2.5231481478840578E-2</v>
      </c>
      <c r="N32" s="7">
        <f t="shared" si="2"/>
        <v>36.333333329530433</v>
      </c>
      <c r="O32" s="7"/>
      <c r="P32" s="7"/>
      <c r="Q32" s="23"/>
      <c r="R32" s="23"/>
      <c r="S32" s="32">
        <f t="shared" si="3"/>
        <v>1</v>
      </c>
      <c r="T32" s="47" t="str">
        <f t="shared" si="4"/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04:56:50-700',mode:absolute,to:'2017-01-02 07:36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2" s="49" t="str">
        <f t="shared" si="6"/>
        <v>N</v>
      </c>
      <c r="X32" s="173">
        <f t="shared" si="27"/>
        <v>1</v>
      </c>
      <c r="Y32" s="64">
        <f t="shared" si="8"/>
        <v>7.2599999999999998E-2</v>
      </c>
      <c r="Z32" s="64">
        <f t="shared" si="9"/>
        <v>23.329899999999999</v>
      </c>
      <c r="AA32" s="64">
        <f t="shared" si="10"/>
        <v>23.257299999999997</v>
      </c>
      <c r="AB32" s="61" t="e">
        <f>VLOOKUP(A32,Enforcements!$C$7:$K$19,8,0)</f>
        <v>#N/A</v>
      </c>
      <c r="AC32" s="57" t="e">
        <f>VLOOKUP(A32,Enforcements!$C$7:$E$19,3,0)</f>
        <v>#N/A</v>
      </c>
      <c r="AD32" s="58" t="str">
        <f t="shared" si="11"/>
        <v>0119-02</v>
      </c>
      <c r="AE32" s="87" t="str">
        <f t="shared" si="12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32" s="84" t="str">
        <f t="shared" si="13"/>
        <v>"C:\Program Files (x86)\AstroGrep\AstroGrep.exe" /spath="%USERPROFILE%\AppData\Local\Temp\OnboardLogs" /stypes="app*4014*20170102*"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119-02 --locoid 4014 --swversion DE.1.0.8.0 --startMP 204:726 --initTime 2017-01-02T05:56:50 --startdatetime 2017-01-02T06:00:19 --delay 1 --endMP 204:233299 --enddatetime 2017-01-02T06:36:39 --enforcementcount 0 &gt;&gt;C:\Users\stu\Documents\GitHub\eaglep3-reporting\EC\2017-01-02-refined-times.txt</v>
      </c>
      <c r="AI32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{"issue":{"subject":"","project_id":79,"tracker_id":40,"status_id":1,"priority_id":2,"assigned_to_id":23,"start_date":"2017-01-02","description":"","custom_fields":[{"id":1,"name":"Subdivision","value":"EC"},{"id":4,"name":"Milepost","value":"23.3299"},{"id":17,"name":"Train ID","value":"119-02"},{"id":16,"name":"Locomotive ID","value":"4014"},{"id":130,"name":"Impact","value":""},{"id":150,"name":"Time of Event (Mountain Time)","value":"06:36:39"},{"id":151,"name":"Denver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20"/>
        <v>start /low /b %USERPROFILE%\Documents\GitHub\eaglep3\Utilities\DownloadLogsFromS3.py --loco 4014 --day 2017-01-02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488</v>
      </c>
      <c r="B33" s="7">
        <v>4013</v>
      </c>
      <c r="C33" s="22" t="s">
        <v>203</v>
      </c>
      <c r="D33" s="22" t="s">
        <v>293</v>
      </c>
      <c r="E33" s="13">
        <v>42737.280810185184</v>
      </c>
      <c r="F33" s="13">
        <v>42737.289155092592</v>
      </c>
      <c r="G33" s="7">
        <v>2</v>
      </c>
      <c r="H33" s="22" t="s">
        <v>222</v>
      </c>
      <c r="I33" s="13">
        <v>42737.315810185188</v>
      </c>
      <c r="J33" s="7">
        <v>0</v>
      </c>
      <c r="K33" s="105" t="str">
        <f t="shared" si="0"/>
        <v>4013/4014</v>
      </c>
      <c r="L33" s="22" t="str">
        <f>VLOOKUP(A33,'Trips&amp;Operators'!$C$1:$G$99999,5,FALSE)</f>
        <v>ACKERMAN JARED</v>
      </c>
      <c r="M33" s="6">
        <f t="shared" si="1"/>
        <v>2.6655092595319729E-2</v>
      </c>
      <c r="N33" s="7">
        <f t="shared" si="2"/>
        <v>38.38333333726041</v>
      </c>
      <c r="O33" s="7"/>
      <c r="P33" s="7"/>
      <c r="Q33" s="23"/>
      <c r="R33" s="23"/>
      <c r="S33" s="32">
        <f t="shared" si="3"/>
        <v>1</v>
      </c>
      <c r="T33" s="47" t="str">
        <f t="shared" si="4"/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05:44:22-700',mode:absolute,to:'2017-01-02 08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3" s="49" t="str">
        <f t="shared" si="6"/>
        <v>N</v>
      </c>
      <c r="X33" s="173">
        <f t="shared" si="7"/>
        <v>1</v>
      </c>
      <c r="Y33" s="64">
        <f t="shared" si="8"/>
        <v>23.297999999999998</v>
      </c>
      <c r="Z33" s="64">
        <f t="shared" si="9"/>
        <v>1.54E-2</v>
      </c>
      <c r="AA33" s="64">
        <f t="shared" si="10"/>
        <v>23.282599999999999</v>
      </c>
      <c r="AB33" s="61" t="e">
        <f>VLOOKUP(A33,Enforcements!$C$7:$K$19,8,0)</f>
        <v>#N/A</v>
      </c>
      <c r="AC33" s="57" t="e">
        <f>VLOOKUP(A33,Enforcements!$C$7:$E$19,3,0)</f>
        <v>#N/A</v>
      </c>
      <c r="AD33" s="58" t="str">
        <f t="shared" si="11"/>
        <v>0120-02</v>
      </c>
      <c r="AE33" s="87" t="str">
        <f t="shared" si="12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33" s="84" t="str">
        <f t="shared" si="13"/>
        <v>"C:\Program Files (x86)\AstroGrep\AstroGrep.exe" /spath="%USERPROFILE%\AppData\Local\Temp\OnboardLogs" /stypes="app*4013*20170102*"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120-02 --locoid 4013 --swversion DE.1.0.8.0 --startMP 204:232980 --initTime 2017-01-02T06:44:22 --startdatetime 2017-01-02T06:56:23 --delay 2 --endMP 204:154 --enddatetime 2017-01-02T07:34:46 --enforcementcount 0 &gt;&gt;C:\Users\stu\Documents\GitHub\eaglep3-reporting\EC\2017-01-02-refined-times.txt</v>
      </c>
      <c r="AI33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{"issue":{"subject":"","project_id":79,"tracker_id":40,"status_id":1,"priority_id":2,"assigned_to_id":23,"start_date":"2017-01-02","description":"","custom_fields":[{"id":1,"name":"Subdivision","value":"EC"},{"id":4,"name":"Milepost","value":"0.0154"},{"id":17,"name":"Train ID","value":"120-02"},{"id":16,"name":"Locomotive ID","value":"4013"},{"id":130,"name":"Impact","value":""},{"id":150,"name":"Time of Event (Mountain Time)","value":"07:34:46"},{"id":151,"name":"Denver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20"/>
        <v>start /low /b %USERPROFILE%\Documents\GitHub\eaglep3\Utilities\DownloadLogsFromS3.py --loco 4013 --day 2017-01-02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481</v>
      </c>
      <c r="B34" s="7">
        <v>4042</v>
      </c>
      <c r="C34" s="22" t="s">
        <v>203</v>
      </c>
      <c r="D34" s="22" t="s">
        <v>345</v>
      </c>
      <c r="E34" s="13">
        <v>42737.255219907405</v>
      </c>
      <c r="F34" s="13">
        <v>42737.260601851849</v>
      </c>
      <c r="G34" s="7">
        <v>1</v>
      </c>
      <c r="H34" s="22" t="s">
        <v>679</v>
      </c>
      <c r="I34" s="13">
        <v>42737.286817129629</v>
      </c>
      <c r="J34" s="7">
        <v>0</v>
      </c>
      <c r="K34" s="105" t="str">
        <f t="shared" si="0"/>
        <v>4041/4042</v>
      </c>
      <c r="L34" s="22" t="str">
        <f>VLOOKUP(A34,'Trips&amp;Operators'!$C$1:$G$99999,5,FALSE)</f>
        <v>COMELLA JUSTIN</v>
      </c>
      <c r="M34" s="6">
        <f t="shared" si="1"/>
        <v>2.6215277779556345E-2</v>
      </c>
      <c r="N34" s="7">
        <f t="shared" si="2"/>
        <v>37.750000002561137</v>
      </c>
      <c r="O34" s="7"/>
      <c r="P34" s="7"/>
      <c r="Q34" s="23"/>
      <c r="R34" s="23"/>
      <c r="S34" s="32">
        <f t="shared" si="3"/>
        <v>1</v>
      </c>
      <c r="T34" s="47" t="str">
        <f t="shared" si="4"/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05:07:31-700',mode:absolute,to:'2017-01-02 07:53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34" s="49" t="str">
        <f t="shared" si="6"/>
        <v>N</v>
      </c>
      <c r="X34" s="173">
        <f t="shared" si="7"/>
        <v>1</v>
      </c>
      <c r="Y34" s="64">
        <f t="shared" si="8"/>
        <v>4.7100000000000003E-2</v>
      </c>
      <c r="Z34" s="64">
        <f t="shared" si="9"/>
        <v>23.3278</v>
      </c>
      <c r="AA34" s="64">
        <f t="shared" si="10"/>
        <v>23.2807</v>
      </c>
      <c r="AB34" s="61" t="e">
        <f>VLOOKUP(A34,Enforcements!$C$7:$K$19,8,0)</f>
        <v>#N/A</v>
      </c>
      <c r="AC34" s="57" t="e">
        <f>VLOOKUP(A34,Enforcements!$C$7:$E$19,3,0)</f>
        <v>#N/A</v>
      </c>
      <c r="AD34" s="58" t="str">
        <f t="shared" si="11"/>
        <v>0121-02</v>
      </c>
      <c r="AE34" s="87" t="str">
        <f t="shared" si="12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34" s="84" t="str">
        <f t="shared" si="13"/>
        <v>"C:\Program Files (x86)\AstroGrep\AstroGrep.exe" /spath="%USERPROFILE%\AppData\Local\Temp\OnboardLogs" /stypes="app*4042*20170102*"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121-02 --locoid 4042 --swversion DE.1.0.8.0 --startMP 204:471 --initTime 2017-01-02T06:07:31 --startdatetime 2017-01-02T06:15:16 --delay 1 --endMP 204:233278 --enddatetime 2017-01-02T06:53:01 --enforcementcount 0 &gt;&gt;C:\Users\stu\Documents\GitHub\eaglep3-reporting\EC\2017-01-02-refined-times.txt</v>
      </c>
      <c r="AI34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{"issue":{"subject":"","project_id":79,"tracker_id":40,"status_id":1,"priority_id":2,"assigned_to_id":23,"start_date":"2017-01-02","description":"","custom_fields":[{"id":1,"name":"Subdivision","value":"EC"},{"id":4,"name":"Milepost","value":"23.3278"},{"id":17,"name":"Train ID","value":"121-02"},{"id":16,"name":"Locomotive ID","value":"4042"},{"id":130,"name":"Impact","value":""},{"id":150,"name":"Time of Event (Mountain Time)","value":"06:53:01"},{"id":151,"name":"Denver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20"/>
        <v>start /low /b %USERPROFILE%\Documents\GitHub\eaglep3\Utilities\DownloadLogsFromS3.py --loco 4042 --day 2017-01-02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490</v>
      </c>
      <c r="B35" s="7">
        <v>4041</v>
      </c>
      <c r="C35" s="22" t="s">
        <v>203</v>
      </c>
      <c r="D35" s="22" t="s">
        <v>412</v>
      </c>
      <c r="E35" s="13">
        <v>42737.287974537037</v>
      </c>
      <c r="F35" s="13">
        <v>42737.299490740741</v>
      </c>
      <c r="G35" s="7">
        <v>1</v>
      </c>
      <c r="H35" s="22" t="s">
        <v>249</v>
      </c>
      <c r="I35" s="13">
        <v>42737.326493055552</v>
      </c>
      <c r="J35" s="7">
        <v>0</v>
      </c>
      <c r="K35" s="105" t="str">
        <f t="shared" si="0"/>
        <v>4041/4042</v>
      </c>
      <c r="L35" s="22" t="str">
        <f>VLOOKUP(A35,'Trips&amp;Operators'!$C$1:$G$99999,5,FALSE)</f>
        <v>COMELLA JUSTIN</v>
      </c>
      <c r="M35" s="6">
        <f t="shared" si="1"/>
        <v>2.700231481139781E-2</v>
      </c>
      <c r="N35" s="7">
        <f t="shared" si="2"/>
        <v>38.883333328412846</v>
      </c>
      <c r="O35" s="7"/>
      <c r="P35" s="7"/>
      <c r="Q35" s="23"/>
      <c r="R35" s="23"/>
      <c r="S35" s="32">
        <f t="shared" si="3"/>
        <v>1</v>
      </c>
      <c r="T35" s="47" t="str">
        <f t="shared" si="4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05:54:41-700',mode:absolute,to:'2017-01-02 08:50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35" s="49" t="str">
        <f t="shared" si="6"/>
        <v>N</v>
      </c>
      <c r="X35" s="173">
        <f t="shared" si="7"/>
        <v>1</v>
      </c>
      <c r="Y35" s="64">
        <f t="shared" si="8"/>
        <v>23.298300000000001</v>
      </c>
      <c r="Z35" s="64">
        <f t="shared" si="9"/>
        <v>1.47E-2</v>
      </c>
      <c r="AA35" s="64">
        <f t="shared" si="10"/>
        <v>23.2836</v>
      </c>
      <c r="AB35" s="61" t="e">
        <f>VLOOKUP(A35,Enforcements!$C$7:$K$19,8,0)</f>
        <v>#N/A</v>
      </c>
      <c r="AC35" s="57" t="e">
        <f>VLOOKUP(A35,Enforcements!$C$7:$E$19,3,0)</f>
        <v>#N/A</v>
      </c>
      <c r="AD35" s="58" t="str">
        <f t="shared" si="11"/>
        <v>0122-02</v>
      </c>
      <c r="AE35" s="87" t="str">
        <f t="shared" si="12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35" s="84" t="str">
        <f t="shared" si="13"/>
        <v>"C:\Program Files (x86)\AstroGrep\AstroGrep.exe" /spath="%USERPROFILE%\AppData\Local\Temp\OnboardLogs" /stypes="app*4041*20170102*"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122-02 --locoid 4041 --swversion DE.1.0.8.0 --startMP 204:232983 --initTime 2017-01-02T06:54:41 --startdatetime 2017-01-02T07:11:16 --delay 1 --endMP 204:147 --enddatetime 2017-01-02T07:50:09 --enforcementcount 0 &gt;&gt;C:\Users\stu\Documents\GitHub\eaglep3-reporting\EC\2017-01-02-refined-times.txt</v>
      </c>
      <c r="AI35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{"issue":{"subject":"","project_id":79,"tracker_id":40,"status_id":1,"priority_id":2,"assigned_to_id":23,"start_date":"2017-01-02","description":"","custom_fields":[{"id":1,"name":"Subdivision","value":"EC"},{"id":4,"name":"Milepost","value":"0.0147"},{"id":17,"name":"Train ID","value":"122-02"},{"id":16,"name":"Locomotive ID","value":"4041"},{"id":130,"name":"Impact","value":""},{"id":150,"name":"Time of Event (Mountain Time)","value":"07:50:09"},{"id":151,"name":"Denver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20"/>
        <v>start /low /b %USERPROFILE%\Documents\GitHub\eaglep3\Utilities\DownloadLogsFromS3.py --loco 4041 --day 2017-01-02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485</v>
      </c>
      <c r="B36" s="7">
        <v>4029</v>
      </c>
      <c r="C36" s="22" t="s">
        <v>203</v>
      </c>
      <c r="D36" s="22" t="s">
        <v>247</v>
      </c>
      <c r="E36" s="13">
        <v>42737.267627314817</v>
      </c>
      <c r="F36" s="13">
        <v>42737.271041666667</v>
      </c>
      <c r="G36" s="7">
        <v>1</v>
      </c>
      <c r="H36" s="22" t="s">
        <v>340</v>
      </c>
      <c r="I36" s="13">
        <v>42737.296956018516</v>
      </c>
      <c r="J36" s="7">
        <v>0</v>
      </c>
      <c r="K36" s="105" t="str">
        <f t="shared" si="0"/>
        <v>4029/4030</v>
      </c>
      <c r="L36" s="22" t="str">
        <f>VLOOKUP(A36,'Trips&amp;Operators'!$C$1:$G$99999,5,FALSE)</f>
        <v>SHOOK JOHN</v>
      </c>
      <c r="M36" s="6">
        <f t="shared" si="1"/>
        <v>2.5914351848769002E-2</v>
      </c>
      <c r="N36" s="7">
        <f t="shared" si="2"/>
        <v>37.316666662227362</v>
      </c>
      <c r="O36" s="7"/>
      <c r="P36" s="7"/>
      <c r="Q36" s="23"/>
      <c r="R36" s="23"/>
      <c r="S36" s="32">
        <f t="shared" si="3"/>
        <v>1</v>
      </c>
      <c r="T36" s="47" t="str">
        <f t="shared" si="4"/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05:25:23-700',mode:absolute,to:'2017-01-02 08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6" s="49" t="str">
        <f t="shared" si="6"/>
        <v>N</v>
      </c>
      <c r="X36" s="173">
        <f t="shared" si="7"/>
        <v>1</v>
      </c>
      <c r="Y36" s="64">
        <f t="shared" si="8"/>
        <v>4.6399999999999997E-2</v>
      </c>
      <c r="Z36" s="64">
        <f t="shared" si="9"/>
        <v>23.3309</v>
      </c>
      <c r="AA36" s="64">
        <f t="shared" si="10"/>
        <v>23.284500000000001</v>
      </c>
      <c r="AB36" s="61" t="e">
        <f>VLOOKUP(A36,Enforcements!$C$7:$K$19,8,0)</f>
        <v>#N/A</v>
      </c>
      <c r="AC36" s="57" t="e">
        <f>VLOOKUP(A36,Enforcements!$C$7:$E$19,3,0)</f>
        <v>#N/A</v>
      </c>
      <c r="AD36" s="58" t="str">
        <f t="shared" si="11"/>
        <v>0123-02</v>
      </c>
      <c r="AE36" s="87" t="str">
        <f t="shared" si="12"/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AF36" s="84" t="str">
        <f t="shared" si="13"/>
        <v>"C:\Program Files (x86)\AstroGrep\AstroGrep.exe" /spath="%USERPROFILE%\AppData\Local\Temp\OnboardLogs" /stypes="app*4029*20170102*"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123-02 --locoid 4029 --swversion DE.1.0.8.0 --startMP 204:464 --initTime 2017-01-02T06:25:23 --startdatetime 2017-01-02T06:30:18 --delay 1 --endMP 204:233309 --enddatetime 2017-01-02T07:07:37 --enforcementcount 0 &gt;&gt;C:\Users\stu\Documents\GitHub\eaglep3-reporting\EC\2017-01-02-refined-times.txt</v>
      </c>
      <c r="AI36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{"issue":{"subject":"","project_id":79,"tracker_id":40,"status_id":1,"priority_id":2,"assigned_to_id":23,"start_date":"2017-01-02","description":"","custom_fields":[{"id":1,"name":"Subdivision","value":"EC"},{"id":4,"name":"Milepost","value":"23.3309"},{"id":17,"name":"Train ID","value":"123-02"},{"id":16,"name":"Locomotive ID","value":"4029"},{"id":130,"name":"Impact","value":""},{"id":150,"name":"Time of Event (Mountain Time)","value":"07:07:37"},{"id":151,"name":"Denver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20"/>
        <v>start /low /b %USERPROFILE%\Documents\GitHub\eaglep3\Utilities\DownloadLogsFromS3.py --loco 4029 --day 2017-01-02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492</v>
      </c>
      <c r="B37" s="7">
        <v>4030</v>
      </c>
      <c r="C37" s="22" t="s">
        <v>203</v>
      </c>
      <c r="D37" s="22" t="s">
        <v>320</v>
      </c>
      <c r="E37" s="13">
        <v>42737.299363425926</v>
      </c>
      <c r="F37" s="13">
        <v>42737.309930555559</v>
      </c>
      <c r="G37" s="7">
        <v>1</v>
      </c>
      <c r="H37" s="22" t="s">
        <v>222</v>
      </c>
      <c r="I37" s="13">
        <v>42737.337256944447</v>
      </c>
      <c r="J37" s="7">
        <v>0</v>
      </c>
      <c r="K37" s="105" t="str">
        <f t="shared" si="0"/>
        <v>4029/4030</v>
      </c>
      <c r="L37" s="22" t="str">
        <f>VLOOKUP(A37,'Trips&amp;Operators'!$C$1:$G$99999,5,FALSE)</f>
        <v>SHOOK JOHN</v>
      </c>
      <c r="M37" s="6">
        <f t="shared" si="1"/>
        <v>2.73263888884685E-2</v>
      </c>
      <c r="N37" s="7">
        <f t="shared" si="2"/>
        <v>39.34999999939464</v>
      </c>
      <c r="O37" s="7"/>
      <c r="P37" s="7"/>
      <c r="Q37" s="23"/>
      <c r="R37" s="23"/>
      <c r="S37" s="32">
        <f t="shared" si="3"/>
        <v>1</v>
      </c>
      <c r="T37" s="47" t="str">
        <f t="shared" si="4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06:11:05-700',mode:absolute,to:'2017-01-02 09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7" s="49" t="str">
        <f t="shared" si="6"/>
        <v>N</v>
      </c>
      <c r="X37" s="173">
        <f t="shared" si="7"/>
        <v>1</v>
      </c>
      <c r="Y37" s="64">
        <f t="shared" si="8"/>
        <v>23.2988</v>
      </c>
      <c r="Z37" s="64">
        <f t="shared" si="9"/>
        <v>1.54E-2</v>
      </c>
      <c r="AA37" s="64">
        <f t="shared" si="10"/>
        <v>23.2834</v>
      </c>
      <c r="AB37" s="61" t="e">
        <f>VLOOKUP(A37,Enforcements!$C$7:$K$19,8,0)</f>
        <v>#N/A</v>
      </c>
      <c r="AC37" s="57" t="e">
        <f>VLOOKUP(A37,Enforcements!$C$7:$E$19,3,0)</f>
        <v>#N/A</v>
      </c>
      <c r="AD37" s="58" t="str">
        <f t="shared" si="11"/>
        <v>0124-02</v>
      </c>
      <c r="AE37" s="87" t="str">
        <f t="shared" si="12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37" s="84" t="str">
        <f t="shared" si="13"/>
        <v>"C:\Program Files (x86)\AstroGrep\AstroGrep.exe" /spath="%USERPROFILE%\AppData\Local\Temp\OnboardLogs" /stypes="app*4030*20170102*"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124-02 --locoid 4030 --swversion DE.1.0.8.0 --startMP 204:232988 --initTime 2017-01-02T07:11:05 --startdatetime 2017-01-02T07:26:18 --delay 1 --endMP 204:154 --enddatetime 2017-01-02T08:05:39 --enforcementcount 0 &gt;&gt;C:\Users\stu\Documents\GitHub\eaglep3-reporting\EC\2017-01-02-refined-times.txt</v>
      </c>
      <c r="AI37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{"issue":{"subject":"","project_id":79,"tracker_id":40,"status_id":1,"priority_id":2,"assigned_to_id":23,"start_date":"2017-01-02","description":"","custom_fields":[{"id":1,"name":"Subdivision","value":"EC"},{"id":4,"name":"Milepost","value":"0.0154"},{"id":17,"name":"Train ID","value":"124-02"},{"id":16,"name":"Locomotive ID","value":"4030"},{"id":130,"name":"Impact","value":""},{"id":150,"name":"Time of Event (Mountain Time)","value":"08:05:39"},{"id":151,"name":"Denver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20"/>
        <v>start /low /b %USERPROFILE%\Documents\GitHub\eaglep3\Utilities\DownloadLogsFromS3.py --loco 4030 --day 2017-01-02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486</v>
      </c>
      <c r="B38" s="7">
        <v>4016</v>
      </c>
      <c r="C38" s="22" t="s">
        <v>203</v>
      </c>
      <c r="D38" s="22" t="s">
        <v>341</v>
      </c>
      <c r="E38" s="13">
        <v>42737.27584490741</v>
      </c>
      <c r="F38" s="13">
        <v>42737.281597222223</v>
      </c>
      <c r="G38" s="7">
        <v>1</v>
      </c>
      <c r="H38" s="22" t="s">
        <v>301</v>
      </c>
      <c r="I38" s="13">
        <v>42737.307199074072</v>
      </c>
      <c r="J38" s="7">
        <v>0</v>
      </c>
      <c r="K38" s="105" t="str">
        <f t="shared" si="0"/>
        <v>4015/4016</v>
      </c>
      <c r="L38" s="22" t="str">
        <f>VLOOKUP(A38,'Trips&amp;Operators'!$C$1:$G$99999,5,FALSE)</f>
        <v>SIMMONS SHYHESHA</v>
      </c>
      <c r="M38" s="6">
        <f t="shared" si="1"/>
        <v>2.5601851848477963E-2</v>
      </c>
      <c r="N38" s="7">
        <f t="shared" si="2"/>
        <v>36.866666661808267</v>
      </c>
      <c r="O38" s="7"/>
      <c r="P38" s="7"/>
      <c r="Q38" s="23"/>
      <c r="R38" s="23"/>
      <c r="S38" s="32">
        <f t="shared" si="3"/>
        <v>1</v>
      </c>
      <c r="T38" s="47" t="str">
        <f t="shared" si="4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05:37:13-700',mode:absolute,to:'2017-01-02 08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8" s="49" t="str">
        <f t="shared" si="6"/>
        <v>N</v>
      </c>
      <c r="X38" s="173">
        <f t="shared" si="7"/>
        <v>1</v>
      </c>
      <c r="Y38" s="64">
        <f t="shared" si="8"/>
        <v>4.7800000000000002E-2</v>
      </c>
      <c r="Z38" s="64">
        <f t="shared" si="9"/>
        <v>23.330400000000001</v>
      </c>
      <c r="AA38" s="64">
        <f t="shared" si="10"/>
        <v>23.282600000000002</v>
      </c>
      <c r="AB38" s="61" t="e">
        <f>VLOOKUP(A38,Enforcements!$C$7:$K$19,8,0)</f>
        <v>#N/A</v>
      </c>
      <c r="AC38" s="57" t="e">
        <f>VLOOKUP(A38,Enforcements!$C$7:$E$19,3,0)</f>
        <v>#N/A</v>
      </c>
      <c r="AD38" s="58" t="str">
        <f t="shared" si="11"/>
        <v>0125-02</v>
      </c>
      <c r="AE38" s="87" t="str">
        <f t="shared" si="12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38" s="84" t="str">
        <f t="shared" si="13"/>
        <v>"C:\Program Files (x86)\AstroGrep\AstroGrep.exe" /spath="%USERPROFILE%\AppData\Local\Temp\OnboardLogs" /stypes="app*4016*20170102*"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125-02 --locoid 4016 --swversion DE.1.0.8.0 --startMP 204:478 --initTime 2017-01-02T06:37:13 --startdatetime 2017-01-02T06:45:30 --delay 1 --endMP 204:233304 --enddatetime 2017-01-02T07:22:22 --enforcementcount 0 &gt;&gt;C:\Users\stu\Documents\GitHub\eaglep3-reporting\EC\2017-01-02-refined-times.txt</v>
      </c>
      <c r="AI38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{"issue":{"subject":"","project_id":79,"tracker_id":40,"status_id":1,"priority_id":2,"assigned_to_id":23,"start_date":"2017-01-02","description":"","custom_fields":[{"id":1,"name":"Subdivision","value":"EC"},{"id":4,"name":"Milepost","value":"23.3304"},{"id":17,"name":"Train ID","value":"125-02"},{"id":16,"name":"Locomotive ID","value":"4016"},{"id":130,"name":"Impact","value":""},{"id":150,"name":"Time of Event (Mountain Time)","value":"07:22:22"},{"id":151,"name":"Denver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20"/>
        <v>start /low /b %USERPROFILE%\Documents\GitHub\eaglep3\Utilities\DownloadLogsFromS3.py --loco 4016 --day 2017-01-02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495</v>
      </c>
      <c r="B39" s="7">
        <v>4015</v>
      </c>
      <c r="C39" s="22" t="s">
        <v>203</v>
      </c>
      <c r="D39" s="22" t="s">
        <v>322</v>
      </c>
      <c r="E39" s="13">
        <v>42737.309004629627</v>
      </c>
      <c r="F39" s="13">
        <v>42737.320497685185</v>
      </c>
      <c r="G39" s="7">
        <v>0</v>
      </c>
      <c r="H39" s="22" t="s">
        <v>230</v>
      </c>
      <c r="I39" s="13">
        <v>42737.347337962965</v>
      </c>
      <c r="J39" s="7">
        <v>0</v>
      </c>
      <c r="K39" s="105" t="str">
        <f t="shared" si="0"/>
        <v>4015/4016</v>
      </c>
      <c r="L39" s="22" t="str">
        <f>VLOOKUP(A39,'Trips&amp;Operators'!$C$1:$G$99999,5,FALSE)</f>
        <v>SIMMONS SHYHESHA</v>
      </c>
      <c r="M39" s="6">
        <f t="shared" si="1"/>
        <v>2.6840277780138422E-2</v>
      </c>
      <c r="N39" s="7">
        <f t="shared" si="2"/>
        <v>38.650000003399327</v>
      </c>
      <c r="O39" s="7"/>
      <c r="P39" s="7"/>
      <c r="Q39" s="23"/>
      <c r="R39" s="23"/>
      <c r="S39" s="32">
        <f t="shared" si="3"/>
        <v>1</v>
      </c>
      <c r="T39" s="47" t="str">
        <f t="shared" si="4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06:24:58-700',mode:absolute,to:'2017-01-02 09:20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9" s="49" t="str">
        <f t="shared" si="6"/>
        <v>N</v>
      </c>
      <c r="X39" s="173">
        <f t="shared" si="7"/>
        <v>1</v>
      </c>
      <c r="Y39" s="64">
        <f t="shared" si="8"/>
        <v>23.2989</v>
      </c>
      <c r="Z39" s="64">
        <f t="shared" si="9"/>
        <v>1.4500000000000001E-2</v>
      </c>
      <c r="AA39" s="64">
        <f t="shared" si="10"/>
        <v>23.284399999999998</v>
      </c>
      <c r="AB39" s="61" t="e">
        <f>VLOOKUP(A39,Enforcements!$C$7:$K$19,8,0)</f>
        <v>#N/A</v>
      </c>
      <c r="AC39" s="57" t="e">
        <f>VLOOKUP(A39,Enforcements!$C$7:$E$19,3,0)</f>
        <v>#N/A</v>
      </c>
      <c r="AD39" s="58" t="str">
        <f t="shared" si="11"/>
        <v>0126-02</v>
      </c>
      <c r="AE39" s="87" t="str">
        <f t="shared" si="12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39" s="84" t="str">
        <f t="shared" si="13"/>
        <v>"C:\Program Files (x86)\AstroGrep\AstroGrep.exe" /spath="%USERPROFILE%\AppData\Local\Temp\OnboardLogs" /stypes="app*4015*20170102*"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126-02 --locoid 4015 --swversion DE.1.0.8.0 --startMP 204:232989 --initTime 2017-01-02T07:24:58 --startdatetime 2017-01-02T07:41:31 --delay 0 --endMP 204:145 --enddatetime 2017-01-02T08:20:10 --enforcementcount 0 &gt;&gt;C:\Users\stu\Documents\GitHub\eaglep3-reporting\EC\2017-01-02-refined-times.txt</v>
      </c>
      <c r="AI39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{"issue":{"subject":"","project_id":79,"tracker_id":40,"status_id":1,"priority_id":2,"assigned_to_id":23,"start_date":"2017-01-02","description":"","custom_fields":[{"id":1,"name":"Subdivision","value":"EC"},{"id":4,"name":"Milepost","value":"0.0145"},{"id":17,"name":"Train ID","value":"126-02"},{"id":16,"name":"Locomotive ID","value":"4015"},{"id":130,"name":"Impact","value":""},{"id":150,"name":"Time of Event (Mountain Time)","value":"08:20:10"},{"id":151,"name":"Denver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20"/>
        <v>start /low /b %USERPROFILE%\Documents\GitHub\eaglep3\Utilities\DownloadLogsFromS3.py --loco 4015 --day 2017-01-02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489</v>
      </c>
      <c r="B40" s="7">
        <v>4031</v>
      </c>
      <c r="C40" s="22" t="s">
        <v>203</v>
      </c>
      <c r="D40" s="22" t="s">
        <v>194</v>
      </c>
      <c r="E40" s="13">
        <v>42737.28696759259</v>
      </c>
      <c r="F40" s="13">
        <v>42737.291921296295</v>
      </c>
      <c r="G40" s="7">
        <v>1</v>
      </c>
      <c r="H40" s="22" t="s">
        <v>403</v>
      </c>
      <c r="I40" s="13">
        <v>42737.318437499998</v>
      </c>
      <c r="J40" s="7">
        <v>0</v>
      </c>
      <c r="K40" s="105" t="str">
        <f t="shared" si="0"/>
        <v>4031/4032</v>
      </c>
      <c r="L40" s="22" t="str">
        <f>VLOOKUP(A40,'Trips&amp;Operators'!$C$1:$G$99999,5,FALSE)</f>
        <v>OUN ZACK</v>
      </c>
      <c r="M40" s="6">
        <f t="shared" si="1"/>
        <v>2.6516203703067731E-2</v>
      </c>
      <c r="N40" s="7">
        <f t="shared" si="2"/>
        <v>38.183333332417533</v>
      </c>
      <c r="O40" s="7"/>
      <c r="P40" s="7"/>
      <c r="Q40" s="23"/>
      <c r="R40" s="23"/>
      <c r="S40" s="32">
        <f t="shared" si="3"/>
        <v>1</v>
      </c>
      <c r="T40" s="47" t="str">
        <f t="shared" si="4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05:53:14-700',mode:absolute,to:'2017-01-02 08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0" s="49" t="str">
        <f t="shared" si="6"/>
        <v>N</v>
      </c>
      <c r="X40" s="173">
        <f t="shared" si="7"/>
        <v>1</v>
      </c>
      <c r="Y40" s="64">
        <f t="shared" si="8"/>
        <v>4.5100000000000001E-2</v>
      </c>
      <c r="Z40" s="64">
        <f t="shared" si="9"/>
        <v>23.332999999999998</v>
      </c>
      <c r="AA40" s="64">
        <f t="shared" si="10"/>
        <v>23.287899999999997</v>
      </c>
      <c r="AB40" s="61" t="e">
        <f>VLOOKUP(A40,Enforcements!$C$7:$K$19,8,0)</f>
        <v>#N/A</v>
      </c>
      <c r="AC40" s="57" t="e">
        <f>VLOOKUP(A40,Enforcements!$C$7:$E$19,3,0)</f>
        <v>#N/A</v>
      </c>
      <c r="AD40" s="58" t="str">
        <f t="shared" si="11"/>
        <v>0127-02</v>
      </c>
      <c r="AE40" s="87" t="str">
        <f t="shared" si="12"/>
        <v>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 &amp; 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</v>
      </c>
      <c r="AF40" s="84" t="str">
        <f t="shared" si="13"/>
        <v>"C:\Program Files (x86)\AstroGrep\AstroGrep.exe" /spath="%USERPROFILE%\AppData\Local\Temp\OnboardLogs" /stypes="app*4031*20170102*"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127-02 --locoid 4031 --swversion DE.1.0.8.0 --startMP 204:451 --initTime 2017-01-02T06:53:14 --startdatetime 2017-01-02T07:00:22 --delay 1 --endMP 204:233330 --enddatetime 2017-01-02T07:38:33 --enforcementcount 0 &gt;&gt;C:\Users\stu\Documents\GitHub\eaglep3-reporting\EC\2017-01-02-refined-times.txt</v>
      </c>
      <c r="AI40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{"issue":{"subject":"","project_id":79,"tracker_id":40,"status_id":1,"priority_id":2,"assigned_to_id":23,"start_date":"2017-01-02","description":"","custom_fields":[{"id":1,"name":"Subdivision","value":"EC"},{"id":4,"name":"Milepost","value":"23.333"},{"id":17,"name":"Train ID","value":"127-02"},{"id":16,"name":"Locomotive ID","value":"4031"},{"id":130,"name":"Impact","value":""},{"id":150,"name":"Time of Event (Mountain Time)","value":"07:38:33"},{"id":151,"name":"Denver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20"/>
        <v>start /low /b %USERPROFILE%\Documents\GitHub\eaglep3\Utilities\DownloadLogsFromS3.py --loco 4031 --day 2017-01-02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498</v>
      </c>
      <c r="B41" s="7">
        <v>4032</v>
      </c>
      <c r="C41" s="22" t="s">
        <v>203</v>
      </c>
      <c r="D41" s="22" t="s">
        <v>410</v>
      </c>
      <c r="E41" s="13">
        <v>42737.326585648145</v>
      </c>
      <c r="F41" s="13">
        <v>42737.330821759257</v>
      </c>
      <c r="G41" s="7">
        <v>0</v>
      </c>
      <c r="H41" s="22" t="s">
        <v>346</v>
      </c>
      <c r="I41" s="13">
        <v>42737.357361111113</v>
      </c>
      <c r="J41" s="7">
        <v>0</v>
      </c>
      <c r="K41" s="105" t="str">
        <f t="shared" si="0"/>
        <v>4031/4032</v>
      </c>
      <c r="L41" s="22" t="str">
        <f>VLOOKUP(A41,'Trips&amp;Operators'!$C$1:$G$99999,5,FALSE)</f>
        <v>OUN ZACK</v>
      </c>
      <c r="M41" s="6">
        <f t="shared" si="1"/>
        <v>2.6539351856627036E-2</v>
      </c>
      <c r="N41" s="7">
        <f t="shared" si="2"/>
        <v>38.216666673542932</v>
      </c>
      <c r="O41" s="7"/>
      <c r="P41" s="7"/>
      <c r="Q41" s="23"/>
      <c r="R41" s="23"/>
      <c r="S41" s="32">
        <f t="shared" si="3"/>
        <v>1</v>
      </c>
      <c r="T41" s="47" t="str">
        <f t="shared" si="4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06:50:17-700',mode:absolute,to:'2017-01-02 09:34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1" s="49" t="str">
        <f t="shared" si="6"/>
        <v>N</v>
      </c>
      <c r="X41" s="173">
        <f t="shared" si="7"/>
        <v>1</v>
      </c>
      <c r="Y41" s="64">
        <f t="shared" si="8"/>
        <v>23.298999999999999</v>
      </c>
      <c r="Z41" s="64">
        <f t="shared" si="9"/>
        <v>1.29E-2</v>
      </c>
      <c r="AA41" s="64">
        <f t="shared" si="10"/>
        <v>23.286100000000001</v>
      </c>
      <c r="AB41" s="61" t="e">
        <f>VLOOKUP(A41,Enforcements!$C$7:$K$19,8,0)</f>
        <v>#N/A</v>
      </c>
      <c r="AC41" s="57" t="e">
        <f>VLOOKUP(A41,Enforcements!$C$7:$E$19,3,0)</f>
        <v>#N/A</v>
      </c>
      <c r="AD41" s="58" t="str">
        <f t="shared" si="11"/>
        <v>0128-02</v>
      </c>
      <c r="AE41" s="87" t="str">
        <f t="shared" si="12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41" s="84" t="str">
        <f t="shared" si="13"/>
        <v>"C:\Program Files (x86)\AstroGrep\AstroGrep.exe" /spath="%USERPROFILE%\AppData\Local\Temp\OnboardLogs" /stypes="app*4032*20170102*"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128-02 --locoid 4032 --swversion DE.1.0.8.0 --startMP 204:232990 --initTime 2017-01-02T07:50:17 --startdatetime 2017-01-02T07:56:23 --delay 0 --endMP 204:129 --enddatetime 2017-01-02T08:34:36 --enforcementcount 0 &gt;&gt;C:\Users\stu\Documents\GitHub\eaglep3-reporting\EC\2017-01-02-refined-times.txt</v>
      </c>
      <c r="AI41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{"issue":{"subject":"","project_id":79,"tracker_id":40,"status_id":1,"priority_id":2,"assigned_to_id":23,"start_date":"2017-01-02","description":"","custom_fields":[{"id":1,"name":"Subdivision","value":"EC"},{"id":4,"name":"Milepost","value":"0.0129"},{"id":17,"name":"Train ID","value":"128-02"},{"id":16,"name":"Locomotive ID","value":"4032"},{"id":130,"name":"Impact","value":""},{"id":150,"name":"Time of Event (Mountain Time)","value":"08:34:36"},{"id":151,"name":"Denver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20"/>
        <v>start /low /b %USERPROFILE%\Documents\GitHub\eaglep3\Utilities\DownloadLogsFromS3.py --loco 4032 --day 2017-01-02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491</v>
      </c>
      <c r="B42" s="7">
        <v>4011</v>
      </c>
      <c r="C42" s="22" t="s">
        <v>203</v>
      </c>
      <c r="D42" s="22" t="s">
        <v>680</v>
      </c>
      <c r="E42" s="13">
        <v>42737.299027777779</v>
      </c>
      <c r="F42" s="13">
        <v>42737.302256944444</v>
      </c>
      <c r="G42" s="7">
        <v>2</v>
      </c>
      <c r="H42" s="22" t="s">
        <v>338</v>
      </c>
      <c r="I42" s="13">
        <v>42737.328402777777</v>
      </c>
      <c r="J42" s="7">
        <v>0</v>
      </c>
      <c r="K42" s="105" t="str">
        <f t="shared" si="0"/>
        <v>4011/4012</v>
      </c>
      <c r="L42" s="22" t="str">
        <f>VLOOKUP(A42,'Trips&amp;Operators'!$C$1:$G$99999,5,FALSE)</f>
        <v>ROBINSON KADDIBA</v>
      </c>
      <c r="M42" s="6">
        <f t="shared" si="1"/>
        <v>2.6145833333430346E-2</v>
      </c>
      <c r="N42" s="7">
        <f t="shared" si="2"/>
        <v>37.650000000139698</v>
      </c>
      <c r="O42" s="7"/>
      <c r="P42" s="7"/>
      <c r="Q42" s="23"/>
      <c r="R42" s="23" t="s">
        <v>820</v>
      </c>
      <c r="S42" s="32">
        <f t="shared" si="3"/>
        <v>1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06:10:36-700',mode:absolute,to:'2017-01-02 08:52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2" s="49" t="str">
        <f t="shared" si="6"/>
        <v>N</v>
      </c>
      <c r="X42" s="173">
        <f t="shared" si="7"/>
        <v>1</v>
      </c>
      <c r="Y42" s="64">
        <f t="shared" si="8"/>
        <v>4.3799999999999999E-2</v>
      </c>
      <c r="Z42" s="64">
        <f t="shared" si="9"/>
        <v>23.331</v>
      </c>
      <c r="AA42" s="64">
        <f t="shared" si="10"/>
        <v>23.287199999999999</v>
      </c>
      <c r="AB42" s="61" t="e">
        <f>VLOOKUP(A42,Enforcements!$C$7:$K$19,8,0)</f>
        <v>#N/A</v>
      </c>
      <c r="AC42" s="57" t="e">
        <f>VLOOKUP(A42,Enforcements!$C$7:$E$19,3,0)</f>
        <v>#N/A</v>
      </c>
      <c r="AD42" s="58" t="str">
        <f t="shared" si="11"/>
        <v>0129-02</v>
      </c>
      <c r="AE42" s="87" t="str">
        <f t="shared" si="12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42" s="84" t="str">
        <f t="shared" si="13"/>
        <v>"C:\Program Files (x86)\AstroGrep\AstroGrep.exe" /spath="%USERPROFILE%\AppData\Local\Temp\OnboardLogs" /stypes="app*4011*20170102*"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129-02 --locoid 4011 --swversion DE.1.0.8.0 --startMP 204:438 --initTime 2017-01-02T07:10:36 --startdatetime 2017-01-02T07:15:15 --delay 2 --endMP 204:233310 --enddatetime 2017-01-02T07:52:54 --enforcementcount 0 &gt;&gt;C:\Users\stu\Documents\GitHub\eaglep3-reporting\EC\2017-01-02-refined-times.txt</v>
      </c>
      <c r="AI42" s="115" t="str">
        <f t="shared" si="19"/>
        <v>echo {"issue":{"subject":"Wheel tach slip @ 07:39:42","project_id":79,"tracker_id":40,"status_id":1,"priority_id":2,"assigned_to_id":23,"start_date":"2017-01-02","description":"","custom_fields":[{"id":1,"name":"Subdivision","value":"EC"},{"id":4,"name":"Milepost","value":"23.331"},{"id":17,"name":"Train ID","value":"129-02"},{"id":16,"name":"Locomotive ID","value":"4011"},{"id":130,"name":"Impact","value":""},{"id":150,"name":"Time of Event (Mountain Time)","value":"07:52:54"},{"id":151,"name":"Denver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20"/>
        <v>start /low /b %USERPROFILE%\Documents\GitHub\eaglep3\Utilities\DownloadLogsFromS3.py --loco 4011 --day 2017-01-02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500</v>
      </c>
      <c r="B43" s="7">
        <v>4012</v>
      </c>
      <c r="C43" s="22" t="s">
        <v>203</v>
      </c>
      <c r="D43" s="22" t="s">
        <v>366</v>
      </c>
      <c r="E43" s="13">
        <v>42737.334085648145</v>
      </c>
      <c r="F43" s="13">
        <v>42737.341180555559</v>
      </c>
      <c r="G43" s="7">
        <v>1</v>
      </c>
      <c r="H43" s="22" t="s">
        <v>681</v>
      </c>
      <c r="I43" s="13">
        <v>42737.367662037039</v>
      </c>
      <c r="J43" s="7">
        <v>0</v>
      </c>
      <c r="K43" s="105" t="str">
        <f t="shared" si="0"/>
        <v>4011/4012</v>
      </c>
      <c r="L43" s="22" t="str">
        <f>VLOOKUP(A43,'Trips&amp;Operators'!$C$1:$G$99999,5,FALSE)</f>
        <v>ROBINSON KADDIBA</v>
      </c>
      <c r="M43" s="6">
        <f t="shared" si="1"/>
        <v>2.6481481480004732E-2</v>
      </c>
      <c r="N43" s="7">
        <f t="shared" si="2"/>
        <v>38.133333331206813</v>
      </c>
      <c r="O43" s="7"/>
      <c r="P43" s="7"/>
      <c r="Q43" s="23"/>
      <c r="R43" s="23"/>
      <c r="S43" s="32">
        <f t="shared" si="3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07:01:05-700',mode:absolute,to:'2017-01-02 09:49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3" s="49" t="str">
        <f t="shared" si="6"/>
        <v>N</v>
      </c>
      <c r="X43" s="173">
        <f t="shared" si="7"/>
        <v>1</v>
      </c>
      <c r="Y43" s="64">
        <f t="shared" si="8"/>
        <v>23.3</v>
      </c>
      <c r="Z43" s="64">
        <f t="shared" si="9"/>
        <v>1.3599999999999999E-2</v>
      </c>
      <c r="AA43" s="64">
        <f t="shared" si="10"/>
        <v>23.2864</v>
      </c>
      <c r="AB43" s="61" t="e">
        <f>VLOOKUP(A43,Enforcements!$C$7:$K$19,8,0)</f>
        <v>#N/A</v>
      </c>
      <c r="AC43" s="57" t="e">
        <f>VLOOKUP(A43,Enforcements!$C$7:$E$19,3,0)</f>
        <v>#N/A</v>
      </c>
      <c r="AD43" s="58" t="str">
        <f t="shared" si="11"/>
        <v>0130-02</v>
      </c>
      <c r="AE43" s="87" t="str">
        <f t="shared" si="12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43" s="84" t="str">
        <f t="shared" si="13"/>
        <v>"C:\Program Files (x86)\AstroGrep\AstroGrep.exe" /spath="%USERPROFILE%\AppData\Local\Temp\OnboardLogs" /stypes="app*4012*20170102*"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130-02 --locoid 4012 --swversion DE.1.0.8.0 --startMP 204:233000 --initTime 2017-01-02T08:01:05 --startdatetime 2017-01-02T08:11:18 --delay 1 --endMP 204:136 --enddatetime 2017-01-02T08:49:26 --enforcementcount 0 &gt;&gt;C:\Users\stu\Documents\GitHub\eaglep3-reporting\EC\2017-01-02-refined-times.txt</v>
      </c>
      <c r="AI43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{"issue":{"subject":"","project_id":79,"tracker_id":40,"status_id":1,"priority_id":2,"assigned_to_id":23,"start_date":"2017-01-02","description":"","custom_fields":[{"id":1,"name":"Subdivision","value":"EC"},{"id":4,"name":"Milepost","value":"0.0136"},{"id":17,"name":"Train ID","value":"130-02"},{"id":16,"name":"Locomotive ID","value":"4012"},{"id":130,"name":"Impact","value":""},{"id":150,"name":"Time of Event (Mountain Time)","value":"08:49:26"},{"id":151,"name":"Denver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20"/>
        <v>start /low /b %USERPROFILE%\Documents\GitHub\eaglep3\Utilities\DownloadLogsFromS3.py --loco 4012 --day 2017-01-02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493</v>
      </c>
      <c r="B44" s="7">
        <v>4046</v>
      </c>
      <c r="C44" s="22" t="s">
        <v>203</v>
      </c>
      <c r="D44" s="22" t="s">
        <v>266</v>
      </c>
      <c r="E44" s="13">
        <v>42737.301712962966</v>
      </c>
      <c r="F44" s="13">
        <v>42737.312754629631</v>
      </c>
      <c r="G44" s="7">
        <v>2</v>
      </c>
      <c r="H44" s="22" t="s">
        <v>682</v>
      </c>
      <c r="I44" s="13">
        <v>42737.338414351849</v>
      </c>
      <c r="J44" s="7">
        <v>0</v>
      </c>
      <c r="K44" s="105" t="str">
        <f t="shared" si="0"/>
        <v>4045/4046</v>
      </c>
      <c r="L44" s="22" t="str">
        <f>VLOOKUP(A44,'Trips&amp;Operators'!$C$1:$G$99999,5,FALSE)</f>
        <v>MAELZER KURT</v>
      </c>
      <c r="M44" s="6">
        <f t="shared" si="1"/>
        <v>2.565972221782431E-2</v>
      </c>
      <c r="N44" s="7">
        <f t="shared" si="2"/>
        <v>36.949999993667006</v>
      </c>
      <c r="O44" s="7"/>
      <c r="P44" s="7"/>
      <c r="Q44" s="23"/>
      <c r="R44" s="23"/>
      <c r="S44" s="32">
        <f t="shared" si="3"/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06:14:28-700',mode:absolute,to:'2017-01-02 09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4" s="49" t="str">
        <f t="shared" si="6"/>
        <v>N</v>
      </c>
      <c r="X44" s="173">
        <f t="shared" si="7"/>
        <v>1</v>
      </c>
      <c r="Y44" s="64">
        <f t="shared" si="8"/>
        <v>4.4900000000000002E-2</v>
      </c>
      <c r="Z44" s="64">
        <f t="shared" si="9"/>
        <v>23.332799999999999</v>
      </c>
      <c r="AA44" s="64">
        <f t="shared" si="10"/>
        <v>23.2879</v>
      </c>
      <c r="AB44" s="61" t="e">
        <f>VLOOKUP(A44,Enforcements!$C$7:$K$19,8,0)</f>
        <v>#N/A</v>
      </c>
      <c r="AC44" s="57" t="e">
        <f>VLOOKUP(A44,Enforcements!$C$7:$E$19,3,0)</f>
        <v>#N/A</v>
      </c>
      <c r="AD44" s="58" t="str">
        <f t="shared" si="11"/>
        <v>0131-02</v>
      </c>
      <c r="AE44" s="87" t="str">
        <f t="shared" si="12"/>
        <v>aws s3 cp s3://rtdc.mdm.uploadarchive.raw/RTDC4046/ "%USERPROFILE%\AppData\Local\Temp\OnboardLogs"\RTDC4046\2017-01-02 --exclude "*" --recursive --include "*20170102*" &amp; "%USERPROFILE%\Documents\GitHub\mrs-test-scripts\Headless Mode &amp; Sideloading\WalkAndUnGZ.bat" "%USERPROFILE%\AppData\Local\Temp\OnboardLogs"\RTDC4046\2017-01-02 &amp; 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</v>
      </c>
      <c r="AF44" s="84" t="str">
        <f t="shared" si="13"/>
        <v>"C:\Program Files (x86)\AstroGrep\AstroGrep.exe" /spath="%USERPROFILE%\AppData\Local\Temp\OnboardLogs" /stypes="app*4046*20170102*"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131-02 --locoid 4046 --swversion DE.1.0.8.0 --startMP 204:449 --initTime 2017-01-02T07:14:28 --startdatetime 2017-01-02T07:30:22 --delay 2 --endMP 204:233328 --enddatetime 2017-01-02T08:07:19 --enforcementcount 0 &gt;&gt;C:\Users\stu\Documents\GitHub\eaglep3-reporting\EC\2017-01-02-refined-times.txt</v>
      </c>
      <c r="AI44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{"issue":{"subject":"","project_id":79,"tracker_id":40,"status_id":1,"priority_id":2,"assigned_to_id":23,"start_date":"2017-01-02","description":"","custom_fields":[{"id":1,"name":"Subdivision","value":"EC"},{"id":4,"name":"Milepost","value":"23.3328"},{"id":17,"name":"Train ID","value":"131-02"},{"id":16,"name":"Locomotive ID","value":"4046"},{"id":130,"name":"Impact","value":""},{"id":150,"name":"Time of Event (Mountain Time)","value":"08:07:19"},{"id":151,"name":"Denver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20"/>
        <v>start /low /b %USERPROFILE%\Documents\GitHub\eaglep3\Utilities\DownloadLogsFromS3.py --loco 4046 --day 2017-01-02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503</v>
      </c>
      <c r="B45" s="7">
        <v>4045</v>
      </c>
      <c r="C45" s="22" t="s">
        <v>203</v>
      </c>
      <c r="D45" s="22" t="s">
        <v>323</v>
      </c>
      <c r="E45" s="13">
        <v>42737.347916666666</v>
      </c>
      <c r="F45" s="13">
        <v>42737.351643518516</v>
      </c>
      <c r="G45" s="7">
        <v>1</v>
      </c>
      <c r="H45" s="22" t="s">
        <v>303</v>
      </c>
      <c r="I45" s="13">
        <v>42737.378333333334</v>
      </c>
      <c r="J45" s="7">
        <v>0</v>
      </c>
      <c r="K45" s="105" t="str">
        <f t="shared" si="0"/>
        <v>4045/4046</v>
      </c>
      <c r="L45" s="22" t="str">
        <f>VLOOKUP(A45,'Trips&amp;Operators'!$C$1:$G$99999,5,FALSE)</f>
        <v>MAELZER KURT</v>
      </c>
      <c r="M45" s="6">
        <f t="shared" si="1"/>
        <v>2.6689814818382729E-2</v>
      </c>
      <c r="N45" s="7">
        <f t="shared" si="2"/>
        <v>38.43333333847113</v>
      </c>
      <c r="O45" s="7"/>
      <c r="P45" s="7"/>
      <c r="Q45" s="23"/>
      <c r="R45" s="23"/>
      <c r="S45" s="32">
        <f t="shared" si="3"/>
        <v>1</v>
      </c>
      <c r="T45" s="47" t="str">
        <f t="shared" si="4"/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07:21:00-700',mode:absolute,to:'2017-01-02 10:04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5" s="49" t="str">
        <f t="shared" si="6"/>
        <v>N</v>
      </c>
      <c r="X45" s="173">
        <f t="shared" si="7"/>
        <v>1</v>
      </c>
      <c r="Y45" s="64">
        <f t="shared" si="8"/>
        <v>23.299600000000002</v>
      </c>
      <c r="Z45" s="64">
        <f t="shared" si="9"/>
        <v>1.41E-2</v>
      </c>
      <c r="AA45" s="64">
        <f t="shared" si="10"/>
        <v>23.285500000000003</v>
      </c>
      <c r="AB45" s="61" t="e">
        <f>VLOOKUP(A45,Enforcements!$C$7:$K$19,8,0)</f>
        <v>#N/A</v>
      </c>
      <c r="AC45" s="57" t="e">
        <f>VLOOKUP(A45,Enforcements!$C$7:$E$19,3,0)</f>
        <v>#N/A</v>
      </c>
      <c r="AD45" s="58" t="str">
        <f t="shared" si="11"/>
        <v>0132-02</v>
      </c>
      <c r="AE45" s="87" t="str">
        <f t="shared" si="12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45" s="84" t="str">
        <f t="shared" si="13"/>
        <v>"C:\Program Files (x86)\AstroGrep\AstroGrep.exe" /spath="%USERPROFILE%\AppData\Local\Temp\OnboardLogs" /stypes="app*4045*20170102*"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132-02 --locoid 4045 --swversion DE.1.0.8.0 --startMP 204:232996 --initTime 2017-01-02T08:21:00 --startdatetime 2017-01-02T08:26:22 --delay 1 --endMP 204:141 --enddatetime 2017-01-02T09:04:48 --enforcementcount 0 &gt;&gt;C:\Users\stu\Documents\GitHub\eaglep3-reporting\EC\2017-01-02-refined-times.txt</v>
      </c>
      <c r="AI45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{"issue":{"subject":"","project_id":79,"tracker_id":40,"status_id":1,"priority_id":2,"assigned_to_id":23,"start_date":"2017-01-02","description":"","custom_fields":[{"id":1,"name":"Subdivision","value":"EC"},{"id":4,"name":"Milepost","value":"0.0141"},{"id":17,"name":"Train ID","value":"132-02"},{"id":16,"name":"Locomotive ID","value":"4045"},{"id":130,"name":"Impact","value":""},{"id":150,"name":"Time of Event (Mountain Time)","value":"09:04:48"},{"id":151,"name":"Denver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20"/>
        <v>start /low /b %USERPROFILE%\Documents\GitHub\eaglep3\Utilities\DownloadLogsFromS3.py --loco 4045 --day 2017-01-02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496</v>
      </c>
      <c r="B46" s="7">
        <v>4014</v>
      </c>
      <c r="C46" s="22" t="s">
        <v>203</v>
      </c>
      <c r="D46" s="22" t="s">
        <v>680</v>
      </c>
      <c r="E46" s="13">
        <v>42737.31753472222</v>
      </c>
      <c r="F46" s="13">
        <v>42737.323113425926</v>
      </c>
      <c r="G46" s="7">
        <v>1</v>
      </c>
      <c r="H46" s="22" t="s">
        <v>316</v>
      </c>
      <c r="I46" s="13">
        <v>42737.348865740743</v>
      </c>
      <c r="J46" s="7">
        <v>0</v>
      </c>
      <c r="K46" s="105" t="str">
        <f t="shared" si="0"/>
        <v>4013/4014</v>
      </c>
      <c r="L46" s="22" t="str">
        <f>VLOOKUP(A46,'Trips&amp;Operators'!$C$1:$G$99999,5,FALSE)</f>
        <v>ACKERMAN JARED</v>
      </c>
      <c r="M46" s="6">
        <f t="shared" si="1"/>
        <v>2.5752314817509614E-2</v>
      </c>
      <c r="N46" s="7">
        <f t="shared" si="2"/>
        <v>37.083333337213844</v>
      </c>
      <c r="O46" s="7"/>
      <c r="P46" s="7"/>
      <c r="Q46" s="23"/>
      <c r="R46" s="23"/>
      <c r="S46" s="32">
        <f t="shared" si="3"/>
        <v>1</v>
      </c>
      <c r="T46" s="47" t="str">
        <f t="shared" si="4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06:37:15-700',mode:absolute,to:'2017-01-02 09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6" s="49" t="str">
        <f t="shared" si="6"/>
        <v>N</v>
      </c>
      <c r="X46" s="173">
        <f t="shared" si="7"/>
        <v>1</v>
      </c>
      <c r="Y46" s="64">
        <f t="shared" si="8"/>
        <v>4.3799999999999999E-2</v>
      </c>
      <c r="Z46" s="64">
        <f t="shared" si="9"/>
        <v>23.331700000000001</v>
      </c>
      <c r="AA46" s="64">
        <f t="shared" si="10"/>
        <v>23.2879</v>
      </c>
      <c r="AB46" s="61" t="e">
        <f>VLOOKUP(A46,Enforcements!$C$7:$K$19,8,0)</f>
        <v>#N/A</v>
      </c>
      <c r="AC46" s="57" t="e">
        <f>VLOOKUP(A46,Enforcements!$C$7:$E$19,3,0)</f>
        <v>#N/A</v>
      </c>
      <c r="AD46" s="58" t="str">
        <f t="shared" si="11"/>
        <v>0133-02</v>
      </c>
      <c r="AE46" s="87" t="str">
        <f t="shared" si="12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46" s="84" t="str">
        <f t="shared" si="13"/>
        <v>"C:\Program Files (x86)\AstroGrep\AstroGrep.exe" /spath="%USERPROFILE%\AppData\Local\Temp\OnboardLogs" /stypes="app*4014*20170102*"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133-02 --locoid 4014 --swversion DE.1.0.8.0 --startMP 204:438 --initTime 2017-01-02T07:37:15 --startdatetime 2017-01-02T07:45:17 --delay 1 --endMP 204:233317 --enddatetime 2017-01-02T08:22:22 --enforcementcount 0 &gt;&gt;C:\Users\stu\Documents\GitHub\eaglep3-reporting\EC\2017-01-02-refined-times.txt</v>
      </c>
      <c r="AI46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{"issue":{"subject":"","project_id":79,"tracker_id":40,"status_id":1,"priority_id":2,"assigned_to_id":23,"start_date":"2017-01-02","description":"","custom_fields":[{"id":1,"name":"Subdivision","value":"EC"},{"id":4,"name":"Milepost","value":"23.3317"},{"id":17,"name":"Train ID","value":"133-02"},{"id":16,"name":"Locomotive ID","value":"4014"},{"id":130,"name":"Impact","value":""},{"id":150,"name":"Time of Event (Mountain Time)","value":"08:22:22"},{"id":151,"name":"Denver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20"/>
        <v>start /low /b %USERPROFILE%\Documents\GitHub\eaglep3\Utilities\DownloadLogsFromS3.py --loco 4014 --day 2017-01-02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506</v>
      </c>
      <c r="B47" s="7">
        <v>4013</v>
      </c>
      <c r="C47" s="22" t="s">
        <v>203</v>
      </c>
      <c r="D47" s="22" t="s">
        <v>300</v>
      </c>
      <c r="E47" s="13">
        <v>42737.356458333335</v>
      </c>
      <c r="F47" s="13">
        <v>42737.362060185187</v>
      </c>
      <c r="G47" s="7">
        <v>1</v>
      </c>
      <c r="H47" s="22" t="s">
        <v>259</v>
      </c>
      <c r="I47" s="13">
        <v>42737.38853009259</v>
      </c>
      <c r="J47" s="7">
        <v>0</v>
      </c>
      <c r="K47" s="105" t="str">
        <f t="shared" si="0"/>
        <v>4013/4014</v>
      </c>
      <c r="L47" s="22" t="str">
        <f>VLOOKUP(A47,'Trips&amp;Operators'!$C$1:$G$99999,5,FALSE)</f>
        <v>ACKERMAN JARED</v>
      </c>
      <c r="M47" s="6">
        <f t="shared" si="1"/>
        <v>2.6469907403225079E-2</v>
      </c>
      <c r="N47" s="7">
        <f t="shared" si="2"/>
        <v>38.116666660644114</v>
      </c>
      <c r="O47" s="7"/>
      <c r="P47" s="7"/>
      <c r="Q47" s="23"/>
      <c r="R47" s="23"/>
      <c r="S47" s="32">
        <f t="shared" si="3"/>
        <v>1</v>
      </c>
      <c r="T47" s="47" t="str">
        <f t="shared" si="4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07:33:18-700',mode:absolute,to:'2017-01-02 10:19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7" s="49" t="str">
        <f t="shared" si="6"/>
        <v>N</v>
      </c>
      <c r="X47" s="173">
        <f t="shared" si="7"/>
        <v>1</v>
      </c>
      <c r="Y47" s="64">
        <f t="shared" si="8"/>
        <v>23.299800000000001</v>
      </c>
      <c r="Z47" s="64">
        <f t="shared" si="9"/>
        <v>1.38E-2</v>
      </c>
      <c r="AA47" s="64">
        <f t="shared" si="10"/>
        <v>23.286000000000001</v>
      </c>
      <c r="AB47" s="61" t="e">
        <f>VLOOKUP(A47,Enforcements!$C$7:$K$19,8,0)</f>
        <v>#N/A</v>
      </c>
      <c r="AC47" s="57" t="e">
        <f>VLOOKUP(A47,Enforcements!$C$7:$E$19,3,0)</f>
        <v>#N/A</v>
      </c>
      <c r="AD47" s="58" t="str">
        <f t="shared" si="11"/>
        <v>0134-02</v>
      </c>
      <c r="AE47" s="87" t="str">
        <f t="shared" si="12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47" s="84" t="str">
        <f t="shared" si="13"/>
        <v>"C:\Program Files (x86)\AstroGrep\AstroGrep.exe" /spath="%USERPROFILE%\AppData\Local\Temp\OnboardLogs" /stypes="app*4013*20170102*"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134-02 --locoid 4013 --swversion DE.1.0.8.0 --startMP 204:232998 --initTime 2017-01-02T08:33:18 --startdatetime 2017-01-02T08:41:22 --delay 1 --endMP 204:138 --enddatetime 2017-01-02T09:19:29 --enforcementcount 0 &gt;&gt;C:\Users\stu\Documents\GitHub\eaglep3-reporting\EC\2017-01-02-refined-times.txt</v>
      </c>
      <c r="AI47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{"issue":{"subject":"","project_id":79,"tracker_id":40,"status_id":1,"priority_id":2,"assigned_to_id":23,"start_date":"2017-01-02","description":"","custom_fields":[{"id":1,"name":"Subdivision","value":"EC"},{"id":4,"name":"Milepost","value":"0.0138"},{"id":17,"name":"Train ID","value":"134-02"},{"id":16,"name":"Locomotive ID","value":"4013"},{"id":130,"name":"Impact","value":""},{"id":150,"name":"Time of Event (Mountain Time)","value":"09:19:29"},{"id":151,"name":"Denver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20"/>
        <v>start /low /b %USERPROFILE%\Documents\GitHub\eaglep3\Utilities\DownloadLogsFromS3.py --loco 4013 --day 2017-01-02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499</v>
      </c>
      <c r="B48" s="7">
        <v>4042</v>
      </c>
      <c r="C48" s="22" t="s">
        <v>203</v>
      </c>
      <c r="D48" s="22" t="s">
        <v>421</v>
      </c>
      <c r="E48" s="13">
        <v>42737.328506944446</v>
      </c>
      <c r="F48" s="13">
        <v>42737.333495370367</v>
      </c>
      <c r="G48" s="7">
        <v>0</v>
      </c>
      <c r="H48" s="22" t="s">
        <v>287</v>
      </c>
      <c r="I48" s="13">
        <v>42737.35796296296</v>
      </c>
      <c r="J48" s="7">
        <v>0</v>
      </c>
      <c r="K48" s="105" t="str">
        <f t="shared" si="0"/>
        <v>4041/4042</v>
      </c>
      <c r="L48" s="22" t="str">
        <f>VLOOKUP(A48,'Trips&amp;Operators'!$C$1:$G$99999,5,FALSE)</f>
        <v>COMELLA JUSTIN</v>
      </c>
      <c r="M48" s="6">
        <f t="shared" si="1"/>
        <v>2.4467592593282461E-2</v>
      </c>
      <c r="N48" s="7">
        <f t="shared" si="2"/>
        <v>35.233333334326744</v>
      </c>
      <c r="O48" s="7"/>
      <c r="P48" s="7"/>
      <c r="Q48" s="23"/>
      <c r="R48" s="23"/>
      <c r="S48" s="32">
        <f t="shared" si="3"/>
        <v>1</v>
      </c>
      <c r="T48" s="47" t="str">
        <f t="shared" si="4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06:53:03-700',mode:absolute,to:'2017-01-02 09:35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8" s="49" t="str">
        <f t="shared" si="6"/>
        <v>N</v>
      </c>
      <c r="X48" s="173">
        <f t="shared" si="7"/>
        <v>1</v>
      </c>
      <c r="Y48" s="64">
        <f t="shared" si="8"/>
        <v>4.7300000000000002E-2</v>
      </c>
      <c r="Z48" s="64">
        <f t="shared" si="9"/>
        <v>23.330100000000002</v>
      </c>
      <c r="AA48" s="64">
        <f t="shared" si="10"/>
        <v>23.282800000000002</v>
      </c>
      <c r="AB48" s="61" t="e">
        <f>VLOOKUP(A48,Enforcements!$C$7:$K$19,8,0)</f>
        <v>#N/A</v>
      </c>
      <c r="AC48" s="57" t="e">
        <f>VLOOKUP(A48,Enforcements!$C$7:$E$19,3,0)</f>
        <v>#N/A</v>
      </c>
      <c r="AD48" s="58" t="str">
        <f t="shared" si="11"/>
        <v>0135-02</v>
      </c>
      <c r="AE48" s="87" t="str">
        <f t="shared" si="12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48" s="84" t="str">
        <f t="shared" si="13"/>
        <v>"C:\Program Files (x86)\AstroGrep\AstroGrep.exe" /spath="%USERPROFILE%\AppData\Local\Temp\OnboardLogs" /stypes="app*4042*20170102*"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135-02 --locoid 4042 --swversion DE.1.0.8.0 --startMP 204:473 --initTime 2017-01-02T07:53:03 --startdatetime 2017-01-02T08:00:14 --delay 0 --endMP 204:233301 --enddatetime 2017-01-02T08:35:28 --enforcementcount 0 &gt;&gt;C:\Users\stu\Documents\GitHub\eaglep3-reporting\EC\2017-01-02-refined-times.txt</v>
      </c>
      <c r="AI48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{"issue":{"subject":"","project_id":79,"tracker_id":40,"status_id":1,"priority_id":2,"assigned_to_id":23,"start_date":"2017-01-02","description":"","custom_fields":[{"id":1,"name":"Subdivision","value":"EC"},{"id":4,"name":"Milepost","value":"23.3301"},{"id":17,"name":"Train ID","value":"135-02"},{"id":16,"name":"Locomotive ID","value":"4042"},{"id":130,"name":"Impact","value":""},{"id":150,"name":"Time of Event (Mountain Time)","value":"08:35:28"},{"id":151,"name":"Denver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20"/>
        <v>start /low /b %USERPROFILE%\Documents\GitHub\eaglep3\Utilities\DownloadLogsFromS3.py --loco 4042 --day 2017-01-02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509</v>
      </c>
      <c r="B49" s="7">
        <v>4041</v>
      </c>
      <c r="C49" s="22" t="s">
        <v>203</v>
      </c>
      <c r="D49" s="22" t="s">
        <v>269</v>
      </c>
      <c r="E49" s="13">
        <v>42737.3590625</v>
      </c>
      <c r="F49" s="13">
        <v>42737.372407407405</v>
      </c>
      <c r="G49" s="7">
        <v>1</v>
      </c>
      <c r="H49" s="22" t="s">
        <v>192</v>
      </c>
      <c r="I49" s="13">
        <v>42737.398506944446</v>
      </c>
      <c r="J49" s="7">
        <v>0</v>
      </c>
      <c r="K49" s="105" t="str">
        <f t="shared" si="0"/>
        <v>4041/4042</v>
      </c>
      <c r="L49" s="22" t="str">
        <f>VLOOKUP(A49,'Trips&amp;Operators'!$C$1:$G$99999,5,FALSE)</f>
        <v>COMELLA JUSTIN</v>
      </c>
      <c r="M49" s="6">
        <f t="shared" si="1"/>
        <v>2.6099537040863652E-2</v>
      </c>
      <c r="N49" s="7">
        <f t="shared" si="2"/>
        <v>37.583333338843659</v>
      </c>
      <c r="O49" s="7"/>
      <c r="P49" s="7"/>
      <c r="Q49" s="23"/>
      <c r="R49" s="23"/>
      <c r="S49" s="32">
        <f t="shared" si="3"/>
        <v>1</v>
      </c>
      <c r="T49" s="47" t="str">
        <f t="shared" si="4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07:37:03-700',mode:absolute,to:'2017-01-02 10:33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9" s="49" t="str">
        <f t="shared" si="6"/>
        <v>N</v>
      </c>
      <c r="X49" s="173">
        <f t="shared" si="7"/>
        <v>1</v>
      </c>
      <c r="Y49" s="64">
        <f t="shared" si="8"/>
        <v>23.297799999999999</v>
      </c>
      <c r="Z49" s="64">
        <f t="shared" si="9"/>
        <v>1.43E-2</v>
      </c>
      <c r="AA49" s="64">
        <f t="shared" si="10"/>
        <v>23.2835</v>
      </c>
      <c r="AB49" s="61" t="e">
        <f>VLOOKUP(A49,Enforcements!$C$7:$K$19,8,0)</f>
        <v>#N/A</v>
      </c>
      <c r="AC49" s="57" t="e">
        <f>VLOOKUP(A49,Enforcements!$C$7:$E$19,3,0)</f>
        <v>#N/A</v>
      </c>
      <c r="AD49" s="58" t="str">
        <f t="shared" si="11"/>
        <v>0136-02</v>
      </c>
      <c r="AE49" s="87" t="str">
        <f t="shared" si="12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49" s="84" t="str">
        <f t="shared" si="13"/>
        <v>"C:\Program Files (x86)\AstroGrep\AstroGrep.exe" /spath="%USERPROFILE%\AppData\Local\Temp\OnboardLogs" /stypes="app*4041*20170102*"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136-02 --locoid 4041 --swversion DE.1.0.8.0 --startMP 204:232978 --initTime 2017-01-02T08:37:03 --startdatetime 2017-01-02T08:56:16 --delay 1 --endMP 204:143 --enddatetime 2017-01-02T09:33:51 --enforcementcount 0 &gt;&gt;C:\Users\stu\Documents\GitHub\eaglep3-reporting\EC\2017-01-02-refined-times.txt</v>
      </c>
      <c r="AI49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{"issue":{"subject":"","project_id":79,"tracker_id":40,"status_id":1,"priority_id":2,"assigned_to_id":23,"start_date":"2017-01-02","description":"","custom_fields":[{"id":1,"name":"Subdivision","value":"EC"},{"id":4,"name":"Milepost","value":"0.0143"},{"id":17,"name":"Train ID","value":"136-02"},{"id":16,"name":"Locomotive ID","value":"4041"},{"id":130,"name":"Impact","value":""},{"id":150,"name":"Time of Event (Mountain Time)","value":"09:33:51"},{"id":151,"name":"Denver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20"/>
        <v>start /low /b %USERPROFILE%\Documents\GitHub\eaglep3\Utilities\DownloadLogsFromS3.py --loco 4041 --day 2017-01-02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501</v>
      </c>
      <c r="B50" s="7">
        <v>4029</v>
      </c>
      <c r="C50" s="22" t="s">
        <v>203</v>
      </c>
      <c r="D50" s="22" t="s">
        <v>411</v>
      </c>
      <c r="E50" s="13">
        <v>42737.339050925926</v>
      </c>
      <c r="F50" s="13">
        <v>42737.343958333331</v>
      </c>
      <c r="G50" s="7">
        <v>2</v>
      </c>
      <c r="H50" s="22" t="s">
        <v>289</v>
      </c>
      <c r="I50" s="13">
        <v>42737.370289351849</v>
      </c>
      <c r="J50" s="7">
        <v>0</v>
      </c>
      <c r="K50" s="105" t="str">
        <f t="shared" si="0"/>
        <v>4029/4030</v>
      </c>
      <c r="L50" s="22" t="str">
        <f>VLOOKUP(A50,'Trips&amp;Operators'!$C$1:$G$99999,5,FALSE)</f>
        <v>SHOOK JOHN</v>
      </c>
      <c r="M50" s="6">
        <f t="shared" si="1"/>
        <v>2.6331018518249039E-2</v>
      </c>
      <c r="N50" s="7">
        <f t="shared" si="2"/>
        <v>37.916666666278616</v>
      </c>
      <c r="O50" s="7"/>
      <c r="P50" s="7"/>
      <c r="Q50" s="23"/>
      <c r="R50" s="23"/>
      <c r="S50" s="32">
        <f t="shared" si="3"/>
        <v>1</v>
      </c>
      <c r="T50" s="47" t="str">
        <f t="shared" si="4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07:08:14-700',mode:absolute,to:'2017-01-02 09:53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0" s="49" t="str">
        <f t="shared" si="6"/>
        <v>N</v>
      </c>
      <c r="X50" s="173">
        <f t="shared" si="7"/>
        <v>1</v>
      </c>
      <c r="Y50" s="64">
        <f t="shared" si="8"/>
        <v>4.7500000000000001E-2</v>
      </c>
      <c r="Z50" s="64">
        <f t="shared" si="9"/>
        <v>23.331199999999999</v>
      </c>
      <c r="AA50" s="64">
        <f t="shared" si="10"/>
        <v>23.2837</v>
      </c>
      <c r="AB50" s="61" t="e">
        <f>VLOOKUP(A50,Enforcements!$C$7:$K$19,8,0)</f>
        <v>#N/A</v>
      </c>
      <c r="AC50" s="57" t="e">
        <f>VLOOKUP(A50,Enforcements!$C$7:$E$19,3,0)</f>
        <v>#N/A</v>
      </c>
      <c r="AD50" s="58" t="str">
        <f t="shared" si="11"/>
        <v>0137-02</v>
      </c>
      <c r="AE50" s="87" t="str">
        <f t="shared" si="12"/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AF50" s="84" t="str">
        <f t="shared" si="13"/>
        <v>"C:\Program Files (x86)\AstroGrep\AstroGrep.exe" /spath="%USERPROFILE%\AppData\Local\Temp\OnboardLogs" /stypes="app*4029*20170102*"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137-02 --locoid 4029 --swversion DE.1.0.8.0 --startMP 204:475 --initTime 2017-01-02T08:08:14 --startdatetime 2017-01-02T08:15:18 --delay 2 --endMP 204:233312 --enddatetime 2017-01-02T08:53:13 --enforcementcount 0 &gt;&gt;C:\Users\stu\Documents\GitHub\eaglep3-reporting\EC\2017-01-02-refined-times.txt</v>
      </c>
      <c r="AI50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{"issue":{"subject":"","project_id":79,"tracker_id":40,"status_id":1,"priority_id":2,"assigned_to_id":23,"start_date":"2017-01-02","description":"","custom_fields":[{"id":1,"name":"Subdivision","value":"EC"},{"id":4,"name":"Milepost","value":"23.3312"},{"id":17,"name":"Train ID","value":"137-02"},{"id":16,"name":"Locomotive ID","value":"4029"},{"id":130,"name":"Impact","value":""},{"id":150,"name":"Time of Event (Mountain Time)","value":"08:53:13"},{"id":151,"name":"Denver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20"/>
        <v>start /low /b %USERPROFILE%\Documents\GitHub\eaglep3\Utilities\DownloadLogsFromS3.py --loco 4029 --day 2017-01-02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511</v>
      </c>
      <c r="B51" s="7">
        <v>4030</v>
      </c>
      <c r="C51" s="22" t="s">
        <v>203</v>
      </c>
      <c r="D51" s="22" t="s">
        <v>683</v>
      </c>
      <c r="E51" s="13">
        <v>42737.372858796298</v>
      </c>
      <c r="F51" s="13">
        <v>42737.382870370369</v>
      </c>
      <c r="G51" s="7">
        <v>1</v>
      </c>
      <c r="H51" s="22" t="s">
        <v>250</v>
      </c>
      <c r="I51" s="13">
        <v>42737.410798611112</v>
      </c>
      <c r="J51" s="7">
        <v>0</v>
      </c>
      <c r="K51" s="105" t="str">
        <f t="shared" si="0"/>
        <v>4029/4030</v>
      </c>
      <c r="L51" s="22" t="str">
        <f>VLOOKUP(A51,'Trips&amp;Operators'!$C$1:$G$99999,5,FALSE)</f>
        <v>SHOOK JOHN</v>
      </c>
      <c r="M51" s="6">
        <f t="shared" si="1"/>
        <v>2.792824074276723E-2</v>
      </c>
      <c r="N51" s="7">
        <f t="shared" si="2"/>
        <v>40.216666669584811</v>
      </c>
      <c r="O51" s="7"/>
      <c r="P51" s="7"/>
      <c r="Q51" s="23"/>
      <c r="R51" s="23"/>
      <c r="S51" s="32">
        <f t="shared" si="3"/>
        <v>1</v>
      </c>
      <c r="T51" s="47" t="str">
        <f t="shared" si="4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07:56:55-700',mode:absolute,to:'2017-01-02 10:51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1" s="49" t="str">
        <f t="shared" si="6"/>
        <v>N</v>
      </c>
      <c r="X51" s="173">
        <f t="shared" si="7"/>
        <v>1</v>
      </c>
      <c r="Y51" s="64">
        <f t="shared" si="8"/>
        <v>23.3004</v>
      </c>
      <c r="Z51" s="64">
        <f t="shared" si="9"/>
        <v>1.3899999999999999E-2</v>
      </c>
      <c r="AA51" s="64">
        <f t="shared" si="10"/>
        <v>23.2865</v>
      </c>
      <c r="AB51" s="61" t="e">
        <f>VLOOKUP(A51,Enforcements!$C$7:$K$19,8,0)</f>
        <v>#N/A</v>
      </c>
      <c r="AC51" s="57" t="e">
        <f>VLOOKUP(A51,Enforcements!$C$7:$E$19,3,0)</f>
        <v>#N/A</v>
      </c>
      <c r="AD51" s="58" t="str">
        <f t="shared" si="11"/>
        <v>0138-02</v>
      </c>
      <c r="AE51" s="87" t="str">
        <f t="shared" si="12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51" s="84" t="str">
        <f t="shared" si="13"/>
        <v>"C:\Program Files (x86)\AstroGrep\AstroGrep.exe" /spath="%USERPROFILE%\AppData\Local\Temp\OnboardLogs" /stypes="app*4030*20170102*"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138-02 --locoid 4030 --swversion DE.1.0.8.0 --startMP 204:233004 --initTime 2017-01-02T08:56:55 --startdatetime 2017-01-02T09:11:20 --delay 1 --endMP 204:139 --enddatetime 2017-01-02T09:51:33 --enforcementcount 0 &gt;&gt;C:\Users\stu\Documents\GitHub\eaglep3-reporting\EC\2017-01-02-refined-times.txt</v>
      </c>
      <c r="AI51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{"issue":{"subject":"","project_id":79,"tracker_id":40,"status_id":1,"priority_id":2,"assigned_to_id":23,"start_date":"2017-01-02","description":"","custom_fields":[{"id":1,"name":"Subdivision","value":"EC"},{"id":4,"name":"Milepost","value":"0.0139"},{"id":17,"name":"Train ID","value":"138-02"},{"id":16,"name":"Locomotive ID","value":"4030"},{"id":130,"name":"Impact","value":""},{"id":150,"name":"Time of Event (Mountain Time)","value":"09:51:33"},{"id":151,"name":"Denver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20"/>
        <v>start /low /b %USERPROFILE%\Documents\GitHub\eaglep3\Utilities\DownloadLogsFromS3.py --loco 4030 --day 2017-01-02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504</v>
      </c>
      <c r="B52" s="7">
        <v>4016</v>
      </c>
      <c r="C52" s="22" t="s">
        <v>203</v>
      </c>
      <c r="D52" s="22" t="s">
        <v>247</v>
      </c>
      <c r="E52" s="13">
        <v>42737.348680555559</v>
      </c>
      <c r="F52" s="13">
        <v>42737.354537037034</v>
      </c>
      <c r="G52" s="7">
        <v>1</v>
      </c>
      <c r="H52" s="22" t="s">
        <v>260</v>
      </c>
      <c r="I52" s="13">
        <v>42737.379120370373</v>
      </c>
      <c r="J52" s="7">
        <v>0</v>
      </c>
      <c r="K52" s="105" t="str">
        <f t="shared" si="0"/>
        <v>4015/4016</v>
      </c>
      <c r="L52" s="22" t="str">
        <f>VLOOKUP(A52,'Trips&amp;Operators'!$C$1:$G$99999,5,FALSE)</f>
        <v>SIMMONS SHYHESHA</v>
      </c>
      <c r="M52" s="6">
        <f t="shared" si="1"/>
        <v>2.4583333339251112E-2</v>
      </c>
      <c r="N52" s="7">
        <f t="shared" si="2"/>
        <v>35.400000008521602</v>
      </c>
      <c r="O52" s="7"/>
      <c r="P52" s="7"/>
      <c r="Q52" s="23"/>
      <c r="R52" s="23"/>
      <c r="S52" s="32">
        <f t="shared" si="3"/>
        <v>1</v>
      </c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07:22:06-700',mode:absolute,to:'2017-01-02 10:05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2" s="49" t="str">
        <f t="shared" si="6"/>
        <v>N</v>
      </c>
      <c r="X52" s="173">
        <f t="shared" si="7"/>
        <v>1</v>
      </c>
      <c r="Y52" s="64">
        <f t="shared" si="8"/>
        <v>4.6399999999999997E-2</v>
      </c>
      <c r="Z52" s="64">
        <f t="shared" si="9"/>
        <v>23.328900000000001</v>
      </c>
      <c r="AA52" s="64">
        <f t="shared" si="10"/>
        <v>23.282500000000002</v>
      </c>
      <c r="AB52" s="61" t="e">
        <f>VLOOKUP(A52,Enforcements!$C$7:$K$19,8,0)</f>
        <v>#N/A</v>
      </c>
      <c r="AC52" s="57" t="e">
        <f>VLOOKUP(A52,Enforcements!$C$7:$E$19,3,0)</f>
        <v>#N/A</v>
      </c>
      <c r="AD52" s="58" t="str">
        <f t="shared" si="11"/>
        <v>0139-02</v>
      </c>
      <c r="AE52" s="87" t="str">
        <f t="shared" si="12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52" s="84" t="str">
        <f t="shared" si="13"/>
        <v>"C:\Program Files (x86)\AstroGrep\AstroGrep.exe" /spath="%USERPROFILE%\AppData\Local\Temp\OnboardLogs" /stypes="app*4016*20170102*"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139-02 --locoid 4016 --swversion DE.1.0.8.0 --startMP 204:464 --initTime 2017-01-02T08:22:06 --startdatetime 2017-01-02T08:30:32 --delay 1 --endMP 204:233289 --enddatetime 2017-01-02T09:05:56 --enforcementcount 0 &gt;&gt;C:\Users\stu\Documents\GitHub\eaglep3-reporting\EC\2017-01-02-refined-times.txt</v>
      </c>
      <c r="AI52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{"issue":{"subject":"","project_id":79,"tracker_id":40,"status_id":1,"priority_id":2,"assigned_to_id":23,"start_date":"2017-01-02","description":"","custom_fields":[{"id":1,"name":"Subdivision","value":"EC"},{"id":4,"name":"Milepost","value":"23.3289"},{"id":17,"name":"Train ID","value":"139-02"},{"id":16,"name":"Locomotive ID","value":"4016"},{"id":130,"name":"Impact","value":""},{"id":150,"name":"Time of Event (Mountain Time)","value":"09:05:56"},{"id":151,"name":"Denver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20"/>
        <v>start /low /b %USERPROFILE%\Documents\GitHub\eaglep3\Utilities\DownloadLogsFromS3.py --loco 4016 --day 2017-01-02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4" t="s">
        <v>513</v>
      </c>
      <c r="B53" s="7">
        <v>4015</v>
      </c>
      <c r="C53" s="22" t="s">
        <v>203</v>
      </c>
      <c r="D53" s="22" t="s">
        <v>328</v>
      </c>
      <c r="E53" s="13">
        <v>42737.393182870372</v>
      </c>
      <c r="F53" s="13">
        <v>42737.394270833334</v>
      </c>
      <c r="G53" s="7">
        <v>1</v>
      </c>
      <c r="H53" s="22" t="s">
        <v>315</v>
      </c>
      <c r="I53" s="13">
        <v>42737.421307870369</v>
      </c>
      <c r="J53" s="7">
        <v>0</v>
      </c>
      <c r="K53" s="105" t="str">
        <f t="shared" si="0"/>
        <v>4015/4016</v>
      </c>
      <c r="L53" s="22" t="str">
        <f>VLOOKUP(A53,'Trips&amp;Operators'!$C$1:$G$99999,5,FALSE)</f>
        <v>SIMMONS SHYHESHA</v>
      </c>
      <c r="M53" s="6">
        <f t="shared" si="1"/>
        <v>2.7037037034460809E-2</v>
      </c>
      <c r="N53" s="7">
        <f t="shared" si="2"/>
        <v>38.933333329623565</v>
      </c>
      <c r="O53" s="7"/>
      <c r="P53" s="7"/>
      <c r="Q53" s="23"/>
      <c r="R53" s="23"/>
      <c r="S53" s="32">
        <f t="shared" si="3"/>
        <v>1</v>
      </c>
      <c r="T53" s="47" t="str">
        <f t="shared" si="4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08:26:11-700',mode:absolute,to:'2017-01-02 11:06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3" s="49" t="str">
        <f t="shared" si="6"/>
        <v>N</v>
      </c>
      <c r="X53" s="173">
        <f t="shared" si="7"/>
        <v>1</v>
      </c>
      <c r="Y53" s="64">
        <f t="shared" si="8"/>
        <v>23.297499999999999</v>
      </c>
      <c r="Z53" s="64">
        <f t="shared" si="9"/>
        <v>1.5599999999999999E-2</v>
      </c>
      <c r="AA53" s="64">
        <f t="shared" si="10"/>
        <v>23.2819</v>
      </c>
      <c r="AB53" s="61" t="e">
        <f>VLOOKUP(A53,Enforcements!$C$7:$K$19,8,0)</f>
        <v>#N/A</v>
      </c>
      <c r="AC53" s="57" t="e">
        <f>VLOOKUP(A53,Enforcements!$C$7:$E$19,3,0)</f>
        <v>#N/A</v>
      </c>
      <c r="AD53" s="58" t="str">
        <f t="shared" si="11"/>
        <v>0140-02</v>
      </c>
      <c r="AE53" s="87" t="str">
        <f t="shared" si="12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53" s="84" t="str">
        <f t="shared" si="13"/>
        <v>"C:\Program Files (x86)\AstroGrep\AstroGrep.exe" /spath="%USERPROFILE%\AppData\Local\Temp\OnboardLogs" /stypes="app*4015*20170102*"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140-02 --locoid 4015 --swversion DE.1.0.8.0 --startMP 204:232975 --initTime 2017-01-02T09:26:11 --startdatetime 2017-01-02T09:27:45 --delay 1 --endMP 204:156 --enddatetime 2017-01-02T10:06:41 --enforcementcount 0 &gt;&gt;C:\Users\stu\Documents\GitHub\eaglep3-reporting\EC\2017-01-02-refined-times.txt</v>
      </c>
      <c r="AI53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{"issue":{"subject":"","project_id":79,"tracker_id":40,"status_id":1,"priority_id":2,"assigned_to_id":23,"start_date":"2017-01-02","description":"","custom_fields":[{"id":1,"name":"Subdivision","value":"EC"},{"id":4,"name":"Milepost","value":"0.0156"},{"id":17,"name":"Train ID","value":"140-02"},{"id":16,"name":"Locomotive ID","value":"4015"},{"id":130,"name":"Impact","value":""},{"id":150,"name":"Time of Event (Mountain Time)","value":"10:06:41"},{"id":151,"name":"Denver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20"/>
        <v>start /low /b %USERPROFILE%\Documents\GitHub\eaglep3\Utilities\DownloadLogsFromS3.py --loco 4015 --day 2017-01-02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508</v>
      </c>
      <c r="B54" s="7">
        <v>4031</v>
      </c>
      <c r="C54" s="22" t="s">
        <v>203</v>
      </c>
      <c r="D54" s="22" t="s">
        <v>364</v>
      </c>
      <c r="E54" s="13">
        <v>42737.358831018515</v>
      </c>
      <c r="F54" s="13">
        <v>42737.364837962959</v>
      </c>
      <c r="G54" s="7">
        <v>1</v>
      </c>
      <c r="H54" s="22" t="s">
        <v>313</v>
      </c>
      <c r="I54" s="13">
        <v>42737.3906712963</v>
      </c>
      <c r="J54" s="7">
        <v>0</v>
      </c>
      <c r="K54" s="105" t="str">
        <f t="shared" si="0"/>
        <v>4031/4032</v>
      </c>
      <c r="L54" s="22" t="str">
        <f>VLOOKUP(A54,'Trips&amp;Operators'!$C$1:$G$99999,5,FALSE)</f>
        <v>OUN ZACK</v>
      </c>
      <c r="M54" s="6">
        <f t="shared" si="1"/>
        <v>2.5833333340415265E-2</v>
      </c>
      <c r="N54" s="7">
        <f t="shared" si="2"/>
        <v>37.200000010197982</v>
      </c>
      <c r="O54" s="7"/>
      <c r="P54" s="7"/>
      <c r="Q54" s="23"/>
      <c r="R54" s="23"/>
      <c r="S54" s="32">
        <f t="shared" si="3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07:36:43-700',mode:absolute,to:'2017-01-02 10:22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4" s="49" t="str">
        <f t="shared" si="6"/>
        <v>N</v>
      </c>
      <c r="X54" s="173">
        <f t="shared" si="7"/>
        <v>1</v>
      </c>
      <c r="Y54" s="64">
        <f t="shared" si="8"/>
        <v>4.6699999999999998E-2</v>
      </c>
      <c r="Z54" s="64">
        <f t="shared" si="9"/>
        <v>23.3291</v>
      </c>
      <c r="AA54" s="64">
        <f t="shared" si="10"/>
        <v>23.282399999999999</v>
      </c>
      <c r="AB54" s="61" t="e">
        <f>VLOOKUP(A54,Enforcements!$C$7:$K$19,8,0)</f>
        <v>#N/A</v>
      </c>
      <c r="AC54" s="57" t="e">
        <f>VLOOKUP(A54,Enforcements!$C$7:$E$19,3,0)</f>
        <v>#N/A</v>
      </c>
      <c r="AD54" s="58" t="str">
        <f t="shared" si="11"/>
        <v>0141-02</v>
      </c>
      <c r="AE54" s="87" t="str">
        <f t="shared" si="12"/>
        <v>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 &amp; 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</v>
      </c>
      <c r="AF54" s="84" t="str">
        <f t="shared" si="13"/>
        <v>"C:\Program Files (x86)\AstroGrep\AstroGrep.exe" /spath="%USERPROFILE%\AppData\Local\Temp\OnboardLogs" /stypes="app*4031*20170102*"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141-02 --locoid 4031 --swversion DE.1.0.8.0 --startMP 204:467 --initTime 2017-01-02T08:36:43 --startdatetime 2017-01-02T08:45:22 --delay 1 --endMP 204:233291 --enddatetime 2017-01-02T09:22:34 --enforcementcount 0 &gt;&gt;C:\Users\stu\Documents\GitHub\eaglep3-reporting\EC\2017-01-02-refined-times.txt</v>
      </c>
      <c r="AI54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{"issue":{"subject":"","project_id":79,"tracker_id":40,"status_id":1,"priority_id":2,"assigned_to_id":23,"start_date":"2017-01-02","description":"","custom_fields":[{"id":1,"name":"Subdivision","value":"EC"},{"id":4,"name":"Milepost","value":"23.3291"},{"id":17,"name":"Train ID","value":"141-02"},{"id":16,"name":"Locomotive ID","value":"4031"},{"id":130,"name":"Impact","value":""},{"id":150,"name":"Time of Event (Mountain Time)","value":"09:22:34"},{"id":151,"name":"Denver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20"/>
        <v>start /low /b %USERPROFILE%\Documents\GitHub\eaglep3\Utilities\DownloadLogsFromS3.py --loco 4031 --day 2017-01-02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516</v>
      </c>
      <c r="B55" s="7">
        <v>4032</v>
      </c>
      <c r="C55" s="22" t="s">
        <v>203</v>
      </c>
      <c r="D55" s="22" t="s">
        <v>420</v>
      </c>
      <c r="E55" s="13">
        <v>42737.398344907408</v>
      </c>
      <c r="F55" s="13">
        <v>42737.403749999998</v>
      </c>
      <c r="G55" s="7">
        <v>1</v>
      </c>
      <c r="H55" s="22" t="s">
        <v>191</v>
      </c>
      <c r="I55" s="13">
        <v>42737.430358796293</v>
      </c>
      <c r="J55" s="7">
        <v>0</v>
      </c>
      <c r="K55" s="105" t="str">
        <f t="shared" si="0"/>
        <v>4031/4032</v>
      </c>
      <c r="L55" s="22" t="str">
        <f>VLOOKUP(A55,'Trips&amp;Operators'!$C$1:$G$99999,5,FALSE)</f>
        <v>OUN ZACK</v>
      </c>
      <c r="M55" s="6">
        <f t="shared" si="1"/>
        <v>2.6608796295477077E-2</v>
      </c>
      <c r="N55" s="7">
        <f t="shared" si="2"/>
        <v>38.316666665486991</v>
      </c>
      <c r="O55" s="7"/>
      <c r="P55" s="7"/>
      <c r="Q55" s="23"/>
      <c r="R55" s="23"/>
      <c r="S55" s="32">
        <f t="shared" si="3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08:33:37-700',mode:absolute,to:'2017-01-02 11:19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5" s="49" t="str">
        <f t="shared" si="6"/>
        <v>N</v>
      </c>
      <c r="X55" s="173">
        <f t="shared" si="7"/>
        <v>1</v>
      </c>
      <c r="Y55" s="64">
        <f t="shared" si="8"/>
        <v>23.3002</v>
      </c>
      <c r="Z55" s="64">
        <f t="shared" si="9"/>
        <v>1.49E-2</v>
      </c>
      <c r="AA55" s="64">
        <f t="shared" si="10"/>
        <v>23.285299999999999</v>
      </c>
      <c r="AB55" s="61" t="e">
        <f>VLOOKUP(A55,Enforcements!$C$7:$K$19,8,0)</f>
        <v>#N/A</v>
      </c>
      <c r="AC55" s="57" t="e">
        <f>VLOOKUP(A55,Enforcements!$C$7:$E$19,3,0)</f>
        <v>#N/A</v>
      </c>
      <c r="AD55" s="58" t="str">
        <f t="shared" si="11"/>
        <v>0142-02</v>
      </c>
      <c r="AE55" s="87" t="str">
        <f t="shared" si="12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55" s="84" t="str">
        <f t="shared" si="13"/>
        <v>"C:\Program Files (x86)\AstroGrep\AstroGrep.exe" /spath="%USERPROFILE%\AppData\Local\Temp\OnboardLogs" /stypes="app*4032*20170102*"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142-02 --locoid 4032 --swversion DE.1.0.8.0 --startMP 204:233002 --initTime 2017-01-02T09:33:37 --startdatetime 2017-01-02T09:41:24 --delay 1 --endMP 204:149 --enddatetime 2017-01-02T10:19:43 --enforcementcount 0 &gt;&gt;C:\Users\stu\Documents\GitHub\eaglep3-reporting\EC\2017-01-02-refined-times.txt</v>
      </c>
      <c r="AI55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{"issue":{"subject":"","project_id":79,"tracker_id":40,"status_id":1,"priority_id":2,"assigned_to_id":23,"start_date":"2017-01-02","description":"","custom_fields":[{"id":1,"name":"Subdivision","value":"EC"},{"id":4,"name":"Milepost","value":"0.0149"},{"id":17,"name":"Train ID","value":"142-02"},{"id":16,"name":"Locomotive ID","value":"4032"},{"id":130,"name":"Impact","value":""},{"id":150,"name":"Time of Event (Mountain Time)","value":"10:19:43"},{"id":151,"name":"Denver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20"/>
        <v>start /low /b %USERPROFILE%\Documents\GitHub\eaglep3\Utilities\DownloadLogsFromS3.py --loco 4032 --day 2017-01-02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510</v>
      </c>
      <c r="B56" s="7">
        <v>4011</v>
      </c>
      <c r="C56" s="22" t="s">
        <v>203</v>
      </c>
      <c r="D56" s="22" t="s">
        <v>193</v>
      </c>
      <c r="E56" s="13">
        <v>42737.371550925927</v>
      </c>
      <c r="F56" s="13">
        <v>42737.375150462962</v>
      </c>
      <c r="G56" s="7">
        <v>1</v>
      </c>
      <c r="H56" s="22" t="s">
        <v>679</v>
      </c>
      <c r="I56" s="13">
        <v>42737.399872685186</v>
      </c>
      <c r="J56" s="7">
        <v>0</v>
      </c>
      <c r="K56" s="105" t="str">
        <f t="shared" si="0"/>
        <v>4011/4012</v>
      </c>
      <c r="L56" s="22" t="str">
        <f>VLOOKUP(A56,'Trips&amp;Operators'!$C$1:$G$99999,5,FALSE)</f>
        <v>ROBINSON KADDIBA</v>
      </c>
      <c r="M56" s="6">
        <f t="shared" si="1"/>
        <v>2.4722222224227153E-2</v>
      </c>
      <c r="N56" s="7">
        <f t="shared" si="2"/>
        <v>35.6000000028871</v>
      </c>
      <c r="O56" s="7"/>
      <c r="P56" s="7"/>
      <c r="Q56" s="23"/>
      <c r="R56" s="23"/>
      <c r="S56" s="32">
        <f t="shared" si="3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07:55:02-700',mode:absolute,to:'2017-01-02 10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6" s="49" t="str">
        <f t="shared" si="6"/>
        <v>N</v>
      </c>
      <c r="X56" s="173">
        <f t="shared" si="7"/>
        <v>1</v>
      </c>
      <c r="Y56" s="64">
        <f t="shared" si="8"/>
        <v>4.4699999999999997E-2</v>
      </c>
      <c r="Z56" s="64">
        <f t="shared" si="9"/>
        <v>23.3278</v>
      </c>
      <c r="AA56" s="64">
        <f t="shared" si="10"/>
        <v>23.283100000000001</v>
      </c>
      <c r="AB56" s="61" t="e">
        <f>VLOOKUP(A56,Enforcements!$C$7:$K$19,8,0)</f>
        <v>#N/A</v>
      </c>
      <c r="AC56" s="57" t="e">
        <f>VLOOKUP(A56,Enforcements!$C$7:$E$19,3,0)</f>
        <v>#N/A</v>
      </c>
      <c r="AD56" s="58" t="str">
        <f t="shared" si="11"/>
        <v>0143-02</v>
      </c>
      <c r="AE56" s="87" t="str">
        <f t="shared" si="12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56" s="84" t="str">
        <f t="shared" si="13"/>
        <v>"C:\Program Files (x86)\AstroGrep\AstroGrep.exe" /spath="%USERPROFILE%\AppData\Local\Temp\OnboardLogs" /stypes="app*4011*20170102*"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143-02 --locoid 4011 --swversion DE.1.0.8.0 --startMP 204:447 --initTime 2017-01-02T08:55:02 --startdatetime 2017-01-02T09:00:13 --delay 1 --endMP 204:233278 --enddatetime 2017-01-02T09:35:49 --enforcementcount 0 &gt;&gt;C:\Users\stu\Documents\GitHub\eaglep3-reporting\EC\2017-01-02-refined-times.txt</v>
      </c>
      <c r="AI56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{"issue":{"subject":"","project_id":79,"tracker_id":40,"status_id":1,"priority_id":2,"assigned_to_id":23,"start_date":"2017-01-02","description":"","custom_fields":[{"id":1,"name":"Subdivision","value":"EC"},{"id":4,"name":"Milepost","value":"23.3278"},{"id":17,"name":"Train ID","value":"143-02"},{"id":16,"name":"Locomotive ID","value":"4011"},{"id":130,"name":"Impact","value":""},{"id":150,"name":"Time of Event (Mountain Time)","value":"09:35:49"},{"id":151,"name":"Denver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20"/>
        <v>start /low /b %USERPROFILE%\Documents\GitHub\eaglep3\Utilities\DownloadLogsFromS3.py --loco 4011 --day 2017-01-02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518</v>
      </c>
      <c r="B57" s="7">
        <v>4012</v>
      </c>
      <c r="C57" s="22" t="s">
        <v>203</v>
      </c>
      <c r="D57" s="22" t="s">
        <v>684</v>
      </c>
      <c r="E57" s="13">
        <v>42737.408229166664</v>
      </c>
      <c r="F57" s="13">
        <v>42737.414050925923</v>
      </c>
      <c r="G57" s="7">
        <v>1</v>
      </c>
      <c r="H57" s="22" t="s">
        <v>192</v>
      </c>
      <c r="I57" s="13">
        <v>42737.440844907411</v>
      </c>
      <c r="J57" s="7">
        <v>0</v>
      </c>
      <c r="K57" s="105" t="str">
        <f t="shared" si="0"/>
        <v>4011/4012</v>
      </c>
      <c r="L57" s="22" t="str">
        <f>VLOOKUP(A57,'Trips&amp;Operators'!$C$1:$G$99999,5,FALSE)</f>
        <v>ROBINSON KADDIBA</v>
      </c>
      <c r="M57" s="6">
        <f t="shared" si="1"/>
        <v>2.6793981487571727E-2</v>
      </c>
      <c r="N57" s="7">
        <f t="shared" si="2"/>
        <v>38.583333342103288</v>
      </c>
      <c r="O57" s="7"/>
      <c r="P57" s="7"/>
      <c r="Q57" s="23"/>
      <c r="R57" s="23"/>
      <c r="S57" s="32">
        <f t="shared" si="3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08:47:51-700',mode:absolute,to:'2017-01-02 11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7" s="49" t="str">
        <f t="shared" si="6"/>
        <v>N</v>
      </c>
      <c r="X57" s="173">
        <f t="shared" si="7"/>
        <v>1</v>
      </c>
      <c r="Y57" s="64">
        <f t="shared" si="8"/>
        <v>23.295300000000001</v>
      </c>
      <c r="Z57" s="64">
        <f t="shared" si="9"/>
        <v>1.43E-2</v>
      </c>
      <c r="AA57" s="64">
        <f t="shared" si="10"/>
        <v>23.281000000000002</v>
      </c>
      <c r="AB57" s="61" t="e">
        <f>VLOOKUP(A57,Enforcements!$C$7:$K$19,8,0)</f>
        <v>#N/A</v>
      </c>
      <c r="AC57" s="57" t="e">
        <f>VLOOKUP(A57,Enforcements!$C$7:$E$19,3,0)</f>
        <v>#N/A</v>
      </c>
      <c r="AD57" s="58" t="str">
        <f t="shared" si="11"/>
        <v>0144-02</v>
      </c>
      <c r="AE57" s="87" t="str">
        <f t="shared" si="12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57" s="84" t="str">
        <f t="shared" si="13"/>
        <v>"C:\Program Files (x86)\AstroGrep\AstroGrep.exe" /spath="%USERPROFILE%\AppData\Local\Temp\OnboardLogs" /stypes="app*4012*20170102*"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144-02 --locoid 4012 --swversion DE.1.0.8.0 --startMP 204:232953 --initTime 2017-01-02T09:47:51 --startdatetime 2017-01-02T09:56:14 --delay 1 --endMP 204:143 --enddatetime 2017-01-02T10:34:49 --enforcementcount 0 &gt;&gt;C:\Users\stu\Documents\GitHub\eaglep3-reporting\EC\2017-01-02-refined-times.txt</v>
      </c>
      <c r="AI57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{"issue":{"subject":"","project_id":79,"tracker_id":40,"status_id":1,"priority_id":2,"assigned_to_id":23,"start_date":"2017-01-02","description":"","custom_fields":[{"id":1,"name":"Subdivision","value":"EC"},{"id":4,"name":"Milepost","value":"0.0143"},{"id":17,"name":"Train ID","value":"144-02"},{"id":16,"name":"Locomotive ID","value":"4012"},{"id":130,"name":"Impact","value":""},{"id":150,"name":"Time of Event (Mountain Time)","value":"10:34:49"},{"id":151,"name":"Denver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20"/>
        <v>start /low /b %USERPROFILE%\Documents\GitHub\eaglep3\Utilities\DownloadLogsFromS3.py --loco 4012 --day 2017-01-02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512</v>
      </c>
      <c r="B58" s="7">
        <v>4046</v>
      </c>
      <c r="C58" s="22" t="s">
        <v>203</v>
      </c>
      <c r="D58" s="22" t="s">
        <v>685</v>
      </c>
      <c r="E58" s="13">
        <v>42737.380104166667</v>
      </c>
      <c r="F58" s="13">
        <v>42737.385659722226</v>
      </c>
      <c r="G58" s="7">
        <v>1</v>
      </c>
      <c r="H58" s="22" t="s">
        <v>338</v>
      </c>
      <c r="I58" s="13">
        <v>42737.411550925928</v>
      </c>
      <c r="J58" s="7">
        <v>0</v>
      </c>
      <c r="K58" s="105" t="str">
        <f t="shared" si="0"/>
        <v>4045/4046</v>
      </c>
      <c r="L58" s="22" t="str">
        <f>VLOOKUP(A58,'Trips&amp;Operators'!$C$1:$G$99999,5,FALSE)</f>
        <v>MAELZER KURT</v>
      </c>
      <c r="M58" s="6">
        <f t="shared" si="1"/>
        <v>2.5891203702485655E-2</v>
      </c>
      <c r="N58" s="7">
        <f t="shared" si="2"/>
        <v>37.283333331579342</v>
      </c>
      <c r="O58" s="7"/>
      <c r="P58" s="7"/>
      <c r="Q58" s="23"/>
      <c r="R58" s="23"/>
      <c r="S58" s="32">
        <f t="shared" si="3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08:07:21-700',mode:absolute,to:'2017-01-02 10:52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8" s="49" t="str">
        <f t="shared" si="6"/>
        <v>N</v>
      </c>
      <c r="X58" s="173">
        <f t="shared" si="7"/>
        <v>1</v>
      </c>
      <c r="Y58" s="64">
        <f t="shared" si="8"/>
        <v>4.07E-2</v>
      </c>
      <c r="Z58" s="64">
        <f t="shared" si="9"/>
        <v>23.331</v>
      </c>
      <c r="AA58" s="64">
        <f t="shared" si="10"/>
        <v>23.290299999999998</v>
      </c>
      <c r="AB58" s="61" t="e">
        <f>VLOOKUP(A58,Enforcements!$C$7:$K$19,8,0)</f>
        <v>#N/A</v>
      </c>
      <c r="AC58" s="57" t="e">
        <f>VLOOKUP(A58,Enforcements!$C$7:$E$19,3,0)</f>
        <v>#N/A</v>
      </c>
      <c r="AD58" s="58" t="str">
        <f t="shared" si="11"/>
        <v>0145-02</v>
      </c>
      <c r="AE58" s="87" t="str">
        <f t="shared" si="12"/>
        <v>aws s3 cp s3://rtdc.mdm.uploadarchive.raw/RTDC4046/ "%USERPROFILE%\AppData\Local\Temp\OnboardLogs"\RTDC4046\2017-01-02 --exclude "*" --recursive --include "*20170102*" &amp; "%USERPROFILE%\Documents\GitHub\mrs-test-scripts\Headless Mode &amp; Sideloading\WalkAndUnGZ.bat" "%USERPROFILE%\AppData\Local\Temp\OnboardLogs"\RTDC4046\2017-01-02 &amp; 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</v>
      </c>
      <c r="AF58" s="84" t="str">
        <f t="shared" si="13"/>
        <v>"C:\Program Files (x86)\AstroGrep\AstroGrep.exe" /spath="%USERPROFILE%\AppData\Local\Temp\OnboardLogs" /stypes="app*4046*20170102*"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145-02 --locoid 4046 --swversion DE.1.0.8.0 --startMP 204:407 --initTime 2017-01-02T09:07:21 --startdatetime 2017-01-02T09:15:21 --delay 1 --endMP 204:233310 --enddatetime 2017-01-02T09:52:38 --enforcementcount 0 &gt;&gt;C:\Users\stu\Documents\GitHub\eaglep3-reporting\EC\2017-01-02-refined-times.txt</v>
      </c>
      <c r="AI58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{"issue":{"subject":"","project_id":79,"tracker_id":40,"status_id":1,"priority_id":2,"assigned_to_id":23,"start_date":"2017-01-02","description":"","custom_fields":[{"id":1,"name":"Subdivision","value":"EC"},{"id":4,"name":"Milepost","value":"23.331"},{"id":17,"name":"Train ID","value":"145-02"},{"id":16,"name":"Locomotive ID","value":"4046"},{"id":130,"name":"Impact","value":""},{"id":150,"name":"Time of Event (Mountain Time)","value":"09:52:38"},{"id":151,"name":"Denver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20"/>
        <v>start /low /b %USERPROFILE%\Documents\GitHub\eaglep3\Utilities\DownloadLogsFromS3.py --loco 4046 --day 2017-01-02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520</v>
      </c>
      <c r="B59" s="7">
        <v>4045</v>
      </c>
      <c r="C59" s="22" t="s">
        <v>203</v>
      </c>
      <c r="D59" s="22" t="s">
        <v>322</v>
      </c>
      <c r="E59" s="13">
        <v>42737.417604166665</v>
      </c>
      <c r="F59" s="13">
        <v>42737.424571759257</v>
      </c>
      <c r="G59" s="7">
        <v>1</v>
      </c>
      <c r="H59" s="22" t="s">
        <v>249</v>
      </c>
      <c r="I59" s="13">
        <v>42737.450914351852</v>
      </c>
      <c r="J59" s="7">
        <v>0</v>
      </c>
      <c r="K59" s="105" t="str">
        <f t="shared" si="0"/>
        <v>4045/4046</v>
      </c>
      <c r="L59" s="22" t="str">
        <f>VLOOKUP(A59,'Trips&amp;Operators'!$C$1:$G$99999,5,FALSE)</f>
        <v>MAELZER KURT</v>
      </c>
      <c r="M59" s="6">
        <f t="shared" si="1"/>
        <v>2.6342592595028691E-2</v>
      </c>
      <c r="N59" s="7">
        <f t="shared" si="2"/>
        <v>37.933333336841315</v>
      </c>
      <c r="O59" s="7"/>
      <c r="P59" s="7"/>
      <c r="Q59" s="23"/>
      <c r="R59" s="23"/>
      <c r="S59" s="32">
        <f t="shared" si="3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09:01:21-700',mode:absolute,to:'2017-01-02 11:49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9" s="49" t="str">
        <f t="shared" si="6"/>
        <v>N</v>
      </c>
      <c r="X59" s="173">
        <f t="shared" si="7"/>
        <v>1</v>
      </c>
      <c r="Y59" s="64">
        <f t="shared" si="8"/>
        <v>23.2989</v>
      </c>
      <c r="Z59" s="64">
        <f t="shared" si="9"/>
        <v>1.47E-2</v>
      </c>
      <c r="AA59" s="64">
        <f t="shared" si="10"/>
        <v>23.284199999999998</v>
      </c>
      <c r="AB59" s="61" t="e">
        <f>VLOOKUP(A59,Enforcements!$C$7:$K$19,8,0)</f>
        <v>#N/A</v>
      </c>
      <c r="AC59" s="57" t="e">
        <f>VLOOKUP(A59,Enforcements!$C$7:$E$19,3,0)</f>
        <v>#N/A</v>
      </c>
      <c r="AD59" s="58" t="str">
        <f t="shared" si="11"/>
        <v>0146-02</v>
      </c>
      <c r="AE59" s="87" t="str">
        <f t="shared" si="12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59" s="84" t="str">
        <f t="shared" si="13"/>
        <v>"C:\Program Files (x86)\AstroGrep\AstroGrep.exe" /spath="%USERPROFILE%\AppData\Local\Temp\OnboardLogs" /stypes="app*4045*20170102*"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146-02 --locoid 4045 --swversion DE.1.0.8.0 --startMP 204:232989 --initTime 2017-01-02T10:01:21 --startdatetime 2017-01-02T10:11:23 --delay 1 --endMP 204:147 --enddatetime 2017-01-02T10:49:19 --enforcementcount 0 &gt;&gt;C:\Users\stu\Documents\GitHub\eaglep3-reporting\EC\2017-01-02-refined-times.txt</v>
      </c>
      <c r="AI59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{"issue":{"subject":"","project_id":79,"tracker_id":40,"status_id":1,"priority_id":2,"assigned_to_id":23,"start_date":"2017-01-02","description":"","custom_fields":[{"id":1,"name":"Subdivision","value":"EC"},{"id":4,"name":"Milepost","value":"0.0147"},{"id":17,"name":"Train ID","value":"146-02"},{"id":16,"name":"Locomotive ID","value":"4045"},{"id":130,"name":"Impact","value":""},{"id":150,"name":"Time of Event (Mountain Time)","value":"10:49:19"},{"id":151,"name":"Denver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20"/>
        <v>start /low /b %USERPROFILE%\Documents\GitHub\eaglep3\Utilities\DownloadLogsFromS3.py --loco 4045 --day 2017-01-02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515</v>
      </c>
      <c r="B60" s="7">
        <v>4014</v>
      </c>
      <c r="C60" s="22" t="s">
        <v>203</v>
      </c>
      <c r="D60" s="22" t="s">
        <v>321</v>
      </c>
      <c r="E60" s="13">
        <v>42737.390034722222</v>
      </c>
      <c r="F60" s="13">
        <v>42737.396157407406</v>
      </c>
      <c r="G60" s="7">
        <v>2</v>
      </c>
      <c r="H60" s="22" t="s">
        <v>288</v>
      </c>
      <c r="I60" s="13">
        <v>42737.420532407406</v>
      </c>
      <c r="J60" s="7">
        <v>0</v>
      </c>
      <c r="K60" s="105" t="str">
        <f t="shared" si="0"/>
        <v>4013/4014</v>
      </c>
      <c r="L60" s="22" t="str">
        <f>VLOOKUP(A60,'Trips&amp;Operators'!$C$1:$G$99999,5,FALSE)</f>
        <v>ACKERMAN JARED</v>
      </c>
      <c r="M60" s="6">
        <f t="shared" si="1"/>
        <v>2.4375000000873115E-2</v>
      </c>
      <c r="N60" s="7">
        <f t="shared" si="2"/>
        <v>35.100000001257285</v>
      </c>
      <c r="O60" s="7"/>
      <c r="P60" s="7"/>
      <c r="Q60" s="23"/>
      <c r="R60" s="23"/>
      <c r="S60" s="32">
        <f t="shared" si="3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08:21:39-700',mode:absolute,to:'2017-01-02 11:05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0" s="49" t="str">
        <f t="shared" si="6"/>
        <v>N</v>
      </c>
      <c r="X60" s="173">
        <f t="shared" si="7"/>
        <v>1</v>
      </c>
      <c r="Y60" s="64">
        <f t="shared" si="8"/>
        <v>4.4400000000000002E-2</v>
      </c>
      <c r="Z60" s="64">
        <f t="shared" si="9"/>
        <v>23.329699999999999</v>
      </c>
      <c r="AA60" s="64">
        <f t="shared" si="10"/>
        <v>23.285299999999999</v>
      </c>
      <c r="AB60" s="61" t="e">
        <f>VLOOKUP(A60,Enforcements!$C$7:$K$19,8,0)</f>
        <v>#N/A</v>
      </c>
      <c r="AC60" s="57" t="e">
        <f>VLOOKUP(A60,Enforcements!$C$7:$E$19,3,0)</f>
        <v>#N/A</v>
      </c>
      <c r="AD60" s="58" t="str">
        <f t="shared" si="11"/>
        <v>0147-02</v>
      </c>
      <c r="AE60" s="87" t="str">
        <f t="shared" si="12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60" s="84" t="str">
        <f t="shared" si="13"/>
        <v>"C:\Program Files (x86)\AstroGrep\AstroGrep.exe" /spath="%USERPROFILE%\AppData\Local\Temp\OnboardLogs" /stypes="app*4014*20170102*"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147-02 --locoid 4014 --swversion DE.1.0.8.0 --startMP 204:444 --initTime 2017-01-02T09:21:39 --startdatetime 2017-01-02T09:30:28 --delay 2 --endMP 204:233297 --enddatetime 2017-01-02T10:05:34 --enforcementcount 0 &gt;&gt;C:\Users\stu\Documents\GitHub\eaglep3-reporting\EC\2017-01-02-refined-times.txt</v>
      </c>
      <c r="AI60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{"issue":{"subject":"","project_id":79,"tracker_id":40,"status_id":1,"priority_id":2,"assigned_to_id":23,"start_date":"2017-01-02","description":"","custom_fields":[{"id":1,"name":"Subdivision","value":"EC"},{"id":4,"name":"Milepost","value":"23.3297"},{"id":17,"name":"Train ID","value":"147-02"},{"id":16,"name":"Locomotive ID","value":"4014"},{"id":130,"name":"Impact","value":""},{"id":150,"name":"Time of Event (Mountain Time)","value":"10:05:34"},{"id":151,"name":"Denver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20"/>
        <v>start /low /b %USERPROFILE%\Documents\GitHub\eaglep3\Utilities\DownloadLogsFromS3.py --loco 4014 --day 2017-01-02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522</v>
      </c>
      <c r="B61" s="7">
        <v>4013</v>
      </c>
      <c r="C61" s="22" t="s">
        <v>203</v>
      </c>
      <c r="D61" s="22" t="s">
        <v>253</v>
      </c>
      <c r="E61" s="13">
        <v>42737.427557870367</v>
      </c>
      <c r="F61" s="13">
        <v>42737.43509259259</v>
      </c>
      <c r="G61" s="7">
        <v>2</v>
      </c>
      <c r="H61" s="22" t="s">
        <v>292</v>
      </c>
      <c r="I61" s="13">
        <v>42737.462083333332</v>
      </c>
      <c r="J61" s="7">
        <v>0</v>
      </c>
      <c r="K61" s="105" t="str">
        <f t="shared" si="0"/>
        <v>4013/4014</v>
      </c>
      <c r="L61" s="22" t="str">
        <f>VLOOKUP(A61,'Trips&amp;Operators'!$C$1:$G$99999,5,FALSE)</f>
        <v>ACKERMAN JARED</v>
      </c>
      <c r="M61" s="6">
        <f t="shared" si="1"/>
        <v>2.6990740741894115E-2</v>
      </c>
      <c r="N61" s="7">
        <f t="shared" si="2"/>
        <v>38.866666668327525</v>
      </c>
      <c r="O61" s="7"/>
      <c r="P61" s="7"/>
      <c r="Q61" s="23"/>
      <c r="R61" s="23"/>
      <c r="S61" s="32">
        <f t="shared" si="3"/>
        <v>1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09:15:41-700',mode:absolute,to:'2017-01-02 12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1" s="49" t="str">
        <f t="shared" si="6"/>
        <v>N</v>
      </c>
      <c r="X61" s="173">
        <f t="shared" si="7"/>
        <v>1</v>
      </c>
      <c r="Y61" s="64">
        <f t="shared" si="8"/>
        <v>23.297699999999999</v>
      </c>
      <c r="Z61" s="64">
        <f t="shared" si="9"/>
        <v>1.52E-2</v>
      </c>
      <c r="AA61" s="64">
        <f t="shared" si="10"/>
        <v>23.282499999999999</v>
      </c>
      <c r="AB61" s="61" t="e">
        <f>VLOOKUP(A61,Enforcements!$C$7:$K$19,8,0)</f>
        <v>#N/A</v>
      </c>
      <c r="AC61" s="57" t="e">
        <f>VLOOKUP(A61,Enforcements!$C$7:$E$19,3,0)</f>
        <v>#N/A</v>
      </c>
      <c r="AD61" s="58" t="str">
        <f t="shared" si="11"/>
        <v>0148-02</v>
      </c>
      <c r="AE61" s="87" t="str">
        <f t="shared" si="12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61" s="84" t="str">
        <f t="shared" si="13"/>
        <v>"C:\Program Files (x86)\AstroGrep\AstroGrep.exe" /spath="%USERPROFILE%\AppData\Local\Temp\OnboardLogs" /stypes="app*4013*20170102*"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148-02 --locoid 4013 --swversion DE.1.0.8.0 --startMP 204:232977 --initTime 2017-01-02T10:15:41 --startdatetime 2017-01-02T10:26:32 --delay 2 --endMP 204:152 --enddatetime 2017-01-02T11:05:24 --enforcementcount 0 &gt;&gt;C:\Users\stu\Documents\GitHub\eaglep3-reporting\EC\2017-01-02-refined-times.txt</v>
      </c>
      <c r="AI61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{"issue":{"subject":"","project_id":79,"tracker_id":40,"status_id":1,"priority_id":2,"assigned_to_id":23,"start_date":"2017-01-02","description":"","custom_fields":[{"id":1,"name":"Subdivision","value":"EC"},{"id":4,"name":"Milepost","value":"0.0152"},{"id":17,"name":"Train ID","value":"148-02"},{"id":16,"name":"Locomotive ID","value":"4013"},{"id":130,"name":"Impact","value":""},{"id":150,"name":"Time of Event (Mountain Time)","value":"11:05:24"},{"id":151,"name":"Denver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20"/>
        <v>start /low /b %USERPROFILE%\Documents\GitHub\eaglep3\Utilities\DownloadLogsFromS3.py --loco 4013 --day 2017-01-02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433</v>
      </c>
      <c r="B62" s="7">
        <v>4042</v>
      </c>
      <c r="C62" s="22" t="s">
        <v>203</v>
      </c>
      <c r="D62" s="22" t="s">
        <v>194</v>
      </c>
      <c r="E62" s="13">
        <v>42737.401828703703</v>
      </c>
      <c r="F62" s="13">
        <v>42737.406504629631</v>
      </c>
      <c r="G62" s="7">
        <v>1</v>
      </c>
      <c r="H62" s="22" t="s">
        <v>371</v>
      </c>
      <c r="I62" s="13">
        <v>42737.432511574072</v>
      </c>
      <c r="J62" s="7">
        <v>0</v>
      </c>
      <c r="K62" s="105" t="str">
        <f t="shared" si="0"/>
        <v>4041/4042</v>
      </c>
      <c r="L62" s="22" t="str">
        <f>VLOOKUP(A62,'Trips&amp;Operators'!$C$1:$G$99999,5,FALSE)</f>
        <v>COMELLA JUSTIN</v>
      </c>
      <c r="M62" s="6">
        <f t="shared" si="1"/>
        <v>2.6006944441178348E-2</v>
      </c>
      <c r="N62" s="7">
        <f t="shared" si="2"/>
        <v>37.449999995296821</v>
      </c>
      <c r="O62" s="7"/>
      <c r="P62" s="7"/>
      <c r="Q62" s="23"/>
      <c r="R62" s="23"/>
      <c r="S62" s="32">
        <f t="shared" si="3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08:38:38-700',mode:absolute,to:'2017-01-02 11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2" s="49" t="str">
        <f t="shared" si="6"/>
        <v>N</v>
      </c>
      <c r="X62" s="173">
        <f t="shared" si="7"/>
        <v>1</v>
      </c>
      <c r="Y62" s="64">
        <f t="shared" si="8"/>
        <v>4.5100000000000001E-2</v>
      </c>
      <c r="Z62" s="64">
        <f t="shared" si="9"/>
        <v>23.333100000000002</v>
      </c>
      <c r="AA62" s="64">
        <f t="shared" si="10"/>
        <v>23.288</v>
      </c>
      <c r="AB62" s="61" t="str">
        <f>VLOOKUP(A62,Enforcements!$C$7:$K$19,8,0)</f>
        <v>Form based authority (4)</v>
      </c>
      <c r="AC62" s="57" t="str">
        <f>VLOOKUP(A62,Enforcements!$C$7:$E$19,3,0)</f>
        <v>TRACK WARRANT AUTHORITY</v>
      </c>
      <c r="AD62" s="58" t="str">
        <f t="shared" si="11"/>
        <v>0149-02</v>
      </c>
      <c r="AE62" s="87" t="str">
        <f t="shared" si="12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62" s="84" t="str">
        <f t="shared" si="13"/>
        <v>"C:\Program Files (x86)\AstroGrep\AstroGrep.exe" /spath="%USERPROFILE%\AppData\Local\Temp\OnboardLogs" /stypes="app*4042*20170102*"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149-02 --locoid 4042 --swversion DE.1.0.8.0 --startMP 204:451 --initTime 2017-01-02T09:38:38 --startdatetime 2017-01-02T09:45:22 --delay 1 --endMP 204:233331 --enddatetime 2017-01-02T10:22:49 --enforcementcount 0 &gt;&gt;C:\Users\stu\Documents\GitHub\eaglep3-reporting\EC\2017-01-02-refined-times.txt</v>
      </c>
      <c r="AI62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{"issue":{"subject":"","project_id":79,"tracker_id":40,"status_id":1,"priority_id":2,"assigned_to_id":23,"start_date":"2017-01-02","description":"","custom_fields":[{"id":1,"name":"Subdivision","value":"EC"},{"id":4,"name":"Milepost","value":"23.3331"},{"id":17,"name":"Train ID","value":"149-02"},{"id":16,"name":"Locomotive ID","value":"4042"},{"id":130,"name":"Impact","value":""},{"id":150,"name":"Time of Event (Mountain Time)","value":"10:22:49"},{"id":151,"name":"Denver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20"/>
        <v>start /low /b %USERPROFILE%\Documents\GitHub\eaglep3\Utilities\DownloadLogsFromS3.py --loco 4042 --day 2017-01-02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525</v>
      </c>
      <c r="B63" s="7">
        <v>4041</v>
      </c>
      <c r="C63" s="22" t="s">
        <v>203</v>
      </c>
      <c r="D63" s="22" t="s">
        <v>420</v>
      </c>
      <c r="E63" s="13">
        <v>42737.441134259258</v>
      </c>
      <c r="F63" s="13">
        <v>42737.4453125</v>
      </c>
      <c r="G63" s="7">
        <v>1</v>
      </c>
      <c r="H63" s="22" t="s">
        <v>315</v>
      </c>
      <c r="I63" s="13">
        <v>42737.472511574073</v>
      </c>
      <c r="J63" s="7">
        <v>0</v>
      </c>
      <c r="K63" s="105" t="str">
        <f t="shared" si="0"/>
        <v>4041/4042</v>
      </c>
      <c r="L63" s="22" t="str">
        <f>VLOOKUP(A63,'Trips&amp;Operators'!$C$1:$G$99999,5,FALSE)</f>
        <v>COMELLA JUSTIN</v>
      </c>
      <c r="M63" s="6">
        <f t="shared" si="1"/>
        <v>2.7199074072996154E-2</v>
      </c>
      <c r="N63" s="7">
        <f t="shared" si="2"/>
        <v>39.166666665114462</v>
      </c>
      <c r="O63" s="7"/>
      <c r="P63" s="7"/>
      <c r="Q63" s="23"/>
      <c r="R63" s="23"/>
      <c r="S63" s="32">
        <f t="shared" si="3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09:35:14-700',mode:absolute,to:'2017-01-02 12:20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3" s="49" t="str">
        <f t="shared" si="6"/>
        <v>N</v>
      </c>
      <c r="X63" s="173">
        <f t="shared" si="7"/>
        <v>1</v>
      </c>
      <c r="Y63" s="64">
        <f t="shared" si="8"/>
        <v>23.3002</v>
      </c>
      <c r="Z63" s="64">
        <f t="shared" si="9"/>
        <v>1.5599999999999999E-2</v>
      </c>
      <c r="AA63" s="64">
        <f t="shared" si="10"/>
        <v>23.284600000000001</v>
      </c>
      <c r="AB63" s="61" t="e">
        <f>VLOOKUP(A63,Enforcements!$C$7:$K$19,8,0)</f>
        <v>#N/A</v>
      </c>
      <c r="AC63" s="57" t="e">
        <f>VLOOKUP(A63,Enforcements!$C$7:$E$19,3,0)</f>
        <v>#N/A</v>
      </c>
      <c r="AD63" s="58" t="str">
        <f t="shared" si="11"/>
        <v>0150-02</v>
      </c>
      <c r="AE63" s="87" t="str">
        <f t="shared" si="12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63" s="84" t="str">
        <f t="shared" si="13"/>
        <v>"C:\Program Files (x86)\AstroGrep\AstroGrep.exe" /spath="%USERPROFILE%\AppData\Local\Temp\OnboardLogs" /stypes="app*4041*20170102*"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150-02 --locoid 4041 --swversion DE.1.0.8.0 --startMP 204:233002 --initTime 2017-01-02T10:35:14 --startdatetime 2017-01-02T10:41:15 --delay 1 --endMP 204:156 --enddatetime 2017-01-02T11:20:25 --enforcementcount 0 &gt;&gt;C:\Users\stu\Documents\GitHub\eaglep3-reporting\EC\2017-01-02-refined-times.txt</v>
      </c>
      <c r="AI63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{"issue":{"subject":"","project_id":79,"tracker_id":40,"status_id":1,"priority_id":2,"assigned_to_id":23,"start_date":"2017-01-02","description":"","custom_fields":[{"id":1,"name":"Subdivision","value":"EC"},{"id":4,"name":"Milepost","value":"0.0156"},{"id":17,"name":"Train ID","value":"150-02"},{"id":16,"name":"Locomotive ID","value":"4041"},{"id":130,"name":"Impact","value":""},{"id":150,"name":"Time of Event (Mountain Time)","value":"11:20:25"},{"id":151,"name":"Denver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20"/>
        <v>start /low /b %USERPROFILE%\Documents\GitHub\eaglep3\Utilities\DownloadLogsFromS3.py --loco 4041 --day 2017-01-02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519</v>
      </c>
      <c r="B64" s="7">
        <v>4029</v>
      </c>
      <c r="C64" s="22" t="s">
        <v>203</v>
      </c>
      <c r="D64" s="22" t="s">
        <v>312</v>
      </c>
      <c r="E64" s="13">
        <v>42737.412592592591</v>
      </c>
      <c r="F64" s="13">
        <v>42737.416863425926</v>
      </c>
      <c r="G64" s="7">
        <v>1</v>
      </c>
      <c r="H64" s="22" t="s">
        <v>686</v>
      </c>
      <c r="I64" s="13">
        <v>42737.442743055559</v>
      </c>
      <c r="J64" s="7">
        <v>0</v>
      </c>
      <c r="K64" s="105" t="str">
        <f t="shared" si="0"/>
        <v>4029/4030</v>
      </c>
      <c r="L64" s="22" t="str">
        <f>VLOOKUP(A64,'Trips&amp;Operators'!$C$1:$G$99999,5,FALSE)</f>
        <v>SHOOK JOHN</v>
      </c>
      <c r="M64" s="6">
        <f t="shared" si="1"/>
        <v>2.587962963298196E-2</v>
      </c>
      <c r="N64" s="7">
        <f t="shared" si="2"/>
        <v>37.266666671494022</v>
      </c>
      <c r="O64" s="7"/>
      <c r="P64" s="7"/>
      <c r="Q64" s="23"/>
      <c r="R64" s="23"/>
      <c r="S64" s="32">
        <f t="shared" si="3"/>
        <v>1</v>
      </c>
      <c r="T64" s="47" t="str">
        <f t="shared" si="4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08:54:08-700',mode:absolute,to:'2017-01-02 11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4" s="49" t="str">
        <f t="shared" si="6"/>
        <v>N</v>
      </c>
      <c r="X64" s="173">
        <f t="shared" si="7"/>
        <v>1</v>
      </c>
      <c r="Y64" s="64">
        <f t="shared" si="8"/>
        <v>4.5699999999999998E-2</v>
      </c>
      <c r="Z64" s="64">
        <f t="shared" si="9"/>
        <v>23.332599999999999</v>
      </c>
      <c r="AA64" s="64">
        <f t="shared" si="10"/>
        <v>23.286899999999999</v>
      </c>
      <c r="AB64" s="61" t="e">
        <f>VLOOKUP(A64,Enforcements!$C$7:$K$19,8,0)</f>
        <v>#N/A</v>
      </c>
      <c r="AC64" s="57" t="e">
        <f>VLOOKUP(A64,Enforcements!$C$7:$E$19,3,0)</f>
        <v>#N/A</v>
      </c>
      <c r="AD64" s="58" t="str">
        <f t="shared" si="11"/>
        <v>0151-02</v>
      </c>
      <c r="AE64" s="87" t="str">
        <f t="shared" si="12"/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AF64" s="84" t="str">
        <f t="shared" si="13"/>
        <v>"C:\Program Files (x86)\AstroGrep\AstroGrep.exe" /spath="%USERPROFILE%\AppData\Local\Temp\OnboardLogs" /stypes="app*4029*20170102*"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151-02 --locoid 4029 --swversion DE.1.0.8.0 --startMP 204:457 --initTime 2017-01-02T09:54:08 --startdatetime 2017-01-02T10:00:17 --delay 1 --endMP 204:233326 --enddatetime 2017-01-02T10:37:33 --enforcementcount 0 &gt;&gt;C:\Users\stu\Documents\GitHub\eaglep3-reporting\EC\2017-01-02-refined-times.txt</v>
      </c>
      <c r="AI64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{"issue":{"subject":"","project_id":79,"tracker_id":40,"status_id":1,"priority_id":2,"assigned_to_id":23,"start_date":"2017-01-02","description":"","custom_fields":[{"id":1,"name":"Subdivision","value":"EC"},{"id":4,"name":"Milepost","value":"23.3326"},{"id":17,"name":"Train ID","value":"151-02"},{"id":16,"name":"Locomotive ID","value":"4029"},{"id":130,"name":"Impact","value":""},{"id":150,"name":"Time of Event (Mountain Time)","value":"10:37:33"},{"id":151,"name":"Denver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20"/>
        <v>start /low /b %USERPROFILE%\Documents\GitHub\eaglep3\Utilities\DownloadLogsFromS3.py --loco 4029 --day 2017-01-02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528</v>
      </c>
      <c r="B65" s="7">
        <v>4030</v>
      </c>
      <c r="C65" s="22" t="s">
        <v>203</v>
      </c>
      <c r="D65" s="22" t="s">
        <v>410</v>
      </c>
      <c r="E65" s="13">
        <v>42737.444722222222</v>
      </c>
      <c r="F65" s="13">
        <v>42737.455775462964</v>
      </c>
      <c r="G65" s="7">
        <v>1</v>
      </c>
      <c r="H65" s="22" t="s">
        <v>303</v>
      </c>
      <c r="I65" s="13">
        <v>42737.483564814815</v>
      </c>
      <c r="J65" s="7">
        <v>0</v>
      </c>
      <c r="K65" s="105" t="str">
        <f t="shared" si="0"/>
        <v>4029/4030</v>
      </c>
      <c r="L65" s="22" t="str">
        <f>VLOOKUP(A65,'Trips&amp;Operators'!$C$1:$G$99999,5,FALSE)</f>
        <v>SHOOK JOHN</v>
      </c>
      <c r="M65" s="6">
        <f t="shared" si="1"/>
        <v>2.7789351850515231E-2</v>
      </c>
      <c r="N65" s="7">
        <f t="shared" si="2"/>
        <v>40.016666664741933</v>
      </c>
      <c r="O65" s="7"/>
      <c r="P65" s="7"/>
      <c r="Q65" s="23"/>
      <c r="R65" s="23"/>
      <c r="S65" s="32">
        <f t="shared" si="3"/>
        <v>1</v>
      </c>
      <c r="T65" s="47" t="str">
        <f t="shared" si="4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09:40:24-700',mode:absolute,to:'2017-01-02 12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5" s="49" t="str">
        <f t="shared" si="6"/>
        <v>N</v>
      </c>
      <c r="X65" s="173">
        <f t="shared" si="7"/>
        <v>1</v>
      </c>
      <c r="Y65" s="64">
        <f t="shared" si="8"/>
        <v>23.298999999999999</v>
      </c>
      <c r="Z65" s="64">
        <f t="shared" si="9"/>
        <v>1.41E-2</v>
      </c>
      <c r="AA65" s="64">
        <f t="shared" si="10"/>
        <v>23.2849</v>
      </c>
      <c r="AB65" s="61" t="e">
        <f>VLOOKUP(A65,Enforcements!$C$7:$K$19,8,0)</f>
        <v>#N/A</v>
      </c>
      <c r="AC65" s="57" t="e">
        <f>VLOOKUP(A65,Enforcements!$C$7:$E$19,3,0)</f>
        <v>#N/A</v>
      </c>
      <c r="AD65" s="58" t="str">
        <f t="shared" si="11"/>
        <v>0152-02</v>
      </c>
      <c r="AE65" s="87" t="str">
        <f t="shared" si="12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65" s="84" t="str">
        <f t="shared" si="13"/>
        <v>"C:\Program Files (x86)\AstroGrep\AstroGrep.exe" /spath="%USERPROFILE%\AppData\Local\Temp\OnboardLogs" /stypes="app*4030*20170102*"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152-02 --locoid 4030 --swversion DE.1.0.8.0 --startMP 204:232990 --initTime 2017-01-02T10:40:24 --startdatetime 2017-01-02T10:56:19 --delay 1 --endMP 204:141 --enddatetime 2017-01-02T11:36:20 --enforcementcount 0 &gt;&gt;C:\Users\stu\Documents\GitHub\eaglep3-reporting\EC\2017-01-02-refined-times.txt</v>
      </c>
      <c r="AI65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{"issue":{"subject":"","project_id":79,"tracker_id":40,"status_id":1,"priority_id":2,"assigned_to_id":23,"start_date":"2017-01-02","description":"","custom_fields":[{"id":1,"name":"Subdivision","value":"EC"},{"id":4,"name":"Milepost","value":"0.0141"},{"id":17,"name":"Train ID","value":"152-02"},{"id":16,"name":"Locomotive ID","value":"4030"},{"id":130,"name":"Impact","value":""},{"id":150,"name":"Time of Event (Mountain Time)","value":"11:36:20"},{"id":151,"name":"Denver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20"/>
        <v>start /low /b %USERPROFILE%\Documents\GitHub\eaglep3\Utilities\DownloadLogsFromS3.py --loco 4030 --day 2017-01-02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521</v>
      </c>
      <c r="B66" s="7">
        <v>4016</v>
      </c>
      <c r="C66" s="22" t="s">
        <v>203</v>
      </c>
      <c r="D66" s="22" t="s">
        <v>194</v>
      </c>
      <c r="E66" s="13">
        <v>42737.422349537039</v>
      </c>
      <c r="F66" s="13">
        <v>42737.427349537036</v>
      </c>
      <c r="G66" s="7">
        <v>5</v>
      </c>
      <c r="H66" s="22" t="s">
        <v>290</v>
      </c>
      <c r="I66" s="13">
        <v>42737.452615740738</v>
      </c>
      <c r="J66" s="7">
        <v>0</v>
      </c>
      <c r="K66" s="105" t="str">
        <f t="shared" si="0"/>
        <v>4015/4016</v>
      </c>
      <c r="L66" s="22" t="str">
        <f>VLOOKUP(A66,'Trips&amp;Operators'!$C$1:$G$99999,5,FALSE)</f>
        <v>SIMMONS SHYHESHA</v>
      </c>
      <c r="M66" s="6">
        <f t="shared" si="1"/>
        <v>2.5266203701903578E-2</v>
      </c>
      <c r="N66" s="7">
        <f t="shared" si="2"/>
        <v>36.383333330741152</v>
      </c>
      <c r="O66" s="7"/>
      <c r="P66" s="7"/>
      <c r="Q66" s="23"/>
      <c r="R66" s="23"/>
      <c r="S66" s="32">
        <f t="shared" si="3"/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09:08:11-700',mode:absolute,to:'2017-01-02 11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6" s="49" t="str">
        <f t="shared" si="6"/>
        <v>N</v>
      </c>
      <c r="X66" s="173">
        <f t="shared" si="7"/>
        <v>1</v>
      </c>
      <c r="Y66" s="64">
        <f t="shared" si="8"/>
        <v>4.5100000000000001E-2</v>
      </c>
      <c r="Z66" s="64">
        <f t="shared" si="9"/>
        <v>23.3293</v>
      </c>
      <c r="AA66" s="64">
        <f t="shared" si="10"/>
        <v>23.284199999999998</v>
      </c>
      <c r="AB66" s="61" t="e">
        <f>VLOOKUP(A66,Enforcements!$C$7:$K$19,8,0)</f>
        <v>#N/A</v>
      </c>
      <c r="AC66" s="57" t="e">
        <f>VLOOKUP(A66,Enforcements!$C$7:$E$19,3,0)</f>
        <v>#N/A</v>
      </c>
      <c r="AD66" s="58" t="str">
        <f t="shared" si="11"/>
        <v>0153-02</v>
      </c>
      <c r="AE66" s="87" t="str">
        <f t="shared" si="12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66" s="84" t="str">
        <f t="shared" si="13"/>
        <v>"C:\Program Files (x86)\AstroGrep\AstroGrep.exe" /spath="%USERPROFILE%\AppData\Local\Temp\OnboardLogs" /stypes="app*4016*20170102*"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153-02 --locoid 4016 --swversion DE.1.0.8.0 --startMP 204:451 --initTime 2017-01-02T10:08:11 --startdatetime 2017-01-02T10:15:23 --delay 5 --endMP 204:233293 --enddatetime 2017-01-02T10:51:46 --enforcementcount 0 &gt;&gt;C:\Users\stu\Documents\GitHub\eaglep3-reporting\EC\2017-01-02-refined-times.txt</v>
      </c>
      <c r="AI66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{"issue":{"subject":"","project_id":79,"tracker_id":40,"status_id":1,"priority_id":2,"assigned_to_id":23,"start_date":"2017-01-02","description":"","custom_fields":[{"id":1,"name":"Subdivision","value":"EC"},{"id":4,"name":"Milepost","value":"23.3293"},{"id":17,"name":"Train ID","value":"153-02"},{"id":16,"name":"Locomotive ID","value":"4016"},{"id":130,"name":"Impact","value":""},{"id":150,"name":"Time of Event (Mountain Time)","value":"10:51:46"},{"id":151,"name":"Denver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20"/>
        <v>start /low /b %USERPROFILE%\Documents\GitHub\eaglep3\Utilities\DownloadLogsFromS3.py --loco 4016 --day 2017-01-02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529</v>
      </c>
      <c r="B67" s="7">
        <v>4015</v>
      </c>
      <c r="C67" s="22" t="s">
        <v>203</v>
      </c>
      <c r="D67" s="22" t="s">
        <v>314</v>
      </c>
      <c r="E67" s="13">
        <v>42737.453657407408</v>
      </c>
      <c r="F67" s="13">
        <v>42737.466238425928</v>
      </c>
      <c r="G67" s="7">
        <v>0</v>
      </c>
      <c r="H67" s="22" t="s">
        <v>222</v>
      </c>
      <c r="I67" s="13">
        <v>42737.492291666669</v>
      </c>
      <c r="J67" s="7">
        <v>0</v>
      </c>
      <c r="K67" s="105" t="str">
        <f t="shared" si="0"/>
        <v>4015/4016</v>
      </c>
      <c r="L67" s="22" t="str">
        <f>VLOOKUP(A67,'Trips&amp;Operators'!$C$1:$G$99999,5,FALSE)</f>
        <v>SIMMONS SHYHESHA</v>
      </c>
      <c r="M67" s="6">
        <f t="shared" si="1"/>
        <v>2.6053240741021E-2</v>
      </c>
      <c r="N67" s="7">
        <f t="shared" si="2"/>
        <v>37.51666666707024</v>
      </c>
      <c r="O67" s="7"/>
      <c r="P67" s="7"/>
      <c r="Q67" s="23"/>
      <c r="R67" s="23"/>
      <c r="S67" s="32">
        <f t="shared" si="3"/>
        <v>1</v>
      </c>
      <c r="T67" s="47" t="str">
        <f t="shared" si="4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09:53:16-700',mode:absolute,to:'2017-01-02 12:48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7" s="49" t="str">
        <f t="shared" si="6"/>
        <v>N</v>
      </c>
      <c r="X67" s="173">
        <f t="shared" si="7"/>
        <v>1</v>
      </c>
      <c r="Y67" s="64">
        <f t="shared" si="8"/>
        <v>23.297599999999999</v>
      </c>
      <c r="Z67" s="64">
        <f t="shared" si="9"/>
        <v>1.54E-2</v>
      </c>
      <c r="AA67" s="64">
        <f t="shared" si="10"/>
        <v>23.2822</v>
      </c>
      <c r="AB67" s="61" t="e">
        <f>VLOOKUP(A67,Enforcements!$C$7:$K$19,8,0)</f>
        <v>#N/A</v>
      </c>
      <c r="AC67" s="57" t="e">
        <f>VLOOKUP(A67,Enforcements!$C$7:$E$19,3,0)</f>
        <v>#N/A</v>
      </c>
      <c r="AD67" s="58" t="str">
        <f t="shared" si="11"/>
        <v>0154-02</v>
      </c>
      <c r="AE67" s="87" t="str">
        <f t="shared" si="12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67" s="84" t="str">
        <f t="shared" si="13"/>
        <v>"C:\Program Files (x86)\AstroGrep\AstroGrep.exe" /spath="%USERPROFILE%\AppData\Local\Temp\OnboardLogs" /stypes="app*4015*20170102*"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154-02 --locoid 4015 --swversion DE.1.0.8.0 --startMP 204:232976 --initTime 2017-01-02T10:53:16 --startdatetime 2017-01-02T11:11:23 --delay 0 --endMP 204:154 --enddatetime 2017-01-02T11:48:54 --enforcementcount 0 &gt;&gt;C:\Users\stu\Documents\GitHub\eaglep3-reporting\EC\2017-01-02-refined-times.txt</v>
      </c>
      <c r="AI67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{"issue":{"subject":"","project_id":79,"tracker_id":40,"status_id":1,"priority_id":2,"assigned_to_id":23,"start_date":"2017-01-02","description":"","custom_fields":[{"id":1,"name":"Subdivision","value":"EC"},{"id":4,"name":"Milepost","value":"0.0154"},{"id":17,"name":"Train ID","value":"154-02"},{"id":16,"name":"Locomotive ID","value":"4015"},{"id":130,"name":"Impact","value":""},{"id":150,"name":"Time of Event (Mountain Time)","value":"11:48:54"},{"id":151,"name":"Denver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20"/>
        <v>start /low /b %USERPROFILE%\Documents\GitHub\eaglep3\Utilities\DownloadLogsFromS3.py --loco 4015 --day 2017-01-02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524</v>
      </c>
      <c r="B68" s="7">
        <v>4031</v>
      </c>
      <c r="C68" s="22" t="s">
        <v>203</v>
      </c>
      <c r="D68" s="22" t="s">
        <v>404</v>
      </c>
      <c r="E68" s="13">
        <v>42737.434108796297</v>
      </c>
      <c r="F68" s="13">
        <v>42737.437685185185</v>
      </c>
      <c r="G68" s="7">
        <v>1</v>
      </c>
      <c r="H68" s="22" t="s">
        <v>363</v>
      </c>
      <c r="I68" s="13">
        <v>42737.463101851848</v>
      </c>
      <c r="J68" s="7">
        <v>0</v>
      </c>
      <c r="K68" s="105" t="str">
        <f t="shared" si="0"/>
        <v>4031/4032</v>
      </c>
      <c r="L68" s="22" t="str">
        <f>VLOOKUP(A68,'Trips&amp;Operators'!$C$1:$G$99999,5,FALSE)</f>
        <v>DAVIS WENDY</v>
      </c>
      <c r="M68" s="6">
        <f t="shared" si="1"/>
        <v>2.5416666663659271E-2</v>
      </c>
      <c r="N68" s="7">
        <f t="shared" si="2"/>
        <v>36.59999999566935</v>
      </c>
      <c r="O68" s="7"/>
      <c r="P68" s="7"/>
      <c r="Q68" s="23"/>
      <c r="R68" s="23"/>
      <c r="S68" s="32">
        <f t="shared" si="3"/>
        <v>1</v>
      </c>
      <c r="T68" s="47" t="str">
        <f t="shared" si="4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09:25:07-700',mode:absolute,to:'2017-01-02 12:06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8" s="49" t="str">
        <f t="shared" si="6"/>
        <v>N</v>
      </c>
      <c r="X68" s="173">
        <f t="shared" si="7"/>
        <v>1</v>
      </c>
      <c r="Y68" s="64">
        <f t="shared" si="8"/>
        <v>4.3499999999999997E-2</v>
      </c>
      <c r="Z68" s="64">
        <f t="shared" si="9"/>
        <v>23.331600000000002</v>
      </c>
      <c r="AA68" s="64">
        <f t="shared" si="10"/>
        <v>23.2881</v>
      </c>
      <c r="AB68" s="61" t="e">
        <f>VLOOKUP(A68,Enforcements!$C$7:$K$19,8,0)</f>
        <v>#N/A</v>
      </c>
      <c r="AC68" s="57" t="e">
        <f>VLOOKUP(A68,Enforcements!$C$7:$E$19,3,0)</f>
        <v>#N/A</v>
      </c>
      <c r="AD68" s="58" t="str">
        <f t="shared" si="11"/>
        <v>0155-02</v>
      </c>
      <c r="AE68" s="87" t="str">
        <f t="shared" si="12"/>
        <v>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 &amp; 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</v>
      </c>
      <c r="AF68" s="84" t="str">
        <f t="shared" si="13"/>
        <v>"C:\Program Files (x86)\AstroGrep\AstroGrep.exe" /spath="%USERPROFILE%\AppData\Local\Temp\OnboardLogs" /stypes="app*4031*20170102*"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155-02 --locoid 4031 --swversion DE.1.0.8.0 --startMP 204:435 --initTime 2017-01-02T10:25:07 --startdatetime 2017-01-02T10:30:16 --delay 1 --endMP 204:233316 --enddatetime 2017-01-02T11:06:52 --enforcementcount 0 &gt;&gt;C:\Users\stu\Documents\GitHub\eaglep3-reporting\EC\2017-01-02-refined-times.txt</v>
      </c>
      <c r="AI68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{"issue":{"subject":"","project_id":79,"tracker_id":40,"status_id":1,"priority_id":2,"assigned_to_id":23,"start_date":"2017-01-02","description":"","custom_fields":[{"id":1,"name":"Subdivision","value":"EC"},{"id":4,"name":"Milepost","value":"23.3316"},{"id":17,"name":"Train ID","value":"155-02"},{"id":16,"name":"Locomotive ID","value":"4031"},{"id":130,"name":"Impact","value":""},{"id":150,"name":"Time of Event (Mountain Time)","value":"11:06:52"},{"id":151,"name":"Denver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20"/>
        <v>start /low /b %USERPROFILE%\Documents\GitHub\eaglep3\Utilities\DownloadLogsFromS3.py --loco 4031 --day 2017-01-02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533</v>
      </c>
      <c r="B69" s="7">
        <v>4032</v>
      </c>
      <c r="C69" s="22" t="s">
        <v>203</v>
      </c>
      <c r="D69" s="22" t="s">
        <v>687</v>
      </c>
      <c r="E69" s="13">
        <v>42737.47210648148</v>
      </c>
      <c r="F69" s="13">
        <v>42737.476550925923</v>
      </c>
      <c r="G69" s="7">
        <v>1</v>
      </c>
      <c r="H69" s="22" t="s">
        <v>688</v>
      </c>
      <c r="I69" s="13">
        <v>42737.506365740737</v>
      </c>
      <c r="J69" s="7">
        <v>0</v>
      </c>
      <c r="K69" s="105" t="str">
        <f t="shared" si="0"/>
        <v>4031/4032</v>
      </c>
      <c r="L69" s="22" t="str">
        <f>VLOOKUP(A69,'Trips&amp;Operators'!$C$1:$G$99999,5,FALSE)</f>
        <v>DAVIS WENDY</v>
      </c>
      <c r="M69" s="6">
        <f t="shared" si="1"/>
        <v>2.9814814814017154E-2</v>
      </c>
      <c r="N69" s="7">
        <f t="shared" si="2"/>
        <v>42.933333332184702</v>
      </c>
      <c r="O69" s="7"/>
      <c r="P69" s="7"/>
      <c r="Q69" s="23"/>
      <c r="R69" s="23"/>
      <c r="S69" s="32">
        <f t="shared" si="3"/>
        <v>1</v>
      </c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10:19:50-700',mode:absolute,to:'2017-01-02 13:09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9" s="49" t="str">
        <f t="shared" si="6"/>
        <v>N</v>
      </c>
      <c r="X69" s="173">
        <f t="shared" si="7"/>
        <v>1</v>
      </c>
      <c r="Y69" s="64">
        <f t="shared" si="8"/>
        <v>23.299199999999999</v>
      </c>
      <c r="Z69" s="64">
        <f t="shared" si="9"/>
        <v>1.72E-2</v>
      </c>
      <c r="AA69" s="64">
        <f t="shared" si="10"/>
        <v>23.282</v>
      </c>
      <c r="AB69" s="61" t="e">
        <f>VLOOKUP(A69,Enforcements!$C$7:$K$19,8,0)</f>
        <v>#N/A</v>
      </c>
      <c r="AC69" s="57" t="e">
        <f>VLOOKUP(A69,Enforcements!$C$7:$E$19,3,0)</f>
        <v>#N/A</v>
      </c>
      <c r="AD69" s="58" t="str">
        <f t="shared" si="11"/>
        <v>0156-02</v>
      </c>
      <c r="AE69" s="87" t="str">
        <f t="shared" si="12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69" s="84" t="str">
        <f t="shared" si="13"/>
        <v>"C:\Program Files (x86)\AstroGrep\AstroGrep.exe" /spath="%USERPROFILE%\AppData\Local\Temp\OnboardLogs" /stypes="app*4032*20170102*"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156-02 --locoid 4032 --swversion DE.1.0.8.0 --startMP 204:232992 --initTime 2017-01-02T11:19:50 --startdatetime 2017-01-02T11:26:14 --delay 1 --endMP 204:172 --enddatetime 2017-01-02T12:09:10 --enforcementcount 0 &gt;&gt;C:\Users\stu\Documents\GitHub\eaglep3-reporting\EC\2017-01-02-refined-times.txt</v>
      </c>
      <c r="AI69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{"issue":{"subject":"","project_id":79,"tracker_id":40,"status_id":1,"priority_id":2,"assigned_to_id":23,"start_date":"2017-01-02","description":"","custom_fields":[{"id":1,"name":"Subdivision","value":"EC"},{"id":4,"name":"Milepost","value":"0.0172"},{"id":17,"name":"Train ID","value":"156-02"},{"id":16,"name":"Locomotive ID","value":"4032"},{"id":130,"name":"Impact","value":""},{"id":150,"name":"Time of Event (Mountain Time)","value":"12:09:10"},{"id":151,"name":"Denver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20"/>
        <v>start /low /b %USERPROFILE%\Documents\GitHub\eaglep3\Utilities\DownloadLogsFromS3.py --loco 4032 --day 2017-01-02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527</v>
      </c>
      <c r="B70" s="7">
        <v>4011</v>
      </c>
      <c r="C70" s="22" t="s">
        <v>203</v>
      </c>
      <c r="D70" s="22" t="s">
        <v>227</v>
      </c>
      <c r="E70" s="13">
        <v>42737.444560185184</v>
      </c>
      <c r="F70" s="13">
        <v>42737.448078703703</v>
      </c>
      <c r="G70" s="7">
        <v>1</v>
      </c>
      <c r="H70" s="22" t="s">
        <v>414</v>
      </c>
      <c r="I70" s="13">
        <v>42737.474178240744</v>
      </c>
      <c r="J70" s="7">
        <v>0</v>
      </c>
      <c r="K70" s="105" t="str">
        <f t="shared" si="0"/>
        <v>4011/4012</v>
      </c>
      <c r="L70" s="22" t="str">
        <f>VLOOKUP(A70,'Trips&amp;Operators'!$C$1:$G$99999,5,FALSE)</f>
        <v>ROBINSON KADDIBA</v>
      </c>
      <c r="M70" s="6">
        <f t="shared" si="1"/>
        <v>2.6099537040863652E-2</v>
      </c>
      <c r="N70" s="7">
        <f t="shared" si="2"/>
        <v>37.583333338843659</v>
      </c>
      <c r="O70" s="7"/>
      <c r="P70" s="7"/>
      <c r="Q70" s="23"/>
      <c r="R70" s="23"/>
      <c r="S70" s="32">
        <f t="shared" si="3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09:40:10-700',mode:absolute,to:'2017-01-02 12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0" s="49" t="str">
        <f t="shared" si="6"/>
        <v>N</v>
      </c>
      <c r="X70" s="173">
        <f t="shared" si="7"/>
        <v>1</v>
      </c>
      <c r="Y70" s="64">
        <f t="shared" si="8"/>
        <v>4.5999999999999999E-2</v>
      </c>
      <c r="Z70" s="64">
        <f t="shared" si="9"/>
        <v>23.329799999999999</v>
      </c>
      <c r="AA70" s="64">
        <f t="shared" si="10"/>
        <v>23.283799999999999</v>
      </c>
      <c r="AB70" s="61" t="e">
        <f>VLOOKUP(A70,Enforcements!$C$7:$K$19,8,0)</f>
        <v>#N/A</v>
      </c>
      <c r="AC70" s="57" t="e">
        <f>VLOOKUP(A70,Enforcements!$C$7:$E$19,3,0)</f>
        <v>#N/A</v>
      </c>
      <c r="AD70" s="58" t="str">
        <f t="shared" si="11"/>
        <v>0157-02</v>
      </c>
      <c r="AE70" s="87" t="str">
        <f t="shared" si="12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70" s="84" t="str">
        <f t="shared" si="13"/>
        <v>"C:\Program Files (x86)\AstroGrep\AstroGrep.exe" /spath="%USERPROFILE%\AppData\Local\Temp\OnboardLogs" /stypes="app*4011*20170102*"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157-02 --locoid 4011 --swversion DE.1.0.8.0 --startMP 204:460 --initTime 2017-01-02T10:40:10 --startdatetime 2017-01-02T10:45:14 --delay 1 --endMP 204:233298 --enddatetime 2017-01-02T11:22:49 --enforcementcount 0 &gt;&gt;C:\Users\stu\Documents\GitHub\eaglep3-reporting\EC\2017-01-02-refined-times.txt</v>
      </c>
      <c r="AI70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{"issue":{"subject":"","project_id":79,"tracker_id":40,"status_id":1,"priority_id":2,"assigned_to_id":23,"start_date":"2017-01-02","description":"","custom_fields":[{"id":1,"name":"Subdivision","value":"EC"},{"id":4,"name":"Milepost","value":"23.3298"},{"id":17,"name":"Train ID","value":"157-02"},{"id":16,"name":"Locomotive ID","value":"4011"},{"id":130,"name":"Impact","value":""},{"id":150,"name":"Time of Event (Mountain Time)","value":"11:22:49"},{"id":151,"name":"Denver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20"/>
        <v>start /low /b %USERPROFILE%\Documents\GitHub\eaglep3\Utilities\DownloadLogsFromS3.py --loco 4011 --day 2017-01-02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537</v>
      </c>
      <c r="B71" s="7">
        <v>4012</v>
      </c>
      <c r="C71" s="22" t="s">
        <v>203</v>
      </c>
      <c r="D71" s="22" t="s">
        <v>689</v>
      </c>
      <c r="E71" s="13">
        <v>42737.483263888891</v>
      </c>
      <c r="F71" s="13">
        <v>42737.486979166664</v>
      </c>
      <c r="G71" s="7">
        <v>1</v>
      </c>
      <c r="H71" s="22" t="s">
        <v>690</v>
      </c>
      <c r="I71" s="13">
        <v>42737.514131944445</v>
      </c>
      <c r="J71" s="7">
        <v>0</v>
      </c>
      <c r="K71" s="105" t="str">
        <f t="shared" si="0"/>
        <v>4011/4012</v>
      </c>
      <c r="L71" s="22" t="str">
        <f>VLOOKUP(A71,'Trips&amp;Operators'!$C$1:$G$99999,5,FALSE)</f>
        <v>ROBINSON KADDIBA</v>
      </c>
      <c r="M71" s="6">
        <f t="shared" si="1"/>
        <v>2.715277778042946E-2</v>
      </c>
      <c r="N71" s="7">
        <f t="shared" si="2"/>
        <v>39.100000003818423</v>
      </c>
      <c r="O71" s="7"/>
      <c r="P71" s="7"/>
      <c r="Q71" s="23"/>
      <c r="R71" s="23"/>
      <c r="S71" s="32">
        <f t="shared" si="3"/>
        <v>1</v>
      </c>
      <c r="T71" s="47" t="str">
        <f t="shared" si="4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10:35:54-700',mode:absolute,to:'2017-01-02 13:20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1" s="49" t="str">
        <f t="shared" si="6"/>
        <v>N</v>
      </c>
      <c r="X71" s="173">
        <f t="shared" si="7"/>
        <v>1</v>
      </c>
      <c r="Y71" s="64">
        <f t="shared" si="8"/>
        <v>23.299399999999999</v>
      </c>
      <c r="Z71" s="64">
        <f t="shared" si="9"/>
        <v>1.7600000000000001E-2</v>
      </c>
      <c r="AA71" s="64">
        <f t="shared" si="10"/>
        <v>23.281799999999997</v>
      </c>
      <c r="AB71" s="61" t="e">
        <f>VLOOKUP(A71,Enforcements!$C$7:$K$19,8,0)</f>
        <v>#N/A</v>
      </c>
      <c r="AC71" s="57" t="e">
        <f>VLOOKUP(A71,Enforcements!$C$7:$E$19,3,0)</f>
        <v>#N/A</v>
      </c>
      <c r="AD71" s="58" t="str">
        <f t="shared" si="11"/>
        <v>0158-02</v>
      </c>
      <c r="AE71" s="87" t="str">
        <f t="shared" si="12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71" s="84" t="str">
        <f t="shared" si="13"/>
        <v>"C:\Program Files (x86)\AstroGrep\AstroGrep.exe" /spath="%USERPROFILE%\AppData\Local\Temp\OnboardLogs" /stypes="app*4012*20170102*"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158-02 --locoid 4012 --swversion DE.1.0.8.0 --startMP 204:232994 --initTime 2017-01-02T11:35:54 --startdatetime 2017-01-02T11:41:15 --delay 1 --endMP 204:176 --enddatetime 2017-01-02T12:20:21 --enforcementcount 0 &gt;&gt;C:\Users\stu\Documents\GitHub\eaglep3-reporting\EC\2017-01-02-refined-times.txt</v>
      </c>
      <c r="AI71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{"issue":{"subject":"","project_id":79,"tracker_id":40,"status_id":1,"priority_id":2,"assigned_to_id":23,"start_date":"2017-01-02","description":"","custom_fields":[{"id":1,"name":"Subdivision","value":"EC"},{"id":4,"name":"Milepost","value":"0.0176"},{"id":17,"name":"Train ID","value":"158-02"},{"id":16,"name":"Locomotive ID","value":"4012"},{"id":130,"name":"Impact","value":""},{"id":150,"name":"Time of Event (Mountain Time)","value":"12:20:21"},{"id":151,"name":"Denver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20"/>
        <v>start /low /b %USERPROFILE%\Documents\GitHub\eaglep3\Utilities\DownloadLogsFromS3.py --loco 4012 --day 2017-01-02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530</v>
      </c>
      <c r="B72" s="7">
        <v>4046</v>
      </c>
      <c r="C72" s="22" t="s">
        <v>203</v>
      </c>
      <c r="D72" s="22" t="s">
        <v>339</v>
      </c>
      <c r="E72" s="13">
        <v>42737.453090277777</v>
      </c>
      <c r="F72" s="13">
        <v>42737.458564814813</v>
      </c>
      <c r="G72" s="7">
        <v>2</v>
      </c>
      <c r="H72" s="22" t="s">
        <v>313</v>
      </c>
      <c r="I72" s="13">
        <v>42737.482997685183</v>
      </c>
      <c r="J72" s="7">
        <v>0</v>
      </c>
      <c r="K72" s="105" t="str">
        <f t="shared" si="0"/>
        <v>4045/4046</v>
      </c>
      <c r="L72" s="22" t="str">
        <f>VLOOKUP(A72,'Trips&amp;Operators'!$C$1:$G$99999,5,FALSE)</f>
        <v>STEWART MICHAEL</v>
      </c>
      <c r="M72" s="6">
        <f t="shared" si="1"/>
        <v>2.4432870370219462E-2</v>
      </c>
      <c r="N72" s="7">
        <f t="shared" si="2"/>
        <v>35.183333333116025</v>
      </c>
      <c r="O72" s="7"/>
      <c r="P72" s="7"/>
      <c r="Q72" s="23"/>
      <c r="R72" s="23"/>
      <c r="S72" s="32">
        <f t="shared" si="3"/>
        <v>1</v>
      </c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09:52:27-700',mode:absolute,to:'2017-01-02 12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2" s="49" t="str">
        <f t="shared" si="6"/>
        <v>N</v>
      </c>
      <c r="X72" s="173">
        <f t="shared" si="7"/>
        <v>1</v>
      </c>
      <c r="Y72" s="64">
        <f t="shared" si="8"/>
        <v>4.3700000000000003E-2</v>
      </c>
      <c r="Z72" s="64">
        <f t="shared" si="9"/>
        <v>23.3291</v>
      </c>
      <c r="AA72" s="64">
        <f t="shared" si="10"/>
        <v>23.285399999999999</v>
      </c>
      <c r="AB72" s="61" t="e">
        <f>VLOOKUP(A72,Enforcements!$C$7:$K$19,8,0)</f>
        <v>#N/A</v>
      </c>
      <c r="AC72" s="57" t="e">
        <f>VLOOKUP(A72,Enforcements!$C$7:$E$19,3,0)</f>
        <v>#N/A</v>
      </c>
      <c r="AD72" s="58" t="str">
        <f t="shared" si="11"/>
        <v>0159-02</v>
      </c>
      <c r="AE72" s="87" t="str">
        <f t="shared" si="12"/>
        <v>aws s3 cp s3://rtdc.mdm.uploadarchive.raw/RTDC4046/ "%USERPROFILE%\AppData\Local\Temp\OnboardLogs"\RTDC4046\2017-01-02 --exclude "*" --recursive --include "*20170102*" &amp; "%USERPROFILE%\Documents\GitHub\mrs-test-scripts\Headless Mode &amp; Sideloading\WalkAndUnGZ.bat" "%USERPROFILE%\AppData\Local\Temp\OnboardLogs"\RTDC4046\2017-01-02 &amp; 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</v>
      </c>
      <c r="AF72" s="84" t="str">
        <f t="shared" si="13"/>
        <v>"C:\Program Files (x86)\AstroGrep\AstroGrep.exe" /spath="%USERPROFILE%\AppData\Local\Temp\OnboardLogs" /stypes="app*4046*20170102*"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159-02 --locoid 4046 --swversion DE.1.0.8.0 --startMP 204:437 --initTime 2017-01-02T10:52:27 --startdatetime 2017-01-02T11:00:20 --delay 2 --endMP 204:233291 --enddatetime 2017-01-02T11:35:31 --enforcementcount 0 &gt;&gt;C:\Users\stu\Documents\GitHub\eaglep3-reporting\EC\2017-01-02-refined-times.txt</v>
      </c>
      <c r="AI72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{"issue":{"subject":"","project_id":79,"tracker_id":40,"status_id":1,"priority_id":2,"assigned_to_id":23,"start_date":"2017-01-02","description":"","custom_fields":[{"id":1,"name":"Subdivision","value":"EC"},{"id":4,"name":"Milepost","value":"23.3291"},{"id":17,"name":"Train ID","value":"159-02"},{"id":16,"name":"Locomotive ID","value":"4046"},{"id":130,"name":"Impact","value":""},{"id":150,"name":"Time of Event (Mountain Time)","value":"11:35:31"},{"id":151,"name":"Denver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20"/>
        <v>start /low /b %USERPROFILE%\Documents\GitHub\eaglep3\Utilities\DownloadLogsFromS3.py --loco 4046 --day 2017-01-02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540</v>
      </c>
      <c r="B73" s="7">
        <v>4045</v>
      </c>
      <c r="C73" s="22" t="s">
        <v>203</v>
      </c>
      <c r="D73" s="22" t="s">
        <v>367</v>
      </c>
      <c r="E73" s="13">
        <v>42737.491979166669</v>
      </c>
      <c r="F73" s="13">
        <v>42737.497511574074</v>
      </c>
      <c r="G73" s="7">
        <v>1</v>
      </c>
      <c r="H73" s="22" t="s">
        <v>222</v>
      </c>
      <c r="I73" s="13">
        <v>42737.524108796293</v>
      </c>
      <c r="J73" s="7">
        <v>0</v>
      </c>
      <c r="K73" s="105" t="str">
        <f t="shared" si="0"/>
        <v>4045/4046</v>
      </c>
      <c r="L73" s="22" t="str">
        <f>VLOOKUP(A73,'Trips&amp;Operators'!$C$1:$G$99999,5,FALSE)</f>
        <v>STEWART MICHAEL</v>
      </c>
      <c r="M73" s="6">
        <f t="shared" si="1"/>
        <v>2.6597222218697425E-2</v>
      </c>
      <c r="N73" s="7">
        <f t="shared" si="2"/>
        <v>38.299999994924292</v>
      </c>
      <c r="O73" s="7"/>
      <c r="P73" s="7"/>
      <c r="Q73" s="23"/>
      <c r="R73" s="23"/>
      <c r="S73" s="32">
        <f t="shared" si="3"/>
        <v>1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10:48:27-700',mode:absolute,to:'2017-01-02 13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3" s="49" t="str">
        <f t="shared" si="6"/>
        <v>N</v>
      </c>
      <c r="X73" s="173">
        <f t="shared" si="7"/>
        <v>1</v>
      </c>
      <c r="Y73" s="64">
        <f t="shared" si="8"/>
        <v>23.298400000000001</v>
      </c>
      <c r="Z73" s="64">
        <f t="shared" si="9"/>
        <v>1.54E-2</v>
      </c>
      <c r="AA73" s="64">
        <f t="shared" si="10"/>
        <v>23.283000000000001</v>
      </c>
      <c r="AB73" s="61" t="e">
        <f>VLOOKUP(A73,Enforcements!$C$7:$K$19,8,0)</f>
        <v>#N/A</v>
      </c>
      <c r="AC73" s="57" t="e">
        <f>VLOOKUP(A73,Enforcements!$C$7:$E$19,3,0)</f>
        <v>#N/A</v>
      </c>
      <c r="AD73" s="58" t="str">
        <f t="shared" si="11"/>
        <v>0160-02</v>
      </c>
      <c r="AE73" s="87" t="str">
        <f t="shared" si="12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73" s="84" t="str">
        <f t="shared" si="13"/>
        <v>"C:\Program Files (x86)\AstroGrep\AstroGrep.exe" /spath="%USERPROFILE%\AppData\Local\Temp\OnboardLogs" /stypes="app*4045*20170102*"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160-02 --locoid 4045 --swversion DE.1.0.8.0 --startMP 204:232984 --initTime 2017-01-02T11:48:27 --startdatetime 2017-01-02T11:56:25 --delay 1 --endMP 204:154 --enddatetime 2017-01-02T12:34:43 --enforcementcount 0 &gt;&gt;C:\Users\stu\Documents\GitHub\eaglep3-reporting\EC\2017-01-02-refined-times.txt</v>
      </c>
      <c r="AI73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{"issue":{"subject":"","project_id":79,"tracker_id":40,"status_id":1,"priority_id":2,"assigned_to_id":23,"start_date":"2017-01-02","description":"","custom_fields":[{"id":1,"name":"Subdivision","value":"EC"},{"id":4,"name":"Milepost","value":"0.0154"},{"id":17,"name":"Train ID","value":"160-02"},{"id":16,"name":"Locomotive ID","value":"4045"},{"id":130,"name":"Impact","value":""},{"id":150,"name":"Time of Event (Mountain Time)","value":"12:34:43"},{"id":151,"name":"Denver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20"/>
        <v>start /low /b %USERPROFILE%\Documents\GitHub\eaglep3\Utilities\DownloadLogsFromS3.py --loco 4045 --day 2017-01-02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434</v>
      </c>
      <c r="B74" s="7">
        <v>4014</v>
      </c>
      <c r="C74" s="22" t="s">
        <v>203</v>
      </c>
      <c r="D74" s="22" t="s">
        <v>680</v>
      </c>
      <c r="E74" s="13">
        <v>42737.466967592591</v>
      </c>
      <c r="F74" s="13">
        <v>42737.469351851854</v>
      </c>
      <c r="G74" s="7">
        <v>2</v>
      </c>
      <c r="H74" s="22" t="s">
        <v>290</v>
      </c>
      <c r="I74" s="13">
        <v>42737.496215277781</v>
      </c>
      <c r="J74" s="7">
        <v>0</v>
      </c>
      <c r="K74" s="105" t="str">
        <f t="shared" si="0"/>
        <v>4013/4014</v>
      </c>
      <c r="L74" s="22" t="str">
        <f>VLOOKUP(A74,'Trips&amp;Operators'!$C$1:$G$99999,5,FALSE)</f>
        <v>DAVIS MICHAEL</v>
      </c>
      <c r="M74" s="6">
        <f t="shared" si="1"/>
        <v>2.6863425926421769E-2</v>
      </c>
      <c r="N74" s="7">
        <f t="shared" si="2"/>
        <v>38.683333334047347</v>
      </c>
      <c r="O74" s="7"/>
      <c r="P74" s="7"/>
      <c r="Q74" s="23"/>
      <c r="R74" s="23"/>
      <c r="S74" s="32">
        <f t="shared" si="3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10:12:26-700',mode:absolute,to:'2017-01-02 12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4" s="49" t="str">
        <f t="shared" si="6"/>
        <v>N</v>
      </c>
      <c r="X74" s="173">
        <f t="shared" si="7"/>
        <v>1</v>
      </c>
      <c r="Y74" s="64">
        <f t="shared" si="8"/>
        <v>4.3799999999999999E-2</v>
      </c>
      <c r="Z74" s="64">
        <f t="shared" si="9"/>
        <v>23.3293</v>
      </c>
      <c r="AA74" s="64">
        <f t="shared" si="10"/>
        <v>23.285499999999999</v>
      </c>
      <c r="AB74" s="61" t="str">
        <f>VLOOKUP(A74,Enforcements!$C$7:$K$19,8,0)</f>
        <v>Form based authority (4)</v>
      </c>
      <c r="AC74" s="57" t="str">
        <f>VLOOKUP(A74,Enforcements!$C$7:$E$19,3,0)</f>
        <v>TRACK WARRANT AUTHORITY</v>
      </c>
      <c r="AD74" s="58" t="str">
        <f t="shared" si="11"/>
        <v>0161-02</v>
      </c>
      <c r="AE74" s="87" t="str">
        <f t="shared" si="12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74" s="84" t="str">
        <f t="shared" si="13"/>
        <v>"C:\Program Files (x86)\AstroGrep\AstroGrep.exe" /spath="%USERPROFILE%\AppData\Local\Temp\OnboardLogs" /stypes="app*4014*20170102*"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161-02 --locoid 4014 --swversion DE.1.0.8.0 --startMP 204:438 --initTime 2017-01-02T11:12:26 --startdatetime 2017-01-02T11:15:52 --delay 2 --endMP 204:233293 --enddatetime 2017-01-02T11:54:33 --enforcementcount 0 &gt;&gt;C:\Users\stu\Documents\GitHub\eaglep3-reporting\EC\2017-01-02-refined-times.txt</v>
      </c>
      <c r="AI74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{"issue":{"subject":"","project_id":79,"tracker_id":40,"status_id":1,"priority_id":2,"assigned_to_id":23,"start_date":"2017-01-02","description":"","custom_fields":[{"id":1,"name":"Subdivision","value":"EC"},{"id":4,"name":"Milepost","value":"23.3293"},{"id":17,"name":"Train ID","value":"161-02"},{"id":16,"name":"Locomotive ID","value":"4014"},{"id":130,"name":"Impact","value":""},{"id":150,"name":"Time of Event (Mountain Time)","value":"11:54:33"},{"id":151,"name":"Denver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20"/>
        <v>start /low /b %USERPROFILE%\Documents\GitHub\eaglep3\Utilities\DownloadLogsFromS3.py --loco 4014 --day 2017-01-02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545</v>
      </c>
      <c r="B75" s="7">
        <v>4013</v>
      </c>
      <c r="C75" s="22" t="s">
        <v>203</v>
      </c>
      <c r="D75" s="22" t="s">
        <v>322</v>
      </c>
      <c r="E75" s="13">
        <v>42737.505069444444</v>
      </c>
      <c r="F75" s="13">
        <v>42737.508252314816</v>
      </c>
      <c r="G75" s="7">
        <v>1</v>
      </c>
      <c r="H75" s="22" t="s">
        <v>209</v>
      </c>
      <c r="I75" s="13">
        <v>42737.536446759259</v>
      </c>
      <c r="J75" s="7">
        <v>0</v>
      </c>
      <c r="K75" s="105" t="str">
        <f t="shared" si="0"/>
        <v>4013/4014</v>
      </c>
      <c r="L75" s="22" t="str">
        <f>VLOOKUP(A75,'Trips&amp;Operators'!$C$1:$G$99999,5,FALSE)</f>
        <v>DAVIS MICHAEL</v>
      </c>
      <c r="M75" s="6">
        <f t="shared" si="1"/>
        <v>2.8194444443215616E-2</v>
      </c>
      <c r="N75" s="7">
        <f t="shared" si="2"/>
        <v>40.599999998230487</v>
      </c>
      <c r="O75" s="7"/>
      <c r="P75" s="7"/>
      <c r="Q75" s="23"/>
      <c r="R75" s="23"/>
      <c r="S75" s="32">
        <f t="shared" si="3"/>
        <v>1</v>
      </c>
      <c r="T75" s="47" t="str">
        <f t="shared" si="4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https://search-rtdc-monitor-bjffxe2xuh6vdkpspy63sjmuny.us-east-1.es.amazonaws.com/_plugin/kibana/#/discover/Steve-Slow-Train-Analysis-(2080s-and-2083s)?_g=(refreshInterval:(display:Off,section:0,value:0),time:(from:'2017-01-02 11:07:18-700',mode:absolute,to:'2017-01-02 13:52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5" s="49" t="str">
        <f t="shared" si="6"/>
        <v>N</v>
      </c>
      <c r="X75" s="173">
        <f t="shared" si="7"/>
        <v>1</v>
      </c>
      <c r="Y75" s="64">
        <f t="shared" si="8"/>
        <v>23.2989</v>
      </c>
      <c r="Z75" s="64">
        <f t="shared" si="9"/>
        <v>1.4999999999999999E-2</v>
      </c>
      <c r="AA75" s="64">
        <f t="shared" si="10"/>
        <v>23.283899999999999</v>
      </c>
      <c r="AB75" s="61" t="e">
        <f>VLOOKUP(A75,Enforcements!$C$7:$K$19,8,0)</f>
        <v>#N/A</v>
      </c>
      <c r="AC75" s="57" t="e">
        <f>VLOOKUP(A75,Enforcements!$C$7:$E$19,3,0)</f>
        <v>#N/A</v>
      </c>
      <c r="AD75" s="58" t="str">
        <f t="shared" si="11"/>
        <v>0162-02</v>
      </c>
      <c r="AE75" s="87" t="str">
        <f t="shared" si="12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75" s="84" t="str">
        <f t="shared" si="13"/>
        <v>"C:\Program Files (x86)\AstroGrep\AstroGrep.exe" /spath="%USERPROFILE%\AppData\Local\Temp\OnboardLogs" /stypes="app*4013*20170102*"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162-02 --locoid 4013 --swversion DE.1.0.8.0 --startMP 204:232989 --initTime 2017-01-02T12:07:18 --startdatetime 2017-01-02T12:11:53 --delay 1 --endMP 204:150 --enddatetime 2017-01-02T12:52:29 --enforcementcount 0 &gt;&gt;C:\Users\stu\Documents\GitHub\eaglep3-reporting\EC\2017-01-02-refined-times.txt</v>
      </c>
      <c r="AI75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{"issue":{"subject":"","project_id":79,"tracker_id":40,"status_id":1,"priority_id":2,"assigned_to_id":23,"start_date":"2017-01-02","description":"","custom_fields":[{"id":1,"name":"Subdivision","value":"EC"},{"id":4,"name":"Milepost","value":"0.015"},{"id":17,"name":"Train ID","value":"162-02"},{"id":16,"name":"Locomotive ID","value":"4013"},{"id":130,"name":"Impact","value":""},{"id":150,"name":"Time of Event (Mountain Time)","value":"12:52:29"},{"id":151,"name":"Denver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20"/>
        <v>start /low /b %USERPROFILE%\Documents\GitHub\eaglep3\Utilities\DownloadLogsFromS3.py --loco 4013 --day 2017-01-02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534</v>
      </c>
      <c r="B76" s="7">
        <v>4042</v>
      </c>
      <c r="C76" s="22" t="s">
        <v>203</v>
      </c>
      <c r="D76" s="22" t="s">
        <v>411</v>
      </c>
      <c r="E76" s="13">
        <v>42737.474583333336</v>
      </c>
      <c r="F76" s="13">
        <v>42737.47934027778</v>
      </c>
      <c r="G76" s="7">
        <v>1</v>
      </c>
      <c r="H76" s="22" t="s">
        <v>287</v>
      </c>
      <c r="I76" s="13">
        <v>42737.506539351853</v>
      </c>
      <c r="J76" s="7">
        <v>0</v>
      </c>
      <c r="K76" s="105" t="str">
        <f t="shared" ref="K76:K139" si="38">IF(ISEVEN(B76),(B76-1)&amp;"/"&amp;B76,B76&amp;"/"&amp;(B76+1))</f>
        <v>4041/4042</v>
      </c>
      <c r="L76" s="22" t="str">
        <f>VLOOKUP(A76,'Trips&amp;Operators'!$C$1:$G$99999,5,FALSE)</f>
        <v>CLARK KATHLEEN</v>
      </c>
      <c r="M76" s="6">
        <f t="shared" ref="M76:M139" si="39">I76-F76</f>
        <v>2.7199074072996154E-2</v>
      </c>
      <c r="N76" s="7">
        <f t="shared" ref="N76:N139" si="40">24*60*SUM($M76:$M76)</f>
        <v>39.166666665114462</v>
      </c>
      <c r="O76" s="7"/>
      <c r="P76" s="7"/>
      <c r="Q76" s="23"/>
      <c r="R76" s="23"/>
      <c r="S76" s="32">
        <f t="shared" ref="S76:S139" si="41">SUM(U76:U76)/IF(AG76="EC",12,1)</f>
        <v>1</v>
      </c>
      <c r="T76" s="47" t="str">
        <f t="shared" ref="T76:T139" si="42">IF(ISEVEN(LEFT(AD76,4)),"Southbound","NorthBound")</f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ref="V76:V139" si="43">"https://search-rtdc-monitor-bjffxe2xuh6vdkpspy63sjmuny.us-east-1.es.amazonaws.com/_plugin/kibana/#/discover/Steve-Slow-Train-Analysis-(2080s-and-2083s)?_g=(refreshInterval:(display:Off,section:0,value:0),time:(from:'"&amp;TEXT(E76-1/24,"yyyy-MM-DD hh:mm:ss")&amp;utc_offset&amp;"00',mode:absolute,to:'"&amp;TEXT(I76+1/24,"yyyy-MM-DD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https://search-rtdc-monitor-bjffxe2xuh6vdkpspy63sjmuny.us-east-1.es.amazonaws.com/_plugin/kibana/#/discover/Steve-Slow-Train-Analysis-(2080s-and-2083s)?_g=(refreshInterval:(display:Off,section:0,value:0),time:(from:'2017-01-02 10:23:24-700',mode:absolute,to:'2017-01-02 13:09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6" s="49" t="str">
        <f t="shared" ref="W76:W139" si="44">IF(AA76&lt;IF(AG76="EC",23,5.65),"Y","N")</f>
        <v>N</v>
      </c>
      <c r="X76" s="173">
        <f t="shared" ref="X76:X139" si="45">VALUE(LEFT(AD76,4))-VALUE(LEFT(AD75,4))</f>
        <v>1</v>
      </c>
      <c r="Y76" s="64">
        <f t="shared" ref="Y76:Y139" si="46">RIGHT(D76,LEN(D76)-4)/10000</f>
        <v>4.7500000000000001E-2</v>
      </c>
      <c r="Z76" s="64">
        <f t="shared" ref="Z76:Z139" si="47">RIGHT(H76,LEN(H76)-4)/10000</f>
        <v>23.330100000000002</v>
      </c>
      <c r="AA76" s="64">
        <f t="shared" ref="AA76:AA139" si="48">ABS(Z76-Y76)</f>
        <v>23.282600000000002</v>
      </c>
      <c r="AB76" s="61" t="e">
        <f>VLOOKUP(A76,Enforcements!$C$7:$K$19,8,0)</f>
        <v>#N/A</v>
      </c>
      <c r="AC76" s="57" t="e">
        <f>VLOOKUP(A76,Enforcements!$C$7:$E$19,3,0)</f>
        <v>#N/A</v>
      </c>
      <c r="AD76" s="58" t="str">
        <f t="shared" ref="AD76:AD139" si="49">IF(LEN(A76)=6,"0"&amp;A76,A76)</f>
        <v>0163-02</v>
      </c>
      <c r="AE76" s="87" t="str">
        <f t="shared" ref="AE76:AE139" si="50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76" s="84" t="str">
        <f t="shared" ref="AF76:AF139" si="51"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/stypes="app*4042*20170102*" /stext=" 19:.+((SYSTEM_STATE.+slice.+state.+changed )|(ment ac)|(multiple cpu faults)|(system.+state.+changed )|(\[timeout)|(PRM\|1\|D)|(kpr)|(kdp)|(\|lc)|(penalty))" /e /r /s</v>
      </c>
      <c r="AG76" s="1" t="str">
        <f t="shared" ref="AG76:AG139" si="52">IFERROR(IF(VALUE(LEFT(AD76,2))&lt;=2,"EC",IF(OR(VALUE(LEFT(AD76,2))=8,VALUE(LEFT(AD76,2))=18),"NW","Other")),"Other")</f>
        <v>EC</v>
      </c>
      <c r="AH76" s="88" t="str">
        <f t="shared" si="18"/>
        <v>"%USERPROFILE%\Documents\GitHub\eaglep3\Utilities\RefineRTDCRunTimes.py" --tripid 163-02 --locoid 4042 --swversion DE.1.0.8.0 --startMP 204:475 --initTime 2017-01-02T11:23:24 --startdatetime 2017-01-02T11:30:15 --delay 1 --endMP 204:233301 --enddatetime 2017-01-02T12:09:25 --enforcementcount 0 &gt;&gt;C:\Users\stu\Documents\GitHub\eaglep3-reporting\EC\2017-01-02-refined-times.txt</v>
      </c>
      <c r="AI76" s="115" t="str">
        <f t="shared" si="19"/>
        <v>echo {"issue":{"subject":"","project_id":79,"tracker_id":40,"status_id":1,"priority_id":2,"assigned_to_id":23,"start_date":"2017-01-02","description":"","custom_fields":[{"id":1,"name":"Subdivision","value":"EC"},{"id":4,"name":"Milepost","value":"23.3301"},{"id":17,"name":"Train ID","value":"163-02"},{"id":16,"name":"Locomotive ID","value":"4042"},{"id":130,"name":"Impact","value":""},{"id":150,"name":"Time of Event (Mountain Time)","value":"12:09:25"},{"id":151,"name":"Denver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20"/>
        <v>start /low /b %USERPROFILE%\Documents\GitHub\eaglep3\Utilities\DownloadLogsFromS3.py --loco 4042 --day 2017-01-02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549</v>
      </c>
      <c r="B77" s="7">
        <v>4041</v>
      </c>
      <c r="C77" s="22" t="s">
        <v>203</v>
      </c>
      <c r="D77" s="22" t="s">
        <v>294</v>
      </c>
      <c r="E77" s="13">
        <v>42737.51326388889</v>
      </c>
      <c r="F77" s="13">
        <v>42737.518229166664</v>
      </c>
      <c r="G77" s="7">
        <v>1</v>
      </c>
      <c r="H77" s="22" t="s">
        <v>315</v>
      </c>
      <c r="I77" s="13">
        <v>42737.551030092596</v>
      </c>
      <c r="J77" s="7">
        <v>0</v>
      </c>
      <c r="K77" s="105" t="str">
        <f t="shared" si="38"/>
        <v>4041/4042</v>
      </c>
      <c r="L77" s="22" t="str">
        <f>VLOOKUP(A77,'Trips&amp;Operators'!$C$1:$G$99999,5,FALSE)</f>
        <v>CLARK KATHLEEN</v>
      </c>
      <c r="M77" s="6">
        <f t="shared" si="39"/>
        <v>3.2800925931951497E-2</v>
      </c>
      <c r="N77" s="7">
        <f t="shared" si="40"/>
        <v>47.233333342010155</v>
      </c>
      <c r="O77" s="7"/>
      <c r="P77" s="7"/>
      <c r="Q77" s="23"/>
      <c r="R77" s="23"/>
      <c r="S77" s="32">
        <f t="shared" si="41"/>
        <v>1</v>
      </c>
      <c r="T77" s="47" t="str">
        <f t="shared" si="42"/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11:19:06-700',mode:absolute,to:'2017-01-02 14:13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7" s="49" t="str">
        <f t="shared" si="44"/>
        <v>N</v>
      </c>
      <c r="X77" s="173">
        <f t="shared" si="45"/>
        <v>1</v>
      </c>
      <c r="Y77" s="64">
        <f t="shared" si="46"/>
        <v>23.298200000000001</v>
      </c>
      <c r="Z77" s="64">
        <f t="shared" si="47"/>
        <v>1.5599999999999999E-2</v>
      </c>
      <c r="AA77" s="64">
        <f t="shared" si="48"/>
        <v>23.282600000000002</v>
      </c>
      <c r="AB77" s="61" t="e">
        <f>VLOOKUP(A77,Enforcements!$C$7:$K$19,8,0)</f>
        <v>#N/A</v>
      </c>
      <c r="AC77" s="57" t="e">
        <f>VLOOKUP(A77,Enforcements!$C$7:$E$19,3,0)</f>
        <v>#N/A</v>
      </c>
      <c r="AD77" s="58" t="str">
        <f t="shared" si="49"/>
        <v>0164-02</v>
      </c>
      <c r="AE77" s="87" t="str">
        <f t="shared" si="50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77" s="84" t="str">
        <f t="shared" si="51"/>
        <v>"C:\Program Files (x86)\AstroGrep\AstroGrep.exe" /spath="%USERPROFILE%\AppData\Local\Temp\OnboardLogs" /stypes="app*4041*20170102*" /stext=" 20:.+((SYSTEM_STATE.+slice.+state.+changed )|(ment ac)|(multiple cpu faults)|(system.+state.+changed )|(\[timeout)|(PRM\|1\|D)|(kpr)|(kdp)|(\|lc)|(penalty))" /e /r /s</v>
      </c>
      <c r="AG77" s="1" t="str">
        <f t="shared" si="52"/>
        <v>EC</v>
      </c>
      <c r="AH77" s="88" t="str">
        <f t="shared" ref="AH77:AH140" si="53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164-02 --locoid 4041 --swversion DE.1.0.8.0 --startMP 204:232982 --initTime 2017-01-02T12:19:06 --startdatetime 2017-01-02T12:26:15 --delay 1 --endMP 204:156 --enddatetime 2017-01-02T13:13:29 --enforcementcount 0 &gt;&gt;C:\Users\stu\Documents\GitHub\eaglep3-reporting\EC\2017-01-02-refined-times.txt</v>
      </c>
      <c r="AI77" s="115" t="str">
        <f t="shared" ref="AI77:AI140" si="54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{"issue":{"subject":"","project_id":79,"tracker_id":40,"status_id":1,"priority_id":2,"assigned_to_id":23,"start_date":"2017-01-02","description":"","custom_fields":[{"id":1,"name":"Subdivision","value":"EC"},{"id":4,"name":"Milepost","value":"0.0156"},{"id":17,"name":"Train ID","value":"164-02"},{"id":16,"name":"Locomotive ID","value":"4041"},{"id":130,"name":"Impact","value":""},{"id":150,"name":"Time of Event (Mountain Time)","value":"13:13:29"},{"id":151,"name":"Denver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ref="AM77:AM140" si="55">"start /low /b "&amp;dls3logs&amp;" --loco "&amp;B77&amp;" --day "&amp;TEXT(F77,"YYYY-MM-DD")</f>
        <v>start /low /b %USERPROFILE%\Documents\GitHub\eaglep3\Utilities\DownloadLogsFromS3.py --loco 4041 --day 2017-01-02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539</v>
      </c>
      <c r="B78" s="7">
        <v>4029</v>
      </c>
      <c r="C78" s="22" t="s">
        <v>203</v>
      </c>
      <c r="D78" s="22" t="s">
        <v>246</v>
      </c>
      <c r="E78" s="13">
        <v>42737.486898148149</v>
      </c>
      <c r="F78" s="13">
        <v>42737.490208333336</v>
      </c>
      <c r="G78" s="7">
        <v>3</v>
      </c>
      <c r="H78" s="22" t="s">
        <v>691</v>
      </c>
      <c r="I78" s="13">
        <v>42737.516585648147</v>
      </c>
      <c r="J78" s="7">
        <v>0</v>
      </c>
      <c r="K78" s="105" t="str">
        <f t="shared" si="38"/>
        <v>4029/4030</v>
      </c>
      <c r="L78" s="22" t="str">
        <f>VLOOKUP(A78,'Trips&amp;Operators'!$C$1:$G$99999,5,FALSE)</f>
        <v>ADANE ELSHADAY</v>
      </c>
      <c r="M78" s="6">
        <f t="shared" si="39"/>
        <v>2.6377314810815733E-2</v>
      </c>
      <c r="N78" s="7">
        <f t="shared" si="40"/>
        <v>37.983333327574655</v>
      </c>
      <c r="O78" s="7"/>
      <c r="P78" s="7"/>
      <c r="Q78" s="23"/>
      <c r="R78" s="23"/>
      <c r="S78" s="32">
        <f t="shared" si="41"/>
        <v>1</v>
      </c>
      <c r="T78" s="47" t="str">
        <f t="shared" si="42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10:41:08-700',mode:absolute,to:'2017-01-02 13:23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8" s="49" t="str">
        <f t="shared" si="44"/>
        <v>N</v>
      </c>
      <c r="X78" s="173">
        <f t="shared" si="45"/>
        <v>1</v>
      </c>
      <c r="Y78" s="64">
        <f t="shared" si="46"/>
        <v>4.53E-2</v>
      </c>
      <c r="Z78" s="64">
        <f t="shared" si="47"/>
        <v>23.323</v>
      </c>
      <c r="AA78" s="64">
        <f t="shared" si="48"/>
        <v>23.277699999999999</v>
      </c>
      <c r="AB78" s="61" t="e">
        <f>VLOOKUP(A78,Enforcements!$C$7:$K$19,8,0)</f>
        <v>#N/A</v>
      </c>
      <c r="AC78" s="57" t="e">
        <f>VLOOKUP(A78,Enforcements!$C$7:$E$19,3,0)</f>
        <v>#N/A</v>
      </c>
      <c r="AD78" s="58" t="str">
        <f t="shared" si="49"/>
        <v>0165-02</v>
      </c>
      <c r="AE78" s="87" t="str">
        <f t="shared" si="50"/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AF78" s="84" t="str">
        <f t="shared" si="51"/>
        <v>"C:\Program Files (x86)\AstroGrep\AstroGrep.exe" /spath="%USERPROFILE%\AppData\Local\Temp\OnboardLogs" /stypes="app*4029*20170102*" /stext=" 19:.+((SYSTEM_STATE.+slice.+state.+changed )|(ment ac)|(multiple cpu faults)|(system.+state.+changed )|(\[timeout)|(PRM\|1\|D)|(kpr)|(kdp)|(\|lc)|(penalty))" /e /r /s</v>
      </c>
      <c r="AG78" s="1" t="str">
        <f t="shared" si="52"/>
        <v>EC</v>
      </c>
      <c r="AH78" s="88" t="str">
        <f t="shared" si="53"/>
        <v>"%USERPROFILE%\Documents\GitHub\eaglep3\Utilities\RefineRTDCRunTimes.py" --tripid 165-02 --locoid 4029 --swversion DE.1.0.8.0 --startMP 204:453 --initTime 2017-01-02T11:41:08 --startdatetime 2017-01-02T11:45:54 --delay 3 --endMP 204:233230 --enddatetime 2017-01-02T12:23:53 --enforcementcount 0 &gt;&gt;C:\Users\stu\Documents\GitHub\eaglep3-reporting\EC\2017-01-02-refined-times.txt</v>
      </c>
      <c r="AI78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{"issue":{"subject":"","project_id":79,"tracker_id":40,"status_id":1,"priority_id":2,"assigned_to_id":23,"start_date":"2017-01-02","description":"","custom_fields":[{"id":1,"name":"Subdivision","value":"EC"},{"id":4,"name":"Milepost","value":"23.323"},{"id":17,"name":"Train ID","value":"165-02"},{"id":16,"name":"Locomotive ID","value":"4029"},{"id":130,"name":"Impact","value":""},{"id":150,"name":"Time of Event (Mountain Time)","value":"12:23:53"},{"id":151,"name":"Denver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55"/>
        <v>start /low /b %USERPROFILE%\Documents\GitHub\eaglep3\Utilities\DownloadLogsFromS3.py --loco 4029 --day 2017-01-02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552</v>
      </c>
      <c r="B79" s="7">
        <v>4030</v>
      </c>
      <c r="C79" s="22" t="s">
        <v>203</v>
      </c>
      <c r="D79" s="22" t="s">
        <v>692</v>
      </c>
      <c r="E79" s="13">
        <v>42737.518807870372</v>
      </c>
      <c r="F79" s="13">
        <v>42737.529050925928</v>
      </c>
      <c r="G79" s="7">
        <v>1</v>
      </c>
      <c r="H79" s="22" t="s">
        <v>299</v>
      </c>
      <c r="I79" s="13">
        <v>42737.557951388888</v>
      </c>
      <c r="J79" s="7">
        <v>0</v>
      </c>
      <c r="K79" s="105" t="str">
        <f t="shared" si="38"/>
        <v>4029/4030</v>
      </c>
      <c r="L79" s="22" t="str">
        <f>VLOOKUP(A79,'Trips&amp;Operators'!$C$1:$G$99999,5,FALSE)</f>
        <v>ADANE ELSHADAY</v>
      </c>
      <c r="M79" s="6">
        <f t="shared" si="39"/>
        <v>2.8900462959427387E-2</v>
      </c>
      <c r="N79" s="7">
        <f t="shared" si="40"/>
        <v>41.616666661575437</v>
      </c>
      <c r="O79" s="7"/>
      <c r="P79" s="7"/>
      <c r="Q79" s="23"/>
      <c r="R79" s="23"/>
      <c r="S79" s="32">
        <f t="shared" si="41"/>
        <v>1</v>
      </c>
      <c r="T79" s="47" t="str">
        <f t="shared" si="42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11:27:05-700',mode:absolute,to:'2017-01-02 14:23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9" s="49" t="str">
        <f t="shared" si="44"/>
        <v>N</v>
      </c>
      <c r="X79" s="173">
        <f t="shared" si="45"/>
        <v>1</v>
      </c>
      <c r="Y79" s="64">
        <f t="shared" si="46"/>
        <v>23.291899999999998</v>
      </c>
      <c r="Z79" s="64">
        <f t="shared" si="47"/>
        <v>1.5800000000000002E-2</v>
      </c>
      <c r="AA79" s="64">
        <f t="shared" si="48"/>
        <v>23.2761</v>
      </c>
      <c r="AB79" s="61" t="e">
        <f>VLOOKUP(A79,Enforcements!$C$7:$K$19,8,0)</f>
        <v>#N/A</v>
      </c>
      <c r="AC79" s="57" t="e">
        <f>VLOOKUP(A79,Enforcements!$C$7:$E$19,3,0)</f>
        <v>#N/A</v>
      </c>
      <c r="AD79" s="58" t="str">
        <f t="shared" si="49"/>
        <v>0166-02</v>
      </c>
      <c r="AE79" s="87" t="str">
        <f t="shared" si="50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79" s="84" t="str">
        <f t="shared" si="51"/>
        <v>"C:\Program Files (x86)\AstroGrep\AstroGrep.exe" /spath="%USERPROFILE%\AppData\Local\Temp\OnboardLogs" /stypes="app*4030*20170102*" /stext=" 20:.+((SYSTEM_STATE.+slice.+state.+changed )|(ment ac)|(multiple cpu faults)|(system.+state.+changed )|(\[timeout)|(PRM\|1\|D)|(kpr)|(kdp)|(\|lc)|(penalty))" /e /r /s</v>
      </c>
      <c r="AG79" s="1" t="str">
        <f t="shared" si="52"/>
        <v>EC</v>
      </c>
      <c r="AH79" s="88" t="str">
        <f t="shared" si="53"/>
        <v>"%USERPROFILE%\Documents\GitHub\eaglep3\Utilities\RefineRTDCRunTimes.py" --tripid 166-02 --locoid 4030 --swversion DE.1.0.8.0 --startMP 204:232919 --initTime 2017-01-02T12:27:05 --startdatetime 2017-01-02T12:41:50 --delay 1 --endMP 204:158 --enddatetime 2017-01-02T13:23:27 --enforcementcount 0 &gt;&gt;C:\Users\stu\Documents\GitHub\eaglep3-reporting\EC\2017-01-02-refined-times.txt</v>
      </c>
      <c r="AI79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{"issue":{"subject":"","project_id":79,"tracker_id":40,"status_id":1,"priority_id":2,"assigned_to_id":23,"start_date":"2017-01-02","description":"","custom_fields":[{"id":1,"name":"Subdivision","value":"EC"},{"id":4,"name":"Milepost","value":"0.0158"},{"id":17,"name":"Train ID","value":"166-02"},{"id":16,"name":"Locomotive ID","value":"4030"},{"id":130,"name":"Impact","value":""},{"id":150,"name":"Time of Event (Mountain Time)","value":"13:23:27"},{"id":151,"name":"Denver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55"/>
        <v>start /low /b %USERPROFILE%\Documents\GitHub\eaglep3\Utilities\DownloadLogsFromS3.py --loco 4030 --day 2017-01-02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541</v>
      </c>
      <c r="B80" s="7">
        <v>4016</v>
      </c>
      <c r="C80" s="22" t="s">
        <v>203</v>
      </c>
      <c r="D80" s="22" t="s">
        <v>247</v>
      </c>
      <c r="E80" s="13">
        <v>42737.494537037041</v>
      </c>
      <c r="F80" s="13">
        <v>42737.500277777777</v>
      </c>
      <c r="G80" s="7">
        <v>1</v>
      </c>
      <c r="H80" s="22" t="s">
        <v>693</v>
      </c>
      <c r="I80" s="13">
        <v>42737.525694444441</v>
      </c>
      <c r="J80" s="7">
        <v>0</v>
      </c>
      <c r="K80" s="105" t="str">
        <f t="shared" si="38"/>
        <v>4015/4016</v>
      </c>
      <c r="L80" s="22" t="str">
        <f>VLOOKUP(A80,'Trips&amp;Operators'!$C$1:$G$99999,5,FALSE)</f>
        <v>CRAYTON QUNTRELL</v>
      </c>
      <c r="M80" s="6">
        <f t="shared" si="39"/>
        <v>2.5416666663659271E-2</v>
      </c>
      <c r="N80" s="7">
        <f t="shared" si="40"/>
        <v>36.59999999566935</v>
      </c>
      <c r="O80" s="7"/>
      <c r="P80" s="7"/>
      <c r="Q80" s="23"/>
      <c r="R80" s="23"/>
      <c r="S80" s="32">
        <f t="shared" si="41"/>
        <v>1</v>
      </c>
      <c r="T80" s="47" t="str">
        <f t="shared" si="42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10:52:08-700',mode:absolute,to:'2017-01-02 13:37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0" s="49" t="str">
        <f t="shared" si="44"/>
        <v>N</v>
      </c>
      <c r="X80" s="173">
        <f t="shared" si="45"/>
        <v>1</v>
      </c>
      <c r="Y80" s="64">
        <f t="shared" si="46"/>
        <v>4.6399999999999997E-2</v>
      </c>
      <c r="Z80" s="64">
        <f t="shared" si="47"/>
        <v>23.332000000000001</v>
      </c>
      <c r="AA80" s="64">
        <f t="shared" si="48"/>
        <v>23.285600000000002</v>
      </c>
      <c r="AB80" s="61" t="e">
        <f>VLOOKUP(A80,Enforcements!$C$7:$K$19,8,0)</f>
        <v>#N/A</v>
      </c>
      <c r="AC80" s="57" t="e">
        <f>VLOOKUP(A80,Enforcements!$C$7:$E$19,3,0)</f>
        <v>#N/A</v>
      </c>
      <c r="AD80" s="58" t="str">
        <f t="shared" si="49"/>
        <v>0167-02</v>
      </c>
      <c r="AE80" s="87" t="str">
        <f t="shared" si="50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80" s="84" t="str">
        <f t="shared" si="51"/>
        <v>"C:\Program Files (x86)\AstroGrep\AstroGrep.exe" /spath="%USERPROFILE%\AppData\Local\Temp\OnboardLogs" /stypes="app*4016*20170102*" /stext=" 19:.+((SYSTEM_STATE.+slice.+state.+changed )|(ment ac)|(multiple cpu faults)|(system.+state.+changed )|(\[timeout)|(PRM\|1\|D)|(kpr)|(kdp)|(\|lc)|(penalty))" /e /r /s</v>
      </c>
      <c r="AG80" s="1" t="str">
        <f t="shared" si="52"/>
        <v>EC</v>
      </c>
      <c r="AH80" s="88" t="str">
        <f t="shared" si="53"/>
        <v>"%USERPROFILE%\Documents\GitHub\eaglep3\Utilities\RefineRTDCRunTimes.py" --tripid 167-02 --locoid 4016 --swversion DE.1.0.8.0 --startMP 204:464 --initTime 2017-01-02T11:52:08 --startdatetime 2017-01-02T12:00:24 --delay 1 --endMP 204:233320 --enddatetime 2017-01-02T12:37:00 --enforcementcount 0 &gt;&gt;C:\Users\stu\Documents\GitHub\eaglep3-reporting\EC\2017-01-02-refined-times.txt</v>
      </c>
      <c r="AI80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{"issue":{"subject":"","project_id":79,"tracker_id":40,"status_id":1,"priority_id":2,"assigned_to_id":23,"start_date":"2017-01-02","description":"","custom_fields":[{"id":1,"name":"Subdivision","value":"EC"},{"id":4,"name":"Milepost","value":"23.332"},{"id":17,"name":"Train ID","value":"167-02"},{"id":16,"name":"Locomotive ID","value":"4016"},{"id":130,"name":"Impact","value":""},{"id":150,"name":"Time of Event (Mountain Time)","value":"12:37:00"},{"id":151,"name":"Denver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55"/>
        <v>start /low /b %USERPROFILE%\Documents\GitHub\eaglep3\Utilities\DownloadLogsFromS3.py --loco 4016 --day 2017-01-02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555</v>
      </c>
      <c r="B81" s="7">
        <v>4015</v>
      </c>
      <c r="C81" s="22" t="s">
        <v>203</v>
      </c>
      <c r="D81" s="22" t="s">
        <v>694</v>
      </c>
      <c r="E81" s="13">
        <v>42737.533541666664</v>
      </c>
      <c r="F81" s="13">
        <v>42737.5390625</v>
      </c>
      <c r="G81" s="7">
        <v>2</v>
      </c>
      <c r="H81" s="22" t="s">
        <v>315</v>
      </c>
      <c r="I81" s="13">
        <v>42737.567881944444</v>
      </c>
      <c r="J81" s="7">
        <v>0</v>
      </c>
      <c r="K81" s="105" t="str">
        <f t="shared" si="38"/>
        <v>4015/4016</v>
      </c>
      <c r="L81" s="22" t="str">
        <f>VLOOKUP(A81,'Trips&amp;Operators'!$C$1:$G$99999,5,FALSE)</f>
        <v>CRAYTON QUNTRELL</v>
      </c>
      <c r="M81" s="6">
        <f t="shared" si="39"/>
        <v>2.8819444443797693E-2</v>
      </c>
      <c r="N81" s="7">
        <f t="shared" si="40"/>
        <v>41.499999999068677</v>
      </c>
      <c r="O81" s="7"/>
      <c r="P81" s="7"/>
      <c r="Q81" s="23"/>
      <c r="R81" s="23"/>
      <c r="S81" s="32">
        <f t="shared" si="41"/>
        <v>1</v>
      </c>
      <c r="T81" s="47" t="str">
        <f t="shared" si="42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11:48:18-700',mode:absolute,to:'2017-01-02 14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1" s="49" t="str">
        <f t="shared" si="44"/>
        <v>N</v>
      </c>
      <c r="X81" s="173">
        <f t="shared" si="45"/>
        <v>1</v>
      </c>
      <c r="Y81" s="64">
        <f t="shared" si="46"/>
        <v>23.3003</v>
      </c>
      <c r="Z81" s="64">
        <f t="shared" si="47"/>
        <v>1.5599999999999999E-2</v>
      </c>
      <c r="AA81" s="64">
        <f t="shared" si="48"/>
        <v>23.284700000000001</v>
      </c>
      <c r="AB81" s="61" t="e">
        <f>VLOOKUP(A81,Enforcements!$C$7:$K$19,8,0)</f>
        <v>#N/A</v>
      </c>
      <c r="AC81" s="57" t="e">
        <f>VLOOKUP(A81,Enforcements!$C$7:$E$19,3,0)</f>
        <v>#N/A</v>
      </c>
      <c r="AD81" s="58" t="str">
        <f t="shared" si="49"/>
        <v>0168-02</v>
      </c>
      <c r="AE81" s="87" t="str">
        <f t="shared" si="50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81" s="84" t="str">
        <f t="shared" si="51"/>
        <v>"C:\Program Files (x86)\AstroGrep\AstroGrep.exe" /spath="%USERPROFILE%\AppData\Local\Temp\OnboardLogs" /stypes="app*4015*20170102*" /stext=" 20:.+((SYSTEM_STATE.+slice.+state.+changed )|(ment ac)|(multiple cpu faults)|(system.+state.+changed )|(\[timeout)|(PRM\|1\|D)|(kpr)|(kdp)|(\|lc)|(penalty))" /e /r /s</v>
      </c>
      <c r="AG81" s="1" t="str">
        <f t="shared" si="52"/>
        <v>EC</v>
      </c>
      <c r="AH81" s="88" t="str">
        <f t="shared" si="53"/>
        <v>"%USERPROFILE%\Documents\GitHub\eaglep3\Utilities\RefineRTDCRunTimes.py" --tripid 168-02 --locoid 4015 --swversion DE.1.0.8.0 --startMP 204:233003 --initTime 2017-01-02T12:48:18 --startdatetime 2017-01-02T12:56:15 --delay 2 --endMP 204:156 --enddatetime 2017-01-02T13:37:45 --enforcementcount 0 &gt;&gt;C:\Users\stu\Documents\GitHub\eaglep3-reporting\EC\2017-01-02-refined-times.txt</v>
      </c>
      <c r="AI81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{"issue":{"subject":"","project_id":79,"tracker_id":40,"status_id":1,"priority_id":2,"assigned_to_id":23,"start_date":"2017-01-02","description":"","custom_fields":[{"id":1,"name":"Subdivision","value":"EC"},{"id":4,"name":"Milepost","value":"0.0156"},{"id":17,"name":"Train ID","value":"168-02"},{"id":16,"name":"Locomotive ID","value":"4015"},{"id":130,"name":"Impact","value":""},{"id":150,"name":"Time of Event (Mountain Time)","value":"13:37:45"},{"id":151,"name":"Denver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55"/>
        <v>start /low /b %USERPROFILE%\Documents\GitHub\eaglep3\Utilities\DownloadLogsFromS3.py --loco 4015 --day 2017-01-02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546</v>
      </c>
      <c r="B82" s="7">
        <v>4031</v>
      </c>
      <c r="C82" s="22" t="s">
        <v>203</v>
      </c>
      <c r="D82" s="22" t="s">
        <v>695</v>
      </c>
      <c r="E82" s="13">
        <v>42737.508900462963</v>
      </c>
      <c r="F82" s="13">
        <v>42737.510717592595</v>
      </c>
      <c r="G82" s="7">
        <v>1</v>
      </c>
      <c r="H82" s="22" t="s">
        <v>267</v>
      </c>
      <c r="I82" s="13">
        <v>42737.536840277775</v>
      </c>
      <c r="J82" s="7">
        <v>0</v>
      </c>
      <c r="K82" s="105" t="str">
        <f t="shared" si="38"/>
        <v>4031/4032</v>
      </c>
      <c r="L82" s="22" t="str">
        <f>VLOOKUP(A82,'Trips&amp;Operators'!$C$1:$G$99999,5,FALSE)</f>
        <v>LEVERE CRAIG</v>
      </c>
      <c r="M82" s="6">
        <f t="shared" si="39"/>
        <v>2.6122685179871041E-2</v>
      </c>
      <c r="N82" s="7">
        <f t="shared" si="40"/>
        <v>37.6166666590143</v>
      </c>
      <c r="O82" s="7"/>
      <c r="P82" s="7"/>
      <c r="Q82" s="23"/>
      <c r="R82" s="23"/>
      <c r="S82" s="32">
        <f t="shared" si="41"/>
        <v>1</v>
      </c>
      <c r="T82" s="47" t="str">
        <f t="shared" si="42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11:12:49-700',mode:absolute,to:'2017-01-02 13:53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2" s="49" t="str">
        <f t="shared" si="44"/>
        <v>N</v>
      </c>
      <c r="X82" s="173">
        <f t="shared" si="45"/>
        <v>1</v>
      </c>
      <c r="Y82" s="64">
        <f t="shared" si="46"/>
        <v>4.58E-2</v>
      </c>
      <c r="Z82" s="64">
        <f t="shared" si="47"/>
        <v>23.3308</v>
      </c>
      <c r="AA82" s="64">
        <f t="shared" si="48"/>
        <v>23.285</v>
      </c>
      <c r="AB82" s="61" t="e">
        <f>VLOOKUP(A82,Enforcements!$C$7:$K$19,8,0)</f>
        <v>#N/A</v>
      </c>
      <c r="AC82" s="57" t="e">
        <f>VLOOKUP(A82,Enforcements!$C$7:$E$19,3,0)</f>
        <v>#N/A</v>
      </c>
      <c r="AD82" s="58" t="str">
        <f t="shared" si="49"/>
        <v>0169-02</v>
      </c>
      <c r="AE82" s="87" t="str">
        <f t="shared" si="50"/>
        <v>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 &amp; 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</v>
      </c>
      <c r="AF82" s="84" t="str">
        <f t="shared" si="51"/>
        <v>"C:\Program Files (x86)\AstroGrep\AstroGrep.exe" /spath="%USERPROFILE%\AppData\Local\Temp\OnboardLogs" /stypes="app*4031*20170102*" /stext=" 19:.+((SYSTEM_STATE.+slice.+state.+changed )|(ment ac)|(multiple cpu faults)|(system.+state.+changed )|(\[timeout)|(PRM\|1\|D)|(kpr)|(kdp)|(\|lc)|(penalty))" /e /r /s</v>
      </c>
      <c r="AG82" s="1" t="str">
        <f t="shared" si="52"/>
        <v>EC</v>
      </c>
      <c r="AH82" s="88" t="str">
        <f t="shared" si="53"/>
        <v>"%USERPROFILE%\Documents\GitHub\eaglep3\Utilities\RefineRTDCRunTimes.py" --tripid 169-02 --locoid 4031 --swversion DE.1.0.8.0 --startMP 204:458 --initTime 2017-01-02T12:12:49 --startdatetime 2017-01-02T12:15:26 --delay 1 --endMP 204:233308 --enddatetime 2017-01-02T12:53:03 --enforcementcount 0 &gt;&gt;C:\Users\stu\Documents\GitHub\eaglep3-reporting\EC\2017-01-02-refined-times.txt</v>
      </c>
      <c r="AI82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{"issue":{"subject":"","project_id":79,"tracker_id":40,"status_id":1,"priority_id":2,"assigned_to_id":23,"start_date":"2017-01-02","description":"","custom_fields":[{"id":1,"name":"Subdivision","value":"EC"},{"id":4,"name":"Milepost","value":"23.3308"},{"id":17,"name":"Train ID","value":"169-02"},{"id":16,"name":"Locomotive ID","value":"4031"},{"id":130,"name":"Impact","value":""},{"id":150,"name":"Time of Event (Mountain Time)","value":"12:53:03"},{"id":151,"name":"Denver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55"/>
        <v>start /low /b %USERPROFILE%\Documents\GitHub\eaglep3\Utilities\DownloadLogsFromS3.py --loco 4031 --day 2017-01-02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557</v>
      </c>
      <c r="B83" s="7">
        <v>4032</v>
      </c>
      <c r="C83" s="22" t="s">
        <v>203</v>
      </c>
      <c r="D83" s="22" t="s">
        <v>366</v>
      </c>
      <c r="E83" s="13">
        <v>42737.54210648148</v>
      </c>
      <c r="F83" s="13">
        <v>42737.550196759257</v>
      </c>
      <c r="G83" s="7">
        <v>6</v>
      </c>
      <c r="H83" s="22" t="s">
        <v>254</v>
      </c>
      <c r="I83" s="13">
        <v>42737.581331018519</v>
      </c>
      <c r="J83" s="7">
        <v>0</v>
      </c>
      <c r="K83" s="105" t="str">
        <f t="shared" si="38"/>
        <v>4031/4032</v>
      </c>
      <c r="L83" s="22" t="str">
        <f>VLOOKUP(A83,'Trips&amp;Operators'!$C$1:$G$99999,5,FALSE)</f>
        <v>LEVERE CRAIG</v>
      </c>
      <c r="M83" s="6">
        <f t="shared" si="39"/>
        <v>3.1134259261307307E-2</v>
      </c>
      <c r="N83" s="7">
        <f t="shared" si="40"/>
        <v>44.833333336282521</v>
      </c>
      <c r="O83" s="7"/>
      <c r="P83" s="7"/>
      <c r="Q83" s="23"/>
      <c r="R83" s="23"/>
      <c r="S83" s="32">
        <f t="shared" si="41"/>
        <v>1</v>
      </c>
      <c r="T83" s="47" t="str">
        <f t="shared" si="42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12:00:38-700',mode:absolute,to:'2017-01-02 14:57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3" s="49" t="str">
        <f t="shared" si="44"/>
        <v>N</v>
      </c>
      <c r="X83" s="173">
        <f t="shared" si="45"/>
        <v>1</v>
      </c>
      <c r="Y83" s="64">
        <f t="shared" si="46"/>
        <v>23.3</v>
      </c>
      <c r="Z83" s="64">
        <f t="shared" si="47"/>
        <v>1.6E-2</v>
      </c>
      <c r="AA83" s="64">
        <f t="shared" si="48"/>
        <v>23.284000000000002</v>
      </c>
      <c r="AB83" s="61" t="e">
        <f>VLOOKUP(A83,Enforcements!$C$7:$K$19,8,0)</f>
        <v>#N/A</v>
      </c>
      <c r="AC83" s="57" t="e">
        <f>VLOOKUP(A83,Enforcements!$C$7:$E$19,3,0)</f>
        <v>#N/A</v>
      </c>
      <c r="AD83" s="58" t="str">
        <f t="shared" si="49"/>
        <v>0170-02</v>
      </c>
      <c r="AE83" s="87" t="str">
        <f t="shared" si="50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83" s="84" t="str">
        <f t="shared" si="51"/>
        <v>"C:\Program Files (x86)\AstroGrep\AstroGrep.exe" /spath="%USERPROFILE%\AppData\Local\Temp\OnboardLogs" /stypes="app*4032*20170102*" /stext=" 20:.+((SYSTEM_STATE.+slice.+state.+changed )|(ment ac)|(multiple cpu faults)|(system.+state.+changed )|(\[timeout)|(PRM\|1\|D)|(kpr)|(kdp)|(\|lc)|(penalty))" /e /r /s</v>
      </c>
      <c r="AG83" s="1" t="str">
        <f t="shared" si="52"/>
        <v>EC</v>
      </c>
      <c r="AH83" s="88" t="str">
        <f t="shared" si="53"/>
        <v>"%USERPROFILE%\Documents\GitHub\eaglep3\Utilities\RefineRTDCRunTimes.py" --tripid 170-02 --locoid 4032 --swversion DE.1.0.8.0 --startMP 204:233000 --initTime 2017-01-02T13:00:38 --startdatetime 2017-01-02T13:12:17 --delay 6 --endMP 204:160 --enddatetime 2017-01-02T13:57:07 --enforcementcount 0 &gt;&gt;C:\Users\stu\Documents\GitHub\eaglep3-reporting\EC\2017-01-02-refined-times.txt</v>
      </c>
      <c r="AI83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{"issue":{"subject":"","project_id":79,"tracker_id":40,"status_id":1,"priority_id":2,"assigned_to_id":23,"start_date":"2017-01-02","description":"","custom_fields":[{"id":1,"name":"Subdivision","value":"EC"},{"id":4,"name":"Milepost","value":"0.016"},{"id":17,"name":"Train ID","value":"170-02"},{"id":16,"name":"Locomotive ID","value":"4032"},{"id":130,"name":"Impact","value":""},{"id":150,"name":"Time of Event (Mountain Time)","value":"13:57:07"},{"id":151,"name":"Denver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55"/>
        <v>start /low /b %USERPROFILE%\Documents\GitHub\eaglep3\Utilities\DownloadLogsFromS3.py --loco 4032 --day 2017-01-02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551</v>
      </c>
      <c r="B84" s="7">
        <v>4011</v>
      </c>
      <c r="C84" s="22" t="s">
        <v>203</v>
      </c>
      <c r="D84" s="22" t="s">
        <v>194</v>
      </c>
      <c r="E84" s="13">
        <v>42737.515324074076</v>
      </c>
      <c r="F84" s="13">
        <v>42737.521122685182</v>
      </c>
      <c r="G84" s="7">
        <v>1</v>
      </c>
      <c r="H84" s="22" t="s">
        <v>408</v>
      </c>
      <c r="I84" s="13">
        <v>42737.546909722223</v>
      </c>
      <c r="J84" s="7">
        <v>0</v>
      </c>
      <c r="K84" s="105" t="str">
        <f t="shared" si="38"/>
        <v>4011/4012</v>
      </c>
      <c r="L84" s="22" t="str">
        <f>VLOOKUP(A84,'Trips&amp;Operators'!$C$1:$G$99999,5,FALSE)</f>
        <v>KILLION DAVID</v>
      </c>
      <c r="M84" s="6">
        <f t="shared" si="39"/>
        <v>2.5787037040572613E-2</v>
      </c>
      <c r="N84" s="7">
        <f t="shared" si="40"/>
        <v>37.133333338424563</v>
      </c>
      <c r="O84" s="7"/>
      <c r="P84" s="7"/>
      <c r="Q84" s="23"/>
      <c r="R84" s="23"/>
      <c r="S84" s="32">
        <f t="shared" si="41"/>
        <v>1</v>
      </c>
      <c r="T84" s="47" t="str">
        <f t="shared" si="42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11:22:04-700',mode:absolute,to:'2017-01-02 14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4" s="49" t="str">
        <f t="shared" si="44"/>
        <v>N</v>
      </c>
      <c r="X84" s="173">
        <f t="shared" si="45"/>
        <v>1</v>
      </c>
      <c r="Y84" s="64">
        <f t="shared" si="46"/>
        <v>4.5100000000000001E-2</v>
      </c>
      <c r="Z84" s="64">
        <f t="shared" si="47"/>
        <v>23.330300000000001</v>
      </c>
      <c r="AA84" s="64">
        <f t="shared" si="48"/>
        <v>23.2852</v>
      </c>
      <c r="AB84" s="61" t="e">
        <f>VLOOKUP(A84,Enforcements!$C$7:$K$19,8,0)</f>
        <v>#N/A</v>
      </c>
      <c r="AC84" s="57" t="e">
        <f>VLOOKUP(A84,Enforcements!$C$7:$E$19,3,0)</f>
        <v>#N/A</v>
      </c>
      <c r="AD84" s="58" t="str">
        <f t="shared" si="49"/>
        <v>0171-02</v>
      </c>
      <c r="AE84" s="87" t="str">
        <f t="shared" si="50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84" s="84" t="str">
        <f t="shared" si="51"/>
        <v>"C:\Program Files (x86)\AstroGrep\AstroGrep.exe" /spath="%USERPROFILE%\AppData\Local\Temp\OnboardLogs" /stypes="app*4011*20170102*" /stext=" 20:.+((SYSTEM_STATE.+slice.+state.+changed )|(ment ac)|(multiple cpu faults)|(system.+state.+changed )|(\[timeout)|(PRM\|1\|D)|(kpr)|(kdp)|(\|lc)|(penalty))" /e /r /s</v>
      </c>
      <c r="AG84" s="1" t="str">
        <f t="shared" si="52"/>
        <v>EC</v>
      </c>
      <c r="AH84" s="88" t="str">
        <f t="shared" si="53"/>
        <v>"%USERPROFILE%\Documents\GitHub\eaglep3\Utilities\RefineRTDCRunTimes.py" --tripid 171-02 --locoid 4011 --swversion DE.1.0.8.0 --startMP 204:451 --initTime 2017-01-02T12:22:04 --startdatetime 2017-01-02T12:30:25 --delay 1 --endMP 204:233303 --enddatetime 2017-01-02T13:07:33 --enforcementcount 0 &gt;&gt;C:\Users\stu\Documents\GitHub\eaglep3-reporting\EC\2017-01-02-refined-times.txt</v>
      </c>
      <c r="AI84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{"issue":{"subject":"","project_id":79,"tracker_id":40,"status_id":1,"priority_id":2,"assigned_to_id":23,"start_date":"2017-01-02","description":"","custom_fields":[{"id":1,"name":"Subdivision","value":"EC"},{"id":4,"name":"Milepost","value":"23.3303"},{"id":17,"name":"Train ID","value":"171-02"},{"id":16,"name":"Locomotive ID","value":"4011"},{"id":130,"name":"Impact","value":""},{"id":150,"name":"Time of Event (Mountain Time)","value":"13:07:33"},{"id":151,"name":"Denver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55"/>
        <v>start /low /b %USERPROFILE%\Documents\GitHub\eaglep3\Utilities\DownloadLogsFromS3.py --loco 4011 --day 2017-01-02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559</v>
      </c>
      <c r="B85" s="7">
        <v>4012</v>
      </c>
      <c r="C85" s="22" t="s">
        <v>203</v>
      </c>
      <c r="D85" s="22" t="s">
        <v>410</v>
      </c>
      <c r="E85" s="13">
        <v>42737.555706018517</v>
      </c>
      <c r="F85" s="13">
        <v>42737.56</v>
      </c>
      <c r="G85" s="7">
        <v>2</v>
      </c>
      <c r="H85" s="22" t="s">
        <v>292</v>
      </c>
      <c r="I85" s="13">
        <v>42737.591481481482</v>
      </c>
      <c r="J85" s="7">
        <v>0</v>
      </c>
      <c r="K85" s="105" t="str">
        <f t="shared" si="38"/>
        <v>4011/4012</v>
      </c>
      <c r="L85" s="22" t="str">
        <f>VLOOKUP(A85,'Trips&amp;Operators'!$C$1:$G$99999,5,FALSE)</f>
        <v>KILLION DAVID</v>
      </c>
      <c r="M85" s="6">
        <f t="shared" si="39"/>
        <v>3.1481481484661344E-2</v>
      </c>
      <c r="N85" s="7">
        <f t="shared" si="40"/>
        <v>45.333333337912336</v>
      </c>
      <c r="O85" s="7"/>
      <c r="P85" s="7"/>
      <c r="Q85" s="23"/>
      <c r="R85" s="23"/>
      <c r="S85" s="32">
        <f t="shared" si="41"/>
        <v>1</v>
      </c>
      <c r="T85" s="47" t="str">
        <f t="shared" si="42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12:20:13-700',mode:absolute,to:'2017-01-02 15:11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5" s="49" t="str">
        <f t="shared" si="44"/>
        <v>N</v>
      </c>
      <c r="X85" s="173">
        <f t="shared" si="45"/>
        <v>1</v>
      </c>
      <c r="Y85" s="64">
        <f t="shared" si="46"/>
        <v>23.298999999999999</v>
      </c>
      <c r="Z85" s="64">
        <f t="shared" si="47"/>
        <v>1.52E-2</v>
      </c>
      <c r="AA85" s="64">
        <f t="shared" si="48"/>
        <v>23.283799999999999</v>
      </c>
      <c r="AB85" s="61" t="e">
        <f>VLOOKUP(A85,Enforcements!$C$7:$K$19,8,0)</f>
        <v>#N/A</v>
      </c>
      <c r="AC85" s="57" t="e">
        <f>VLOOKUP(A85,Enforcements!$C$7:$E$19,3,0)</f>
        <v>#N/A</v>
      </c>
      <c r="AD85" s="58" t="str">
        <f t="shared" si="49"/>
        <v>0172-02</v>
      </c>
      <c r="AE85" s="87" t="str">
        <f t="shared" si="50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85" s="84" t="str">
        <f t="shared" si="51"/>
        <v>"C:\Program Files (x86)\AstroGrep\AstroGrep.exe" /spath="%USERPROFILE%\AppData\Local\Temp\OnboardLogs" /stypes="app*4012*20170102*" /stext=" 21:.+((SYSTEM_STATE.+slice.+state.+changed )|(ment ac)|(multiple cpu faults)|(system.+state.+changed )|(\[timeout)|(PRM\|1\|D)|(kpr)|(kdp)|(\|lc)|(penalty))" /e /r /s</v>
      </c>
      <c r="AG85" s="1" t="str">
        <f t="shared" si="52"/>
        <v>EC</v>
      </c>
      <c r="AH85" s="88" t="str">
        <f t="shared" si="53"/>
        <v>"%USERPROFILE%\Documents\GitHub\eaglep3\Utilities\RefineRTDCRunTimes.py" --tripid 172-02 --locoid 4012 --swversion DE.1.0.8.0 --startMP 204:232990 --initTime 2017-01-02T13:20:13 --startdatetime 2017-01-02T13:26:24 --delay 2 --endMP 204:152 --enddatetime 2017-01-02T14:11:44 --enforcementcount 0 &gt;&gt;C:\Users\stu\Documents\GitHub\eaglep3-reporting\EC\2017-01-02-refined-times.txt</v>
      </c>
      <c r="AI85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{"issue":{"subject":"","project_id":79,"tracker_id":40,"status_id":1,"priority_id":2,"assigned_to_id":23,"start_date":"2017-01-02","description":"","custom_fields":[{"id":1,"name":"Subdivision","value":"EC"},{"id":4,"name":"Milepost","value":"0.0152"},{"id":17,"name":"Train ID","value":"172-02"},{"id":16,"name":"Locomotive ID","value":"4012"},{"id":130,"name":"Impact","value":""},{"id":150,"name":"Time of Event (Mountain Time)","value":"14:11:44"},{"id":151,"name":"Denver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55"/>
        <v>start /low /b %USERPROFILE%\Documents\GitHub\eaglep3\Utilities\DownloadLogsFromS3.py --loco 4012 --day 2017-01-02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553</v>
      </c>
      <c r="B86" s="7">
        <v>4046</v>
      </c>
      <c r="C86" s="22" t="s">
        <v>203</v>
      </c>
      <c r="D86" s="22" t="s">
        <v>194</v>
      </c>
      <c r="E86" s="13">
        <v>42737.525925925926</v>
      </c>
      <c r="F86" s="13">
        <v>42737.531446759262</v>
      </c>
      <c r="G86" s="7">
        <v>2</v>
      </c>
      <c r="H86" s="22" t="s">
        <v>696</v>
      </c>
      <c r="I86" s="13">
        <v>42737.558958333335</v>
      </c>
      <c r="J86" s="7">
        <v>0</v>
      </c>
      <c r="K86" s="105" t="str">
        <f t="shared" si="38"/>
        <v>4045/4046</v>
      </c>
      <c r="L86" s="22" t="str">
        <f>VLOOKUP(A86,'Trips&amp;Operators'!$C$1:$G$99999,5,FALSE)</f>
        <v>STEWART MICHAEL</v>
      </c>
      <c r="M86" s="6">
        <f t="shared" si="39"/>
        <v>2.7511574073287193E-2</v>
      </c>
      <c r="N86" s="7">
        <f t="shared" si="40"/>
        <v>39.616666665533558</v>
      </c>
      <c r="O86" s="7"/>
      <c r="P86" s="7"/>
      <c r="Q86" s="23"/>
      <c r="R86" s="23"/>
      <c r="S86" s="32">
        <f t="shared" si="41"/>
        <v>1</v>
      </c>
      <c r="T86" s="47" t="str">
        <f t="shared" si="42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11:37:20-700',mode:absolute,to:'2017-01-02 14:24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6" s="49" t="str">
        <f t="shared" si="44"/>
        <v>N</v>
      </c>
      <c r="X86" s="173">
        <f t="shared" si="45"/>
        <v>1</v>
      </c>
      <c r="Y86" s="64">
        <f t="shared" si="46"/>
        <v>4.5100000000000001E-2</v>
      </c>
      <c r="Z86" s="64">
        <f t="shared" si="47"/>
        <v>23.332699999999999</v>
      </c>
      <c r="AA86" s="64">
        <f t="shared" si="48"/>
        <v>23.287599999999998</v>
      </c>
      <c r="AB86" s="61" t="e">
        <f>VLOOKUP(A86,Enforcements!$C$7:$K$19,8,0)</f>
        <v>#N/A</v>
      </c>
      <c r="AC86" s="57" t="e">
        <f>VLOOKUP(A86,Enforcements!$C$7:$E$19,3,0)</f>
        <v>#N/A</v>
      </c>
      <c r="AD86" s="58" t="str">
        <f t="shared" si="49"/>
        <v>0173-02</v>
      </c>
      <c r="AE86" s="87" t="str">
        <f t="shared" si="50"/>
        <v>aws s3 cp s3://rtdc.mdm.uploadarchive.raw/RTDC4046/ "%USERPROFILE%\AppData\Local\Temp\OnboardLogs"\RTDC4046\2017-01-02 --exclude "*" --recursive --include "*20170102*" &amp; "%USERPROFILE%\Documents\GitHub\mrs-test-scripts\Headless Mode &amp; Sideloading\WalkAndUnGZ.bat" "%USERPROFILE%\AppData\Local\Temp\OnboardLogs"\RTDC4046\2017-01-02 &amp; 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</v>
      </c>
      <c r="AF86" s="84" t="str">
        <f t="shared" si="51"/>
        <v>"C:\Program Files (x86)\AstroGrep\AstroGrep.exe" /spath="%USERPROFILE%\AppData\Local\Temp\OnboardLogs" /stypes="app*4046*20170102*" /stext=" 20:.+((SYSTEM_STATE.+slice.+state.+changed )|(ment ac)|(multiple cpu faults)|(system.+state.+changed )|(\[timeout)|(PRM\|1\|D)|(kpr)|(kdp)|(\|lc)|(penalty))" /e /r /s</v>
      </c>
      <c r="AG86" s="1" t="str">
        <f t="shared" si="52"/>
        <v>EC</v>
      </c>
      <c r="AH86" s="88" t="str">
        <f t="shared" si="53"/>
        <v>"%USERPROFILE%\Documents\GitHub\eaglep3\Utilities\RefineRTDCRunTimes.py" --tripid 173-02 --locoid 4046 --swversion DE.1.0.8.0 --startMP 204:451 --initTime 2017-01-02T12:37:20 --startdatetime 2017-01-02T12:45:17 --delay 2 --endMP 204:233327 --enddatetime 2017-01-02T13:24:54 --enforcementcount 0 &gt;&gt;C:\Users\stu\Documents\GitHub\eaglep3-reporting\EC\2017-01-02-refined-times.txt</v>
      </c>
      <c r="AI86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{"issue":{"subject":"","project_id":79,"tracker_id":40,"status_id":1,"priority_id":2,"assigned_to_id":23,"start_date":"2017-01-02","description":"","custom_fields":[{"id":1,"name":"Subdivision","value":"EC"},{"id":4,"name":"Milepost","value":"23.3327"},{"id":17,"name":"Train ID","value":"173-02"},{"id":16,"name":"Locomotive ID","value":"4046"},{"id":130,"name":"Impact","value":""},{"id":150,"name":"Time of Event (Mountain Time)","value":"13:24:54"},{"id":151,"name":"Denver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55"/>
        <v>start /low /b %USERPROFILE%\Documents\GitHub\eaglep3\Utilities\DownloadLogsFromS3.py --loco 4046 --day 2017-01-02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1" customFormat="1" x14ac:dyDescent="0.25">
      <c r="A87" s="34" t="s">
        <v>561</v>
      </c>
      <c r="B87" s="7">
        <v>4045</v>
      </c>
      <c r="C87" s="22" t="s">
        <v>203</v>
      </c>
      <c r="D87" s="22" t="s">
        <v>418</v>
      </c>
      <c r="E87" s="13">
        <v>42737.567013888889</v>
      </c>
      <c r="F87" s="13">
        <v>42737.570462962962</v>
      </c>
      <c r="G87" s="7">
        <v>4</v>
      </c>
      <c r="H87" s="22" t="s">
        <v>192</v>
      </c>
      <c r="I87" s="13">
        <v>42737.598819444444</v>
      </c>
      <c r="J87" s="7">
        <v>0</v>
      </c>
      <c r="K87" s="105" t="str">
        <f t="shared" si="38"/>
        <v>4045/4046</v>
      </c>
      <c r="L87" s="22" t="str">
        <f>VLOOKUP(A87,'Trips&amp;Operators'!$C$1:$G$99999,5,FALSE)</f>
        <v>STEWART MICHAEL</v>
      </c>
      <c r="M87" s="6">
        <f t="shared" si="39"/>
        <v>2.8356481481750961E-2</v>
      </c>
      <c r="N87" s="7">
        <f t="shared" si="40"/>
        <v>40.833333333721384</v>
      </c>
      <c r="O87" s="7"/>
      <c r="P87" s="7"/>
      <c r="Q87" s="23"/>
      <c r="R87" s="23"/>
      <c r="S87" s="32">
        <f t="shared" si="41"/>
        <v>1</v>
      </c>
      <c r="T87" s="47" t="str">
        <f t="shared" si="42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12:36:30-700',mode:absolute,to:'2017-01-02 15:22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7" s="49" t="str">
        <f t="shared" si="44"/>
        <v>N</v>
      </c>
      <c r="X87" s="173">
        <f t="shared" si="45"/>
        <v>1</v>
      </c>
      <c r="Y87" s="64">
        <f t="shared" si="46"/>
        <v>23.298100000000002</v>
      </c>
      <c r="Z87" s="64">
        <f t="shared" si="47"/>
        <v>1.43E-2</v>
      </c>
      <c r="AA87" s="64">
        <f t="shared" si="48"/>
        <v>23.283800000000003</v>
      </c>
      <c r="AB87" s="61" t="e">
        <f>VLOOKUP(A87,Enforcements!$C$7:$K$19,8,0)</f>
        <v>#N/A</v>
      </c>
      <c r="AC87" s="57" t="e">
        <f>VLOOKUP(A87,Enforcements!$C$7:$E$19,3,0)</f>
        <v>#N/A</v>
      </c>
      <c r="AD87" s="58" t="str">
        <f t="shared" si="49"/>
        <v>0174-02</v>
      </c>
      <c r="AE87" s="87" t="str">
        <f t="shared" si="50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87" s="84" t="str">
        <f t="shared" si="51"/>
        <v>"C:\Program Files (x86)\AstroGrep\AstroGrep.exe" /spath="%USERPROFILE%\AppData\Local\Temp\OnboardLogs" /stypes="app*4045*20170102*" /stext=" 21:.+((SYSTEM_STATE.+slice.+state.+changed )|(ment ac)|(multiple cpu faults)|(system.+state.+changed )|(\[timeout)|(PRM\|1\|D)|(kpr)|(kdp)|(\|lc)|(penalty))" /e /r /s</v>
      </c>
      <c r="AG87" s="1" t="str">
        <f t="shared" si="52"/>
        <v>EC</v>
      </c>
      <c r="AH87" s="88" t="str">
        <f t="shared" si="53"/>
        <v>"%USERPROFILE%\Documents\GitHub\eaglep3\Utilities\RefineRTDCRunTimes.py" --tripid 174-02 --locoid 4045 --swversion DE.1.0.8.0 --startMP 204:232981 --initTime 2017-01-02T13:36:30 --startdatetime 2017-01-02T13:41:28 --delay 4 --endMP 204:143 --enddatetime 2017-01-02T14:22:18 --enforcementcount 0 &gt;&gt;C:\Users\stu\Documents\GitHub\eaglep3-reporting\EC\2017-01-02-refined-times.txt</v>
      </c>
      <c r="AI87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{"issue":{"subject":"","project_id":79,"tracker_id":40,"status_id":1,"priority_id":2,"assigned_to_id":23,"start_date":"2017-01-02","description":"","custom_fields":[{"id":1,"name":"Subdivision","value":"EC"},{"id":4,"name":"Milepost","value":"0.0143"},{"id":17,"name":"Train ID","value":"174-02"},{"id":16,"name":"Locomotive ID","value":"4045"},{"id":130,"name":"Impact","value":""},{"id":150,"name":"Time of Event (Mountain Time)","value":"14:22:18"},{"id":151,"name":"Denver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55"/>
        <v>start /low /b %USERPROFILE%\Documents\GitHub\eaglep3\Utilities\DownloadLogsFromS3.py --loco 4045 --day 2017-01-02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435</v>
      </c>
      <c r="B88" s="7">
        <v>4014</v>
      </c>
      <c r="C88" s="22" t="s">
        <v>203</v>
      </c>
      <c r="D88" s="22" t="s">
        <v>193</v>
      </c>
      <c r="E88" s="13">
        <v>42737.539398148147</v>
      </c>
      <c r="F88" s="13">
        <v>42737.543506944443</v>
      </c>
      <c r="G88" s="7">
        <v>1</v>
      </c>
      <c r="H88" s="22" t="s">
        <v>408</v>
      </c>
      <c r="I88" s="13">
        <v>42737.571747685186</v>
      </c>
      <c r="J88" s="7">
        <v>0</v>
      </c>
      <c r="K88" s="105" t="str">
        <f t="shared" si="38"/>
        <v>4013/4014</v>
      </c>
      <c r="L88" s="22" t="str">
        <f>VLOOKUP(A88,'Trips&amp;Operators'!$C$1:$G$99999,5,FALSE)</f>
        <v>DAVIS MICHAEL</v>
      </c>
      <c r="M88" s="6">
        <f t="shared" si="39"/>
        <v>2.8240740743058268E-2</v>
      </c>
      <c r="N88" s="7">
        <f t="shared" si="40"/>
        <v>40.666666670003906</v>
      </c>
      <c r="O88" s="7"/>
      <c r="P88" s="7"/>
      <c r="Q88" s="23"/>
      <c r="R88" s="23"/>
      <c r="S88" s="32">
        <f t="shared" si="41"/>
        <v>1</v>
      </c>
      <c r="T88" s="47" t="str">
        <f t="shared" si="42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11:56:44-700',mode:absolute,to:'2017-01-02 14:43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8" s="49" t="str">
        <f t="shared" si="44"/>
        <v>N</v>
      </c>
      <c r="X88" s="173">
        <f t="shared" si="45"/>
        <v>1</v>
      </c>
      <c r="Y88" s="64">
        <f t="shared" si="46"/>
        <v>4.4699999999999997E-2</v>
      </c>
      <c r="Z88" s="64">
        <f t="shared" si="47"/>
        <v>23.330300000000001</v>
      </c>
      <c r="AA88" s="64">
        <f t="shared" si="48"/>
        <v>23.285600000000002</v>
      </c>
      <c r="AB88" s="61" t="str">
        <f>VLOOKUP(A88,Enforcements!$C$7:$K$19,8,0)</f>
        <v>Bulletin (2)</v>
      </c>
      <c r="AC88" s="57" t="str">
        <f>VLOOKUP(A88,Enforcements!$C$7:$E$19,3,0)</f>
        <v>GRADE CROSSING</v>
      </c>
      <c r="AD88" s="58" t="str">
        <f t="shared" si="49"/>
        <v>0175-02</v>
      </c>
      <c r="AE88" s="87" t="str">
        <f t="shared" si="50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88" s="84" t="str">
        <f t="shared" si="51"/>
        <v>"C:\Program Files (x86)\AstroGrep\AstroGrep.exe" /spath="%USERPROFILE%\AppData\Local\Temp\OnboardLogs" /stypes="app*4014*20170102*" /stext=" 20:.+((SYSTEM_STATE.+slice.+state.+changed )|(ment ac)|(multiple cpu faults)|(system.+state.+changed )|(\[timeout)|(PRM\|1\|D)|(kpr)|(kdp)|(\|lc)|(penalty))" /e /r /s</v>
      </c>
      <c r="AG88" s="1" t="str">
        <f t="shared" si="52"/>
        <v>EC</v>
      </c>
      <c r="AH88" s="88" t="str">
        <f t="shared" si="53"/>
        <v>"%USERPROFILE%\Documents\GitHub\eaglep3\Utilities\RefineRTDCRunTimes.py" --tripid 175-02 --locoid 4014 --swversion DE.1.0.8.0 --startMP 204:447 --initTime 2017-01-02T12:56:44 --startdatetime 2017-01-02T13:02:39 --delay 1 --endMP 204:233303 --enddatetime 2017-01-02T13:43:19 --enforcementcount 0 &gt;&gt;C:\Users\stu\Documents\GitHub\eaglep3-reporting\EC\2017-01-02-refined-times.txt</v>
      </c>
      <c r="AI88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{"issue":{"subject":"","project_id":79,"tracker_id":40,"status_id":1,"priority_id":2,"assigned_to_id":23,"start_date":"2017-01-02","description":"","custom_fields":[{"id":1,"name":"Subdivision","value":"EC"},{"id":4,"name":"Milepost","value":"23.3303"},{"id":17,"name":"Train ID","value":"175-02"},{"id":16,"name":"Locomotive ID","value":"4014"},{"id":130,"name":"Impact","value":""},{"id":150,"name":"Time of Event (Mountain Time)","value":"13:43:19"},{"id":151,"name":"Denver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55"/>
        <v>start /low /b %USERPROFILE%\Documents\GitHub\eaglep3\Utilities\DownloadLogsFromS3.py --loco 4014 --day 2017-01-02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564</v>
      </c>
      <c r="B89" s="7">
        <v>4013</v>
      </c>
      <c r="C89" s="22" t="s">
        <v>203</v>
      </c>
      <c r="D89" s="22" t="s">
        <v>328</v>
      </c>
      <c r="E89" s="13">
        <v>42737.577013888891</v>
      </c>
      <c r="F89" s="13">
        <v>42737.581331018519</v>
      </c>
      <c r="G89" s="7">
        <v>1</v>
      </c>
      <c r="H89" s="22" t="s">
        <v>192</v>
      </c>
      <c r="I89" s="13">
        <v>42737.609606481485</v>
      </c>
      <c r="J89" s="7">
        <v>0</v>
      </c>
      <c r="K89" s="105" t="str">
        <f t="shared" si="38"/>
        <v>4013/4014</v>
      </c>
      <c r="L89" s="22" t="str">
        <f>VLOOKUP(A89,'Trips&amp;Operators'!$C$1:$G$99999,5,FALSE)</f>
        <v>DAVIS MICHAEL</v>
      </c>
      <c r="M89" s="6">
        <f t="shared" si="39"/>
        <v>2.8275462966121268E-2</v>
      </c>
      <c r="N89" s="7">
        <f t="shared" si="40"/>
        <v>40.716666671214625</v>
      </c>
      <c r="O89" s="7"/>
      <c r="P89" s="7"/>
      <c r="Q89" s="23"/>
      <c r="R89" s="23"/>
      <c r="S89" s="32">
        <f t="shared" si="41"/>
        <v>1</v>
      </c>
      <c r="T89" s="47" t="str">
        <f t="shared" si="42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12:50:54-700',mode:absolute,to:'2017-01-02 15:37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9" s="49" t="str">
        <f t="shared" si="44"/>
        <v>N</v>
      </c>
      <c r="X89" s="173">
        <f t="shared" si="45"/>
        <v>1</v>
      </c>
      <c r="Y89" s="64">
        <f t="shared" si="46"/>
        <v>23.297499999999999</v>
      </c>
      <c r="Z89" s="64">
        <f t="shared" si="47"/>
        <v>1.43E-2</v>
      </c>
      <c r="AA89" s="64">
        <f t="shared" si="48"/>
        <v>23.283200000000001</v>
      </c>
      <c r="AB89" s="61" t="e">
        <f>VLOOKUP(A89,Enforcements!$C$7:$K$19,8,0)</f>
        <v>#N/A</v>
      </c>
      <c r="AC89" s="57" t="e">
        <f>VLOOKUP(A89,Enforcements!$C$7:$E$19,3,0)</f>
        <v>#N/A</v>
      </c>
      <c r="AD89" s="58" t="str">
        <f t="shared" si="49"/>
        <v>0176-02</v>
      </c>
      <c r="AE89" s="87" t="str">
        <f t="shared" si="50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89" s="84" t="str">
        <f t="shared" si="51"/>
        <v>"C:\Program Files (x86)\AstroGrep\AstroGrep.exe" /spath="%USERPROFILE%\AppData\Local\Temp\OnboardLogs" /stypes="app*4013*20170102*" /stext=" 21:.+((SYSTEM_STATE.+slice.+state.+changed )|(ment ac)|(multiple cpu faults)|(system.+state.+changed )|(\[timeout)|(PRM\|1\|D)|(kpr)|(kdp)|(\|lc)|(penalty))" /e /r /s</v>
      </c>
      <c r="AG89" s="1" t="str">
        <f t="shared" si="52"/>
        <v>EC</v>
      </c>
      <c r="AH89" s="88" t="str">
        <f t="shared" si="53"/>
        <v>"%USERPROFILE%\Documents\GitHub\eaglep3\Utilities\RefineRTDCRunTimes.py" --tripid 176-02 --locoid 4013 --swversion DE.1.0.8.0 --startMP 204:232975 --initTime 2017-01-02T13:50:54 --startdatetime 2017-01-02T13:57:07 --delay 1 --endMP 204:143 --enddatetime 2017-01-02T14:37:50 --enforcementcount 0 &gt;&gt;C:\Users\stu\Documents\GitHub\eaglep3-reporting\EC\2017-01-02-refined-times.txt</v>
      </c>
      <c r="AI89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{"issue":{"subject":"","project_id":79,"tracker_id":40,"status_id":1,"priority_id":2,"assigned_to_id":23,"start_date":"2017-01-02","description":"","custom_fields":[{"id":1,"name":"Subdivision","value":"EC"},{"id":4,"name":"Milepost","value":"0.0143"},{"id":17,"name":"Train ID","value":"176-02"},{"id":16,"name":"Locomotive ID","value":"4013"},{"id":130,"name":"Impact","value":""},{"id":150,"name":"Time of Event (Mountain Time)","value":"14:37:50"},{"id":151,"name":"Denver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55"/>
        <v>start /low /b %USERPROFILE%\Documents\GitHub\eaglep3\Utilities\DownloadLogsFromS3.py --loco 4013 --day 2017-01-02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558</v>
      </c>
      <c r="B90" s="7">
        <v>4042</v>
      </c>
      <c r="C90" s="22" t="s">
        <v>203</v>
      </c>
      <c r="D90" s="22" t="s">
        <v>247</v>
      </c>
      <c r="E90" s="13">
        <v>42737.552094907405</v>
      </c>
      <c r="F90" s="13">
        <v>42737.554166666669</v>
      </c>
      <c r="G90" s="7">
        <v>1</v>
      </c>
      <c r="H90" s="22" t="s">
        <v>414</v>
      </c>
      <c r="I90" s="13">
        <v>42737.581597222219</v>
      </c>
      <c r="J90" s="7">
        <v>0</v>
      </c>
      <c r="K90" s="105" t="str">
        <f t="shared" si="38"/>
        <v>4041/4042</v>
      </c>
      <c r="L90" s="22" t="str">
        <f>VLOOKUP(A90,'Trips&amp;Operators'!$C$1:$G$99999,5,FALSE)</f>
        <v>CLARK KATHLEEN</v>
      </c>
      <c r="M90" s="6">
        <f t="shared" si="39"/>
        <v>2.7430555550381541E-2</v>
      </c>
      <c r="N90" s="7">
        <f t="shared" si="40"/>
        <v>39.499999992549419</v>
      </c>
      <c r="O90" s="7"/>
      <c r="P90" s="7"/>
      <c r="Q90" s="23"/>
      <c r="R90" s="23"/>
      <c r="S90" s="32">
        <f t="shared" si="41"/>
        <v>1</v>
      </c>
      <c r="T90" s="47" t="str">
        <f t="shared" si="42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12:15:01-700',mode:absolute,to:'2017-01-02 14:57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0" s="49" t="str">
        <f t="shared" si="44"/>
        <v>N</v>
      </c>
      <c r="X90" s="173">
        <f t="shared" si="45"/>
        <v>1</v>
      </c>
      <c r="Y90" s="64">
        <f t="shared" si="46"/>
        <v>4.6399999999999997E-2</v>
      </c>
      <c r="Z90" s="64">
        <f t="shared" si="47"/>
        <v>23.329799999999999</v>
      </c>
      <c r="AA90" s="64">
        <f t="shared" si="48"/>
        <v>23.2834</v>
      </c>
      <c r="AB90" s="61" t="e">
        <f>VLOOKUP(A90,Enforcements!$C$7:$K$19,8,0)</f>
        <v>#N/A</v>
      </c>
      <c r="AC90" s="57" t="e">
        <f>VLOOKUP(A90,Enforcements!$C$7:$E$19,3,0)</f>
        <v>#N/A</v>
      </c>
      <c r="AD90" s="58" t="str">
        <f t="shared" si="49"/>
        <v>0177-02</v>
      </c>
      <c r="AE90" s="87" t="str">
        <f t="shared" si="50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90" s="84" t="str">
        <f t="shared" si="51"/>
        <v>"C:\Program Files (x86)\AstroGrep\AstroGrep.exe" /spath="%USERPROFILE%\AppData\Local\Temp\OnboardLogs" /stypes="app*4042*20170102*" /stext=" 20:.+((SYSTEM_STATE.+slice.+state.+changed )|(ment ac)|(multiple cpu faults)|(system.+state.+changed )|(\[timeout)|(PRM\|1\|D)|(kpr)|(kdp)|(\|lc)|(penalty))" /e /r /s</v>
      </c>
      <c r="AG90" s="1" t="str">
        <f t="shared" si="52"/>
        <v>EC</v>
      </c>
      <c r="AH90" s="88" t="str">
        <f t="shared" si="53"/>
        <v>"%USERPROFILE%\Documents\GitHub\eaglep3\Utilities\RefineRTDCRunTimes.py" --tripid 177-02 --locoid 4042 --swversion DE.1.0.8.0 --startMP 204:464 --initTime 2017-01-02T13:15:01 --startdatetime 2017-01-02T13:18:00 --delay 1 --endMP 204:233298 --enddatetime 2017-01-02T13:57:30 --enforcementcount 0 &gt;&gt;C:\Users\stu\Documents\GitHub\eaglep3-reporting\EC\2017-01-02-refined-times.txt</v>
      </c>
      <c r="AI90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{"issue":{"subject":"","project_id":79,"tracker_id":40,"status_id":1,"priority_id":2,"assigned_to_id":23,"start_date":"2017-01-02","description":"","custom_fields":[{"id":1,"name":"Subdivision","value":"EC"},{"id":4,"name":"Milepost","value":"23.3298"},{"id":17,"name":"Train ID","value":"177-02"},{"id":16,"name":"Locomotive ID","value":"4042"},{"id":130,"name":"Impact","value":""},{"id":150,"name":"Time of Event (Mountain Time)","value":"13:57:30"},{"id":151,"name":"Denver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55"/>
        <v>start /low /b %USERPROFILE%\Documents\GitHub\eaglep3\Utilities\DownloadLogsFromS3.py --loco 4042 --day 2017-01-02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x14ac:dyDescent="0.25">
      <c r="A91" s="34" t="s">
        <v>566</v>
      </c>
      <c r="B91" s="7">
        <v>4041</v>
      </c>
      <c r="C91" s="22" t="s">
        <v>203</v>
      </c>
      <c r="D91" s="22" t="s">
        <v>689</v>
      </c>
      <c r="E91" s="13">
        <v>42737.586377314816</v>
      </c>
      <c r="F91" s="13">
        <v>42737.591157407405</v>
      </c>
      <c r="G91" s="7">
        <v>1</v>
      </c>
      <c r="H91" s="22" t="s">
        <v>697</v>
      </c>
      <c r="I91" s="13">
        <v>42737.618657407409</v>
      </c>
      <c r="J91" s="7">
        <v>0</v>
      </c>
      <c r="K91" s="105" t="str">
        <f t="shared" si="38"/>
        <v>4041/4042</v>
      </c>
      <c r="L91" s="22" t="str">
        <f>VLOOKUP(A91,'Trips&amp;Operators'!$C$1:$G$99999,5,FALSE)</f>
        <v>CLARK KATHLEEN</v>
      </c>
      <c r="M91" s="6">
        <f t="shared" si="39"/>
        <v>2.7500000003783498E-2</v>
      </c>
      <c r="N91" s="7">
        <f t="shared" si="40"/>
        <v>39.600000005448237</v>
      </c>
      <c r="O91" s="7"/>
      <c r="P91" s="7"/>
      <c r="Q91" s="23"/>
      <c r="R91" s="23"/>
      <c r="S91" s="32">
        <f t="shared" si="41"/>
        <v>1</v>
      </c>
      <c r="T91" s="47" t="str">
        <f t="shared" si="42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13:04:23-700',mode:absolute,to:'2017-01-02 15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1" s="49" t="str">
        <f t="shared" si="44"/>
        <v>N</v>
      </c>
      <c r="X91" s="173">
        <f t="shared" si="45"/>
        <v>1</v>
      </c>
      <c r="Y91" s="64">
        <f t="shared" si="46"/>
        <v>23.299399999999999</v>
      </c>
      <c r="Z91" s="64">
        <f t="shared" si="47"/>
        <v>1.7999999999999999E-2</v>
      </c>
      <c r="AA91" s="64">
        <f t="shared" si="48"/>
        <v>23.281399999999998</v>
      </c>
      <c r="AB91" s="61" t="e">
        <f>VLOOKUP(A91,Enforcements!$C$7:$K$19,8,0)</f>
        <v>#N/A</v>
      </c>
      <c r="AC91" s="57" t="e">
        <f>VLOOKUP(A91,Enforcements!$C$7:$E$19,3,0)</f>
        <v>#N/A</v>
      </c>
      <c r="AD91" s="58" t="str">
        <f t="shared" si="49"/>
        <v>0178-02</v>
      </c>
      <c r="AE91" s="87" t="str">
        <f t="shared" si="50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91" s="84" t="str">
        <f t="shared" si="51"/>
        <v>"C:\Program Files (x86)\AstroGrep\AstroGrep.exe" /spath="%USERPROFILE%\AppData\Local\Temp\OnboardLogs" /stypes="app*4041*20170102*" /stext=" 21:.+((SYSTEM_STATE.+slice.+state.+changed )|(ment ac)|(multiple cpu faults)|(system.+state.+changed )|(\[timeout)|(PRM\|1\|D)|(kpr)|(kdp)|(\|lc)|(penalty))" /e /r /s</v>
      </c>
      <c r="AG91" s="1" t="str">
        <f t="shared" si="52"/>
        <v>EC</v>
      </c>
      <c r="AH91" s="88" t="str">
        <f t="shared" si="53"/>
        <v>"%USERPROFILE%\Documents\GitHub\eaglep3\Utilities\RefineRTDCRunTimes.py" --tripid 178-02 --locoid 4041 --swversion DE.1.0.8.0 --startMP 204:232994 --initTime 2017-01-02T14:04:23 --startdatetime 2017-01-02T14:11:16 --delay 1 --endMP 204:180 --enddatetime 2017-01-02T14:50:52 --enforcementcount 0 &gt;&gt;C:\Users\stu\Documents\GitHub\eaglep3-reporting\EC\2017-01-02-refined-times.txt</v>
      </c>
      <c r="AI91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{"issue":{"subject":"","project_id":79,"tracker_id":40,"status_id":1,"priority_id":2,"assigned_to_id":23,"start_date":"2017-01-02","description":"","custom_fields":[{"id":1,"name":"Subdivision","value":"EC"},{"id":4,"name":"Milepost","value":"0.018"},{"id":17,"name":"Train ID","value":"178-02"},{"id":16,"name":"Locomotive ID","value":"4041"},{"id":130,"name":"Impact","value":""},{"id":150,"name":"Time of Event (Mountain Time)","value":"14:50:52"},{"id":151,"name":"Denver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55"/>
        <v>start /low /b %USERPROFILE%\Documents\GitHub\eaglep3\Utilities\DownloadLogsFromS3.py --loco 4041 --day 2017-01-02</v>
      </c>
    </row>
    <row r="92" spans="1:91" x14ac:dyDescent="0.25">
      <c r="A92" s="34" t="s">
        <v>560</v>
      </c>
      <c r="B92" s="7">
        <v>4029</v>
      </c>
      <c r="C92" s="22" t="s">
        <v>203</v>
      </c>
      <c r="D92" s="22" t="s">
        <v>262</v>
      </c>
      <c r="E92" s="13">
        <v>42737.561145833337</v>
      </c>
      <c r="F92" s="13">
        <v>42737.564722222225</v>
      </c>
      <c r="G92" s="7">
        <v>1</v>
      </c>
      <c r="H92" s="22" t="s">
        <v>313</v>
      </c>
      <c r="I92" s="13">
        <v>42737.588692129626</v>
      </c>
      <c r="J92" s="7">
        <v>0</v>
      </c>
      <c r="K92" s="105" t="str">
        <f t="shared" si="38"/>
        <v>4029/4030</v>
      </c>
      <c r="L92" s="22" t="str">
        <f>VLOOKUP(A92,'Trips&amp;Operators'!$C$1:$G$99999,5,FALSE)</f>
        <v>ADANE ELSHADAY</v>
      </c>
      <c r="M92" s="6">
        <f t="shared" si="39"/>
        <v>2.3969907400896773E-2</v>
      </c>
      <c r="N92" s="7">
        <f t="shared" si="40"/>
        <v>34.516666657291353</v>
      </c>
      <c r="O92" s="7"/>
      <c r="P92" s="7"/>
      <c r="Q92" s="23"/>
      <c r="R92" s="23"/>
      <c r="S92" s="32">
        <f t="shared" si="41"/>
        <v>1</v>
      </c>
      <c r="T92" s="47" t="str">
        <f t="shared" si="42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12:28:03-700',mode:absolute,to:'2017-01-02 15:07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2" s="49" t="str">
        <f t="shared" si="44"/>
        <v>N</v>
      </c>
      <c r="X92" s="173">
        <f t="shared" si="45"/>
        <v>1</v>
      </c>
      <c r="Y92" s="64">
        <f t="shared" si="46"/>
        <v>4.3999999999999997E-2</v>
      </c>
      <c r="Z92" s="64">
        <f t="shared" si="47"/>
        <v>23.3291</v>
      </c>
      <c r="AA92" s="64">
        <f t="shared" si="48"/>
        <v>23.2851</v>
      </c>
      <c r="AB92" s="61" t="e">
        <f>VLOOKUP(A92,Enforcements!$C$7:$K$19,8,0)</f>
        <v>#N/A</v>
      </c>
      <c r="AC92" s="57" t="e">
        <f>VLOOKUP(A92,Enforcements!$C$7:$E$19,3,0)</f>
        <v>#N/A</v>
      </c>
      <c r="AD92" s="58" t="str">
        <f t="shared" si="49"/>
        <v>0179-02</v>
      </c>
      <c r="AE92" s="87" t="str">
        <f t="shared" si="50"/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AF92" s="84" t="str">
        <f t="shared" si="51"/>
        <v>"C:\Program Files (x86)\AstroGrep\AstroGrep.exe" /spath="%USERPROFILE%\AppData\Local\Temp\OnboardLogs" /stypes="app*4029*20170102*" /stext=" 21:.+((SYSTEM_STATE.+slice.+state.+changed )|(ment ac)|(multiple cpu faults)|(system.+state.+changed )|(\[timeout)|(PRM\|1\|D)|(kpr)|(kdp)|(\|lc)|(penalty))" /e /r /s</v>
      </c>
      <c r="AG92" s="1" t="str">
        <f t="shared" si="52"/>
        <v>EC</v>
      </c>
      <c r="AH92" s="88" t="str">
        <f t="shared" si="53"/>
        <v>"%USERPROFILE%\Documents\GitHub\eaglep3\Utilities\RefineRTDCRunTimes.py" --tripid 179-02 --locoid 4029 --swversion DE.1.0.8.0 --startMP 204:440 --initTime 2017-01-02T13:28:03 --startdatetime 2017-01-02T13:33:12 --delay 1 --endMP 204:233291 --enddatetime 2017-01-02T14:07:43 --enforcementcount 0 &gt;&gt;C:\Users\stu\Documents\GitHub\eaglep3-reporting\EC\2017-01-02-refined-times.txt</v>
      </c>
      <c r="AI92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{"issue":{"subject":"","project_id":79,"tracker_id":40,"status_id":1,"priority_id":2,"assigned_to_id":23,"start_date":"2017-01-02","description":"","custom_fields":[{"id":1,"name":"Subdivision","value":"EC"},{"id":4,"name":"Milepost","value":"23.3291"},{"id":17,"name":"Train ID","value":"179-02"},{"id":16,"name":"Locomotive ID","value":"4029"},{"id":130,"name":"Impact","value":""},{"id":150,"name":"Time of Event (Mountain Time)","value":"14:07:43"},{"id":151,"name":"Denver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55"/>
        <v>start /low /b %USERPROFILE%\Documents\GitHub\eaglep3\Utilities\DownloadLogsFromS3.py --loco 4029 --day 2017-01-02</v>
      </c>
    </row>
    <row r="93" spans="1:91" x14ac:dyDescent="0.25">
      <c r="A93" s="34" t="s">
        <v>567</v>
      </c>
      <c r="B93" s="7">
        <v>4030</v>
      </c>
      <c r="C93" s="22" t="s">
        <v>203</v>
      </c>
      <c r="D93" s="22" t="s">
        <v>268</v>
      </c>
      <c r="E93" s="13">
        <v>42737.591296296298</v>
      </c>
      <c r="F93" s="13">
        <v>42737.601805555554</v>
      </c>
      <c r="G93" s="7">
        <v>1</v>
      </c>
      <c r="H93" s="22" t="s">
        <v>192</v>
      </c>
      <c r="I93" s="13">
        <v>42737.628657407404</v>
      </c>
      <c r="J93" s="7">
        <v>0</v>
      </c>
      <c r="K93" s="105" t="str">
        <f t="shared" si="38"/>
        <v>4029/4030</v>
      </c>
      <c r="L93" s="22" t="str">
        <f>VLOOKUP(A93,'Trips&amp;Operators'!$C$1:$G$99999,5,FALSE)</f>
        <v>ADANE ELSHADAY</v>
      </c>
      <c r="M93" s="6">
        <f t="shared" si="39"/>
        <v>2.6851851849642117E-2</v>
      </c>
      <c r="N93" s="7">
        <f t="shared" si="40"/>
        <v>38.666666663484648</v>
      </c>
      <c r="O93" s="7"/>
      <c r="P93" s="7"/>
      <c r="Q93" s="23"/>
      <c r="R93" s="23"/>
      <c r="S93" s="32">
        <f t="shared" si="41"/>
        <v>1</v>
      </c>
      <c r="T93" s="47" t="str">
        <f t="shared" si="42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13:11:28-700',mode:absolute,to:'2017-01-02 16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3" s="49" t="str">
        <f t="shared" si="44"/>
        <v>N</v>
      </c>
      <c r="X93" s="173">
        <f t="shared" si="45"/>
        <v>1</v>
      </c>
      <c r="Y93" s="64">
        <f t="shared" si="46"/>
        <v>23.2973</v>
      </c>
      <c r="Z93" s="64">
        <f t="shared" si="47"/>
        <v>1.43E-2</v>
      </c>
      <c r="AA93" s="64">
        <f t="shared" si="48"/>
        <v>23.283000000000001</v>
      </c>
      <c r="AB93" s="61" t="e">
        <f>VLOOKUP(A93,Enforcements!$C$7:$K$19,8,0)</f>
        <v>#N/A</v>
      </c>
      <c r="AC93" s="57" t="e">
        <f>VLOOKUP(A93,Enforcements!$C$7:$E$19,3,0)</f>
        <v>#N/A</v>
      </c>
      <c r="AD93" s="58" t="str">
        <f t="shared" si="49"/>
        <v>0180-02</v>
      </c>
      <c r="AE93" s="87" t="str">
        <f t="shared" si="50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93" s="84" t="str">
        <f t="shared" si="51"/>
        <v>"C:\Program Files (x86)\AstroGrep\AstroGrep.exe" /spath="%USERPROFILE%\AppData\Local\Temp\OnboardLogs" /stypes="app*4030*20170102*" /stext=" 22:.+((SYSTEM_STATE.+slice.+state.+changed )|(ment ac)|(multiple cpu faults)|(system.+state.+changed )|(\[timeout)|(PRM\|1\|D)|(kpr)|(kdp)|(\|lc)|(penalty))" /e /r /s</v>
      </c>
      <c r="AG93" s="1" t="str">
        <f t="shared" si="52"/>
        <v>EC</v>
      </c>
      <c r="AH93" s="88" t="str">
        <f t="shared" si="53"/>
        <v>"%USERPROFILE%\Documents\GitHub\eaglep3\Utilities\RefineRTDCRunTimes.py" --tripid 180-02 --locoid 4030 --swversion DE.1.0.8.0 --startMP 204:232973 --initTime 2017-01-02T14:11:28 --startdatetime 2017-01-02T14:26:36 --delay 1 --endMP 204:143 --enddatetime 2017-01-02T15:05:16 --enforcementcount 0 &gt;&gt;C:\Users\stu\Documents\GitHub\eaglep3-reporting\EC\2017-01-02-refined-times.txt</v>
      </c>
      <c r="AI93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{"issue":{"subject":"","project_id":79,"tracker_id":40,"status_id":1,"priority_id":2,"assigned_to_id":23,"start_date":"2017-01-02","description":"","custom_fields":[{"id":1,"name":"Subdivision","value":"EC"},{"id":4,"name":"Milepost","value":"0.0143"},{"id":17,"name":"Train ID","value":"180-02"},{"id":16,"name":"Locomotive ID","value":"4030"},{"id":130,"name":"Impact","value":""},{"id":150,"name":"Time of Event (Mountain Time)","value":"15:05:16"},{"id":151,"name":"Denver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55"/>
        <v>start /low /b %USERPROFILE%\Documents\GitHub\eaglep3\Utilities\DownloadLogsFromS3.py --loco 4030 --day 2017-01-02</v>
      </c>
    </row>
    <row r="94" spans="1:91" s="21" customFormat="1" x14ac:dyDescent="0.25">
      <c r="A94" s="34" t="s">
        <v>563</v>
      </c>
      <c r="B94" s="7">
        <v>4016</v>
      </c>
      <c r="C94" s="22" t="s">
        <v>203</v>
      </c>
      <c r="D94" s="22" t="s">
        <v>698</v>
      </c>
      <c r="E94" s="13">
        <v>42737.569907407407</v>
      </c>
      <c r="F94" s="13">
        <v>42737.57309027778</v>
      </c>
      <c r="G94" s="7">
        <v>1</v>
      </c>
      <c r="H94" s="22" t="s">
        <v>291</v>
      </c>
      <c r="I94" s="13">
        <v>42737.599363425928</v>
      </c>
      <c r="J94" s="7">
        <v>0</v>
      </c>
      <c r="K94" s="105" t="str">
        <f t="shared" si="38"/>
        <v>4015/4016</v>
      </c>
      <c r="L94" s="22" t="str">
        <f>VLOOKUP(A94,'Trips&amp;Operators'!$C$1:$G$99999,5,FALSE)</f>
        <v>CRAYTON QUNTRELL</v>
      </c>
      <c r="M94" s="6">
        <f t="shared" si="39"/>
        <v>2.6273148148902692E-2</v>
      </c>
      <c r="N94" s="7">
        <f t="shared" si="40"/>
        <v>37.833333334419876</v>
      </c>
      <c r="O94" s="7"/>
      <c r="P94" s="7"/>
      <c r="Q94" s="23"/>
      <c r="R94" s="23"/>
      <c r="S94" s="32">
        <f t="shared" si="41"/>
        <v>1</v>
      </c>
      <c r="T94" s="47" t="str">
        <f t="shared" si="42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12:40:40-700',mode:absolute,to:'2017-01-02 15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4" s="49" t="str">
        <f t="shared" si="44"/>
        <v>N</v>
      </c>
      <c r="X94" s="173">
        <f t="shared" si="45"/>
        <v>1</v>
      </c>
      <c r="Y94" s="64">
        <f t="shared" si="46"/>
        <v>4.8000000000000001E-2</v>
      </c>
      <c r="Z94" s="64">
        <f t="shared" si="47"/>
        <v>23.33</v>
      </c>
      <c r="AA94" s="64">
        <f t="shared" si="48"/>
        <v>23.282</v>
      </c>
      <c r="AB94" s="61" t="e">
        <f>VLOOKUP(A94,Enforcements!$C$7:$K$19,8,0)</f>
        <v>#N/A</v>
      </c>
      <c r="AC94" s="57" t="e">
        <f>VLOOKUP(A94,Enforcements!$C$7:$E$19,3,0)</f>
        <v>#N/A</v>
      </c>
      <c r="AD94" s="58" t="str">
        <f t="shared" si="49"/>
        <v>0181-02</v>
      </c>
      <c r="AE94" s="87" t="str">
        <f t="shared" si="50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94" s="84" t="str">
        <f t="shared" si="51"/>
        <v>"C:\Program Files (x86)\AstroGrep\AstroGrep.exe" /spath="%USERPROFILE%\AppData\Local\Temp\OnboardLogs" /stypes="app*4016*20170102*" /stext=" 21:.+((SYSTEM_STATE.+slice.+state.+changed )|(ment ac)|(multiple cpu faults)|(system.+state.+changed )|(\[timeout)|(PRM\|1\|D)|(kpr)|(kdp)|(\|lc)|(penalty))" /e /r /s</v>
      </c>
      <c r="AG94" s="1" t="str">
        <f t="shared" si="52"/>
        <v>EC</v>
      </c>
      <c r="AH94" s="88" t="str">
        <f t="shared" si="53"/>
        <v>"%USERPROFILE%\Documents\GitHub\eaglep3\Utilities\RefineRTDCRunTimes.py" --tripid 181-02 --locoid 4016 --swversion DE.1.0.8.0 --startMP 204:480 --initTime 2017-01-02T13:40:40 --startdatetime 2017-01-02T13:45:15 --delay 1 --endMP 204:233300 --enddatetime 2017-01-02T14:23:05 --enforcementcount 0 &gt;&gt;C:\Users\stu\Documents\GitHub\eaglep3-reporting\EC\2017-01-02-refined-times.txt</v>
      </c>
      <c r="AI94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{"issue":{"subject":"","project_id":79,"tracker_id":40,"status_id":1,"priority_id":2,"assigned_to_id":23,"start_date":"2017-01-02","description":"","custom_fields":[{"id":1,"name":"Subdivision","value":"EC"},{"id":4,"name":"Milepost","value":"23.33"},{"id":17,"name":"Train ID","value":"181-02"},{"id":16,"name":"Locomotive ID","value":"4016"},{"id":130,"name":"Impact","value":""},{"id":150,"name":"Time of Event (Mountain Time)","value":"14:23:05"},{"id":151,"name":"Denver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55"/>
        <v>start /low /b %USERPROFILE%\Documents\GitHub\eaglep3\Utilities\DownloadLogsFromS3.py --loco 4016 --day 2017-01-02</v>
      </c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4" t="s">
        <v>571</v>
      </c>
      <c r="B95" s="7">
        <v>4015</v>
      </c>
      <c r="C95" s="22" t="s">
        <v>203</v>
      </c>
      <c r="D95" s="22" t="s">
        <v>418</v>
      </c>
      <c r="E95" s="13">
        <v>42737.604131944441</v>
      </c>
      <c r="F95" s="13">
        <v>42737.612060185187</v>
      </c>
      <c r="G95" s="7">
        <v>1</v>
      </c>
      <c r="H95" s="22" t="s">
        <v>299</v>
      </c>
      <c r="I95" s="13">
        <v>42737.640104166669</v>
      </c>
      <c r="J95" s="7">
        <v>0</v>
      </c>
      <c r="K95" s="105" t="str">
        <f t="shared" si="38"/>
        <v>4015/4016</v>
      </c>
      <c r="L95" s="22" t="str">
        <f>VLOOKUP(A95,'Trips&amp;Operators'!$C$1:$G$99999,5,FALSE)</f>
        <v>CRAYTON QUNTRELL</v>
      </c>
      <c r="M95" s="6">
        <f t="shared" si="39"/>
        <v>2.8043981481459923E-2</v>
      </c>
      <c r="N95" s="7">
        <f t="shared" si="40"/>
        <v>40.383333333302289</v>
      </c>
      <c r="O95" s="7"/>
      <c r="P95" s="7"/>
      <c r="Q95" s="23"/>
      <c r="R95" s="23"/>
      <c r="S95" s="32">
        <f t="shared" si="41"/>
        <v>1</v>
      </c>
      <c r="T95" s="47" t="str">
        <f t="shared" si="42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13:29:57-700',mode:absolute,to:'2017-01-02 16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5" s="49" t="str">
        <f t="shared" si="44"/>
        <v>N</v>
      </c>
      <c r="X95" s="173">
        <f t="shared" si="45"/>
        <v>1</v>
      </c>
      <c r="Y95" s="64">
        <f t="shared" si="46"/>
        <v>23.298100000000002</v>
      </c>
      <c r="Z95" s="64">
        <f t="shared" si="47"/>
        <v>1.5800000000000002E-2</v>
      </c>
      <c r="AA95" s="64">
        <f t="shared" si="48"/>
        <v>23.282300000000003</v>
      </c>
      <c r="AB95" s="61" t="e">
        <f>VLOOKUP(A95,Enforcements!$C$7:$K$19,8,0)</f>
        <v>#N/A</v>
      </c>
      <c r="AC95" s="57" t="e">
        <f>VLOOKUP(A95,Enforcements!$C$7:$E$19,3,0)</f>
        <v>#N/A</v>
      </c>
      <c r="AD95" s="58" t="str">
        <f t="shared" si="49"/>
        <v>0182-02</v>
      </c>
      <c r="AE95" s="87" t="str">
        <f t="shared" si="50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95" s="84" t="str">
        <f t="shared" si="51"/>
        <v>"C:\Program Files (x86)\AstroGrep\AstroGrep.exe" /spath="%USERPROFILE%\AppData\Local\Temp\OnboardLogs" /stypes="app*4015*20170102*" /stext=" 22:.+((SYSTEM_STATE.+slice.+state.+changed )|(ment ac)|(multiple cpu faults)|(system.+state.+changed )|(\[timeout)|(PRM\|1\|D)|(kpr)|(kdp)|(\|lc)|(penalty))" /e /r /s</v>
      </c>
      <c r="AG95" s="1" t="str">
        <f t="shared" si="52"/>
        <v>EC</v>
      </c>
      <c r="AH95" s="88" t="str">
        <f t="shared" si="53"/>
        <v>"%USERPROFILE%\Documents\GitHub\eaglep3\Utilities\RefineRTDCRunTimes.py" --tripid 182-02 --locoid 4015 --swversion DE.1.0.8.0 --startMP 204:232981 --initTime 2017-01-02T14:29:57 --startdatetime 2017-01-02T14:41:22 --delay 1 --endMP 204:158 --enddatetime 2017-01-02T15:21:45 --enforcementcount 0 &gt;&gt;C:\Users\stu\Documents\GitHub\eaglep3-reporting\EC\2017-01-02-refined-times.txt</v>
      </c>
      <c r="AI95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{"issue":{"subject":"","project_id":79,"tracker_id":40,"status_id":1,"priority_id":2,"assigned_to_id":23,"start_date":"2017-01-02","description":"","custom_fields":[{"id":1,"name":"Subdivision","value":"EC"},{"id":4,"name":"Milepost","value":"0.0158"},{"id":17,"name":"Train ID","value":"182-02"},{"id":16,"name":"Locomotive ID","value":"4015"},{"id":130,"name":"Impact","value":""},{"id":150,"name":"Time of Event (Mountain Time)","value":"15:21:45"},{"id":151,"name":"Denver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55"/>
        <v>start /low /b %USERPROFILE%\Documents\GitHub\eaglep3\Utilities\DownloadLogsFromS3.py --loco 4015 --day 2017-01-02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565</v>
      </c>
      <c r="B96" s="7">
        <v>4031</v>
      </c>
      <c r="C96" s="22" t="s">
        <v>203</v>
      </c>
      <c r="D96" s="22" t="s">
        <v>255</v>
      </c>
      <c r="E96" s="13">
        <v>42737.582754629628</v>
      </c>
      <c r="F96" s="13">
        <v>42737.584120370368</v>
      </c>
      <c r="G96" s="7">
        <v>1</v>
      </c>
      <c r="H96" s="22" t="s">
        <v>290</v>
      </c>
      <c r="I96" s="13">
        <v>42737.608888888892</v>
      </c>
      <c r="J96" s="7">
        <v>0</v>
      </c>
      <c r="K96" s="105" t="str">
        <f t="shared" si="38"/>
        <v>4031/4032</v>
      </c>
      <c r="L96" s="22" t="str">
        <f>VLOOKUP(A96,'Trips&amp;Operators'!$C$1:$G$99999,5,FALSE)</f>
        <v>LEVERE CRAIG</v>
      </c>
      <c r="M96" s="6">
        <f t="shared" si="39"/>
        <v>2.4768518524069805E-2</v>
      </c>
      <c r="N96" s="7">
        <f t="shared" si="40"/>
        <v>35.666666674660519</v>
      </c>
      <c r="O96" s="7"/>
      <c r="P96" s="7"/>
      <c r="Q96" s="23"/>
      <c r="R96" s="23"/>
      <c r="S96" s="32">
        <f t="shared" si="41"/>
        <v>1</v>
      </c>
      <c r="T96" s="47" t="str">
        <f t="shared" si="42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12:59:10-700',mode:absolute,to:'2017-01-02 15:36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6" s="49" t="str">
        <f t="shared" si="44"/>
        <v>N</v>
      </c>
      <c r="X96" s="173">
        <f t="shared" si="45"/>
        <v>1</v>
      </c>
      <c r="Y96" s="64">
        <f t="shared" si="46"/>
        <v>4.6199999999999998E-2</v>
      </c>
      <c r="Z96" s="64">
        <f t="shared" si="47"/>
        <v>23.3293</v>
      </c>
      <c r="AA96" s="64">
        <f t="shared" si="48"/>
        <v>23.283100000000001</v>
      </c>
      <c r="AB96" s="61" t="e">
        <f>VLOOKUP(A96,Enforcements!$C$7:$K$19,8,0)</f>
        <v>#N/A</v>
      </c>
      <c r="AC96" s="57" t="e">
        <f>VLOOKUP(A96,Enforcements!$C$7:$E$19,3,0)</f>
        <v>#N/A</v>
      </c>
      <c r="AD96" s="58" t="str">
        <f t="shared" si="49"/>
        <v>0183-02</v>
      </c>
      <c r="AE96" s="87" t="str">
        <f t="shared" si="50"/>
        <v>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 &amp; 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</v>
      </c>
      <c r="AF96" s="84" t="str">
        <f t="shared" si="51"/>
        <v>"C:\Program Files (x86)\AstroGrep\AstroGrep.exe" /spath="%USERPROFILE%\AppData\Local\Temp\OnboardLogs" /stypes="app*4031*20170102*" /stext=" 21:.+((SYSTEM_STATE.+slice.+state.+changed )|(ment ac)|(multiple cpu faults)|(system.+state.+changed )|(\[timeout)|(PRM\|1\|D)|(kpr)|(kdp)|(\|lc)|(penalty))" /e /r /s</v>
      </c>
      <c r="AG96" s="1" t="str">
        <f t="shared" si="52"/>
        <v>EC</v>
      </c>
      <c r="AH96" s="88" t="str">
        <f t="shared" si="53"/>
        <v>"%USERPROFILE%\Documents\GitHub\eaglep3\Utilities\RefineRTDCRunTimes.py" --tripid 183-02 --locoid 4031 --swversion DE.1.0.8.0 --startMP 204:462 --initTime 2017-01-02T13:59:10 --startdatetime 2017-01-02T14:01:08 --delay 1 --endMP 204:233293 --enddatetime 2017-01-02T14:36:48 --enforcementcount 0 &gt;&gt;C:\Users\stu\Documents\GitHub\eaglep3-reporting\EC\2017-01-02-refined-times.txt</v>
      </c>
      <c r="AI96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{"issue":{"subject":"","project_id":79,"tracker_id":40,"status_id":1,"priority_id":2,"assigned_to_id":23,"start_date":"2017-01-02","description":"","custom_fields":[{"id":1,"name":"Subdivision","value":"EC"},{"id":4,"name":"Milepost","value":"23.3293"},{"id":17,"name":"Train ID","value":"183-02"},{"id":16,"name":"Locomotive ID","value":"4031"},{"id":130,"name":"Impact","value":""},{"id":150,"name":"Time of Event (Mountain Time)","value":"14:36:48"},{"id":151,"name":"Denver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55"/>
        <v>start /low /b %USERPROFILE%\Documents\GitHub\eaglep3\Utilities\DownloadLogsFromS3.py --loco 4031 --day 2017-01-02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438</v>
      </c>
      <c r="B97" s="7">
        <v>4032</v>
      </c>
      <c r="C97" s="22" t="s">
        <v>203</v>
      </c>
      <c r="D97" s="22" t="s">
        <v>362</v>
      </c>
      <c r="E97" s="13">
        <v>42737.615960648145</v>
      </c>
      <c r="F97" s="13">
        <v>42737.622534722221</v>
      </c>
      <c r="G97" s="7">
        <v>1</v>
      </c>
      <c r="H97" s="22" t="s">
        <v>699</v>
      </c>
      <c r="I97" s="13">
        <v>42737.650092592594</v>
      </c>
      <c r="J97" s="7">
        <v>0</v>
      </c>
      <c r="K97" s="105" t="str">
        <f t="shared" si="38"/>
        <v>4031/4032</v>
      </c>
      <c r="L97" s="22" t="str">
        <f>VLOOKUP(A97,'Trips&amp;Operators'!$C$1:$G$99999,5,FALSE)</f>
        <v>LEVERE CRAIG</v>
      </c>
      <c r="M97" s="6">
        <f t="shared" si="39"/>
        <v>2.7557870373129845E-2</v>
      </c>
      <c r="N97" s="7">
        <f t="shared" si="40"/>
        <v>39.683333337306976</v>
      </c>
      <c r="O97" s="7"/>
      <c r="P97" s="7"/>
      <c r="Q97" s="23"/>
      <c r="R97" s="23"/>
      <c r="S97" s="32">
        <f t="shared" si="41"/>
        <v>1</v>
      </c>
      <c r="T97" s="47" t="str">
        <f t="shared" si="42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13:46:59-700',mode:absolute,to:'2017-01-02 16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7" s="49" t="str">
        <f t="shared" si="44"/>
        <v>N</v>
      </c>
      <c r="X97" s="173">
        <f t="shared" si="45"/>
        <v>1</v>
      </c>
      <c r="Y97" s="64">
        <f t="shared" si="46"/>
        <v>23.296900000000001</v>
      </c>
      <c r="Z97" s="64">
        <f t="shared" si="47"/>
        <v>1.9099999999999999E-2</v>
      </c>
      <c r="AA97" s="64">
        <f t="shared" si="48"/>
        <v>23.277799999999999</v>
      </c>
      <c r="AB97" s="61" t="str">
        <f>VLOOKUP(A97,Enforcements!$C$7:$K$19,8,0)</f>
        <v>Form based authority (4)</v>
      </c>
      <c r="AC97" s="57" t="str">
        <f>VLOOKUP(A97,Enforcements!$C$7:$E$19,3,0)</f>
        <v>TRACK WARRANT AUTHORITY</v>
      </c>
      <c r="AD97" s="58" t="str">
        <f t="shared" si="49"/>
        <v>0184-02</v>
      </c>
      <c r="AE97" s="87" t="str">
        <f t="shared" si="50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97" s="84" t="str">
        <f t="shared" si="51"/>
        <v>"C:\Program Files (x86)\AstroGrep\AstroGrep.exe" /spath="%USERPROFILE%\AppData\Local\Temp\OnboardLogs" /stypes="app*4032*20170102*" /stext=" 22:.+((SYSTEM_STATE.+slice.+state.+changed )|(ment ac)|(multiple cpu faults)|(system.+state.+changed )|(\[timeout)|(PRM\|1\|D)|(kpr)|(kdp)|(\|lc)|(penalty))" /e /r /s</v>
      </c>
      <c r="AG97" s="1" t="str">
        <f t="shared" si="52"/>
        <v>EC</v>
      </c>
      <c r="AH97" s="88" t="str">
        <f t="shared" si="53"/>
        <v>"%USERPROFILE%\Documents\GitHub\eaglep3\Utilities\RefineRTDCRunTimes.py" --tripid 184-02 --locoid 4032 --swversion DE.1.0.8.0 --startMP 204:232969 --initTime 2017-01-02T14:46:59 --startdatetime 2017-01-02T14:56:27 --delay 1 --endMP 204:191 --enddatetime 2017-01-02T15:36:08 --enforcementcount 0 &gt;&gt;C:\Users\stu\Documents\GitHub\eaglep3-reporting\EC\2017-01-02-refined-times.txt</v>
      </c>
      <c r="AI97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{"issue":{"subject":"","project_id":79,"tracker_id":40,"status_id":1,"priority_id":2,"assigned_to_id":23,"start_date":"2017-01-02","description":"","custom_fields":[{"id":1,"name":"Subdivision","value":"EC"},{"id":4,"name":"Milepost","value":"0.0191"},{"id":17,"name":"Train ID","value":"184-02"},{"id":16,"name":"Locomotive ID","value":"4032"},{"id":130,"name":"Impact","value":""},{"id":150,"name":"Time of Event (Mountain Time)","value":"15:36:08"},{"id":151,"name":"Denver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55"/>
        <v>start /low /b %USERPROFILE%\Documents\GitHub\eaglep3\Utilities\DownloadLogsFromS3.py --loco 4032 --day 2017-01-02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568</v>
      </c>
      <c r="B98" s="7">
        <v>4011</v>
      </c>
      <c r="C98" s="22" t="s">
        <v>203</v>
      </c>
      <c r="D98" s="22" t="s">
        <v>193</v>
      </c>
      <c r="E98" s="13">
        <v>42737.592858796299</v>
      </c>
      <c r="F98" s="13">
        <v>42737.594456018516</v>
      </c>
      <c r="G98" s="7">
        <v>1</v>
      </c>
      <c r="H98" s="22" t="s">
        <v>700</v>
      </c>
      <c r="I98" s="13">
        <v>42737.620810185188</v>
      </c>
      <c r="J98" s="7">
        <v>0</v>
      </c>
      <c r="K98" s="105" t="str">
        <f t="shared" si="38"/>
        <v>4011/4012</v>
      </c>
      <c r="L98" s="22" t="str">
        <f>VLOOKUP(A98,'Trips&amp;Operators'!$C$1:$G$99999,5,FALSE)</f>
        <v>KILLION DAVID</v>
      </c>
      <c r="M98" s="6">
        <f t="shared" si="39"/>
        <v>2.6354166671808343E-2</v>
      </c>
      <c r="N98" s="7">
        <f t="shared" si="40"/>
        <v>37.950000007404014</v>
      </c>
      <c r="O98" s="7"/>
      <c r="P98" s="7"/>
      <c r="Q98" s="23"/>
      <c r="R98" s="23"/>
      <c r="S98" s="32">
        <f t="shared" si="41"/>
        <v>1</v>
      </c>
      <c r="T98" s="47" t="str">
        <f t="shared" si="42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13:13:43-700',mode:absolute,to:'2017-01-02 15:53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8" s="49" t="str">
        <f t="shared" si="44"/>
        <v>N</v>
      </c>
      <c r="X98" s="173">
        <f t="shared" si="45"/>
        <v>1</v>
      </c>
      <c r="Y98" s="64">
        <f t="shared" si="46"/>
        <v>4.4699999999999997E-2</v>
      </c>
      <c r="Z98" s="64">
        <f t="shared" si="47"/>
        <v>23.3306</v>
      </c>
      <c r="AA98" s="64">
        <f t="shared" si="48"/>
        <v>23.285900000000002</v>
      </c>
      <c r="AB98" s="61" t="e">
        <f>VLOOKUP(A98,Enforcements!$C$7:$K$19,8,0)</f>
        <v>#N/A</v>
      </c>
      <c r="AC98" s="57" t="e">
        <f>VLOOKUP(A98,Enforcements!$C$7:$E$19,3,0)</f>
        <v>#N/A</v>
      </c>
      <c r="AD98" s="58" t="str">
        <f t="shared" si="49"/>
        <v>0185-02</v>
      </c>
      <c r="AE98" s="87" t="str">
        <f t="shared" si="50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98" s="84" t="str">
        <f t="shared" si="51"/>
        <v>"C:\Program Files (x86)\AstroGrep\AstroGrep.exe" /spath="%USERPROFILE%\AppData\Local\Temp\OnboardLogs" /stypes="app*4011*20170102*" /stext=" 21:.+((SYSTEM_STATE.+slice.+state.+changed )|(ment ac)|(multiple cpu faults)|(system.+state.+changed )|(\[timeout)|(PRM\|1\|D)|(kpr)|(kdp)|(\|lc)|(penalty))" /e /r /s</v>
      </c>
      <c r="AG98" s="1" t="str">
        <f t="shared" si="52"/>
        <v>EC</v>
      </c>
      <c r="AH98" s="88" t="str">
        <f t="shared" si="53"/>
        <v>"%USERPROFILE%\Documents\GitHub\eaglep3\Utilities\RefineRTDCRunTimes.py" --tripid 185-02 --locoid 4011 --swversion DE.1.0.8.0 --startMP 204:447 --initTime 2017-01-02T14:13:43 --startdatetime 2017-01-02T14:16:01 --delay 1 --endMP 204:233306 --enddatetime 2017-01-02T14:53:58 --enforcementcount 0 &gt;&gt;C:\Users\stu\Documents\GitHub\eaglep3-reporting\EC\2017-01-02-refined-times.txt</v>
      </c>
      <c r="AI98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{"issue":{"subject":"","project_id":79,"tracker_id":40,"status_id":1,"priority_id":2,"assigned_to_id":23,"start_date":"2017-01-02","description":"","custom_fields":[{"id":1,"name":"Subdivision","value":"EC"},{"id":4,"name":"Milepost","value":"23.3306"},{"id":17,"name":"Train ID","value":"185-02"},{"id":16,"name":"Locomotive ID","value":"4011"},{"id":130,"name":"Impact","value":""},{"id":150,"name":"Time of Event (Mountain Time)","value":"14:53:58"},{"id":151,"name":"Denver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55"/>
        <v>start /low /b %USERPROFILE%\Documents\GitHub\eaglep3\Utilities\DownloadLogsFromS3.py --loco 4011 --day 2017-01-02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4" t="s">
        <v>575</v>
      </c>
      <c r="B99" s="7">
        <v>4012</v>
      </c>
      <c r="C99" s="22" t="s">
        <v>203</v>
      </c>
      <c r="D99" s="22" t="s">
        <v>322</v>
      </c>
      <c r="E99" s="13">
        <v>42737.626863425925</v>
      </c>
      <c r="F99" s="13">
        <v>42737.6328125</v>
      </c>
      <c r="G99" s="7">
        <v>1</v>
      </c>
      <c r="H99" s="22" t="s">
        <v>191</v>
      </c>
      <c r="I99" s="13">
        <v>42737.660474537035</v>
      </c>
      <c r="J99" s="7">
        <v>0</v>
      </c>
      <c r="K99" s="105" t="str">
        <f t="shared" si="38"/>
        <v>4011/4012</v>
      </c>
      <c r="L99" s="22" t="str">
        <f>VLOOKUP(A99,'Trips&amp;Operators'!$C$1:$G$99999,5,FALSE)</f>
        <v>KILLION DAVID</v>
      </c>
      <c r="M99" s="6">
        <f t="shared" si="39"/>
        <v>2.7662037035042886E-2</v>
      </c>
      <c r="N99" s="7">
        <f t="shared" si="40"/>
        <v>39.833333330461755</v>
      </c>
      <c r="O99" s="7"/>
      <c r="P99" s="7"/>
      <c r="Q99" s="23"/>
      <c r="R99" s="23"/>
      <c r="S99" s="32">
        <f t="shared" si="41"/>
        <v>1</v>
      </c>
      <c r="T99" s="47" t="str">
        <f t="shared" si="42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14:02:41-700',mode:absolute,to:'2017-01-02 16:51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9" s="49" t="str">
        <f t="shared" si="44"/>
        <v>N</v>
      </c>
      <c r="X99" s="173">
        <f t="shared" si="45"/>
        <v>1</v>
      </c>
      <c r="Y99" s="64">
        <f t="shared" si="46"/>
        <v>23.2989</v>
      </c>
      <c r="Z99" s="64">
        <f t="shared" si="47"/>
        <v>1.49E-2</v>
      </c>
      <c r="AA99" s="64">
        <f t="shared" si="48"/>
        <v>23.283999999999999</v>
      </c>
      <c r="AB99" s="61" t="e">
        <f>VLOOKUP(A99,Enforcements!$C$7:$K$19,8,0)</f>
        <v>#N/A</v>
      </c>
      <c r="AC99" s="57" t="e">
        <f>VLOOKUP(A99,Enforcements!$C$7:$E$19,3,0)</f>
        <v>#N/A</v>
      </c>
      <c r="AD99" s="58" t="str">
        <f t="shared" si="49"/>
        <v>0186-02</v>
      </c>
      <c r="AE99" s="87" t="str">
        <f t="shared" si="50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99" s="84" t="str">
        <f t="shared" si="51"/>
        <v>"C:\Program Files (x86)\AstroGrep\AstroGrep.exe" /spath="%USERPROFILE%\AppData\Local\Temp\OnboardLogs" /stypes="app*4012*20170102*" /stext=" 22:.+((SYSTEM_STATE.+slice.+state.+changed )|(ment ac)|(multiple cpu faults)|(system.+state.+changed )|(\[timeout)|(PRM\|1\|D)|(kpr)|(kdp)|(\|lc)|(penalty))" /e /r /s</v>
      </c>
      <c r="AG99" s="1" t="str">
        <f t="shared" si="52"/>
        <v>EC</v>
      </c>
      <c r="AH99" s="88" t="str">
        <f t="shared" si="53"/>
        <v>"%USERPROFILE%\Documents\GitHub\eaglep3\Utilities\RefineRTDCRunTimes.py" --tripid 186-02 --locoid 4012 --swversion DE.1.0.8.0 --startMP 204:232989 --initTime 2017-01-02T15:02:41 --startdatetime 2017-01-02T15:11:15 --delay 1 --endMP 204:149 --enddatetime 2017-01-02T15:51:05 --enforcementcount 0 &gt;&gt;C:\Users\stu\Documents\GitHub\eaglep3-reporting\EC\2017-01-02-refined-times.txt</v>
      </c>
      <c r="AI99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{"issue":{"subject":"","project_id":79,"tracker_id":40,"status_id":1,"priority_id":2,"assigned_to_id":23,"start_date":"2017-01-02","description":"","custom_fields":[{"id":1,"name":"Subdivision","value":"EC"},{"id":4,"name":"Milepost","value":"0.0149"},{"id":17,"name":"Train ID","value":"186-02"},{"id":16,"name":"Locomotive ID","value":"4012"},{"id":130,"name":"Impact","value":""},{"id":150,"name":"Time of Event (Mountain Time)","value":"15:51:05"},{"id":151,"name":"Denver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55"/>
        <v>start /low /b %USERPROFILE%\Documents\GitHub\eaglep3\Utilities\DownloadLogsFromS3.py --loco 4012 --day 2017-01-02</v>
      </c>
    </row>
    <row r="100" spans="1:91" s="21" customFormat="1" x14ac:dyDescent="0.25">
      <c r="A100" s="34" t="s">
        <v>570</v>
      </c>
      <c r="B100" s="7">
        <v>4046</v>
      </c>
      <c r="C100" s="22" t="s">
        <v>203</v>
      </c>
      <c r="D100" s="22" t="s">
        <v>701</v>
      </c>
      <c r="E100" s="13">
        <v>42737.601388888892</v>
      </c>
      <c r="F100" s="13">
        <v>42737.604386574072</v>
      </c>
      <c r="G100" s="7">
        <v>2</v>
      </c>
      <c r="H100" s="22" t="s">
        <v>365</v>
      </c>
      <c r="I100" s="13">
        <v>42737.628819444442</v>
      </c>
      <c r="J100" s="7">
        <v>0</v>
      </c>
      <c r="K100" s="105" t="str">
        <f t="shared" si="38"/>
        <v>4045/4046</v>
      </c>
      <c r="L100" s="22" t="str">
        <f>VLOOKUP(A100,'Trips&amp;Operators'!$C$1:$G$99999,5,FALSE)</f>
        <v>STEWART MICHAEL</v>
      </c>
      <c r="M100" s="6">
        <f t="shared" si="39"/>
        <v>2.4432870370219462E-2</v>
      </c>
      <c r="N100" s="7">
        <f t="shared" si="40"/>
        <v>35.183333333116025</v>
      </c>
      <c r="O100" s="7"/>
      <c r="P100" s="7"/>
      <c r="Q100" s="23"/>
      <c r="R100" s="23"/>
      <c r="S100" s="32">
        <f t="shared" si="41"/>
        <v>1</v>
      </c>
      <c r="T100" s="47" t="str">
        <f t="shared" si="42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13:26:00-700',mode:absolute,to:'2017-01-02 16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00" s="49" t="str">
        <f t="shared" si="44"/>
        <v>N</v>
      </c>
      <c r="X100" s="173">
        <f t="shared" si="45"/>
        <v>1</v>
      </c>
      <c r="Y100" s="64">
        <f t="shared" si="46"/>
        <v>4.7699999999999999E-2</v>
      </c>
      <c r="Z100" s="64">
        <f t="shared" si="47"/>
        <v>23.330500000000001</v>
      </c>
      <c r="AA100" s="64">
        <f t="shared" si="48"/>
        <v>23.282800000000002</v>
      </c>
      <c r="AB100" s="61" t="e">
        <f>VLOOKUP(A100,Enforcements!$C$7:$K$19,8,0)</f>
        <v>#N/A</v>
      </c>
      <c r="AC100" s="57" t="e">
        <f>VLOOKUP(A100,Enforcements!$C$7:$E$19,3,0)</f>
        <v>#N/A</v>
      </c>
      <c r="AD100" s="58" t="str">
        <f t="shared" si="49"/>
        <v>0187-02</v>
      </c>
      <c r="AE100" s="87" t="str">
        <f t="shared" si="50"/>
        <v>aws s3 cp s3://rtdc.mdm.uploadarchive.raw/RTDC4046/ "%USERPROFILE%\AppData\Local\Temp\OnboardLogs"\RTDC4046\2017-01-02 --exclude "*" --recursive --include "*20170102*" &amp; "%USERPROFILE%\Documents\GitHub\mrs-test-scripts\Headless Mode &amp; Sideloading\WalkAndUnGZ.bat" "%USERPROFILE%\AppData\Local\Temp\OnboardLogs"\RTDC4046\2017-01-02 &amp; 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</v>
      </c>
      <c r="AF100" s="84" t="str">
        <f t="shared" si="51"/>
        <v>"C:\Program Files (x86)\AstroGrep\AstroGrep.exe" /spath="%USERPROFILE%\AppData\Local\Temp\OnboardLogs" /stypes="app*4046*20170102*" /stext=" 22:.+((SYSTEM_STATE.+slice.+state.+changed )|(ment ac)|(multiple cpu faults)|(system.+state.+changed )|(\[timeout)|(PRM\|1\|D)|(kpr)|(kdp)|(\|lc)|(penalty))" /e /r /s</v>
      </c>
      <c r="AG100" s="1" t="str">
        <f t="shared" si="52"/>
        <v>EC</v>
      </c>
      <c r="AH100" s="88" t="str">
        <f t="shared" si="53"/>
        <v>"%USERPROFILE%\Documents\GitHub\eaglep3\Utilities\RefineRTDCRunTimes.py" --tripid 187-02 --locoid 4046 --swversion DE.1.0.8.0 --startMP 204:477 --initTime 2017-01-02T14:26:00 --startdatetime 2017-01-02T14:30:19 --delay 2 --endMP 204:233305 --enddatetime 2017-01-02T15:05:30 --enforcementcount 0 &gt;&gt;C:\Users\stu\Documents\GitHub\eaglep3-reporting\EC\2017-01-02-refined-times.txt</v>
      </c>
      <c r="AI100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{"issue":{"subject":"","project_id":79,"tracker_id":40,"status_id":1,"priority_id":2,"assigned_to_id":23,"start_date":"2017-01-02","description":"","custom_fields":[{"id":1,"name":"Subdivision","value":"EC"},{"id":4,"name":"Milepost","value":"23.3305"},{"id":17,"name":"Train ID","value":"187-02"},{"id":16,"name":"Locomotive ID","value":"4046"},{"id":130,"name":"Impact","value":""},{"id":150,"name":"Time of Event (Mountain Time)","value":"15:05:30"},{"id":151,"name":"Denver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55"/>
        <v>start /low /b %USERPROFILE%\Documents\GitHub\eaglep3\Utilities\DownloadLogsFromS3.py --loco 4046 --day 2017-01-02</v>
      </c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4" t="s">
        <v>578</v>
      </c>
      <c r="B101" s="7">
        <v>4045</v>
      </c>
      <c r="C101" s="22" t="s">
        <v>203</v>
      </c>
      <c r="D101" s="22" t="s">
        <v>702</v>
      </c>
      <c r="E101" s="13">
        <v>42737.639409722222</v>
      </c>
      <c r="F101" s="13">
        <v>42737.643275462964</v>
      </c>
      <c r="G101" s="7">
        <v>2</v>
      </c>
      <c r="H101" s="22" t="s">
        <v>674</v>
      </c>
      <c r="I101" s="13">
        <v>42737.669618055559</v>
      </c>
      <c r="J101" s="7">
        <v>0</v>
      </c>
      <c r="K101" s="105" t="str">
        <f t="shared" si="38"/>
        <v>4045/4046</v>
      </c>
      <c r="L101" s="22" t="str">
        <f>VLOOKUP(A101,'Trips&amp;Operators'!$C$1:$G$99999,5,FALSE)</f>
        <v>STEWART MICHAEL</v>
      </c>
      <c r="M101" s="6">
        <f t="shared" si="39"/>
        <v>2.6342592595028691E-2</v>
      </c>
      <c r="N101" s="7">
        <f t="shared" si="40"/>
        <v>37.933333336841315</v>
      </c>
      <c r="O101" s="7"/>
      <c r="P101" s="7"/>
      <c r="Q101" s="23"/>
      <c r="R101" s="23"/>
      <c r="S101" s="32">
        <f t="shared" si="41"/>
        <v>1</v>
      </c>
      <c r="T101" s="47" t="str">
        <f t="shared" si="42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14:20:45-700',mode:absolute,to:'2017-01-02 17:04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01" s="49" t="str">
        <f t="shared" si="44"/>
        <v>N</v>
      </c>
      <c r="X101" s="173">
        <f t="shared" si="45"/>
        <v>1</v>
      </c>
      <c r="Y101" s="64">
        <f t="shared" si="46"/>
        <v>23.296299999999999</v>
      </c>
      <c r="Z101" s="64">
        <f t="shared" si="47"/>
        <v>1.7000000000000001E-2</v>
      </c>
      <c r="AA101" s="64">
        <f t="shared" si="48"/>
        <v>23.279299999999999</v>
      </c>
      <c r="AB101" s="61" t="e">
        <f>VLOOKUP(A101,Enforcements!$C$7:$K$19,8,0)</f>
        <v>#N/A</v>
      </c>
      <c r="AC101" s="57" t="e">
        <f>VLOOKUP(A101,Enforcements!$C$7:$E$19,3,0)</f>
        <v>#N/A</v>
      </c>
      <c r="AD101" s="58" t="str">
        <f t="shared" si="49"/>
        <v>0188-02</v>
      </c>
      <c r="AE101" s="87" t="str">
        <f t="shared" si="50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101" s="84" t="str">
        <f t="shared" si="51"/>
        <v>"C:\Program Files (x86)\AstroGrep\AstroGrep.exe" /spath="%USERPROFILE%\AppData\Local\Temp\OnboardLogs" /stypes="app*4045*20170102*" /stext=" 23:.+((SYSTEM_STATE.+slice.+state.+changed )|(ment ac)|(multiple cpu faults)|(system.+state.+changed )|(\[timeout)|(PRM\|1\|D)|(kpr)|(kdp)|(\|lc)|(penalty))" /e /r /s</v>
      </c>
      <c r="AG101" s="1" t="str">
        <f t="shared" si="52"/>
        <v>EC</v>
      </c>
      <c r="AH101" s="88" t="str">
        <f t="shared" si="53"/>
        <v>"%USERPROFILE%\Documents\GitHub\eaglep3\Utilities\RefineRTDCRunTimes.py" --tripid 188-02 --locoid 4045 --swversion DE.1.0.8.0 --startMP 204:232963 --initTime 2017-01-02T15:20:45 --startdatetime 2017-01-02T15:26:19 --delay 2 --endMP 204:170 --enddatetime 2017-01-02T16:04:15 --enforcementcount 0 &gt;&gt;C:\Users\stu\Documents\GitHub\eaglep3-reporting\EC\2017-01-02-refined-times.txt</v>
      </c>
      <c r="AI101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{"issue":{"subject":"","project_id":79,"tracker_id":40,"status_id":1,"priority_id":2,"assigned_to_id":23,"start_date":"2017-01-02","description":"","custom_fields":[{"id":1,"name":"Subdivision","value":"EC"},{"id":4,"name":"Milepost","value":"0.017"},{"id":17,"name":"Train ID","value":"188-02"},{"id":16,"name":"Locomotive ID","value":"4045"},{"id":130,"name":"Impact","value":""},{"id":150,"name":"Time of Event (Mountain Time)","value":"16:04:15"},{"id":151,"name":"Denver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55"/>
        <v>start /low /b %USERPROFILE%\Documents\GitHub\eaglep3\Utilities\DownloadLogsFromS3.py --loco 4045 --day 2017-01-02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573</v>
      </c>
      <c r="B102" s="7">
        <v>4014</v>
      </c>
      <c r="C102" s="22" t="s">
        <v>203</v>
      </c>
      <c r="D102" s="22" t="s">
        <v>193</v>
      </c>
      <c r="E102" s="13">
        <v>42737.611828703702</v>
      </c>
      <c r="F102" s="13">
        <v>42737.61515046296</v>
      </c>
      <c r="G102" s="7">
        <v>2</v>
      </c>
      <c r="H102" s="22" t="s">
        <v>313</v>
      </c>
      <c r="I102" s="13">
        <v>42737.642233796294</v>
      </c>
      <c r="J102" s="7">
        <v>0</v>
      </c>
      <c r="K102" s="105" t="str">
        <f t="shared" si="38"/>
        <v>4013/4014</v>
      </c>
      <c r="L102" s="22" t="str">
        <f>VLOOKUP(A102,'Trips&amp;Operators'!$C$1:$G$99999,5,FALSE)</f>
        <v>DAVIS MICHAEL</v>
      </c>
      <c r="M102" s="6">
        <f t="shared" si="39"/>
        <v>2.7083333334303461E-2</v>
      </c>
      <c r="N102" s="7">
        <f t="shared" si="40"/>
        <v>39.000000001396984</v>
      </c>
      <c r="O102" s="7"/>
      <c r="P102" s="7"/>
      <c r="Q102" s="23"/>
      <c r="R102" s="23"/>
      <c r="S102" s="32">
        <f t="shared" si="41"/>
        <v>1</v>
      </c>
      <c r="T102" s="47" t="str">
        <f t="shared" si="42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13:41:02-700',mode:absolute,to:'2017-01-02 16:24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2" s="49" t="str">
        <f t="shared" si="44"/>
        <v>N</v>
      </c>
      <c r="X102" s="173">
        <f t="shared" si="45"/>
        <v>1</v>
      </c>
      <c r="Y102" s="64">
        <f t="shared" si="46"/>
        <v>4.4699999999999997E-2</v>
      </c>
      <c r="Z102" s="64">
        <f t="shared" si="47"/>
        <v>23.3291</v>
      </c>
      <c r="AA102" s="64">
        <f t="shared" si="48"/>
        <v>23.284400000000002</v>
      </c>
      <c r="AB102" s="61" t="e">
        <f>VLOOKUP(A102,Enforcements!$C$7:$K$19,8,0)</f>
        <v>#N/A</v>
      </c>
      <c r="AC102" s="57" t="e">
        <f>VLOOKUP(A102,Enforcements!$C$7:$E$19,3,0)</f>
        <v>#N/A</v>
      </c>
      <c r="AD102" s="58" t="str">
        <f t="shared" si="49"/>
        <v>0189-02</v>
      </c>
      <c r="AE102" s="87" t="str">
        <f t="shared" si="50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102" s="84" t="str">
        <f t="shared" si="51"/>
        <v>"C:\Program Files (x86)\AstroGrep\AstroGrep.exe" /spath="%USERPROFILE%\AppData\Local\Temp\OnboardLogs" /stypes="app*4014*20170102*" /stext=" 22:.+((SYSTEM_STATE.+slice.+state.+changed )|(ment ac)|(multiple cpu faults)|(system.+state.+changed )|(\[timeout)|(PRM\|1\|D)|(kpr)|(kdp)|(\|lc)|(penalty))" /e /r /s</v>
      </c>
      <c r="AG102" s="1" t="str">
        <f t="shared" si="52"/>
        <v>EC</v>
      </c>
      <c r="AH102" s="88" t="str">
        <f t="shared" si="53"/>
        <v>"%USERPROFILE%\Documents\GitHub\eaglep3\Utilities\RefineRTDCRunTimes.py" --tripid 189-02 --locoid 4014 --swversion DE.1.0.8.0 --startMP 204:447 --initTime 2017-01-02T14:41:02 --startdatetime 2017-01-02T14:45:49 --delay 2 --endMP 204:233291 --enddatetime 2017-01-02T15:24:49 --enforcementcount 0 &gt;&gt;C:\Users\stu\Documents\GitHub\eaglep3-reporting\EC\2017-01-02-refined-times.txt</v>
      </c>
      <c r="AI102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{"issue":{"subject":"","project_id":79,"tracker_id":40,"status_id":1,"priority_id":2,"assigned_to_id":23,"start_date":"2017-01-02","description":"","custom_fields":[{"id":1,"name":"Subdivision","value":"EC"},{"id":4,"name":"Milepost","value":"23.3291"},{"id":17,"name":"Train ID","value":"189-02"},{"id":16,"name":"Locomotive ID","value":"4014"},{"id":130,"name":"Impact","value":""},{"id":150,"name":"Time of Event (Mountain Time)","value":"15:24:49"},{"id":151,"name":"Denver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55"/>
        <v>start /low /b %USERPROFILE%\Documents\GitHub\eaglep3\Utilities\DownloadLogsFromS3.py --loco 4014 --day 2017-01-02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580</v>
      </c>
      <c r="B103" s="7">
        <v>4013</v>
      </c>
      <c r="C103" s="22" t="s">
        <v>203</v>
      </c>
      <c r="D103" s="22" t="s">
        <v>703</v>
      </c>
      <c r="E103" s="13">
        <v>42737.649328703701</v>
      </c>
      <c r="F103" s="13">
        <v>42737.653900462959</v>
      </c>
      <c r="G103" s="7">
        <v>1</v>
      </c>
      <c r="H103" s="22" t="s">
        <v>250</v>
      </c>
      <c r="I103" s="13">
        <v>42737.682129629633</v>
      </c>
      <c r="J103" s="7">
        <v>0</v>
      </c>
      <c r="K103" s="105" t="str">
        <f t="shared" si="38"/>
        <v>4013/4014</v>
      </c>
      <c r="L103" s="22" t="str">
        <f>VLOOKUP(A103,'Trips&amp;Operators'!$C$1:$G$99999,5,FALSE)</f>
        <v>DAVIS MICHAEL</v>
      </c>
      <c r="M103" s="6">
        <f t="shared" si="39"/>
        <v>2.8229166673554573E-2</v>
      </c>
      <c r="N103" s="7">
        <f t="shared" si="40"/>
        <v>40.650000009918585</v>
      </c>
      <c r="O103" s="7"/>
      <c r="P103" s="7"/>
      <c r="Q103" s="23"/>
      <c r="R103" s="23"/>
      <c r="S103" s="32">
        <f t="shared" si="41"/>
        <v>1</v>
      </c>
      <c r="T103" s="47" t="str">
        <f t="shared" si="42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14:35:02-700',mode:absolute,to:'2017-01-02 17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3" s="49" t="str">
        <f t="shared" si="44"/>
        <v>N</v>
      </c>
      <c r="X103" s="173">
        <f t="shared" si="45"/>
        <v>1</v>
      </c>
      <c r="Y103" s="64">
        <f t="shared" si="46"/>
        <v>23.296600000000002</v>
      </c>
      <c r="Z103" s="64">
        <f t="shared" si="47"/>
        <v>1.3899999999999999E-2</v>
      </c>
      <c r="AA103" s="64">
        <f t="shared" si="48"/>
        <v>23.282700000000002</v>
      </c>
      <c r="AB103" s="61" t="e">
        <f>VLOOKUP(A103,Enforcements!$C$7:$K$19,8,0)</f>
        <v>#N/A</v>
      </c>
      <c r="AC103" s="57" t="e">
        <f>VLOOKUP(A103,Enforcements!$C$7:$E$19,3,0)</f>
        <v>#N/A</v>
      </c>
      <c r="AD103" s="58" t="str">
        <f t="shared" si="49"/>
        <v>0190-02</v>
      </c>
      <c r="AE103" s="87" t="str">
        <f t="shared" si="50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103" s="84" t="str">
        <f t="shared" si="51"/>
        <v>"C:\Program Files (x86)\AstroGrep\AstroGrep.exe" /spath="%USERPROFILE%\AppData\Local\Temp\OnboardLogs" /stypes="app*4013*20170102*" /stext=" 23:.+((SYSTEM_STATE.+slice.+state.+changed )|(ment ac)|(multiple cpu faults)|(system.+state.+changed )|(\[timeout)|(PRM\|1\|D)|(kpr)|(kdp)|(\|lc)|(penalty))" /e /r /s</v>
      </c>
      <c r="AG103" s="1" t="str">
        <f t="shared" si="52"/>
        <v>EC</v>
      </c>
      <c r="AH103" s="88" t="str">
        <f t="shared" si="53"/>
        <v>"%USERPROFILE%\Documents\GitHub\eaglep3\Utilities\RefineRTDCRunTimes.py" --tripid 190-02 --locoid 4013 --swversion DE.1.0.8.0 --startMP 204:232966 --initTime 2017-01-02T15:35:02 --startdatetime 2017-01-02T15:41:37 --delay 1 --endMP 204:139 --enddatetime 2017-01-02T16:22:16 --enforcementcount 0 &gt;&gt;C:\Users\stu\Documents\GitHub\eaglep3-reporting\EC\2017-01-02-refined-times.txt</v>
      </c>
      <c r="AI103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{"issue":{"subject":"","project_id":79,"tracker_id":40,"status_id":1,"priority_id":2,"assigned_to_id":23,"start_date":"2017-01-02","description":"","custom_fields":[{"id":1,"name":"Subdivision","value":"EC"},{"id":4,"name":"Milepost","value":"0.0139"},{"id":17,"name":"Train ID","value":"190-02"},{"id":16,"name":"Locomotive ID","value":"4013"},{"id":130,"name":"Impact","value":""},{"id":150,"name":"Time of Event (Mountain Time)","value":"16:22:16"},{"id":151,"name":"Denver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55"/>
        <v>start /low /b %USERPROFILE%\Documents\GitHub\eaglep3\Utilities\DownloadLogsFromS3.py --loco 4013 --day 2017-01-02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574</v>
      </c>
      <c r="B104" s="7">
        <v>4042</v>
      </c>
      <c r="C104" s="22" t="s">
        <v>203</v>
      </c>
      <c r="D104" s="22" t="s">
        <v>424</v>
      </c>
      <c r="E104" s="13">
        <v>42737.621331018519</v>
      </c>
      <c r="F104" s="13">
        <v>42737.625173611108</v>
      </c>
      <c r="G104" s="7">
        <v>2</v>
      </c>
      <c r="H104" s="22" t="s">
        <v>704</v>
      </c>
      <c r="I104" s="13">
        <v>42737.650578703702</v>
      </c>
      <c r="J104" s="7">
        <v>0</v>
      </c>
      <c r="K104" s="105" t="str">
        <f t="shared" si="38"/>
        <v>4041/4042</v>
      </c>
      <c r="L104" s="22" t="str">
        <f>VLOOKUP(A104,'Trips&amp;Operators'!$C$1:$G$99999,5,FALSE)</f>
        <v>CLARK KATHLEEN</v>
      </c>
      <c r="M104" s="6">
        <f t="shared" si="39"/>
        <v>2.5405092594155576E-2</v>
      </c>
      <c r="N104" s="7">
        <f t="shared" si="40"/>
        <v>36.58333333558403</v>
      </c>
      <c r="O104" s="7"/>
      <c r="P104" s="7"/>
      <c r="Q104" s="23"/>
      <c r="R104" s="23"/>
      <c r="S104" s="32">
        <f t="shared" si="41"/>
        <v>1</v>
      </c>
      <c r="T104" s="47" t="str">
        <f t="shared" si="42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13:54:43-700',mode:absolute,to:'2017-01-02 16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4" s="49" t="str">
        <f t="shared" si="44"/>
        <v>N</v>
      </c>
      <c r="X104" s="173">
        <f t="shared" si="45"/>
        <v>1</v>
      </c>
      <c r="Y104" s="64">
        <f t="shared" si="46"/>
        <v>4.82E-2</v>
      </c>
      <c r="Z104" s="64">
        <f t="shared" si="47"/>
        <v>23.326799999999999</v>
      </c>
      <c r="AA104" s="64">
        <f t="shared" si="48"/>
        <v>23.278599999999997</v>
      </c>
      <c r="AB104" s="61" t="e">
        <f>VLOOKUP(A104,Enforcements!$C$7:$K$19,8,0)</f>
        <v>#N/A</v>
      </c>
      <c r="AC104" s="57" t="e">
        <f>VLOOKUP(A104,Enforcements!$C$7:$E$19,3,0)</f>
        <v>#N/A</v>
      </c>
      <c r="AD104" s="58" t="str">
        <f t="shared" si="49"/>
        <v>0191-02</v>
      </c>
      <c r="AE104" s="87" t="str">
        <f t="shared" si="50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104" s="84" t="str">
        <f t="shared" si="51"/>
        <v>"C:\Program Files (x86)\AstroGrep\AstroGrep.exe" /spath="%USERPROFILE%\AppData\Local\Temp\OnboardLogs" /stypes="app*4042*20170102*" /stext=" 22:.+((SYSTEM_STATE.+slice.+state.+changed )|(ment ac)|(multiple cpu faults)|(system.+state.+changed )|(\[timeout)|(PRM\|1\|D)|(kpr)|(kdp)|(\|lc)|(penalty))" /e /r /s</v>
      </c>
      <c r="AG104" s="1" t="str">
        <f t="shared" si="52"/>
        <v>EC</v>
      </c>
      <c r="AH104" s="88" t="str">
        <f t="shared" si="53"/>
        <v>"%USERPROFILE%\Documents\GitHub\eaglep3\Utilities\RefineRTDCRunTimes.py" --tripid 191-02 --locoid 4042 --swversion DE.1.0.8.0 --startMP 204:482 --initTime 2017-01-02T14:54:43 --startdatetime 2017-01-02T15:00:15 --delay 2 --endMP 204:233268 --enddatetime 2017-01-02T15:36:50 --enforcementcount 0 &gt;&gt;C:\Users\stu\Documents\GitHub\eaglep3-reporting\EC\2017-01-02-refined-times.txt</v>
      </c>
      <c r="AI104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{"issue":{"subject":"","project_id":79,"tracker_id":40,"status_id":1,"priority_id":2,"assigned_to_id":23,"start_date":"2017-01-02","description":"","custom_fields":[{"id":1,"name":"Subdivision","value":"EC"},{"id":4,"name":"Milepost","value":"23.3268"},{"id":17,"name":"Train ID","value":"191-02"},{"id":16,"name":"Locomotive ID","value":"4042"},{"id":130,"name":"Impact","value":""},{"id":150,"name":"Time of Event (Mountain Time)","value":"15:36:50"},{"id":151,"name":"Denver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55"/>
        <v>start /low /b %USERPROFILE%\Documents\GitHub\eaglep3\Utilities\DownloadLogsFromS3.py --loco 4042 --day 2017-01-02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584</v>
      </c>
      <c r="B105" s="7">
        <v>4041</v>
      </c>
      <c r="C105" s="22" t="s">
        <v>203</v>
      </c>
      <c r="D105" s="22" t="s">
        <v>705</v>
      </c>
      <c r="E105" s="13">
        <v>42737.657627314817</v>
      </c>
      <c r="F105" s="13">
        <v>42737.6640625</v>
      </c>
      <c r="G105" s="7">
        <v>1</v>
      </c>
      <c r="H105" s="22" t="s">
        <v>706</v>
      </c>
      <c r="I105" s="13">
        <v>42737.692557870374</v>
      </c>
      <c r="J105" s="7">
        <v>0</v>
      </c>
      <c r="K105" s="105" t="str">
        <f t="shared" si="38"/>
        <v>4041/4042</v>
      </c>
      <c r="L105" s="22" t="str">
        <f>VLOOKUP(A105,'Trips&amp;Operators'!$C$1:$G$99999,5,FALSE)</f>
        <v>CLARK KATHLEEN</v>
      </c>
      <c r="M105" s="6">
        <f t="shared" si="39"/>
        <v>2.849537037400296E-2</v>
      </c>
      <c r="N105" s="7">
        <f t="shared" si="40"/>
        <v>41.033333338564262</v>
      </c>
      <c r="O105" s="7"/>
      <c r="P105" s="7"/>
      <c r="Q105" s="23"/>
      <c r="R105" s="23"/>
      <c r="S105" s="32">
        <f t="shared" si="41"/>
        <v>1</v>
      </c>
      <c r="T105" s="47" t="str">
        <f t="shared" si="42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14:46:59-700',mode:absolute,to:'2017-01-02 17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5" s="49" t="str">
        <f t="shared" si="44"/>
        <v>N</v>
      </c>
      <c r="X105" s="173">
        <f t="shared" si="45"/>
        <v>1</v>
      </c>
      <c r="Y105" s="64">
        <f t="shared" si="46"/>
        <v>23.295000000000002</v>
      </c>
      <c r="Z105" s="64">
        <f t="shared" si="47"/>
        <v>1.67E-2</v>
      </c>
      <c r="AA105" s="64">
        <f t="shared" si="48"/>
        <v>23.278300000000002</v>
      </c>
      <c r="AB105" s="61" t="e">
        <f>VLOOKUP(A105,Enforcements!$C$7:$K$19,8,0)</f>
        <v>#N/A</v>
      </c>
      <c r="AC105" s="57" t="e">
        <f>VLOOKUP(A105,Enforcements!$C$7:$E$19,3,0)</f>
        <v>#N/A</v>
      </c>
      <c r="AD105" s="58" t="str">
        <f t="shared" si="49"/>
        <v>0192-02</v>
      </c>
      <c r="AE105" s="87" t="str">
        <f t="shared" si="50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105" s="84" t="str">
        <f t="shared" si="51"/>
        <v>"C:\Program Files (x86)\AstroGrep\AstroGrep.exe" /spath="%USERPROFILE%\AppData\Local\Temp\OnboardLogs" /stypes="app*4041*20170102*" /stext=" 23:.+((SYSTEM_STATE.+slice.+state.+changed )|(ment ac)|(multiple cpu faults)|(system.+state.+changed )|(\[timeout)|(PRM\|1\|D)|(kpr)|(kdp)|(\|lc)|(penalty))" /e /r /s</v>
      </c>
      <c r="AG105" s="1" t="str">
        <f t="shared" si="52"/>
        <v>EC</v>
      </c>
      <c r="AH105" s="88" t="str">
        <f t="shared" si="53"/>
        <v>"%USERPROFILE%\Documents\GitHub\eaglep3\Utilities\RefineRTDCRunTimes.py" --tripid 192-02 --locoid 4041 --swversion DE.1.0.8.0 --startMP 204:232950 --initTime 2017-01-02T15:46:59 --startdatetime 2017-01-02T15:56:15 --delay 1 --endMP 204:167 --enddatetime 2017-01-02T16:37:17 --enforcementcount 0 &gt;&gt;C:\Users\stu\Documents\GitHub\eaglep3-reporting\EC\2017-01-02-refined-times.txt</v>
      </c>
      <c r="AI105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{"issue":{"subject":"","project_id":79,"tracker_id":40,"status_id":1,"priority_id":2,"assigned_to_id":23,"start_date":"2017-01-02","description":"","custom_fields":[{"id":1,"name":"Subdivision","value":"EC"},{"id":4,"name":"Milepost","value":"0.0167"},{"id":17,"name":"Train ID","value":"192-02"},{"id":16,"name":"Locomotive ID","value":"4041"},{"id":130,"name":"Impact","value":""},{"id":150,"name":"Time of Event (Mountain Time)","value":"16:37:17"},{"id":151,"name":"Denver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55"/>
        <v>start /low /b %USERPROFILE%\Documents\GitHub\eaglep3\Utilities\DownloadLogsFromS3.py --loco 4041 --day 2017-01-02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436</v>
      </c>
      <c r="B106" s="7">
        <v>4029</v>
      </c>
      <c r="C106" s="22" t="s">
        <v>203</v>
      </c>
      <c r="D106" s="22" t="s">
        <v>266</v>
      </c>
      <c r="E106" s="13">
        <v>42737.632060185184</v>
      </c>
      <c r="F106" s="13">
        <v>42737.636006944442</v>
      </c>
      <c r="G106" s="7">
        <v>1</v>
      </c>
      <c r="H106" s="22" t="s">
        <v>360</v>
      </c>
      <c r="I106" s="13">
        <v>42737.661608796298</v>
      </c>
      <c r="J106" s="7">
        <v>0</v>
      </c>
      <c r="K106" s="105" t="str">
        <f t="shared" si="38"/>
        <v>4029/4030</v>
      </c>
      <c r="L106" s="22" t="str">
        <f>VLOOKUP(A106,'Trips&amp;Operators'!$C$1:$G$99999,5,FALSE)</f>
        <v>ADANE ELSHADAY</v>
      </c>
      <c r="M106" s="6">
        <f t="shared" si="39"/>
        <v>2.5601851855753921E-2</v>
      </c>
      <c r="N106" s="7">
        <f t="shared" si="40"/>
        <v>36.866666672285646</v>
      </c>
      <c r="O106" s="7"/>
      <c r="P106" s="7"/>
      <c r="Q106" s="23"/>
      <c r="R106" s="23"/>
      <c r="S106" s="32">
        <f t="shared" si="41"/>
        <v>1</v>
      </c>
      <c r="T106" s="47" t="str">
        <f t="shared" si="42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14:10:10-700',mode:absolute,to:'2017-01-02 16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6" s="49" t="str">
        <f t="shared" si="44"/>
        <v>N</v>
      </c>
      <c r="X106" s="173">
        <f t="shared" si="45"/>
        <v>1</v>
      </c>
      <c r="Y106" s="64">
        <f t="shared" si="46"/>
        <v>4.4900000000000002E-2</v>
      </c>
      <c r="Z106" s="64">
        <f t="shared" si="47"/>
        <v>23.331499999999998</v>
      </c>
      <c r="AA106" s="64">
        <f t="shared" si="48"/>
        <v>23.2866</v>
      </c>
      <c r="AB106" s="61" t="str">
        <f>VLOOKUP(A106,Enforcements!$C$7:$K$19,8,0)</f>
        <v>Bulletin (2)</v>
      </c>
      <c r="AC106" s="57" t="str">
        <f>VLOOKUP(A106,Enforcements!$C$7:$E$19,3,0)</f>
        <v>GRADE CROSSING</v>
      </c>
      <c r="AD106" s="58" t="str">
        <f t="shared" si="49"/>
        <v>0193-02</v>
      </c>
      <c r="AE106" s="87" t="str">
        <f t="shared" si="50"/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AF106" s="84" t="str">
        <f t="shared" si="51"/>
        <v>"C:\Program Files (x86)\AstroGrep\AstroGrep.exe" /spath="%USERPROFILE%\AppData\Local\Temp\OnboardLogs" /stypes="app*4029*20170102*" /stext=" 22:.+((SYSTEM_STATE.+slice.+state.+changed )|(ment ac)|(multiple cpu faults)|(system.+state.+changed )|(\[timeout)|(PRM\|1\|D)|(kpr)|(kdp)|(\|lc)|(penalty))" /e /r /s</v>
      </c>
      <c r="AG106" s="1" t="str">
        <f t="shared" si="52"/>
        <v>EC</v>
      </c>
      <c r="AH106" s="88" t="str">
        <f t="shared" si="53"/>
        <v>"%USERPROFILE%\Documents\GitHub\eaglep3\Utilities\RefineRTDCRunTimes.py" --tripid 193-02 --locoid 4029 --swversion DE.1.0.8.0 --startMP 204:449 --initTime 2017-01-02T15:10:10 --startdatetime 2017-01-02T15:15:51 --delay 1 --endMP 204:233315 --enddatetime 2017-01-02T15:52:43 --enforcementcount 0 &gt;&gt;C:\Users\stu\Documents\GitHub\eaglep3-reporting\EC\2017-01-02-refined-times.txt</v>
      </c>
      <c r="AI106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{"issue":{"subject":"","project_id":79,"tracker_id":40,"status_id":1,"priority_id":2,"assigned_to_id":23,"start_date":"2017-01-02","description":"","custom_fields":[{"id":1,"name":"Subdivision","value":"EC"},{"id":4,"name":"Milepost","value":"23.3315"},{"id":17,"name":"Train ID","value":"193-02"},{"id":16,"name":"Locomotive ID","value":"4029"},{"id":130,"name":"Impact","value":""},{"id":150,"name":"Time of Event (Mountain Time)","value":"15:52:43"},{"id":151,"name":"Denver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55"/>
        <v>start /low /b %USERPROFILE%\Documents\GitHub\eaglep3\Utilities\DownloadLogsFromS3.py --loco 4029 --day 2017-01-02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586</v>
      </c>
      <c r="B107" s="7">
        <v>4030</v>
      </c>
      <c r="C107" s="22" t="s">
        <v>203</v>
      </c>
      <c r="D107" s="22" t="s">
        <v>420</v>
      </c>
      <c r="E107" s="13">
        <v>42737.663506944446</v>
      </c>
      <c r="F107" s="13">
        <v>42737.674803240741</v>
      </c>
      <c r="G107" s="7">
        <v>1</v>
      </c>
      <c r="H107" s="22" t="s">
        <v>303</v>
      </c>
      <c r="I107" s="13">
        <v>42737.70045138889</v>
      </c>
      <c r="J107" s="7">
        <v>0</v>
      </c>
      <c r="K107" s="105" t="str">
        <f t="shared" si="38"/>
        <v>4029/4030</v>
      </c>
      <c r="L107" s="22" t="str">
        <f>VLOOKUP(A107,'Trips&amp;Operators'!$C$1:$G$99999,5,FALSE)</f>
        <v>ADANE ELSHADAY</v>
      </c>
      <c r="M107" s="6">
        <f t="shared" si="39"/>
        <v>2.5648148148320615E-2</v>
      </c>
      <c r="N107" s="7">
        <f t="shared" si="40"/>
        <v>36.933333333581686</v>
      </c>
      <c r="O107" s="7"/>
      <c r="P107" s="7"/>
      <c r="Q107" s="23"/>
      <c r="R107" s="23"/>
      <c r="S107" s="32">
        <f t="shared" si="41"/>
        <v>1</v>
      </c>
      <c r="T107" s="47" t="str">
        <f t="shared" si="42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14:55:27-700',mode:absolute,to:'2017-01-02 17:48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7" s="49" t="str">
        <f t="shared" si="44"/>
        <v>N</v>
      </c>
      <c r="X107" s="173">
        <f t="shared" si="45"/>
        <v>1</v>
      </c>
      <c r="Y107" s="64">
        <f t="shared" si="46"/>
        <v>23.3002</v>
      </c>
      <c r="Z107" s="64">
        <f t="shared" si="47"/>
        <v>1.41E-2</v>
      </c>
      <c r="AA107" s="64">
        <f t="shared" si="48"/>
        <v>23.286100000000001</v>
      </c>
      <c r="AB107" s="61" t="e">
        <f>VLOOKUP(A107,Enforcements!$C$7:$K$19,8,0)</f>
        <v>#N/A</v>
      </c>
      <c r="AC107" s="57" t="e">
        <f>VLOOKUP(A107,Enforcements!$C$7:$E$19,3,0)</f>
        <v>#N/A</v>
      </c>
      <c r="AD107" s="58" t="str">
        <f t="shared" si="49"/>
        <v>0194-02</v>
      </c>
      <c r="AE107" s="87" t="str">
        <f t="shared" si="50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107" s="84" t="str">
        <f t="shared" si="51"/>
        <v>"C:\Program Files (x86)\AstroGrep\AstroGrep.exe" /spath="%USERPROFILE%\AppData\Local\Temp\OnboardLogs" /stypes="app*4030*20170102*" /stext=" 23:.+((SYSTEM_STATE.+slice.+state.+changed )|(ment ac)|(multiple cpu faults)|(system.+state.+changed )|(\[timeout)|(PRM\|1\|D)|(kpr)|(kdp)|(\|lc)|(penalty))" /e /r /s</v>
      </c>
      <c r="AG107" s="1" t="str">
        <f t="shared" si="52"/>
        <v>EC</v>
      </c>
      <c r="AH107" s="88" t="str">
        <f t="shared" si="53"/>
        <v>"%USERPROFILE%\Documents\GitHub\eaglep3\Utilities\RefineRTDCRunTimes.py" --tripid 194-02 --locoid 4030 --swversion DE.1.0.8.0 --startMP 204:233002 --initTime 2017-01-02T15:55:27 --startdatetime 2017-01-02T16:11:43 --delay 1 --endMP 204:141 --enddatetime 2017-01-02T16:48:39 --enforcementcount 0 &gt;&gt;C:\Users\stu\Documents\GitHub\eaglep3-reporting\EC\2017-01-02-refined-times.txt</v>
      </c>
      <c r="AI107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{"issue":{"subject":"","project_id":79,"tracker_id":40,"status_id":1,"priority_id":2,"assigned_to_id":23,"start_date":"2017-01-02","description":"","custom_fields":[{"id":1,"name":"Subdivision","value":"EC"},{"id":4,"name":"Milepost","value":"0.0141"},{"id":17,"name":"Train ID","value":"194-02"},{"id":16,"name":"Locomotive ID","value":"4030"},{"id":130,"name":"Impact","value":""},{"id":150,"name":"Time of Event (Mountain Time)","value":"16:48:39"},{"id":151,"name":"Denver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55"/>
        <v>start /low /b %USERPROFILE%\Documents\GitHub\eaglep3\Utilities\DownloadLogsFromS3.py --loco 4030 --day 2017-01-02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579</v>
      </c>
      <c r="B108" s="7">
        <v>4016</v>
      </c>
      <c r="C108" s="22" t="s">
        <v>203</v>
      </c>
      <c r="D108" s="22" t="s">
        <v>411</v>
      </c>
      <c r="E108" s="13">
        <v>42737.642164351855</v>
      </c>
      <c r="F108" s="13">
        <v>42737.646157407406</v>
      </c>
      <c r="G108" s="7">
        <v>1</v>
      </c>
      <c r="H108" s="22" t="s">
        <v>260</v>
      </c>
      <c r="I108" s="13">
        <v>42737.671631944446</v>
      </c>
      <c r="J108" s="7">
        <v>0</v>
      </c>
      <c r="K108" s="105" t="str">
        <f t="shared" si="38"/>
        <v>4015/4016</v>
      </c>
      <c r="L108" s="22" t="str">
        <f>VLOOKUP(A108,'Trips&amp;Operators'!$C$1:$G$99999,5,FALSE)</f>
        <v>CRAYTON QUNTRELL</v>
      </c>
      <c r="M108" s="6">
        <f t="shared" si="39"/>
        <v>2.5474537040281575E-2</v>
      </c>
      <c r="N108" s="7">
        <f t="shared" si="40"/>
        <v>36.683333338005468</v>
      </c>
      <c r="O108" s="7"/>
      <c r="P108" s="7"/>
      <c r="Q108" s="23"/>
      <c r="R108" s="23"/>
      <c r="S108" s="32">
        <f t="shared" si="41"/>
        <v>1</v>
      </c>
      <c r="T108" s="47" t="str">
        <f t="shared" si="42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14:24:43-700',mode:absolute,to:'2017-01-02 17:07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8" s="49" t="str">
        <f t="shared" si="44"/>
        <v>N</v>
      </c>
      <c r="X108" s="173">
        <f t="shared" si="45"/>
        <v>1</v>
      </c>
      <c r="Y108" s="64">
        <f t="shared" si="46"/>
        <v>4.7500000000000001E-2</v>
      </c>
      <c r="Z108" s="64">
        <f t="shared" si="47"/>
        <v>23.328900000000001</v>
      </c>
      <c r="AA108" s="64">
        <f t="shared" si="48"/>
        <v>23.281400000000001</v>
      </c>
      <c r="AB108" s="61" t="e">
        <f>VLOOKUP(A108,Enforcements!$C$7:$K$19,8,0)</f>
        <v>#N/A</v>
      </c>
      <c r="AC108" s="57" t="e">
        <f>VLOOKUP(A108,Enforcements!$C$7:$E$19,3,0)</f>
        <v>#N/A</v>
      </c>
      <c r="AD108" s="58" t="str">
        <f t="shared" si="49"/>
        <v>0195-02</v>
      </c>
      <c r="AE108" s="87" t="str">
        <f t="shared" si="50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108" s="84" t="str">
        <f t="shared" si="51"/>
        <v>"C:\Program Files (x86)\AstroGrep\AstroGrep.exe" /spath="%USERPROFILE%\AppData\Local\Temp\OnboardLogs" /stypes="app*4016*20170102*" /stext=" 23:.+((SYSTEM_STATE.+slice.+state.+changed )|(ment ac)|(multiple cpu faults)|(system.+state.+changed )|(\[timeout)|(PRM\|1\|D)|(kpr)|(kdp)|(\|lc)|(penalty))" /e /r /s</v>
      </c>
      <c r="AG108" s="1" t="str">
        <f t="shared" si="52"/>
        <v>EC</v>
      </c>
      <c r="AH108" s="88" t="str">
        <f t="shared" si="53"/>
        <v>"%USERPROFILE%\Documents\GitHub\eaglep3\Utilities\RefineRTDCRunTimes.py" --tripid 195-02 --locoid 4016 --swversion DE.1.0.8.0 --startMP 204:475 --initTime 2017-01-02T15:24:43 --startdatetime 2017-01-02T15:30:28 --delay 1 --endMP 204:233289 --enddatetime 2017-01-02T16:07:09 --enforcementcount 0 &gt;&gt;C:\Users\stu\Documents\GitHub\eaglep3-reporting\EC\2017-01-02-refined-times.txt</v>
      </c>
      <c r="AI108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{"issue":{"subject":"","project_id":79,"tracker_id":40,"status_id":1,"priority_id":2,"assigned_to_id":23,"start_date":"2017-01-02","description":"","custom_fields":[{"id":1,"name":"Subdivision","value":"EC"},{"id":4,"name":"Milepost","value":"23.3289"},{"id":17,"name":"Train ID","value":"195-02"},{"id":16,"name":"Locomotive ID","value":"4016"},{"id":130,"name":"Impact","value":""},{"id":150,"name":"Time of Event (Mountain Time)","value":"16:07:09"},{"id":151,"name":"Denver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55"/>
        <v>start /low /b %USERPROFILE%\Documents\GitHub\eaglep3\Utilities\DownloadLogsFromS3.py --loco 4016 --day 2017-01-02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589</v>
      </c>
      <c r="B109" s="7">
        <v>4015</v>
      </c>
      <c r="C109" s="22" t="s">
        <v>203</v>
      </c>
      <c r="D109" s="22" t="s">
        <v>410</v>
      </c>
      <c r="E109" s="13">
        <v>42737.676817129628</v>
      </c>
      <c r="F109" s="13">
        <v>42737.684907407405</v>
      </c>
      <c r="G109" s="7">
        <v>1</v>
      </c>
      <c r="H109" s="22" t="s">
        <v>249</v>
      </c>
      <c r="I109" s="13">
        <v>42737.713078703702</v>
      </c>
      <c r="J109" s="7">
        <v>0</v>
      </c>
      <c r="K109" s="105" t="str">
        <f t="shared" si="38"/>
        <v>4015/4016</v>
      </c>
      <c r="L109" s="22" t="str">
        <f>VLOOKUP(A109,'Trips&amp;Operators'!$C$1:$G$99999,5,FALSE)</f>
        <v>CRAYTON QUNTRELL</v>
      </c>
      <c r="M109" s="6">
        <f t="shared" si="39"/>
        <v>2.8171296296932269E-2</v>
      </c>
      <c r="N109" s="7">
        <f t="shared" si="40"/>
        <v>40.566666667582467</v>
      </c>
      <c r="O109" s="7"/>
      <c r="P109" s="7"/>
      <c r="Q109" s="23"/>
      <c r="R109" s="23"/>
      <c r="S109" s="32">
        <f t="shared" si="41"/>
        <v>1</v>
      </c>
      <c r="T109" s="47" t="str">
        <f t="shared" si="42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15:14:37-700',mode:absolute,to:'2017-01-02 18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9" s="49" t="str">
        <f t="shared" si="44"/>
        <v>N</v>
      </c>
      <c r="X109" s="173">
        <f t="shared" si="45"/>
        <v>1</v>
      </c>
      <c r="Y109" s="64">
        <f t="shared" si="46"/>
        <v>23.298999999999999</v>
      </c>
      <c r="Z109" s="64">
        <f t="shared" si="47"/>
        <v>1.47E-2</v>
      </c>
      <c r="AA109" s="64">
        <f t="shared" si="48"/>
        <v>23.284299999999998</v>
      </c>
      <c r="AB109" s="61" t="e">
        <f>VLOOKUP(A109,Enforcements!$C$7:$K$19,8,0)</f>
        <v>#N/A</v>
      </c>
      <c r="AC109" s="57" t="e">
        <f>VLOOKUP(A109,Enforcements!$C$7:$E$19,3,0)</f>
        <v>#N/A</v>
      </c>
      <c r="AD109" s="58" t="str">
        <f t="shared" si="49"/>
        <v>0196-02</v>
      </c>
      <c r="AE109" s="87" t="str">
        <f t="shared" si="50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109" s="84" t="str">
        <f t="shared" si="51"/>
        <v>"C:\Program Files (x86)\AstroGrep\AstroGrep.exe" /spath="%USERPROFILE%\AppData\Local\Temp\OnboardLogs" /stypes="app*4015*20170103*" /stext=" 00:.+((SYSTEM_STATE.+slice.+state.+changed )|(ment ac)|(multiple cpu faults)|(system.+state.+changed )|(\[timeout)|(PRM\|1\|D)|(kpr)|(kdp)|(\|lc)|(penalty))" /e /r /s</v>
      </c>
      <c r="AG109" s="1" t="str">
        <f t="shared" si="52"/>
        <v>EC</v>
      </c>
      <c r="AH109" s="88" t="str">
        <f t="shared" si="53"/>
        <v>"%USERPROFILE%\Documents\GitHub\eaglep3\Utilities\RefineRTDCRunTimes.py" --tripid 196-02 --locoid 4015 --swversion DE.1.0.8.0 --startMP 204:232990 --initTime 2017-01-02T16:14:37 --startdatetime 2017-01-02T16:26:16 --delay 1 --endMP 204:147 --enddatetime 2017-01-02T17:06:50 --enforcementcount 0 &gt;&gt;C:\Users\stu\Documents\GitHub\eaglep3-reporting\EC\2017-01-02-refined-times.txt</v>
      </c>
      <c r="AI109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{"issue":{"subject":"","project_id":79,"tracker_id":40,"status_id":1,"priority_id":2,"assigned_to_id":23,"start_date":"2017-01-02","description":"","custom_fields":[{"id":1,"name":"Subdivision","value":"EC"},{"id":4,"name":"Milepost","value":"0.0147"},{"id":17,"name":"Train ID","value":"196-02"},{"id":16,"name":"Locomotive ID","value":"4015"},{"id":130,"name":"Impact","value":""},{"id":150,"name":"Time of Event (Mountain Time)","value":"17:06:50"},{"id":151,"name":"Denver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55"/>
        <v>start /low /b %USERPROFILE%\Documents\GitHub\eaglep3\Utilities\DownloadLogsFromS3.py --loco 4015 --day 2017-01-02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583</v>
      </c>
      <c r="B110" s="7">
        <v>4031</v>
      </c>
      <c r="C110" s="22" t="s">
        <v>203</v>
      </c>
      <c r="D110" s="22" t="s">
        <v>707</v>
      </c>
      <c r="E110" s="13">
        <v>42737.651875000003</v>
      </c>
      <c r="F110" s="13">
        <v>42737.656435185185</v>
      </c>
      <c r="G110" s="7">
        <v>1</v>
      </c>
      <c r="H110" s="22" t="s">
        <v>360</v>
      </c>
      <c r="I110" s="13">
        <v>42737.682650462964</v>
      </c>
      <c r="J110" s="7">
        <v>0</v>
      </c>
      <c r="K110" s="105" t="str">
        <f t="shared" si="38"/>
        <v>4031/4032</v>
      </c>
      <c r="L110" s="22" t="str">
        <f>VLOOKUP(A110,'Trips&amp;Operators'!$C$1:$G$99999,5,FALSE)</f>
        <v>LEVERE CRAIG</v>
      </c>
      <c r="M110" s="6">
        <f t="shared" si="39"/>
        <v>2.6215277779556345E-2</v>
      </c>
      <c r="N110" s="7">
        <f t="shared" si="40"/>
        <v>37.750000002561137</v>
      </c>
      <c r="O110" s="7"/>
      <c r="P110" s="7"/>
      <c r="Q110" s="23"/>
      <c r="R110" s="23"/>
      <c r="S110" s="32">
        <f t="shared" si="41"/>
        <v>1</v>
      </c>
      <c r="T110" s="47" t="str">
        <f t="shared" si="42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14:38:42-700',mode:absolute,to:'2017-01-02 17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0" s="49" t="str">
        <f t="shared" si="44"/>
        <v>N</v>
      </c>
      <c r="X110" s="173">
        <f t="shared" si="45"/>
        <v>1</v>
      </c>
      <c r="Y110" s="64">
        <f t="shared" si="46"/>
        <v>5.0200000000000002E-2</v>
      </c>
      <c r="Z110" s="64">
        <f t="shared" si="47"/>
        <v>23.331499999999998</v>
      </c>
      <c r="AA110" s="64">
        <f t="shared" si="48"/>
        <v>23.281299999999998</v>
      </c>
      <c r="AB110" s="61" t="e">
        <f>VLOOKUP(A110,Enforcements!$C$7:$K$19,8,0)</f>
        <v>#N/A</v>
      </c>
      <c r="AC110" s="57" t="e">
        <f>VLOOKUP(A110,Enforcements!$C$7:$E$19,3,0)</f>
        <v>#N/A</v>
      </c>
      <c r="AD110" s="58" t="str">
        <f t="shared" si="49"/>
        <v>0197-02</v>
      </c>
      <c r="AE110" s="87" t="str">
        <f t="shared" si="50"/>
        <v>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 &amp; 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</v>
      </c>
      <c r="AF110" s="84" t="str">
        <f t="shared" si="51"/>
        <v>"C:\Program Files (x86)\AstroGrep\AstroGrep.exe" /spath="%USERPROFILE%\AppData\Local\Temp\OnboardLogs" /stypes="app*4031*20170102*" /stext=" 23:.+((SYSTEM_STATE.+slice.+state.+changed )|(ment ac)|(multiple cpu faults)|(system.+state.+changed )|(\[timeout)|(PRM\|1\|D)|(kpr)|(kdp)|(\|lc)|(penalty))" /e /r /s</v>
      </c>
      <c r="AG110" s="1" t="str">
        <f t="shared" si="52"/>
        <v>EC</v>
      </c>
      <c r="AH110" s="88" t="str">
        <f t="shared" si="53"/>
        <v>"%USERPROFILE%\Documents\GitHub\eaglep3\Utilities\RefineRTDCRunTimes.py" --tripid 197-02 --locoid 4031 --swversion DE.1.0.8.0 --startMP 204:502 --initTime 2017-01-02T15:38:42 --startdatetime 2017-01-02T15:45:16 --delay 1 --endMP 204:233315 --enddatetime 2017-01-02T16:23:01 --enforcementcount 0 &gt;&gt;C:\Users\stu\Documents\GitHub\eaglep3-reporting\EC\2017-01-02-refined-times.txt</v>
      </c>
      <c r="AI110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{"issue":{"subject":"","project_id":79,"tracker_id":40,"status_id":1,"priority_id":2,"assigned_to_id":23,"start_date":"2017-01-02","description":"","custom_fields":[{"id":1,"name":"Subdivision","value":"EC"},{"id":4,"name":"Milepost","value":"23.3315"},{"id":17,"name":"Train ID","value":"197-02"},{"id":16,"name":"Locomotive ID","value":"4031"},{"id":130,"name":"Impact","value":""},{"id":150,"name":"Time of Event (Mountain Time)","value":"16:23:01"},{"id":151,"name":"Denver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55"/>
        <v>start /low /b %USERPROFILE%\Documents\GitHub\eaglep3\Utilities\DownloadLogsFromS3.py --loco 4031 --day 2017-01-02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4" t="s">
        <v>593</v>
      </c>
      <c r="B111" s="7">
        <v>4032</v>
      </c>
      <c r="C111" s="22" t="s">
        <v>203</v>
      </c>
      <c r="D111" s="22" t="s">
        <v>420</v>
      </c>
      <c r="E111" s="13">
        <v>42737.688368055555</v>
      </c>
      <c r="F111" s="13">
        <v>42737.695405092592</v>
      </c>
      <c r="G111" s="7">
        <v>1</v>
      </c>
      <c r="H111" s="22" t="s">
        <v>299</v>
      </c>
      <c r="I111" s="13">
        <v>42737.723923611113</v>
      </c>
      <c r="J111" s="7">
        <v>0</v>
      </c>
      <c r="K111" s="105" t="str">
        <f t="shared" si="38"/>
        <v>4031/4032</v>
      </c>
      <c r="L111" s="22" t="str">
        <f>VLOOKUP(A111,'Trips&amp;Operators'!$C$1:$G$99999,5,FALSE)</f>
        <v>LEVERE CRAIG</v>
      </c>
      <c r="M111" s="6">
        <f t="shared" si="39"/>
        <v>2.8518518520286307E-2</v>
      </c>
      <c r="N111" s="7">
        <f t="shared" si="40"/>
        <v>41.066666669212282</v>
      </c>
      <c r="O111" s="7"/>
      <c r="P111" s="7"/>
      <c r="Q111" s="23"/>
      <c r="R111" s="23"/>
      <c r="S111" s="32">
        <f t="shared" si="41"/>
        <v>1</v>
      </c>
      <c r="T111" s="47" t="str">
        <f t="shared" si="42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15:31:15-700',mode:absolute,to:'2017-01-02 18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1" s="49" t="str">
        <f t="shared" si="44"/>
        <v>N</v>
      </c>
      <c r="X111" s="173">
        <f t="shared" si="45"/>
        <v>1</v>
      </c>
      <c r="Y111" s="64">
        <f t="shared" si="46"/>
        <v>23.3002</v>
      </c>
      <c r="Z111" s="64">
        <f t="shared" si="47"/>
        <v>1.5800000000000002E-2</v>
      </c>
      <c r="AA111" s="64">
        <f t="shared" si="48"/>
        <v>23.284400000000002</v>
      </c>
      <c r="AB111" s="61" t="e">
        <f>VLOOKUP(A111,Enforcements!$C$7:$K$19,8,0)</f>
        <v>#N/A</v>
      </c>
      <c r="AC111" s="57" t="e">
        <f>VLOOKUP(A111,Enforcements!$C$7:$E$19,3,0)</f>
        <v>#N/A</v>
      </c>
      <c r="AD111" s="58" t="str">
        <f t="shared" si="49"/>
        <v>0198-02</v>
      </c>
      <c r="AE111" s="87" t="str">
        <f t="shared" si="50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111" s="84" t="str">
        <f t="shared" si="51"/>
        <v>"C:\Program Files (x86)\AstroGrep\AstroGrep.exe" /spath="%USERPROFILE%\AppData\Local\Temp\OnboardLogs" /stypes="app*4032*20170103*" /stext=" 00:.+((SYSTEM_STATE.+slice.+state.+changed )|(ment ac)|(multiple cpu faults)|(system.+state.+changed )|(\[timeout)|(PRM\|1\|D)|(kpr)|(kdp)|(\|lc)|(penalty))" /e /r /s</v>
      </c>
      <c r="AG111" s="1" t="str">
        <f t="shared" si="52"/>
        <v>EC</v>
      </c>
      <c r="AH111" s="88" t="str">
        <f t="shared" si="53"/>
        <v>"%USERPROFILE%\Documents\GitHub\eaglep3\Utilities\RefineRTDCRunTimes.py" --tripid 198-02 --locoid 4032 --swversion DE.1.0.8.0 --startMP 204:233002 --initTime 2017-01-02T16:31:15 --startdatetime 2017-01-02T16:41:23 --delay 1 --endMP 204:158 --enddatetime 2017-01-02T17:22:27 --enforcementcount 0 &gt;&gt;C:\Users\stu\Documents\GitHub\eaglep3-reporting\EC\2017-01-02-refined-times.txt</v>
      </c>
      <c r="AI111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{"issue":{"subject":"","project_id":79,"tracker_id":40,"status_id":1,"priority_id":2,"assigned_to_id":23,"start_date":"2017-01-02","description":"","custom_fields":[{"id":1,"name":"Subdivision","value":"EC"},{"id":4,"name":"Milepost","value":"0.0158"},{"id":17,"name":"Train ID","value":"198-02"},{"id":16,"name":"Locomotive ID","value":"4032"},{"id":130,"name":"Impact","value":""},{"id":150,"name":"Time of Event (Mountain Time)","value":"17:22:27"},{"id":151,"name":"Denver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55"/>
        <v>start /low /b %USERPROFILE%\Documents\GitHub\eaglep3\Utilities\DownloadLogsFromS3.py --loco 4032 --day 2017-01-02</v>
      </c>
    </row>
    <row r="112" spans="1:91" s="21" customFormat="1" x14ac:dyDescent="0.25">
      <c r="A112" s="34" t="s">
        <v>585</v>
      </c>
      <c r="B112" s="7">
        <v>4011</v>
      </c>
      <c r="C112" s="22" t="s">
        <v>203</v>
      </c>
      <c r="D112" s="22" t="s">
        <v>266</v>
      </c>
      <c r="E112" s="13">
        <v>42737.661828703705</v>
      </c>
      <c r="F112" s="13">
        <v>42737.666863425926</v>
      </c>
      <c r="G112" s="7">
        <v>1</v>
      </c>
      <c r="H112" s="22" t="s">
        <v>363</v>
      </c>
      <c r="I112" s="13">
        <v>42737.691932870373</v>
      </c>
      <c r="J112" s="7">
        <v>0</v>
      </c>
      <c r="K112" s="105" t="str">
        <f t="shared" si="38"/>
        <v>4011/4012</v>
      </c>
      <c r="L112" s="22" t="str">
        <f>VLOOKUP(A112,'Trips&amp;Operators'!$C$1:$G$99999,5,FALSE)</f>
        <v>KILLION DAVID</v>
      </c>
      <c r="M112" s="6">
        <f t="shared" si="39"/>
        <v>2.5069444447581191E-2</v>
      </c>
      <c r="N112" s="7">
        <f t="shared" si="40"/>
        <v>36.100000004516914</v>
      </c>
      <c r="O112" s="7"/>
      <c r="P112" s="7"/>
      <c r="Q112" s="23"/>
      <c r="R112" s="23"/>
      <c r="S112" s="32">
        <f t="shared" si="41"/>
        <v>1</v>
      </c>
      <c r="T112" s="47" t="str">
        <f t="shared" si="42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14:53:02-700',mode:absolute,to:'2017-01-02 17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12" s="49" t="str">
        <f t="shared" si="44"/>
        <v>N</v>
      </c>
      <c r="X112" s="173">
        <f t="shared" si="45"/>
        <v>1</v>
      </c>
      <c r="Y112" s="64">
        <f t="shared" si="46"/>
        <v>4.4900000000000002E-2</v>
      </c>
      <c r="Z112" s="64">
        <f t="shared" si="47"/>
        <v>23.331600000000002</v>
      </c>
      <c r="AA112" s="64">
        <f t="shared" si="48"/>
        <v>23.286700000000003</v>
      </c>
      <c r="AB112" s="61" t="e">
        <f>VLOOKUP(A112,Enforcements!$C$7:$K$19,8,0)</f>
        <v>#N/A</v>
      </c>
      <c r="AC112" s="57" t="e">
        <f>VLOOKUP(A112,Enforcements!$C$7:$E$19,3,0)</f>
        <v>#N/A</v>
      </c>
      <c r="AD112" s="58" t="str">
        <f t="shared" si="49"/>
        <v>0199-02</v>
      </c>
      <c r="AE112" s="87" t="str">
        <f t="shared" si="50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112" s="84" t="str">
        <f t="shared" si="51"/>
        <v>"C:\Program Files (x86)\AstroGrep\AstroGrep.exe" /spath="%USERPROFILE%\AppData\Local\Temp\OnboardLogs" /stypes="app*4011*20170102*" /stext=" 23:.+((SYSTEM_STATE.+slice.+state.+changed )|(ment ac)|(multiple cpu faults)|(system.+state.+changed )|(\[timeout)|(PRM\|1\|D)|(kpr)|(kdp)|(\|lc)|(penalty))" /e /r /s</v>
      </c>
      <c r="AG112" s="1" t="str">
        <f t="shared" si="52"/>
        <v>EC</v>
      </c>
      <c r="AH112" s="88" t="str">
        <f t="shared" si="53"/>
        <v>"%USERPROFILE%\Documents\GitHub\eaglep3\Utilities\RefineRTDCRunTimes.py" --tripid 199-02 --locoid 4011 --swversion DE.1.0.8.0 --startMP 204:449 --initTime 2017-01-02T15:53:02 --startdatetime 2017-01-02T16:00:17 --delay 1 --endMP 204:233316 --enddatetime 2017-01-02T16:36:23 --enforcementcount 0 &gt;&gt;C:\Users\stu\Documents\GitHub\eaglep3-reporting\EC\2017-01-02-refined-times.txt</v>
      </c>
      <c r="AI112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{"issue":{"subject":"","project_id":79,"tracker_id":40,"status_id":1,"priority_id":2,"assigned_to_id":23,"start_date":"2017-01-02","description":"","custom_fields":[{"id":1,"name":"Subdivision","value":"EC"},{"id":4,"name":"Milepost","value":"23.3316"},{"id":17,"name":"Train ID","value":"199-02"},{"id":16,"name":"Locomotive ID","value":"4011"},{"id":130,"name":"Impact","value":""},{"id":150,"name":"Time of Event (Mountain Time)","value":"16:36:23"},{"id":151,"name":"Denver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55"/>
        <v>start /low /b %USERPROFILE%\Documents\GitHub\eaglep3\Utilities\DownloadLogsFromS3.py --loco 4011 --day 2017-01-02</v>
      </c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4" t="s">
        <v>596</v>
      </c>
      <c r="B113" s="7">
        <v>4012</v>
      </c>
      <c r="C113" s="22" t="s">
        <v>203</v>
      </c>
      <c r="D113" s="22" t="s">
        <v>261</v>
      </c>
      <c r="E113" s="13">
        <v>42737.699907407405</v>
      </c>
      <c r="F113" s="13">
        <v>42737.705775462964</v>
      </c>
      <c r="G113" s="7">
        <v>1</v>
      </c>
      <c r="H113" s="22" t="s">
        <v>249</v>
      </c>
      <c r="I113" s="13">
        <v>42737.733923611115</v>
      </c>
      <c r="J113" s="7">
        <v>0</v>
      </c>
      <c r="K113" s="105" t="str">
        <f t="shared" si="38"/>
        <v>4011/4012</v>
      </c>
      <c r="L113" s="22" t="str">
        <f>VLOOKUP(A113,'Trips&amp;Operators'!$C$1:$G$99999,5,FALSE)</f>
        <v>KILLION DAVID</v>
      </c>
      <c r="M113" s="6">
        <f t="shared" si="39"/>
        <v>2.8148148150648922E-2</v>
      </c>
      <c r="N113" s="7">
        <f t="shared" si="40"/>
        <v>40.533333336934447</v>
      </c>
      <c r="O113" s="7"/>
      <c r="P113" s="7"/>
      <c r="Q113" s="23"/>
      <c r="R113" s="23"/>
      <c r="S113" s="32">
        <f t="shared" si="41"/>
        <v>1</v>
      </c>
      <c r="T113" s="47" t="str">
        <f t="shared" si="42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15:47:52-700',mode:absolute,to:'2017-01-02 18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13" s="49" t="str">
        <f t="shared" si="44"/>
        <v>N</v>
      </c>
      <c r="X113" s="173">
        <f t="shared" si="45"/>
        <v>1</v>
      </c>
      <c r="Y113" s="64">
        <f t="shared" si="46"/>
        <v>23.2986</v>
      </c>
      <c r="Z113" s="64">
        <f t="shared" si="47"/>
        <v>1.47E-2</v>
      </c>
      <c r="AA113" s="64">
        <f t="shared" si="48"/>
        <v>23.283899999999999</v>
      </c>
      <c r="AB113" s="61" t="e">
        <f>VLOOKUP(A113,Enforcements!$C$7:$K$19,8,0)</f>
        <v>#N/A</v>
      </c>
      <c r="AC113" s="57" t="e">
        <f>VLOOKUP(A113,Enforcements!$C$7:$E$19,3,0)</f>
        <v>#N/A</v>
      </c>
      <c r="AD113" s="58" t="str">
        <f t="shared" si="49"/>
        <v>0200-02</v>
      </c>
      <c r="AE113" s="87" t="str">
        <f t="shared" si="50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113" s="84" t="str">
        <f t="shared" si="51"/>
        <v>"C:\Program Files (x86)\AstroGrep\AstroGrep.exe" /spath="%USERPROFILE%\AppData\Local\Temp\OnboardLogs" /stypes="app*4012*20170103*" /stext=" 00:.+((SYSTEM_STATE.+slice.+state.+changed )|(ment ac)|(multiple cpu faults)|(system.+state.+changed )|(\[timeout)|(PRM\|1\|D)|(kpr)|(kdp)|(\|lc)|(penalty))" /e /r /s</v>
      </c>
      <c r="AG113" s="1" t="str">
        <f t="shared" si="52"/>
        <v>EC</v>
      </c>
      <c r="AH113" s="88" t="str">
        <f t="shared" si="53"/>
        <v>"%USERPROFILE%\Documents\GitHub\eaglep3\Utilities\RefineRTDCRunTimes.py" --tripid 200-02 --locoid 4012 --swversion DE.1.0.8.0 --startMP 204:232986 --initTime 2017-01-02T16:47:52 --startdatetime 2017-01-02T16:56:19 --delay 1 --endMP 204:147 --enddatetime 2017-01-02T17:36:51 --enforcementcount 0 &gt;&gt;C:\Users\stu\Documents\GitHub\eaglep3-reporting\EC\2017-01-02-refined-times.txt</v>
      </c>
      <c r="AI113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{"issue":{"subject":"","project_id":79,"tracker_id":40,"status_id":1,"priority_id":2,"assigned_to_id":23,"start_date":"2017-01-02","description":"","custom_fields":[{"id":1,"name":"Subdivision","value":"EC"},{"id":4,"name":"Milepost","value":"0.0147"},{"id":17,"name":"Train ID","value":"200-02"},{"id":16,"name":"Locomotive ID","value":"4012"},{"id":130,"name":"Impact","value":""},{"id":150,"name":"Time of Event (Mountain Time)","value":"17:36:51"},{"id":151,"name":"Denver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55"/>
        <v>start /low /b %USERPROFILE%\Documents\GitHub\eaglep3\Utilities\DownloadLogsFromS3.py --loco 4012 --day 2017-01-02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588</v>
      </c>
      <c r="B114" s="7">
        <v>4046</v>
      </c>
      <c r="C114" s="22" t="s">
        <v>203</v>
      </c>
      <c r="D114" s="22" t="s">
        <v>708</v>
      </c>
      <c r="E114" s="13">
        <v>42737.673715277779</v>
      </c>
      <c r="F114" s="13">
        <v>42737.677291666667</v>
      </c>
      <c r="G114" s="7">
        <v>2</v>
      </c>
      <c r="H114" s="22" t="s">
        <v>313</v>
      </c>
      <c r="I114" s="13">
        <v>42737.703136574077</v>
      </c>
      <c r="J114" s="7">
        <v>0</v>
      </c>
      <c r="K114" s="105" t="str">
        <f t="shared" si="38"/>
        <v>4045/4046</v>
      </c>
      <c r="L114" s="22" t="str">
        <f>VLOOKUP(A114,'Trips&amp;Operators'!$C$1:$G$99999,5,FALSE)</f>
        <v>STEWART MICHAEL</v>
      </c>
      <c r="M114" s="6">
        <f t="shared" si="39"/>
        <v>2.584490740991896E-2</v>
      </c>
      <c r="N114" s="7">
        <f t="shared" si="40"/>
        <v>37.216666670283303</v>
      </c>
      <c r="O114" s="7"/>
      <c r="P114" s="7"/>
      <c r="Q114" s="23"/>
      <c r="R114" s="23"/>
      <c r="S114" s="32">
        <f t="shared" si="41"/>
        <v>1</v>
      </c>
      <c r="T114" s="47" t="str">
        <f t="shared" si="42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15:10:09-700',mode:absolute,to:'2017-01-02 17:52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4" s="49" t="str">
        <f t="shared" si="44"/>
        <v>N</v>
      </c>
      <c r="X114" s="173">
        <f t="shared" si="45"/>
        <v>1</v>
      </c>
      <c r="Y114" s="64">
        <f t="shared" si="46"/>
        <v>4.9799999999999997E-2</v>
      </c>
      <c r="Z114" s="64">
        <f t="shared" si="47"/>
        <v>23.3291</v>
      </c>
      <c r="AA114" s="64">
        <f t="shared" si="48"/>
        <v>23.279299999999999</v>
      </c>
      <c r="AB114" s="61" t="e">
        <f>VLOOKUP(A114,Enforcements!$C$7:$K$19,8,0)</f>
        <v>#N/A</v>
      </c>
      <c r="AC114" s="57" t="e">
        <f>VLOOKUP(A114,Enforcements!$C$7:$E$19,3,0)</f>
        <v>#N/A</v>
      </c>
      <c r="AD114" s="58" t="str">
        <f t="shared" si="49"/>
        <v>0201-02</v>
      </c>
      <c r="AE114" s="87" t="str">
        <f t="shared" si="50"/>
        <v>aws s3 cp s3://rtdc.mdm.uploadarchive.raw/RTDC4046/ "%USERPROFILE%\AppData\Local\Temp\OnboardLogs"\RTDC4046\2017-01-02 --exclude "*" --recursive --include "*20170102*" &amp; "%USERPROFILE%\Documents\GitHub\mrs-test-scripts\Headless Mode &amp; Sideloading\WalkAndUnGZ.bat" "%USERPROFILE%\AppData\Local\Temp\OnboardLogs"\RTDC4046\2017-01-02 &amp; 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</v>
      </c>
      <c r="AF114" s="84" t="str">
        <f t="shared" si="51"/>
        <v>"C:\Program Files (x86)\AstroGrep\AstroGrep.exe" /spath="%USERPROFILE%\AppData\Local\Temp\OnboardLogs" /stypes="app*4046*20170102*" /stext=" 23:.+((SYSTEM_STATE.+slice.+state.+changed )|(ment ac)|(multiple cpu faults)|(system.+state.+changed )|(\[timeout)|(PRM\|1\|D)|(kpr)|(kdp)|(\|lc)|(penalty))" /e /r /s</v>
      </c>
      <c r="AG114" s="1" t="str">
        <f t="shared" si="52"/>
        <v>EC</v>
      </c>
      <c r="AH114" s="88" t="str">
        <f t="shared" si="53"/>
        <v>"%USERPROFILE%\Documents\GitHub\eaglep3\Utilities\RefineRTDCRunTimes.py" --tripid 201-02 --locoid 4046 --swversion DE.1.0.8.0 --startMP 204:498 --initTime 2017-01-02T16:10:09 --startdatetime 2017-01-02T16:15:18 --delay 2 --endMP 204:233291 --enddatetime 2017-01-02T16:52:31 --enforcementcount 0 &gt;&gt;C:\Users\stu\Documents\GitHub\eaglep3-reporting\EC\2017-01-02-refined-times.txt</v>
      </c>
      <c r="AI114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{"issue":{"subject":"","project_id":79,"tracker_id":40,"status_id":1,"priority_id":2,"assigned_to_id":23,"start_date":"2017-01-02","description":"","custom_fields":[{"id":1,"name":"Subdivision","value":"EC"},{"id":4,"name":"Milepost","value":"23.3291"},{"id":17,"name":"Train ID","value":"201-02"},{"id":16,"name":"Locomotive ID","value":"4046"},{"id":130,"name":"Impact","value":""},{"id":150,"name":"Time of Event (Mountain Time)","value":"16:52:31"},{"id":151,"name":"Denver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55"/>
        <v>start /low /b %USERPROFILE%\Documents\GitHub\eaglep3\Utilities\DownloadLogsFromS3.py --loco 4046 --day 2017-01-02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600</v>
      </c>
      <c r="B115" s="7">
        <v>4045</v>
      </c>
      <c r="C115" s="22" t="s">
        <v>203</v>
      </c>
      <c r="D115" s="22" t="s">
        <v>709</v>
      </c>
      <c r="E115" s="13">
        <v>42737.71261574074</v>
      </c>
      <c r="F115" s="13">
        <v>42737.716273148151</v>
      </c>
      <c r="G115" s="7">
        <v>2</v>
      </c>
      <c r="H115" s="22" t="s">
        <v>254</v>
      </c>
      <c r="I115" s="13">
        <v>42737.743414351855</v>
      </c>
      <c r="J115" s="7">
        <v>0</v>
      </c>
      <c r="K115" s="105" t="str">
        <f t="shared" si="38"/>
        <v>4045/4046</v>
      </c>
      <c r="L115" s="22" t="str">
        <f>VLOOKUP(A115,'Trips&amp;Operators'!$C$1:$G$99999,5,FALSE)</f>
        <v>STEWART MICHAEL</v>
      </c>
      <c r="M115" s="6">
        <f t="shared" si="39"/>
        <v>2.7141203703649808E-2</v>
      </c>
      <c r="N115" s="7">
        <f t="shared" si="40"/>
        <v>39.083333333255723</v>
      </c>
      <c r="O115" s="7"/>
      <c r="P115" s="7"/>
      <c r="Q115" s="23"/>
      <c r="R115" s="23"/>
      <c r="S115" s="32">
        <f t="shared" si="41"/>
        <v>1</v>
      </c>
      <c r="T115" s="47" t="str">
        <f t="shared" si="42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16:06:10-700',mode:absolute,to:'2017-01-02 18:50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5" s="49" t="str">
        <f t="shared" si="44"/>
        <v>N</v>
      </c>
      <c r="X115" s="173">
        <f t="shared" si="45"/>
        <v>1</v>
      </c>
      <c r="Y115" s="64">
        <f t="shared" si="46"/>
        <v>23.297000000000001</v>
      </c>
      <c r="Z115" s="64">
        <f t="shared" si="47"/>
        <v>1.6E-2</v>
      </c>
      <c r="AA115" s="64">
        <f t="shared" si="48"/>
        <v>23.281000000000002</v>
      </c>
      <c r="AB115" s="61" t="e">
        <f>VLOOKUP(A115,Enforcements!$C$7:$K$19,8,0)</f>
        <v>#N/A</v>
      </c>
      <c r="AC115" s="57" t="e">
        <f>VLOOKUP(A115,Enforcements!$C$7:$E$19,3,0)</f>
        <v>#N/A</v>
      </c>
      <c r="AD115" s="58" t="str">
        <f t="shared" si="49"/>
        <v>0202-02</v>
      </c>
      <c r="AE115" s="87" t="str">
        <f t="shared" si="50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115" s="84" t="str">
        <f t="shared" si="51"/>
        <v>"C:\Program Files (x86)\AstroGrep\AstroGrep.exe" /spath="%USERPROFILE%\AppData\Local\Temp\OnboardLogs" /stypes="app*4045*20170103*" /stext=" 00:.+((SYSTEM_STATE.+slice.+state.+changed )|(ment ac)|(multiple cpu faults)|(system.+state.+changed )|(\[timeout)|(PRM\|1\|D)|(kpr)|(kdp)|(\|lc)|(penalty))" /e /r /s</v>
      </c>
      <c r="AG115" s="1" t="str">
        <f t="shared" si="52"/>
        <v>EC</v>
      </c>
      <c r="AH115" s="88" t="str">
        <f t="shared" si="53"/>
        <v>"%USERPROFILE%\Documents\GitHub\eaglep3\Utilities\RefineRTDCRunTimes.py" --tripid 202-02 --locoid 4045 --swversion DE.1.0.8.0 --startMP 204:232970 --initTime 2017-01-02T17:06:10 --startdatetime 2017-01-02T17:11:26 --delay 2 --endMP 204:160 --enddatetime 2017-01-02T17:50:31 --enforcementcount 0 &gt;&gt;C:\Users\stu\Documents\GitHub\eaglep3-reporting\EC\2017-01-02-refined-times.txt</v>
      </c>
      <c r="AI115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{"issue":{"subject":"","project_id":79,"tracker_id":40,"status_id":1,"priority_id":2,"assigned_to_id":23,"start_date":"2017-01-02","description":"","custom_fields":[{"id":1,"name":"Subdivision","value":"EC"},{"id":4,"name":"Milepost","value":"0.016"},{"id":17,"name":"Train ID","value":"202-02"},{"id":16,"name":"Locomotive ID","value":"4045"},{"id":130,"name":"Impact","value":""},{"id":150,"name":"Time of Event (Mountain Time)","value":"17:50:31"},{"id":151,"name":"Denver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55"/>
        <v>start /low /b %USERPROFILE%\Documents\GitHub\eaglep3\Utilities\DownloadLogsFromS3.py --loco 4045 --day 2017-01-02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591</v>
      </c>
      <c r="B116" s="7">
        <v>4014</v>
      </c>
      <c r="C116" s="22" t="s">
        <v>203</v>
      </c>
      <c r="D116" s="22" t="s">
        <v>225</v>
      </c>
      <c r="E116" s="13">
        <v>42737.684895833336</v>
      </c>
      <c r="F116" s="13">
        <v>42737.688020833331</v>
      </c>
      <c r="G116" s="7">
        <v>1</v>
      </c>
      <c r="H116" s="22" t="s">
        <v>710</v>
      </c>
      <c r="I116" s="13">
        <v>42737.71466435185</v>
      </c>
      <c r="J116" s="7">
        <v>0</v>
      </c>
      <c r="K116" s="105" t="str">
        <f t="shared" si="38"/>
        <v>4013/4014</v>
      </c>
      <c r="L116" s="22" t="str">
        <f>VLOOKUP(A116,'Trips&amp;Operators'!$C$1:$G$99999,5,FALSE)</f>
        <v>DAVIS MICHAEL</v>
      </c>
      <c r="M116" s="6">
        <f t="shared" si="39"/>
        <v>2.6643518518540077E-2</v>
      </c>
      <c r="N116" s="7">
        <f t="shared" si="40"/>
        <v>38.366666666697711</v>
      </c>
      <c r="O116" s="7"/>
      <c r="P116" s="7"/>
      <c r="Q116" s="23"/>
      <c r="R116" s="23"/>
      <c r="S116" s="32">
        <f t="shared" si="41"/>
        <v>1</v>
      </c>
      <c r="T116" s="47" t="str">
        <f t="shared" si="42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15:26:15-700',mode:absolute,to:'2017-01-02 18:09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6" s="49" t="str">
        <f t="shared" si="44"/>
        <v>N</v>
      </c>
      <c r="X116" s="173">
        <f t="shared" si="45"/>
        <v>1</v>
      </c>
      <c r="Y116" s="64">
        <f t="shared" si="46"/>
        <v>4.5499999999999999E-2</v>
      </c>
      <c r="Z116" s="64">
        <f t="shared" si="47"/>
        <v>23.327200000000001</v>
      </c>
      <c r="AA116" s="64">
        <f t="shared" si="48"/>
        <v>23.281700000000001</v>
      </c>
      <c r="AB116" s="61" t="e">
        <f>VLOOKUP(A116,Enforcements!$C$7:$K$19,8,0)</f>
        <v>#N/A</v>
      </c>
      <c r="AC116" s="57" t="e">
        <f>VLOOKUP(A116,Enforcements!$C$7:$E$19,3,0)</f>
        <v>#N/A</v>
      </c>
      <c r="AD116" s="58" t="str">
        <f t="shared" si="49"/>
        <v>0203-02</v>
      </c>
      <c r="AE116" s="87" t="str">
        <f t="shared" si="50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116" s="84" t="str">
        <f t="shared" si="51"/>
        <v>"C:\Program Files (x86)\AstroGrep\AstroGrep.exe" /spath="%USERPROFILE%\AppData\Local\Temp\OnboardLogs" /stypes="app*4014*20170103*" /stext=" 00:.+((SYSTEM_STATE.+slice.+state.+changed )|(ment ac)|(multiple cpu faults)|(system.+state.+changed )|(\[timeout)|(PRM\|1\|D)|(kpr)|(kdp)|(\|lc)|(penalty))" /e /r /s</v>
      </c>
      <c r="AG116" s="1" t="str">
        <f t="shared" si="52"/>
        <v>EC</v>
      </c>
      <c r="AH116" s="88" t="str">
        <f t="shared" si="53"/>
        <v>"%USERPROFILE%\Documents\GitHub\eaglep3\Utilities\RefineRTDCRunTimes.py" --tripid 203-02 --locoid 4014 --swversion DE.1.0.8.0 --startMP 204:455 --initTime 2017-01-02T16:26:15 --startdatetime 2017-01-02T16:30:45 --delay 1 --endMP 204:233272 --enddatetime 2017-01-02T17:09:07 --enforcementcount 0 &gt;&gt;C:\Users\stu\Documents\GitHub\eaglep3-reporting\EC\2017-01-02-refined-times.txt</v>
      </c>
      <c r="AI116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{"issue":{"subject":"","project_id":79,"tracker_id":40,"status_id":1,"priority_id":2,"assigned_to_id":23,"start_date":"2017-01-02","description":"","custom_fields":[{"id":1,"name":"Subdivision","value":"EC"},{"id":4,"name":"Milepost","value":"23.3272"},{"id":17,"name":"Train ID","value":"203-02"},{"id":16,"name":"Locomotive ID","value":"4014"},{"id":130,"name":"Impact","value":""},{"id":150,"name":"Time of Event (Mountain Time)","value":"17:09:07"},{"id":151,"name":"Denver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55"/>
        <v>start /low /b %USERPROFILE%\Documents\GitHub\eaglep3\Utilities\DownloadLogsFromS3.py --loco 4014 --day 2017-01-02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604</v>
      </c>
      <c r="B117" s="7">
        <v>4013</v>
      </c>
      <c r="C117" s="22" t="s">
        <v>203</v>
      </c>
      <c r="D117" s="22" t="s">
        <v>419</v>
      </c>
      <c r="E117" s="13">
        <v>42737.723668981482</v>
      </c>
      <c r="F117" s="13">
        <v>42737.7268287037</v>
      </c>
      <c r="G117" s="7">
        <v>1</v>
      </c>
      <c r="H117" s="22" t="s">
        <v>416</v>
      </c>
      <c r="I117" s="13">
        <v>42737.75571759259</v>
      </c>
      <c r="J117" s="7">
        <v>0</v>
      </c>
      <c r="K117" s="105" t="str">
        <f t="shared" si="38"/>
        <v>4013/4014</v>
      </c>
      <c r="L117" s="22" t="str">
        <f>VLOOKUP(A117,'Trips&amp;Operators'!$C$1:$G$99999,5,FALSE)</f>
        <v>DAVIS MICHAEL</v>
      </c>
      <c r="M117" s="6">
        <f t="shared" si="39"/>
        <v>2.8888888889923692E-2</v>
      </c>
      <c r="N117" s="7">
        <f t="shared" si="40"/>
        <v>41.600000001490116</v>
      </c>
      <c r="O117" s="7"/>
      <c r="P117" s="7"/>
      <c r="Q117" s="23"/>
      <c r="R117" s="23"/>
      <c r="S117" s="32">
        <f t="shared" si="41"/>
        <v>1</v>
      </c>
      <c r="T117" s="47" t="str">
        <f t="shared" si="42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16:22:05-700',mode:absolute,to:'2017-01-02 19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7" s="49" t="str">
        <f t="shared" si="44"/>
        <v>N</v>
      </c>
      <c r="X117" s="173">
        <f t="shared" si="45"/>
        <v>1</v>
      </c>
      <c r="Y117" s="64">
        <f t="shared" si="46"/>
        <v>23.296500000000002</v>
      </c>
      <c r="Z117" s="64">
        <f t="shared" si="47"/>
        <v>1.1900000000000001E-2</v>
      </c>
      <c r="AA117" s="64">
        <f t="shared" si="48"/>
        <v>23.284600000000001</v>
      </c>
      <c r="AB117" s="61" t="e">
        <f>VLOOKUP(A117,Enforcements!$C$7:$K$19,8,0)</f>
        <v>#N/A</v>
      </c>
      <c r="AC117" s="57" t="e">
        <f>VLOOKUP(A117,Enforcements!$C$7:$E$19,3,0)</f>
        <v>#N/A</v>
      </c>
      <c r="AD117" s="58" t="str">
        <f t="shared" si="49"/>
        <v>0204-02</v>
      </c>
      <c r="AE117" s="87" t="str">
        <f t="shared" si="50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117" s="84" t="str">
        <f t="shared" si="51"/>
        <v>"C:\Program Files (x86)\AstroGrep\AstroGrep.exe" /spath="%USERPROFILE%\AppData\Local\Temp\OnboardLogs" /stypes="app*4013*20170103*" /stext=" 01:.+((SYSTEM_STATE.+slice.+state.+changed )|(ment ac)|(multiple cpu faults)|(system.+state.+changed )|(\[timeout)|(PRM\|1\|D)|(kpr)|(kdp)|(\|lc)|(penalty))" /e /r /s</v>
      </c>
      <c r="AG117" s="1" t="str">
        <f t="shared" si="52"/>
        <v>EC</v>
      </c>
      <c r="AH117" s="88" t="str">
        <f t="shared" si="53"/>
        <v>"%USERPROFILE%\Documents\GitHub\eaglep3\Utilities\RefineRTDCRunTimes.py" --tripid 204-02 --locoid 4013 --swversion DE.1.0.8.0 --startMP 204:232965 --initTime 2017-01-02T17:22:05 --startdatetime 2017-01-02T17:26:38 --delay 1 --endMP 204:119 --enddatetime 2017-01-02T18:08:14 --enforcementcount 0 &gt;&gt;C:\Users\stu\Documents\GitHub\eaglep3-reporting\EC\2017-01-02-refined-times.txt</v>
      </c>
      <c r="AI117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{"issue":{"subject":"","project_id":79,"tracker_id":40,"status_id":1,"priority_id":2,"assigned_to_id":23,"start_date":"2017-01-02","description":"","custom_fields":[{"id":1,"name":"Subdivision","value":"EC"},{"id":4,"name":"Milepost","value":"0.0119"},{"id":17,"name":"Train ID","value":"204-02"},{"id":16,"name":"Locomotive ID","value":"4013"},{"id":130,"name":"Impact","value":""},{"id":150,"name":"Time of Event (Mountain Time)","value":"18:08:14"},{"id":151,"name":"Denver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55"/>
        <v>start /low /b %USERPROFILE%\Documents\GitHub\eaglep3\Utilities\DownloadLogsFromS3.py --loco 4013 --day 2017-01-02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595</v>
      </c>
      <c r="B118" s="7">
        <v>4042</v>
      </c>
      <c r="C118" s="22" t="s">
        <v>203</v>
      </c>
      <c r="D118" s="22" t="s">
        <v>247</v>
      </c>
      <c r="E118" s="13">
        <v>42737.694131944445</v>
      </c>
      <c r="F118" s="13">
        <v>42737.69809027778</v>
      </c>
      <c r="G118" s="7">
        <v>0</v>
      </c>
      <c r="H118" s="22" t="s">
        <v>260</v>
      </c>
      <c r="I118" s="13">
        <v>42737.724537037036</v>
      </c>
      <c r="J118" s="7">
        <v>0</v>
      </c>
      <c r="K118" s="105" t="str">
        <f t="shared" si="38"/>
        <v>4041/4042</v>
      </c>
      <c r="L118" s="22" t="str">
        <f>VLOOKUP(A118,'Trips&amp;Operators'!$C$1:$G$99999,5,FALSE)</f>
        <v>CLARK KATHLEEN</v>
      </c>
      <c r="M118" s="6">
        <f t="shared" si="39"/>
        <v>2.6446759256941732E-2</v>
      </c>
      <c r="N118" s="7">
        <f t="shared" si="40"/>
        <v>38.083333329996094</v>
      </c>
      <c r="O118" s="7"/>
      <c r="P118" s="7"/>
      <c r="Q118" s="23"/>
      <c r="R118" s="23"/>
      <c r="S118" s="32">
        <f t="shared" si="41"/>
        <v>1</v>
      </c>
      <c r="T118" s="47" t="str">
        <f t="shared" si="42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15:39:33-700',mode:absolute,to:'2017-01-02 18:23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8" s="49" t="str">
        <f t="shared" si="44"/>
        <v>N</v>
      </c>
      <c r="X118" s="173">
        <f t="shared" si="45"/>
        <v>1</v>
      </c>
      <c r="Y118" s="64">
        <f t="shared" si="46"/>
        <v>4.6399999999999997E-2</v>
      </c>
      <c r="Z118" s="64">
        <f t="shared" si="47"/>
        <v>23.328900000000001</v>
      </c>
      <c r="AA118" s="64">
        <f t="shared" si="48"/>
        <v>23.282500000000002</v>
      </c>
      <c r="AB118" s="61" t="e">
        <f>VLOOKUP(A118,Enforcements!$C$7:$K$19,8,0)</f>
        <v>#N/A</v>
      </c>
      <c r="AC118" s="57" t="e">
        <f>VLOOKUP(A118,Enforcements!$C$7:$E$19,3,0)</f>
        <v>#N/A</v>
      </c>
      <c r="AD118" s="58" t="str">
        <f t="shared" si="49"/>
        <v>0205-02</v>
      </c>
      <c r="AE118" s="87" t="str">
        <f t="shared" si="50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118" s="84" t="str">
        <f t="shared" si="51"/>
        <v>"C:\Program Files (x86)\AstroGrep\AstroGrep.exe" /spath="%USERPROFILE%\AppData\Local\Temp\OnboardLogs" /stypes="app*4042*20170103*" /stext=" 00:.+((SYSTEM_STATE.+slice.+state.+changed )|(ment ac)|(multiple cpu faults)|(system.+state.+changed )|(\[timeout)|(PRM\|1\|D)|(kpr)|(kdp)|(\|lc)|(penalty))" /e /r /s</v>
      </c>
      <c r="AG118" s="1" t="str">
        <f t="shared" si="52"/>
        <v>EC</v>
      </c>
      <c r="AH118" s="88" t="str">
        <f t="shared" si="53"/>
        <v>"%USERPROFILE%\Documents\GitHub\eaglep3\Utilities\RefineRTDCRunTimes.py" --tripid 205-02 --locoid 4042 --swversion DE.1.0.8.0 --startMP 204:464 --initTime 2017-01-02T16:39:33 --startdatetime 2017-01-02T16:45:15 --delay 0 --endMP 204:233289 --enddatetime 2017-01-02T17:23:20 --enforcementcount 0 &gt;&gt;C:\Users\stu\Documents\GitHub\eaglep3-reporting\EC\2017-01-02-refined-times.txt</v>
      </c>
      <c r="AI118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{"issue":{"subject":"","project_id":79,"tracker_id":40,"status_id":1,"priority_id":2,"assigned_to_id":23,"start_date":"2017-01-02","description":"","custom_fields":[{"id":1,"name":"Subdivision","value":"EC"},{"id":4,"name":"Milepost","value":"23.3289"},{"id":17,"name":"Train ID","value":"205-02"},{"id":16,"name":"Locomotive ID","value":"4042"},{"id":130,"name":"Impact","value":""},{"id":150,"name":"Time of Event (Mountain Time)","value":"17:23:20"},{"id":151,"name":"Denver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55"/>
        <v>start /low /b %USERPROFILE%\Documents\GitHub\eaglep3\Utilities\DownloadLogsFromS3.py --loco 4042 --day 2017-01-02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608</v>
      </c>
      <c r="B119" s="7">
        <v>4041</v>
      </c>
      <c r="C119" s="22" t="s">
        <v>203</v>
      </c>
      <c r="D119" s="22" t="s">
        <v>405</v>
      </c>
      <c r="E119" s="13">
        <v>42737.733842592592</v>
      </c>
      <c r="F119" s="13">
        <v>42737.736979166664</v>
      </c>
      <c r="G119" s="7">
        <v>1</v>
      </c>
      <c r="H119" s="22" t="s">
        <v>674</v>
      </c>
      <c r="I119" s="13">
        <v>42737.765601851854</v>
      </c>
      <c r="J119" s="7">
        <v>0</v>
      </c>
      <c r="K119" s="105" t="str">
        <f t="shared" si="38"/>
        <v>4041/4042</v>
      </c>
      <c r="L119" s="22" t="str">
        <f>VLOOKUP(A119,'Trips&amp;Operators'!$C$1:$G$99999,5,FALSE)</f>
        <v>CLARK KATHLEEN</v>
      </c>
      <c r="M119" s="6">
        <f t="shared" si="39"/>
        <v>2.8622685189475305E-2</v>
      </c>
      <c r="N119" s="7">
        <f t="shared" si="40"/>
        <v>41.21666667284444</v>
      </c>
      <c r="O119" s="7"/>
      <c r="P119" s="7"/>
      <c r="Q119" s="23"/>
      <c r="R119" s="23"/>
      <c r="S119" s="32">
        <f t="shared" si="41"/>
        <v>1</v>
      </c>
      <c r="T119" s="47" t="str">
        <f t="shared" si="42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16:36:44-700',mode:absolute,to:'2017-01-02 19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9" s="49" t="str">
        <f t="shared" si="44"/>
        <v>N</v>
      </c>
      <c r="X119" s="173">
        <f t="shared" si="45"/>
        <v>1</v>
      </c>
      <c r="Y119" s="64">
        <f t="shared" si="46"/>
        <v>23.296800000000001</v>
      </c>
      <c r="Z119" s="64">
        <f t="shared" si="47"/>
        <v>1.7000000000000001E-2</v>
      </c>
      <c r="AA119" s="64">
        <f t="shared" si="48"/>
        <v>23.279800000000002</v>
      </c>
      <c r="AB119" s="61" t="e">
        <f>VLOOKUP(A119,Enforcements!$C$7:$K$19,8,0)</f>
        <v>#N/A</v>
      </c>
      <c r="AC119" s="57" t="e">
        <f>VLOOKUP(A119,Enforcements!$C$7:$E$19,3,0)</f>
        <v>#N/A</v>
      </c>
      <c r="AD119" s="58" t="str">
        <f t="shared" si="49"/>
        <v>0206-02</v>
      </c>
      <c r="AE119" s="87" t="str">
        <f t="shared" si="50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119" s="84" t="str">
        <f t="shared" si="51"/>
        <v>"C:\Program Files (x86)\AstroGrep\AstroGrep.exe" /spath="%USERPROFILE%\AppData\Local\Temp\OnboardLogs" /stypes="app*4041*20170103*" /stext=" 01:.+((SYSTEM_STATE.+slice.+state.+changed )|(ment ac)|(multiple cpu faults)|(system.+state.+changed )|(\[timeout)|(PRM\|1\|D)|(kpr)|(kdp)|(\|lc)|(penalty))" /e /r /s</v>
      </c>
      <c r="AG119" s="1" t="str">
        <f t="shared" si="52"/>
        <v>EC</v>
      </c>
      <c r="AH119" s="88" t="str">
        <f t="shared" si="53"/>
        <v>"%USERPROFILE%\Documents\GitHub\eaglep3\Utilities\RefineRTDCRunTimes.py" --tripid 206-02 --locoid 4041 --swversion DE.1.0.8.0 --startMP 204:232968 --initTime 2017-01-02T17:36:44 --startdatetime 2017-01-02T17:41:15 --delay 1 --endMP 204:170 --enddatetime 2017-01-02T18:22:28 --enforcementcount 0 &gt;&gt;C:\Users\stu\Documents\GitHub\eaglep3-reporting\EC\2017-01-02-refined-times.txt</v>
      </c>
      <c r="AI119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{"issue":{"subject":"","project_id":79,"tracker_id":40,"status_id":1,"priority_id":2,"assigned_to_id":23,"start_date":"2017-01-02","description":"","custom_fields":[{"id":1,"name":"Subdivision","value":"EC"},{"id":4,"name":"Milepost","value":"0.017"},{"id":17,"name":"Train ID","value":"206-02"},{"id":16,"name":"Locomotive ID","value":"4041"},{"id":130,"name":"Impact","value":""},{"id":150,"name":"Time of Event (Mountain Time)","value":"18:22:28"},{"id":151,"name":"Denver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55"/>
        <v>start /low /b %USERPROFILE%\Documents\GitHub\eaglep3\Utilities\DownloadLogsFromS3.py --loco 4041 --day 2017-01-02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597</v>
      </c>
      <c r="B120" s="7">
        <v>4029</v>
      </c>
      <c r="C120" s="22" t="s">
        <v>203</v>
      </c>
      <c r="D120" s="22" t="s">
        <v>262</v>
      </c>
      <c r="E120" s="13">
        <v>42737.702800925923</v>
      </c>
      <c r="F120" s="13">
        <v>42737.70888888889</v>
      </c>
      <c r="G120" s="7">
        <v>6</v>
      </c>
      <c r="H120" s="22" t="s">
        <v>665</v>
      </c>
      <c r="I120" s="13">
        <v>42737.733668981484</v>
      </c>
      <c r="J120" s="7">
        <v>0</v>
      </c>
      <c r="K120" s="105" t="str">
        <f t="shared" si="38"/>
        <v>4029/4030</v>
      </c>
      <c r="L120" s="22" t="str">
        <f>VLOOKUP(A120,'Trips&amp;Operators'!$C$1:$G$99999,5,FALSE)</f>
        <v>ADANE ELSHADAY</v>
      </c>
      <c r="M120" s="6">
        <f t="shared" si="39"/>
        <v>2.4780092593573499E-2</v>
      </c>
      <c r="N120" s="7">
        <f t="shared" si="40"/>
        <v>35.683333334745839</v>
      </c>
      <c r="O120" s="7"/>
      <c r="P120" s="7"/>
      <c r="Q120" s="23"/>
      <c r="R120" s="23"/>
      <c r="S120" s="32">
        <f t="shared" si="41"/>
        <v>1</v>
      </c>
      <c r="T120" s="47" t="str">
        <f t="shared" si="42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15:52:02-700',mode:absolute,to:'2017-01-02 18:36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0" s="49" t="str">
        <f t="shared" si="44"/>
        <v>N</v>
      </c>
      <c r="X120" s="173">
        <f t="shared" si="45"/>
        <v>1</v>
      </c>
      <c r="Y120" s="64">
        <f t="shared" si="46"/>
        <v>4.3999999999999997E-2</v>
      </c>
      <c r="Z120" s="64">
        <f t="shared" si="47"/>
        <v>23.329499999999999</v>
      </c>
      <c r="AA120" s="64">
        <f t="shared" si="48"/>
        <v>23.285499999999999</v>
      </c>
      <c r="AB120" s="61" t="e">
        <f>VLOOKUP(A120,Enforcements!$C$7:$K$19,8,0)</f>
        <v>#N/A</v>
      </c>
      <c r="AC120" s="57" t="e">
        <f>VLOOKUP(A120,Enforcements!$C$7:$E$19,3,0)</f>
        <v>#N/A</v>
      </c>
      <c r="AD120" s="58" t="str">
        <f t="shared" si="49"/>
        <v>0207-02</v>
      </c>
      <c r="AE120" s="87" t="str">
        <f t="shared" si="50"/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AF120" s="84" t="str">
        <f t="shared" si="51"/>
        <v>"C:\Program Files (x86)\AstroGrep\AstroGrep.exe" /spath="%USERPROFILE%\AppData\Local\Temp\OnboardLogs" /stypes="app*4029*20170103*" /stext=" 00:.+((SYSTEM_STATE.+slice.+state.+changed )|(ment ac)|(multiple cpu faults)|(system.+state.+changed )|(\[timeout)|(PRM\|1\|D)|(kpr)|(kdp)|(\|lc)|(penalty))" /e /r /s</v>
      </c>
      <c r="AG120" s="1" t="str">
        <f t="shared" si="52"/>
        <v>EC</v>
      </c>
      <c r="AH120" s="88" t="str">
        <f t="shared" si="53"/>
        <v>"%USERPROFILE%\Documents\GitHub\eaglep3\Utilities\RefineRTDCRunTimes.py" --tripid 207-02 --locoid 4029 --swversion DE.1.0.8.0 --startMP 204:440 --initTime 2017-01-02T16:52:02 --startdatetime 2017-01-02T17:00:48 --delay 6 --endMP 204:233295 --enddatetime 2017-01-02T17:36:29 --enforcementcount 0 &gt;&gt;C:\Users\stu\Documents\GitHub\eaglep3-reporting\EC\2017-01-02-refined-times.txt</v>
      </c>
      <c r="AI120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{"issue":{"subject":"","project_id":79,"tracker_id":40,"status_id":1,"priority_id":2,"assigned_to_id":23,"start_date":"2017-01-02","description":"","custom_fields":[{"id":1,"name":"Subdivision","value":"EC"},{"id":4,"name":"Milepost","value":"23.3295"},{"id":17,"name":"Train ID","value":"207-02"},{"id":16,"name":"Locomotive ID","value":"4029"},{"id":130,"name":"Impact","value":""},{"id":150,"name":"Time of Event (Mountain Time)","value":"17:36:29"},{"id":151,"name":"Denver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55"/>
        <v>start /low /b %USERPROFILE%\Documents\GitHub\eaglep3\Utilities\DownloadLogsFromS3.py --loco 4029 --day 2017-01-02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446</v>
      </c>
      <c r="B121" s="7">
        <v>4030</v>
      </c>
      <c r="C121" s="22" t="s">
        <v>203</v>
      </c>
      <c r="D121" s="22" t="s">
        <v>268</v>
      </c>
      <c r="E121" s="13">
        <v>42737.735520833332</v>
      </c>
      <c r="F121" s="13">
        <v>42737.747835648152</v>
      </c>
      <c r="G121" s="7">
        <v>2</v>
      </c>
      <c r="H121" s="22" t="s">
        <v>711</v>
      </c>
      <c r="I121" s="13">
        <v>42737.773379629631</v>
      </c>
      <c r="J121" s="7">
        <v>0</v>
      </c>
      <c r="K121" s="105" t="str">
        <f t="shared" si="38"/>
        <v>4029/4030</v>
      </c>
      <c r="L121" s="22" t="str">
        <f>VLOOKUP(A121,'Trips&amp;Operators'!$C$1:$G$99999,5,FALSE)</f>
        <v>ADANE ELSHADAY</v>
      </c>
      <c r="M121" s="6">
        <f t="shared" si="39"/>
        <v>2.5543981479131617E-2</v>
      </c>
      <c r="N121" s="7">
        <f t="shared" si="40"/>
        <v>36.783333329949528</v>
      </c>
      <c r="O121" s="7"/>
      <c r="P121" s="7"/>
      <c r="Q121" s="23"/>
      <c r="R121" s="23"/>
      <c r="S121" s="32">
        <f t="shared" si="41"/>
        <v>1</v>
      </c>
      <c r="T121" s="47" t="str">
        <f t="shared" si="42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16:39:09-700',mode:absolute,to:'2017-01-02 19:33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1" s="49" t="str">
        <f t="shared" si="44"/>
        <v>N</v>
      </c>
      <c r="X121" s="173">
        <f t="shared" si="45"/>
        <v>1</v>
      </c>
      <c r="Y121" s="64">
        <f t="shared" si="46"/>
        <v>23.2973</v>
      </c>
      <c r="Z121" s="64">
        <f t="shared" si="47"/>
        <v>0.1656</v>
      </c>
      <c r="AA121" s="64">
        <f t="shared" si="48"/>
        <v>23.131699999999999</v>
      </c>
      <c r="AB121" s="61" t="str">
        <f>VLOOKUP(A121,Enforcements!$C$7:$K$19,8,0)</f>
        <v>Form based authority (4)</v>
      </c>
      <c r="AC121" s="57" t="str">
        <f>VLOOKUP(A121,Enforcements!$C$7:$E$19,3,0)</f>
        <v>TRACK WARRANT AUTHORITY</v>
      </c>
      <c r="AD121" s="58" t="str">
        <f t="shared" si="49"/>
        <v>0208-02</v>
      </c>
      <c r="AE121" s="87" t="str">
        <f t="shared" si="50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121" s="84" t="str">
        <f t="shared" si="51"/>
        <v>"C:\Program Files (x86)\AstroGrep\AstroGrep.exe" /spath="%USERPROFILE%\AppData\Local\Temp\OnboardLogs" /stypes="app*4030*20170103*" /stext=" 01:.+((SYSTEM_STATE.+slice.+state.+changed )|(ment ac)|(multiple cpu faults)|(system.+state.+changed )|(\[timeout)|(PRM\|1\|D)|(kpr)|(kdp)|(\|lc)|(penalty))" /e /r /s</v>
      </c>
      <c r="AG121" s="1" t="str">
        <f t="shared" si="52"/>
        <v>EC</v>
      </c>
      <c r="AH121" s="88" t="str">
        <f t="shared" si="53"/>
        <v>"%USERPROFILE%\Documents\GitHub\eaglep3\Utilities\RefineRTDCRunTimes.py" --tripid 208-02 --locoid 4030 --swversion DE.1.0.8.0 --startMP 204:232973 --initTime 2017-01-02T17:39:09 --startdatetime 2017-01-02T17:56:53 --delay 2 --endMP 204:1656 --enddatetime 2017-01-02T18:33:40 --enforcementcount 0 &gt;&gt;C:\Users\stu\Documents\GitHub\eaglep3-reporting\EC\2017-01-02-refined-times.txt</v>
      </c>
      <c r="AI121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{"issue":{"subject":"","project_id":79,"tracker_id":40,"status_id":1,"priority_id":2,"assigned_to_id":23,"start_date":"2017-01-02","description":"","custom_fields":[{"id":1,"name":"Subdivision","value":"EC"},{"id":4,"name":"Milepost","value":"0.1656"},{"id":17,"name":"Train ID","value":"208-02"},{"id":16,"name":"Locomotive ID","value":"4030"},{"id":130,"name":"Impact","value":""},{"id":150,"name":"Time of Event (Mountain Time)","value":"18:33:40"},{"id":151,"name":"Denver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55"/>
        <v>start /low /b %USERPROFILE%\Documents\GitHub\eaglep3\Utilities\DownloadLogsFromS3.py --loco 4030 --day 2017-01-02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602</v>
      </c>
      <c r="B122" s="7">
        <v>4016</v>
      </c>
      <c r="C122" s="22" t="s">
        <v>203</v>
      </c>
      <c r="D122" s="22" t="s">
        <v>225</v>
      </c>
      <c r="E122" s="13">
        <v>42737.718136574076</v>
      </c>
      <c r="F122" s="13">
        <v>42737.719178240739</v>
      </c>
      <c r="G122" s="7">
        <v>1</v>
      </c>
      <c r="H122" s="22" t="s">
        <v>291</v>
      </c>
      <c r="I122" s="13">
        <v>42737.744849537034</v>
      </c>
      <c r="J122" s="7">
        <v>0</v>
      </c>
      <c r="K122" s="105" t="str">
        <f t="shared" si="38"/>
        <v>4015/4016</v>
      </c>
      <c r="L122" s="22" t="str">
        <f>VLOOKUP(A122,'Trips&amp;Operators'!$C$1:$G$99999,5,FALSE)</f>
        <v>CHANDLER KELVIN</v>
      </c>
      <c r="M122" s="6">
        <f t="shared" si="39"/>
        <v>2.5671296294603962E-2</v>
      </c>
      <c r="N122" s="7">
        <f t="shared" si="40"/>
        <v>36.966666664229706</v>
      </c>
      <c r="O122" s="7"/>
      <c r="P122" s="7"/>
      <c r="Q122" s="23"/>
      <c r="R122" s="23"/>
      <c r="S122" s="32">
        <f t="shared" si="41"/>
        <v>1</v>
      </c>
      <c r="T122" s="47" t="str">
        <f t="shared" si="42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16:14:07-700',mode:absolute,to:'2017-01-02 18:52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2" s="49" t="str">
        <f t="shared" si="44"/>
        <v>N</v>
      </c>
      <c r="X122" s="173">
        <f t="shared" si="45"/>
        <v>1</v>
      </c>
      <c r="Y122" s="64">
        <f t="shared" si="46"/>
        <v>4.5499999999999999E-2</v>
      </c>
      <c r="Z122" s="64">
        <f t="shared" si="47"/>
        <v>23.33</v>
      </c>
      <c r="AA122" s="64">
        <f t="shared" si="48"/>
        <v>23.284499999999998</v>
      </c>
      <c r="AB122" s="61" t="e">
        <f>VLOOKUP(A122,Enforcements!$C$7:$K$19,8,0)</f>
        <v>#N/A</v>
      </c>
      <c r="AC122" s="57" t="e">
        <f>VLOOKUP(A122,Enforcements!$C$7:$E$19,3,0)</f>
        <v>#N/A</v>
      </c>
      <c r="AD122" s="58" t="str">
        <f t="shared" si="49"/>
        <v>0209-02</v>
      </c>
      <c r="AE122" s="87" t="str">
        <f t="shared" si="50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122" s="84" t="str">
        <f t="shared" si="51"/>
        <v>"C:\Program Files (x86)\AstroGrep\AstroGrep.exe" /spath="%USERPROFILE%\AppData\Local\Temp\OnboardLogs" /stypes="app*4016*20170103*" /stext=" 00:.+((SYSTEM_STATE.+slice.+state.+changed )|(ment ac)|(multiple cpu faults)|(system.+state.+changed )|(\[timeout)|(PRM\|1\|D)|(kpr)|(kdp)|(\|lc)|(penalty))" /e /r /s</v>
      </c>
      <c r="AG122" s="1" t="str">
        <f t="shared" si="52"/>
        <v>EC</v>
      </c>
      <c r="AH122" s="88" t="str">
        <f t="shared" si="53"/>
        <v>"%USERPROFILE%\Documents\GitHub\eaglep3\Utilities\RefineRTDCRunTimes.py" --tripid 209-02 --locoid 4016 --swversion DE.1.0.8.0 --startMP 204:455 --initTime 2017-01-02T17:14:07 --startdatetime 2017-01-02T17:15:37 --delay 1 --endMP 204:233300 --enddatetime 2017-01-02T17:52:35 --enforcementcount 0 &gt;&gt;C:\Users\stu\Documents\GitHub\eaglep3-reporting\EC\2017-01-02-refined-times.txt</v>
      </c>
      <c r="AI122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{"issue":{"subject":"","project_id":79,"tracker_id":40,"status_id":1,"priority_id":2,"assigned_to_id":23,"start_date":"2017-01-02","description":"","custom_fields":[{"id":1,"name":"Subdivision","value":"EC"},{"id":4,"name":"Milepost","value":"23.33"},{"id":17,"name":"Train ID","value":"209-02"},{"id":16,"name":"Locomotive ID","value":"4016"},{"id":130,"name":"Impact","value":""},{"id":150,"name":"Time of Event (Mountain Time)","value":"17:52:35"},{"id":151,"name":"Denver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55"/>
        <v>start /low /b %USERPROFILE%\Documents\GitHub\eaglep3\Utilities\DownloadLogsFromS3.py --loco 4016 --day 2017-01-02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611</v>
      </c>
      <c r="B123" s="7">
        <v>4015</v>
      </c>
      <c r="C123" s="22" t="s">
        <v>203</v>
      </c>
      <c r="D123" s="22" t="s">
        <v>253</v>
      </c>
      <c r="E123" s="13">
        <v>42737.75371527778</v>
      </c>
      <c r="F123" s="13">
        <v>42737.758217592593</v>
      </c>
      <c r="G123" s="7">
        <v>1</v>
      </c>
      <c r="H123" s="22" t="s">
        <v>209</v>
      </c>
      <c r="I123" s="13">
        <v>42737.785949074074</v>
      </c>
      <c r="J123" s="7">
        <v>0</v>
      </c>
      <c r="K123" s="105" t="str">
        <f t="shared" si="38"/>
        <v>4015/4016</v>
      </c>
      <c r="L123" s="22" t="str">
        <f>VLOOKUP(A123,'Trips&amp;Operators'!$C$1:$G$99999,5,FALSE)</f>
        <v>CHANDLER KELVIN</v>
      </c>
      <c r="M123" s="6">
        <f t="shared" si="39"/>
        <v>2.7731481481168885E-2</v>
      </c>
      <c r="N123" s="7">
        <f t="shared" si="40"/>
        <v>39.933333332883194</v>
      </c>
      <c r="O123" s="7"/>
      <c r="P123" s="7"/>
      <c r="Q123" s="23"/>
      <c r="R123" s="23"/>
      <c r="S123" s="32">
        <f t="shared" si="41"/>
        <v>1</v>
      </c>
      <c r="T123" s="47" t="str">
        <f t="shared" si="42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17:05:21-700',mode:absolute,to:'2017-01-02 19:51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3" s="49" t="str">
        <f t="shared" si="44"/>
        <v>N</v>
      </c>
      <c r="X123" s="173">
        <f t="shared" si="45"/>
        <v>1</v>
      </c>
      <c r="Y123" s="64">
        <f t="shared" si="46"/>
        <v>23.297699999999999</v>
      </c>
      <c r="Z123" s="64">
        <f t="shared" si="47"/>
        <v>1.4999999999999999E-2</v>
      </c>
      <c r="AA123" s="64">
        <f t="shared" si="48"/>
        <v>23.282699999999998</v>
      </c>
      <c r="AB123" s="61" t="e">
        <f>VLOOKUP(A123,Enforcements!$C$7:$K$19,8,0)</f>
        <v>#N/A</v>
      </c>
      <c r="AC123" s="57" t="e">
        <f>VLOOKUP(A123,Enforcements!$C$7:$E$19,3,0)</f>
        <v>#N/A</v>
      </c>
      <c r="AD123" s="58" t="str">
        <f t="shared" si="49"/>
        <v>0210-02</v>
      </c>
      <c r="AE123" s="87" t="str">
        <f t="shared" si="50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123" s="84" t="str">
        <f t="shared" si="51"/>
        <v>"C:\Program Files (x86)\AstroGrep\AstroGrep.exe" /spath="%USERPROFILE%\AppData\Local\Temp\OnboardLogs" /stypes="app*4015*20170103*" /stext=" 01:.+((SYSTEM_STATE.+slice.+state.+changed )|(ment ac)|(multiple cpu faults)|(system.+state.+changed )|(\[timeout)|(PRM\|1\|D)|(kpr)|(kdp)|(\|lc)|(penalty))" /e /r /s</v>
      </c>
      <c r="AG123" s="1" t="str">
        <f t="shared" si="52"/>
        <v>EC</v>
      </c>
      <c r="AH123" s="88" t="str">
        <f t="shared" si="53"/>
        <v>"%USERPROFILE%\Documents\GitHub\eaglep3\Utilities\RefineRTDCRunTimes.py" --tripid 210-02 --locoid 4015 --swversion DE.1.0.8.0 --startMP 204:232977 --initTime 2017-01-02T18:05:21 --startdatetime 2017-01-02T18:11:50 --delay 1 --endMP 204:150 --enddatetime 2017-01-02T18:51:46 --enforcementcount 0 &gt;&gt;C:\Users\stu\Documents\GitHub\eaglep3-reporting\EC\2017-01-02-refined-times.txt</v>
      </c>
      <c r="AI123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{"issue":{"subject":"","project_id":79,"tracker_id":40,"status_id":1,"priority_id":2,"assigned_to_id":23,"start_date":"2017-01-02","description":"","custom_fields":[{"id":1,"name":"Subdivision","value":"EC"},{"id":4,"name":"Milepost","value":"0.015"},{"id":17,"name":"Train ID","value":"210-02"},{"id":16,"name":"Locomotive ID","value":"4015"},{"id":130,"name":"Impact","value":""},{"id":150,"name":"Time of Event (Mountain Time)","value":"18:51:46"},{"id":151,"name":"Denver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55"/>
        <v>start /low /b %USERPROFILE%\Documents\GitHub\eaglep3\Utilities\DownloadLogsFromS3.py --loco 4015 --day 2017-01-02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605</v>
      </c>
      <c r="B124" s="7">
        <v>4031</v>
      </c>
      <c r="C124" s="22" t="s">
        <v>203</v>
      </c>
      <c r="D124" s="22" t="s">
        <v>341</v>
      </c>
      <c r="E124" s="13">
        <v>42737.725462962961</v>
      </c>
      <c r="F124" s="13">
        <v>42737.729386574072</v>
      </c>
      <c r="G124" s="7">
        <v>1</v>
      </c>
      <c r="H124" s="22" t="s">
        <v>287</v>
      </c>
      <c r="I124" s="13">
        <v>42737.755266203705</v>
      </c>
      <c r="J124" s="7">
        <v>0</v>
      </c>
      <c r="K124" s="105" t="str">
        <f t="shared" si="38"/>
        <v>4031/4032</v>
      </c>
      <c r="L124" s="22" t="str">
        <f>VLOOKUP(A124,'Trips&amp;Operators'!$C$1:$G$99999,5,FALSE)</f>
        <v>CRAYTON QUNTRELL</v>
      </c>
      <c r="M124" s="6">
        <f t="shared" si="39"/>
        <v>2.587962963298196E-2</v>
      </c>
      <c r="N124" s="7">
        <f t="shared" si="40"/>
        <v>37.266666671494022</v>
      </c>
      <c r="O124" s="7"/>
      <c r="P124" s="7"/>
      <c r="Q124" s="23"/>
      <c r="R124" s="23"/>
      <c r="S124" s="32">
        <f t="shared" si="41"/>
        <v>1</v>
      </c>
      <c r="T124" s="47" t="str">
        <f t="shared" si="42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16:24:40-700',mode:absolute,to:'2017-01-02 19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4" s="49" t="str">
        <f t="shared" si="44"/>
        <v>N</v>
      </c>
      <c r="X124" s="173">
        <f t="shared" si="45"/>
        <v>1</v>
      </c>
      <c r="Y124" s="64">
        <f t="shared" si="46"/>
        <v>4.7800000000000002E-2</v>
      </c>
      <c r="Z124" s="64">
        <f t="shared" si="47"/>
        <v>23.330100000000002</v>
      </c>
      <c r="AA124" s="64">
        <f t="shared" si="48"/>
        <v>23.282300000000003</v>
      </c>
      <c r="AB124" s="61" t="e">
        <f>VLOOKUP(A124,Enforcements!$C$7:$K$19,8,0)</f>
        <v>#N/A</v>
      </c>
      <c r="AC124" s="57" t="e">
        <f>VLOOKUP(A124,Enforcements!$C$7:$E$19,3,0)</f>
        <v>#N/A</v>
      </c>
      <c r="AD124" s="58" t="str">
        <f t="shared" si="49"/>
        <v>0211-02</v>
      </c>
      <c r="AE124" s="87" t="str">
        <f t="shared" si="50"/>
        <v>aws s3 cp s3://rtdc.mdm.uploadarchive.raw/RTDC4031/ "%USERPROFILE%\AppData\Local\Temp\OnboardLogs"\RTDC4031\2017-01-02 --exclude "*" --recursive --include "*20170102*" &amp; "%USERPROFILE%\Documents\GitHub\mrs-test-scripts\Headless Mode &amp; Sideloading\WalkAndUnGZ.bat" "%USERPROFILE%\AppData\Local\Temp\OnboardLogs"\RTDC4031\2017-01-02 &amp; aws s3 cp s3://rtdc.mdm.uploadarchive.raw/RTDC4031/ "%USERPROFILE%\AppData\Local\Temp\OnboardLogs"\RTDC4031\2017-01-03 --exclude "*" --recursive --include "*20170103*" &amp; "%USERPROFILE%\Documents\GitHub\mrs-test-scripts\Headless Mode &amp; Sideloading\WalkAndUnGZ.bat" "%USERPROFILE%\AppData\Local\Temp\OnboardLogs"\RTDC4031\2017-01-03</v>
      </c>
      <c r="AF124" s="84" t="str">
        <f t="shared" si="51"/>
        <v>"C:\Program Files (x86)\AstroGrep\AstroGrep.exe" /spath="%USERPROFILE%\AppData\Local\Temp\OnboardLogs" /stypes="app*4031*20170103*" /stext=" 01:.+((SYSTEM_STATE.+slice.+state.+changed )|(ment ac)|(multiple cpu faults)|(system.+state.+changed )|(\[timeout)|(PRM\|1\|D)|(kpr)|(kdp)|(\|lc)|(penalty))" /e /r /s</v>
      </c>
      <c r="AG124" s="1" t="str">
        <f t="shared" si="52"/>
        <v>EC</v>
      </c>
      <c r="AH124" s="88" t="str">
        <f t="shared" si="53"/>
        <v>"%USERPROFILE%\Documents\GitHub\eaglep3\Utilities\RefineRTDCRunTimes.py" --tripid 211-02 --locoid 4031 --swversion DE.1.0.8.0 --startMP 204:478 --initTime 2017-01-02T17:24:40 --startdatetime 2017-01-02T17:30:19 --delay 1 --endMP 204:233301 --enddatetime 2017-01-02T18:07:35 --enforcementcount 0 &gt;&gt;C:\Users\stu\Documents\GitHub\eaglep3-reporting\EC\2017-01-02-refined-times.txt</v>
      </c>
      <c r="AI124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{"issue":{"subject":"","project_id":79,"tracker_id":40,"status_id":1,"priority_id":2,"assigned_to_id":23,"start_date":"2017-01-02","description":"","custom_fields":[{"id":1,"name":"Subdivision","value":"EC"},{"id":4,"name":"Milepost","value":"23.3301"},{"id":17,"name":"Train ID","value":"211-02"},{"id":16,"name":"Locomotive ID","value":"4031"},{"id":130,"name":"Impact","value":""},{"id":150,"name":"Time of Event (Mountain Time)","value":"18:07:35"},{"id":151,"name":"Denver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55"/>
        <v>start /low /b %USERPROFILE%\Documents\GitHub\eaglep3\Utilities\DownloadLogsFromS3.py --loco 4031 --day 2017-01-02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447</v>
      </c>
      <c r="B125" s="7">
        <v>4032</v>
      </c>
      <c r="C125" s="22" t="s">
        <v>203</v>
      </c>
      <c r="D125" s="22" t="s">
        <v>368</v>
      </c>
      <c r="E125" s="13">
        <v>42737.76289351852</v>
      </c>
      <c r="F125" s="13">
        <v>42737.768240740741</v>
      </c>
      <c r="G125" s="7">
        <v>1</v>
      </c>
      <c r="H125" s="22" t="s">
        <v>674</v>
      </c>
      <c r="I125" s="13">
        <v>42737.796215277776</v>
      </c>
      <c r="J125" s="7">
        <v>0</v>
      </c>
      <c r="K125" s="105" t="str">
        <f t="shared" si="38"/>
        <v>4031/4032</v>
      </c>
      <c r="L125" s="22" t="str">
        <f>VLOOKUP(A125,'Trips&amp;Operators'!$C$1:$G$99999,5,FALSE)</f>
        <v>CRAYTON QUNTRELL</v>
      </c>
      <c r="M125" s="6">
        <f t="shared" si="39"/>
        <v>2.7974537035333924E-2</v>
      </c>
      <c r="N125" s="7">
        <f t="shared" si="40"/>
        <v>40.283333330880851</v>
      </c>
      <c r="O125" s="7"/>
      <c r="P125" s="7"/>
      <c r="Q125" s="23"/>
      <c r="R125" s="23"/>
      <c r="S125" s="32">
        <f t="shared" si="41"/>
        <v>1</v>
      </c>
      <c r="T125" s="47" t="str">
        <f t="shared" si="42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17:18:34-700',mode:absolute,to:'2017-01-02 20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5" s="49" t="str">
        <f t="shared" si="44"/>
        <v>N</v>
      </c>
      <c r="X125" s="173">
        <f t="shared" si="45"/>
        <v>1</v>
      </c>
      <c r="Y125" s="64">
        <f t="shared" si="46"/>
        <v>23.296700000000001</v>
      </c>
      <c r="Z125" s="64">
        <f t="shared" si="47"/>
        <v>1.7000000000000001E-2</v>
      </c>
      <c r="AA125" s="64">
        <f t="shared" si="48"/>
        <v>23.279700000000002</v>
      </c>
      <c r="AB125" s="61" t="str">
        <f>VLOOKUP(A125,Enforcements!$C$7:$K$19,8,0)</f>
        <v>Form based authority (4)</v>
      </c>
      <c r="AC125" s="57" t="str">
        <f>VLOOKUP(A125,Enforcements!$C$7:$E$19,3,0)</f>
        <v>TRACK WARRANT AUTHORITY</v>
      </c>
      <c r="AD125" s="58" t="str">
        <f t="shared" si="49"/>
        <v>0212-02</v>
      </c>
      <c r="AE125" s="87" t="str">
        <f t="shared" si="50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125" s="84" t="str">
        <f t="shared" si="51"/>
        <v>"C:\Program Files (x86)\AstroGrep\AstroGrep.exe" /spath="%USERPROFILE%\AppData\Local\Temp\OnboardLogs" /stypes="app*4032*20170103*" /stext=" 02:.+((SYSTEM_STATE.+slice.+state.+changed )|(ment ac)|(multiple cpu faults)|(system.+state.+changed )|(\[timeout)|(PRM\|1\|D)|(kpr)|(kdp)|(\|lc)|(penalty))" /e /r /s</v>
      </c>
      <c r="AG125" s="1" t="str">
        <f t="shared" si="52"/>
        <v>EC</v>
      </c>
      <c r="AH125" s="88" t="str">
        <f t="shared" si="53"/>
        <v>"%USERPROFILE%\Documents\GitHub\eaglep3\Utilities\RefineRTDCRunTimes.py" --tripid 212-02 --locoid 4032 --swversion DE.1.0.8.0 --startMP 204:232967 --initTime 2017-01-02T18:18:34 --startdatetime 2017-01-02T18:26:16 --delay 1 --endMP 204:170 --enddatetime 2017-01-02T19:06:33 --enforcementcount 0 &gt;&gt;C:\Users\stu\Documents\GitHub\eaglep3-reporting\EC\2017-01-02-refined-times.txt</v>
      </c>
      <c r="AI125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{"issue":{"subject":"","project_id":79,"tracker_id":40,"status_id":1,"priority_id":2,"assigned_to_id":23,"start_date":"2017-01-02","description":"","custom_fields":[{"id":1,"name":"Subdivision","value":"EC"},{"id":4,"name":"Milepost","value":"0.017"},{"id":17,"name":"Train ID","value":"212-02"},{"id":16,"name":"Locomotive ID","value":"4032"},{"id":130,"name":"Impact","value":""},{"id":150,"name":"Time of Event (Mountain Time)","value":"19:06:33"},{"id":151,"name":"Denver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55"/>
        <v>start /low /b %USERPROFILE%\Documents\GitHub\eaglep3\Utilities\DownloadLogsFromS3.py --loco 4032 --day 2017-01-02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609</v>
      </c>
      <c r="B126" s="7">
        <v>4011</v>
      </c>
      <c r="C126" s="22" t="s">
        <v>203</v>
      </c>
      <c r="D126" s="22" t="s">
        <v>341</v>
      </c>
      <c r="E126" s="13">
        <v>42737.737627314818</v>
      </c>
      <c r="F126" s="13">
        <v>42737.740057870367</v>
      </c>
      <c r="G126" s="7">
        <v>1</v>
      </c>
      <c r="H126" s="22" t="s">
        <v>260</v>
      </c>
      <c r="I126" s="13">
        <v>42737.765925925924</v>
      </c>
      <c r="J126" s="7">
        <v>0</v>
      </c>
      <c r="K126" s="105" t="str">
        <f t="shared" si="38"/>
        <v>4011/4012</v>
      </c>
      <c r="L126" s="22" t="str">
        <f>VLOOKUP(A126,'Trips&amp;Operators'!$C$1:$G$99999,5,FALSE)</f>
        <v>SMITH MICHAEL</v>
      </c>
      <c r="M126" s="6">
        <f t="shared" si="39"/>
        <v>2.5868055556202307E-2</v>
      </c>
      <c r="N126" s="7">
        <f t="shared" si="40"/>
        <v>37.250000000931323</v>
      </c>
      <c r="O126" s="7"/>
      <c r="P126" s="7"/>
      <c r="Q126" s="23"/>
      <c r="R126" s="23"/>
      <c r="S126" s="32">
        <f t="shared" si="41"/>
        <v>1</v>
      </c>
      <c r="T126" s="47" t="str">
        <f t="shared" si="42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16:42:11-700',mode:absolute,to:'2017-01-02 19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6" s="49" t="str">
        <f t="shared" si="44"/>
        <v>N</v>
      </c>
      <c r="X126" s="173">
        <f t="shared" si="45"/>
        <v>1</v>
      </c>
      <c r="Y126" s="64">
        <f t="shared" si="46"/>
        <v>4.7800000000000002E-2</v>
      </c>
      <c r="Z126" s="64">
        <f t="shared" si="47"/>
        <v>23.328900000000001</v>
      </c>
      <c r="AA126" s="64">
        <f t="shared" si="48"/>
        <v>23.281100000000002</v>
      </c>
      <c r="AB126" s="61" t="e">
        <f>VLOOKUP(A126,Enforcements!$C$7:$K$19,8,0)</f>
        <v>#N/A</v>
      </c>
      <c r="AC126" s="57" t="e">
        <f>VLOOKUP(A126,Enforcements!$C$7:$E$19,3,0)</f>
        <v>#N/A</v>
      </c>
      <c r="AD126" s="58" t="str">
        <f t="shared" si="49"/>
        <v>0213-02</v>
      </c>
      <c r="AE126" s="87" t="str">
        <f t="shared" si="50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126" s="84" t="str">
        <f t="shared" si="51"/>
        <v>"C:\Program Files (x86)\AstroGrep\AstroGrep.exe" /spath="%USERPROFILE%\AppData\Local\Temp\OnboardLogs" /stypes="app*4011*20170103*" /stext=" 01:.+((SYSTEM_STATE.+slice.+state.+changed )|(ment ac)|(multiple cpu faults)|(system.+state.+changed )|(\[timeout)|(PRM\|1\|D)|(kpr)|(kdp)|(\|lc)|(penalty))" /e /r /s</v>
      </c>
      <c r="AG126" s="1" t="str">
        <f t="shared" si="52"/>
        <v>EC</v>
      </c>
      <c r="AH126" s="88" t="str">
        <f t="shared" si="53"/>
        <v>"%USERPROFILE%\Documents\GitHub\eaglep3\Utilities\RefineRTDCRunTimes.py" --tripid 213-02 --locoid 4011 --swversion DE.1.0.8.0 --startMP 204:478 --initTime 2017-01-02T17:42:11 --startdatetime 2017-01-02T17:45:41 --delay 1 --endMP 204:233289 --enddatetime 2017-01-02T18:22:56 --enforcementcount 0 &gt;&gt;C:\Users\stu\Documents\GitHub\eaglep3-reporting\EC\2017-01-02-refined-times.txt</v>
      </c>
      <c r="AI126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{"issue":{"subject":"","project_id":79,"tracker_id":40,"status_id":1,"priority_id":2,"assigned_to_id":23,"start_date":"2017-01-02","description":"","custom_fields":[{"id":1,"name":"Subdivision","value":"EC"},{"id":4,"name":"Milepost","value":"23.3289"},{"id":17,"name":"Train ID","value":"213-02"},{"id":16,"name":"Locomotive ID","value":"4011"},{"id":130,"name":"Impact","value":""},{"id":150,"name":"Time of Event (Mountain Time)","value":"18:22:56"},{"id":151,"name":"Denver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55"/>
        <v>start /low /b %USERPROFILE%\Documents\GitHub\eaglep3\Utilities\DownloadLogsFromS3.py --loco 4011 --day 2017-01-02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617</v>
      </c>
      <c r="B127" s="7">
        <v>4012</v>
      </c>
      <c r="C127" s="22" t="s">
        <v>203</v>
      </c>
      <c r="D127" s="22" t="s">
        <v>418</v>
      </c>
      <c r="E127" s="13">
        <v>42737.770428240743</v>
      </c>
      <c r="F127" s="13">
        <v>42737.778715277775</v>
      </c>
      <c r="G127" s="7">
        <v>1</v>
      </c>
      <c r="H127" s="22" t="s">
        <v>191</v>
      </c>
      <c r="I127" s="13">
        <v>42737.806377314817</v>
      </c>
      <c r="J127" s="7">
        <v>0</v>
      </c>
      <c r="K127" s="105" t="str">
        <f t="shared" si="38"/>
        <v>4011/4012</v>
      </c>
      <c r="L127" s="22" t="str">
        <f>VLOOKUP(A127,'Trips&amp;Operators'!$C$1:$G$99999,5,FALSE)</f>
        <v>SMITH MICHAEL</v>
      </c>
      <c r="M127" s="6">
        <f t="shared" si="39"/>
        <v>2.7662037042318843E-2</v>
      </c>
      <c r="N127" s="7">
        <f t="shared" si="40"/>
        <v>39.833333340939134</v>
      </c>
      <c r="O127" s="7"/>
      <c r="P127" s="7"/>
      <c r="Q127" s="23"/>
      <c r="R127" s="23"/>
      <c r="S127" s="32">
        <f t="shared" si="41"/>
        <v>1</v>
      </c>
      <c r="T127" s="47" t="str">
        <f t="shared" si="42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17:29:25-700',mode:absolute,to:'2017-01-02 20:21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7" s="49" t="str">
        <f t="shared" si="44"/>
        <v>N</v>
      </c>
      <c r="X127" s="173">
        <f t="shared" si="45"/>
        <v>1</v>
      </c>
      <c r="Y127" s="64">
        <f t="shared" si="46"/>
        <v>23.298100000000002</v>
      </c>
      <c r="Z127" s="64">
        <f t="shared" si="47"/>
        <v>1.49E-2</v>
      </c>
      <c r="AA127" s="64">
        <f t="shared" si="48"/>
        <v>23.283200000000001</v>
      </c>
      <c r="AB127" s="61" t="e">
        <f>VLOOKUP(A127,Enforcements!$C$7:$K$19,8,0)</f>
        <v>#N/A</v>
      </c>
      <c r="AC127" s="57" t="e">
        <f>VLOOKUP(A127,Enforcements!$C$7:$E$19,3,0)</f>
        <v>#N/A</v>
      </c>
      <c r="AD127" s="58" t="str">
        <f t="shared" si="49"/>
        <v>0214-02</v>
      </c>
      <c r="AE127" s="87" t="str">
        <f t="shared" si="50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127" s="84" t="str">
        <f t="shared" si="51"/>
        <v>"C:\Program Files (x86)\AstroGrep\AstroGrep.exe" /spath="%USERPROFILE%\AppData\Local\Temp\OnboardLogs" /stypes="app*4012*20170103*" /stext=" 02:.+((SYSTEM_STATE.+slice.+state.+changed )|(ment ac)|(multiple cpu faults)|(system.+state.+changed )|(\[timeout)|(PRM\|1\|D)|(kpr)|(kdp)|(\|lc)|(penalty))" /e /r /s</v>
      </c>
      <c r="AG127" s="1" t="str">
        <f t="shared" si="52"/>
        <v>EC</v>
      </c>
      <c r="AH127" s="88" t="str">
        <f t="shared" si="53"/>
        <v>"%USERPROFILE%\Documents\GitHub\eaglep3\Utilities\RefineRTDCRunTimes.py" --tripid 214-02 --locoid 4012 --swversion DE.1.0.8.0 --startMP 204:232981 --initTime 2017-01-02T18:29:25 --startdatetime 2017-01-02T18:41:21 --delay 1 --endMP 204:149 --enddatetime 2017-01-02T19:21:11 --enforcementcount 0 &gt;&gt;C:\Users\stu\Documents\GitHub\eaglep3-reporting\EC\2017-01-02-refined-times.txt</v>
      </c>
      <c r="AI127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{"issue":{"subject":"","project_id":79,"tracker_id":40,"status_id":1,"priority_id":2,"assigned_to_id":23,"start_date":"2017-01-02","description":"","custom_fields":[{"id":1,"name":"Subdivision","value":"EC"},{"id":4,"name":"Milepost","value":"0.0149"},{"id":17,"name":"Train ID","value":"214-02"},{"id":16,"name":"Locomotive ID","value":"4012"},{"id":130,"name":"Impact","value":""},{"id":150,"name":"Time of Event (Mountain Time)","value":"19:21:11"},{"id":151,"name":"Denver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55"/>
        <v>start /low /b %USERPROFILE%\Documents\GitHub\eaglep3\Utilities\DownloadLogsFromS3.py --loco 4012 --day 2017-01-02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4" t="s">
        <v>610</v>
      </c>
      <c r="B128" s="7">
        <v>4046</v>
      </c>
      <c r="C128" s="22" t="s">
        <v>203</v>
      </c>
      <c r="D128" s="22" t="s">
        <v>227</v>
      </c>
      <c r="E128" s="13">
        <v>42737.744872685187</v>
      </c>
      <c r="F128" s="13">
        <v>42737.750185185185</v>
      </c>
      <c r="G128" s="7">
        <v>1</v>
      </c>
      <c r="H128" s="22" t="s">
        <v>288</v>
      </c>
      <c r="I128" s="13">
        <v>42737.775324074071</v>
      </c>
      <c r="J128" s="7">
        <v>0</v>
      </c>
      <c r="K128" s="105" t="str">
        <f t="shared" si="38"/>
        <v>4045/4046</v>
      </c>
      <c r="L128" s="22" t="str">
        <f>VLOOKUP(A128,'Trips&amp;Operators'!$C$1:$G$99999,5,FALSE)</f>
        <v>KILLION DAVID</v>
      </c>
      <c r="M128" s="6">
        <f t="shared" si="39"/>
        <v>2.5138888886431232E-2</v>
      </c>
      <c r="N128" s="7">
        <f t="shared" si="40"/>
        <v>36.199999996460974</v>
      </c>
      <c r="O128" s="7"/>
      <c r="P128" s="7"/>
      <c r="Q128" s="23"/>
      <c r="R128" s="23"/>
      <c r="S128" s="32">
        <f t="shared" si="41"/>
        <v>1</v>
      </c>
      <c r="T128" s="47" t="str">
        <f t="shared" si="42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16:52:37-700',mode:absolute,to:'2017-01-02 19:36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8" s="49" t="str">
        <f t="shared" si="44"/>
        <v>N</v>
      </c>
      <c r="X128" s="173">
        <f t="shared" si="45"/>
        <v>1</v>
      </c>
      <c r="Y128" s="64">
        <f t="shared" si="46"/>
        <v>4.5999999999999999E-2</v>
      </c>
      <c r="Z128" s="64">
        <f t="shared" si="47"/>
        <v>23.329699999999999</v>
      </c>
      <c r="AA128" s="64">
        <f t="shared" si="48"/>
        <v>23.2837</v>
      </c>
      <c r="AB128" s="61" t="e">
        <f>VLOOKUP(A128,Enforcements!$C$7:$K$19,8,0)</f>
        <v>#N/A</v>
      </c>
      <c r="AC128" s="57" t="e">
        <f>VLOOKUP(A128,Enforcements!$C$7:$E$19,3,0)</f>
        <v>#N/A</v>
      </c>
      <c r="AD128" s="58" t="str">
        <f t="shared" si="49"/>
        <v>0215-02</v>
      </c>
      <c r="AE128" s="87" t="str">
        <f t="shared" si="50"/>
        <v>aws s3 cp s3://rtdc.mdm.uploadarchive.raw/RTDC4046/ "%USERPROFILE%\AppData\Local\Temp\OnboardLogs"\RTDC4046\2017-01-02 --exclude "*" --recursive --include "*20170102*" &amp; "%USERPROFILE%\Documents\GitHub\mrs-test-scripts\Headless Mode &amp; Sideloading\WalkAndUnGZ.bat" "%USERPROFILE%\AppData\Local\Temp\OnboardLogs"\RTDC4046\2017-01-02 &amp; aws s3 cp s3://rtdc.mdm.uploadarchive.raw/RTDC4046/ "%USERPROFILE%\AppData\Local\Temp\OnboardLogs"\RTDC4046\2017-01-03 --exclude "*" --recursive --include "*20170103*" &amp; "%USERPROFILE%\Documents\GitHub\mrs-test-scripts\Headless Mode &amp; Sideloading\WalkAndUnGZ.bat" "%USERPROFILE%\AppData\Local\Temp\OnboardLogs"\RTDC4046\2017-01-03</v>
      </c>
      <c r="AF128" s="84" t="str">
        <f t="shared" si="51"/>
        <v>"C:\Program Files (x86)\AstroGrep\AstroGrep.exe" /spath="%USERPROFILE%\AppData\Local\Temp\OnboardLogs" /stypes="app*4046*20170103*" /stext=" 01:.+((SYSTEM_STATE.+slice.+state.+changed )|(ment ac)|(multiple cpu faults)|(system.+state.+changed )|(\[timeout)|(PRM\|1\|D)|(kpr)|(kdp)|(\|lc)|(penalty))" /e /r /s</v>
      </c>
      <c r="AG128" s="1" t="str">
        <f t="shared" si="52"/>
        <v>EC</v>
      </c>
      <c r="AH128" s="88" t="str">
        <f t="shared" si="53"/>
        <v>"%USERPROFILE%\Documents\GitHub\eaglep3\Utilities\RefineRTDCRunTimes.py" --tripid 215-02 --locoid 4046 --swversion DE.1.0.8.0 --startMP 204:460 --initTime 2017-01-02T17:52:37 --startdatetime 2017-01-02T18:00:16 --delay 1 --endMP 204:233297 --enddatetime 2017-01-02T18:36:28 --enforcementcount 0 &gt;&gt;C:\Users\stu\Documents\GitHub\eaglep3-reporting\EC\2017-01-02-refined-times.txt</v>
      </c>
      <c r="AI128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{"issue":{"subject":"","project_id":79,"tracker_id":40,"status_id":1,"priority_id":2,"assigned_to_id":23,"start_date":"2017-01-02","description":"","custom_fields":[{"id":1,"name":"Subdivision","value":"EC"},{"id":4,"name":"Milepost","value":"23.3297"},{"id":17,"name":"Train ID","value":"215-02"},{"id":16,"name":"Locomotive ID","value":"4046"},{"id":130,"name":"Impact","value":""},{"id":150,"name":"Time of Event (Mountain Time)","value":"18:36:28"},{"id":151,"name":"Denver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55"/>
        <v>start /low /b %USERPROFILE%\Documents\GitHub\eaglep3\Utilities\DownloadLogsFromS3.py --loco 4046 --day 2017-01-02</v>
      </c>
    </row>
    <row r="129" spans="1:91" s="21" customFormat="1" x14ac:dyDescent="0.25">
      <c r="A129" s="34" t="s">
        <v>622</v>
      </c>
      <c r="B129" s="7">
        <v>4045</v>
      </c>
      <c r="C129" s="22" t="s">
        <v>203</v>
      </c>
      <c r="D129" s="22" t="s">
        <v>702</v>
      </c>
      <c r="E129" s="13">
        <v>42737.780671296299</v>
      </c>
      <c r="F129" s="13">
        <v>42737.789189814815</v>
      </c>
      <c r="G129" s="7">
        <v>2</v>
      </c>
      <c r="H129" s="22" t="s">
        <v>209</v>
      </c>
      <c r="I129" s="13">
        <v>42737.817488425928</v>
      </c>
      <c r="J129" s="7">
        <v>0</v>
      </c>
      <c r="K129" s="105" t="str">
        <f t="shared" si="38"/>
        <v>4045/4046</v>
      </c>
      <c r="L129" s="22" t="str">
        <f>VLOOKUP(A129,'Trips&amp;Operators'!$C$1:$G$99999,5,FALSE)</f>
        <v>KILLION DAVID</v>
      </c>
      <c r="M129" s="6">
        <f t="shared" si="39"/>
        <v>2.8298611112404615E-2</v>
      </c>
      <c r="N129" s="7">
        <f t="shared" si="40"/>
        <v>40.750000001862645</v>
      </c>
      <c r="O129" s="7"/>
      <c r="P129" s="7"/>
      <c r="Q129" s="23"/>
      <c r="R129" s="23"/>
      <c r="S129" s="32">
        <f t="shared" si="41"/>
        <v>1</v>
      </c>
      <c r="T129" s="47" t="str">
        <f t="shared" si="42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17:44:10-700',mode:absolute,to:'2017-01-02 20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9" s="49" t="str">
        <f t="shared" si="44"/>
        <v>N</v>
      </c>
      <c r="X129" s="173">
        <f t="shared" si="45"/>
        <v>1</v>
      </c>
      <c r="Y129" s="64">
        <f t="shared" si="46"/>
        <v>23.296299999999999</v>
      </c>
      <c r="Z129" s="64">
        <f t="shared" si="47"/>
        <v>1.4999999999999999E-2</v>
      </c>
      <c r="AA129" s="64">
        <f t="shared" si="48"/>
        <v>23.281299999999998</v>
      </c>
      <c r="AB129" s="61" t="e">
        <f>VLOOKUP(A129,Enforcements!$C$7:$K$19,8,0)</f>
        <v>#N/A</v>
      </c>
      <c r="AC129" s="57" t="e">
        <f>VLOOKUP(A129,Enforcements!$C$7:$E$19,3,0)</f>
        <v>#N/A</v>
      </c>
      <c r="AD129" s="58" t="str">
        <f t="shared" si="49"/>
        <v>0216-02</v>
      </c>
      <c r="AE129" s="87" t="str">
        <f t="shared" si="50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129" s="84" t="str">
        <f t="shared" si="51"/>
        <v>"C:\Program Files (x86)\AstroGrep\AstroGrep.exe" /spath="%USERPROFILE%\AppData\Local\Temp\OnboardLogs" /stypes="app*4045*20170103*" /stext=" 02:.+((SYSTEM_STATE.+slice.+state.+changed )|(ment ac)|(multiple cpu faults)|(system.+state.+changed )|(\[timeout)|(PRM\|1\|D)|(kpr)|(kdp)|(\|lc)|(penalty))" /e /r /s</v>
      </c>
      <c r="AG129" s="1" t="str">
        <f t="shared" si="52"/>
        <v>EC</v>
      </c>
      <c r="AH129" s="88" t="str">
        <f t="shared" si="53"/>
        <v>"%USERPROFILE%\Documents\GitHub\eaglep3\Utilities\RefineRTDCRunTimes.py" --tripid 216-02 --locoid 4045 --swversion DE.1.0.8.0 --startMP 204:232963 --initTime 2017-01-02T18:44:10 --startdatetime 2017-01-02T18:56:26 --delay 2 --endMP 204:150 --enddatetime 2017-01-02T19:37:11 --enforcementcount 0 &gt;&gt;C:\Users\stu\Documents\GitHub\eaglep3-reporting\EC\2017-01-02-refined-times.txt</v>
      </c>
      <c r="AI129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{"issue":{"subject":"","project_id":79,"tracker_id":40,"status_id":1,"priority_id":2,"assigned_to_id":23,"start_date":"2017-01-02","description":"","custom_fields":[{"id":1,"name":"Subdivision","value":"EC"},{"id":4,"name":"Milepost","value":"0.015"},{"id":17,"name":"Train ID","value":"216-02"},{"id":16,"name":"Locomotive ID","value":"4045"},{"id":130,"name":"Impact","value":""},{"id":150,"name":"Time of Event (Mountain Time)","value":"19:37:11"},{"id":151,"name":"Denver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55"/>
        <v>start /low /b %USERPROFILE%\Documents\GitHub\eaglep3\Utilities\DownloadLogsFromS3.py --loco 4045 --day 2017-01-02</v>
      </c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x14ac:dyDescent="0.25">
      <c r="A130" s="34" t="s">
        <v>612</v>
      </c>
      <c r="B130" s="7">
        <v>4014</v>
      </c>
      <c r="C130" s="22" t="s">
        <v>203</v>
      </c>
      <c r="D130" s="22" t="s">
        <v>677</v>
      </c>
      <c r="E130" s="13">
        <v>42737.758437500001</v>
      </c>
      <c r="F130" s="13">
        <v>42737.760740740741</v>
      </c>
      <c r="G130" s="7">
        <v>1</v>
      </c>
      <c r="H130" s="22" t="s">
        <v>360</v>
      </c>
      <c r="I130" s="13">
        <v>42737.785520833335</v>
      </c>
      <c r="J130" s="7">
        <v>0</v>
      </c>
      <c r="K130" s="105" t="str">
        <f t="shared" si="38"/>
        <v>4013/4014</v>
      </c>
      <c r="L130" s="22" t="str">
        <f>VLOOKUP(A130,'Trips&amp;Operators'!$C$1:$G$99999,5,FALSE)</f>
        <v>STAMBAUGH JAMES</v>
      </c>
      <c r="M130" s="6">
        <f t="shared" si="39"/>
        <v>2.4780092593573499E-2</v>
      </c>
      <c r="N130" s="7">
        <f t="shared" si="40"/>
        <v>35.683333334745839</v>
      </c>
      <c r="O130" s="7"/>
      <c r="P130" s="7"/>
      <c r="Q130" s="23"/>
      <c r="R130" s="23"/>
      <c r="S130" s="32">
        <f t="shared" si="41"/>
        <v>1</v>
      </c>
      <c r="T130" s="47" t="str">
        <f t="shared" si="42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17:12:09-700',mode:absolute,to:'2017-01-02 19:51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0" s="49" t="str">
        <f t="shared" si="44"/>
        <v>N</v>
      </c>
      <c r="X130" s="173">
        <f t="shared" si="45"/>
        <v>1</v>
      </c>
      <c r="Y130" s="64">
        <f t="shared" si="46"/>
        <v>4.3299999999999998E-2</v>
      </c>
      <c r="Z130" s="64">
        <f t="shared" si="47"/>
        <v>23.331499999999998</v>
      </c>
      <c r="AA130" s="64">
        <f t="shared" si="48"/>
        <v>23.2882</v>
      </c>
      <c r="AB130" s="61" t="e">
        <f>VLOOKUP(A130,Enforcements!$C$7:$K$19,8,0)</f>
        <v>#N/A</v>
      </c>
      <c r="AC130" s="57" t="e">
        <f>VLOOKUP(A130,Enforcements!$C$7:$E$19,3,0)</f>
        <v>#N/A</v>
      </c>
      <c r="AD130" s="58" t="str">
        <f t="shared" si="49"/>
        <v>0217-02</v>
      </c>
      <c r="AE130" s="87" t="str">
        <f t="shared" si="50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130" s="84" t="str">
        <f t="shared" si="51"/>
        <v>"C:\Program Files (x86)\AstroGrep\AstroGrep.exe" /spath="%USERPROFILE%\AppData\Local\Temp\OnboardLogs" /stypes="app*4014*20170103*" /stext=" 01:.+((SYSTEM_STATE.+slice.+state.+changed )|(ment ac)|(multiple cpu faults)|(system.+state.+changed )|(\[timeout)|(PRM\|1\|D)|(kpr)|(kdp)|(\|lc)|(penalty))" /e /r /s</v>
      </c>
      <c r="AG130" s="1" t="str">
        <f t="shared" si="52"/>
        <v>EC</v>
      </c>
      <c r="AH130" s="88" t="str">
        <f t="shared" si="53"/>
        <v>"%USERPROFILE%\Documents\GitHub\eaglep3\Utilities\RefineRTDCRunTimes.py" --tripid 217-02 --locoid 4014 --swversion DE.1.0.8.0 --startMP 204:433 --initTime 2017-01-02T18:12:09 --startdatetime 2017-01-02T18:15:28 --delay 1 --endMP 204:233315 --enddatetime 2017-01-02T18:51:09 --enforcementcount 0 &gt;&gt;C:\Users\stu\Documents\GitHub\eaglep3-reporting\EC\2017-01-02-refined-times.txt</v>
      </c>
      <c r="AI130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{"issue":{"subject":"","project_id":79,"tracker_id":40,"status_id":1,"priority_id":2,"assigned_to_id":23,"start_date":"2017-01-02","description":"","custom_fields":[{"id":1,"name":"Subdivision","value":"EC"},{"id":4,"name":"Milepost","value":"23.3315"},{"id":17,"name":"Train ID","value":"217-02"},{"id":16,"name":"Locomotive ID","value":"4014"},{"id":130,"name":"Impact","value":""},{"id":150,"name":"Time of Event (Mountain Time)","value":"18:51:09"},{"id":151,"name":"Denver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55"/>
        <v>start /low /b %USERPROFILE%\Documents\GitHub\eaglep3\Utilities\DownloadLogsFromS3.py --loco 4014 --day 2017-01-02</v>
      </c>
    </row>
    <row r="131" spans="1:91" x14ac:dyDescent="0.25">
      <c r="A131" s="34" t="s">
        <v>625</v>
      </c>
      <c r="B131" s="7">
        <v>4013</v>
      </c>
      <c r="C131" s="22" t="s">
        <v>203</v>
      </c>
      <c r="D131" s="22" t="s">
        <v>300</v>
      </c>
      <c r="E131" s="13">
        <v>42737.789004629631</v>
      </c>
      <c r="F131" s="13">
        <v>42737.799814814818</v>
      </c>
      <c r="G131" s="7">
        <v>1</v>
      </c>
      <c r="H131" s="22" t="s">
        <v>292</v>
      </c>
      <c r="I131" s="13">
        <v>42737.825520833336</v>
      </c>
      <c r="J131" s="7">
        <v>0</v>
      </c>
      <c r="K131" s="105" t="str">
        <f t="shared" si="38"/>
        <v>4013/4014</v>
      </c>
      <c r="L131" s="22" t="str">
        <f>VLOOKUP(A131,'Trips&amp;Operators'!$C$1:$G$99999,5,FALSE)</f>
        <v>STAMBAUGH JAMES</v>
      </c>
      <c r="M131" s="6">
        <f t="shared" si="39"/>
        <v>2.5706018517666962E-2</v>
      </c>
      <c r="N131" s="7">
        <f t="shared" si="40"/>
        <v>37.016666665440425</v>
      </c>
      <c r="O131" s="7"/>
      <c r="P131" s="7"/>
      <c r="Q131" s="23"/>
      <c r="R131" s="23"/>
      <c r="S131" s="32">
        <f t="shared" si="41"/>
        <v>1</v>
      </c>
      <c r="T131" s="47" t="str">
        <f t="shared" si="42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17:56:10-700',mode:absolute,to:'2017-01-02 20:48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1" s="49" t="str">
        <f t="shared" si="44"/>
        <v>N</v>
      </c>
      <c r="X131" s="173">
        <f t="shared" si="45"/>
        <v>1</v>
      </c>
      <c r="Y131" s="64">
        <f t="shared" si="46"/>
        <v>23.299800000000001</v>
      </c>
      <c r="Z131" s="64">
        <f t="shared" si="47"/>
        <v>1.52E-2</v>
      </c>
      <c r="AA131" s="64">
        <f t="shared" si="48"/>
        <v>23.284600000000001</v>
      </c>
      <c r="AB131" s="61" t="e">
        <f>VLOOKUP(A131,Enforcements!$C$7:$K$19,8,0)</f>
        <v>#N/A</v>
      </c>
      <c r="AC131" s="57" t="e">
        <f>VLOOKUP(A131,Enforcements!$C$7:$E$19,3,0)</f>
        <v>#N/A</v>
      </c>
      <c r="AD131" s="58" t="str">
        <f t="shared" si="49"/>
        <v>0218-02</v>
      </c>
      <c r="AE131" s="87" t="str">
        <f t="shared" si="50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131" s="84" t="str">
        <f t="shared" si="51"/>
        <v>"C:\Program Files (x86)\AstroGrep\AstroGrep.exe" /spath="%USERPROFILE%\AppData\Local\Temp\OnboardLogs" /stypes="app*4013*20170103*" /stext=" 02:.+((SYSTEM_STATE.+slice.+state.+changed )|(ment ac)|(multiple cpu faults)|(system.+state.+changed )|(\[timeout)|(PRM\|1\|D)|(kpr)|(kdp)|(\|lc)|(penalty))" /e /r /s</v>
      </c>
      <c r="AG131" s="1" t="str">
        <f t="shared" si="52"/>
        <v>EC</v>
      </c>
      <c r="AH131" s="88" t="str">
        <f t="shared" si="53"/>
        <v>"%USERPROFILE%\Documents\GitHub\eaglep3\Utilities\RefineRTDCRunTimes.py" --tripid 218-02 --locoid 4013 --swversion DE.1.0.8.0 --startMP 204:232998 --initTime 2017-01-02T18:56:10 --startdatetime 2017-01-02T19:11:44 --delay 1 --endMP 204:152 --enddatetime 2017-01-02T19:48:45 --enforcementcount 0 &gt;&gt;C:\Users\stu\Documents\GitHub\eaglep3-reporting\EC\2017-01-02-refined-times.txt</v>
      </c>
      <c r="AI131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{"issue":{"subject":"","project_id":79,"tracker_id":40,"status_id":1,"priority_id":2,"assigned_to_id":23,"start_date":"2017-01-02","description":"","custom_fields":[{"id":1,"name":"Subdivision","value":"EC"},{"id":4,"name":"Milepost","value":"0.0152"},{"id":17,"name":"Train ID","value":"218-02"},{"id":16,"name":"Locomotive ID","value":"4013"},{"id":130,"name":"Impact","value":""},{"id":150,"name":"Time of Event (Mountain Time)","value":"19:48:45"},{"id":151,"name":"Denver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55"/>
        <v>start /low /b %USERPROFILE%\Documents\GitHub\eaglep3\Utilities\DownloadLogsFromS3.py --loco 4013 --day 2017-01-02</v>
      </c>
    </row>
    <row r="132" spans="1:91" s="21" customFormat="1" x14ac:dyDescent="0.25">
      <c r="A132" s="34" t="s">
        <v>618</v>
      </c>
      <c r="B132" s="7">
        <v>4042</v>
      </c>
      <c r="C132" s="22" t="s">
        <v>203</v>
      </c>
      <c r="D132" s="22" t="s">
        <v>712</v>
      </c>
      <c r="E132" s="13">
        <v>42737.770370370374</v>
      </c>
      <c r="F132" s="13">
        <v>42737.772256944445</v>
      </c>
      <c r="G132" s="7">
        <v>1</v>
      </c>
      <c r="H132" s="22" t="s">
        <v>403</v>
      </c>
      <c r="I132" s="13">
        <v>42737.800104166665</v>
      </c>
      <c r="J132" s="7">
        <v>0</v>
      </c>
      <c r="K132" s="105" t="str">
        <f t="shared" si="38"/>
        <v>4041/4042</v>
      </c>
      <c r="L132" s="22" t="str">
        <f>VLOOKUP(A132,'Trips&amp;Operators'!$C$1:$G$99999,5,FALSE)</f>
        <v>BADERTSCHER DIANE</v>
      </c>
      <c r="M132" s="6">
        <f t="shared" si="39"/>
        <v>2.7847222219861578E-2</v>
      </c>
      <c r="N132" s="7">
        <f t="shared" si="40"/>
        <v>40.099999996600673</v>
      </c>
      <c r="O132" s="7"/>
      <c r="P132" s="7"/>
      <c r="Q132" s="23"/>
      <c r="R132" s="23"/>
      <c r="S132" s="32">
        <f t="shared" si="41"/>
        <v>1</v>
      </c>
      <c r="T132" s="47" t="str">
        <f t="shared" si="42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17:29:20-700',mode:absolute,to:'2017-01-02 20:12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2" s="49" t="str">
        <f t="shared" si="44"/>
        <v>N</v>
      </c>
      <c r="X132" s="173">
        <f t="shared" si="45"/>
        <v>1</v>
      </c>
      <c r="Y132" s="64">
        <f t="shared" si="46"/>
        <v>4.9299999999999997E-2</v>
      </c>
      <c r="Z132" s="64">
        <f t="shared" si="47"/>
        <v>23.332999999999998</v>
      </c>
      <c r="AA132" s="64">
        <f t="shared" si="48"/>
        <v>23.2837</v>
      </c>
      <c r="AB132" s="61" t="e">
        <f>VLOOKUP(A132,Enforcements!$C$7:$K$19,8,0)</f>
        <v>#N/A</v>
      </c>
      <c r="AC132" s="57" t="e">
        <f>VLOOKUP(A132,Enforcements!$C$7:$E$19,3,0)</f>
        <v>#N/A</v>
      </c>
      <c r="AD132" s="58" t="str">
        <f t="shared" si="49"/>
        <v>0219-02</v>
      </c>
      <c r="AE132" s="87" t="str">
        <f t="shared" si="50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132" s="84" t="str">
        <f t="shared" si="51"/>
        <v>"C:\Program Files (x86)\AstroGrep\AstroGrep.exe" /spath="%USERPROFILE%\AppData\Local\Temp\OnboardLogs" /stypes="app*4042*20170103*" /stext=" 02:.+((SYSTEM_STATE.+slice.+state.+changed )|(ment ac)|(multiple cpu faults)|(system.+state.+changed )|(\[timeout)|(PRM\|1\|D)|(kpr)|(kdp)|(\|lc)|(penalty))" /e /r /s</v>
      </c>
      <c r="AG132" s="1" t="str">
        <f t="shared" si="52"/>
        <v>EC</v>
      </c>
      <c r="AH132" s="88" t="str">
        <f t="shared" si="53"/>
        <v>"%USERPROFILE%\Documents\GitHub\eaglep3\Utilities\RefineRTDCRunTimes.py" --tripid 219-02 --locoid 4042 --swversion DE.1.0.8.0 --startMP 204:493 --initTime 2017-01-02T18:29:20 --startdatetime 2017-01-02T18:32:03 --delay 1 --endMP 204:233330 --enddatetime 2017-01-02T19:12:09 --enforcementcount 0 &gt;&gt;C:\Users\stu\Documents\GitHub\eaglep3-reporting\EC\2017-01-02-refined-times.txt</v>
      </c>
      <c r="AI132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{"issue":{"subject":"","project_id":79,"tracker_id":40,"status_id":1,"priority_id":2,"assigned_to_id":23,"start_date":"2017-01-02","description":"","custom_fields":[{"id":1,"name":"Subdivision","value":"EC"},{"id":4,"name":"Milepost","value":"23.333"},{"id":17,"name":"Train ID","value":"219-02"},{"id":16,"name":"Locomotive ID","value":"4042"},{"id":130,"name":"Impact","value":""},{"id":150,"name":"Time of Event (Mountain Time)","value":"19:12:09"},{"id":151,"name":"Denver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55"/>
        <v>start /low /b %USERPROFILE%\Documents\GitHub\eaglep3\Utilities\DownloadLogsFromS3.py --loco 4042 --day 2017-01-02</v>
      </c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4" t="s">
        <v>630</v>
      </c>
      <c r="B133" s="7">
        <v>4041</v>
      </c>
      <c r="C133" s="22" t="s">
        <v>203</v>
      </c>
      <c r="D133" s="22" t="s">
        <v>689</v>
      </c>
      <c r="E133" s="13">
        <v>42737.806793981479</v>
      </c>
      <c r="F133" s="13">
        <v>42737.810023148151</v>
      </c>
      <c r="G133" s="7">
        <v>2</v>
      </c>
      <c r="H133" s="22" t="s">
        <v>422</v>
      </c>
      <c r="I133" s="13">
        <v>42737.837569444448</v>
      </c>
      <c r="J133" s="7">
        <v>0</v>
      </c>
      <c r="K133" s="105" t="str">
        <f t="shared" si="38"/>
        <v>4041/4042</v>
      </c>
      <c r="L133" s="22" t="str">
        <f>VLOOKUP(A133,'Trips&amp;Operators'!$C$1:$G$99999,5,FALSE)</f>
        <v>BADERTSCHER DIANE</v>
      </c>
      <c r="M133" s="6">
        <f t="shared" si="39"/>
        <v>2.7546296296350192E-2</v>
      </c>
      <c r="N133" s="7">
        <f t="shared" si="40"/>
        <v>39.666666666744277</v>
      </c>
      <c r="O133" s="7"/>
      <c r="P133" s="7"/>
      <c r="Q133" s="23"/>
      <c r="R133" s="23"/>
      <c r="S133" s="32">
        <f t="shared" si="41"/>
        <v>1</v>
      </c>
      <c r="T133" s="47" t="str">
        <f t="shared" si="42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18:21:47-700',mode:absolute,to:'2017-01-02 21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3" s="49" t="str">
        <f t="shared" si="44"/>
        <v>N</v>
      </c>
      <c r="X133" s="173">
        <f t="shared" si="45"/>
        <v>1</v>
      </c>
      <c r="Y133" s="64">
        <f t="shared" si="46"/>
        <v>23.299399999999999</v>
      </c>
      <c r="Z133" s="64">
        <f t="shared" si="47"/>
        <v>1.32E-2</v>
      </c>
      <c r="AA133" s="64">
        <f t="shared" si="48"/>
        <v>23.286199999999997</v>
      </c>
      <c r="AB133" s="61" t="e">
        <f>VLOOKUP(A133,Enforcements!$C$7:$K$19,8,0)</f>
        <v>#N/A</v>
      </c>
      <c r="AC133" s="57" t="e">
        <f>VLOOKUP(A133,Enforcements!$C$7:$E$19,3,0)</f>
        <v>#N/A</v>
      </c>
      <c r="AD133" s="58" t="str">
        <f t="shared" si="49"/>
        <v>0220-02</v>
      </c>
      <c r="AE133" s="87" t="str">
        <f t="shared" si="50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133" s="84" t="str">
        <f t="shared" si="51"/>
        <v>"C:\Program Files (x86)\AstroGrep\AstroGrep.exe" /spath="%USERPROFILE%\AppData\Local\Temp\OnboardLogs" /stypes="app*4041*20170103*" /stext=" 03:.+((SYSTEM_STATE.+slice.+state.+changed )|(ment ac)|(multiple cpu faults)|(system.+state.+changed )|(\[timeout)|(PRM\|1\|D)|(kpr)|(kdp)|(\|lc)|(penalty))" /e /r /s</v>
      </c>
      <c r="AG133" s="1" t="str">
        <f t="shared" si="52"/>
        <v>EC</v>
      </c>
      <c r="AH133" s="88" t="str">
        <f t="shared" si="53"/>
        <v>"%USERPROFILE%\Documents\GitHub\eaglep3\Utilities\RefineRTDCRunTimes.py" --tripid 220-02 --locoid 4041 --swversion DE.1.0.8.0 --startMP 204:232994 --initTime 2017-01-02T19:21:47 --startdatetime 2017-01-02T19:26:26 --delay 2 --endMP 204:132 --enddatetime 2017-01-02T20:06:06 --enforcementcount 0 &gt;&gt;C:\Users\stu\Documents\GitHub\eaglep3-reporting\EC\2017-01-02-refined-times.txt</v>
      </c>
      <c r="AI133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{"issue":{"subject":"","project_id":79,"tracker_id":40,"status_id":1,"priority_id":2,"assigned_to_id":23,"start_date":"2017-01-02","description":"","custom_fields":[{"id":1,"name":"Subdivision","value":"EC"},{"id":4,"name":"Milepost","value":"0.0132"},{"id":17,"name":"Train ID","value":"220-02"},{"id":16,"name":"Locomotive ID","value":"4041"},{"id":130,"name":"Impact","value":""},{"id":150,"name":"Time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55"/>
        <v>start /low /b %USERPROFILE%\Documents\GitHub\eaglep3\Utilities\DownloadLogsFromS3.py --loco 4041 --day 2017-01-02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626</v>
      </c>
      <c r="B134" s="7">
        <v>4016</v>
      </c>
      <c r="C134" s="22" t="s">
        <v>203</v>
      </c>
      <c r="D134" s="22" t="s">
        <v>262</v>
      </c>
      <c r="E134" s="13">
        <v>42737.790381944447</v>
      </c>
      <c r="F134" s="13">
        <v>42737.791967592595</v>
      </c>
      <c r="G134" s="7">
        <v>1</v>
      </c>
      <c r="H134" s="22" t="s">
        <v>291</v>
      </c>
      <c r="I134" s="13">
        <v>42737.816689814812</v>
      </c>
      <c r="J134" s="7">
        <v>0</v>
      </c>
      <c r="K134" s="105" t="str">
        <f t="shared" si="38"/>
        <v>4015/4016</v>
      </c>
      <c r="L134" s="22" t="str">
        <f>VLOOKUP(A134,'Trips&amp;Operators'!$C$1:$G$99999,5,FALSE)</f>
        <v>CHANDLER KELVIN</v>
      </c>
      <c r="M134" s="6">
        <f t="shared" si="39"/>
        <v>2.4722222216951195E-2</v>
      </c>
      <c r="N134" s="7">
        <f t="shared" si="40"/>
        <v>35.599999992409721</v>
      </c>
      <c r="O134" s="7"/>
      <c r="P134" s="7"/>
      <c r="Q134" s="23"/>
      <c r="R134" s="23"/>
      <c r="S134" s="32">
        <f t="shared" si="41"/>
        <v>1</v>
      </c>
      <c r="T134" s="47" t="str">
        <f t="shared" si="42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17:58:09-700',mode:absolute,to:'2017-01-02 20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4" s="49" t="str">
        <f t="shared" si="44"/>
        <v>N</v>
      </c>
      <c r="X134" s="173">
        <f t="shared" si="45"/>
        <v>1</v>
      </c>
      <c r="Y134" s="64">
        <f t="shared" si="46"/>
        <v>4.3999999999999997E-2</v>
      </c>
      <c r="Z134" s="64">
        <f t="shared" si="47"/>
        <v>23.33</v>
      </c>
      <c r="AA134" s="64">
        <f t="shared" si="48"/>
        <v>23.285999999999998</v>
      </c>
      <c r="AB134" s="61" t="e">
        <f>VLOOKUP(A134,Enforcements!$C$7:$K$19,8,0)</f>
        <v>#N/A</v>
      </c>
      <c r="AC134" s="57" t="e">
        <f>VLOOKUP(A134,Enforcements!$C$7:$E$19,3,0)</f>
        <v>#N/A</v>
      </c>
      <c r="AD134" s="58" t="str">
        <f t="shared" si="49"/>
        <v>0221-02</v>
      </c>
      <c r="AE134" s="87" t="str">
        <f t="shared" si="50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134" s="84" t="str">
        <f t="shared" si="51"/>
        <v>"C:\Program Files (x86)\AstroGrep\AstroGrep.exe" /spath="%USERPROFILE%\AppData\Local\Temp\OnboardLogs" /stypes="app*4016*20170103*" /stext=" 02:.+((SYSTEM_STATE.+slice.+state.+changed )|(ment ac)|(multiple cpu faults)|(system.+state.+changed )|(\[timeout)|(PRM\|1\|D)|(kpr)|(kdp)|(\|lc)|(penalty))" /e /r /s</v>
      </c>
      <c r="AG134" s="1" t="str">
        <f t="shared" si="52"/>
        <v>EC</v>
      </c>
      <c r="AH134" s="88" t="str">
        <f t="shared" si="53"/>
        <v>"%USERPROFILE%\Documents\GitHub\eaglep3\Utilities\RefineRTDCRunTimes.py" --tripid 221-02 --locoid 4016 --swversion DE.1.0.8.0 --startMP 204:440 --initTime 2017-01-02T18:58:09 --startdatetime 2017-01-02T19:00:26 --delay 1 --endMP 204:233300 --enddatetime 2017-01-02T19:36:02 --enforcementcount 0 &gt;&gt;C:\Users\stu\Documents\GitHub\eaglep3-reporting\EC\2017-01-02-refined-times.txt</v>
      </c>
      <c r="AI134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{"issue":{"subject":"","project_id":79,"tracker_id":40,"status_id":1,"priority_id":2,"assigned_to_id":23,"start_date":"2017-01-02","description":"","custom_fields":[{"id":1,"name":"Subdivision","value":"EC"},{"id":4,"name":"Milepost","value":"23.33"},{"id":17,"name":"Train ID","value":"221-02"},{"id":16,"name":"Locomotive ID","value":"4016"},{"id":130,"name":"Impact","value":""},{"id":150,"name":"Time of Event (Mountain Time)","value":"19:36:02"},{"id":151,"name":"Denver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55"/>
        <v>start /low /b %USERPROFILE%\Documents\GitHub\eaglep3\Utilities\DownloadLogsFromS3.py --loco 4016 --day 2017-01-02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635</v>
      </c>
      <c r="B135" s="7">
        <v>4015</v>
      </c>
      <c r="C135" s="22" t="s">
        <v>203</v>
      </c>
      <c r="D135" s="22" t="s">
        <v>344</v>
      </c>
      <c r="E135" s="13">
        <v>42737.828194444446</v>
      </c>
      <c r="F135" s="13">
        <v>42737.831435185188</v>
      </c>
      <c r="G135" s="7">
        <v>1</v>
      </c>
      <c r="H135" s="22" t="s">
        <v>315</v>
      </c>
      <c r="I135" s="13">
        <v>42737.858923611115</v>
      </c>
      <c r="J135" s="7">
        <v>0</v>
      </c>
      <c r="K135" s="105" t="str">
        <f t="shared" si="38"/>
        <v>4015/4016</v>
      </c>
      <c r="L135" s="22" t="str">
        <f>VLOOKUP(A135,'Trips&amp;Operators'!$C$1:$G$99999,5,FALSE)</f>
        <v>CHANDLER KELVIN</v>
      </c>
      <c r="M135" s="6">
        <f t="shared" si="39"/>
        <v>2.7488425927003846E-2</v>
      </c>
      <c r="N135" s="7">
        <f t="shared" si="40"/>
        <v>39.583333334885538</v>
      </c>
      <c r="O135" s="7"/>
      <c r="P135" s="7"/>
      <c r="Q135" s="23"/>
      <c r="R135" s="23"/>
      <c r="S135" s="32">
        <f t="shared" si="41"/>
        <v>1</v>
      </c>
      <c r="T135" s="47" t="str">
        <f t="shared" si="42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18:52:36-700',mode:absolute,to:'2017-01-02 21:36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5" s="49" t="str">
        <f t="shared" si="44"/>
        <v>N</v>
      </c>
      <c r="X135" s="173">
        <f t="shared" si="45"/>
        <v>1</v>
      </c>
      <c r="Y135" s="64">
        <f t="shared" si="46"/>
        <v>23.299099999999999</v>
      </c>
      <c r="Z135" s="64">
        <f t="shared" si="47"/>
        <v>1.5599999999999999E-2</v>
      </c>
      <c r="AA135" s="64">
        <f t="shared" si="48"/>
        <v>23.2835</v>
      </c>
      <c r="AB135" s="61" t="e">
        <f>VLOOKUP(A135,Enforcements!$C$7:$K$19,8,0)</f>
        <v>#N/A</v>
      </c>
      <c r="AC135" s="57" t="e">
        <f>VLOOKUP(A135,Enforcements!$C$7:$E$19,3,0)</f>
        <v>#N/A</v>
      </c>
      <c r="AD135" s="58" t="str">
        <f t="shared" si="49"/>
        <v>0222-02</v>
      </c>
      <c r="AE135" s="87" t="str">
        <f t="shared" si="50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135" s="84" t="str">
        <f t="shared" si="51"/>
        <v>"C:\Program Files (x86)\AstroGrep\AstroGrep.exe" /spath="%USERPROFILE%\AppData\Local\Temp\OnboardLogs" /stypes="app*4015*20170103*" /stext=" 03:.+((SYSTEM_STATE.+slice.+state.+changed )|(ment ac)|(multiple cpu faults)|(system.+state.+changed )|(\[timeout)|(PRM\|1\|D)|(kpr)|(kdp)|(\|lc)|(penalty))" /e /r /s</v>
      </c>
      <c r="AG135" s="1" t="str">
        <f t="shared" si="52"/>
        <v>EC</v>
      </c>
      <c r="AH135" s="88" t="str">
        <f t="shared" si="53"/>
        <v>"%USERPROFILE%\Documents\GitHub\eaglep3\Utilities\RefineRTDCRunTimes.py" --tripid 222-02 --locoid 4015 --swversion DE.1.0.8.0 --startMP 204:232991 --initTime 2017-01-02T19:52:36 --startdatetime 2017-01-02T19:57:16 --delay 1 --endMP 204:156 --enddatetime 2017-01-02T20:36:51 --enforcementcount 0 &gt;&gt;C:\Users\stu\Documents\GitHub\eaglep3-reporting\EC\2017-01-02-refined-times.txt</v>
      </c>
      <c r="AI135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{"issue":{"subject":"","project_id":79,"tracker_id":40,"status_id":1,"priority_id":2,"assigned_to_id":23,"start_date":"2017-01-02","description":"","custom_fields":[{"id":1,"name":"Subdivision","value":"EC"},{"id":4,"name":"Milepost","value":"0.0156"},{"id":17,"name":"Train ID","value":"222-02"},{"id":16,"name":"Locomotive ID","value":"4015"},{"id":130,"name":"Impact","value":""},{"id":150,"name":"Time of Event (Mountain Time)","value":"20:36:51"},{"id":151,"name":"Denver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55"/>
        <v>start /low /b %USERPROFILE%\Documents\GitHub\eaglep3\Utilities\DownloadLogsFromS3.py --loco 4015 --day 2017-01-02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631</v>
      </c>
      <c r="B136" s="7">
        <v>4011</v>
      </c>
      <c r="C136" s="22" t="s">
        <v>203</v>
      </c>
      <c r="D136" s="22" t="s">
        <v>193</v>
      </c>
      <c r="E136" s="13">
        <v>42737.808078703703</v>
      </c>
      <c r="F136" s="13">
        <v>42737.812800925924</v>
      </c>
      <c r="G136" s="7">
        <v>1</v>
      </c>
      <c r="H136" s="22" t="s">
        <v>267</v>
      </c>
      <c r="I136" s="13">
        <v>42737.838090277779</v>
      </c>
      <c r="J136" s="7">
        <v>0</v>
      </c>
      <c r="K136" s="105" t="str">
        <f t="shared" si="38"/>
        <v>4011/4012</v>
      </c>
      <c r="L136" s="22" t="str">
        <f>VLOOKUP(A136,'Trips&amp;Operators'!$C$1:$G$99999,5,FALSE)</f>
        <v>SMITH MICHAEL</v>
      </c>
      <c r="M136" s="6">
        <f t="shared" si="39"/>
        <v>2.5289351855462883E-2</v>
      </c>
      <c r="N136" s="7">
        <f t="shared" si="40"/>
        <v>36.416666671866551</v>
      </c>
      <c r="O136" s="7"/>
      <c r="P136" s="7"/>
      <c r="Q136" s="23"/>
      <c r="R136" s="23"/>
      <c r="S136" s="32">
        <f t="shared" si="41"/>
        <v>1</v>
      </c>
      <c r="T136" s="47" t="str">
        <f t="shared" si="42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18:23:38-700',mode:absolute,to:'2017-01-02 21:06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6" s="49" t="str">
        <f t="shared" si="44"/>
        <v>N</v>
      </c>
      <c r="X136" s="173">
        <f t="shared" si="45"/>
        <v>1</v>
      </c>
      <c r="Y136" s="64">
        <f t="shared" si="46"/>
        <v>4.4699999999999997E-2</v>
      </c>
      <c r="Z136" s="64">
        <f t="shared" si="47"/>
        <v>23.3308</v>
      </c>
      <c r="AA136" s="64">
        <f t="shared" si="48"/>
        <v>23.286100000000001</v>
      </c>
      <c r="AB136" s="61" t="e">
        <f>VLOOKUP(A136,Enforcements!$C$7:$K$19,8,0)</f>
        <v>#N/A</v>
      </c>
      <c r="AC136" s="57" t="e">
        <f>VLOOKUP(A136,Enforcements!$C$7:$E$19,3,0)</f>
        <v>#N/A</v>
      </c>
      <c r="AD136" s="58" t="str">
        <f t="shared" si="49"/>
        <v>0223-02</v>
      </c>
      <c r="AE136" s="87" t="str">
        <f t="shared" si="50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136" s="84" t="str">
        <f t="shared" si="51"/>
        <v>"C:\Program Files (x86)\AstroGrep\AstroGrep.exe" /spath="%USERPROFILE%\AppData\Local\Temp\OnboardLogs" /stypes="app*4011*20170103*" /stext=" 03:.+((SYSTEM_STATE.+slice.+state.+changed )|(ment ac)|(multiple cpu faults)|(system.+state.+changed )|(\[timeout)|(PRM\|1\|D)|(kpr)|(kdp)|(\|lc)|(penalty))" /e /r /s</v>
      </c>
      <c r="AG136" s="1" t="str">
        <f t="shared" si="52"/>
        <v>EC</v>
      </c>
      <c r="AH136" s="88" t="str">
        <f t="shared" si="53"/>
        <v>"%USERPROFILE%\Documents\GitHub\eaglep3\Utilities\RefineRTDCRunTimes.py" --tripid 223-02 --locoid 4011 --swversion DE.1.0.8.0 --startMP 204:447 --initTime 2017-01-02T19:23:38 --startdatetime 2017-01-02T19:30:26 --delay 1 --endMP 204:233308 --enddatetime 2017-01-02T20:06:51 --enforcementcount 0 &gt;&gt;C:\Users\stu\Documents\GitHub\eaglep3-reporting\EC\2017-01-02-refined-times.txt</v>
      </c>
      <c r="AI136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{"issue":{"subject":"","project_id":79,"tracker_id":40,"status_id":1,"priority_id":2,"assigned_to_id":23,"start_date":"2017-01-02","description":"","custom_fields":[{"id":1,"name":"Subdivision","value":"EC"},{"id":4,"name":"Milepost","value":"23.3308"},{"id":17,"name":"Train ID","value":"223-02"},{"id":16,"name":"Locomotive ID","value":"4011"},{"id":130,"name":"Impact","value":""},{"id":150,"name":"Time of Event (Mountain Time)","value":"20:06:51"},{"id":151,"name":"Denver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55"/>
        <v>start /low /b %USERPROFILE%\Documents\GitHub\eaglep3\Utilities\DownloadLogsFromS3.py --loco 4011 --day 2017-01-02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637</v>
      </c>
      <c r="B137" s="7">
        <v>4012</v>
      </c>
      <c r="C137" s="22" t="s">
        <v>203</v>
      </c>
      <c r="D137" s="22" t="s">
        <v>344</v>
      </c>
      <c r="E137" s="13">
        <v>42737.842650462961</v>
      </c>
      <c r="F137" s="13">
        <v>42737.851655092592</v>
      </c>
      <c r="G137" s="7">
        <v>1</v>
      </c>
      <c r="H137" s="22" t="s">
        <v>259</v>
      </c>
      <c r="I137" s="13">
        <v>42737.87871527778</v>
      </c>
      <c r="J137" s="7">
        <v>0</v>
      </c>
      <c r="K137" s="105" t="str">
        <f t="shared" si="38"/>
        <v>4011/4012</v>
      </c>
      <c r="L137" s="22" t="str">
        <f>VLOOKUP(A137,'Trips&amp;Operators'!$C$1:$G$99999,5,FALSE)</f>
        <v>SMITH MICHAEL</v>
      </c>
      <c r="M137" s="6">
        <f t="shared" si="39"/>
        <v>2.7060185188020114E-2</v>
      </c>
      <c r="N137" s="7">
        <f t="shared" si="40"/>
        <v>38.966666670748964</v>
      </c>
      <c r="O137" s="7"/>
      <c r="P137" s="7"/>
      <c r="Q137" s="23"/>
      <c r="R137" s="23"/>
      <c r="S137" s="32">
        <f t="shared" si="41"/>
        <v>1</v>
      </c>
      <c r="T137" s="47" t="str">
        <f t="shared" si="42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19:13:25-700',mode:absolute,to:'2017-01-02 22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7" s="49" t="str">
        <f t="shared" si="44"/>
        <v>N</v>
      </c>
      <c r="X137" s="173">
        <f t="shared" si="45"/>
        <v>1</v>
      </c>
      <c r="Y137" s="64">
        <f t="shared" si="46"/>
        <v>23.299099999999999</v>
      </c>
      <c r="Z137" s="64">
        <f t="shared" si="47"/>
        <v>1.38E-2</v>
      </c>
      <c r="AA137" s="64">
        <f t="shared" si="48"/>
        <v>23.285299999999999</v>
      </c>
      <c r="AB137" s="61" t="e">
        <f>VLOOKUP(A137,Enforcements!$C$7:$K$19,8,0)</f>
        <v>#N/A</v>
      </c>
      <c r="AC137" s="57" t="e">
        <f>VLOOKUP(A137,Enforcements!$C$7:$E$19,3,0)</f>
        <v>#N/A</v>
      </c>
      <c r="AD137" s="58" t="str">
        <f t="shared" si="49"/>
        <v>0224-02</v>
      </c>
      <c r="AE137" s="87" t="str">
        <f t="shared" si="50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137" s="84" t="str">
        <f t="shared" si="51"/>
        <v>"C:\Program Files (x86)\AstroGrep\AstroGrep.exe" /spath="%USERPROFILE%\AppData\Local\Temp\OnboardLogs" /stypes="app*4012*20170103*" /stext=" 04:.+((SYSTEM_STATE.+slice.+state.+changed )|(ment ac)|(multiple cpu faults)|(system.+state.+changed )|(\[timeout)|(PRM\|1\|D)|(kpr)|(kdp)|(\|lc)|(penalty))" /e /r /s</v>
      </c>
      <c r="AG137" s="1" t="str">
        <f t="shared" si="52"/>
        <v>EC</v>
      </c>
      <c r="AH137" s="88" t="str">
        <f t="shared" si="53"/>
        <v>"%USERPROFILE%\Documents\GitHub\eaglep3\Utilities\RefineRTDCRunTimes.py" --tripid 224-02 --locoid 4012 --swversion DE.1.0.8.0 --startMP 204:232991 --initTime 2017-01-02T20:13:25 --startdatetime 2017-01-02T20:26:23 --delay 1 --endMP 204:138 --enddatetime 2017-01-02T21:05:21 --enforcementcount 0 &gt;&gt;C:\Users\stu\Documents\GitHub\eaglep3-reporting\EC\2017-01-02-refined-times.txt</v>
      </c>
      <c r="AI137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{"issue":{"subject":"","project_id":79,"tracker_id":40,"status_id":1,"priority_id":2,"assigned_to_id":23,"start_date":"2017-01-02","description":"","custom_fields":[{"id":1,"name":"Subdivision","value":"EC"},{"id":4,"name":"Milepost","value":"0.0138"},{"id":17,"name":"Train ID","value":"224-02"},{"id":16,"name":"Locomotive ID","value":"4012"},{"id":130,"name":"Impact","value":""},{"id":150,"name":"Time of Event (Mountain Time)","value":"21:05:21"},{"id":151,"name":"Denver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55"/>
        <v>start /low /b %USERPROFILE%\Documents\GitHub\eaglep3\Utilities\DownloadLogsFromS3.py --loco 4012 --day 2017-01-02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634</v>
      </c>
      <c r="B138" s="7">
        <v>4014</v>
      </c>
      <c r="C138" s="22" t="s">
        <v>203</v>
      </c>
      <c r="D138" s="22" t="s">
        <v>345</v>
      </c>
      <c r="E138" s="13">
        <v>42737.827303240738</v>
      </c>
      <c r="F138" s="13">
        <v>42737.833923611113</v>
      </c>
      <c r="G138" s="7">
        <v>6</v>
      </c>
      <c r="H138" s="22" t="s">
        <v>289</v>
      </c>
      <c r="I138" s="13">
        <v>42737.858298611114</v>
      </c>
      <c r="J138" s="7">
        <v>0</v>
      </c>
      <c r="K138" s="105" t="str">
        <f t="shared" si="38"/>
        <v>4013/4014</v>
      </c>
      <c r="L138" s="22" t="str">
        <f>VLOOKUP(A138,'Trips&amp;Operators'!$C$1:$G$99999,5,FALSE)</f>
        <v>STAMBAUGH JAMES</v>
      </c>
      <c r="M138" s="6">
        <f t="shared" si="39"/>
        <v>2.4375000000873115E-2</v>
      </c>
      <c r="N138" s="7">
        <f t="shared" si="40"/>
        <v>35.100000001257285</v>
      </c>
      <c r="O138" s="7"/>
      <c r="P138" s="7"/>
      <c r="Q138" s="23"/>
      <c r="R138" s="23"/>
      <c r="S138" s="32">
        <f t="shared" si="41"/>
        <v>1</v>
      </c>
      <c r="T138" s="47" t="str">
        <f t="shared" si="42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18:51:19-700',mode:absolute,to:'2017-01-02 21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8" s="49" t="str">
        <f t="shared" si="44"/>
        <v>N</v>
      </c>
      <c r="X138" s="173">
        <f t="shared" si="45"/>
        <v>1</v>
      </c>
      <c r="Y138" s="64">
        <f t="shared" si="46"/>
        <v>4.7100000000000003E-2</v>
      </c>
      <c r="Z138" s="64">
        <f t="shared" si="47"/>
        <v>23.331199999999999</v>
      </c>
      <c r="AA138" s="64">
        <f t="shared" si="48"/>
        <v>23.284099999999999</v>
      </c>
      <c r="AB138" s="61" t="e">
        <f>VLOOKUP(A138,Enforcements!$C$7:$K$19,8,0)</f>
        <v>#N/A</v>
      </c>
      <c r="AC138" s="57" t="e">
        <f>VLOOKUP(A138,Enforcements!$C$7:$E$19,3,0)</f>
        <v>#N/A</v>
      </c>
      <c r="AD138" s="58" t="str">
        <f t="shared" si="49"/>
        <v>0225-02</v>
      </c>
      <c r="AE138" s="87" t="str">
        <f t="shared" si="50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138" s="84" t="str">
        <f t="shared" si="51"/>
        <v>"C:\Program Files (x86)\AstroGrep\AstroGrep.exe" /spath="%USERPROFILE%\AppData\Local\Temp\OnboardLogs" /stypes="app*4014*20170103*" /stext=" 03:.+((SYSTEM_STATE.+slice.+state.+changed )|(ment ac)|(multiple cpu faults)|(system.+state.+changed )|(\[timeout)|(PRM\|1\|D)|(kpr)|(kdp)|(\|lc)|(penalty))" /e /r /s</v>
      </c>
      <c r="AG138" s="1" t="str">
        <f t="shared" si="52"/>
        <v>EC</v>
      </c>
      <c r="AH138" s="88" t="str">
        <f t="shared" si="53"/>
        <v>"%USERPROFILE%\Documents\GitHub\eaglep3\Utilities\RefineRTDCRunTimes.py" --tripid 225-02 --locoid 4014 --swversion DE.1.0.8.0 --startMP 204:471 --initTime 2017-01-02T19:51:19 --startdatetime 2017-01-02T20:00:51 --delay 6 --endMP 204:233312 --enddatetime 2017-01-02T20:35:57 --enforcementcount 0 &gt;&gt;C:\Users\stu\Documents\GitHub\eaglep3-reporting\EC\2017-01-02-refined-times.txt</v>
      </c>
      <c r="AI138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{"issue":{"subject":"","project_id":79,"tracker_id":40,"status_id":1,"priority_id":2,"assigned_to_id":23,"start_date":"2017-01-02","description":"","custom_fields":[{"id":1,"name":"Subdivision","value":"EC"},{"id":4,"name":"Milepost","value":"23.3312"},{"id":17,"name":"Train ID","value":"225-02"},{"id":16,"name":"Locomotive ID","value":"4014"},{"id":130,"name":"Impact","value":""},{"id":150,"name":"Time of Event (Mountain Time)","value":"20:35:57"},{"id":151,"name":"Denver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55"/>
        <v>start /low /b %USERPROFILE%\Documents\GitHub\eaglep3\Utilities\DownloadLogsFromS3.py --loco 4014 --day 2017-01-02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640</v>
      </c>
      <c r="B139" s="7">
        <v>4013</v>
      </c>
      <c r="C139" s="22" t="s">
        <v>203</v>
      </c>
      <c r="D139" s="22" t="s">
        <v>342</v>
      </c>
      <c r="E139" s="13">
        <v>42737.860381944447</v>
      </c>
      <c r="F139" s="13">
        <v>42737.872557870367</v>
      </c>
      <c r="G139" s="7">
        <v>1</v>
      </c>
      <c r="H139" s="22" t="s">
        <v>681</v>
      </c>
      <c r="I139" s="13">
        <v>42737.898981481485</v>
      </c>
      <c r="J139" s="7">
        <v>0</v>
      </c>
      <c r="K139" s="105" t="str">
        <f t="shared" si="38"/>
        <v>4013/4014</v>
      </c>
      <c r="L139" s="22" t="str">
        <f>VLOOKUP(A139,'Trips&amp;Operators'!$C$1:$G$99999,5,FALSE)</f>
        <v>STAMBAUGH JAMES</v>
      </c>
      <c r="M139" s="6">
        <f t="shared" si="39"/>
        <v>2.6423611117934342E-2</v>
      </c>
      <c r="N139" s="7">
        <f t="shared" si="40"/>
        <v>38.050000009825453</v>
      </c>
      <c r="O139" s="7"/>
      <c r="P139" s="7"/>
      <c r="Q139" s="23"/>
      <c r="R139" s="23"/>
      <c r="S139" s="32">
        <f t="shared" si="41"/>
        <v>1</v>
      </c>
      <c r="T139" s="47" t="str">
        <f t="shared" si="42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43"/>
        <v>https://search-rtdc-monitor-bjffxe2xuh6vdkpspy63sjmuny.us-east-1.es.amazonaws.com/_plugin/kibana/#/discover/Steve-Slow-Train-Analysis-(2080s-and-2083s)?_g=(refreshInterval:(display:Off,section:0,value:0),time:(from:'2017-01-02 19:38:57-700',mode:absolute,to:'2017-01-02 22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9" s="49" t="str">
        <f t="shared" si="44"/>
        <v>N</v>
      </c>
      <c r="X139" s="173">
        <f t="shared" si="45"/>
        <v>1</v>
      </c>
      <c r="Y139" s="64">
        <f t="shared" si="46"/>
        <v>23.300799999999999</v>
      </c>
      <c r="Z139" s="64">
        <f t="shared" si="47"/>
        <v>1.3599999999999999E-2</v>
      </c>
      <c r="AA139" s="64">
        <f t="shared" si="48"/>
        <v>23.287199999999999</v>
      </c>
      <c r="AB139" s="61" t="e">
        <f>VLOOKUP(A139,Enforcements!$C$7:$K$19,8,0)</f>
        <v>#N/A</v>
      </c>
      <c r="AC139" s="57" t="e">
        <f>VLOOKUP(A139,Enforcements!$C$7:$E$19,3,0)</f>
        <v>#N/A</v>
      </c>
      <c r="AD139" s="58" t="str">
        <f t="shared" si="49"/>
        <v>0226-02</v>
      </c>
      <c r="AE139" s="87" t="str">
        <f t="shared" si="50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139" s="84" t="str">
        <f t="shared" si="51"/>
        <v>"C:\Program Files (x86)\AstroGrep\AstroGrep.exe" /spath="%USERPROFILE%\AppData\Local\Temp\OnboardLogs" /stypes="app*4013*20170103*" /stext=" 04:.+((SYSTEM_STATE.+slice.+state.+changed )|(ment ac)|(multiple cpu faults)|(system.+state.+changed )|(\[timeout)|(PRM\|1\|D)|(kpr)|(kdp)|(\|lc)|(penalty))" /e /r /s</v>
      </c>
      <c r="AG139" s="1" t="str">
        <f t="shared" si="52"/>
        <v>EC</v>
      </c>
      <c r="AH139" s="88" t="str">
        <f t="shared" si="53"/>
        <v>"%USERPROFILE%\Documents\GitHub\eaglep3\Utilities\RefineRTDCRunTimes.py" --tripid 226-02 --locoid 4013 --swversion DE.1.0.8.0 --startMP 204:233008 --initTime 2017-01-02T20:38:57 --startdatetime 2017-01-02T20:56:29 --delay 1 --endMP 204:136 --enddatetime 2017-01-02T21:34:32 --enforcementcount 0 &gt;&gt;C:\Users\stu\Documents\GitHub\eaglep3-reporting\EC\2017-01-02-refined-times.txt</v>
      </c>
      <c r="AI139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{"issue":{"subject":"","project_id":79,"tracker_id":40,"status_id":1,"priority_id":2,"assigned_to_id":23,"start_date":"2017-01-02","description":"","custom_fields":[{"id":1,"name":"Subdivision","value":"EC"},{"id":4,"name":"Milepost","value":"0.0136"},{"id":17,"name":"Train ID","value":"226-02"},{"id":16,"name":"Locomotive ID","value":"4013"},{"id":130,"name":"Impact","value":""},{"id":150,"name":"Time of Event (Mountain Time)","value":"21:34:32"},{"id":151,"name":"Denver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55"/>
        <v>start /low /b %USERPROFILE%\Documents\GitHub\eaglep3\Utilities\DownloadLogsFromS3.py --loco 4013 --day 2017-01-02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638</v>
      </c>
      <c r="B140" s="7">
        <v>4042</v>
      </c>
      <c r="C140" s="22" t="s">
        <v>203</v>
      </c>
      <c r="D140" s="22" t="s">
        <v>246</v>
      </c>
      <c r="E140" s="13">
        <v>42737.845208333332</v>
      </c>
      <c r="F140" s="13">
        <v>42737.854513888888</v>
      </c>
      <c r="G140" s="7">
        <v>6</v>
      </c>
      <c r="H140" s="22" t="s">
        <v>713</v>
      </c>
      <c r="I140" s="13">
        <v>42737.881215277775</v>
      </c>
      <c r="J140" s="7">
        <v>0</v>
      </c>
      <c r="K140" s="105" t="str">
        <f t="shared" ref="K140:K202" si="56">IF(ISEVEN(B140),(B140-1)&amp;"/"&amp;B140,B140&amp;"/"&amp;(B140+1))</f>
        <v>4041/4042</v>
      </c>
      <c r="L140" s="22" t="str">
        <f>VLOOKUP(A140,'Trips&amp;Operators'!$C$1:$G$99999,5,FALSE)</f>
        <v>STORY SAMANTHA</v>
      </c>
      <c r="M140" s="6">
        <f t="shared" ref="M140:M202" si="57">I140-F140</f>
        <v>2.6701388887886424E-2</v>
      </c>
      <c r="N140" s="7">
        <f t="shared" ref="N140:N202" si="58">24*60*SUM($M140:$M140)</f>
        <v>38.44999999855645</v>
      </c>
      <c r="O140" s="7"/>
      <c r="P140" s="7"/>
      <c r="Q140" s="23"/>
      <c r="R140" s="23"/>
      <c r="S140" s="32">
        <f t="shared" ref="S140:S202" si="59">SUM(U140:U140)/IF(AG140="EC",12,1)</f>
        <v>1</v>
      </c>
      <c r="T140" s="47" t="str">
        <f t="shared" ref="T140:T202" si="60">IF(ISEVEN(LEFT(AD140,4)),"Southbound","NorthBound")</f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ref="V140:V202" si="61">"https://search-rtdc-monitor-bjffxe2xuh6vdkpspy63sjmuny.us-east-1.es.amazonaws.com/_plugin/kibana/#/discover/Steve-Slow-Train-Analysis-(2080s-and-2083s)?_g=(refreshInterval:(display:Off,section:0,value:0),time:(from:'"&amp;TEXT(E140-1/24,"yyyy-MM-DD hh:mm:ss")&amp;utc_offset&amp;"00',mode:absolute,to:'"&amp;TEXT(I140+1/24,"yyyy-MM-DD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https://search-rtdc-monitor-bjffxe2xuh6vdkpspy63sjmuny.us-east-1.es.amazonaws.com/_plugin/kibana/#/discover/Steve-Slow-Train-Analysis-(2080s-and-2083s)?_g=(refreshInterval:(display:Off,section:0,value:0),time:(from:'2017-01-02 19:17:06-700',mode:absolute,to:'2017-01-02 22:08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0" s="49" t="str">
        <f t="shared" ref="W140:W202" si="62">IF(AA140&lt;IF(AG140="EC",23,5.65),"Y","N")</f>
        <v>N</v>
      </c>
      <c r="X140" s="173">
        <f t="shared" ref="X140:X202" si="63">VALUE(LEFT(AD140,4))-VALUE(LEFT(AD139,4))</f>
        <v>1</v>
      </c>
      <c r="Y140" s="64">
        <f t="shared" ref="Y140:Y202" si="64">RIGHT(D140,LEN(D140)-4)/10000</f>
        <v>4.53E-2</v>
      </c>
      <c r="Z140" s="64">
        <f t="shared" ref="Z140:Z202" si="65">RIGHT(H140,LEN(H140)-4)/10000</f>
        <v>23.3353</v>
      </c>
      <c r="AA140" s="64">
        <f t="shared" ref="AA140:AA202" si="66">ABS(Z140-Y140)</f>
        <v>23.29</v>
      </c>
      <c r="AB140" s="61" t="e">
        <f>VLOOKUP(A140,Enforcements!$C$7:$K$19,8,0)</f>
        <v>#N/A</v>
      </c>
      <c r="AC140" s="57" t="e">
        <f>VLOOKUP(A140,Enforcements!$C$7:$E$19,3,0)</f>
        <v>#N/A</v>
      </c>
      <c r="AD140" s="58" t="str">
        <f t="shared" ref="AD140:AD202" si="67">IF(LEN(A140)=6,"0"&amp;A140,A140)</f>
        <v>0227-02</v>
      </c>
      <c r="AE140" s="87" t="str">
        <f t="shared" ref="AE140:AE202" si="68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140" s="84" t="str">
        <f t="shared" ref="AF140:AF202" si="69"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/stypes="app*4042*20170103*" /stext=" 04:.+((SYSTEM_STATE.+slice.+state.+changed )|(ment ac)|(multiple cpu faults)|(system.+state.+changed )|(\[timeout)|(PRM\|1\|D)|(kpr)|(kdp)|(\|lc)|(penalty))" /e /r /s</v>
      </c>
      <c r="AG140" s="1" t="str">
        <f t="shared" ref="AG140:AG202" si="70">IFERROR(IF(VALUE(LEFT(AD140,2))&lt;=2,"EC",IF(OR(VALUE(LEFT(AD140,2))=8,VALUE(LEFT(AD140,2))=18),"NW","Other")),"Other")</f>
        <v>EC</v>
      </c>
      <c r="AH140" s="88" t="str">
        <f t="shared" si="53"/>
        <v>"%USERPROFILE%\Documents\GitHub\eaglep3\Utilities\RefineRTDCRunTimes.py" --tripid 227-02 --locoid 4042 --swversion DE.1.0.8.0 --startMP 204:453 --initTime 2017-01-02T20:17:06 --startdatetime 2017-01-02T20:30:30 --delay 6 --endMP 204:233353 --enddatetime 2017-01-02T21:08:57 --enforcementcount 0 &gt;&gt;C:\Users\stu\Documents\GitHub\eaglep3-reporting\EC\2017-01-02-refined-times.txt</v>
      </c>
      <c r="AI140" s="115" t="str">
        <f t="shared" si="54"/>
        <v>echo {"issue":{"subject":"","project_id":79,"tracker_id":40,"status_id":1,"priority_id":2,"assigned_to_id":23,"start_date":"2017-01-02","description":"","custom_fields":[{"id":1,"name":"Subdivision","value":"EC"},{"id":4,"name":"Milepost","value":"23.3353"},{"id":17,"name":"Train ID","value":"227-02"},{"id":16,"name":"Locomotive ID","value":"4042"},{"id":130,"name":"Impact","value":""},{"id":150,"name":"Time of Event (Mountain Time)","value":"21:08:57"},{"id":151,"name":"Denver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55"/>
        <v>start /low /b %USERPROFILE%\Documents\GitHub\eaglep3\Utilities\DownloadLogsFromS3.py --loco 4042 --day 2017-01-02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643</v>
      </c>
      <c r="B141" s="7">
        <v>4041</v>
      </c>
      <c r="C141" s="22" t="s">
        <v>203</v>
      </c>
      <c r="D141" s="22" t="s">
        <v>714</v>
      </c>
      <c r="E141" s="13">
        <v>42737.88616898148</v>
      </c>
      <c r="F141" s="13">
        <v>42737.893391203703</v>
      </c>
      <c r="G141" s="7">
        <v>1</v>
      </c>
      <c r="H141" s="22" t="s">
        <v>259</v>
      </c>
      <c r="I141" s="13">
        <v>42737.921331018515</v>
      </c>
      <c r="J141" s="7">
        <v>0</v>
      </c>
      <c r="K141" s="105" t="str">
        <f t="shared" si="56"/>
        <v>4041/4042</v>
      </c>
      <c r="L141" s="22" t="str">
        <f>VLOOKUP(A141,'Trips&amp;Operators'!$C$1:$G$99999,5,FALSE)</f>
        <v>STORY SAMANTHA</v>
      </c>
      <c r="M141" s="6">
        <f t="shared" si="57"/>
        <v>2.7939814812270924E-2</v>
      </c>
      <c r="N141" s="7">
        <f t="shared" si="58"/>
        <v>40.233333329670131</v>
      </c>
      <c r="O141" s="7"/>
      <c r="P141" s="7"/>
      <c r="Q141" s="23"/>
      <c r="R141" s="23"/>
      <c r="S141" s="32">
        <f t="shared" si="59"/>
        <v>1</v>
      </c>
      <c r="T141" s="47" t="str">
        <f t="shared" si="60"/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20:16:05-700',mode:absolute,to:'2017-01-02 23:06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1" s="49" t="str">
        <f t="shared" si="62"/>
        <v>N</v>
      </c>
      <c r="X141" s="173">
        <f t="shared" si="63"/>
        <v>1</v>
      </c>
      <c r="Y141" s="64">
        <f t="shared" si="64"/>
        <v>23.306999999999999</v>
      </c>
      <c r="Z141" s="64">
        <f t="shared" si="65"/>
        <v>1.38E-2</v>
      </c>
      <c r="AA141" s="64">
        <f t="shared" si="66"/>
        <v>23.293199999999999</v>
      </c>
      <c r="AB141" s="61" t="e">
        <f>VLOOKUP(A141,Enforcements!$C$7:$K$19,8,0)</f>
        <v>#N/A</v>
      </c>
      <c r="AC141" s="57" t="e">
        <f>VLOOKUP(A141,Enforcements!$C$7:$E$19,3,0)</f>
        <v>#N/A</v>
      </c>
      <c r="AD141" s="58" t="str">
        <f t="shared" si="67"/>
        <v>0228-02</v>
      </c>
      <c r="AE141" s="87" t="str">
        <f t="shared" si="68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141" s="84" t="str">
        <f t="shared" si="69"/>
        <v>"C:\Program Files (x86)\AstroGrep\AstroGrep.exe" /spath="%USERPROFILE%\AppData\Local\Temp\OnboardLogs" /stypes="app*4041*20170103*" /stext=" 05:.+((SYSTEM_STATE.+slice.+state.+changed )|(ment ac)|(multiple cpu faults)|(system.+state.+changed )|(\[timeout)|(PRM\|1\|D)|(kpr)|(kdp)|(\|lc)|(penalty))" /e /r /s</v>
      </c>
      <c r="AG141" s="1" t="str">
        <f t="shared" si="70"/>
        <v>EC</v>
      </c>
      <c r="AH141" s="88" t="str">
        <f t="shared" ref="AH141:AH203" si="71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228-02 --locoid 4041 --swversion DE.1.0.8.0 --startMP 204:233070 --initTime 2017-01-02T21:16:05 --startdatetime 2017-01-02T21:26:29 --delay 1 --endMP 204:138 --enddatetime 2017-01-02T22:06:43 --enforcementcount 0 &gt;&gt;C:\Users\stu\Documents\GitHub\eaglep3-reporting\EC\2017-01-02-refined-times.txt</v>
      </c>
      <c r="AI141" s="115" t="str">
        <f t="shared" ref="AI141:AI203" si="72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{"issue":{"subject":"","project_id":79,"tracker_id":40,"status_id":1,"priority_id":2,"assigned_to_id":23,"start_date":"2017-01-02","description":"","custom_fields":[{"id":1,"name":"Subdivision","value":"EC"},{"id":4,"name":"Milepost","value":"0.0138"},{"id":17,"name":"Train ID","value":"228-02"},{"id":16,"name":"Locomotive ID","value":"4041"},{"id":130,"name":"Impact","value":""},{"id":150,"name":"Time of Event (Mountain Time)","value":"22:06:43"},{"id":151,"name":"Denver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3" si="73">"start /low /b "&amp;dls3logs&amp;" --loco "&amp;B141&amp;" --day "&amp;TEXT(F141,"YYYY-MM-DD")</f>
        <v>start /low /b %USERPROFILE%\Documents\GitHub\eaglep3\Utilities\DownloadLogsFromS3.py --loco 4041 --day 2017-01-02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641</v>
      </c>
      <c r="B142" s="7">
        <v>4016</v>
      </c>
      <c r="C142" s="22" t="s">
        <v>203</v>
      </c>
      <c r="D142" s="22" t="s">
        <v>417</v>
      </c>
      <c r="E142" s="13">
        <v>42737.874074074076</v>
      </c>
      <c r="F142" s="13">
        <v>42737.875763888886</v>
      </c>
      <c r="G142" s="7">
        <v>1</v>
      </c>
      <c r="H142" s="22" t="s">
        <v>665</v>
      </c>
      <c r="I142" s="13">
        <v>42737.900891203702</v>
      </c>
      <c r="J142" s="7">
        <v>0</v>
      </c>
      <c r="K142" s="105" t="str">
        <f t="shared" si="56"/>
        <v>4015/4016</v>
      </c>
      <c r="L142" s="22" t="str">
        <f>VLOOKUP(A142,'Trips&amp;Operators'!$C$1:$G$99999,5,FALSE)</f>
        <v>CHANDLER KELVIN</v>
      </c>
      <c r="M142" s="6">
        <f t="shared" si="57"/>
        <v>2.5127314816927537E-2</v>
      </c>
      <c r="N142" s="7">
        <f t="shared" si="58"/>
        <v>36.183333336375654</v>
      </c>
      <c r="O142" s="7"/>
      <c r="P142" s="7"/>
      <c r="Q142" s="23"/>
      <c r="R142" s="23"/>
      <c r="S142" s="32">
        <f t="shared" si="59"/>
        <v>1</v>
      </c>
      <c r="T142" s="47" t="str">
        <f t="shared" si="60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19:58:40-700',mode:absolute,to:'2017-01-02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2" s="49" t="str">
        <f t="shared" si="62"/>
        <v>N</v>
      </c>
      <c r="X142" s="173">
        <f t="shared" si="63"/>
        <v>1</v>
      </c>
      <c r="Y142" s="64">
        <f t="shared" si="64"/>
        <v>4.4600000000000001E-2</v>
      </c>
      <c r="Z142" s="64">
        <f t="shared" si="65"/>
        <v>23.329499999999999</v>
      </c>
      <c r="AA142" s="64">
        <f t="shared" si="66"/>
        <v>23.2849</v>
      </c>
      <c r="AB142" s="61" t="e">
        <f>VLOOKUP(A142,Enforcements!$C$7:$K$19,8,0)</f>
        <v>#N/A</v>
      </c>
      <c r="AC142" s="57" t="e">
        <f>VLOOKUP(A142,Enforcements!$C$7:$E$19,3,0)</f>
        <v>#N/A</v>
      </c>
      <c r="AD142" s="58" t="str">
        <f t="shared" si="67"/>
        <v>0229-02</v>
      </c>
      <c r="AE142" s="87" t="str">
        <f t="shared" si="68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142" s="84" t="str">
        <f t="shared" si="69"/>
        <v>"C:\Program Files (x86)\AstroGrep\AstroGrep.exe" /spath="%USERPROFILE%\AppData\Local\Temp\OnboardLogs" /stypes="app*4016*20170103*" /stext=" 04:.+((SYSTEM_STATE.+slice.+state.+changed )|(ment ac)|(multiple cpu faults)|(system.+state.+changed )|(\[timeout)|(PRM\|1\|D)|(kpr)|(kdp)|(\|lc)|(penalty))" /e /r /s</v>
      </c>
      <c r="AG142" s="1" t="str">
        <f t="shared" si="70"/>
        <v>EC</v>
      </c>
      <c r="AH142" s="88" t="str">
        <f t="shared" si="71"/>
        <v>"%USERPROFILE%\Documents\GitHub\eaglep3\Utilities\RefineRTDCRunTimes.py" --tripid 229-02 --locoid 4016 --swversion DE.1.0.8.0 --startMP 204:446 --initTime 2017-01-02T20:58:40 --startdatetime 2017-01-02T21:01:06 --delay 1 --endMP 204:233295 --enddatetime 2017-01-02T21:37:17 --enforcementcount 0 &gt;&gt;C:\Users\stu\Documents\GitHub\eaglep3-reporting\EC\2017-01-02-refined-times.txt</v>
      </c>
      <c r="AI142" s="115" t="str">
        <f t="shared" si="72"/>
        <v>echo {"issue":{"subject":"","project_id":79,"tracker_id":40,"status_id":1,"priority_id":2,"assigned_to_id":23,"start_date":"2017-01-02","description":"","custom_fields":[{"id":1,"name":"Subdivision","value":"EC"},{"id":4,"name":"Milepost","value":"23.3295"},{"id":17,"name":"Train ID","value":"229-02"},{"id":16,"name":"Locomotive ID","value":"4016"},{"id":130,"name":"Impact","value":""},{"id":150,"name":"Time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73"/>
        <v>start /low /b %USERPROFILE%\Documents\GitHub\eaglep3\Utilities\DownloadLogsFromS3.py --loco 4016 --day 2017-01-02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646</v>
      </c>
      <c r="B143" s="7">
        <v>4015</v>
      </c>
      <c r="C143" s="22" t="s">
        <v>203</v>
      </c>
      <c r="D143" s="22" t="s">
        <v>323</v>
      </c>
      <c r="E143" s="13">
        <v>42737.910682870373</v>
      </c>
      <c r="F143" s="13">
        <v>42737.914305555554</v>
      </c>
      <c r="G143" s="7">
        <v>1</v>
      </c>
      <c r="H143" s="22" t="s">
        <v>299</v>
      </c>
      <c r="I143" s="13">
        <v>42737.942777777775</v>
      </c>
      <c r="J143" s="7">
        <v>0</v>
      </c>
      <c r="K143" s="105" t="str">
        <f t="shared" si="56"/>
        <v>4015/4016</v>
      </c>
      <c r="L143" s="22" t="str">
        <f>VLOOKUP(A143,'Trips&amp;Operators'!$C$1:$G$99999,5,FALSE)</f>
        <v>CHANDLER KELVIN</v>
      </c>
      <c r="M143" s="6">
        <f t="shared" si="57"/>
        <v>2.8472222220443655E-2</v>
      </c>
      <c r="N143" s="7">
        <f t="shared" si="58"/>
        <v>40.999999997438863</v>
      </c>
      <c r="O143" s="7"/>
      <c r="P143" s="7"/>
      <c r="Q143" s="23"/>
      <c r="R143" s="23"/>
      <c r="S143" s="32">
        <f t="shared" si="59"/>
        <v>1</v>
      </c>
      <c r="T143" s="47" t="str">
        <f t="shared" si="60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20:51:23-700',mode:absolute,to:'2017-01-02 23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3" s="49" t="str">
        <f t="shared" si="62"/>
        <v>N</v>
      </c>
      <c r="X143" s="173">
        <f t="shared" si="63"/>
        <v>1</v>
      </c>
      <c r="Y143" s="64">
        <f t="shared" si="64"/>
        <v>23.299600000000002</v>
      </c>
      <c r="Z143" s="64">
        <f t="shared" si="65"/>
        <v>1.5800000000000002E-2</v>
      </c>
      <c r="AA143" s="64">
        <f t="shared" si="66"/>
        <v>23.283800000000003</v>
      </c>
      <c r="AB143" s="61" t="e">
        <f>VLOOKUP(A143,Enforcements!$C$7:$K$19,8,0)</f>
        <v>#N/A</v>
      </c>
      <c r="AC143" s="57" t="e">
        <f>VLOOKUP(A143,Enforcements!$C$7:$E$19,3,0)</f>
        <v>#N/A</v>
      </c>
      <c r="AD143" s="58" t="str">
        <f t="shared" si="67"/>
        <v>0230-02</v>
      </c>
      <c r="AE143" s="87" t="str">
        <f t="shared" si="68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143" s="84" t="str">
        <f t="shared" si="69"/>
        <v>"C:\Program Files (x86)\AstroGrep\AstroGrep.exe" /spath="%USERPROFILE%\AppData\Local\Temp\OnboardLogs" /stypes="app*4015*20170103*" /stext=" 05:.+((SYSTEM_STATE.+slice.+state.+changed )|(ment ac)|(multiple cpu faults)|(system.+state.+changed )|(\[timeout)|(PRM\|1\|D)|(kpr)|(kdp)|(\|lc)|(penalty))" /e /r /s</v>
      </c>
      <c r="AG143" s="1" t="str">
        <f t="shared" si="70"/>
        <v>EC</v>
      </c>
      <c r="AH143" s="88" t="str">
        <f t="shared" si="71"/>
        <v>"%USERPROFILE%\Documents\GitHub\eaglep3\Utilities\RefineRTDCRunTimes.py" --tripid 230-02 --locoid 4015 --swversion DE.1.0.8.0 --startMP 204:232996 --initTime 2017-01-02T21:51:23 --startdatetime 2017-01-02T21:56:36 --delay 1 --endMP 204:158 --enddatetime 2017-01-02T22:37:36 --enforcementcount 0 &gt;&gt;C:\Users\stu\Documents\GitHub\eaglep3-reporting\EC\2017-01-02-refined-times.txt</v>
      </c>
      <c r="AI143" s="115" t="str">
        <f t="shared" si="72"/>
        <v>echo {"issue":{"subject":"","project_id":79,"tracker_id":40,"status_id":1,"priority_id":2,"assigned_to_id":23,"start_date":"2017-01-02","description":"","custom_fields":[{"id":1,"name":"Subdivision","value":"EC"},{"id":4,"name":"Milepost","value":"0.0158"},{"id":17,"name":"Train ID","value":"230-02"},{"id":16,"name":"Locomotive ID","value":"4015"},{"id":130,"name":"Impact","value":""},{"id":150,"name":"Time of Event (Mountain Time)","value":"22:37:36"},{"id":151,"name":"Denver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73"/>
        <v>start /low /b %USERPROFILE%\Documents\GitHub\eaglep3\Utilities\DownloadLogsFromS3.py --loco 4015 --day 2017-01-02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644</v>
      </c>
      <c r="B144" s="7">
        <v>4011</v>
      </c>
      <c r="C144" s="22" t="s">
        <v>203</v>
      </c>
      <c r="D144" s="22" t="s">
        <v>194</v>
      </c>
      <c r="E144" s="13">
        <v>42737.88690972222</v>
      </c>
      <c r="F144" s="13">
        <v>42737.896238425928</v>
      </c>
      <c r="G144" s="7">
        <v>1</v>
      </c>
      <c r="H144" s="22" t="s">
        <v>301</v>
      </c>
      <c r="I144" s="13">
        <v>42737.921724537038</v>
      </c>
      <c r="J144" s="7">
        <v>0</v>
      </c>
      <c r="K144" s="105" t="str">
        <f t="shared" si="56"/>
        <v>4011/4012</v>
      </c>
      <c r="L144" s="22" t="str">
        <f>VLOOKUP(A144,'Trips&amp;Operators'!$C$1:$G$99999,5,FALSE)</f>
        <v>SMITH MICHAEL</v>
      </c>
      <c r="M144" s="6">
        <f t="shared" si="57"/>
        <v>2.548611110978527E-2</v>
      </c>
      <c r="N144" s="7">
        <f t="shared" si="58"/>
        <v>36.699999998090789</v>
      </c>
      <c r="O144" s="7"/>
      <c r="P144" s="7"/>
      <c r="Q144" s="23"/>
      <c r="R144" s="23"/>
      <c r="S144" s="32">
        <f t="shared" si="59"/>
        <v>1</v>
      </c>
      <c r="T144" s="47" t="str">
        <f t="shared" si="60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20:17:09-700',mode:absolute,to:'2017-01-02 23:07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4" s="49" t="str">
        <f t="shared" si="62"/>
        <v>N</v>
      </c>
      <c r="X144" s="173">
        <f t="shared" si="63"/>
        <v>1</v>
      </c>
      <c r="Y144" s="64">
        <f t="shared" si="64"/>
        <v>4.5100000000000001E-2</v>
      </c>
      <c r="Z144" s="64">
        <f t="shared" si="65"/>
        <v>23.330400000000001</v>
      </c>
      <c r="AA144" s="64">
        <f t="shared" si="66"/>
        <v>23.285299999999999</v>
      </c>
      <c r="AB144" s="61" t="e">
        <f>VLOOKUP(A144,Enforcements!$C$7:$K$19,8,0)</f>
        <v>#N/A</v>
      </c>
      <c r="AC144" s="57" t="e">
        <f>VLOOKUP(A144,Enforcements!$C$7:$E$19,3,0)</f>
        <v>#N/A</v>
      </c>
      <c r="AD144" s="58" t="str">
        <f t="shared" si="67"/>
        <v>0231-02</v>
      </c>
      <c r="AE144" s="87" t="str">
        <f t="shared" si="68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144" s="84" t="str">
        <f t="shared" si="69"/>
        <v>"C:\Program Files (x86)\AstroGrep\AstroGrep.exe" /spath="%USERPROFILE%\AppData\Local\Temp\OnboardLogs" /stypes="app*4011*20170103*" /stext=" 05:.+((SYSTEM_STATE.+slice.+state.+changed )|(ment ac)|(multiple cpu faults)|(system.+state.+changed )|(\[timeout)|(PRM\|1\|D)|(kpr)|(kdp)|(\|lc)|(penalty))" /e /r /s</v>
      </c>
      <c r="AG144" s="1" t="str">
        <f t="shared" si="70"/>
        <v>EC</v>
      </c>
      <c r="AH144" s="88" t="str">
        <f t="shared" si="71"/>
        <v>"%USERPROFILE%\Documents\GitHub\eaglep3\Utilities\RefineRTDCRunTimes.py" --tripid 231-02 --locoid 4011 --swversion DE.1.0.8.0 --startMP 204:451 --initTime 2017-01-02T21:17:09 --startdatetime 2017-01-02T21:30:35 --delay 1 --endMP 204:233304 --enddatetime 2017-01-02T22:07:17 --enforcementcount 0 &gt;&gt;C:\Users\stu\Documents\GitHub\eaglep3-reporting\EC\2017-01-02-refined-times.txt</v>
      </c>
      <c r="AI144" s="115" t="str">
        <f t="shared" si="72"/>
        <v>echo {"issue":{"subject":"","project_id":79,"tracker_id":40,"status_id":1,"priority_id":2,"assigned_to_id":23,"start_date":"2017-01-02","description":"","custom_fields":[{"id":1,"name":"Subdivision","value":"EC"},{"id":4,"name":"Milepost","value":"23.3304"},{"id":17,"name":"Train ID","value":"231-02"},{"id":16,"name":"Locomotive ID","value":"4011"},{"id":130,"name":"Impact","value":""},{"id":150,"name":"Time of Event (Mountain Time)","value":"22:07:17"},{"id":151,"name":"Denver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73"/>
        <v>start /low /b %USERPROFILE%\Documents\GitHub\eaglep3\Utilities\DownloadLogsFromS3.py --loco 4011 --day 2017-01-02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648</v>
      </c>
      <c r="B145" s="7">
        <v>4012</v>
      </c>
      <c r="C145" s="22" t="s">
        <v>203</v>
      </c>
      <c r="D145" s="22" t="s">
        <v>324</v>
      </c>
      <c r="E145" s="13">
        <v>42737.926828703705</v>
      </c>
      <c r="F145" s="13">
        <v>42737.935312499998</v>
      </c>
      <c r="G145" s="7">
        <v>1</v>
      </c>
      <c r="H145" s="22" t="s">
        <v>254</v>
      </c>
      <c r="I145" s="13">
        <v>42737.962442129632</v>
      </c>
      <c r="J145" s="7">
        <v>0</v>
      </c>
      <c r="K145" s="105" t="str">
        <f t="shared" si="56"/>
        <v>4011/4012</v>
      </c>
      <c r="L145" s="22" t="str">
        <f>VLOOKUP(A145,'Trips&amp;Operators'!$C$1:$G$99999,5,FALSE)</f>
        <v>SMITH MICHAEL</v>
      </c>
      <c r="M145" s="6">
        <f t="shared" si="57"/>
        <v>2.7129629634146113E-2</v>
      </c>
      <c r="N145" s="7">
        <f t="shared" si="58"/>
        <v>39.066666673170403</v>
      </c>
      <c r="O145" s="7"/>
      <c r="P145" s="7"/>
      <c r="Q145" s="23"/>
      <c r="R145" s="23"/>
      <c r="S145" s="32">
        <f t="shared" si="59"/>
        <v>1</v>
      </c>
      <c r="T145" s="47" t="str">
        <f t="shared" si="60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21:14:38-700',mode:absolute,to:'2017-01-03 00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5" s="49" t="str">
        <f t="shared" si="62"/>
        <v>N</v>
      </c>
      <c r="X145" s="173">
        <f t="shared" si="63"/>
        <v>1</v>
      </c>
      <c r="Y145" s="64">
        <f t="shared" si="64"/>
        <v>23.298500000000001</v>
      </c>
      <c r="Z145" s="64">
        <f t="shared" si="65"/>
        <v>1.6E-2</v>
      </c>
      <c r="AA145" s="64">
        <f t="shared" si="66"/>
        <v>23.282500000000002</v>
      </c>
      <c r="AB145" s="61" t="e">
        <f>VLOOKUP(A145,Enforcements!$C$7:$K$19,8,0)</f>
        <v>#N/A</v>
      </c>
      <c r="AC145" s="57" t="e">
        <f>VLOOKUP(A145,Enforcements!$C$7:$E$19,3,0)</f>
        <v>#N/A</v>
      </c>
      <c r="AD145" s="58" t="str">
        <f t="shared" si="67"/>
        <v>0232-02</v>
      </c>
      <c r="AE145" s="87" t="str">
        <f t="shared" si="68"/>
        <v>aws s3 cp s3://rtdc.mdm.uploadarchive.raw/RTDC4012/ "%USERPROFILE%\AppData\Local\Temp\OnboardLogs"\RTDC4012\2017-01-02 --exclude "*" --recursive --include "*20170102*" &amp; "%USERPROFILE%\Documents\GitHub\mrs-test-scripts\Headless Mode &amp; Sideloading\WalkAndUnGZ.bat" "%USERPROFILE%\AppData\Local\Temp\OnboardLogs"\RTDC4012\2017-01-02 &amp; 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</v>
      </c>
      <c r="AF145" s="84" t="str">
        <f t="shared" si="69"/>
        <v>"C:\Program Files (x86)\AstroGrep\AstroGrep.exe" /spath="%USERPROFILE%\AppData\Local\Temp\OnboardLogs" /stypes="app*4012*20170103*" /stext=" 06:.+((SYSTEM_STATE.+slice.+state.+changed )|(ment ac)|(multiple cpu faults)|(system.+state.+changed )|(\[timeout)|(PRM\|1\|D)|(kpr)|(kdp)|(\|lc)|(penalty))" /e /r /s</v>
      </c>
      <c r="AG145" s="1" t="str">
        <f t="shared" si="70"/>
        <v>EC</v>
      </c>
      <c r="AH145" s="88" t="str">
        <f t="shared" si="71"/>
        <v>"%USERPROFILE%\Documents\GitHub\eaglep3\Utilities\RefineRTDCRunTimes.py" --tripid 232-02 --locoid 4012 --swversion DE.1.0.8.0 --startMP 204:232985 --initTime 2017-01-02T22:14:38 --startdatetime 2017-01-02T22:26:51 --delay 1 --endMP 204:160 --enddatetime 2017-01-02T23:05:55 --enforcementcount 0 &gt;&gt;C:\Users\stu\Documents\GitHub\eaglep3-reporting\EC\2017-01-02-refined-times.txt</v>
      </c>
      <c r="AI145" s="115" t="str">
        <f t="shared" si="72"/>
        <v>echo {"issue":{"subject":"","project_id":79,"tracker_id":40,"status_id":1,"priority_id":2,"assigned_to_id":23,"start_date":"2017-01-02","description":"","custom_fields":[{"id":1,"name":"Subdivision","value":"EC"},{"id":4,"name":"Milepost","value":"0.016"},{"id":17,"name":"Train ID","value":"232-02"},{"id":16,"name":"Locomotive ID","value":"4012"},{"id":130,"name":"Impact","value":""},{"id":150,"name":"Time of Event (Mountain Time)","value":"23:05:55"},{"id":151,"name":"Denver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73"/>
        <v>start /low /b %USERPROFILE%\Documents\GitHub\eaglep3\Utilities\DownloadLogsFromS3.py --loco 4012 --day 2017-01-02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645</v>
      </c>
      <c r="B146" s="7">
        <v>4014</v>
      </c>
      <c r="C146" s="22" t="s">
        <v>203</v>
      </c>
      <c r="D146" s="22" t="s">
        <v>194</v>
      </c>
      <c r="E146" s="13">
        <v>42737.902071759258</v>
      </c>
      <c r="F146" s="13">
        <v>42737.917222222219</v>
      </c>
      <c r="G146" s="7">
        <v>1</v>
      </c>
      <c r="H146" s="22" t="s">
        <v>715</v>
      </c>
      <c r="I146" s="13">
        <v>42737.941469907404</v>
      </c>
      <c r="J146" s="7">
        <v>0</v>
      </c>
      <c r="K146" s="105" t="str">
        <f t="shared" si="56"/>
        <v>4013/4014</v>
      </c>
      <c r="L146" s="22" t="str">
        <f>VLOOKUP(A146,'Trips&amp;Operators'!$C$1:$G$99999,5,FALSE)</f>
        <v>STAMBAUGH JAMES</v>
      </c>
      <c r="M146" s="6">
        <f t="shared" si="57"/>
        <v>2.4247685185400769E-2</v>
      </c>
      <c r="N146" s="7">
        <f t="shared" si="58"/>
        <v>34.916666666977108</v>
      </c>
      <c r="O146" s="7"/>
      <c r="P146" s="7"/>
      <c r="Q146" s="23"/>
      <c r="R146" s="23"/>
      <c r="S146" s="32">
        <f t="shared" si="59"/>
        <v>1</v>
      </c>
      <c r="T146" s="47" t="str">
        <f t="shared" si="60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20:38:59-700',mode:absolute,to:'2017-01-02 23:35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6" s="49" t="str">
        <f t="shared" si="62"/>
        <v>N</v>
      </c>
      <c r="X146" s="173">
        <f t="shared" si="63"/>
        <v>1</v>
      </c>
      <c r="Y146" s="64">
        <f t="shared" si="64"/>
        <v>4.5100000000000001E-2</v>
      </c>
      <c r="Z146" s="64">
        <f t="shared" si="65"/>
        <v>23.328700000000001</v>
      </c>
      <c r="AA146" s="64">
        <f t="shared" si="66"/>
        <v>23.2836</v>
      </c>
      <c r="AB146" s="61" t="e">
        <f>VLOOKUP(A146,Enforcements!$C$7:$K$19,8,0)</f>
        <v>#N/A</v>
      </c>
      <c r="AC146" s="57" t="e">
        <f>VLOOKUP(A146,Enforcements!$C$7:$E$19,3,0)</f>
        <v>#N/A</v>
      </c>
      <c r="AD146" s="58" t="str">
        <f t="shared" si="67"/>
        <v>0233-02</v>
      </c>
      <c r="AE146" s="87" t="str">
        <f t="shared" si="68"/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AF146" s="84" t="str">
        <f t="shared" si="69"/>
        <v>"C:\Program Files (x86)\AstroGrep\AstroGrep.exe" /spath="%USERPROFILE%\AppData\Local\Temp\OnboardLogs" /stypes="app*4014*20170103*" /stext=" 05:.+((SYSTEM_STATE.+slice.+state.+changed )|(ment ac)|(multiple cpu faults)|(system.+state.+changed )|(\[timeout)|(PRM\|1\|D)|(kpr)|(kdp)|(\|lc)|(penalty))" /e /r /s</v>
      </c>
      <c r="AG146" s="1" t="str">
        <f t="shared" si="70"/>
        <v>EC</v>
      </c>
      <c r="AH146" s="88" t="str">
        <f t="shared" si="71"/>
        <v>"%USERPROFILE%\Documents\GitHub\eaglep3\Utilities\RefineRTDCRunTimes.py" --tripid 233-02 --locoid 4014 --swversion DE.1.0.8.0 --startMP 204:451 --initTime 2017-01-02T21:38:59 --startdatetime 2017-01-02T22:00:48 --delay 1 --endMP 204:233287 --enddatetime 2017-01-02T22:35:43 --enforcementcount 0 &gt;&gt;C:\Users\stu\Documents\GitHub\eaglep3-reporting\EC\2017-01-02-refined-times.txt</v>
      </c>
      <c r="AI146" s="115" t="str">
        <f t="shared" si="72"/>
        <v>echo {"issue":{"subject":"","project_id":79,"tracker_id":40,"status_id":1,"priority_id":2,"assigned_to_id":23,"start_date":"2017-01-02","description":"","custom_fields":[{"id":1,"name":"Subdivision","value":"EC"},{"id":4,"name":"Milepost","value":"23.3287"},{"id":17,"name":"Train ID","value":"233-02"},{"id":16,"name":"Locomotive ID","value":"4014"},{"id":130,"name":"Impact","value":""},{"id":150,"name":"Time of Event (Mountain Time)","value":"22:35:43"},{"id":151,"name":"Denver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73"/>
        <v>start /low /b %USERPROFILE%\Documents\GitHub\eaglep3\Utilities\DownloadLogsFromS3.py --loco 4014 --day 2017-01-02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651</v>
      </c>
      <c r="B147" s="7">
        <v>4013</v>
      </c>
      <c r="C147" s="22" t="s">
        <v>203</v>
      </c>
      <c r="D147" s="22" t="s">
        <v>716</v>
      </c>
      <c r="E147" s="13">
        <v>42737.945925925924</v>
      </c>
      <c r="F147" s="13">
        <v>42737.956180555557</v>
      </c>
      <c r="G147" s="7">
        <v>1</v>
      </c>
      <c r="H147" s="22" t="s">
        <v>249</v>
      </c>
      <c r="I147" s="13">
        <v>42737.98233796296</v>
      </c>
      <c r="J147" s="7">
        <v>0</v>
      </c>
      <c r="K147" s="105" t="str">
        <f t="shared" si="56"/>
        <v>4013/4014</v>
      </c>
      <c r="L147" s="22" t="str">
        <f>VLOOKUP(A147,'Trips&amp;Operators'!$C$1:$G$99999,5,FALSE)</f>
        <v>STAMBAUGH JAMES</v>
      </c>
      <c r="M147" s="6">
        <f t="shared" si="57"/>
        <v>2.6157407402934041E-2</v>
      </c>
      <c r="N147" s="7">
        <f t="shared" si="58"/>
        <v>37.666666660225019</v>
      </c>
      <c r="O147" s="7"/>
      <c r="P147" s="7"/>
      <c r="Q147" s="23"/>
      <c r="R147" s="23"/>
      <c r="S147" s="32">
        <f t="shared" si="59"/>
        <v>1</v>
      </c>
      <c r="T147" s="47" t="str">
        <f t="shared" si="60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21:42:08-700',mode:absolute,to:'2017-01-03 00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7" s="49" t="str">
        <f t="shared" si="62"/>
        <v>N</v>
      </c>
      <c r="X147" s="173">
        <f t="shared" si="63"/>
        <v>1</v>
      </c>
      <c r="Y147" s="64">
        <f t="shared" si="64"/>
        <v>23.301300000000001</v>
      </c>
      <c r="Z147" s="64">
        <f t="shared" si="65"/>
        <v>1.47E-2</v>
      </c>
      <c r="AA147" s="64">
        <f t="shared" si="66"/>
        <v>23.2866</v>
      </c>
      <c r="AB147" s="61" t="e">
        <f>VLOOKUP(A147,Enforcements!$C$7:$K$19,8,0)</f>
        <v>#N/A</v>
      </c>
      <c r="AC147" s="57" t="e">
        <f>VLOOKUP(A147,Enforcements!$C$7:$E$19,3,0)</f>
        <v>#N/A</v>
      </c>
      <c r="AD147" s="58" t="str">
        <f t="shared" si="67"/>
        <v>0234-02</v>
      </c>
      <c r="AE147" s="87" t="str">
        <f t="shared" si="68"/>
        <v>aws s3 cp s3://rtdc.mdm.uploadarchive.raw/RTDC4013/ "%USERPROFILE%\AppData\Local\Temp\OnboardLogs"\RTDC4013\2017-01-02 --exclude "*" --recursive --include "*20170102*" &amp; "%USERPROFILE%\Documents\GitHub\mrs-test-scripts\Headless Mode &amp; Sideloading\WalkAndUnGZ.bat" "%USERPROFILE%\AppData\Local\Temp\OnboardLogs"\RTDC4013\2017-01-02 &amp; 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</v>
      </c>
      <c r="AF147" s="84" t="str">
        <f t="shared" si="69"/>
        <v>"C:\Program Files (x86)\AstroGrep\AstroGrep.exe" /spath="%USERPROFILE%\AppData\Local\Temp\OnboardLogs" /stypes="app*4013*20170103*" /stext=" 06:.+((SYSTEM_STATE.+slice.+state.+changed )|(ment ac)|(multiple cpu faults)|(system.+state.+changed )|(\[timeout)|(PRM\|1\|D)|(kpr)|(kdp)|(\|lc)|(penalty))" /e /r /s</v>
      </c>
      <c r="AG147" s="1" t="str">
        <f t="shared" si="70"/>
        <v>EC</v>
      </c>
      <c r="AH147" s="88" t="str">
        <f t="shared" si="71"/>
        <v>"%USERPROFILE%\Documents\GitHub\eaglep3\Utilities\RefineRTDCRunTimes.py" --tripid 234-02 --locoid 4013 --swversion DE.1.0.8.0 --startMP 204:233013 --initTime 2017-01-02T22:42:08 --startdatetime 2017-01-02T22:56:54 --delay 1 --endMP 204:147 --enddatetime 2017-01-02T23:34:34 --enforcementcount 0 &gt;&gt;C:\Users\stu\Documents\GitHub\eaglep3-reporting\EC\2017-01-02-refined-times.txt</v>
      </c>
      <c r="AI147" s="115" t="str">
        <f t="shared" si="72"/>
        <v>echo {"issue":{"subject":"","project_id":79,"tracker_id":40,"status_id":1,"priority_id":2,"assigned_to_id":23,"start_date":"2017-01-02","description":"","custom_fields":[{"id":1,"name":"Subdivision","value":"EC"},{"id":4,"name":"Milepost","value":"0.0147"},{"id":17,"name":"Train ID","value":"234-02"},{"id":16,"name":"Locomotive ID","value":"4013"},{"id":130,"name":"Impact","value":""},{"id":150,"name":"Time of Event (Mountain Time)","value":"23:34:34"},{"id":151,"name":"Denver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73"/>
        <v>start /low /b %USERPROFILE%\Documents\GitHub\eaglep3\Utilities\DownloadLogsFromS3.py --loco 4013 --day 2017-01-02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649</v>
      </c>
      <c r="B148" s="7">
        <v>4042</v>
      </c>
      <c r="C148" s="22" t="s">
        <v>203</v>
      </c>
      <c r="D148" s="22" t="s">
        <v>409</v>
      </c>
      <c r="E148" s="13">
        <v>42737.931423611109</v>
      </c>
      <c r="F148" s="13">
        <v>42737.938020833331</v>
      </c>
      <c r="G148" s="7">
        <v>6</v>
      </c>
      <c r="H148" s="22" t="s">
        <v>696</v>
      </c>
      <c r="I148" s="13">
        <v>42737.963356481479</v>
      </c>
      <c r="J148" s="7">
        <v>0</v>
      </c>
      <c r="K148" s="105" t="str">
        <f t="shared" si="56"/>
        <v>4041/4042</v>
      </c>
      <c r="L148" s="22" t="str">
        <f>VLOOKUP(A148,'Trips&amp;Operators'!$C$1:$G$99999,5,FALSE)</f>
        <v>STORY SAMANTHA</v>
      </c>
      <c r="M148" s="6">
        <f t="shared" si="57"/>
        <v>2.5335648148029577E-2</v>
      </c>
      <c r="N148" s="7">
        <f t="shared" si="58"/>
        <v>36.483333333162591</v>
      </c>
      <c r="O148" s="7"/>
      <c r="P148" s="7"/>
      <c r="Q148" s="23"/>
      <c r="R148" s="23"/>
      <c r="S148" s="32">
        <f t="shared" si="59"/>
        <v>1</v>
      </c>
      <c r="T148" s="47" t="str">
        <f t="shared" si="60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21:21:15-700',mode:absolute,to:'2017-01-03 00:07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8" s="49" t="str">
        <f t="shared" si="62"/>
        <v>N</v>
      </c>
      <c r="X148" s="173">
        <f t="shared" si="63"/>
        <v>1</v>
      </c>
      <c r="Y148" s="64">
        <f t="shared" si="64"/>
        <v>4.2700000000000002E-2</v>
      </c>
      <c r="Z148" s="64">
        <f t="shared" si="65"/>
        <v>23.332699999999999</v>
      </c>
      <c r="AA148" s="64">
        <f t="shared" si="66"/>
        <v>23.29</v>
      </c>
      <c r="AB148" s="61" t="e">
        <f>VLOOKUP(A148,Enforcements!$C$7:$K$19,8,0)</f>
        <v>#N/A</v>
      </c>
      <c r="AC148" s="57" t="e">
        <f>VLOOKUP(A148,Enforcements!$C$7:$E$19,3,0)</f>
        <v>#N/A</v>
      </c>
      <c r="AD148" s="58" t="str">
        <f t="shared" si="67"/>
        <v>0235-02</v>
      </c>
      <c r="AE148" s="87" t="str">
        <f t="shared" si="68"/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AF148" s="84" t="str">
        <f t="shared" si="69"/>
        <v>"C:\Program Files (x86)\AstroGrep\AstroGrep.exe" /spath="%USERPROFILE%\AppData\Local\Temp\OnboardLogs" /stypes="app*4042*20170103*" /stext=" 06:.+((SYSTEM_STATE.+slice.+state.+changed )|(ment ac)|(multiple cpu faults)|(system.+state.+changed )|(\[timeout)|(PRM\|1\|D)|(kpr)|(kdp)|(\|lc)|(penalty))" /e /r /s</v>
      </c>
      <c r="AG148" s="1" t="str">
        <f t="shared" si="70"/>
        <v>EC</v>
      </c>
      <c r="AH148" s="88" t="str">
        <f t="shared" si="71"/>
        <v>"%USERPROFILE%\Documents\GitHub\eaglep3\Utilities\RefineRTDCRunTimes.py" --tripid 235-02 --locoid 4042 --swversion DE.1.0.8.0 --startMP 204:427 --initTime 2017-01-02T22:21:15 --startdatetime 2017-01-02T22:30:45 --delay 6 --endMP 204:233327 --enddatetime 2017-01-02T23:07:14 --enforcementcount 0 &gt;&gt;C:\Users\stu\Documents\GitHub\eaglep3-reporting\EC\2017-01-02-refined-times.txt</v>
      </c>
      <c r="AI148" s="115" t="str">
        <f t="shared" si="72"/>
        <v>echo {"issue":{"subject":"","project_id":79,"tracker_id":40,"status_id":1,"priority_id":2,"assigned_to_id":23,"start_date":"2017-01-02","description":"","custom_fields":[{"id":1,"name":"Subdivision","value":"EC"},{"id":4,"name":"Milepost","value":"23.3327"},{"id":17,"name":"Train ID","value":"235-02"},{"id":16,"name":"Locomotive ID","value":"4042"},{"id":130,"name":"Impact","value":""},{"id":150,"name":"Time of Event (Mountain Time)","value":"23:07:14"},{"id":151,"name":"Denver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73"/>
        <v>start /low /b %USERPROFILE%\Documents\GitHub\eaglep3\Utilities\DownloadLogsFromS3.py --loco 4042 --day 2017-01-02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654</v>
      </c>
      <c r="B149" s="7">
        <v>4041</v>
      </c>
      <c r="C149" s="22" t="s">
        <v>203</v>
      </c>
      <c r="D149" s="22" t="s">
        <v>343</v>
      </c>
      <c r="E149" s="13">
        <v>42737.966793981483</v>
      </c>
      <c r="F149" s="13">
        <v>42737.976724537039</v>
      </c>
      <c r="G149" s="7">
        <v>1</v>
      </c>
      <c r="H149" s="22" t="s">
        <v>292</v>
      </c>
      <c r="I149" s="13">
        <v>42738.003495370373</v>
      </c>
      <c r="J149" s="7">
        <v>0</v>
      </c>
      <c r="K149" s="105" t="str">
        <f t="shared" si="56"/>
        <v>4041/4042</v>
      </c>
      <c r="L149" s="22" t="str">
        <f>VLOOKUP(A149,'Trips&amp;Operators'!$C$1:$G$99999,5,FALSE)</f>
        <v>STORY SAMANTHA</v>
      </c>
      <c r="M149" s="6">
        <f t="shared" si="57"/>
        <v>2.6770833334012423E-2</v>
      </c>
      <c r="N149" s="7">
        <f t="shared" si="58"/>
        <v>38.550000000977889</v>
      </c>
      <c r="O149" s="7"/>
      <c r="P149" s="7"/>
      <c r="Q149" s="23"/>
      <c r="R149" s="23"/>
      <c r="S149" s="32">
        <f t="shared" si="59"/>
        <v>1</v>
      </c>
      <c r="T149" s="47" t="str">
        <f t="shared" si="60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22:12:11-700',mode:absolute,to:'2017-01-03 01:05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9" s="49" t="str">
        <f t="shared" si="62"/>
        <v>N</v>
      </c>
      <c r="X149" s="173">
        <f t="shared" si="63"/>
        <v>1</v>
      </c>
      <c r="Y149" s="64">
        <f t="shared" si="64"/>
        <v>23.301100000000002</v>
      </c>
      <c r="Z149" s="64">
        <f t="shared" si="65"/>
        <v>1.52E-2</v>
      </c>
      <c r="AA149" s="64">
        <f t="shared" si="66"/>
        <v>23.285900000000002</v>
      </c>
      <c r="AB149" s="61" t="e">
        <f>VLOOKUP(A149,Enforcements!$C$7:$K$19,8,0)</f>
        <v>#N/A</v>
      </c>
      <c r="AC149" s="57" t="e">
        <f>VLOOKUP(A149,Enforcements!$C$7:$E$19,3,0)</f>
        <v>#N/A</v>
      </c>
      <c r="AD149" s="58" t="str">
        <f t="shared" si="67"/>
        <v>0236-02</v>
      </c>
      <c r="AE149" s="87" t="str">
        <f t="shared" si="68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149" s="84" t="str">
        <f t="shared" si="69"/>
        <v>"C:\Program Files (x86)\AstroGrep\AstroGrep.exe" /spath="%USERPROFILE%\AppData\Local\Temp\OnboardLogs" /stypes="app*4041*20170103*" /stext=" 07:.+((SYSTEM_STATE.+slice.+state.+changed )|(ment ac)|(multiple cpu faults)|(system.+state.+changed )|(\[timeout)|(PRM\|1\|D)|(kpr)|(kdp)|(\|lc)|(penalty))" /e /r /s</v>
      </c>
      <c r="AG149" s="1" t="str">
        <f t="shared" si="70"/>
        <v>EC</v>
      </c>
      <c r="AH149" s="88" t="str">
        <f t="shared" si="71"/>
        <v>"%USERPROFILE%\Documents\GitHub\eaglep3\Utilities\RefineRTDCRunTimes.py" --tripid 236-02 --locoid 4041 --swversion DE.1.0.8.0 --startMP 204:233011 --initTime 2017-01-02T23:12:11 --startdatetime 2017-01-02T23:26:29 --delay 1 --endMP 204:152 --enddatetime 2017-01-03T00:05:02 --enforcementcount 0 &gt;&gt;C:\Users\stu\Documents\GitHub\eaglep3-reporting\EC\2017-01-02-refined-times.txt</v>
      </c>
      <c r="AI149" s="115" t="str">
        <f t="shared" si="72"/>
        <v>echo {"issue":{"subject":"","project_id":79,"tracker_id":40,"status_id":1,"priority_id":2,"assigned_to_id":23,"start_date":"2017-01-03","description":"","custom_fields":[{"id":1,"name":"Subdivision","value":"EC"},{"id":4,"name":"Milepost","value":"0.0152"},{"id":17,"name":"Train ID","value":"236-02"},{"id":16,"name":"Locomotive ID","value":"4041"},{"id":130,"name":"Impact","value":""},{"id":150,"name":"Time of Event (Mountain Time)","value":"00:05:02"},{"id":151,"name":"Denver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73"/>
        <v>start /low /b %USERPROFILE%\Documents\GitHub\eaglep3\Utilities\DownloadLogsFromS3.py --loco 4041 --day 2017-01-02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4" t="s">
        <v>652</v>
      </c>
      <c r="B150" s="7">
        <v>4016</v>
      </c>
      <c r="C150" s="22" t="s">
        <v>203</v>
      </c>
      <c r="D150" s="22" t="s">
        <v>417</v>
      </c>
      <c r="E150" s="13">
        <v>42737.953726851854</v>
      </c>
      <c r="F150" s="13">
        <v>42737.958703703705</v>
      </c>
      <c r="G150" s="7">
        <v>1</v>
      </c>
      <c r="H150" s="22" t="s">
        <v>717</v>
      </c>
      <c r="I150" s="13">
        <v>42737.983518518522</v>
      </c>
      <c r="J150" s="7">
        <v>0</v>
      </c>
      <c r="K150" s="105" t="str">
        <f t="shared" si="56"/>
        <v>4015/4016</v>
      </c>
      <c r="L150" s="22" t="str">
        <f>VLOOKUP(A150,'Trips&amp;Operators'!$C$1:$G$99999,5,FALSE)</f>
        <v>CHANDLER KELVIN</v>
      </c>
      <c r="M150" s="6">
        <f t="shared" si="57"/>
        <v>2.4814814816636499E-2</v>
      </c>
      <c r="N150" s="7">
        <f t="shared" si="58"/>
        <v>35.733333335956559</v>
      </c>
      <c r="O150" s="7"/>
      <c r="P150" s="7"/>
      <c r="Q150" s="23"/>
      <c r="R150" s="23"/>
      <c r="S150" s="32">
        <f t="shared" si="59"/>
        <v>1</v>
      </c>
      <c r="T150" s="47" t="str">
        <f t="shared" si="60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21:53:22-700',mode:absolute,to:'2017-01-03 00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0" s="49" t="str">
        <f t="shared" si="62"/>
        <v>N</v>
      </c>
      <c r="X150" s="173">
        <f t="shared" si="63"/>
        <v>1</v>
      </c>
      <c r="Y150" s="64">
        <f t="shared" si="64"/>
        <v>4.4600000000000001E-2</v>
      </c>
      <c r="Z150" s="64">
        <f t="shared" si="65"/>
        <v>23.328499999999998</v>
      </c>
      <c r="AA150" s="64">
        <f t="shared" si="66"/>
        <v>23.283899999999999</v>
      </c>
      <c r="AB150" s="61" t="e">
        <f>VLOOKUP(A150,Enforcements!$C$7:$K$19,8,0)</f>
        <v>#N/A</v>
      </c>
      <c r="AC150" s="57" t="e">
        <f>VLOOKUP(A150,Enforcements!$C$7:$E$19,3,0)</f>
        <v>#N/A</v>
      </c>
      <c r="AD150" s="58" t="str">
        <f t="shared" si="67"/>
        <v>0237-02</v>
      </c>
      <c r="AE150" s="87" t="str">
        <f t="shared" si="68"/>
        <v>aws s3 cp s3://rtdc.mdm.uploadarchive.raw/RTDC4016/ "%USERPROFILE%\AppData\Local\Temp\OnboardLogs"\RTDC4016\2017-01-02 --exclude "*" --recursive --include "*20170102*" &amp; "%USERPROFILE%\Documents\GitHub\mrs-test-scripts\Headless Mode &amp; Sideloading\WalkAndUnGZ.bat" "%USERPROFILE%\AppData\Local\Temp\OnboardLogs"\RTDC4016\2017-01-02 &amp; 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</v>
      </c>
      <c r="AF150" s="84" t="str">
        <f t="shared" si="69"/>
        <v>"C:\Program Files (x86)\AstroGrep\AstroGrep.exe" /spath="%USERPROFILE%\AppData\Local\Temp\OnboardLogs" /stypes="app*4016*20170103*" /stext=" 06:.+((SYSTEM_STATE.+slice.+state.+changed )|(ment ac)|(multiple cpu faults)|(system.+state.+changed )|(\[timeout)|(PRM\|1\|D)|(kpr)|(kdp)|(\|lc)|(penalty))" /e /r /s</v>
      </c>
      <c r="AG150" s="1" t="str">
        <f t="shared" si="70"/>
        <v>EC</v>
      </c>
      <c r="AH150" s="88" t="str">
        <f t="shared" si="71"/>
        <v>"%USERPROFILE%\Documents\GitHub\eaglep3\Utilities\RefineRTDCRunTimes.py" --tripid 237-02 --locoid 4016 --swversion DE.1.0.8.0 --startMP 204:446 --initTime 2017-01-02T22:53:22 --startdatetime 2017-01-02T23:00:32 --delay 1 --endMP 204:233285 --enddatetime 2017-01-02T23:36:16 --enforcementcount 0 &gt;&gt;C:\Users\stu\Documents\GitHub\eaglep3-reporting\EC\2017-01-02-refined-times.txt</v>
      </c>
      <c r="AI150" s="115" t="str">
        <f t="shared" si="72"/>
        <v>echo {"issue":{"subject":"","project_id":79,"tracker_id":40,"status_id":1,"priority_id":2,"assigned_to_id":23,"start_date":"2017-01-02","description":"","custom_fields":[{"id":1,"name":"Subdivision","value":"EC"},{"id":4,"name":"Milepost","value":"23.3285"},{"id":17,"name":"Train ID","value":"237-02"},{"id":16,"name":"Locomotive ID","value":"4016"},{"id":130,"name":"Impact","value":""},{"id":150,"name":"Time of Event (Mountain Time)","value":"23:36:16"},{"id":151,"name":"Denver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73"/>
        <v>start /low /b %USERPROFILE%\Documents\GitHub\eaglep3\Utilities\DownloadLogsFromS3.py --loco 4016 --day 2017-01-02</v>
      </c>
    </row>
    <row r="151" spans="1:91" s="21" customFormat="1" x14ac:dyDescent="0.25">
      <c r="A151" s="34" t="s">
        <v>656</v>
      </c>
      <c r="B151" s="7">
        <v>4015</v>
      </c>
      <c r="C151" s="22" t="s">
        <v>203</v>
      </c>
      <c r="D151" s="22" t="s">
        <v>415</v>
      </c>
      <c r="E151" s="13">
        <v>42737.994641203702</v>
      </c>
      <c r="F151" s="13">
        <v>42737.997523148151</v>
      </c>
      <c r="G151" s="7">
        <v>1</v>
      </c>
      <c r="H151" s="22" t="s">
        <v>299</v>
      </c>
      <c r="I151" s="13">
        <v>42738.026087962964</v>
      </c>
      <c r="J151" s="7">
        <v>0</v>
      </c>
      <c r="K151" s="105" t="str">
        <f t="shared" si="56"/>
        <v>4015/4016</v>
      </c>
      <c r="L151" s="22" t="str">
        <f>VLOOKUP(A151,'Trips&amp;Operators'!$C$1:$G$99999,5,FALSE)</f>
        <v>CHANDLER KELVIN</v>
      </c>
      <c r="M151" s="6">
        <f t="shared" si="57"/>
        <v>2.8564814812853001E-2</v>
      </c>
      <c r="N151" s="7">
        <f t="shared" si="58"/>
        <v>41.133333330508322</v>
      </c>
      <c r="O151" s="7"/>
      <c r="P151" s="7"/>
      <c r="Q151" s="23"/>
      <c r="R151" s="23"/>
      <c r="S151" s="32">
        <f t="shared" si="59"/>
        <v>1</v>
      </c>
      <c r="T151" s="47" t="str">
        <f t="shared" si="60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22:52:17-700',mode:absolute,to:'2017-01-03 01:37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1" s="49" t="str">
        <f t="shared" si="62"/>
        <v>N</v>
      </c>
      <c r="X151" s="173">
        <f t="shared" si="63"/>
        <v>1</v>
      </c>
      <c r="Y151" s="64">
        <f t="shared" si="64"/>
        <v>23.296399999999998</v>
      </c>
      <c r="Z151" s="64">
        <f t="shared" si="65"/>
        <v>1.5800000000000002E-2</v>
      </c>
      <c r="AA151" s="64">
        <f t="shared" si="66"/>
        <v>23.2806</v>
      </c>
      <c r="AB151" s="61" t="e">
        <f>VLOOKUP(A151,Enforcements!$C$7:$K$19,8,0)</f>
        <v>#N/A</v>
      </c>
      <c r="AC151" s="57" t="e">
        <f>VLOOKUP(A151,Enforcements!$C$7:$E$19,3,0)</f>
        <v>#N/A</v>
      </c>
      <c r="AD151" s="58" t="str">
        <f t="shared" si="67"/>
        <v>0238-02</v>
      </c>
      <c r="AE151" s="87" t="str">
        <f t="shared" si="68"/>
        <v>aws s3 cp s3://rtdc.mdm.uploadarchive.raw/RTDC4015/ "%USERPROFILE%\AppData\Local\Temp\OnboardLogs"\RTDC4015\2017-01-02 --exclude "*" --recursive --include "*20170102*" &amp; "%USERPROFILE%\Documents\GitHub\mrs-test-scripts\Headless Mode &amp; Sideloading\WalkAndUnGZ.bat" "%USERPROFILE%\AppData\Local\Temp\OnboardLogs"\RTDC4015\2017-01-02 &amp; aws s3 cp s3://rtdc.mdm.uploadarchive.raw/RTDC4015/ "%USERPROFILE%\AppData\Local\Temp\OnboardLogs"\RTDC4015\2017-01-03 --exclude "*" --recursive --include "*20170103*" &amp; "%USERPROFILE%\Documents\GitHub\mrs-test-scripts\Headless Mode &amp; Sideloading\WalkAndUnGZ.bat" "%USERPROFILE%\AppData\Local\Temp\OnboardLogs"\RTDC4015\2017-01-03</v>
      </c>
      <c r="AF151" s="84" t="str">
        <f t="shared" si="69"/>
        <v>"C:\Program Files (x86)\AstroGrep\AstroGrep.exe" /spath="%USERPROFILE%\AppData\Local\Temp\OnboardLogs" /stypes="app*4015*20170103*" /stext=" 07:.+((SYSTEM_STATE.+slice.+state.+changed )|(ment ac)|(multiple cpu faults)|(system.+state.+changed )|(\[timeout)|(PRM\|1\|D)|(kpr)|(kdp)|(\|lc)|(penalty))" /e /r /s</v>
      </c>
      <c r="AG151" s="1" t="str">
        <f t="shared" si="70"/>
        <v>EC</v>
      </c>
      <c r="AH151" s="88" t="str">
        <f t="shared" si="71"/>
        <v>"%USERPROFILE%\Documents\GitHub\eaglep3\Utilities\RefineRTDCRunTimes.py" --tripid 238-02 --locoid 4015 --swversion DE.1.0.8.0 --startMP 204:232964 --initTime 2017-01-02T23:52:17 --startdatetime 2017-01-02T23:56:26 --delay 1 --endMP 204:158 --enddatetime 2017-01-03T00:37:34 --enforcementcount 0 &gt;&gt;C:\Users\stu\Documents\GitHub\eaglep3-reporting\EC\2017-01-02-refined-times.txt</v>
      </c>
      <c r="AI151" s="115" t="str">
        <f t="shared" si="72"/>
        <v>echo {"issue":{"subject":"","project_id":79,"tracker_id":40,"status_id":1,"priority_id":2,"assigned_to_id":23,"start_date":"2017-01-03","description":"","custom_fields":[{"id":1,"name":"Subdivision","value":"EC"},{"id":4,"name":"Milepost","value":"0.0158"},{"id":17,"name":"Train ID","value":"238-02"},{"id":16,"name":"Locomotive ID","value":"4015"},{"id":130,"name":"Impact","value":""},{"id":150,"name":"Time of Event (Mountain Time)","value":"00:37:34"},{"id":151,"name":"Denver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73"/>
        <v>start /low /b %USERPROFILE%\Documents\GitHub\eaglep3\Utilities\DownloadLogsFromS3.py --loco 4015 --day 2017-01-02</v>
      </c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4" t="s">
        <v>653</v>
      </c>
      <c r="B152" s="7">
        <v>4011</v>
      </c>
      <c r="C152" s="22" t="s">
        <v>203</v>
      </c>
      <c r="D152" s="22" t="s">
        <v>345</v>
      </c>
      <c r="E152" s="13">
        <v>42737.966828703706</v>
      </c>
      <c r="F152" s="13">
        <v>42737.979490740741</v>
      </c>
      <c r="G152" s="7">
        <v>1</v>
      </c>
      <c r="H152" s="22" t="s">
        <v>361</v>
      </c>
      <c r="I152" s="13">
        <v>42738.004930555559</v>
      </c>
      <c r="J152" s="7">
        <v>0</v>
      </c>
      <c r="K152" s="105" t="str">
        <f t="shared" si="56"/>
        <v>4011/4012</v>
      </c>
      <c r="L152" s="22" t="str">
        <f>VLOOKUP(A152,'Trips&amp;Operators'!$C$1:$G$99999,5,FALSE)</f>
        <v>SMITH MICHAEL</v>
      </c>
      <c r="M152" s="6">
        <f t="shared" si="57"/>
        <v>2.5439814817218576E-2</v>
      </c>
      <c r="N152" s="7">
        <f t="shared" si="58"/>
        <v>36.633333336794749</v>
      </c>
      <c r="O152" s="7"/>
      <c r="P152" s="7"/>
      <c r="Q152" s="23"/>
      <c r="R152" s="23"/>
      <c r="S152" s="32">
        <f t="shared" si="59"/>
        <v>1</v>
      </c>
      <c r="T152" s="47" t="str">
        <f t="shared" si="60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22:12:14-700',mode:absolute,to:'2017-01-03 01:07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2" s="49" t="str">
        <f t="shared" si="62"/>
        <v>N</v>
      </c>
      <c r="X152" s="173">
        <f t="shared" si="63"/>
        <v>1</v>
      </c>
      <c r="Y152" s="64">
        <f t="shared" si="64"/>
        <v>4.7100000000000003E-2</v>
      </c>
      <c r="Z152" s="64">
        <f t="shared" si="65"/>
        <v>23.328299999999999</v>
      </c>
      <c r="AA152" s="64">
        <f t="shared" si="66"/>
        <v>23.281199999999998</v>
      </c>
      <c r="AB152" s="61" t="e">
        <f>VLOOKUP(A152,Enforcements!$C$7:$K$19,8,0)</f>
        <v>#N/A</v>
      </c>
      <c r="AC152" s="57" t="e">
        <f>VLOOKUP(A152,Enforcements!$C$7:$E$19,3,0)</f>
        <v>#N/A</v>
      </c>
      <c r="AD152" s="58" t="str">
        <f t="shared" si="67"/>
        <v>0239-02</v>
      </c>
      <c r="AE152" s="87" t="str">
        <f t="shared" si="68"/>
        <v>aws s3 cp s3://rtdc.mdm.uploadarchive.raw/RTDC4011/ "%USERPROFILE%\AppData\Local\Temp\OnboardLogs"\RTDC4011\2017-01-02 --exclude "*" --recursive --include "*20170102*" &amp; "%USERPROFILE%\Documents\GitHub\mrs-test-scripts\Headless Mode &amp; Sideloading\WalkAndUnGZ.bat" "%USERPROFILE%\AppData\Local\Temp\OnboardLogs"\RTDC4011\2017-01-02 &amp; aws s3 cp s3://rtdc.mdm.uploadarchive.raw/RTDC4011/ "%USERPROFILE%\AppData\Local\Temp\OnboardLogs"\RTDC4011\2017-01-03 --exclude "*" --recursive --include "*20170103*" &amp; "%USERPROFILE%\Documents\GitHub\mrs-test-scripts\Headless Mode &amp; Sideloading\WalkAndUnGZ.bat" "%USERPROFILE%\AppData\Local\Temp\OnboardLogs"\RTDC4011\2017-01-03</v>
      </c>
      <c r="AF152" s="84" t="str">
        <f t="shared" si="69"/>
        <v>"C:\Program Files (x86)\AstroGrep\AstroGrep.exe" /spath="%USERPROFILE%\AppData\Local\Temp\OnboardLogs" /stypes="app*4011*20170103*" /stext=" 07:.+((SYSTEM_STATE.+slice.+state.+changed )|(ment ac)|(multiple cpu faults)|(system.+state.+changed )|(\[timeout)|(PRM\|1\|D)|(kpr)|(kdp)|(\|lc)|(penalty))" /e /r /s</v>
      </c>
      <c r="AG152" s="1" t="str">
        <f t="shared" si="70"/>
        <v>EC</v>
      </c>
      <c r="AH152" s="88" t="str">
        <f t="shared" si="71"/>
        <v>"%USERPROFILE%\Documents\GitHub\eaglep3\Utilities\RefineRTDCRunTimes.py" --tripid 239-02 --locoid 4011 --swversion DE.1.0.8.0 --startMP 204:471 --initTime 2017-01-02T23:12:14 --startdatetime 2017-01-02T23:30:28 --delay 1 --endMP 204:233283 --enddatetime 2017-01-03T00:07:06 --enforcementcount 0 &gt;&gt;C:\Users\stu\Documents\GitHub\eaglep3-reporting\EC\2017-01-02-refined-times.txt</v>
      </c>
      <c r="AI152" s="115" t="str">
        <f t="shared" si="72"/>
        <v>echo {"issue":{"subject":"","project_id":79,"tracker_id":40,"status_id":1,"priority_id":2,"assigned_to_id":23,"start_date":"2017-01-03","description":"","custom_fields":[{"id":1,"name":"Subdivision","value":"EC"},{"id":4,"name":"Milepost","value":"23.3283"},{"id":17,"name":"Train ID","value":"239-02"},{"id":16,"name":"Locomotive ID","value":"4011"},{"id":130,"name":"Impact","value":""},{"id":150,"name":"Time of Event (Mountain Time)","value":"00:07:06"},{"id":151,"name":"Denver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73"/>
        <v>start /low /b %USERPROFILE%\Documents\GitHub\eaglep3\Utilities\DownloadLogsFromS3.py --loco 4011 --day 2017-01-02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4" t="s">
        <v>657</v>
      </c>
      <c r="B153" s="7">
        <v>4012</v>
      </c>
      <c r="C153" s="22" t="s">
        <v>203</v>
      </c>
      <c r="D153" s="22" t="s">
        <v>703</v>
      </c>
      <c r="E153" s="13">
        <v>42738.009004629632</v>
      </c>
      <c r="F153" s="13">
        <v>42738.018437500003</v>
      </c>
      <c r="G153" s="7">
        <v>1</v>
      </c>
      <c r="H153" s="22" t="s">
        <v>238</v>
      </c>
      <c r="I153" s="13">
        <v>42738.045648148145</v>
      </c>
      <c r="J153" s="7">
        <v>0</v>
      </c>
      <c r="K153" s="105" t="str">
        <f t="shared" si="56"/>
        <v>4011/4012</v>
      </c>
      <c r="L153" s="22" t="str">
        <f>VLOOKUP(A153,'Trips&amp;Operators'!$C$1:$G$99999,5,FALSE)</f>
        <v>SMITH MICHAEL</v>
      </c>
      <c r="M153" s="6">
        <f t="shared" si="57"/>
        <v>2.7210648142499849E-2</v>
      </c>
      <c r="N153" s="7">
        <f t="shared" si="58"/>
        <v>39.183333325199783</v>
      </c>
      <c r="O153" s="7"/>
      <c r="P153" s="7"/>
      <c r="Q153" s="23"/>
      <c r="R153" s="23"/>
      <c r="S153" s="32">
        <f t="shared" si="59"/>
        <v>1</v>
      </c>
      <c r="T153" s="47" t="str">
        <f t="shared" si="60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23:12:58-700',mode:absolute,to:'2017-01-03 02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3" s="49" t="str">
        <f t="shared" si="62"/>
        <v>N</v>
      </c>
      <c r="X153" s="173">
        <f t="shared" si="63"/>
        <v>1</v>
      </c>
      <c r="Y153" s="64">
        <f t="shared" si="64"/>
        <v>23.296600000000002</v>
      </c>
      <c r="Z153" s="64">
        <f t="shared" si="65"/>
        <v>1.6299999999999999E-2</v>
      </c>
      <c r="AA153" s="64">
        <f t="shared" si="66"/>
        <v>23.2803</v>
      </c>
      <c r="AB153" s="61" t="e">
        <f>VLOOKUP(A153,Enforcements!$C$7:$K$19,8,0)</f>
        <v>#N/A</v>
      </c>
      <c r="AC153" s="57" t="e">
        <f>VLOOKUP(A153,Enforcements!$C$7:$E$19,3,0)</f>
        <v>#N/A</v>
      </c>
      <c r="AD153" s="58" t="str">
        <f t="shared" si="67"/>
        <v>0240-02</v>
      </c>
      <c r="AE153" s="87" t="str">
        <f t="shared" si="68"/>
        <v>aws s3 cp s3://rtdc.mdm.uploadarchive.raw/RTDC4012/ "%USERPROFILE%\AppData\Local\Temp\OnboardLogs"\RTDC4012\2017-01-03 --exclude "*" --recursive --include "*20170103*" &amp; "%USERPROFILE%\Documents\GitHub\mrs-test-scripts\Headless Mode &amp; Sideloading\WalkAndUnGZ.bat" "%USERPROFILE%\AppData\Local\Temp\OnboardLogs"\RTDC4012\2017-01-03 &amp; aws s3 cp s3://rtdc.mdm.uploadarchive.raw/RTDC4012/ "%USERPROFILE%\AppData\Local\Temp\OnboardLogs"\RTDC4012\2017-01-04 --exclude "*" --recursive --include "*20170104*" &amp; "%USERPROFILE%\Documents\GitHub\mrs-test-scripts\Headless Mode &amp; Sideloading\WalkAndUnGZ.bat" "%USERPROFILE%\AppData\Local\Temp\OnboardLogs"\RTDC4012\2017-01-04</v>
      </c>
      <c r="AF153" s="84" t="str">
        <f t="shared" si="69"/>
        <v>"C:\Program Files (x86)\AstroGrep\AstroGrep.exe" /spath="%USERPROFILE%\AppData\Local\Temp\OnboardLogs" /stypes="app*4012*20170103*" /stext=" 08:.+((SYSTEM_STATE.+slice.+state.+changed )|(ment ac)|(multiple cpu faults)|(system.+state.+changed )|(\[timeout)|(PRM\|1\|D)|(kpr)|(kdp)|(\|lc)|(penalty))" /e /r /s</v>
      </c>
      <c r="AG153" s="1" t="str">
        <f t="shared" si="70"/>
        <v>EC</v>
      </c>
      <c r="AH153" s="88" t="str">
        <f t="shared" si="71"/>
        <v>"%USERPROFILE%\Documents\GitHub\eaglep3\Utilities\RefineRTDCRunTimes.py" --tripid 240-02 --locoid 4012 --swversion DE.1.0.8.0 --startMP 204:232966 --initTime 2017-01-03T00:12:58 --startdatetime 2017-01-03T00:26:33 --delay 1 --endMP 204:163 --enddatetime 2017-01-03T01:05:44 --enforcementcount 0 &gt;&gt;C:\Users\stu\Documents\GitHub\eaglep3-reporting\EC\2017-01-02-refined-times.txt</v>
      </c>
      <c r="AI153" s="115" t="str">
        <f t="shared" si="72"/>
        <v>echo {"issue":{"subject":"","project_id":79,"tracker_id":40,"status_id":1,"priority_id":2,"assigned_to_id":23,"start_date":"2017-01-03","description":"","custom_fields":[{"id":1,"name":"Subdivision","value":"EC"},{"id":4,"name":"Milepost","value":"0.0163"},{"id":17,"name":"Train ID","value":"240-02"},{"id":16,"name":"Locomotive ID","value":"4012"},{"id":130,"name":"Impact","value":""},{"id":150,"name":"Time of Event (Mountain Time)","value":"01:05:44"},{"id":151,"name":"Denver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73"/>
        <v>start /low /b %USERPROFILE%\Documents\GitHub\eaglep3\Utilities\DownloadLogsFromS3.py --loco 4012 --day 2017-01-03</v>
      </c>
    </row>
    <row r="154" spans="1:91" s="21" customFormat="1" x14ac:dyDescent="0.25">
      <c r="A154" s="34" t="s">
        <v>655</v>
      </c>
      <c r="B154" s="7">
        <v>4014</v>
      </c>
      <c r="C154" s="22" t="s">
        <v>203</v>
      </c>
      <c r="D154" s="22" t="s">
        <v>695</v>
      </c>
      <c r="E154" s="13">
        <v>42737.9843287037</v>
      </c>
      <c r="F154" s="13">
        <v>42738.000381944446</v>
      </c>
      <c r="G154" s="7">
        <v>1</v>
      </c>
      <c r="H154" s="22" t="s">
        <v>313</v>
      </c>
      <c r="I154" s="13">
        <v>42738.02516203704</v>
      </c>
      <c r="J154" s="7">
        <v>0</v>
      </c>
      <c r="K154" s="105" t="str">
        <f t="shared" si="56"/>
        <v>4013/4014</v>
      </c>
      <c r="L154" s="22" t="str">
        <f>VLOOKUP(A154,'Trips&amp;Operators'!$C$1:$G$99999,5,FALSE)</f>
        <v>STAMBAUGH JAMES</v>
      </c>
      <c r="M154" s="6">
        <f t="shared" si="57"/>
        <v>2.4780092593573499E-2</v>
      </c>
      <c r="N154" s="7">
        <f t="shared" si="58"/>
        <v>35.683333334745839</v>
      </c>
      <c r="O154" s="7"/>
      <c r="P154" s="7"/>
      <c r="Q154" s="23"/>
      <c r="R154" s="23"/>
      <c r="S154" s="32">
        <f t="shared" si="59"/>
        <v>1</v>
      </c>
      <c r="T154" s="47" t="str">
        <f t="shared" si="60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22:37:26-700',mode:absolute,to:'2017-01-03 01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4" s="49" t="str">
        <f t="shared" si="62"/>
        <v>N</v>
      </c>
      <c r="X154" s="173">
        <f t="shared" si="63"/>
        <v>1</v>
      </c>
      <c r="Y154" s="64">
        <f t="shared" si="64"/>
        <v>4.58E-2</v>
      </c>
      <c r="Z154" s="64">
        <f t="shared" si="65"/>
        <v>23.3291</v>
      </c>
      <c r="AA154" s="64">
        <f t="shared" si="66"/>
        <v>23.283300000000001</v>
      </c>
      <c r="AB154" s="61" t="e">
        <f>VLOOKUP(A154,Enforcements!$C$7:$K$19,8,0)</f>
        <v>#N/A</v>
      </c>
      <c r="AC154" s="57" t="e">
        <f>VLOOKUP(A154,Enforcements!$C$7:$E$19,3,0)</f>
        <v>#N/A</v>
      </c>
      <c r="AD154" s="58" t="str">
        <f t="shared" si="67"/>
        <v>0241-02</v>
      </c>
      <c r="AE154" s="87" t="str">
        <f t="shared" si="68"/>
        <v>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 &amp; aws s3 cp s3://rtdc.mdm.uploadarchive.raw/RTDC4014/ "%USERPROFILE%\AppData\Local\Temp\OnboardLogs"\RTDC4014\2017-01-04 --exclude "*" --recursive --include "*20170104*" &amp; "%USERPROFILE%\Documents\GitHub\mrs-test-scripts\Headless Mode &amp; Sideloading\WalkAndUnGZ.bat" "%USERPROFILE%\AppData\Local\Temp\OnboardLogs"\RTDC4014\2017-01-04</v>
      </c>
      <c r="AF154" s="84" t="str">
        <f t="shared" si="69"/>
        <v>"C:\Program Files (x86)\AstroGrep\AstroGrep.exe" /spath="%USERPROFILE%\AppData\Local\Temp\OnboardLogs" /stypes="app*4014*20170103*" /stext=" 07:.+((SYSTEM_STATE.+slice.+state.+changed )|(ment ac)|(multiple cpu faults)|(system.+state.+changed )|(\[timeout)|(PRM\|1\|D)|(kpr)|(kdp)|(\|lc)|(penalty))" /e /r /s</v>
      </c>
      <c r="AG154" s="1" t="str">
        <f t="shared" si="70"/>
        <v>EC</v>
      </c>
      <c r="AH154" s="88" t="str">
        <f t="shared" si="71"/>
        <v>"%USERPROFILE%\Documents\GitHub\eaglep3\Utilities\RefineRTDCRunTimes.py" --tripid 241-02 --locoid 4014 --swversion DE.1.0.8.0 --startMP 204:458 --initTime 2017-01-02T23:37:26 --startdatetime 2017-01-03T00:00:33 --delay 1 --endMP 204:233291 --enddatetime 2017-01-03T00:36:14 --enforcementcount 0 &gt;&gt;C:\Users\stu\Documents\GitHub\eaglep3-reporting\EC\2017-01-02-refined-times.txt</v>
      </c>
      <c r="AI154" s="115" t="str">
        <f t="shared" si="72"/>
        <v>echo {"issue":{"subject":"","project_id":79,"tracker_id":40,"status_id":1,"priority_id":2,"assigned_to_id":23,"start_date":"2017-01-03","description":"","custom_fields":[{"id":1,"name":"Subdivision","value":"EC"},{"id":4,"name":"Milepost","value":"23.3291"},{"id":17,"name":"Train ID","value":"241-02"},{"id":16,"name":"Locomotive ID","value":"4014"},{"id":130,"name":"Impact","value":""},{"id":150,"name":"Time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73"/>
        <v>start /low /b %USERPROFILE%\Documents\GitHub\eaglep3\Utilities\DownloadLogsFromS3.py --loco 4014 --day 2017-01-03</v>
      </c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4" t="s">
        <v>449</v>
      </c>
      <c r="B155" s="7">
        <v>4013</v>
      </c>
      <c r="C155" s="22" t="s">
        <v>203</v>
      </c>
      <c r="D155" s="22" t="s">
        <v>302</v>
      </c>
      <c r="E155" s="13">
        <v>42738.035451388889</v>
      </c>
      <c r="F155" s="13">
        <v>42738.039074074077</v>
      </c>
      <c r="G155" s="7">
        <v>1</v>
      </c>
      <c r="H155" s="22" t="s">
        <v>706</v>
      </c>
      <c r="I155" s="13">
        <v>42738.065358796295</v>
      </c>
      <c r="J155" s="7">
        <v>0</v>
      </c>
      <c r="K155" s="105" t="str">
        <f t="shared" si="56"/>
        <v>4013/4014</v>
      </c>
      <c r="L155" s="22" t="str">
        <f>VLOOKUP(A155,'Trips&amp;Operators'!$C$1:$G$99999,5,FALSE)</f>
        <v>STAMBAUGH JAMES</v>
      </c>
      <c r="M155" s="6">
        <f t="shared" si="57"/>
        <v>2.6284722218406387E-2</v>
      </c>
      <c r="N155" s="7">
        <f t="shared" si="58"/>
        <v>37.849999994505197</v>
      </c>
      <c r="O155" s="7"/>
      <c r="P155" s="7"/>
      <c r="Q155" s="23"/>
      <c r="R155" s="23"/>
      <c r="S155" s="32">
        <f t="shared" si="59"/>
        <v>1</v>
      </c>
      <c r="T155" s="47" t="str">
        <f t="shared" si="60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23:51:03-700',mode:absolute,to:'2017-01-03 02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5" s="49" t="str">
        <f t="shared" si="62"/>
        <v>N</v>
      </c>
      <c r="X155" s="173">
        <f t="shared" si="63"/>
        <v>1</v>
      </c>
      <c r="Y155" s="64">
        <f t="shared" si="64"/>
        <v>23.2987</v>
      </c>
      <c r="Z155" s="64">
        <f t="shared" si="65"/>
        <v>1.67E-2</v>
      </c>
      <c r="AA155" s="64">
        <f t="shared" si="66"/>
        <v>23.282</v>
      </c>
      <c r="AB155" s="61" t="str">
        <f>VLOOKUP(A155,Enforcements!$C$7:$K$19,8,0)</f>
        <v>Bulletin (2)</v>
      </c>
      <c r="AC155" s="57" t="str">
        <f>VLOOKUP(A155,Enforcements!$C$7:$E$19,3,0)</f>
        <v>GRADE CROSSING</v>
      </c>
      <c r="AD155" s="58" t="str">
        <f t="shared" si="67"/>
        <v>0242-02</v>
      </c>
      <c r="AE155" s="87" t="str">
        <f t="shared" si="68"/>
        <v>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 &amp; aws s3 cp s3://rtdc.mdm.uploadarchive.raw/RTDC4013/ "%USERPROFILE%\AppData\Local\Temp\OnboardLogs"\RTDC4013\2017-01-04 --exclude "*" --recursive --include "*20170104*" &amp; "%USERPROFILE%\Documents\GitHub\mrs-test-scripts\Headless Mode &amp; Sideloading\WalkAndUnGZ.bat" "%USERPROFILE%\AppData\Local\Temp\OnboardLogs"\RTDC4013\2017-01-04</v>
      </c>
      <c r="AF155" s="84" t="str">
        <f t="shared" si="69"/>
        <v>"C:\Program Files (x86)\AstroGrep\AstroGrep.exe" /spath="%USERPROFILE%\AppData\Local\Temp\OnboardLogs" /stypes="app*4013*20170103*" /stext=" 08:.+((SYSTEM_STATE.+slice.+state.+changed )|(ment ac)|(multiple cpu faults)|(system.+state.+changed )|(\[timeout)|(PRM\|1\|D)|(kpr)|(kdp)|(\|lc)|(penalty))" /e /r /s</v>
      </c>
      <c r="AG155" s="1" t="str">
        <f t="shared" si="70"/>
        <v>EC</v>
      </c>
      <c r="AH155" s="88" t="str">
        <f t="shared" si="71"/>
        <v>"%USERPROFILE%\Documents\GitHub\eaglep3\Utilities\RefineRTDCRunTimes.py" --tripid 242-02 --locoid 4013 --swversion DE.1.0.8.0 --startMP 204:232987 --initTime 2017-01-03T00:51:03 --startdatetime 2017-01-03T00:56:16 --delay 1 --endMP 204:167 --enddatetime 2017-01-03T01:34:07 --enforcementcount 0 &gt;&gt;C:\Users\stu\Documents\GitHub\eaglep3-reporting\EC\2017-01-02-refined-times.txt</v>
      </c>
      <c r="AI155" s="115" t="str">
        <f t="shared" si="72"/>
        <v>echo {"issue":{"subject":"","project_id":79,"tracker_id":40,"status_id":1,"priority_id":2,"assigned_to_id":23,"start_date":"2017-01-03","description":"","custom_fields":[{"id":1,"name":"Subdivision","value":"EC"},{"id":4,"name":"Milepost","value":"0.0167"},{"id":17,"name":"Train ID","value":"242-02"},{"id":16,"name":"Locomotive ID","value":"4013"},{"id":130,"name":"Impact","value":""},{"id":150,"name":"Time of Event (Mountain Time)","value":"01:34:07"},{"id":151,"name":"Denver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73"/>
        <v>start /low /b %USERPROFILE%\Documents\GitHub\eaglep3\Utilities\DownloadLogsFromS3.py --loco 4013 --day 2017-01-03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658</v>
      </c>
      <c r="B156" s="7">
        <v>4042</v>
      </c>
      <c r="C156" s="22" t="s">
        <v>203</v>
      </c>
      <c r="D156" s="22" t="s">
        <v>718</v>
      </c>
      <c r="E156" s="13">
        <v>42738.010497685187</v>
      </c>
      <c r="F156" s="13">
        <v>42738.021203703705</v>
      </c>
      <c r="G156" s="7">
        <v>1</v>
      </c>
      <c r="H156" s="22" t="s">
        <v>719</v>
      </c>
      <c r="I156" s="13">
        <v>42738.046898148146</v>
      </c>
      <c r="J156" s="7">
        <v>0</v>
      </c>
      <c r="K156" s="105" t="str">
        <f t="shared" si="56"/>
        <v>4041/4042</v>
      </c>
      <c r="L156" s="22" t="str">
        <f>VLOOKUP(A156,'Trips&amp;Operators'!$C$1:$G$99999,5,FALSE)</f>
        <v>STORY SAMANTHA</v>
      </c>
      <c r="M156" s="6">
        <f t="shared" si="57"/>
        <v>2.569444444088731E-2</v>
      </c>
      <c r="N156" s="7">
        <f t="shared" si="58"/>
        <v>36.999999994877726</v>
      </c>
      <c r="O156" s="7"/>
      <c r="P156" s="7"/>
      <c r="Q156" s="23"/>
      <c r="R156" s="23"/>
      <c r="S156" s="32">
        <f t="shared" si="59"/>
        <v>1</v>
      </c>
      <c r="T156" s="47" t="str">
        <f t="shared" si="60"/>
        <v>NorthBound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23:15:07-700',mode:absolute,to:'2017-01-03 02:07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6" s="49" t="str">
        <f t="shared" si="62"/>
        <v>N</v>
      </c>
      <c r="X156" s="173">
        <f t="shared" si="63"/>
        <v>1</v>
      </c>
      <c r="Y156" s="64">
        <f t="shared" si="64"/>
        <v>4.2900000000000001E-2</v>
      </c>
      <c r="Z156" s="64">
        <f t="shared" si="65"/>
        <v>23.337800000000001</v>
      </c>
      <c r="AA156" s="64">
        <f t="shared" si="66"/>
        <v>23.294900000000002</v>
      </c>
      <c r="AB156" s="61" t="e">
        <f>VLOOKUP(A156,Enforcements!$C$7:$K$19,8,0)</f>
        <v>#N/A</v>
      </c>
      <c r="AC156" s="57" t="e">
        <f>VLOOKUP(A156,Enforcements!$C$7:$E$19,3,0)</f>
        <v>#N/A</v>
      </c>
      <c r="AD156" s="58" t="str">
        <f t="shared" si="67"/>
        <v>0243-02</v>
      </c>
      <c r="AE156" s="87" t="str">
        <f t="shared" si="68"/>
        <v>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 &amp; aws s3 cp s3://rtdc.mdm.uploadarchive.raw/RTDC4042/ "%USERPROFILE%\AppData\Local\Temp\OnboardLogs"\RTDC4042\2017-01-04 --exclude "*" --recursive --include "*20170104*" &amp; "%USERPROFILE%\Documents\GitHub\mrs-test-scripts\Headless Mode &amp; Sideloading\WalkAndUnGZ.bat" "%USERPROFILE%\AppData\Local\Temp\OnboardLogs"\RTDC4042\2017-01-04</v>
      </c>
      <c r="AF156" s="84" t="str">
        <f t="shared" si="69"/>
        <v>"C:\Program Files (x86)\AstroGrep\AstroGrep.exe" /spath="%USERPROFILE%\AppData\Local\Temp\OnboardLogs" /stypes="app*4042*20170103*" /stext=" 08:.+((SYSTEM_STATE.+slice.+state.+changed )|(ment ac)|(multiple cpu faults)|(system.+state.+changed )|(\[timeout)|(PRM\|1\|D)|(kpr)|(kdp)|(\|lc)|(penalty))" /e /r /s</v>
      </c>
      <c r="AG156" s="1" t="str">
        <f t="shared" si="70"/>
        <v>EC</v>
      </c>
      <c r="AH156" s="88" t="str">
        <f t="shared" si="71"/>
        <v>"%USERPROFILE%\Documents\GitHub\eaglep3\Utilities\RefineRTDCRunTimes.py" --tripid 243-02 --locoid 4042 --swversion DE.1.0.8.0 --startMP 204:429 --initTime 2017-01-03T00:15:07 --startdatetime 2017-01-03T00:30:32 --delay 1 --endMP 204:233378 --enddatetime 2017-01-03T01:07:32 --enforcementcount 0 &gt;&gt;C:\Users\stu\Documents\GitHub\eaglep3-reporting\EC\2017-01-02-refined-times.txt</v>
      </c>
      <c r="AI156" s="115" t="str">
        <f t="shared" si="72"/>
        <v>echo {"issue":{"subject":"","project_id":79,"tracker_id":40,"status_id":1,"priority_id":2,"assigned_to_id":23,"start_date":"2017-01-03","description":"","custom_fields":[{"id":1,"name":"Subdivision","value":"EC"},{"id":4,"name":"Milepost","value":"23.3378"},{"id":17,"name":"Train ID","value":"243-02"},{"id":16,"name":"Locomotive ID","value":"4042"},{"id":130,"name":"Impact","value":""},{"id":150,"name":"Time of Event (Mountain Time)","value":"01:07:32"},{"id":151,"name":"Denver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73"/>
        <v>start /low /b %USERPROFILE%\Documents\GitHub\eaglep3\Utilities\DownloadLogsFromS3.py --loco 4042 --day 2017-01-03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4" t="s">
        <v>661</v>
      </c>
      <c r="B157" s="7">
        <v>4041</v>
      </c>
      <c r="C157" s="22" t="s">
        <v>203</v>
      </c>
      <c r="D157" s="22" t="s">
        <v>720</v>
      </c>
      <c r="E157" s="13">
        <v>42738.05740740741</v>
      </c>
      <c r="F157" s="13">
        <v>42738.060023148151</v>
      </c>
      <c r="G157" s="7">
        <v>0</v>
      </c>
      <c r="H157" s="22" t="s">
        <v>209</v>
      </c>
      <c r="I157" s="13">
        <v>42738.086134259262</v>
      </c>
      <c r="J157" s="7">
        <v>0</v>
      </c>
      <c r="K157" s="105" t="str">
        <f t="shared" si="56"/>
        <v>4041/4042</v>
      </c>
      <c r="L157" s="22" t="str">
        <f>VLOOKUP(A157,'Trips&amp;Operators'!$C$1:$G$99999,5,FALSE)</f>
        <v>STORY SAMANTHA</v>
      </c>
      <c r="M157" s="6">
        <f t="shared" si="57"/>
        <v>2.6111111110367347E-2</v>
      </c>
      <c r="N157" s="7">
        <f t="shared" si="58"/>
        <v>37.599999998928979</v>
      </c>
      <c r="O157" s="7"/>
      <c r="P157" s="7"/>
      <c r="Q157" s="23"/>
      <c r="R157" s="23"/>
      <c r="S157" s="32">
        <f t="shared" si="59"/>
        <v>1</v>
      </c>
      <c r="T157" s="47" t="str">
        <f t="shared" si="60"/>
        <v>Southbound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https://search-rtdc-monitor-bjffxe2xuh6vdkpspy63sjmuny.us-east-1.es.amazonaws.com/_plugin/kibana/#/discover/Steve-Slow-Train-Analysis-(2080s-and-2083s)?_g=(refreshInterval:(display:Off,section:0,value:0),time:(from:'2017-01-03 00:22:40-700',mode:absolute,to:'2017-01-03 03:04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7" s="49" t="str">
        <f t="shared" si="62"/>
        <v>N</v>
      </c>
      <c r="X157" s="173">
        <f t="shared" si="63"/>
        <v>1</v>
      </c>
      <c r="Y157" s="64">
        <f t="shared" si="64"/>
        <v>23.309100000000001</v>
      </c>
      <c r="Z157" s="64">
        <f t="shared" si="65"/>
        <v>1.4999999999999999E-2</v>
      </c>
      <c r="AA157" s="64">
        <f t="shared" si="66"/>
        <v>23.2941</v>
      </c>
      <c r="AB157" s="61" t="e">
        <f>VLOOKUP(A157,Enforcements!$C$7:$K$19,8,0)</f>
        <v>#N/A</v>
      </c>
      <c r="AC157" s="57" t="e">
        <f>VLOOKUP(A157,Enforcements!$C$7:$E$19,3,0)</f>
        <v>#N/A</v>
      </c>
      <c r="AD157" s="58" t="str">
        <f t="shared" si="67"/>
        <v>0244-02</v>
      </c>
      <c r="AE157" s="87" t="str">
        <f t="shared" si="68"/>
        <v>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 &amp; aws s3 cp s3://rtdc.mdm.uploadarchive.raw/RTDC4041/ "%USERPROFILE%\AppData\Local\Temp\OnboardLogs"\RTDC4041\2017-01-04 --exclude "*" --recursive --include "*20170104*" &amp; "%USERPROFILE%\Documents\GitHub\mrs-test-scripts\Headless Mode &amp; Sideloading\WalkAndUnGZ.bat" "%USERPROFILE%\AppData\Local\Temp\OnboardLogs"\RTDC4041\2017-01-04</v>
      </c>
      <c r="AF157" s="84" t="str">
        <f t="shared" si="69"/>
        <v>"C:\Program Files (x86)\AstroGrep\AstroGrep.exe" /spath="%USERPROFILE%\AppData\Local\Temp\OnboardLogs" /stypes="app*4041*20170103*" /stext=" 09:.+((SYSTEM_STATE.+slice.+state.+changed )|(ment ac)|(multiple cpu faults)|(system.+state.+changed )|(\[timeout)|(PRM\|1\|D)|(kpr)|(kdp)|(\|lc)|(penalty))" /e /r /s</v>
      </c>
      <c r="AG157" s="1" t="str">
        <f t="shared" si="70"/>
        <v>EC</v>
      </c>
      <c r="AH157" s="88" t="str">
        <f t="shared" si="71"/>
        <v>"%USERPROFILE%\Documents\GitHub\eaglep3\Utilities\RefineRTDCRunTimes.py" --tripid 244-02 --locoid 4041 --swversion DE.1.0.8.0 --startMP 204:233091 --initTime 2017-01-03T01:22:40 --startdatetime 2017-01-03T01:26:26 --delay 0 --endMP 204:150 --enddatetime 2017-01-03T02:04:02 --enforcementcount 0 &gt;&gt;C:\Users\stu\Documents\GitHub\eaglep3-reporting\EC\2017-01-02-refined-times.txt</v>
      </c>
      <c r="AI157" s="115" t="str">
        <f t="shared" si="72"/>
        <v>echo {"issue":{"subject":"","project_id":79,"tracker_id":40,"status_id":1,"priority_id":2,"assigned_to_id":23,"start_date":"2017-01-03","description":"","custom_fields":[{"id":1,"name":"Subdivision","value":"EC"},{"id":4,"name":"Milepost","value":"0.015"},{"id":17,"name":"Train ID","value":"244-02"},{"id":16,"name":"Locomotive ID","value":"4041"},{"id":130,"name":"Impact","value":""},{"id":150,"name":"Time of Event (Mountain Time)","value":"02:04:02"},{"id":151,"name":"Denver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73"/>
        <v>start /low /b %USERPROFILE%\Documents\GitHub\eaglep3\Utilities\DownloadLogsFromS3.py --loco 4041 --day 2017-01-03</v>
      </c>
    </row>
    <row r="158" spans="1:91" s="21" customFormat="1" x14ac:dyDescent="0.25">
      <c r="A158" s="34" t="s">
        <v>426</v>
      </c>
      <c r="B158" s="7">
        <v>4008</v>
      </c>
      <c r="C158" s="22" t="s">
        <v>203</v>
      </c>
      <c r="D158" s="22" t="s">
        <v>742</v>
      </c>
      <c r="E158" s="13">
        <v>42737.215451388889</v>
      </c>
      <c r="F158" s="13">
        <v>42737.216736111113</v>
      </c>
      <c r="G158" s="7">
        <v>1</v>
      </c>
      <c r="H158" s="22" t="s">
        <v>743</v>
      </c>
      <c r="I158" s="13">
        <v>42737.22760416667</v>
      </c>
      <c r="J158" s="7">
        <v>0</v>
      </c>
      <c r="K158" s="105" t="str">
        <f t="shared" si="56"/>
        <v>4007/4008</v>
      </c>
      <c r="L158" s="22" t="str">
        <f>VLOOKUP(A158,'Trips&amp;Operators'!$C$1:$G$99999,5,FALSE)</f>
        <v>DAVIS WENDY</v>
      </c>
      <c r="M158" s="6">
        <f t="shared" si="57"/>
        <v>1.0868055556784384E-2</v>
      </c>
      <c r="N158" s="7">
        <f t="shared" si="58"/>
        <v>15.650000001769513</v>
      </c>
      <c r="O158" s="7"/>
      <c r="P158" s="7"/>
      <c r="Q158" s="23"/>
      <c r="R158" s="23"/>
      <c r="S158" s="32">
        <f t="shared" si="59"/>
        <v>1</v>
      </c>
      <c r="T158" s="47" t="str">
        <f t="shared" si="60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04:10:15-700',mode:absolute,to:'2017-01-02 06:27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58" s="49" t="str">
        <f t="shared" si="62"/>
        <v>N</v>
      </c>
      <c r="X158" s="173">
        <f t="shared" si="63"/>
        <v>556</v>
      </c>
      <c r="Y158" s="64">
        <f t="shared" si="64"/>
        <v>5.8708999999999998</v>
      </c>
      <c r="Z158" s="64">
        <f t="shared" si="65"/>
        <v>6.3299999999999995E-2</v>
      </c>
      <c r="AA158" s="64">
        <f t="shared" si="66"/>
        <v>5.8075999999999999</v>
      </c>
      <c r="AB158" s="61" t="str">
        <f>VLOOKUP(A158,Enforcements!$C$7:$K$19,8,0)</f>
        <v>Form based authority (4)</v>
      </c>
      <c r="AC158" s="57" t="str">
        <f>VLOOKUP(A158,Enforcements!$C$7:$E$19,3,0)</f>
        <v>TRACK WARRANT AUTHORITY</v>
      </c>
      <c r="AD158" s="58" t="str">
        <f t="shared" si="67"/>
        <v>0800-02</v>
      </c>
      <c r="AE158" s="87" t="str">
        <f t="shared" si="68"/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AF158" s="84" t="str">
        <f t="shared" si="69"/>
        <v>"C:\Program Files (x86)\AstroGrep\AstroGrep.exe" /spath="%USERPROFILE%\AppData\Local\Temp\OnboardLogs" /stypes="app*4008*20170102*" /stext=" 12:.+((SYSTEM_STATE.+slice.+state.+changed )|(ment ac)|(multiple cpu faults)|(system.+state.+changed )|(\[timeout)|(PRM\|1\|D)|(kpr)|(kdp)|(\|lc)|(penalty))" /e /r /s</v>
      </c>
      <c r="AG158" s="1" t="str">
        <f t="shared" si="70"/>
        <v>NW</v>
      </c>
      <c r="AH158" s="88" t="str">
        <f t="shared" si="71"/>
        <v>"%USERPROFILE%\Documents\GitHub\eaglep3\Utilities\RefineRTDCRunTimes.py" --tripid 800-02 --locoid 4008 --swversion DE.1.0.8.0 --startMP 300:58709 --initTime 2017-01-02T05:10:15 --startdatetime 2017-01-02T05:12:06 --delay 1 --endMP 204:633 --enddatetime 2017-01-02T05:27:45 --enforcementcount 0 &gt;&gt;C:\Users\stu\Documents\GitHub\eaglep3-reporting\EC\2017-01-02-refined-times.txt</v>
      </c>
      <c r="AI158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{"issue":{"subject":"","project_id":79,"tracker_id":40,"status_id":1,"priority_id":2,"assigned_to_id":23,"start_date":"2017-01-02","description":"","custom_fields":[{"id":1,"name":"Subdivision","value":"NW"},{"id":4,"name":"Milepost","value":"0.0633"},{"id":17,"name":"Train ID","value":"800-02"},{"id":16,"name":"Locomotive ID","value":"4008"},{"id":130,"name":"Impact","value":""},{"id":150,"name":"Time of Event (Mountain Time)","value":"05:27:45"},{"id":151,"name":"Denver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73"/>
        <v>start /low /b %USERPROFILE%\Documents\GitHub\eaglep3\Utilities\DownloadLogsFromS3.py --loco 4008 --day 2017-01-02</v>
      </c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4" t="s">
        <v>428</v>
      </c>
      <c r="B159" s="7">
        <v>4007</v>
      </c>
      <c r="C159" s="22" t="s">
        <v>203</v>
      </c>
      <c r="D159" s="22" t="s">
        <v>744</v>
      </c>
      <c r="E159" s="13">
        <v>42737.240231481483</v>
      </c>
      <c r="F159" s="13">
        <v>42737.243958333333</v>
      </c>
      <c r="G159" s="7">
        <v>1</v>
      </c>
      <c r="H159" s="22" t="s">
        <v>745</v>
      </c>
      <c r="I159" s="13">
        <v>42737.254884259259</v>
      </c>
      <c r="J159" s="7">
        <v>0</v>
      </c>
      <c r="K159" s="105" t="str">
        <f t="shared" si="56"/>
        <v>4007/4008</v>
      </c>
      <c r="L159" s="22" t="str">
        <f>VLOOKUP(A159,'Trips&amp;Operators'!$C$1:$G$99999,5,FALSE)</f>
        <v>DAVIS WENDY</v>
      </c>
      <c r="M159" s="6">
        <f t="shared" si="57"/>
        <v>1.0925925926130731E-2</v>
      </c>
      <c r="N159" s="7">
        <f t="shared" si="58"/>
        <v>15.733333333628252</v>
      </c>
      <c r="O159" s="7"/>
      <c r="P159" s="7"/>
      <c r="Q159" s="23"/>
      <c r="R159" s="23"/>
      <c r="S159" s="32">
        <f t="shared" si="59"/>
        <v>1</v>
      </c>
      <c r="T159" s="47" t="str">
        <f t="shared" si="60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04:45:56-700',mode:absolute,to:'2017-01-02 07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59" s="49" t="str">
        <f t="shared" si="62"/>
        <v>N</v>
      </c>
      <c r="X159" s="173">
        <f t="shared" si="63"/>
        <v>1</v>
      </c>
      <c r="Y159" s="64">
        <f t="shared" si="64"/>
        <v>9.1600000000000001E-2</v>
      </c>
      <c r="Z159" s="64">
        <f t="shared" si="65"/>
        <v>5.9008000000000003</v>
      </c>
      <c r="AA159" s="64">
        <f t="shared" si="66"/>
        <v>5.8092000000000006</v>
      </c>
      <c r="AB159" s="61" t="e">
        <f>VLOOKUP(A159,Enforcements!$C$7:$K$19,8,0)</f>
        <v>#N/A</v>
      </c>
      <c r="AC159" s="57" t="e">
        <f>VLOOKUP(A159,Enforcements!$C$7:$E$19,3,0)</f>
        <v>#N/A</v>
      </c>
      <c r="AD159" s="58" t="str">
        <f t="shared" si="67"/>
        <v>0801-02</v>
      </c>
      <c r="AE159" s="87" t="str">
        <f t="shared" si="68"/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AF159" s="84" t="str">
        <f t="shared" si="69"/>
        <v>"C:\Program Files (x86)\AstroGrep\AstroGrep.exe" /spath="%USERPROFILE%\AppData\Local\Temp\OnboardLogs" /stypes="app*4007*20170102*" /stext=" 13:.+((SYSTEM_STATE.+slice.+state.+changed )|(ment ac)|(multiple cpu faults)|(system.+state.+changed )|(\[timeout)|(PRM\|1\|D)|(kpr)|(kdp)|(\|lc)|(penalty))" /e /r /s</v>
      </c>
      <c r="AG159" s="1" t="str">
        <f t="shared" si="70"/>
        <v>NW</v>
      </c>
      <c r="AH159" s="88" t="str">
        <f t="shared" si="71"/>
        <v>"%USERPROFILE%\Documents\GitHub\eaglep3\Utilities\RefineRTDCRunTimes.py" --tripid 801-02 --locoid 4007 --swversion DE.1.0.8.0 --startMP 204:916 --initTime 2017-01-02T05:45:56 --startdatetime 2017-01-02T05:51:18 --delay 1 --endMP 300:59008 --enddatetime 2017-01-02T06:07:02 --enforcementcount 0 &gt;&gt;C:\Users\stu\Documents\GitHub\eaglep3-reporting\EC\2017-01-02-refined-times.txt</v>
      </c>
      <c r="AI159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{"issue":{"subject":"","project_id":79,"tracker_id":40,"status_id":1,"priority_id":2,"assigned_to_id":23,"start_date":"2017-01-02","description":"","custom_fields":[{"id":1,"name":"Subdivision","value":"NW"},{"id":4,"name":"Milepost","value":"5.9008"},{"id":17,"name":"Train ID","value":"801-02"},{"id":16,"name":"Locomotive ID","value":"4007"},{"id":130,"name":"Impact","value":""},{"id":150,"name":"Time of Event (Mountain Time)","value":"06:07:02"},{"id":151,"name":"Denver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73"/>
        <v>start /low /b %USERPROFILE%\Documents\GitHub\eaglep3\Utilities\DownloadLogsFromS3.py --loco 4007 --day 2017-01-02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482</v>
      </c>
      <c r="B160" s="7">
        <v>4008</v>
      </c>
      <c r="C160" s="22" t="s">
        <v>203</v>
      </c>
      <c r="D160" s="22" t="s">
        <v>746</v>
      </c>
      <c r="E160" s="13">
        <v>42737.256076388891</v>
      </c>
      <c r="F160" s="13">
        <v>42737.257326388892</v>
      </c>
      <c r="G160" s="7">
        <v>1</v>
      </c>
      <c r="H160" s="22" t="s">
        <v>747</v>
      </c>
      <c r="I160" s="13">
        <v>42737.268969907411</v>
      </c>
      <c r="J160" s="7">
        <v>0</v>
      </c>
      <c r="K160" s="105" t="str">
        <f t="shared" si="56"/>
        <v>4007/4008</v>
      </c>
      <c r="L160" s="22" t="str">
        <f>VLOOKUP(A160,'Trips&amp;Operators'!$C$1:$G$99999,5,FALSE)</f>
        <v>DAVIS WENDY</v>
      </c>
      <c r="M160" s="6">
        <f t="shared" si="57"/>
        <v>1.1643518519122154E-2</v>
      </c>
      <c r="N160" s="7">
        <f t="shared" si="58"/>
        <v>16.766666667535901</v>
      </c>
      <c r="O160" s="7"/>
      <c r="P160" s="7"/>
      <c r="Q160" s="23"/>
      <c r="R160" s="23"/>
      <c r="S160" s="32">
        <f t="shared" si="59"/>
        <v>1</v>
      </c>
      <c r="T160" s="47" t="str">
        <f t="shared" si="60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05:08:45-700',mode:absolute,to:'2017-01-02 07:27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0" s="49" t="str">
        <f t="shared" si="62"/>
        <v>N</v>
      </c>
      <c r="X160" s="173">
        <f t="shared" si="63"/>
        <v>1</v>
      </c>
      <c r="Y160" s="64">
        <f t="shared" si="64"/>
        <v>5.8692000000000002</v>
      </c>
      <c r="Z160" s="64">
        <f t="shared" si="65"/>
        <v>6.2100000000000002E-2</v>
      </c>
      <c r="AA160" s="64">
        <f t="shared" si="66"/>
        <v>5.8071000000000002</v>
      </c>
      <c r="AB160" s="61" t="e">
        <f>VLOOKUP(A160,Enforcements!$C$7:$K$19,8,0)</f>
        <v>#N/A</v>
      </c>
      <c r="AC160" s="57" t="e">
        <f>VLOOKUP(A160,Enforcements!$C$7:$E$19,3,0)</f>
        <v>#N/A</v>
      </c>
      <c r="AD160" s="58" t="str">
        <f t="shared" si="67"/>
        <v>0802-02</v>
      </c>
      <c r="AE160" s="87" t="str">
        <f t="shared" si="68"/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AF160" s="84" t="str">
        <f t="shared" si="69"/>
        <v>"C:\Program Files (x86)\AstroGrep\AstroGrep.exe" /spath="%USERPROFILE%\AppData\Local\Temp\OnboardLogs" /stypes="app*4008*20170102*" /stext=" 13:.+((SYSTEM_STATE.+slice.+state.+changed )|(ment ac)|(multiple cpu faults)|(system.+state.+changed )|(\[timeout)|(PRM\|1\|D)|(kpr)|(kdp)|(\|lc)|(penalty))" /e /r /s</v>
      </c>
      <c r="AG160" s="1" t="str">
        <f t="shared" si="70"/>
        <v>NW</v>
      </c>
      <c r="AH160" s="88" t="str">
        <f t="shared" si="71"/>
        <v>"%USERPROFILE%\Documents\GitHub\eaglep3\Utilities\RefineRTDCRunTimes.py" --tripid 802-02 --locoid 4008 --swversion DE.1.0.8.0 --startMP 300:58692 --initTime 2017-01-02T06:08:45 --startdatetime 2017-01-02T06:10:33 --delay 1 --endMP 204:621 --enddatetime 2017-01-02T06:27:19 --enforcementcount 0 &gt;&gt;C:\Users\stu\Documents\GitHub\eaglep3-reporting\EC\2017-01-02-refined-times.txt</v>
      </c>
      <c r="AI160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{"issue":{"subject":"","project_id":79,"tracker_id":40,"status_id":1,"priority_id":2,"assigned_to_id":23,"start_date":"2017-01-02","description":"","custom_fields":[{"id":1,"name":"Subdivision","value":"NW"},{"id":4,"name":"Milepost","value":"0.0621"},{"id":17,"name":"Train ID","value":"802-02"},{"id":16,"name":"Locomotive ID","value":"4008"},{"id":130,"name":"Impact","value":""},{"id":150,"name":"Time of Event (Mountain Time)","value":"06:27:19"},{"id":151,"name":"Denver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73"/>
        <v>start /low /b %USERPROFILE%\Documents\GitHub\eaglep3\Utilities\DownloadLogsFromS3.py --loco 4008 --day 2017-01-02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484</v>
      </c>
      <c r="B161" s="7">
        <v>4018</v>
      </c>
      <c r="C161" s="22" t="s">
        <v>203</v>
      </c>
      <c r="D161" s="22" t="s">
        <v>748</v>
      </c>
      <c r="E161" s="13">
        <v>42737.263298611113</v>
      </c>
      <c r="F161" s="13">
        <v>42737.264884259261</v>
      </c>
      <c r="G161" s="7">
        <v>1</v>
      </c>
      <c r="H161" s="22" t="s">
        <v>372</v>
      </c>
      <c r="I161" s="13">
        <v>42737.274953703702</v>
      </c>
      <c r="J161" s="7">
        <v>0</v>
      </c>
      <c r="K161" s="105" t="str">
        <f t="shared" si="56"/>
        <v>4017/4018</v>
      </c>
      <c r="L161" s="22" t="str">
        <f>VLOOKUP(A161,'Trips&amp;Operators'!$C$1:$G$99999,5,FALSE)</f>
        <v>ROCHA YAOTL</v>
      </c>
      <c r="M161" s="6">
        <f t="shared" si="57"/>
        <v>1.006944444088731E-2</v>
      </c>
      <c r="N161" s="7">
        <f t="shared" si="58"/>
        <v>14.499999994877726</v>
      </c>
      <c r="O161" s="7"/>
      <c r="P161" s="7"/>
      <c r="Q161" s="23"/>
      <c r="R161" s="23"/>
      <c r="S161" s="32">
        <f t="shared" si="59"/>
        <v>1</v>
      </c>
      <c r="T161" s="47" t="str">
        <f t="shared" si="60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05:19:09-700',mode:absolute,to:'2017-01-02 07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1" s="49" t="str">
        <f t="shared" si="62"/>
        <v>N</v>
      </c>
      <c r="X161" s="173">
        <f t="shared" si="63"/>
        <v>1</v>
      </c>
      <c r="Y161" s="64">
        <f t="shared" si="64"/>
        <v>9.64E-2</v>
      </c>
      <c r="Z161" s="64">
        <f t="shared" si="65"/>
        <v>5.8921999999999999</v>
      </c>
      <c r="AA161" s="64">
        <f t="shared" si="66"/>
        <v>5.7957999999999998</v>
      </c>
      <c r="AB161" s="61" t="e">
        <f>VLOOKUP(A161,Enforcements!$C$7:$K$19,8,0)</f>
        <v>#N/A</v>
      </c>
      <c r="AC161" s="57" t="e">
        <f>VLOOKUP(A161,Enforcements!$C$7:$E$19,3,0)</f>
        <v>#N/A</v>
      </c>
      <c r="AD161" s="58" t="str">
        <f t="shared" si="67"/>
        <v>0803-02</v>
      </c>
      <c r="AE161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61" s="84" t="str">
        <f t="shared" si="69"/>
        <v>"C:\Program Files (x86)\AstroGrep\AstroGrep.exe" /spath="%USERPROFILE%\AppData\Local\Temp\OnboardLogs" /stypes="app*4018*20170102*" /stext=" 13:.+((SYSTEM_STATE.+slice.+state.+changed )|(ment ac)|(multiple cpu faults)|(system.+state.+changed )|(\[timeout)|(PRM\|1\|D)|(kpr)|(kdp)|(\|lc)|(penalty))" /e /r /s</v>
      </c>
      <c r="AG161" s="1" t="str">
        <f t="shared" si="70"/>
        <v>NW</v>
      </c>
      <c r="AH161" s="88" t="str">
        <f t="shared" si="71"/>
        <v>"%USERPROFILE%\Documents\GitHub\eaglep3\Utilities\RefineRTDCRunTimes.py" --tripid 803-02 --locoid 4018 --swversion DE.1.0.8.0 --startMP 204:964 --initTime 2017-01-02T06:19:09 --startdatetime 2017-01-02T06:21:26 --delay 1 --endMP 300:58922 --enddatetime 2017-01-02T06:35:56 --enforcementcount 0 &gt;&gt;C:\Users\stu\Documents\GitHub\eaglep3-reporting\EC\2017-01-02-refined-times.txt</v>
      </c>
      <c r="AI161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{"issue":{"subject":"","project_id":79,"tracker_id":40,"status_id":1,"priority_id":2,"assigned_to_id":23,"start_date":"2017-01-02","description":"","custom_fields":[{"id":1,"name":"Subdivision","value":"NW"},{"id":4,"name":"Milepost","value":"5.8922"},{"id":17,"name":"Train ID","value":"803-02"},{"id":16,"name":"Locomotive ID","value":"4018"},{"id":130,"name":"Impact","value":""},{"id":150,"name":"Time of Event (Mountain Time)","value":"06:35:56"},{"id":151,"name":"Denver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73"/>
        <v>start /low /b %USERPROFILE%\Documents\GitHub\eaglep3\Utilities\DownloadLogsFromS3.py --loco 4018 --day 2017-01-02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487</v>
      </c>
      <c r="B162" s="7">
        <v>4017</v>
      </c>
      <c r="C162" s="22" t="s">
        <v>203</v>
      </c>
      <c r="D162" s="22" t="s">
        <v>749</v>
      </c>
      <c r="E162" s="13">
        <v>42737.276574074072</v>
      </c>
      <c r="F162" s="13">
        <v>42737.277881944443</v>
      </c>
      <c r="G162" s="7">
        <v>1</v>
      </c>
      <c r="H162" s="22" t="s">
        <v>750</v>
      </c>
      <c r="I162" s="13">
        <v>42737.289421296293</v>
      </c>
      <c r="J162" s="7">
        <v>0</v>
      </c>
      <c r="K162" s="105" t="str">
        <f t="shared" si="56"/>
        <v>4017/4018</v>
      </c>
      <c r="L162" s="22" t="str">
        <f>VLOOKUP(A162,'Trips&amp;Operators'!$C$1:$G$99999,5,FALSE)</f>
        <v>ROCHA YAOTL</v>
      </c>
      <c r="M162" s="6">
        <f t="shared" si="57"/>
        <v>1.1539351849933155E-2</v>
      </c>
      <c r="N162" s="7">
        <f t="shared" si="58"/>
        <v>16.616666663903743</v>
      </c>
      <c r="O162" s="7"/>
      <c r="P162" s="7"/>
      <c r="Q162" s="23"/>
      <c r="R162" s="23"/>
      <c r="S162" s="32">
        <f t="shared" si="59"/>
        <v>1</v>
      </c>
      <c r="T162" s="47" t="str">
        <f t="shared" si="60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05:38:16-700',mode:absolute,to:'2017-01-02 07:56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2" s="49" t="str">
        <f t="shared" si="62"/>
        <v>N</v>
      </c>
      <c r="X162" s="173">
        <f t="shared" si="63"/>
        <v>1</v>
      </c>
      <c r="Y162" s="64">
        <f t="shared" si="64"/>
        <v>5.8592000000000004</v>
      </c>
      <c r="Z162" s="64">
        <f t="shared" si="65"/>
        <v>6.9400000000000003E-2</v>
      </c>
      <c r="AA162" s="64">
        <f t="shared" si="66"/>
        <v>5.7898000000000005</v>
      </c>
      <c r="AB162" s="61" t="e">
        <f>VLOOKUP(A162,Enforcements!$C$7:$K$19,8,0)</f>
        <v>#N/A</v>
      </c>
      <c r="AC162" s="57" t="e">
        <f>VLOOKUP(A162,Enforcements!$C$7:$E$19,3,0)</f>
        <v>#N/A</v>
      </c>
      <c r="AD162" s="58" t="str">
        <f t="shared" si="67"/>
        <v>0804-02</v>
      </c>
      <c r="AE162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62" s="84" t="str">
        <f t="shared" si="69"/>
        <v>"C:\Program Files (x86)\AstroGrep\AstroGrep.exe" /spath="%USERPROFILE%\AppData\Local\Temp\OnboardLogs" /stypes="app*4017*20170102*" /stext=" 13:.+((SYSTEM_STATE.+slice.+state.+changed )|(ment ac)|(multiple cpu faults)|(system.+state.+changed )|(\[timeout)|(PRM\|1\|D)|(kpr)|(kdp)|(\|lc)|(penalty))" /e /r /s</v>
      </c>
      <c r="AG162" s="1" t="str">
        <f t="shared" si="70"/>
        <v>NW</v>
      </c>
      <c r="AH162" s="88" t="str">
        <f t="shared" si="71"/>
        <v>"%USERPROFILE%\Documents\GitHub\eaglep3\Utilities\RefineRTDCRunTimes.py" --tripid 804-02 --locoid 4017 --swversion DE.1.0.8.0 --startMP 300:58592 --initTime 2017-01-02T06:38:16 --startdatetime 2017-01-02T06:40:09 --delay 1 --endMP 204:694 --enddatetime 2017-01-02T06:56:46 --enforcementcount 0 &gt;&gt;C:\Users\stu\Documents\GitHub\eaglep3-reporting\EC\2017-01-02-refined-times.txt</v>
      </c>
      <c r="AI162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{"issue":{"subject":"","project_id":79,"tracker_id":40,"status_id":1,"priority_id":2,"assigned_to_id":23,"start_date":"2017-01-02","description":"","custom_fields":[{"id":1,"name":"Subdivision","value":"NW"},{"id":4,"name":"Milepost","value":"0.0694"},{"id":17,"name":"Train ID","value":"804-02"},{"id":16,"name":"Locomotive ID","value":"4017"},{"id":130,"name":"Impact","value":""},{"id":150,"name":"Time of Event (Mountain Time)","value":"06:56:46"},{"id":151,"name":"Denver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73"/>
        <v>start /low /b %USERPROFILE%\Documents\GitHub\eaglep3\Utilities\DownloadLogsFromS3.py --loco 4017 --day 2017-01-02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429</v>
      </c>
      <c r="B163" s="7">
        <v>4007</v>
      </c>
      <c r="C163" s="22" t="s">
        <v>203</v>
      </c>
      <c r="D163" s="22" t="s">
        <v>751</v>
      </c>
      <c r="E163" s="13">
        <v>42737.284583333334</v>
      </c>
      <c r="F163" s="13">
        <v>42737.28628472222</v>
      </c>
      <c r="G163" s="7">
        <v>2</v>
      </c>
      <c r="H163" s="22" t="s">
        <v>752</v>
      </c>
      <c r="I163" s="13">
        <v>42737.298009259262</v>
      </c>
      <c r="J163" s="7">
        <v>0</v>
      </c>
      <c r="K163" s="105" t="str">
        <f t="shared" si="56"/>
        <v>4007/4008</v>
      </c>
      <c r="L163" s="22" t="str">
        <f>VLOOKUP(A163,'Trips&amp;Operators'!$C$1:$G$99999,5,FALSE)</f>
        <v>DAVIS WENDY</v>
      </c>
      <c r="M163" s="6">
        <f t="shared" si="57"/>
        <v>1.1724537042027805E-2</v>
      </c>
      <c r="N163" s="7">
        <f t="shared" si="58"/>
        <v>16.883333340520039</v>
      </c>
      <c r="O163" s="7"/>
      <c r="P163" s="7"/>
      <c r="Q163" s="23"/>
      <c r="R163" s="23"/>
      <c r="S163" s="32">
        <f t="shared" si="59"/>
        <v>1</v>
      </c>
      <c r="T163" s="47" t="str">
        <f t="shared" si="60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05:49:48-700',mode:absolute,to:'2017-01-02 08:09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3" s="49" t="str">
        <f t="shared" si="62"/>
        <v>N</v>
      </c>
      <c r="X163" s="173">
        <f t="shared" si="63"/>
        <v>1</v>
      </c>
      <c r="Y163" s="64">
        <f t="shared" si="64"/>
        <v>9.6199999999999994E-2</v>
      </c>
      <c r="Z163" s="64">
        <f t="shared" si="65"/>
        <v>5.8079000000000001</v>
      </c>
      <c r="AA163" s="64">
        <f t="shared" si="66"/>
        <v>5.7117000000000004</v>
      </c>
      <c r="AB163" s="61" t="e">
        <f>VLOOKUP(A163,Enforcements!$C$7:$K$19,8,0)</f>
        <v>#N/A</v>
      </c>
      <c r="AC163" s="57" t="e">
        <f>VLOOKUP(A163,Enforcements!$C$7:$E$19,3,0)</f>
        <v>#N/A</v>
      </c>
      <c r="AD163" s="58" t="str">
        <f t="shared" si="67"/>
        <v>0805-02</v>
      </c>
      <c r="AE163" s="87" t="str">
        <f t="shared" si="68"/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AF163" s="84" t="str">
        <f t="shared" si="69"/>
        <v>"C:\Program Files (x86)\AstroGrep\AstroGrep.exe" /spath="%USERPROFILE%\AppData\Local\Temp\OnboardLogs" /stypes="app*4007*20170102*" /stext=" 14:.+((SYSTEM_STATE.+slice.+state.+changed )|(ment ac)|(multiple cpu faults)|(system.+state.+changed )|(\[timeout)|(PRM\|1\|D)|(kpr)|(kdp)|(\|lc)|(penalty))" /e /r /s</v>
      </c>
      <c r="AG163" s="1" t="str">
        <f t="shared" si="70"/>
        <v>NW</v>
      </c>
      <c r="AH163" s="88" t="str">
        <f t="shared" si="71"/>
        <v>"%USERPROFILE%\Documents\GitHub\eaglep3\Utilities\RefineRTDCRunTimes.py" --tripid 805-02 --locoid 4007 --swversion DE.1.0.8.0 --startMP 204:962 --initTime 2017-01-02T06:49:48 --startdatetime 2017-01-02T06:52:15 --delay 2 --endMP 300:58079 --enddatetime 2017-01-02T07:09:08 --enforcementcount 0 &gt;&gt;C:\Users\stu\Documents\GitHub\eaglep3-reporting\EC\2017-01-02-refined-times.txt</v>
      </c>
      <c r="AI163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{"issue":{"subject":"","project_id":79,"tracker_id":40,"status_id":1,"priority_id":2,"assigned_to_id":23,"start_date":"2017-01-02","description":"","custom_fields":[{"id":1,"name":"Subdivision","value":"NW"},{"id":4,"name":"Milepost","value":"5.8079"},{"id":17,"name":"Train ID","value":"805-02"},{"id":16,"name":"Locomotive ID","value":"4007"},{"id":130,"name":"Impact","value":""},{"id":150,"name":"Time of Event (Mountain Time)","value":"07:09:08"},{"id":151,"name":"Denver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73"/>
        <v>start /low /b %USERPROFILE%\Documents\GitHub\eaglep3\Utilities\DownloadLogsFromS3.py --loco 4007 --day 2017-01-02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4" t="s">
        <v>430</v>
      </c>
      <c r="B164" s="7">
        <v>4008</v>
      </c>
      <c r="C164" s="22" t="s">
        <v>203</v>
      </c>
      <c r="D164" s="22" t="s">
        <v>742</v>
      </c>
      <c r="E164" s="13">
        <v>42737.298993055556</v>
      </c>
      <c r="F164" s="13">
        <v>42737.300034722219</v>
      </c>
      <c r="G164" s="7">
        <v>0</v>
      </c>
      <c r="H164" s="22" t="s">
        <v>753</v>
      </c>
      <c r="I164" s="13">
        <v>42737.310694444444</v>
      </c>
      <c r="J164" s="7">
        <v>0</v>
      </c>
      <c r="K164" s="105" t="str">
        <f t="shared" si="56"/>
        <v>4007/4008</v>
      </c>
      <c r="L164" s="22" t="str">
        <f>VLOOKUP(A164,'Trips&amp;Operators'!$C$1:$G$99999,5,FALSE)</f>
        <v>DAVIS WENDY</v>
      </c>
      <c r="M164" s="6">
        <f t="shared" si="57"/>
        <v>1.0659722225682344E-2</v>
      </c>
      <c r="N164" s="7">
        <f t="shared" si="58"/>
        <v>15.350000004982576</v>
      </c>
      <c r="O164" s="7"/>
      <c r="P164" s="7"/>
      <c r="Q164" s="23"/>
      <c r="R164" s="23"/>
      <c r="S164" s="32">
        <f t="shared" si="59"/>
        <v>1</v>
      </c>
      <c r="T164" s="47" t="str">
        <f t="shared" si="60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06:10:33-700',mode:absolute,to:'2017-01-02 08:27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4" s="49" t="str">
        <f t="shared" si="62"/>
        <v>N</v>
      </c>
      <c r="X164" s="173">
        <f t="shared" si="63"/>
        <v>1</v>
      </c>
      <c r="Y164" s="64">
        <f t="shared" si="64"/>
        <v>5.8708999999999998</v>
      </c>
      <c r="Z164" s="64">
        <f t="shared" si="65"/>
        <v>0.1298</v>
      </c>
      <c r="AA164" s="64">
        <f t="shared" si="66"/>
        <v>5.7410999999999994</v>
      </c>
      <c r="AB164" s="61" t="str">
        <f>VLOOKUP(A164,Enforcements!$C$7:$K$19,8,0)</f>
        <v>Form based authority (4)</v>
      </c>
      <c r="AC164" s="57" t="str">
        <f>VLOOKUP(A164,Enforcements!$C$7:$E$19,3,0)</f>
        <v>TRACK WARRANT AUTHORITY</v>
      </c>
      <c r="AD164" s="58" t="str">
        <f t="shared" si="67"/>
        <v>0806-02</v>
      </c>
      <c r="AE164" s="87" t="str">
        <f t="shared" si="68"/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AF164" s="84" t="str">
        <f t="shared" si="69"/>
        <v>"C:\Program Files (x86)\AstroGrep\AstroGrep.exe" /spath="%USERPROFILE%\AppData\Local\Temp\OnboardLogs" /stypes="app*4008*20170102*" /stext=" 14:.+((SYSTEM_STATE.+slice.+state.+changed )|(ment ac)|(multiple cpu faults)|(system.+state.+changed )|(\[timeout)|(PRM\|1\|D)|(kpr)|(kdp)|(\|lc)|(penalty))" /e /r /s</v>
      </c>
      <c r="AG164" s="1" t="str">
        <f t="shared" si="70"/>
        <v>NW</v>
      </c>
      <c r="AH164" s="88" t="str">
        <f t="shared" si="71"/>
        <v>"%USERPROFILE%\Documents\GitHub\eaglep3\Utilities\RefineRTDCRunTimes.py" --tripid 806-02 --locoid 4008 --swversion DE.1.0.8.0 --startMP 300:58709 --initTime 2017-01-02T07:10:33 --startdatetime 2017-01-02T07:12:03 --delay 0 --endMP 204:1298 --enddatetime 2017-01-02T07:27:24 --enforcementcount 0 &gt;&gt;C:\Users\stu\Documents\GitHub\eaglep3-reporting\EC\2017-01-02-refined-times.txt</v>
      </c>
      <c r="AI164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{"issue":{"subject":"","project_id":79,"tracker_id":40,"status_id":1,"priority_id":2,"assigned_to_id":23,"start_date":"2017-01-02","description":"","custom_fields":[{"id":1,"name":"Subdivision","value":"NW"},{"id":4,"name":"Milepost","value":"0.1298"},{"id":17,"name":"Train ID","value":"806-02"},{"id":16,"name":"Locomotive ID","value":"4008"},{"id":130,"name":"Impact","value":""},{"id":150,"name":"Time of Event (Mountain Time)","value":"07:27:24"},{"id":151,"name":"Denver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73"/>
        <v>start /low /b %USERPROFILE%\Documents\GitHub\eaglep3\Utilities\DownloadLogsFromS3.py --loco 4008 --day 2017-01-02</v>
      </c>
    </row>
    <row r="165" spans="1:91" x14ac:dyDescent="0.25">
      <c r="A165" s="34" t="s">
        <v>494</v>
      </c>
      <c r="B165" s="7">
        <v>4018</v>
      </c>
      <c r="C165" s="22" t="s">
        <v>203</v>
      </c>
      <c r="D165" s="22" t="s">
        <v>754</v>
      </c>
      <c r="E165" s="13">
        <v>42737.303460648145</v>
      </c>
      <c r="F165" s="13">
        <v>42737.306446759256</v>
      </c>
      <c r="G165" s="7">
        <v>1</v>
      </c>
      <c r="H165" s="22" t="s">
        <v>374</v>
      </c>
      <c r="I165" s="13">
        <v>42737.316261574073</v>
      </c>
      <c r="J165" s="7">
        <v>0</v>
      </c>
      <c r="K165" s="105" t="str">
        <f t="shared" si="56"/>
        <v>4017/4018</v>
      </c>
      <c r="L165" s="22" t="str">
        <f>VLOOKUP(A165,'Trips&amp;Operators'!$C$1:$G$99999,5,FALSE)</f>
        <v>ROCHA YAOTL</v>
      </c>
      <c r="M165" s="6">
        <f t="shared" si="57"/>
        <v>9.8148148172185756E-3</v>
      </c>
      <c r="N165" s="7">
        <f t="shared" si="58"/>
        <v>14.133333336794749</v>
      </c>
      <c r="O165" s="7"/>
      <c r="P165" s="7"/>
      <c r="Q165" s="23"/>
      <c r="R165" s="23"/>
      <c r="S165" s="32">
        <f t="shared" si="59"/>
        <v>1</v>
      </c>
      <c r="T165" s="47" t="str">
        <f t="shared" si="60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06:16:59-700',mode:absolute,to:'2017-01-02 08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5" s="49" t="str">
        <f t="shared" si="62"/>
        <v>N</v>
      </c>
      <c r="X165" s="173">
        <f t="shared" si="63"/>
        <v>1</v>
      </c>
      <c r="Y165" s="64">
        <f t="shared" si="64"/>
        <v>9.74E-2</v>
      </c>
      <c r="Z165" s="64">
        <f t="shared" si="65"/>
        <v>5.8940999999999999</v>
      </c>
      <c r="AA165" s="64">
        <f t="shared" si="66"/>
        <v>5.7966999999999995</v>
      </c>
      <c r="AB165" s="61" t="e">
        <f>VLOOKUP(A165,Enforcements!$C$7:$K$19,8,0)</f>
        <v>#N/A</v>
      </c>
      <c r="AC165" s="57" t="e">
        <f>VLOOKUP(A165,Enforcements!$C$7:$E$19,3,0)</f>
        <v>#N/A</v>
      </c>
      <c r="AD165" s="58" t="str">
        <f t="shared" si="67"/>
        <v>0807-02</v>
      </c>
      <c r="AE165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65" s="84" t="str">
        <f t="shared" si="69"/>
        <v>"C:\Program Files (x86)\AstroGrep\AstroGrep.exe" /spath="%USERPROFILE%\AppData\Local\Temp\OnboardLogs" /stypes="app*4018*20170102*" /stext=" 14:.+((SYSTEM_STATE.+slice.+state.+changed )|(ment ac)|(multiple cpu faults)|(system.+state.+changed )|(\[timeout)|(PRM\|1\|D)|(kpr)|(kdp)|(\|lc)|(penalty))" /e /r /s</v>
      </c>
      <c r="AG165" s="1" t="str">
        <f t="shared" si="70"/>
        <v>NW</v>
      </c>
      <c r="AH165" s="88" t="str">
        <f t="shared" si="71"/>
        <v>"%USERPROFILE%\Documents\GitHub\eaglep3\Utilities\RefineRTDCRunTimes.py" --tripid 807-02 --locoid 4018 --swversion DE.1.0.8.0 --startMP 204:974 --initTime 2017-01-02T07:16:59 --startdatetime 2017-01-02T07:21:17 --delay 1 --endMP 300:58941 --enddatetime 2017-01-02T07:35:25 --enforcementcount 0 &gt;&gt;C:\Users\stu\Documents\GitHub\eaglep3-reporting\EC\2017-01-02-refined-times.txt</v>
      </c>
      <c r="AI165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{"issue":{"subject":"","project_id":79,"tracker_id":40,"status_id":1,"priority_id":2,"assigned_to_id":23,"start_date":"2017-01-02","description":"","custom_fields":[{"id":1,"name":"Subdivision","value":"NW"},{"id":4,"name":"Milepost","value":"5.8941"},{"id":17,"name":"Train ID","value":"807-02"},{"id":16,"name":"Locomotive ID","value":"4018"},{"id":130,"name":"Impact","value":""},{"id":150,"name":"Time of Event (Mountain Time)","value":"07:35:25"},{"id":151,"name":"Denver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73"/>
        <v>start /low /b %USERPROFILE%\Documents\GitHub\eaglep3\Utilities\DownloadLogsFromS3.py --loco 4018 --day 2017-01-02</v>
      </c>
    </row>
    <row r="166" spans="1:91" x14ac:dyDescent="0.25">
      <c r="A166" s="34" t="s">
        <v>497</v>
      </c>
      <c r="B166" s="7">
        <v>4017</v>
      </c>
      <c r="C166" s="22" t="s">
        <v>203</v>
      </c>
      <c r="D166" s="22" t="s">
        <v>413</v>
      </c>
      <c r="E166" s="13">
        <v>42737.31826388889</v>
      </c>
      <c r="F166" s="13">
        <v>42737.320162037038</v>
      </c>
      <c r="G166" s="7">
        <v>1</v>
      </c>
      <c r="H166" s="22" t="s">
        <v>755</v>
      </c>
      <c r="I166" s="13">
        <v>42737.330474537041</v>
      </c>
      <c r="J166" s="7">
        <v>0</v>
      </c>
      <c r="K166" s="105" t="str">
        <f t="shared" si="56"/>
        <v>4017/4018</v>
      </c>
      <c r="L166" s="22" t="str">
        <f>VLOOKUP(A166,'Trips&amp;Operators'!$C$1:$G$99999,5,FALSE)</f>
        <v>ROCHA YAOTL</v>
      </c>
      <c r="M166" s="6">
        <f t="shared" si="57"/>
        <v>1.0312500002328306E-2</v>
      </c>
      <c r="N166" s="7">
        <f t="shared" si="58"/>
        <v>14.850000003352761</v>
      </c>
      <c r="O166" s="7"/>
      <c r="P166" s="7"/>
      <c r="Q166" s="23"/>
      <c r="R166" s="23"/>
      <c r="S166" s="32">
        <f t="shared" si="59"/>
        <v>1</v>
      </c>
      <c r="T166" s="47" t="str">
        <f t="shared" si="60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06:38:18-700',mode:absolute,to:'2017-01-02 08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6" s="49" t="str">
        <f t="shared" si="62"/>
        <v>N</v>
      </c>
      <c r="X166" s="173">
        <f t="shared" si="63"/>
        <v>1</v>
      </c>
      <c r="Y166" s="64">
        <f t="shared" si="64"/>
        <v>5.8623000000000003</v>
      </c>
      <c r="Z166" s="64">
        <f t="shared" si="65"/>
        <v>6.7000000000000004E-2</v>
      </c>
      <c r="AA166" s="64">
        <f t="shared" si="66"/>
        <v>5.7953000000000001</v>
      </c>
      <c r="AB166" s="61" t="e">
        <f>VLOOKUP(A166,Enforcements!$C$7:$K$19,8,0)</f>
        <v>#N/A</v>
      </c>
      <c r="AC166" s="57" t="e">
        <f>VLOOKUP(A166,Enforcements!$C$7:$E$19,3,0)</f>
        <v>#N/A</v>
      </c>
      <c r="AD166" s="58" t="str">
        <f t="shared" si="67"/>
        <v>0808-02</v>
      </c>
      <c r="AE166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66" s="84" t="str">
        <f t="shared" si="69"/>
        <v>"C:\Program Files (x86)\AstroGrep\AstroGrep.exe" /spath="%USERPROFILE%\AppData\Local\Temp\OnboardLogs" /stypes="app*4017*20170102*" /stext=" 14:.+((SYSTEM_STATE.+slice.+state.+changed )|(ment ac)|(multiple cpu faults)|(system.+state.+changed )|(\[timeout)|(PRM\|1\|D)|(kpr)|(kdp)|(\|lc)|(penalty))" /e /r /s</v>
      </c>
      <c r="AG166" s="1" t="str">
        <f t="shared" si="70"/>
        <v>NW</v>
      </c>
      <c r="AH166" s="88" t="str">
        <f t="shared" si="71"/>
        <v>"%USERPROFILE%\Documents\GitHub\eaglep3\Utilities\RefineRTDCRunTimes.py" --tripid 808-02 --locoid 4017 --swversion DE.1.0.8.0 --startMP 300:58623 --initTime 2017-01-02T07:38:18 --startdatetime 2017-01-02T07:41:02 --delay 1 --endMP 204:670 --enddatetime 2017-01-02T07:55:53 --enforcementcount 0 &gt;&gt;C:\Users\stu\Documents\GitHub\eaglep3-reporting\EC\2017-01-02-refined-times.txt</v>
      </c>
      <c r="AI166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{"issue":{"subject":"","project_id":79,"tracker_id":40,"status_id":1,"priority_id":2,"assigned_to_id":23,"start_date":"2017-01-02","description":"","custom_fields":[{"id":1,"name":"Subdivision","value":"NW"},{"id":4,"name":"Milepost","value":"0.067"},{"id":17,"name":"Train ID","value":"808-02"},{"id":16,"name":"Locomotive ID","value":"4017"},{"id":130,"name":"Impact","value":""},{"id":150,"name":"Time of Event (Mountain Time)","value":"07:55:53"},{"id":151,"name":"Denver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73"/>
        <v>start /low /b %USERPROFILE%\Documents\GitHub\eaglep3\Utilities\DownloadLogsFromS3.py --loco 4017 --day 2017-01-02</v>
      </c>
    </row>
    <row r="167" spans="1:91" x14ac:dyDescent="0.25">
      <c r="A167" s="34" t="s">
        <v>431</v>
      </c>
      <c r="B167" s="7">
        <v>4007</v>
      </c>
      <c r="C167" s="22" t="s">
        <v>203</v>
      </c>
      <c r="D167" s="22" t="s">
        <v>756</v>
      </c>
      <c r="E167" s="13">
        <v>42737.32267361111</v>
      </c>
      <c r="F167" s="13">
        <v>42737.327314814815</v>
      </c>
      <c r="G167" s="7">
        <v>1</v>
      </c>
      <c r="H167" s="22" t="s">
        <v>757</v>
      </c>
      <c r="I167" s="13">
        <v>42737.338182870371</v>
      </c>
      <c r="J167" s="7">
        <v>0</v>
      </c>
      <c r="K167" s="105" t="str">
        <f t="shared" si="56"/>
        <v>4007/4008</v>
      </c>
      <c r="L167" s="22" t="str">
        <f>VLOOKUP(A167,'Trips&amp;Operators'!$C$1:$G$99999,5,FALSE)</f>
        <v>DAVIS WENDY</v>
      </c>
      <c r="M167" s="6">
        <f t="shared" si="57"/>
        <v>1.0868055556784384E-2</v>
      </c>
      <c r="N167" s="7">
        <f t="shared" si="58"/>
        <v>15.650000001769513</v>
      </c>
      <c r="O167" s="7"/>
      <c r="P167" s="7"/>
      <c r="Q167" s="23"/>
      <c r="R167" s="23"/>
      <c r="S167" s="32">
        <f t="shared" si="59"/>
        <v>1</v>
      </c>
      <c r="T167" s="47" t="str">
        <f t="shared" si="60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06:44:39-700',mode:absolute,to:'2017-01-02 09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67" s="49" t="str">
        <f t="shared" si="62"/>
        <v>N</v>
      </c>
      <c r="X167" s="173">
        <f t="shared" si="63"/>
        <v>1</v>
      </c>
      <c r="Y167" s="64">
        <f t="shared" si="64"/>
        <v>8.9399999999999993E-2</v>
      </c>
      <c r="Z167" s="64">
        <f t="shared" si="65"/>
        <v>5.9009999999999998</v>
      </c>
      <c r="AA167" s="64">
        <f t="shared" si="66"/>
        <v>5.8115999999999994</v>
      </c>
      <c r="AB167" s="61" t="e">
        <f>VLOOKUP(A167,Enforcements!$C$7:$K$19,8,0)</f>
        <v>#N/A</v>
      </c>
      <c r="AC167" s="57" t="e">
        <f>VLOOKUP(A167,Enforcements!$C$7:$E$19,3,0)</f>
        <v>#N/A</v>
      </c>
      <c r="AD167" s="58" t="str">
        <f t="shared" si="67"/>
        <v>0809-02</v>
      </c>
      <c r="AE167" s="87" t="str">
        <f t="shared" si="68"/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AF167" s="84" t="str">
        <f t="shared" si="69"/>
        <v>"C:\Program Files (x86)\AstroGrep\AstroGrep.exe" /spath="%USERPROFILE%\AppData\Local\Temp\OnboardLogs" /stypes="app*4007*20170102*" /stext=" 15:.+((SYSTEM_STATE.+slice.+state.+changed )|(ment ac)|(multiple cpu faults)|(system.+state.+changed )|(\[timeout)|(PRM\|1\|D)|(kpr)|(kdp)|(\|lc)|(penalty))" /e /r /s</v>
      </c>
      <c r="AG167" s="1" t="str">
        <f t="shared" si="70"/>
        <v>NW</v>
      </c>
      <c r="AH167" s="88" t="str">
        <f t="shared" si="71"/>
        <v>"%USERPROFILE%\Documents\GitHub\eaglep3\Utilities\RefineRTDCRunTimes.py" --tripid 809-02 --locoid 4007 --swversion DE.1.0.8.0 --startMP 204:894 --initTime 2017-01-02T07:44:39 --startdatetime 2017-01-02T07:51:20 --delay 1 --endMP 300:59010 --enddatetime 2017-01-02T08:06:59 --enforcementcount 0 &gt;&gt;C:\Users\stu\Documents\GitHub\eaglep3-reporting\EC\2017-01-02-refined-times.txt</v>
      </c>
      <c r="AI167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{"issue":{"subject":"","project_id":79,"tracker_id":40,"status_id":1,"priority_id":2,"assigned_to_id":23,"start_date":"2017-01-02","description":"","custom_fields":[{"id":1,"name":"Subdivision","value":"NW"},{"id":4,"name":"Milepost","value":"5.901"},{"id":17,"name":"Train ID","value":"809-02"},{"id":16,"name":"Locomotive ID","value":"4007"},{"id":130,"name":"Impact","value":""},{"id":150,"name":"Time of Event (Mountain Time)","value":"08:06:59"},{"id":151,"name":"Denver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73"/>
        <v>start /low /b %USERPROFILE%\Documents\GitHub\eaglep3\Utilities\DownloadLogsFromS3.py --loco 4007 --day 2017-01-02</v>
      </c>
    </row>
    <row r="168" spans="1:91" s="21" customFormat="1" x14ac:dyDescent="0.25">
      <c r="A168" s="34" t="s">
        <v>432</v>
      </c>
      <c r="B168" s="7">
        <v>4008</v>
      </c>
      <c r="C168" s="22" t="s">
        <v>203</v>
      </c>
      <c r="D168" s="22" t="s">
        <v>758</v>
      </c>
      <c r="E168" s="13">
        <v>42737.339224537034</v>
      </c>
      <c r="F168" s="13">
        <v>42737.340162037035</v>
      </c>
      <c r="G168" s="7">
        <v>0</v>
      </c>
      <c r="H168" s="22" t="s">
        <v>759</v>
      </c>
      <c r="I168" s="13">
        <v>42737.351817129631</v>
      </c>
      <c r="J168" s="7">
        <v>0</v>
      </c>
      <c r="K168" s="105" t="str">
        <f t="shared" si="56"/>
        <v>4007/4008</v>
      </c>
      <c r="L168" s="22" t="str">
        <f>VLOOKUP(A168,'Trips&amp;Operators'!$C$1:$G$99999,5,FALSE)</f>
        <v>DAVIS WENDY</v>
      </c>
      <c r="M168" s="6">
        <f t="shared" si="57"/>
        <v>1.1655092595901806E-2</v>
      </c>
      <c r="N168" s="7">
        <f t="shared" si="58"/>
        <v>16.783333338098601</v>
      </c>
      <c r="O168" s="7"/>
      <c r="P168" s="7"/>
      <c r="Q168" s="23"/>
      <c r="R168" s="23"/>
      <c r="S168" s="32">
        <f t="shared" si="59"/>
        <v>1</v>
      </c>
      <c r="T168" s="47" t="str">
        <f t="shared" si="60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07:08:29-700',mode:absolute,to:'2017-01-02 09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8" s="49" t="str">
        <f t="shared" si="62"/>
        <v>N</v>
      </c>
      <c r="X168" s="173">
        <f t="shared" si="63"/>
        <v>1</v>
      </c>
      <c r="Y168" s="64">
        <f t="shared" si="64"/>
        <v>5.8704999999999998</v>
      </c>
      <c r="Z168" s="64">
        <f t="shared" si="65"/>
        <v>6.4299999999999996E-2</v>
      </c>
      <c r="AA168" s="64">
        <f t="shared" si="66"/>
        <v>5.8061999999999996</v>
      </c>
      <c r="AB168" s="61" t="e">
        <f>VLOOKUP(A168,Enforcements!$C$7:$K$19,8,0)</f>
        <v>#N/A</v>
      </c>
      <c r="AC168" s="57" t="e">
        <f>VLOOKUP(A168,Enforcements!$C$7:$E$19,3,0)</f>
        <v>#N/A</v>
      </c>
      <c r="AD168" s="58" t="str">
        <f t="shared" si="67"/>
        <v>0810-02</v>
      </c>
      <c r="AE168" s="87" t="str">
        <f t="shared" si="68"/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AF168" s="84" t="str">
        <f t="shared" si="69"/>
        <v>"C:\Program Files (x86)\AstroGrep\AstroGrep.exe" /spath="%USERPROFILE%\AppData\Local\Temp\OnboardLogs" /stypes="app*4008*20170102*" /stext=" 15:.+((SYSTEM_STATE.+slice.+state.+changed )|(ment ac)|(multiple cpu faults)|(system.+state.+changed )|(\[timeout)|(PRM\|1\|D)|(kpr)|(kdp)|(\|lc)|(penalty))" /e /r /s</v>
      </c>
      <c r="AG168" s="1" t="str">
        <f t="shared" si="70"/>
        <v>NW</v>
      </c>
      <c r="AH168" s="88" t="str">
        <f t="shared" si="71"/>
        <v>"%USERPROFILE%\Documents\GitHub\eaglep3\Utilities\RefineRTDCRunTimes.py" --tripid 810-02 --locoid 4008 --swversion DE.1.0.8.0 --startMP 300:58705 --initTime 2017-01-02T08:08:29 --startdatetime 2017-01-02T08:09:50 --delay 0 --endMP 204:643 --enddatetime 2017-01-02T08:26:37 --enforcementcount 0 &gt;&gt;C:\Users\stu\Documents\GitHub\eaglep3-reporting\EC\2017-01-02-refined-times.txt</v>
      </c>
      <c r="AI168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{"issue":{"subject":"","project_id":79,"tracker_id":40,"status_id":1,"priority_id":2,"assigned_to_id":23,"start_date":"2017-01-02","description":"","custom_fields":[{"id":1,"name":"Subdivision","value":"NW"},{"id":4,"name":"Milepost","value":"0.0643"},{"id":17,"name":"Train ID","value":"810-02"},{"id":16,"name":"Locomotive ID","value":"4008"},{"id":130,"name":"Impact","value":""},{"id":150,"name":"Time of Event (Mountain Time)","value":"08:26:37"},{"id":151,"name":"Denver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73"/>
        <v>start /low /b %USERPROFILE%\Documents\GitHub\eaglep3\Utilities\DownloadLogsFromS3.py --loco 4008 --day 2017-01-02</v>
      </c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4" t="s">
        <v>502</v>
      </c>
      <c r="B169" s="7">
        <v>4018</v>
      </c>
      <c r="C169" s="22" t="s">
        <v>203</v>
      </c>
      <c r="D169" s="22" t="s">
        <v>760</v>
      </c>
      <c r="E169" s="13">
        <v>42737.34642361111</v>
      </c>
      <c r="F169" s="13">
        <v>42737.348090277781</v>
      </c>
      <c r="G169" s="7">
        <v>1</v>
      </c>
      <c r="H169" s="22" t="s">
        <v>761</v>
      </c>
      <c r="I169" s="13">
        <v>42737.35769675926</v>
      </c>
      <c r="J169" s="7">
        <v>0</v>
      </c>
      <c r="K169" s="105" t="str">
        <f t="shared" si="56"/>
        <v>4017/4018</v>
      </c>
      <c r="L169" s="22" t="str">
        <f>VLOOKUP(A169,'Trips&amp;Operators'!$C$1:$G$99999,5,FALSE)</f>
        <v>ROCHA YAOTL</v>
      </c>
      <c r="M169" s="6">
        <f t="shared" si="57"/>
        <v>9.6064814788405783E-3</v>
      </c>
      <c r="N169" s="7">
        <f t="shared" si="58"/>
        <v>13.833333329530433</v>
      </c>
      <c r="O169" s="7"/>
      <c r="P169" s="7"/>
      <c r="Q169" s="23"/>
      <c r="R169" s="23"/>
      <c r="S169" s="32">
        <f t="shared" si="59"/>
        <v>1</v>
      </c>
      <c r="T169" s="47" t="str">
        <f t="shared" si="60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07:18:51-700',mode:absolute,to:'2017-01-02 09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9" s="49" t="str">
        <f t="shared" si="62"/>
        <v>N</v>
      </c>
      <c r="X169" s="173">
        <f t="shared" si="63"/>
        <v>1</v>
      </c>
      <c r="Y169" s="64">
        <f t="shared" si="64"/>
        <v>9.5299999999999996E-2</v>
      </c>
      <c r="Z169" s="64">
        <f t="shared" si="65"/>
        <v>5.8914</v>
      </c>
      <c r="AA169" s="64">
        <f t="shared" si="66"/>
        <v>5.7961</v>
      </c>
      <c r="AB169" s="61" t="e">
        <f>VLOOKUP(A169,Enforcements!$C$7:$K$19,8,0)</f>
        <v>#N/A</v>
      </c>
      <c r="AC169" s="57" t="e">
        <f>VLOOKUP(A169,Enforcements!$C$7:$E$19,3,0)</f>
        <v>#N/A</v>
      </c>
      <c r="AD169" s="58" t="str">
        <f t="shared" si="67"/>
        <v>0811-02</v>
      </c>
      <c r="AE169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69" s="84" t="str">
        <f t="shared" si="69"/>
        <v>"C:\Program Files (x86)\AstroGrep\AstroGrep.exe" /spath="%USERPROFILE%\AppData\Local\Temp\OnboardLogs" /stypes="app*4018*20170102*" /stext=" 15:.+((SYSTEM_STATE.+slice.+state.+changed )|(ment ac)|(multiple cpu faults)|(system.+state.+changed )|(\[timeout)|(PRM\|1\|D)|(kpr)|(kdp)|(\|lc)|(penalty))" /e /r /s</v>
      </c>
      <c r="AG169" s="1" t="str">
        <f t="shared" si="70"/>
        <v>NW</v>
      </c>
      <c r="AH169" s="88" t="str">
        <f t="shared" si="71"/>
        <v>"%USERPROFILE%\Documents\GitHub\eaglep3\Utilities\RefineRTDCRunTimes.py" --tripid 811-02 --locoid 4018 --swversion DE.1.0.8.0 --startMP 204:953 --initTime 2017-01-02T08:18:51 --startdatetime 2017-01-02T08:21:15 --delay 1 --endMP 300:58914 --enddatetime 2017-01-02T08:35:05 --enforcementcount 0 &gt;&gt;C:\Users\stu\Documents\GitHub\eaglep3-reporting\EC\2017-01-02-refined-times.txt</v>
      </c>
      <c r="AI169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{"issue":{"subject":"","project_id":79,"tracker_id":40,"status_id":1,"priority_id":2,"assigned_to_id":23,"start_date":"2017-01-02","description":"","custom_fields":[{"id":1,"name":"Subdivision","value":"NW"},{"id":4,"name":"Milepost","value":"5.8914"},{"id":17,"name":"Train ID","value":"811-02"},{"id":16,"name":"Locomotive ID","value":"4018"},{"id":130,"name":"Impact","value":""},{"id":150,"name":"Time of Event (Mountain Time)","value":"08:35:05"},{"id":151,"name":"Denver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73"/>
        <v>start /low /b %USERPROFILE%\Documents\GitHub\eaglep3\Utilities\DownloadLogsFromS3.py --loco 4018 --day 2017-01-02</v>
      </c>
    </row>
    <row r="170" spans="1:91" x14ac:dyDescent="0.25">
      <c r="A170" s="34" t="s">
        <v>507</v>
      </c>
      <c r="B170" s="7">
        <v>4017</v>
      </c>
      <c r="C170" s="22" t="s">
        <v>203</v>
      </c>
      <c r="D170" s="22" t="s">
        <v>762</v>
      </c>
      <c r="E170" s="13">
        <v>42737.358912037038</v>
      </c>
      <c r="F170" s="13">
        <v>42737.360069444447</v>
      </c>
      <c r="G170" s="7">
        <v>0</v>
      </c>
      <c r="H170" s="22" t="s">
        <v>763</v>
      </c>
      <c r="I170" s="13">
        <v>42737.372245370374</v>
      </c>
      <c r="J170" s="7">
        <v>0</v>
      </c>
      <c r="K170" s="105" t="str">
        <f t="shared" si="56"/>
        <v>4017/4018</v>
      </c>
      <c r="L170" s="22" t="str">
        <f>VLOOKUP(A170,'Trips&amp;Operators'!$C$1:$G$99999,5,FALSE)</f>
        <v>ROCHA YAOTL</v>
      </c>
      <c r="M170" s="6">
        <f t="shared" si="57"/>
        <v>1.2175925927294884E-2</v>
      </c>
      <c r="N170" s="7">
        <f t="shared" si="58"/>
        <v>17.533333335304633</v>
      </c>
      <c r="O170" s="7"/>
      <c r="P170" s="7"/>
      <c r="Q170" s="23"/>
      <c r="R170" s="23"/>
      <c r="S170" s="32">
        <f t="shared" si="59"/>
        <v>1</v>
      </c>
      <c r="T170" s="47" t="str">
        <f t="shared" si="60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07:36:50-700',mode:absolute,to:'2017-01-02 09:56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0" s="49" t="str">
        <f t="shared" si="62"/>
        <v>N</v>
      </c>
      <c r="X170" s="173">
        <f t="shared" si="63"/>
        <v>1</v>
      </c>
      <c r="Y170" s="64">
        <f t="shared" si="64"/>
        <v>5.8596000000000004</v>
      </c>
      <c r="Z170" s="64">
        <f t="shared" si="65"/>
        <v>6.8500000000000005E-2</v>
      </c>
      <c r="AA170" s="64">
        <f t="shared" si="66"/>
        <v>5.7911000000000001</v>
      </c>
      <c r="AB170" s="61" t="e">
        <f>VLOOKUP(A170,Enforcements!$C$7:$K$19,8,0)</f>
        <v>#N/A</v>
      </c>
      <c r="AC170" s="57" t="e">
        <f>VLOOKUP(A170,Enforcements!$C$7:$E$19,3,0)</f>
        <v>#N/A</v>
      </c>
      <c r="AD170" s="58" t="str">
        <f t="shared" si="67"/>
        <v>0812-02</v>
      </c>
      <c r="AE170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70" s="84" t="str">
        <f t="shared" si="69"/>
        <v>"C:\Program Files (x86)\AstroGrep\AstroGrep.exe" /spath="%USERPROFILE%\AppData\Local\Temp\OnboardLogs" /stypes="app*4017*20170102*" /stext=" 15:.+((SYSTEM_STATE.+slice.+state.+changed )|(ment ac)|(multiple cpu faults)|(system.+state.+changed )|(\[timeout)|(PRM\|1\|D)|(kpr)|(kdp)|(\|lc)|(penalty))" /e /r /s</v>
      </c>
      <c r="AG170" s="1" t="str">
        <f t="shared" si="70"/>
        <v>NW</v>
      </c>
      <c r="AH170" s="88" t="str">
        <f t="shared" si="71"/>
        <v>"%USERPROFILE%\Documents\GitHub\eaglep3\Utilities\RefineRTDCRunTimes.py" --tripid 812-02 --locoid 4017 --swversion DE.1.0.8.0 --startMP 300:58596 --initTime 2017-01-02T08:36:50 --startdatetime 2017-01-02T08:38:30 --delay 0 --endMP 204:685 --enddatetime 2017-01-02T08:56:02 --enforcementcount 0 &gt;&gt;C:\Users\stu\Documents\GitHub\eaglep3-reporting\EC\2017-01-02-refined-times.txt</v>
      </c>
      <c r="AI170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{"issue":{"subject":"","project_id":79,"tracker_id":40,"status_id":1,"priority_id":2,"assigned_to_id":23,"start_date":"2017-01-02","description":"","custom_fields":[{"id":1,"name":"Subdivision","value":"NW"},{"id":4,"name":"Milepost","value":"0.0685"},{"id":17,"name":"Train ID","value":"812-02"},{"id":16,"name":"Locomotive ID","value":"4017"},{"id":130,"name":"Impact","value":""},{"id":150,"name":"Time of Event (Mountain Time)","value":"08:56:02"},{"id":151,"name":"Denver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73"/>
        <v>start /low /b %USERPROFILE%\Documents\GitHub\eaglep3\Utilities\DownloadLogsFromS3.py --loco 4017 --day 2017-01-02</v>
      </c>
    </row>
    <row r="171" spans="1:91" x14ac:dyDescent="0.25">
      <c r="A171" s="34" t="s">
        <v>514</v>
      </c>
      <c r="B171" s="7">
        <v>4018</v>
      </c>
      <c r="C171" s="22" t="s">
        <v>203</v>
      </c>
      <c r="D171" s="22" t="s">
        <v>764</v>
      </c>
      <c r="E171" s="13">
        <v>42737.388402777775</v>
      </c>
      <c r="F171" s="13">
        <v>42737.389826388891</v>
      </c>
      <c r="G171" s="7">
        <v>1</v>
      </c>
      <c r="H171" s="22" t="s">
        <v>765</v>
      </c>
      <c r="I171" s="13">
        <v>42737.399722222224</v>
      </c>
      <c r="J171" s="7">
        <v>0</v>
      </c>
      <c r="K171" s="105" t="str">
        <f t="shared" si="56"/>
        <v>4017/4018</v>
      </c>
      <c r="L171" s="22" t="str">
        <f>VLOOKUP(A171,'Trips&amp;Operators'!$C$1:$G$99999,5,FALSE)</f>
        <v>ROCHA YAOTL</v>
      </c>
      <c r="M171" s="6">
        <f t="shared" si="57"/>
        <v>9.8958333328482695E-3</v>
      </c>
      <c r="N171" s="7">
        <f t="shared" si="58"/>
        <v>14.249999999301508</v>
      </c>
      <c r="O171" s="7"/>
      <c r="P171" s="7"/>
      <c r="Q171" s="23"/>
      <c r="R171" s="23"/>
      <c r="S171" s="32">
        <f t="shared" si="59"/>
        <v>1</v>
      </c>
      <c r="T171" s="47" t="str">
        <f t="shared" si="60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08:19:18-700',mode:absolute,to:'2017-01-02 10:35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1" s="49" t="str">
        <f t="shared" si="62"/>
        <v>N</v>
      </c>
      <c r="X171" s="173">
        <f t="shared" si="63"/>
        <v>1</v>
      </c>
      <c r="Y171" s="64">
        <f t="shared" si="64"/>
        <v>9.7100000000000006E-2</v>
      </c>
      <c r="Z171" s="64">
        <f t="shared" si="65"/>
        <v>5.8963000000000001</v>
      </c>
      <c r="AA171" s="64">
        <f t="shared" si="66"/>
        <v>5.7991999999999999</v>
      </c>
      <c r="AB171" s="61" t="e">
        <f>VLOOKUP(A171,Enforcements!$C$7:$K$19,8,0)</f>
        <v>#N/A</v>
      </c>
      <c r="AC171" s="57" t="e">
        <f>VLOOKUP(A171,Enforcements!$C$7:$E$19,3,0)</f>
        <v>#N/A</v>
      </c>
      <c r="AD171" s="58" t="str">
        <f t="shared" si="67"/>
        <v>0813-02</v>
      </c>
      <c r="AE171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71" s="84" t="str">
        <f t="shared" si="69"/>
        <v>"C:\Program Files (x86)\AstroGrep\AstroGrep.exe" /spath="%USERPROFILE%\AppData\Local\Temp\OnboardLogs" /stypes="app*4018*20170102*" /stext=" 16:.+((SYSTEM_STATE.+slice.+state.+changed )|(ment ac)|(multiple cpu faults)|(system.+state.+changed )|(\[timeout)|(PRM\|1\|D)|(kpr)|(kdp)|(\|lc)|(penalty))" /e /r /s</v>
      </c>
      <c r="AG171" s="1" t="str">
        <f t="shared" si="70"/>
        <v>NW</v>
      </c>
      <c r="AH171" s="88" t="str">
        <f t="shared" si="71"/>
        <v>"%USERPROFILE%\Documents\GitHub\eaglep3\Utilities\RefineRTDCRunTimes.py" --tripid 813-02 --locoid 4018 --swversion DE.1.0.8.0 --startMP 204:971 --initTime 2017-01-02T09:19:18 --startdatetime 2017-01-02T09:21:21 --delay 1 --endMP 300:58963 --enddatetime 2017-01-02T09:35:36 --enforcementcount 0 &gt;&gt;C:\Users\stu\Documents\GitHub\eaglep3-reporting\EC\2017-01-02-refined-times.txt</v>
      </c>
      <c r="AI171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{"issue":{"subject":"","project_id":79,"tracker_id":40,"status_id":1,"priority_id":2,"assigned_to_id":23,"start_date":"2017-01-02","description":"","custom_fields":[{"id":1,"name":"Subdivision","value":"NW"},{"id":4,"name":"Milepost","value":"5.8963"},{"id":17,"name":"Train ID","value":"813-02"},{"id":16,"name":"Locomotive ID","value":"4018"},{"id":130,"name":"Impact","value":""},{"id":150,"name":"Time of Event (Mountain Time)","value":"09:35:36"},{"id":151,"name":"Denver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73"/>
        <v>start /low /b %USERPROFILE%\Documents\GitHub\eaglep3\Utilities\DownloadLogsFromS3.py --loco 4018 --day 2017-01-02</v>
      </c>
    </row>
    <row r="172" spans="1:91" x14ac:dyDescent="0.25">
      <c r="A172" s="34" t="s">
        <v>517</v>
      </c>
      <c r="B172" s="7">
        <v>4017</v>
      </c>
      <c r="C172" s="22" t="s">
        <v>203</v>
      </c>
      <c r="D172" s="22" t="s">
        <v>766</v>
      </c>
      <c r="E172" s="13">
        <v>42737.400833333333</v>
      </c>
      <c r="F172" s="13">
        <v>42737.402442129627</v>
      </c>
      <c r="G172" s="7">
        <v>1</v>
      </c>
      <c r="H172" s="22" t="s">
        <v>767</v>
      </c>
      <c r="I172" s="13">
        <v>42737.413657407407</v>
      </c>
      <c r="J172" s="7">
        <v>0</v>
      </c>
      <c r="K172" s="105" t="str">
        <f t="shared" si="56"/>
        <v>4017/4018</v>
      </c>
      <c r="L172" s="22" t="str">
        <f>VLOOKUP(A172,'Trips&amp;Operators'!$C$1:$G$99999,5,FALSE)</f>
        <v>ROCHA YAOTL</v>
      </c>
      <c r="M172" s="6">
        <f t="shared" si="57"/>
        <v>1.1215277780138422E-2</v>
      </c>
      <c r="N172" s="7">
        <f t="shared" si="58"/>
        <v>16.150000003399327</v>
      </c>
      <c r="O172" s="7"/>
      <c r="P172" s="7"/>
      <c r="Q172" s="23"/>
      <c r="R172" s="23"/>
      <c r="S172" s="32">
        <f t="shared" si="59"/>
        <v>1</v>
      </c>
      <c r="T172" s="47" t="str">
        <f t="shared" si="60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08:37:12-700',mode:absolute,to:'2017-01-02 10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2" s="49" t="str">
        <f t="shared" si="62"/>
        <v>N</v>
      </c>
      <c r="X172" s="173">
        <f t="shared" si="63"/>
        <v>1</v>
      </c>
      <c r="Y172" s="64">
        <f t="shared" si="64"/>
        <v>5.8634000000000004</v>
      </c>
      <c r="Z172" s="64">
        <f t="shared" si="65"/>
        <v>6.7299999999999999E-2</v>
      </c>
      <c r="AA172" s="64">
        <f t="shared" si="66"/>
        <v>5.7961</v>
      </c>
      <c r="AB172" s="61" t="e">
        <f>VLOOKUP(A172,Enforcements!$C$7:$K$19,8,0)</f>
        <v>#N/A</v>
      </c>
      <c r="AC172" s="57" t="e">
        <f>VLOOKUP(A172,Enforcements!$C$7:$E$19,3,0)</f>
        <v>#N/A</v>
      </c>
      <c r="AD172" s="58" t="str">
        <f t="shared" si="67"/>
        <v>0814-02</v>
      </c>
      <c r="AE172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72" s="84" t="str">
        <f t="shared" si="69"/>
        <v>"C:\Program Files (x86)\AstroGrep\AstroGrep.exe" /spath="%USERPROFILE%\AppData\Local\Temp\OnboardLogs" /stypes="app*4017*20170102*" /stext=" 16:.+((SYSTEM_STATE.+slice.+state.+changed )|(ment ac)|(multiple cpu faults)|(system.+state.+changed )|(\[timeout)|(PRM\|1\|D)|(kpr)|(kdp)|(\|lc)|(penalty))" /e /r /s</v>
      </c>
      <c r="AG172" s="1" t="str">
        <f t="shared" si="70"/>
        <v>NW</v>
      </c>
      <c r="AH172" s="88" t="str">
        <f t="shared" si="71"/>
        <v>"%USERPROFILE%\Documents\GitHub\eaglep3\Utilities\RefineRTDCRunTimes.py" --tripid 814-02 --locoid 4017 --swversion DE.1.0.8.0 --startMP 300:58634 --initTime 2017-01-02T09:37:12 --startdatetime 2017-01-02T09:39:31 --delay 1 --endMP 204:673 --enddatetime 2017-01-02T09:55:40 --enforcementcount 0 &gt;&gt;C:\Users\stu\Documents\GitHub\eaglep3-reporting\EC\2017-01-02-refined-times.txt</v>
      </c>
      <c r="AI172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{"issue":{"subject":"","project_id":79,"tracker_id":40,"status_id":1,"priority_id":2,"assigned_to_id":23,"start_date":"2017-01-02","description":"","custom_fields":[{"id":1,"name":"Subdivision","value":"NW"},{"id":4,"name":"Milepost","value":"0.0673"},{"id":17,"name":"Train ID","value":"814-02"},{"id":16,"name":"Locomotive ID","value":"4017"},{"id":130,"name":"Impact","value":""},{"id":150,"name":"Time of Event (Mountain Time)","value":"09:55:40"},{"id":151,"name":"Denver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73"/>
        <v>start /low /b %USERPROFILE%\Documents\GitHub\eaglep3\Utilities\DownloadLogsFromS3.py --loco 4017 --day 2017-01-02</v>
      </c>
    </row>
    <row r="173" spans="1:91" x14ac:dyDescent="0.25">
      <c r="A173" s="34" t="s">
        <v>523</v>
      </c>
      <c r="B173" s="7">
        <v>4018</v>
      </c>
      <c r="C173" s="22" t="s">
        <v>203</v>
      </c>
      <c r="D173" s="22" t="s">
        <v>768</v>
      </c>
      <c r="E173" s="13">
        <v>42737.42869212963</v>
      </c>
      <c r="F173" s="13">
        <v>42737.431516203702</v>
      </c>
      <c r="G173" s="7">
        <v>1</v>
      </c>
      <c r="H173" s="22" t="s">
        <v>769</v>
      </c>
      <c r="I173" s="13">
        <v>42737.441828703704</v>
      </c>
      <c r="J173" s="7">
        <v>0</v>
      </c>
      <c r="K173" s="105" t="str">
        <f t="shared" si="56"/>
        <v>4017/4018</v>
      </c>
      <c r="L173" s="22" t="str">
        <f>VLOOKUP(A173,'Trips&amp;Operators'!$C$1:$G$99999,5,FALSE)</f>
        <v>ROCHA YAOTL</v>
      </c>
      <c r="M173" s="6">
        <f t="shared" si="57"/>
        <v>1.0312500002328306E-2</v>
      </c>
      <c r="N173" s="7">
        <f t="shared" si="58"/>
        <v>14.850000003352761</v>
      </c>
      <c r="O173" s="7"/>
      <c r="P173" s="7"/>
      <c r="Q173" s="23"/>
      <c r="R173" s="23"/>
      <c r="S173" s="32">
        <f t="shared" si="59"/>
        <v>1</v>
      </c>
      <c r="T173" s="47" t="str">
        <f t="shared" si="60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09:17:19-700',mode:absolute,to:'2017-01-02 11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3" s="49" t="str">
        <f t="shared" si="62"/>
        <v>N</v>
      </c>
      <c r="X173" s="173">
        <f t="shared" si="63"/>
        <v>1</v>
      </c>
      <c r="Y173" s="64">
        <f t="shared" si="64"/>
        <v>9.6000000000000002E-2</v>
      </c>
      <c r="Z173" s="64">
        <f t="shared" si="65"/>
        <v>5.8948</v>
      </c>
      <c r="AA173" s="64">
        <f t="shared" si="66"/>
        <v>5.7988</v>
      </c>
      <c r="AB173" s="61" t="e">
        <f>VLOOKUP(A173,Enforcements!$C$7:$K$19,8,0)</f>
        <v>#N/A</v>
      </c>
      <c r="AC173" s="57" t="e">
        <f>VLOOKUP(A173,Enforcements!$C$7:$E$19,3,0)</f>
        <v>#N/A</v>
      </c>
      <c r="AD173" s="58" t="str">
        <f t="shared" si="67"/>
        <v>0815-02</v>
      </c>
      <c r="AE173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73" s="84" t="str">
        <f t="shared" si="69"/>
        <v>"C:\Program Files (x86)\AstroGrep\AstroGrep.exe" /spath="%USERPROFILE%\AppData\Local\Temp\OnboardLogs" /stypes="app*4018*20170102*" /stext=" 17:.+((SYSTEM_STATE.+slice.+state.+changed )|(ment ac)|(multiple cpu faults)|(system.+state.+changed )|(\[timeout)|(PRM\|1\|D)|(kpr)|(kdp)|(\|lc)|(penalty))" /e /r /s</v>
      </c>
      <c r="AG173" s="1" t="str">
        <f t="shared" si="70"/>
        <v>NW</v>
      </c>
      <c r="AH173" s="88" t="str">
        <f t="shared" si="71"/>
        <v>"%USERPROFILE%\Documents\GitHub\eaglep3\Utilities\RefineRTDCRunTimes.py" --tripid 815-02 --locoid 4018 --swversion DE.1.0.8.0 --startMP 204:960 --initTime 2017-01-02T10:17:19 --startdatetime 2017-01-02T10:21:23 --delay 1 --endMP 300:58948 --enddatetime 2017-01-02T10:36:14 --enforcementcount 0 &gt;&gt;C:\Users\stu\Documents\GitHub\eaglep3-reporting\EC\2017-01-02-refined-times.txt</v>
      </c>
      <c r="AI173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{"issue":{"subject":"","project_id":79,"tracker_id":40,"status_id":1,"priority_id":2,"assigned_to_id":23,"start_date":"2017-01-02","description":"","custom_fields":[{"id":1,"name":"Subdivision","value":"NW"},{"id":4,"name":"Milepost","value":"5.8948"},{"id":17,"name":"Train ID","value":"815-02"},{"id":16,"name":"Locomotive ID","value":"4018"},{"id":130,"name":"Impact","value":""},{"id":150,"name":"Time of Event (Mountain Time)","value":"10:36:14"},{"id":151,"name":"Denver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73"/>
        <v>start /low /b %USERPROFILE%\Documents\GitHub\eaglep3\Utilities\DownloadLogsFromS3.py --loco 4018 --day 2017-01-02</v>
      </c>
    </row>
    <row r="174" spans="1:91" s="21" customFormat="1" x14ac:dyDescent="0.25">
      <c r="A174" s="34" t="s">
        <v>526</v>
      </c>
      <c r="B174" s="7">
        <v>4017</v>
      </c>
      <c r="C174" s="22" t="s">
        <v>203</v>
      </c>
      <c r="D174" s="22" t="s">
        <v>373</v>
      </c>
      <c r="E174" s="13">
        <v>42737.443067129629</v>
      </c>
      <c r="F174" s="13">
        <v>42737.444467592592</v>
      </c>
      <c r="G174" s="7">
        <v>1</v>
      </c>
      <c r="H174" s="22" t="s">
        <v>770</v>
      </c>
      <c r="I174" s="13">
        <v>42737.45516203704</v>
      </c>
      <c r="J174" s="7">
        <v>0</v>
      </c>
      <c r="K174" s="105" t="str">
        <f t="shared" si="56"/>
        <v>4017/4018</v>
      </c>
      <c r="L174" s="22" t="str">
        <f>VLOOKUP(A174,'Trips&amp;Operators'!$C$1:$G$99999,5,FALSE)</f>
        <v>ROCHA YAOTL</v>
      </c>
      <c r="M174" s="6">
        <f t="shared" si="57"/>
        <v>1.0694444448745344E-2</v>
      </c>
      <c r="N174" s="7">
        <f t="shared" si="58"/>
        <v>15.400000006193295</v>
      </c>
      <c r="O174" s="7"/>
      <c r="P174" s="7"/>
      <c r="Q174" s="23"/>
      <c r="R174" s="23"/>
      <c r="S174" s="32">
        <f t="shared" si="59"/>
        <v>1</v>
      </c>
      <c r="T174" s="47" t="str">
        <f t="shared" si="60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09:38:01-700',mode:absolute,to:'2017-01-02 11:55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4" s="49" t="str">
        <f t="shared" si="62"/>
        <v>N</v>
      </c>
      <c r="X174" s="173">
        <f t="shared" si="63"/>
        <v>1</v>
      </c>
      <c r="Y174" s="64">
        <f t="shared" si="64"/>
        <v>5.8620999999999999</v>
      </c>
      <c r="Z174" s="64">
        <f t="shared" si="65"/>
        <v>6.6799999999999998E-2</v>
      </c>
      <c r="AA174" s="64">
        <f t="shared" si="66"/>
        <v>5.7953000000000001</v>
      </c>
      <c r="AB174" s="61" t="e">
        <f>VLOOKUP(A174,Enforcements!$C$7:$K$19,8,0)</f>
        <v>#N/A</v>
      </c>
      <c r="AC174" s="57" t="e">
        <f>VLOOKUP(A174,Enforcements!$C$7:$E$19,3,0)</f>
        <v>#N/A</v>
      </c>
      <c r="AD174" s="58" t="str">
        <f t="shared" si="67"/>
        <v>0816-02</v>
      </c>
      <c r="AE174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74" s="84" t="str">
        <f t="shared" si="69"/>
        <v>"C:\Program Files (x86)\AstroGrep\AstroGrep.exe" /spath="%USERPROFILE%\AppData\Local\Temp\OnboardLogs" /stypes="app*4017*20170102*" /stext=" 17:.+((SYSTEM_STATE.+slice.+state.+changed )|(ment ac)|(multiple cpu faults)|(system.+state.+changed )|(\[timeout)|(PRM\|1\|D)|(kpr)|(kdp)|(\|lc)|(penalty))" /e /r /s</v>
      </c>
      <c r="AG174" s="1" t="str">
        <f t="shared" si="70"/>
        <v>NW</v>
      </c>
      <c r="AH174" s="88" t="str">
        <f t="shared" si="71"/>
        <v>"%USERPROFILE%\Documents\GitHub\eaglep3\Utilities\RefineRTDCRunTimes.py" --tripid 816-02 --locoid 4017 --swversion DE.1.0.8.0 --startMP 300:58621 --initTime 2017-01-02T10:38:01 --startdatetime 2017-01-02T10:40:02 --delay 1 --endMP 204:668 --enddatetime 2017-01-02T10:55:26 --enforcementcount 0 &gt;&gt;C:\Users\stu\Documents\GitHub\eaglep3-reporting\EC\2017-01-02-refined-times.txt</v>
      </c>
      <c r="AI174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{"issue":{"subject":"","project_id":79,"tracker_id":40,"status_id":1,"priority_id":2,"assigned_to_id":23,"start_date":"2017-01-02","description":"","custom_fields":[{"id":1,"name":"Subdivision","value":"NW"},{"id":4,"name":"Milepost","value":"0.0668"},{"id":17,"name":"Train ID","value":"816-02"},{"id":16,"name":"Locomotive ID","value":"4017"},{"id":130,"name":"Impact","value":""},{"id":150,"name":"Time of Event (Mountain Time)","value":"10:55:26"},{"id":151,"name":"Denver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73"/>
        <v>start /low /b %USERPROFILE%\Documents\GitHub\eaglep3\Utilities\DownloadLogsFromS3.py --loco 4017 --day 2017-01-02</v>
      </c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1" customFormat="1" x14ac:dyDescent="0.25">
      <c r="A175" s="34" t="s">
        <v>532</v>
      </c>
      <c r="B175" s="7">
        <v>4018</v>
      </c>
      <c r="C175" s="22" t="s">
        <v>203</v>
      </c>
      <c r="D175" s="22" t="s">
        <v>768</v>
      </c>
      <c r="E175" s="13">
        <v>42737.469594907408</v>
      </c>
      <c r="F175" s="13">
        <v>42737.473090277781</v>
      </c>
      <c r="G175" s="7">
        <v>1</v>
      </c>
      <c r="H175" s="22" t="s">
        <v>771</v>
      </c>
      <c r="I175" s="13">
        <v>42737.483032407406</v>
      </c>
      <c r="J175" s="7">
        <v>0</v>
      </c>
      <c r="K175" s="105" t="str">
        <f t="shared" si="56"/>
        <v>4017/4018</v>
      </c>
      <c r="L175" s="22" t="str">
        <f>VLOOKUP(A175,'Trips&amp;Operators'!$C$1:$G$99999,5,FALSE)</f>
        <v>ROCHA YAOTL</v>
      </c>
      <c r="M175" s="6">
        <f t="shared" si="57"/>
        <v>9.9421296254149638E-3</v>
      </c>
      <c r="N175" s="7">
        <f t="shared" si="58"/>
        <v>14.316666660597548</v>
      </c>
      <c r="O175" s="7"/>
      <c r="P175" s="7"/>
      <c r="Q175" s="23"/>
      <c r="R175" s="23"/>
      <c r="S175" s="32">
        <f t="shared" si="59"/>
        <v>1</v>
      </c>
      <c r="T175" s="47" t="str">
        <f t="shared" si="60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10:16:13-700',mode:absolute,to:'2017-01-02 12:35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5" s="49" t="str">
        <f t="shared" si="62"/>
        <v>N</v>
      </c>
      <c r="X175" s="173">
        <f t="shared" si="63"/>
        <v>1</v>
      </c>
      <c r="Y175" s="64">
        <f t="shared" si="64"/>
        <v>9.6000000000000002E-2</v>
      </c>
      <c r="Z175" s="64">
        <f t="shared" si="65"/>
        <v>5.8928000000000003</v>
      </c>
      <c r="AA175" s="64">
        <f t="shared" si="66"/>
        <v>5.7968000000000002</v>
      </c>
      <c r="AB175" s="61" t="e">
        <f>VLOOKUP(A175,Enforcements!$C$7:$K$19,8,0)</f>
        <v>#N/A</v>
      </c>
      <c r="AC175" s="57" t="e">
        <f>VLOOKUP(A175,Enforcements!$C$7:$E$19,3,0)</f>
        <v>#N/A</v>
      </c>
      <c r="AD175" s="58" t="str">
        <f t="shared" si="67"/>
        <v>0817-02</v>
      </c>
      <c r="AE175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75" s="84" t="str">
        <f t="shared" si="69"/>
        <v>"C:\Program Files (x86)\AstroGrep\AstroGrep.exe" /spath="%USERPROFILE%\AppData\Local\Temp\OnboardLogs" /stypes="app*4018*20170102*" /stext=" 18:.+((SYSTEM_STATE.+slice.+state.+changed )|(ment ac)|(multiple cpu faults)|(system.+state.+changed )|(\[timeout)|(PRM\|1\|D)|(kpr)|(kdp)|(\|lc)|(penalty))" /e /r /s</v>
      </c>
      <c r="AG175" s="1" t="str">
        <f t="shared" si="70"/>
        <v>NW</v>
      </c>
      <c r="AH175" s="88" t="str">
        <f t="shared" si="71"/>
        <v>"%USERPROFILE%\Documents\GitHub\eaglep3\Utilities\RefineRTDCRunTimes.py" --tripid 817-02 --locoid 4018 --swversion DE.1.0.8.0 --startMP 204:960 --initTime 2017-01-02T11:16:13 --startdatetime 2017-01-02T11:21:15 --delay 1 --endMP 300:58928 --enddatetime 2017-01-02T11:35:34 --enforcementcount 0 &gt;&gt;C:\Users\stu\Documents\GitHub\eaglep3-reporting\EC\2017-01-02-refined-times.txt</v>
      </c>
      <c r="AI175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{"issue":{"subject":"","project_id":79,"tracker_id":40,"status_id":1,"priority_id":2,"assigned_to_id":23,"start_date":"2017-01-02","description":"","custom_fields":[{"id":1,"name":"Subdivision","value":"NW"},{"id":4,"name":"Milepost","value":"5.8928"},{"id":17,"name":"Train ID","value":"817-02"},{"id":16,"name":"Locomotive ID","value":"4018"},{"id":130,"name":"Impact","value":""},{"id":150,"name":"Time of Event (Mountain Time)","value":"11:35:34"},{"id":151,"name":"Denver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73"/>
        <v>start /low /b %USERPROFILE%\Documents\GitHub\eaglep3\Utilities\DownloadLogsFromS3.py --loco 4018 --day 2017-01-02</v>
      </c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1" customFormat="1" x14ac:dyDescent="0.25">
      <c r="A176" s="34" t="s">
        <v>538</v>
      </c>
      <c r="B176" s="7">
        <v>4017</v>
      </c>
      <c r="C176" s="22" t="s">
        <v>203</v>
      </c>
      <c r="D176" s="22" t="s">
        <v>772</v>
      </c>
      <c r="E176" s="13">
        <v>42737.484155092592</v>
      </c>
      <c r="F176" s="13">
        <v>42737.485567129632</v>
      </c>
      <c r="G176" s="7">
        <v>1</v>
      </c>
      <c r="H176" s="22" t="s">
        <v>773</v>
      </c>
      <c r="I176" s="13">
        <v>42737.497037037036</v>
      </c>
      <c r="J176" s="7">
        <v>0</v>
      </c>
      <c r="K176" s="105" t="str">
        <f t="shared" si="56"/>
        <v>4017/4018</v>
      </c>
      <c r="L176" s="22" t="str">
        <f>VLOOKUP(A176,'Trips&amp;Operators'!$C$1:$G$99999,5,FALSE)</f>
        <v>ROCHA YAOTL</v>
      </c>
      <c r="M176" s="6">
        <f t="shared" si="57"/>
        <v>1.1469907403807156E-2</v>
      </c>
      <c r="N176" s="7">
        <f t="shared" si="58"/>
        <v>16.516666661482304</v>
      </c>
      <c r="O176" s="7"/>
      <c r="P176" s="7"/>
      <c r="Q176" s="23"/>
      <c r="R176" s="23"/>
      <c r="S176" s="32">
        <f t="shared" si="59"/>
        <v>1</v>
      </c>
      <c r="T176" s="47" t="str">
        <f t="shared" si="60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10:37:11-700',mode:absolute,to:'2017-01-02 12:55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6" s="49" t="str">
        <f t="shared" si="62"/>
        <v>N</v>
      </c>
      <c r="X176" s="173">
        <f t="shared" si="63"/>
        <v>1</v>
      </c>
      <c r="Y176" s="64">
        <f t="shared" si="64"/>
        <v>5.8609</v>
      </c>
      <c r="Z176" s="64">
        <f t="shared" si="65"/>
        <v>6.8000000000000005E-2</v>
      </c>
      <c r="AA176" s="64">
        <f t="shared" si="66"/>
        <v>5.7929000000000004</v>
      </c>
      <c r="AB176" s="61" t="e">
        <f>VLOOKUP(A176,Enforcements!$C$7:$K$19,8,0)</f>
        <v>#N/A</v>
      </c>
      <c r="AC176" s="57" t="e">
        <f>VLOOKUP(A176,Enforcements!$C$7:$E$19,3,0)</f>
        <v>#N/A</v>
      </c>
      <c r="AD176" s="58" t="str">
        <f t="shared" si="67"/>
        <v>0818-02</v>
      </c>
      <c r="AE176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76" s="84" t="str">
        <f t="shared" si="69"/>
        <v>"C:\Program Files (x86)\AstroGrep\AstroGrep.exe" /spath="%USERPROFILE%\AppData\Local\Temp\OnboardLogs" /stypes="app*4017*20170102*" /stext=" 18:.+((SYSTEM_STATE.+slice.+state.+changed )|(ment ac)|(multiple cpu faults)|(system.+state.+changed )|(\[timeout)|(PRM\|1\|D)|(kpr)|(kdp)|(\|lc)|(penalty))" /e /r /s</v>
      </c>
      <c r="AG176" s="1" t="str">
        <f t="shared" si="70"/>
        <v>NW</v>
      </c>
      <c r="AH176" s="88" t="str">
        <f t="shared" si="71"/>
        <v>"%USERPROFILE%\Documents\GitHub\eaglep3\Utilities\RefineRTDCRunTimes.py" --tripid 818-02 --locoid 4017 --swversion DE.1.0.8.0 --startMP 300:58609 --initTime 2017-01-02T11:37:11 --startdatetime 2017-01-02T11:39:13 --delay 1 --endMP 204:680 --enddatetime 2017-01-02T11:55:44 --enforcementcount 0 &gt;&gt;C:\Users\stu\Documents\GitHub\eaglep3-reporting\EC\2017-01-02-refined-times.txt</v>
      </c>
      <c r="AI176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{"issue":{"subject":"","project_id":79,"tracker_id":40,"status_id":1,"priority_id":2,"assigned_to_id":23,"start_date":"2017-01-02","description":"","custom_fields":[{"id":1,"name":"Subdivision","value":"NW"},{"id":4,"name":"Milepost","value":"0.068"},{"id":17,"name":"Train ID","value":"818-02"},{"id":16,"name":"Locomotive ID","value":"4017"},{"id":130,"name":"Impact","value":""},{"id":150,"name":"Time of Event (Mountain Time)","value":"11:55:44"},{"id":151,"name":"Denver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73"/>
        <v>start /low /b %USERPROFILE%\Documents\GitHub\eaglep3\Utilities\DownloadLogsFromS3.py --loco 4017 --day 2017-01-02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4" t="s">
        <v>550</v>
      </c>
      <c r="B177" s="7">
        <v>4018</v>
      </c>
      <c r="C177" s="22" t="s">
        <v>203</v>
      </c>
      <c r="D177" s="22" t="s">
        <v>774</v>
      </c>
      <c r="E177" s="13">
        <v>42737.513657407406</v>
      </c>
      <c r="F177" s="13">
        <v>42737.514849537038</v>
      </c>
      <c r="G177" s="7">
        <v>1</v>
      </c>
      <c r="H177" s="22" t="s">
        <v>771</v>
      </c>
      <c r="I177" s="13">
        <v>42737.525034722225</v>
      </c>
      <c r="J177" s="7">
        <v>0</v>
      </c>
      <c r="K177" s="105" t="str">
        <f t="shared" si="56"/>
        <v>4017/4018</v>
      </c>
      <c r="L177" s="22" t="str">
        <f>VLOOKUP(A177,'Trips&amp;Operators'!$C$1:$G$99999,5,FALSE)</f>
        <v>ROCHA YAOTL</v>
      </c>
      <c r="M177" s="6">
        <f t="shared" si="57"/>
        <v>1.0185185186855961E-2</v>
      </c>
      <c r="N177" s="7">
        <f t="shared" si="58"/>
        <v>14.666666669072583</v>
      </c>
      <c r="O177" s="7"/>
      <c r="P177" s="7"/>
      <c r="Q177" s="23"/>
      <c r="R177" s="23"/>
      <c r="S177" s="32">
        <f t="shared" si="59"/>
        <v>1</v>
      </c>
      <c r="T177" s="47" t="str">
        <f t="shared" si="60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11:19:40-700',mode:absolute,to:'2017-01-02 13:36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7" s="49" t="str">
        <f t="shared" si="62"/>
        <v>N</v>
      </c>
      <c r="X177" s="173">
        <f t="shared" si="63"/>
        <v>1</v>
      </c>
      <c r="Y177" s="64">
        <f t="shared" si="64"/>
        <v>9.5100000000000004E-2</v>
      </c>
      <c r="Z177" s="64">
        <f t="shared" si="65"/>
        <v>5.8928000000000003</v>
      </c>
      <c r="AA177" s="64">
        <f t="shared" si="66"/>
        <v>5.7976999999999999</v>
      </c>
      <c r="AB177" s="61" t="e">
        <f>VLOOKUP(A177,Enforcements!$C$7:$K$19,8,0)</f>
        <v>#N/A</v>
      </c>
      <c r="AC177" s="57" t="e">
        <f>VLOOKUP(A177,Enforcements!$C$7:$E$19,3,0)</f>
        <v>#N/A</v>
      </c>
      <c r="AD177" s="58" t="str">
        <f t="shared" si="67"/>
        <v>0819-02</v>
      </c>
      <c r="AE177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77" s="84" t="str">
        <f t="shared" si="69"/>
        <v>"C:\Program Files (x86)\AstroGrep\AstroGrep.exe" /spath="%USERPROFILE%\AppData\Local\Temp\OnboardLogs" /stypes="app*4018*20170102*" /stext=" 19:.+((SYSTEM_STATE.+slice.+state.+changed )|(ment ac)|(multiple cpu faults)|(system.+state.+changed )|(\[timeout)|(PRM\|1\|D)|(kpr)|(kdp)|(\|lc)|(penalty))" /e /r /s</v>
      </c>
      <c r="AG177" s="1" t="str">
        <f t="shared" si="70"/>
        <v>NW</v>
      </c>
      <c r="AH177" s="88" t="str">
        <f t="shared" si="71"/>
        <v>"%USERPROFILE%\Documents\GitHub\eaglep3\Utilities\RefineRTDCRunTimes.py" --tripid 819-02 --locoid 4018 --swversion DE.1.0.8.0 --startMP 204:951 --initTime 2017-01-02T12:19:40 --startdatetime 2017-01-02T12:21:23 --delay 1 --endMP 300:58928 --enddatetime 2017-01-02T12:36:03 --enforcementcount 0 &gt;&gt;C:\Users\stu\Documents\GitHub\eaglep3-reporting\EC\2017-01-02-refined-times.txt</v>
      </c>
      <c r="AI177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{"issue":{"subject":"","project_id":79,"tracker_id":40,"status_id":1,"priority_id":2,"assigned_to_id":23,"start_date":"2017-01-02","description":"","custom_fields":[{"id":1,"name":"Subdivision","value":"NW"},{"id":4,"name":"Milepost","value":"5.8928"},{"id":17,"name":"Train ID","value":"819-02"},{"id":16,"name":"Locomotive ID","value":"4018"},{"id":130,"name":"Impact","value":""},{"id":150,"name":"Time of Event (Mountain Time)","value":"12:36:03"},{"id":151,"name":"Denver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73"/>
        <v>start /low /b %USERPROFILE%\Documents\GitHub\eaglep3\Utilities\DownloadLogsFromS3.py --loco 4018 --day 2017-01-02</v>
      </c>
    </row>
    <row r="178" spans="1:91" x14ac:dyDescent="0.25">
      <c r="A178" s="34" t="s">
        <v>554</v>
      </c>
      <c r="B178" s="7">
        <v>4017</v>
      </c>
      <c r="C178" s="22" t="s">
        <v>203</v>
      </c>
      <c r="D178" s="22" t="s">
        <v>775</v>
      </c>
      <c r="E178" s="13">
        <v>42737.526377314818</v>
      </c>
      <c r="F178" s="13">
        <v>42737.527557870373</v>
      </c>
      <c r="G178" s="7">
        <v>1</v>
      </c>
      <c r="H178" s="22" t="s">
        <v>776</v>
      </c>
      <c r="I178" s="13">
        <v>42737.538530092592</v>
      </c>
      <c r="J178" s="7">
        <v>0</v>
      </c>
      <c r="K178" s="105" t="str">
        <f t="shared" si="56"/>
        <v>4017/4018</v>
      </c>
      <c r="L178" s="22" t="str">
        <f>VLOOKUP(A178,'Trips&amp;Operators'!$C$1:$G$99999,5,FALSE)</f>
        <v>ROCHA YAOTL</v>
      </c>
      <c r="M178" s="6">
        <f t="shared" si="57"/>
        <v>1.0972222218697425E-2</v>
      </c>
      <c r="N178" s="7">
        <f t="shared" si="58"/>
        <v>15.799999994924292</v>
      </c>
      <c r="O178" s="7"/>
      <c r="P178" s="7"/>
      <c r="Q178" s="23"/>
      <c r="R178" s="23"/>
      <c r="S178" s="32">
        <f t="shared" si="59"/>
        <v>1</v>
      </c>
      <c r="T178" s="47" t="str">
        <f t="shared" si="60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11:37:59-700',mode:absolute,to:'2017-01-02 13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8" s="49" t="str">
        <f t="shared" si="62"/>
        <v>N</v>
      </c>
      <c r="X178" s="173">
        <f t="shared" si="63"/>
        <v>1</v>
      </c>
      <c r="Y178" s="64">
        <f t="shared" si="64"/>
        <v>5.8605999999999998</v>
      </c>
      <c r="Z178" s="64">
        <f t="shared" si="65"/>
        <v>6.7699999999999996E-2</v>
      </c>
      <c r="AA178" s="64">
        <f t="shared" si="66"/>
        <v>5.7928999999999995</v>
      </c>
      <c r="AB178" s="61" t="e">
        <f>VLOOKUP(A178,Enforcements!$C$7:$K$19,8,0)</f>
        <v>#N/A</v>
      </c>
      <c r="AC178" s="57" t="e">
        <f>VLOOKUP(A178,Enforcements!$C$7:$E$19,3,0)</f>
        <v>#N/A</v>
      </c>
      <c r="AD178" s="58" t="str">
        <f t="shared" si="67"/>
        <v>0820-02</v>
      </c>
      <c r="AE178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78" s="84" t="str">
        <f t="shared" si="69"/>
        <v>"C:\Program Files (x86)\AstroGrep\AstroGrep.exe" /spath="%USERPROFILE%\AppData\Local\Temp\OnboardLogs" /stypes="app*4017*20170102*" /stext=" 19:.+((SYSTEM_STATE.+slice.+state.+changed )|(ment ac)|(multiple cpu faults)|(system.+state.+changed )|(\[timeout)|(PRM\|1\|D)|(kpr)|(kdp)|(\|lc)|(penalty))" /e /r /s</v>
      </c>
      <c r="AG178" s="1" t="str">
        <f t="shared" si="70"/>
        <v>NW</v>
      </c>
      <c r="AH178" s="88" t="str">
        <f t="shared" si="71"/>
        <v>"%USERPROFILE%\Documents\GitHub\eaglep3\Utilities\RefineRTDCRunTimes.py" --tripid 820-02 --locoid 4017 --swversion DE.1.0.8.0 --startMP 300:58606 --initTime 2017-01-02T12:37:59 --startdatetime 2017-01-02T12:39:41 --delay 1 --endMP 204:677 --enddatetime 2017-01-02T12:55:29 --enforcementcount 0 &gt;&gt;C:\Users\stu\Documents\GitHub\eaglep3-reporting\EC\2017-01-02-refined-times.txt</v>
      </c>
      <c r="AI178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{"issue":{"subject":"","project_id":79,"tracker_id":40,"status_id":1,"priority_id":2,"assigned_to_id":23,"start_date":"2017-01-02","description":"","custom_fields":[{"id":1,"name":"Subdivision","value":"NW"},{"id":4,"name":"Milepost","value":"0.0677"},{"id":17,"name":"Train ID","value":"820-02"},{"id":16,"name":"Locomotive ID","value":"4017"},{"id":130,"name":"Impact","value":""},{"id":150,"name":"Time of Event (Mountain Time)","value":"12:55:29"},{"id":151,"name":"Denver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73"/>
        <v>start /low /b %USERPROFILE%\Documents\GitHub\eaglep3\Utilities\DownloadLogsFromS3.py --loco 4017 --day 2017-01-02</v>
      </c>
    </row>
    <row r="179" spans="1:91" x14ac:dyDescent="0.25">
      <c r="A179" s="34" t="s">
        <v>556</v>
      </c>
      <c r="B179" s="7">
        <v>4018</v>
      </c>
      <c r="C179" s="22" t="s">
        <v>203</v>
      </c>
      <c r="D179" s="22" t="s">
        <v>748</v>
      </c>
      <c r="E179" s="13">
        <v>42737.541446759256</v>
      </c>
      <c r="F179" s="13">
        <v>42737.556435185186</v>
      </c>
      <c r="G179" s="7">
        <v>1</v>
      </c>
      <c r="H179" s="22" t="s">
        <v>777</v>
      </c>
      <c r="I179" s="13">
        <v>42737.566342592596</v>
      </c>
      <c r="J179" s="7">
        <v>0</v>
      </c>
      <c r="K179" s="105" t="str">
        <f t="shared" si="56"/>
        <v>4017/4018</v>
      </c>
      <c r="L179" s="22" t="str">
        <f>VLOOKUP(A179,'Trips&amp;Operators'!$C$1:$G$99999,5,FALSE)</f>
        <v>LEVIN SCOTT</v>
      </c>
      <c r="M179" s="6">
        <f t="shared" si="57"/>
        <v>9.9074074096279219E-3</v>
      </c>
      <c r="N179" s="7">
        <f t="shared" si="58"/>
        <v>14.266666669864208</v>
      </c>
      <c r="O179" s="7"/>
      <c r="P179" s="7"/>
      <c r="Q179" s="23"/>
      <c r="R179" s="23"/>
      <c r="S179" s="32">
        <f t="shared" si="59"/>
        <v>1</v>
      </c>
      <c r="T179" s="47" t="str">
        <f t="shared" si="60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11:59:41-700',mode:absolute,to:'2017-01-02 14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9" s="49" t="str">
        <f t="shared" si="62"/>
        <v>N</v>
      </c>
      <c r="X179" s="173">
        <f t="shared" si="63"/>
        <v>1</v>
      </c>
      <c r="Y179" s="64">
        <f t="shared" si="64"/>
        <v>9.64E-2</v>
      </c>
      <c r="Z179" s="64">
        <f t="shared" si="65"/>
        <v>5.8924000000000003</v>
      </c>
      <c r="AA179" s="64">
        <f t="shared" si="66"/>
        <v>5.7960000000000003</v>
      </c>
      <c r="AB179" s="61" t="e">
        <f>VLOOKUP(A179,Enforcements!$C$7:$K$19,8,0)</f>
        <v>#N/A</v>
      </c>
      <c r="AC179" s="57" t="e">
        <f>VLOOKUP(A179,Enforcements!$C$7:$E$19,3,0)</f>
        <v>#N/A</v>
      </c>
      <c r="AD179" s="58" t="str">
        <f t="shared" si="67"/>
        <v>0821-02</v>
      </c>
      <c r="AE179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79" s="84" t="str">
        <f t="shared" si="69"/>
        <v>"C:\Program Files (x86)\AstroGrep\AstroGrep.exe" /spath="%USERPROFILE%\AppData\Local\Temp\OnboardLogs" /stypes="app*4018*20170102*" /stext=" 20:.+((SYSTEM_STATE.+slice.+state.+changed )|(ment ac)|(multiple cpu faults)|(system.+state.+changed )|(\[timeout)|(PRM\|1\|D)|(kpr)|(kdp)|(\|lc)|(penalty))" /e /r /s</v>
      </c>
      <c r="AG179" s="1" t="str">
        <f t="shared" si="70"/>
        <v>NW</v>
      </c>
      <c r="AH179" s="88" t="str">
        <f t="shared" si="71"/>
        <v>"%USERPROFILE%\Documents\GitHub\eaglep3\Utilities\RefineRTDCRunTimes.py" --tripid 821-02 --locoid 4018 --swversion DE.1.0.8.0 --startMP 204:964 --initTime 2017-01-02T12:59:41 --startdatetime 2017-01-02T13:21:16 --delay 1 --endMP 300:58924 --enddatetime 2017-01-02T13:35:32 --enforcementcount 0 &gt;&gt;C:\Users\stu\Documents\GitHub\eaglep3-reporting\EC\2017-01-02-refined-times.txt</v>
      </c>
      <c r="AI179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{"issue":{"subject":"","project_id":79,"tracker_id":40,"status_id":1,"priority_id":2,"assigned_to_id":23,"start_date":"2017-01-02","description":"","custom_fields":[{"id":1,"name":"Subdivision","value":"NW"},{"id":4,"name":"Milepost","value":"5.8924"},{"id":17,"name":"Train ID","value":"821-02"},{"id":16,"name":"Locomotive ID","value":"4018"},{"id":130,"name":"Impact","value":""},{"id":150,"name":"Time of Event (Mountain Time)","value":"13:35:32"},{"id":151,"name":"Denver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73"/>
        <v>start /low /b %USERPROFILE%\Documents\GitHub\eaglep3\Utilities\DownloadLogsFromS3.py --loco 4018 --day 2017-01-02</v>
      </c>
    </row>
    <row r="180" spans="1:91" x14ac:dyDescent="0.25">
      <c r="A180" s="34" t="s">
        <v>562</v>
      </c>
      <c r="B180" s="7">
        <v>4017</v>
      </c>
      <c r="C180" s="22" t="s">
        <v>203</v>
      </c>
      <c r="D180" s="22" t="s">
        <v>778</v>
      </c>
      <c r="E180" s="13">
        <v>42737.567488425928</v>
      </c>
      <c r="F180" s="13">
        <v>42737.568981481483</v>
      </c>
      <c r="G180" s="7">
        <v>1</v>
      </c>
      <c r="H180" s="22" t="s">
        <v>779</v>
      </c>
      <c r="I180" s="13">
        <v>42737.580300925925</v>
      </c>
      <c r="J180" s="7">
        <v>0</v>
      </c>
      <c r="K180" s="105" t="str">
        <f t="shared" si="56"/>
        <v>4017/4018</v>
      </c>
      <c r="L180" s="22" t="str">
        <f>VLOOKUP(A180,'Trips&amp;Operators'!$C$1:$G$99999,5,FALSE)</f>
        <v>LEVIN SCOTT</v>
      </c>
      <c r="M180" s="6">
        <f t="shared" si="57"/>
        <v>1.1319444442051463E-2</v>
      </c>
      <c r="N180" s="7">
        <f t="shared" si="58"/>
        <v>16.299999996554106</v>
      </c>
      <c r="O180" s="7"/>
      <c r="P180" s="7"/>
      <c r="Q180" s="23"/>
      <c r="R180" s="23"/>
      <c r="S180" s="32">
        <f t="shared" si="59"/>
        <v>1</v>
      </c>
      <c r="T180" s="47" t="str">
        <f t="shared" si="60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12:37:11-700',mode:absolute,to:'2017-01-02 14:55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0" s="49" t="str">
        <f t="shared" si="62"/>
        <v>N</v>
      </c>
      <c r="X180" s="173">
        <f t="shared" si="63"/>
        <v>1</v>
      </c>
      <c r="Y180" s="64">
        <f t="shared" si="64"/>
        <v>5.86</v>
      </c>
      <c r="Z180" s="64">
        <f t="shared" si="65"/>
        <v>6.8400000000000002E-2</v>
      </c>
      <c r="AA180" s="64">
        <f t="shared" si="66"/>
        <v>5.7916000000000007</v>
      </c>
      <c r="AB180" s="61" t="e">
        <f>VLOOKUP(A180,Enforcements!$C$7:$K$19,8,0)</f>
        <v>#N/A</v>
      </c>
      <c r="AC180" s="57" t="e">
        <f>VLOOKUP(A180,Enforcements!$C$7:$E$19,3,0)</f>
        <v>#N/A</v>
      </c>
      <c r="AD180" s="58" t="str">
        <f t="shared" si="67"/>
        <v>0822-02</v>
      </c>
      <c r="AE180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80" s="84" t="str">
        <f t="shared" si="69"/>
        <v>"C:\Program Files (x86)\AstroGrep\AstroGrep.exe" /spath="%USERPROFILE%\AppData\Local\Temp\OnboardLogs" /stypes="app*4017*20170102*" /stext=" 20:.+((SYSTEM_STATE.+slice.+state.+changed )|(ment ac)|(multiple cpu faults)|(system.+state.+changed )|(\[timeout)|(PRM\|1\|D)|(kpr)|(kdp)|(\|lc)|(penalty))" /e /r /s</v>
      </c>
      <c r="AG180" s="1" t="str">
        <f t="shared" si="70"/>
        <v>NW</v>
      </c>
      <c r="AH180" s="88" t="str">
        <f t="shared" si="71"/>
        <v>"%USERPROFILE%\Documents\GitHub\eaglep3\Utilities\RefineRTDCRunTimes.py" --tripid 822-02 --locoid 4017 --swversion DE.1.0.8.0 --startMP 300:58600 --initTime 2017-01-02T13:37:11 --startdatetime 2017-01-02T13:39:20 --delay 1 --endMP 204:684 --enddatetime 2017-01-02T13:55:38 --enforcementcount 0 &gt;&gt;C:\Users\stu\Documents\GitHub\eaglep3-reporting\EC\2017-01-02-refined-times.txt</v>
      </c>
      <c r="AI180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{"issue":{"subject":"","project_id":79,"tracker_id":40,"status_id":1,"priority_id":2,"assigned_to_id":23,"start_date":"2017-01-02","description":"","custom_fields":[{"id":1,"name":"Subdivision","value":"NW"},{"id":4,"name":"Milepost","value":"0.0684"},{"id":17,"name":"Train ID","value":"822-02"},{"id":16,"name":"Locomotive ID","value":"4017"},{"id":130,"name":"Impact","value":""},{"id":150,"name":"Time of Event (Mountain Time)","value":"13:55:38"},{"id":151,"name":"Denver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73"/>
        <v>start /low /b %USERPROFILE%\Documents\GitHub\eaglep3\Utilities\DownloadLogsFromS3.py --loco 4017 --day 2017-01-02</v>
      </c>
    </row>
    <row r="181" spans="1:91" x14ac:dyDescent="0.25">
      <c r="A181" s="34" t="s">
        <v>569</v>
      </c>
      <c r="B181" s="7">
        <v>4018</v>
      </c>
      <c r="C181" s="22" t="s">
        <v>203</v>
      </c>
      <c r="D181" s="22" t="s">
        <v>751</v>
      </c>
      <c r="E181" s="13">
        <v>42737.594722222224</v>
      </c>
      <c r="F181" s="13">
        <v>42737.611493055556</v>
      </c>
      <c r="G181" s="7">
        <v>1</v>
      </c>
      <c r="H181" s="22" t="s">
        <v>318</v>
      </c>
      <c r="I181" s="13">
        <v>42737.622129629628</v>
      </c>
      <c r="J181" s="7">
        <v>0</v>
      </c>
      <c r="K181" s="105" t="str">
        <f t="shared" si="56"/>
        <v>4017/4018</v>
      </c>
      <c r="L181" s="22" t="str">
        <f>VLOOKUP(A181,'Trips&amp;Operators'!$C$1:$G$99999,5,FALSE)</f>
        <v>LEVIN SCOTT</v>
      </c>
      <c r="M181" s="6">
        <f t="shared" si="57"/>
        <v>1.063657407212304E-2</v>
      </c>
      <c r="N181" s="7">
        <f t="shared" si="58"/>
        <v>15.316666663857177</v>
      </c>
      <c r="O181" s="7"/>
      <c r="P181" s="7"/>
      <c r="Q181" s="23"/>
      <c r="R181" s="23"/>
      <c r="S181" s="32">
        <f t="shared" si="59"/>
        <v>1</v>
      </c>
      <c r="T181" s="47" t="str">
        <f t="shared" si="60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13:16:24-700',mode:absolute,to:'2017-01-02 15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1" s="49" t="str">
        <f t="shared" si="62"/>
        <v>N</v>
      </c>
      <c r="X181" s="173">
        <f t="shared" si="63"/>
        <v>1</v>
      </c>
      <c r="Y181" s="64">
        <f t="shared" si="64"/>
        <v>9.6199999999999994E-2</v>
      </c>
      <c r="Z181" s="64">
        <f t="shared" si="65"/>
        <v>5.8930999999999996</v>
      </c>
      <c r="AA181" s="64">
        <f t="shared" si="66"/>
        <v>5.7968999999999999</v>
      </c>
      <c r="AB181" s="61" t="e">
        <f>VLOOKUP(A181,Enforcements!$C$7:$K$19,8,0)</f>
        <v>#N/A</v>
      </c>
      <c r="AC181" s="57" t="e">
        <f>VLOOKUP(A181,Enforcements!$C$7:$E$19,3,0)</f>
        <v>#N/A</v>
      </c>
      <c r="AD181" s="58" t="str">
        <f t="shared" si="67"/>
        <v>0823-02</v>
      </c>
      <c r="AE181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81" s="84" t="str">
        <f t="shared" si="69"/>
        <v>"C:\Program Files (x86)\AstroGrep\AstroGrep.exe" /spath="%USERPROFILE%\AppData\Local\Temp\OnboardLogs" /stypes="app*4018*20170102*" /stext=" 21:.+((SYSTEM_STATE.+slice.+state.+changed )|(ment ac)|(multiple cpu faults)|(system.+state.+changed )|(\[timeout)|(PRM\|1\|D)|(kpr)|(kdp)|(\|lc)|(penalty))" /e /r /s</v>
      </c>
      <c r="AG181" s="1" t="str">
        <f t="shared" si="70"/>
        <v>NW</v>
      </c>
      <c r="AH181" s="88" t="str">
        <f t="shared" si="71"/>
        <v>"%USERPROFILE%\Documents\GitHub\eaglep3\Utilities\RefineRTDCRunTimes.py" --tripid 823-02 --locoid 4018 --swversion DE.1.0.8.0 --startMP 204:962 --initTime 2017-01-02T14:16:24 --startdatetime 2017-01-02T14:40:33 --delay 1 --endMP 300:58931 --enddatetime 2017-01-02T14:55:52 --enforcementcount 0 &gt;&gt;C:\Users\stu\Documents\GitHub\eaglep3-reporting\EC\2017-01-02-refined-times.txt</v>
      </c>
      <c r="AI181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{"issue":{"subject":"","project_id":79,"tracker_id":40,"status_id":1,"priority_id":2,"assigned_to_id":23,"start_date":"2017-01-02","description":"","custom_fields":[{"id":1,"name":"Subdivision","value":"NW"},{"id":4,"name":"Milepost","value":"5.8931"},{"id":17,"name":"Train ID","value":"823-02"},{"id":16,"name":"Locomotive ID","value":"4018"},{"id":130,"name":"Impact","value":""},{"id":150,"name":"Time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73"/>
        <v>start /low /b %USERPROFILE%\Documents\GitHub\eaglep3\Utilities\DownloadLogsFromS3.py --loco 4018 --day 2017-01-02</v>
      </c>
    </row>
    <row r="182" spans="1:91" x14ac:dyDescent="0.25">
      <c r="A182" s="34" t="s">
        <v>572</v>
      </c>
      <c r="B182" s="7">
        <v>4017</v>
      </c>
      <c r="C182" s="22" t="s">
        <v>203</v>
      </c>
      <c r="D182" s="22" t="s">
        <v>780</v>
      </c>
      <c r="E182" s="13">
        <v>42737.61037037037</v>
      </c>
      <c r="F182" s="13">
        <v>42737.611493055556</v>
      </c>
      <c r="G182" s="7">
        <v>1</v>
      </c>
      <c r="H182" s="22" t="s">
        <v>781</v>
      </c>
      <c r="I182" s="13">
        <v>42737.622129629628</v>
      </c>
      <c r="J182" s="7">
        <v>0</v>
      </c>
      <c r="K182" s="105" t="str">
        <f t="shared" si="56"/>
        <v>4017/4018</v>
      </c>
      <c r="L182" s="22" t="str">
        <f>VLOOKUP(A182,'Trips&amp;Operators'!$C$1:$G$99999,5,FALSE)</f>
        <v>LEVIN SCOTT</v>
      </c>
      <c r="M182" s="6">
        <f t="shared" si="57"/>
        <v>1.063657407212304E-2</v>
      </c>
      <c r="N182" s="7">
        <f t="shared" si="58"/>
        <v>15.316666663857177</v>
      </c>
      <c r="O182" s="7"/>
      <c r="P182" s="7"/>
      <c r="Q182" s="23"/>
      <c r="R182" s="23"/>
      <c r="S182" s="32">
        <f t="shared" si="59"/>
        <v>1</v>
      </c>
      <c r="T182" s="47" t="str">
        <f t="shared" si="60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13:38:56-700',mode:absolute,to:'2017-01-02 15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2" s="49" t="str">
        <f t="shared" si="62"/>
        <v>N</v>
      </c>
      <c r="X182" s="173">
        <f t="shared" si="63"/>
        <v>1</v>
      </c>
      <c r="Y182" s="64">
        <f t="shared" si="64"/>
        <v>5.8613</v>
      </c>
      <c r="Z182" s="64">
        <f t="shared" si="65"/>
        <v>6.8699999999999997E-2</v>
      </c>
      <c r="AA182" s="64">
        <f t="shared" si="66"/>
        <v>5.7926000000000002</v>
      </c>
      <c r="AB182" s="61" t="e">
        <f>VLOOKUP(A182,Enforcements!$C$7:$K$19,8,0)</f>
        <v>#N/A</v>
      </c>
      <c r="AC182" s="57" t="e">
        <f>VLOOKUP(A182,Enforcements!$C$7:$E$19,3,0)</f>
        <v>#N/A</v>
      </c>
      <c r="AD182" s="58" t="str">
        <f t="shared" si="67"/>
        <v>0824-02</v>
      </c>
      <c r="AE182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82" s="84" t="str">
        <f t="shared" si="69"/>
        <v>"C:\Program Files (x86)\AstroGrep\AstroGrep.exe" /spath="%USERPROFILE%\AppData\Local\Temp\OnboardLogs" /stypes="app*4017*20170102*" /stext=" 21:.+((SYSTEM_STATE.+slice.+state.+changed )|(ment ac)|(multiple cpu faults)|(system.+state.+changed )|(\[timeout)|(PRM\|1\|D)|(kpr)|(kdp)|(\|lc)|(penalty))" /e /r /s</v>
      </c>
      <c r="AG182" s="1" t="str">
        <f t="shared" si="70"/>
        <v>NW</v>
      </c>
      <c r="AH182" s="88" t="str">
        <f t="shared" si="71"/>
        <v>"%USERPROFILE%\Documents\GitHub\eaglep3\Utilities\RefineRTDCRunTimes.py" --tripid 824-02 --locoid 4017 --swversion DE.1.0.8.0 --startMP 300:58613 --initTime 2017-01-02T14:38:56 --startdatetime 2017-01-02T14:40:33 --delay 1 --endMP 204:687 --enddatetime 2017-01-02T14:55:52 --enforcementcount 0 &gt;&gt;C:\Users\stu\Documents\GitHub\eaglep3-reporting\EC\2017-01-02-refined-times.txt</v>
      </c>
      <c r="AI182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{"issue":{"subject":"","project_id":79,"tracker_id":40,"status_id":1,"priority_id":2,"assigned_to_id":23,"start_date":"2017-01-02","description":"","custom_fields":[{"id":1,"name":"Subdivision","value":"NW"},{"id":4,"name":"Milepost","value":"0.0687"},{"id":17,"name":"Train ID","value":"824-02"},{"id":16,"name":"Locomotive ID","value":"4017"},{"id":130,"name":"Impact","value":""},{"id":150,"name":"Time of Event (Mountain Time)","value":"14:55:52"},{"id":151,"name":"Denver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73"/>
        <v>start /low /b %USERPROFILE%\Documents\GitHub\eaglep3\Utilities\DownloadLogsFromS3.py --loco 4017 --day 2017-01-02</v>
      </c>
    </row>
    <row r="183" spans="1:91" x14ac:dyDescent="0.25">
      <c r="A183" s="34" t="s">
        <v>576</v>
      </c>
      <c r="B183" s="7">
        <v>4018</v>
      </c>
      <c r="C183" s="22" t="s">
        <v>203</v>
      </c>
      <c r="D183" s="22" t="s">
        <v>782</v>
      </c>
      <c r="E183" s="13">
        <v>42737.634340277778</v>
      </c>
      <c r="F183" s="13">
        <v>42737.639768518522</v>
      </c>
      <c r="G183" s="7">
        <v>1</v>
      </c>
      <c r="H183" s="22" t="s">
        <v>372</v>
      </c>
      <c r="I183" s="13">
        <v>42737.650127314817</v>
      </c>
      <c r="J183" s="7">
        <v>0</v>
      </c>
      <c r="K183" s="105" t="str">
        <f t="shared" si="56"/>
        <v>4017/4018</v>
      </c>
      <c r="L183" s="22" t="str">
        <f>VLOOKUP(A183,'Trips&amp;Operators'!$C$1:$G$99999,5,FALSE)</f>
        <v>LEVIN SCOTT</v>
      </c>
      <c r="M183" s="6">
        <f t="shared" si="57"/>
        <v>1.0358796294895001E-2</v>
      </c>
      <c r="N183" s="7">
        <f t="shared" si="58"/>
        <v>14.916666664648801</v>
      </c>
      <c r="O183" s="7"/>
      <c r="P183" s="7"/>
      <c r="Q183" s="23"/>
      <c r="R183" s="23"/>
      <c r="S183" s="32">
        <f t="shared" si="59"/>
        <v>1</v>
      </c>
      <c r="T183" s="47" t="str">
        <f t="shared" si="60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14:13:27-700',mode:absolute,to:'2017-01-02 16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3" s="49" t="str">
        <f t="shared" si="62"/>
        <v>N</v>
      </c>
      <c r="X183" s="173">
        <f t="shared" si="63"/>
        <v>1</v>
      </c>
      <c r="Y183" s="64">
        <f t="shared" si="64"/>
        <v>9.8299999999999998E-2</v>
      </c>
      <c r="Z183" s="64">
        <f t="shared" si="65"/>
        <v>5.8921999999999999</v>
      </c>
      <c r="AA183" s="64">
        <f t="shared" si="66"/>
        <v>5.7938999999999998</v>
      </c>
      <c r="AB183" s="61" t="e">
        <f>VLOOKUP(A183,Enforcements!$C$7:$K$19,8,0)</f>
        <v>#N/A</v>
      </c>
      <c r="AC183" s="57" t="e">
        <f>VLOOKUP(A183,Enforcements!$C$7:$E$19,3,0)</f>
        <v>#N/A</v>
      </c>
      <c r="AD183" s="58" t="str">
        <f t="shared" si="67"/>
        <v>0825-02</v>
      </c>
      <c r="AE183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83" s="84" t="str">
        <f t="shared" si="69"/>
        <v>"C:\Program Files (x86)\AstroGrep\AstroGrep.exe" /spath="%USERPROFILE%\AppData\Local\Temp\OnboardLogs" /stypes="app*4018*20170102*" /stext=" 22:.+((SYSTEM_STATE.+slice.+state.+changed )|(ment ac)|(multiple cpu faults)|(system.+state.+changed )|(\[timeout)|(PRM\|1\|D)|(kpr)|(kdp)|(\|lc)|(penalty))" /e /r /s</v>
      </c>
      <c r="AG183" s="1" t="str">
        <f t="shared" si="70"/>
        <v>NW</v>
      </c>
      <c r="AH183" s="88" t="str">
        <f t="shared" si="71"/>
        <v>"%USERPROFILE%\Documents\GitHub\eaglep3\Utilities\RefineRTDCRunTimes.py" --tripid 825-02 --locoid 4018 --swversion DE.1.0.8.0 --startMP 204:983 --initTime 2017-01-02T15:13:27 --startdatetime 2017-01-02T15:21:16 --delay 1 --endMP 300:58922 --enddatetime 2017-01-02T15:36:11 --enforcementcount 0 &gt;&gt;C:\Users\stu\Documents\GitHub\eaglep3-reporting\EC\2017-01-02-refined-times.txt</v>
      </c>
      <c r="AI183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{"issue":{"subject":"","project_id":79,"tracker_id":40,"status_id":1,"priority_id":2,"assigned_to_id":23,"start_date":"2017-01-02","description":"","custom_fields":[{"id":1,"name":"Subdivision","value":"NW"},{"id":4,"name":"Milepost","value":"5.8922"},{"id":17,"name":"Train ID","value":"825-02"},{"id":16,"name":"Locomotive ID","value":"4018"},{"id":130,"name":"Impact","value":""},{"id":150,"name":"Time of Event (Mountain Time)","value":"15:36:11"},{"id":151,"name":"Denver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73"/>
        <v>start /low /b %USERPROFILE%\Documents\GitHub\eaglep3\Utilities\DownloadLogsFromS3.py --loco 4018 --day 2017-01-02</v>
      </c>
    </row>
    <row r="184" spans="1:91" s="21" customFormat="1" x14ac:dyDescent="0.25">
      <c r="A184" s="34" t="s">
        <v>581</v>
      </c>
      <c r="B184" s="7">
        <v>4017</v>
      </c>
      <c r="C184" s="22" t="s">
        <v>203</v>
      </c>
      <c r="D184" s="22" t="s">
        <v>783</v>
      </c>
      <c r="E184" s="13">
        <v>42737.651145833333</v>
      </c>
      <c r="F184" s="13">
        <v>42737.652916666666</v>
      </c>
      <c r="G184" s="7">
        <v>2</v>
      </c>
      <c r="H184" s="22" t="s">
        <v>776</v>
      </c>
      <c r="I184" s="13">
        <v>42737.663807870369</v>
      </c>
      <c r="J184" s="7">
        <v>0</v>
      </c>
      <c r="K184" s="105" t="str">
        <f t="shared" si="56"/>
        <v>4017/4018</v>
      </c>
      <c r="L184" s="22" t="str">
        <f>VLOOKUP(A184,'Trips&amp;Operators'!$C$1:$G$99999,5,FALSE)</f>
        <v>LEVIN SCOTT</v>
      </c>
      <c r="M184" s="6">
        <f t="shared" si="57"/>
        <v>1.0891203703067731E-2</v>
      </c>
      <c r="N184" s="7">
        <f t="shared" si="58"/>
        <v>15.683333332417533</v>
      </c>
      <c r="O184" s="7"/>
      <c r="P184" s="7"/>
      <c r="Q184" s="23"/>
      <c r="R184" s="23"/>
      <c r="S184" s="32">
        <f t="shared" si="59"/>
        <v>1</v>
      </c>
      <c r="T184" s="47" t="str">
        <f t="shared" si="60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14:37:39-700',mode:absolute,to:'2017-01-02 16:55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4" s="49" t="str">
        <f t="shared" si="62"/>
        <v>N</v>
      </c>
      <c r="X184" s="173">
        <f t="shared" si="63"/>
        <v>1</v>
      </c>
      <c r="Y184" s="64">
        <f t="shared" si="64"/>
        <v>5.8280000000000003</v>
      </c>
      <c r="Z184" s="64">
        <f t="shared" si="65"/>
        <v>6.7699999999999996E-2</v>
      </c>
      <c r="AA184" s="64">
        <f t="shared" si="66"/>
        <v>5.7603</v>
      </c>
      <c r="AB184" s="61" t="e">
        <f>VLOOKUP(A184,Enforcements!$C$7:$K$19,8,0)</f>
        <v>#N/A</v>
      </c>
      <c r="AC184" s="57" t="e">
        <f>VLOOKUP(A184,Enforcements!$C$7:$E$19,3,0)</f>
        <v>#N/A</v>
      </c>
      <c r="AD184" s="58" t="str">
        <f t="shared" si="67"/>
        <v>0826-02</v>
      </c>
      <c r="AE184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84" s="84" t="str">
        <f t="shared" si="69"/>
        <v>"C:\Program Files (x86)\AstroGrep\AstroGrep.exe" /spath="%USERPROFILE%\AppData\Local\Temp\OnboardLogs" /stypes="app*4017*20170102*" /stext=" 22:.+((SYSTEM_STATE.+slice.+state.+changed )|(ment ac)|(multiple cpu faults)|(system.+state.+changed )|(\[timeout)|(PRM\|1\|D)|(kpr)|(kdp)|(\|lc)|(penalty))" /e /r /s</v>
      </c>
      <c r="AG184" s="1" t="str">
        <f t="shared" si="70"/>
        <v>NW</v>
      </c>
      <c r="AH184" s="88" t="str">
        <f t="shared" si="71"/>
        <v>"%USERPROFILE%\Documents\GitHub\eaglep3\Utilities\RefineRTDCRunTimes.py" --tripid 826-02 --locoid 4017 --swversion DE.1.0.8.0 --startMP 300:58280 --initTime 2017-01-02T15:37:39 --startdatetime 2017-01-02T15:40:12 --delay 2 --endMP 204:677 --enddatetime 2017-01-02T15:55:53 --enforcementcount 0 &gt;&gt;C:\Users\stu\Documents\GitHub\eaglep3-reporting\EC\2017-01-02-refined-times.txt</v>
      </c>
      <c r="AI184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{"issue":{"subject":"","project_id":79,"tracker_id":40,"status_id":1,"priority_id":2,"assigned_to_id":23,"start_date":"2017-01-02","description":"","custom_fields":[{"id":1,"name":"Subdivision","value":"NW"},{"id":4,"name":"Milepost","value":"0.0677"},{"id":17,"name":"Train ID","value":"826-02"},{"id":16,"name":"Locomotive ID","value":"4017"},{"id":130,"name":"Impact","value":""},{"id":150,"name":"Time of Event (Mountain Time)","value":"15:55:53"},{"id":151,"name":"Denver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73"/>
        <v>start /low /b %USERPROFILE%\Documents\GitHub\eaglep3\Utilities\DownloadLogsFromS3.py --loco 4017 --day 2017-01-02</v>
      </c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4" t="s">
        <v>582</v>
      </c>
      <c r="B185" s="7">
        <v>4007</v>
      </c>
      <c r="C185" s="22" t="s">
        <v>203</v>
      </c>
      <c r="D185" s="22" t="s">
        <v>760</v>
      </c>
      <c r="E185" s="13">
        <v>42737.651145833333</v>
      </c>
      <c r="F185" s="13">
        <v>42737.660578703704</v>
      </c>
      <c r="G185" s="7">
        <v>1</v>
      </c>
      <c r="H185" s="22" t="s">
        <v>771</v>
      </c>
      <c r="I185" s="13">
        <v>42737.670127314814</v>
      </c>
      <c r="J185" s="7">
        <v>0</v>
      </c>
      <c r="K185" s="105" t="str">
        <f t="shared" si="56"/>
        <v>4007/4008</v>
      </c>
      <c r="L185" s="22" t="str">
        <f>VLOOKUP(A185,'Trips&amp;Operators'!$C$1:$G$99999,5,FALSE)</f>
        <v>NEWELL JAMES</v>
      </c>
      <c r="M185" s="6">
        <f t="shared" si="57"/>
        <v>9.5486111094942316E-3</v>
      </c>
      <c r="N185" s="7">
        <f t="shared" si="58"/>
        <v>13.749999997671694</v>
      </c>
      <c r="O185" s="7"/>
      <c r="P185" s="7"/>
      <c r="Q185" s="23"/>
      <c r="R185" s="23"/>
      <c r="S185" s="32">
        <f t="shared" si="59"/>
        <v>1</v>
      </c>
      <c r="T185" s="47" t="str">
        <f t="shared" si="60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14:37:39-700',mode:absolute,to:'2017-01-02 17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5" s="49" t="str">
        <f t="shared" si="62"/>
        <v>N</v>
      </c>
      <c r="X185" s="173">
        <f t="shared" si="63"/>
        <v>1</v>
      </c>
      <c r="Y185" s="64">
        <f t="shared" si="64"/>
        <v>9.5299999999999996E-2</v>
      </c>
      <c r="Z185" s="64">
        <f t="shared" si="65"/>
        <v>5.8928000000000003</v>
      </c>
      <c r="AA185" s="64">
        <f t="shared" si="66"/>
        <v>5.7975000000000003</v>
      </c>
      <c r="AB185" s="61" t="e">
        <f>VLOOKUP(A185,Enforcements!$C$7:$K$19,8,0)</f>
        <v>#N/A</v>
      </c>
      <c r="AC185" s="57" t="e">
        <f>VLOOKUP(A185,Enforcements!$C$7:$E$19,3,0)</f>
        <v>#N/A</v>
      </c>
      <c r="AD185" s="58" t="str">
        <f t="shared" si="67"/>
        <v>0827-02</v>
      </c>
      <c r="AE185" s="87" t="str">
        <f t="shared" si="68"/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AF185" s="84" t="str">
        <f t="shared" si="69"/>
        <v>"C:\Program Files (x86)\AstroGrep\AstroGrep.exe" /spath="%USERPROFILE%\AppData\Local\Temp\OnboardLogs" /stypes="app*4007*20170102*" /stext=" 23:.+((SYSTEM_STATE.+slice.+state.+changed )|(ment ac)|(multiple cpu faults)|(system.+state.+changed )|(\[timeout)|(PRM\|1\|D)|(kpr)|(kdp)|(\|lc)|(penalty))" /e /r /s</v>
      </c>
      <c r="AG185" s="1" t="str">
        <f t="shared" si="70"/>
        <v>NW</v>
      </c>
      <c r="AH185" s="88" t="str">
        <f t="shared" si="71"/>
        <v>"%USERPROFILE%\Documents\GitHub\eaglep3\Utilities\RefineRTDCRunTimes.py" --tripid 827-02 --locoid 4007 --swversion DE.1.0.8.0 --startMP 204:953 --initTime 2017-01-02T15:37:39 --startdatetime 2017-01-02T15:51:14 --delay 1 --endMP 300:58928 --enddatetime 2017-01-02T16:04:59 --enforcementcount 0 &gt;&gt;C:\Users\stu\Documents\GitHub\eaglep3-reporting\EC\2017-01-02-refined-times.txt</v>
      </c>
      <c r="AI185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{"issue":{"subject":"","project_id":79,"tracker_id":40,"status_id":1,"priority_id":2,"assigned_to_id":23,"start_date":"2017-01-02","description":"","custom_fields":[{"id":1,"name":"Subdivision","value":"NW"},{"id":4,"name":"Milepost","value":"5.8928"},{"id":17,"name":"Train ID","value":"827-02"},{"id":16,"name":"Locomotive ID","value":"4007"},{"id":130,"name":"Impact","value":""},{"id":150,"name":"Time of Event (Mountain Time)","value":"16:04:59"},{"id":151,"name":"Denver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73"/>
        <v>start /low /b %USERPROFILE%\Documents\GitHub\eaglep3\Utilities\DownloadLogsFromS3.py --loco 4007 --day 2017-01-02</v>
      </c>
    </row>
    <row r="186" spans="1:91" s="21" customFormat="1" x14ac:dyDescent="0.25">
      <c r="A186" s="34" t="s">
        <v>587</v>
      </c>
      <c r="B186" s="7">
        <v>4008</v>
      </c>
      <c r="C186" s="22" t="s">
        <v>203</v>
      </c>
      <c r="D186" s="22" t="s">
        <v>772</v>
      </c>
      <c r="E186" s="13">
        <v>42737.671006944445</v>
      </c>
      <c r="F186" s="13">
        <v>42737.672152777777</v>
      </c>
      <c r="G186" s="7">
        <v>1</v>
      </c>
      <c r="H186" s="22" t="s">
        <v>784</v>
      </c>
      <c r="I186" s="13">
        <v>42737.685555555552</v>
      </c>
      <c r="J186" s="7">
        <v>0</v>
      </c>
      <c r="K186" s="105" t="str">
        <f t="shared" si="56"/>
        <v>4007/4008</v>
      </c>
      <c r="L186" s="22" t="str">
        <f>VLOOKUP(A186,'Trips&amp;Operators'!$C$1:$G$99999,5,FALSE)</f>
        <v>NEWELL JAMES</v>
      </c>
      <c r="M186" s="6">
        <f t="shared" si="57"/>
        <v>1.3402777774899732E-2</v>
      </c>
      <c r="N186" s="7">
        <f t="shared" si="58"/>
        <v>19.299999995855615</v>
      </c>
      <c r="O186" s="7"/>
      <c r="P186" s="7"/>
      <c r="Q186" s="23"/>
      <c r="R186" s="23"/>
      <c r="S186" s="32">
        <f t="shared" si="59"/>
        <v>1</v>
      </c>
      <c r="T186" s="47" t="str">
        <f t="shared" si="60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15:06:15-700',mode:absolute,to:'2017-01-02 17:27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86" s="49" t="str">
        <f t="shared" si="62"/>
        <v>N</v>
      </c>
      <c r="X186" s="173">
        <f t="shared" si="63"/>
        <v>1</v>
      </c>
      <c r="Y186" s="64">
        <f t="shared" si="64"/>
        <v>5.8609</v>
      </c>
      <c r="Z186" s="64">
        <f t="shared" si="65"/>
        <v>6.59E-2</v>
      </c>
      <c r="AA186" s="64">
        <f t="shared" si="66"/>
        <v>5.7949999999999999</v>
      </c>
      <c r="AB186" s="61" t="e">
        <f>VLOOKUP(A186,Enforcements!$C$7:$K$19,8,0)</f>
        <v>#N/A</v>
      </c>
      <c r="AC186" s="57" t="e">
        <f>VLOOKUP(A186,Enforcements!$C$7:$E$19,3,0)</f>
        <v>#N/A</v>
      </c>
      <c r="AD186" s="58" t="str">
        <f t="shared" si="67"/>
        <v>0828-02</v>
      </c>
      <c r="AE186" s="87" t="str">
        <f t="shared" si="68"/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AF186" s="84" t="str">
        <f t="shared" si="69"/>
        <v>"C:\Program Files (x86)\AstroGrep\AstroGrep.exe" /spath="%USERPROFILE%\AppData\Local\Temp\OnboardLogs" /stypes="app*4008*20170102*" /stext=" 23:.+((SYSTEM_STATE.+slice.+state.+changed )|(ment ac)|(multiple cpu faults)|(system.+state.+changed )|(\[timeout)|(PRM\|1\|D)|(kpr)|(kdp)|(\|lc)|(penalty))" /e /r /s</v>
      </c>
      <c r="AG186" s="1" t="str">
        <f t="shared" si="70"/>
        <v>NW</v>
      </c>
      <c r="AH186" s="88" t="str">
        <f t="shared" si="71"/>
        <v>"%USERPROFILE%\Documents\GitHub\eaglep3\Utilities\RefineRTDCRunTimes.py" --tripid 828-02 --locoid 4008 --swversion DE.1.0.8.0 --startMP 300:58609 --initTime 2017-01-02T16:06:15 --startdatetime 2017-01-02T16:07:54 --delay 1 --endMP 204:659 --enddatetime 2017-01-02T16:27:12 --enforcementcount 0 &gt;&gt;C:\Users\stu\Documents\GitHub\eaglep3-reporting\EC\2017-01-02-refined-times.txt</v>
      </c>
      <c r="AI186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{"issue":{"subject":"","project_id":79,"tracker_id":40,"status_id":1,"priority_id":2,"assigned_to_id":23,"start_date":"2017-01-02","description":"","custom_fields":[{"id":1,"name":"Subdivision","value":"NW"},{"id":4,"name":"Milepost","value":"0.0659"},{"id":17,"name":"Train ID","value":"828-02"},{"id":16,"name":"Locomotive ID","value":"4008"},{"id":130,"name":"Impact","value":""},{"id":150,"name":"Time of Event (Mountain Time)","value":"16:27:12"},{"id":151,"name":"Denver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73"/>
        <v>start /low /b %USERPROFILE%\Documents\GitHub\eaglep3\Utilities\DownloadLogsFromS3.py --loco 4008 --day 2017-01-02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590</v>
      </c>
      <c r="B187" s="7">
        <v>4018</v>
      </c>
      <c r="C187" s="22" t="s">
        <v>203</v>
      </c>
      <c r="D187" s="22" t="s">
        <v>785</v>
      </c>
      <c r="E187" s="13">
        <v>42737.67796296296</v>
      </c>
      <c r="F187" s="13">
        <v>42737.681493055556</v>
      </c>
      <c r="G187" s="7">
        <v>1</v>
      </c>
      <c r="H187" s="22" t="s">
        <v>771</v>
      </c>
      <c r="I187" s="13">
        <v>42737.691631944443</v>
      </c>
      <c r="J187" s="7">
        <v>0</v>
      </c>
      <c r="K187" s="105" t="str">
        <f t="shared" si="56"/>
        <v>4017/4018</v>
      </c>
      <c r="L187" s="22" t="str">
        <f>VLOOKUP(A187,'Trips&amp;Operators'!$C$1:$G$99999,5,FALSE)</f>
        <v>LEVIN SCOTT</v>
      </c>
      <c r="M187" s="6">
        <f t="shared" si="57"/>
        <v>1.0138888887013309E-2</v>
      </c>
      <c r="N187" s="7">
        <f t="shared" si="58"/>
        <v>14.599999997299165</v>
      </c>
      <c r="O187" s="7"/>
      <c r="P187" s="7"/>
      <c r="Q187" s="23"/>
      <c r="R187" s="23"/>
      <c r="S187" s="32">
        <f t="shared" si="59"/>
        <v>1</v>
      </c>
      <c r="T187" s="47" t="str">
        <f t="shared" si="60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15:16:16-700',mode:absolute,to:'2017-01-02 17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7" s="49" t="str">
        <f t="shared" si="62"/>
        <v>N</v>
      </c>
      <c r="X187" s="173">
        <f t="shared" si="63"/>
        <v>1</v>
      </c>
      <c r="Y187" s="64">
        <f t="shared" si="64"/>
        <v>9.6500000000000002E-2</v>
      </c>
      <c r="Z187" s="64">
        <f t="shared" si="65"/>
        <v>5.8928000000000003</v>
      </c>
      <c r="AA187" s="64">
        <f t="shared" si="66"/>
        <v>5.7963000000000005</v>
      </c>
      <c r="AB187" s="61" t="e">
        <f>VLOOKUP(A187,Enforcements!$C$7:$K$19,8,0)</f>
        <v>#N/A</v>
      </c>
      <c r="AC187" s="57" t="e">
        <f>VLOOKUP(A187,Enforcements!$C$7:$E$19,3,0)</f>
        <v>#N/A</v>
      </c>
      <c r="AD187" s="58" t="str">
        <f t="shared" si="67"/>
        <v>0829-02</v>
      </c>
      <c r="AE187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87" s="84" t="str">
        <f t="shared" si="69"/>
        <v>"C:\Program Files (x86)\AstroGrep\AstroGrep.exe" /spath="%USERPROFILE%\AppData\Local\Temp\OnboardLogs" /stypes="app*4018*20170102*" /stext=" 23:.+((SYSTEM_STATE.+slice.+state.+changed )|(ment ac)|(multiple cpu faults)|(system.+state.+changed )|(\[timeout)|(PRM\|1\|D)|(kpr)|(kdp)|(\|lc)|(penalty))" /e /r /s</v>
      </c>
      <c r="AG187" s="1" t="str">
        <f t="shared" si="70"/>
        <v>NW</v>
      </c>
      <c r="AH187" s="88" t="str">
        <f t="shared" si="71"/>
        <v>"%USERPROFILE%\Documents\GitHub\eaglep3\Utilities\RefineRTDCRunTimes.py" --tripid 829-02 --locoid 4018 --swversion DE.1.0.8.0 --startMP 204:965 --initTime 2017-01-02T16:16:16 --startdatetime 2017-01-02T16:21:21 --delay 1 --endMP 300:58928 --enddatetime 2017-01-02T16:35:57 --enforcementcount 0 &gt;&gt;C:\Users\stu\Documents\GitHub\eaglep3-reporting\EC\2017-01-02-refined-times.txt</v>
      </c>
      <c r="AI187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{"issue":{"subject":"","project_id":79,"tracker_id":40,"status_id":1,"priority_id":2,"assigned_to_id":23,"start_date":"2017-01-02","description":"","custom_fields":[{"id":1,"name":"Subdivision","value":"NW"},{"id":4,"name":"Milepost","value":"5.8928"},{"id":17,"name":"Train ID","value":"829-02"},{"id":16,"name":"Locomotive ID","value":"4018"},{"id":130,"name":"Impact","value":""},{"id":150,"name":"Time of Event (Mountain Time)","value":"16:35:57"},{"id":151,"name":"Denver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73"/>
        <v>start /low /b %USERPROFILE%\Documents\GitHub\eaglep3\Utilities\DownloadLogsFromS3.py --loco 4018 --day 2017-01-02</v>
      </c>
    </row>
    <row r="188" spans="1:91" x14ac:dyDescent="0.25">
      <c r="A188" s="34" t="s">
        <v>594</v>
      </c>
      <c r="B188" s="7">
        <v>4017</v>
      </c>
      <c r="C188" s="22" t="s">
        <v>203</v>
      </c>
      <c r="D188" s="22" t="s">
        <v>775</v>
      </c>
      <c r="E188" s="13">
        <v>42737.692650462966</v>
      </c>
      <c r="F188" s="13">
        <v>42737.693842592591</v>
      </c>
      <c r="G188" s="7">
        <v>1</v>
      </c>
      <c r="H188" s="22" t="s">
        <v>786</v>
      </c>
      <c r="I188" s="13">
        <v>42737.706770833334</v>
      </c>
      <c r="J188" s="7">
        <v>0</v>
      </c>
      <c r="K188" s="105" t="str">
        <f t="shared" si="56"/>
        <v>4017/4018</v>
      </c>
      <c r="L188" s="22" t="str">
        <f>VLOOKUP(A188,'Trips&amp;Operators'!$C$1:$G$99999,5,FALSE)</f>
        <v>LEVIN SCOTT</v>
      </c>
      <c r="M188" s="6">
        <f t="shared" si="57"/>
        <v>1.2928240743349306E-2</v>
      </c>
      <c r="N188" s="7">
        <f t="shared" si="58"/>
        <v>18.616666670423001</v>
      </c>
      <c r="O188" s="7"/>
      <c r="P188" s="7"/>
      <c r="Q188" s="23"/>
      <c r="R188" s="23"/>
      <c r="S188" s="32">
        <f t="shared" si="59"/>
        <v>1</v>
      </c>
      <c r="T188" s="47" t="str">
        <f t="shared" si="60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15:37:25-700',mode:absolute,to:'2017-01-02 17:57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8" s="49" t="str">
        <f t="shared" si="62"/>
        <v>N</v>
      </c>
      <c r="X188" s="173">
        <f t="shared" si="63"/>
        <v>1</v>
      </c>
      <c r="Y188" s="64">
        <f t="shared" si="64"/>
        <v>5.8605999999999998</v>
      </c>
      <c r="Z188" s="64">
        <f t="shared" si="65"/>
        <v>6.6100000000000006E-2</v>
      </c>
      <c r="AA188" s="64">
        <f t="shared" si="66"/>
        <v>5.7945000000000002</v>
      </c>
      <c r="AB188" s="61" t="e">
        <f>VLOOKUP(A188,Enforcements!$C$7:$K$19,8,0)</f>
        <v>#N/A</v>
      </c>
      <c r="AC188" s="57" t="e">
        <f>VLOOKUP(A188,Enforcements!$C$7:$E$19,3,0)</f>
        <v>#N/A</v>
      </c>
      <c r="AD188" s="58" t="str">
        <f t="shared" si="67"/>
        <v>0830-02</v>
      </c>
      <c r="AE188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88" s="84" t="str">
        <f t="shared" si="69"/>
        <v>"C:\Program Files (x86)\AstroGrep\AstroGrep.exe" /spath="%USERPROFILE%\AppData\Local\Temp\OnboardLogs" /stypes="app*4017*20170102*" /stext=" 23:.+((SYSTEM_STATE.+slice.+state.+changed )|(ment ac)|(multiple cpu faults)|(system.+state.+changed )|(\[timeout)|(PRM\|1\|D)|(kpr)|(kdp)|(\|lc)|(penalty))" /e /r /s</v>
      </c>
      <c r="AG188" s="1" t="str">
        <f t="shared" si="70"/>
        <v>NW</v>
      </c>
      <c r="AH188" s="88" t="str">
        <f t="shared" si="71"/>
        <v>"%USERPROFILE%\Documents\GitHub\eaglep3\Utilities\RefineRTDCRunTimes.py" --tripid 830-02 --locoid 4017 --swversion DE.1.0.8.0 --startMP 300:58606 --initTime 2017-01-02T16:37:25 --startdatetime 2017-01-02T16:39:08 --delay 1 --endMP 204:661 --enddatetime 2017-01-02T16:57:45 --enforcementcount 0 &gt;&gt;C:\Users\stu\Documents\GitHub\eaglep3-reporting\EC\2017-01-02-refined-times.txt</v>
      </c>
      <c r="AI188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{"issue":{"subject":"","project_id":79,"tracker_id":40,"status_id":1,"priority_id":2,"assigned_to_id":23,"start_date":"2017-01-02","description":"","custom_fields":[{"id":1,"name":"Subdivision","value":"NW"},{"id":4,"name":"Milepost","value":"0.0661"},{"id":17,"name":"Train ID","value":"830-02"},{"id":16,"name":"Locomotive ID","value":"4017"},{"id":130,"name":"Impact","value":""},{"id":150,"name":"Time of Event (Mountain Time)","value":"16:57:45"},{"id":151,"name":"Denver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73"/>
        <v>start /low /b %USERPROFILE%\Documents\GitHub\eaglep3\Utilities\DownloadLogsFromS3.py --loco 4017 --day 2017-01-02</v>
      </c>
    </row>
    <row r="189" spans="1:91" x14ac:dyDescent="0.25">
      <c r="A189" s="34" t="s">
        <v>592</v>
      </c>
      <c r="B189" s="7">
        <v>4007</v>
      </c>
      <c r="C189" s="22" t="s">
        <v>203</v>
      </c>
      <c r="D189" s="22" t="s">
        <v>768</v>
      </c>
      <c r="E189" s="13">
        <v>42737.687511574077</v>
      </c>
      <c r="F189" s="13">
        <v>42737.702303240738</v>
      </c>
      <c r="G189" s="7">
        <v>1</v>
      </c>
      <c r="H189" s="22" t="s">
        <v>375</v>
      </c>
      <c r="I189" s="13">
        <v>42737.713368055556</v>
      </c>
      <c r="J189" s="7">
        <v>0</v>
      </c>
      <c r="K189" s="105" t="str">
        <f t="shared" si="56"/>
        <v>4007/4008</v>
      </c>
      <c r="L189" s="22" t="str">
        <f>VLOOKUP(A189,'Trips&amp;Operators'!$C$1:$G$99999,5,FALSE)</f>
        <v>NEWELL JAMES</v>
      </c>
      <c r="M189" s="6">
        <f t="shared" si="57"/>
        <v>1.1064814818382729E-2</v>
      </c>
      <c r="N189" s="7">
        <f t="shared" si="58"/>
        <v>15.93333333847113</v>
      </c>
      <c r="O189" s="7"/>
      <c r="P189" s="7"/>
      <c r="Q189" s="23"/>
      <c r="R189" s="23"/>
      <c r="S189" s="32">
        <f t="shared" si="59"/>
        <v>1</v>
      </c>
      <c r="T189" s="47" t="str">
        <f t="shared" si="60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15:30:01-700',mode:absolute,to:'2017-01-02 18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89" s="49" t="str">
        <f t="shared" si="62"/>
        <v>N</v>
      </c>
      <c r="X189" s="173">
        <f t="shared" si="63"/>
        <v>1</v>
      </c>
      <c r="Y189" s="64">
        <f t="shared" si="64"/>
        <v>9.6000000000000002E-2</v>
      </c>
      <c r="Z189" s="64">
        <f t="shared" si="65"/>
        <v>5.8925999999999998</v>
      </c>
      <c r="AA189" s="64">
        <f t="shared" si="66"/>
        <v>5.7965999999999998</v>
      </c>
      <c r="AB189" s="61" t="e">
        <f>VLOOKUP(A189,Enforcements!$C$7:$K$19,8,0)</f>
        <v>#N/A</v>
      </c>
      <c r="AC189" s="57" t="e">
        <f>VLOOKUP(A189,Enforcements!$C$7:$E$19,3,0)</f>
        <v>#N/A</v>
      </c>
      <c r="AD189" s="58" t="str">
        <f t="shared" si="67"/>
        <v>0831-02</v>
      </c>
      <c r="AE189" s="87" t="str">
        <f t="shared" si="68"/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AF189" s="84" t="str">
        <f t="shared" si="69"/>
        <v>"C:\Program Files (x86)\AstroGrep\AstroGrep.exe" /spath="%USERPROFILE%\AppData\Local\Temp\OnboardLogs" /stypes="app*4007*20170103*" /stext=" 00:.+((SYSTEM_STATE.+slice.+state.+changed )|(ment ac)|(multiple cpu faults)|(system.+state.+changed )|(\[timeout)|(PRM\|1\|D)|(kpr)|(kdp)|(\|lc)|(penalty))" /e /r /s</v>
      </c>
      <c r="AG189" s="1" t="str">
        <f t="shared" si="70"/>
        <v>NW</v>
      </c>
      <c r="AH189" s="88" t="str">
        <f t="shared" si="71"/>
        <v>"%USERPROFILE%\Documents\GitHub\eaglep3\Utilities\RefineRTDCRunTimes.py" --tripid 831-02 --locoid 4007 --swversion DE.1.0.8.0 --startMP 204:960 --initTime 2017-01-02T16:30:01 --startdatetime 2017-01-02T16:51:19 --delay 1 --endMP 300:58926 --enddatetime 2017-01-02T17:07:15 --enforcementcount 0 &gt;&gt;C:\Users\stu\Documents\GitHub\eaglep3-reporting\EC\2017-01-02-refined-times.txt</v>
      </c>
      <c r="AI189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{"issue":{"subject":"","project_id":79,"tracker_id":40,"status_id":1,"priority_id":2,"assigned_to_id":23,"start_date":"2017-01-02","description":"","custom_fields":[{"id":1,"name":"Subdivision","value":"NW"},{"id":4,"name":"Milepost","value":"5.8926"},{"id":17,"name":"Train ID","value":"831-02"},{"id":16,"name":"Locomotive ID","value":"4007"},{"id":130,"name":"Impact","value":""},{"id":150,"name":"Time of Event (Mountain Time)","value":"17:07:15"},{"id":151,"name":"Denver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73"/>
        <v>start /low /b %USERPROFILE%\Documents\GitHub\eaglep3\Utilities\DownloadLogsFromS3.py --loco 4007 --day 2017-01-02</v>
      </c>
    </row>
    <row r="190" spans="1:91" s="21" customFormat="1" x14ac:dyDescent="0.25">
      <c r="A190" s="34" t="s">
        <v>601</v>
      </c>
      <c r="B190" s="7">
        <v>4008</v>
      </c>
      <c r="C190" s="22" t="s">
        <v>203</v>
      </c>
      <c r="D190" s="22" t="s">
        <v>772</v>
      </c>
      <c r="E190" s="13">
        <v>42737.71466435185</v>
      </c>
      <c r="F190" s="13">
        <v>42737.716273148151</v>
      </c>
      <c r="G190" s="7">
        <v>1</v>
      </c>
      <c r="H190" s="22" t="s">
        <v>787</v>
      </c>
      <c r="I190" s="13">
        <v>42737.726805555554</v>
      </c>
      <c r="J190" s="7">
        <v>0</v>
      </c>
      <c r="K190" s="105" t="str">
        <f t="shared" si="56"/>
        <v>4007/4008</v>
      </c>
      <c r="L190" s="22" t="str">
        <f>VLOOKUP(A190,'Trips&amp;Operators'!$C$1:$G$99999,5,FALSE)</f>
        <v>NEWELL JAMES</v>
      </c>
      <c r="M190" s="6">
        <f t="shared" si="57"/>
        <v>1.0532407402934041E-2</v>
      </c>
      <c r="N190" s="7">
        <f t="shared" si="58"/>
        <v>15.166666660225019</v>
      </c>
      <c r="O190" s="7"/>
      <c r="P190" s="7"/>
      <c r="Q190" s="23"/>
      <c r="R190" s="23"/>
      <c r="S190" s="32">
        <f t="shared" si="59"/>
        <v>1</v>
      </c>
      <c r="T190" s="47" t="str">
        <f t="shared" si="60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16:09:07-700',mode:absolute,to:'2017-01-02 18:26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0" s="49" t="str">
        <f t="shared" si="62"/>
        <v>N</v>
      </c>
      <c r="X190" s="173">
        <f t="shared" si="63"/>
        <v>1</v>
      </c>
      <c r="Y190" s="64">
        <f t="shared" si="64"/>
        <v>5.8609</v>
      </c>
      <c r="Z190" s="64">
        <f t="shared" si="65"/>
        <v>6.8900000000000003E-2</v>
      </c>
      <c r="AA190" s="64">
        <f t="shared" si="66"/>
        <v>5.7919999999999998</v>
      </c>
      <c r="AB190" s="61" t="e">
        <f>VLOOKUP(A190,Enforcements!$C$7:$K$19,8,0)</f>
        <v>#N/A</v>
      </c>
      <c r="AC190" s="57" t="e">
        <f>VLOOKUP(A190,Enforcements!$C$7:$E$19,3,0)</f>
        <v>#N/A</v>
      </c>
      <c r="AD190" s="58" t="str">
        <f t="shared" si="67"/>
        <v>0832-02</v>
      </c>
      <c r="AE190" s="87" t="str">
        <f t="shared" si="68"/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AF190" s="84" t="str">
        <f t="shared" si="69"/>
        <v>"C:\Program Files (x86)\AstroGrep\AstroGrep.exe" /spath="%USERPROFILE%\AppData\Local\Temp\OnboardLogs" /stypes="app*4008*20170103*" /stext=" 00:.+((SYSTEM_STATE.+slice.+state.+changed )|(ment ac)|(multiple cpu faults)|(system.+state.+changed )|(\[timeout)|(PRM\|1\|D)|(kpr)|(kdp)|(\|lc)|(penalty))" /e /r /s</v>
      </c>
      <c r="AG190" s="1" t="str">
        <f t="shared" si="70"/>
        <v>NW</v>
      </c>
      <c r="AH190" s="88" t="str">
        <f t="shared" si="71"/>
        <v>"%USERPROFILE%\Documents\GitHub\eaglep3\Utilities\RefineRTDCRunTimes.py" --tripid 832-02 --locoid 4008 --swversion DE.1.0.8.0 --startMP 300:58609 --initTime 2017-01-02T17:09:07 --startdatetime 2017-01-02T17:11:26 --delay 1 --endMP 204:689 --enddatetime 2017-01-02T17:26:36 --enforcementcount 0 &gt;&gt;C:\Users\stu\Documents\GitHub\eaglep3-reporting\EC\2017-01-02-refined-times.txt</v>
      </c>
      <c r="AI190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{"issue":{"subject":"","project_id":79,"tracker_id":40,"status_id":1,"priority_id":2,"assigned_to_id":23,"start_date":"2017-01-02","description":"","custom_fields":[{"id":1,"name":"Subdivision","value":"NW"},{"id":4,"name":"Milepost","value":"0.0689"},{"id":17,"name":"Train ID","value":"832-02"},{"id":16,"name":"Locomotive ID","value":"4008"},{"id":130,"name":"Impact","value":""},{"id":150,"name":"Time of Event (Mountain Time)","value":"17:26:36"},{"id":151,"name":"Denver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73"/>
        <v>start /low /b %USERPROFILE%\Documents\GitHub\eaglep3\Utilities\DownloadLogsFromS3.py --loco 4008 --day 2017-01-02</v>
      </c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x14ac:dyDescent="0.25">
      <c r="A191" s="34" t="s">
        <v>603</v>
      </c>
      <c r="B191" s="7">
        <v>4018</v>
      </c>
      <c r="C191" s="22" t="s">
        <v>203</v>
      </c>
      <c r="D191" s="22" t="s">
        <v>788</v>
      </c>
      <c r="E191" s="13">
        <v>42737.719189814816</v>
      </c>
      <c r="F191" s="13">
        <v>42737.723090277781</v>
      </c>
      <c r="G191" s="7">
        <v>1</v>
      </c>
      <c r="H191" s="22" t="s">
        <v>761</v>
      </c>
      <c r="I191" s="13">
        <v>42737.733159722222</v>
      </c>
      <c r="J191" s="7">
        <v>0</v>
      </c>
      <c r="K191" s="105" t="str">
        <f t="shared" si="56"/>
        <v>4017/4018</v>
      </c>
      <c r="L191" s="22" t="str">
        <f>VLOOKUP(A191,'Trips&amp;Operators'!$C$1:$G$99999,5,FALSE)</f>
        <v>LEVIN SCOTT</v>
      </c>
      <c r="M191" s="6">
        <f t="shared" si="57"/>
        <v>1.006944444088731E-2</v>
      </c>
      <c r="N191" s="7">
        <f t="shared" si="58"/>
        <v>14.499999994877726</v>
      </c>
      <c r="O191" s="7"/>
      <c r="P191" s="7"/>
      <c r="Q191" s="23"/>
      <c r="R191" s="23"/>
      <c r="S191" s="32">
        <f t="shared" si="59"/>
        <v>1</v>
      </c>
      <c r="T191" s="47" t="str">
        <f t="shared" si="60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16:15:38-700',mode:absolute,to:'2017-01-02 18:35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1" s="49" t="str">
        <f t="shared" si="62"/>
        <v>N</v>
      </c>
      <c r="X191" s="173">
        <f t="shared" si="63"/>
        <v>1</v>
      </c>
      <c r="Y191" s="64">
        <f t="shared" si="64"/>
        <v>9.6699999999999994E-2</v>
      </c>
      <c r="Z191" s="64">
        <f t="shared" si="65"/>
        <v>5.8914</v>
      </c>
      <c r="AA191" s="64">
        <f t="shared" si="66"/>
        <v>5.7946999999999997</v>
      </c>
      <c r="AB191" s="61" t="e">
        <f>VLOOKUP(A191,Enforcements!$C$7:$K$19,8,0)</f>
        <v>#N/A</v>
      </c>
      <c r="AC191" s="57" t="e">
        <f>VLOOKUP(A191,Enforcements!$C$7:$E$19,3,0)</f>
        <v>#N/A</v>
      </c>
      <c r="AD191" s="58" t="str">
        <f t="shared" si="67"/>
        <v>0833-02</v>
      </c>
      <c r="AE191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91" s="84" t="str">
        <f t="shared" si="69"/>
        <v>"C:\Program Files (x86)\AstroGrep\AstroGrep.exe" /spath="%USERPROFILE%\AppData\Local\Temp\OnboardLogs" /stypes="app*4018*20170103*" /stext=" 00:.+((SYSTEM_STATE.+slice.+state.+changed )|(ment ac)|(multiple cpu faults)|(system.+state.+changed )|(\[timeout)|(PRM\|1\|D)|(kpr)|(kdp)|(\|lc)|(penalty))" /e /r /s</v>
      </c>
      <c r="AG191" s="1" t="str">
        <f t="shared" si="70"/>
        <v>NW</v>
      </c>
      <c r="AH191" s="88" t="str">
        <f t="shared" si="71"/>
        <v>"%USERPROFILE%\Documents\GitHub\eaglep3\Utilities\RefineRTDCRunTimes.py" --tripid 833-02 --locoid 4018 --swversion DE.1.0.8.0 --startMP 204:967 --initTime 2017-01-02T17:15:38 --startdatetime 2017-01-02T17:21:15 --delay 1 --endMP 300:58914 --enddatetime 2017-01-02T17:35:45 --enforcementcount 0 &gt;&gt;C:\Users\stu\Documents\GitHub\eaglep3-reporting\EC\2017-01-02-refined-times.txt</v>
      </c>
      <c r="AI191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{"issue":{"subject":"","project_id":79,"tracker_id":40,"status_id":1,"priority_id":2,"assigned_to_id":23,"start_date":"2017-01-02","description":"","custom_fields":[{"id":1,"name":"Subdivision","value":"NW"},{"id":4,"name":"Milepost","value":"5.8914"},{"id":17,"name":"Train ID","value":"833-02"},{"id":16,"name":"Locomotive ID","value":"4018"},{"id":130,"name":"Impact","value":""},{"id":150,"name":"Time of Event (Mountain Time)","value":"17:35:45"},{"id":151,"name":"Denver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73"/>
        <v>start /low /b %USERPROFILE%\Documents\GitHub\eaglep3\Utilities\DownloadLogsFromS3.py --loco 4018 --day 2017-01-02</v>
      </c>
    </row>
    <row r="192" spans="1:91" x14ac:dyDescent="0.25">
      <c r="A192" s="34" t="s">
        <v>443</v>
      </c>
      <c r="B192" s="7">
        <v>4017</v>
      </c>
      <c r="C192" s="22" t="s">
        <v>203</v>
      </c>
      <c r="D192" s="22" t="s">
        <v>789</v>
      </c>
      <c r="E192" s="13">
        <v>42737.734837962962</v>
      </c>
      <c r="F192" s="13">
        <v>42737.736134259256</v>
      </c>
      <c r="G192" s="7">
        <v>1</v>
      </c>
      <c r="H192" s="22" t="s">
        <v>773</v>
      </c>
      <c r="I192" s="13">
        <v>42737.750810185185</v>
      </c>
      <c r="J192" s="7">
        <v>0</v>
      </c>
      <c r="K192" s="105" t="str">
        <f t="shared" si="56"/>
        <v>4017/4018</v>
      </c>
      <c r="L192" s="22" t="str">
        <f>VLOOKUP(A192,'Trips&amp;Operators'!$C$1:$G$99999,5,FALSE)</f>
        <v>LEVIN SCOTT</v>
      </c>
      <c r="M192" s="6">
        <f t="shared" si="57"/>
        <v>1.467592592962319E-2</v>
      </c>
      <c r="N192" s="7">
        <f t="shared" si="58"/>
        <v>21.133333338657394</v>
      </c>
      <c r="O192" s="7"/>
      <c r="P192" s="7"/>
      <c r="Q192" s="23"/>
      <c r="R192" s="23"/>
      <c r="S192" s="32">
        <f t="shared" si="59"/>
        <v>1</v>
      </c>
      <c r="T192" s="47" t="str">
        <f t="shared" si="60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16:38:10-700',mode:absolute,to:'2017-01-02 19:01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2" s="49" t="str">
        <f t="shared" si="62"/>
        <v>N</v>
      </c>
      <c r="X192" s="173">
        <f t="shared" si="63"/>
        <v>1</v>
      </c>
      <c r="Y192" s="64">
        <f t="shared" si="64"/>
        <v>5.8601999999999999</v>
      </c>
      <c r="Z192" s="64">
        <f t="shared" si="65"/>
        <v>6.8000000000000005E-2</v>
      </c>
      <c r="AA192" s="64">
        <f t="shared" si="66"/>
        <v>5.7922000000000002</v>
      </c>
      <c r="AB192" s="61" t="str">
        <f>VLOOKUP(A192,Enforcements!$C$7:$K$19,8,0)</f>
        <v>Bulletin (2)</v>
      </c>
      <c r="AC192" s="57" t="str">
        <f>VLOOKUP(A192,Enforcements!$C$7:$E$19,3,0)</f>
        <v>TEMPORARY SPEED RESTRICTION</v>
      </c>
      <c r="AD192" s="58" t="str">
        <f t="shared" si="67"/>
        <v>0834-02</v>
      </c>
      <c r="AE192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92" s="84" t="str">
        <f t="shared" si="69"/>
        <v>"C:\Program Files (x86)\AstroGrep\AstroGrep.exe" /spath="%USERPROFILE%\AppData\Local\Temp\OnboardLogs" /stypes="app*4017*20170103*" /stext=" 01:.+((SYSTEM_STATE.+slice.+state.+changed )|(ment ac)|(multiple cpu faults)|(system.+state.+changed )|(\[timeout)|(PRM\|1\|D)|(kpr)|(kdp)|(\|lc)|(penalty))" /e /r /s</v>
      </c>
      <c r="AG192" s="1" t="str">
        <f t="shared" si="70"/>
        <v>NW</v>
      </c>
      <c r="AH192" s="88" t="str">
        <f t="shared" si="71"/>
        <v>"%USERPROFILE%\Documents\GitHub\eaglep3\Utilities\RefineRTDCRunTimes.py" --tripid 834-02 --locoid 4017 --swversion DE.1.0.8.0 --startMP 300:58602 --initTime 2017-01-02T17:38:10 --startdatetime 2017-01-02T17:40:02 --delay 1 --endMP 204:680 --enddatetime 2017-01-02T18:01:10 --enforcementcount 0 &gt;&gt;C:\Users\stu\Documents\GitHub\eaglep3-reporting\EC\2017-01-02-refined-times.txt</v>
      </c>
      <c r="AI192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{"issue":{"subject":"","project_id":79,"tracker_id":40,"status_id":1,"priority_id":2,"assigned_to_id":23,"start_date":"2017-01-02","description":"","custom_fields":[{"id":1,"name":"Subdivision","value":"NW"},{"id":4,"name":"Milepost","value":"0.068"},{"id":17,"name":"Train ID","value":"834-02"},{"id":16,"name":"Locomotive ID","value":"4017"},{"id":130,"name":"Impact","value":""},{"id":150,"name":"Time of Event (Mountain Time)","value":"18:01:10"},{"id":151,"name":"Denver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73"/>
        <v>start /low /b %USERPROFILE%\Documents\GitHub\eaglep3\Utilities\DownloadLogsFromS3.py --loco 4017 --day 2017-01-02</v>
      </c>
    </row>
    <row r="193" spans="1:91" x14ac:dyDescent="0.25">
      <c r="A193" s="34" t="s">
        <v>606</v>
      </c>
      <c r="B193" s="7">
        <v>4007</v>
      </c>
      <c r="C193" s="22" t="s">
        <v>203</v>
      </c>
      <c r="D193" s="22" t="s">
        <v>790</v>
      </c>
      <c r="E193" s="13">
        <v>42737.728275462963</v>
      </c>
      <c r="F193" s="13">
        <v>42737.744016203702</v>
      </c>
      <c r="G193" s="7">
        <v>1</v>
      </c>
      <c r="H193" s="22" t="s">
        <v>375</v>
      </c>
      <c r="I193" s="13">
        <v>42737.754340277781</v>
      </c>
      <c r="J193" s="7">
        <v>0</v>
      </c>
      <c r="K193" s="105" t="str">
        <f t="shared" si="56"/>
        <v>4007/4008</v>
      </c>
      <c r="L193" s="22" t="str">
        <f>VLOOKUP(A193,'Trips&amp;Operators'!$C$1:$G$99999,5,FALSE)</f>
        <v>NEWELL JAMES</v>
      </c>
      <c r="M193" s="6">
        <f t="shared" si="57"/>
        <v>1.0324074079107959E-2</v>
      </c>
      <c r="N193" s="7">
        <f t="shared" si="58"/>
        <v>14.866666673915461</v>
      </c>
      <c r="O193" s="7"/>
      <c r="P193" s="7"/>
      <c r="Q193" s="23"/>
      <c r="R193" s="23"/>
      <c r="S193" s="32">
        <f t="shared" si="59"/>
        <v>1</v>
      </c>
      <c r="T193" s="47" t="str">
        <f t="shared" si="60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16:28:43-700',mode:absolute,to:'2017-01-02 19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3" s="49" t="str">
        <f t="shared" si="62"/>
        <v>N</v>
      </c>
      <c r="X193" s="173">
        <f t="shared" si="63"/>
        <v>1</v>
      </c>
      <c r="Y193" s="64">
        <f t="shared" si="64"/>
        <v>9.7199999999999995E-2</v>
      </c>
      <c r="Z193" s="64">
        <f t="shared" si="65"/>
        <v>5.8925999999999998</v>
      </c>
      <c r="AA193" s="64">
        <f t="shared" si="66"/>
        <v>5.7953999999999999</v>
      </c>
      <c r="AB193" s="61" t="e">
        <f>VLOOKUP(A193,Enforcements!$C$7:$K$19,8,0)</f>
        <v>#N/A</v>
      </c>
      <c r="AC193" s="57" t="e">
        <f>VLOOKUP(A193,Enforcements!$C$7:$E$19,3,0)</f>
        <v>#N/A</v>
      </c>
      <c r="AD193" s="58" t="str">
        <f t="shared" si="67"/>
        <v>0835-02</v>
      </c>
      <c r="AE193" s="87" t="str">
        <f t="shared" si="68"/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AF193" s="84" t="str">
        <f t="shared" si="69"/>
        <v>"C:\Program Files (x86)\AstroGrep\AstroGrep.exe" /spath="%USERPROFILE%\AppData\Local\Temp\OnboardLogs" /stypes="app*4007*20170103*" /stext=" 01:.+((SYSTEM_STATE.+slice.+state.+changed )|(ment ac)|(multiple cpu faults)|(system.+state.+changed )|(\[timeout)|(PRM\|1\|D)|(kpr)|(kdp)|(\|lc)|(penalty))" /e /r /s</v>
      </c>
      <c r="AG193" s="1" t="str">
        <f t="shared" si="70"/>
        <v>NW</v>
      </c>
      <c r="AH193" s="88" t="str">
        <f t="shared" si="71"/>
        <v>"%USERPROFILE%\Documents\GitHub\eaglep3\Utilities\RefineRTDCRunTimes.py" --tripid 835-02 --locoid 4007 --swversion DE.1.0.8.0 --startMP 204:972 --initTime 2017-01-02T17:28:43 --startdatetime 2017-01-02T17:51:23 --delay 1 --endMP 300:58926 --enddatetime 2017-01-02T18:06:15 --enforcementcount 0 &gt;&gt;C:\Users\stu\Documents\GitHub\eaglep3-reporting\EC\2017-01-02-refined-times.txt</v>
      </c>
      <c r="AI193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{"issue":{"subject":"","project_id":79,"tracker_id":40,"status_id":1,"priority_id":2,"assigned_to_id":23,"start_date":"2017-01-02","description":"","custom_fields":[{"id":1,"name":"Subdivision","value":"NW"},{"id":4,"name":"Milepost","value":"5.8926"},{"id":17,"name":"Train ID","value":"835-02"},{"id":16,"name":"Locomotive ID","value":"4007"},{"id":130,"name":"Impact","value":""},{"id":150,"name":"Time of Event (Mountain Time)","value":"18:06:15"},{"id":151,"name":"Denver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73"/>
        <v>start /low /b %USERPROFILE%\Documents\GitHub\eaglep3\Utilities\DownloadLogsFromS3.py --loco 4007 --day 2017-01-02</v>
      </c>
    </row>
    <row r="194" spans="1:91" x14ac:dyDescent="0.25">
      <c r="A194" s="34" t="s">
        <v>445</v>
      </c>
      <c r="B194" s="7">
        <v>4008</v>
      </c>
      <c r="C194" s="22" t="s">
        <v>203</v>
      </c>
      <c r="D194" s="22" t="s">
        <v>775</v>
      </c>
      <c r="E194" s="13">
        <v>42737.755416666667</v>
      </c>
      <c r="F194" s="13">
        <v>42737.75681712963</v>
      </c>
      <c r="G194" s="7">
        <v>1</v>
      </c>
      <c r="H194" s="22" t="s">
        <v>791</v>
      </c>
      <c r="I194" s="13">
        <v>42737.768958333334</v>
      </c>
      <c r="J194" s="7">
        <v>0</v>
      </c>
      <c r="K194" s="105" t="str">
        <f t="shared" si="56"/>
        <v>4007/4008</v>
      </c>
      <c r="L194" s="22" t="str">
        <f>VLOOKUP(A194,'Trips&amp;Operators'!$C$1:$G$99999,5,FALSE)</f>
        <v>NEWELL JAMES</v>
      </c>
      <c r="M194" s="6">
        <f t="shared" si="57"/>
        <v>1.2141203704231884E-2</v>
      </c>
      <c r="N194" s="7">
        <f t="shared" si="58"/>
        <v>17.483333334093913</v>
      </c>
      <c r="O194" s="7"/>
      <c r="P194" s="7"/>
      <c r="Q194" s="23"/>
      <c r="R194" s="23"/>
      <c r="S194" s="32">
        <f t="shared" si="59"/>
        <v>1</v>
      </c>
      <c r="T194" s="47" t="str">
        <f t="shared" si="60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17:07:48-700',mode:absolute,to:'2017-01-02 19:27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94" s="49" t="str">
        <f t="shared" si="62"/>
        <v>N</v>
      </c>
      <c r="X194" s="173">
        <f t="shared" si="63"/>
        <v>1</v>
      </c>
      <c r="Y194" s="64">
        <f t="shared" si="64"/>
        <v>5.8605999999999998</v>
      </c>
      <c r="Z194" s="64">
        <f t="shared" si="65"/>
        <v>6.9099999999999995E-2</v>
      </c>
      <c r="AA194" s="64">
        <f t="shared" si="66"/>
        <v>5.7915000000000001</v>
      </c>
      <c r="AB194" s="61" t="e">
        <f>VLOOKUP(A194,Enforcements!$C$7:$K$19,8,0)</f>
        <v>#N/A</v>
      </c>
      <c r="AC194" s="57" t="e">
        <f>VLOOKUP(A194,Enforcements!$C$7:$E$19,3,0)</f>
        <v>#N/A</v>
      </c>
      <c r="AD194" s="58" t="str">
        <f t="shared" si="67"/>
        <v>0836-02</v>
      </c>
      <c r="AE194" s="87" t="str">
        <f t="shared" si="68"/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AF194" s="84" t="str">
        <f t="shared" si="69"/>
        <v>"C:\Program Files (x86)\AstroGrep\AstroGrep.exe" /spath="%USERPROFILE%\AppData\Local\Temp\OnboardLogs" /stypes="app*4008*20170103*" /stext=" 01:.+((SYSTEM_STATE.+slice.+state.+changed )|(ment ac)|(multiple cpu faults)|(system.+state.+changed )|(\[timeout)|(PRM\|1\|D)|(kpr)|(kdp)|(\|lc)|(penalty))" /e /r /s</v>
      </c>
      <c r="AG194" s="1" t="str">
        <f t="shared" si="70"/>
        <v>NW</v>
      </c>
      <c r="AH194" s="88" t="str">
        <f t="shared" si="71"/>
        <v>"%USERPROFILE%\Documents\GitHub\eaglep3\Utilities\RefineRTDCRunTimes.py" --tripid 836-02 --locoid 4008 --swversion DE.1.0.8.0 --startMP 300:58606 --initTime 2017-01-02T18:07:48 --startdatetime 2017-01-02T18:09:49 --delay 1 --endMP 204:691 --enddatetime 2017-01-02T18:27:18 --enforcementcount 0 &gt;&gt;C:\Users\stu\Documents\GitHub\eaglep3-reporting\EC\2017-01-02-refined-times.txt</v>
      </c>
      <c r="AI194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{"issue":{"subject":"","project_id":79,"tracker_id":40,"status_id":1,"priority_id":2,"assigned_to_id":23,"start_date":"2017-01-02","description":"","custom_fields":[{"id":1,"name":"Subdivision","value":"NW"},{"id":4,"name":"Milepost","value":"0.0691"},{"id":17,"name":"Train ID","value":"836-02"},{"id":16,"name":"Locomotive ID","value":"4008"},{"id":130,"name":"Impact","value":""},{"id":150,"name":"Time of Event (Mountain Time)","value":"18:27:18"},{"id":151,"name":"Denver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73"/>
        <v>start /low /b %USERPROFILE%\Documents\GitHub\eaglep3\Utilities\DownloadLogsFromS3.py --loco 4008 --day 2017-01-02</v>
      </c>
    </row>
    <row r="195" spans="1:91" s="21" customFormat="1" x14ac:dyDescent="0.25">
      <c r="A195" s="34" t="s">
        <v>616</v>
      </c>
      <c r="B195" s="7">
        <v>4018</v>
      </c>
      <c r="C195" s="22" t="s">
        <v>203</v>
      </c>
      <c r="D195" s="22" t="s">
        <v>754</v>
      </c>
      <c r="E195" s="13">
        <v>42737.760717592595</v>
      </c>
      <c r="F195" s="13">
        <v>42737.764756944445</v>
      </c>
      <c r="G195" s="7">
        <v>1</v>
      </c>
      <c r="H195" s="22" t="s">
        <v>375</v>
      </c>
      <c r="I195" s="13">
        <v>42737.775011574071</v>
      </c>
      <c r="J195" s="7">
        <v>0</v>
      </c>
      <c r="K195" s="105" t="str">
        <f t="shared" si="56"/>
        <v>4017/4018</v>
      </c>
      <c r="L195" s="22" t="str">
        <f>VLOOKUP(A195,'Trips&amp;Operators'!$C$1:$G$99999,5,FALSE)</f>
        <v>LEVIN SCOTT</v>
      </c>
      <c r="M195" s="6">
        <f t="shared" si="57"/>
        <v>1.0254629625706002E-2</v>
      </c>
      <c r="N195" s="7">
        <f t="shared" si="58"/>
        <v>14.766666661016643</v>
      </c>
      <c r="O195" s="7"/>
      <c r="P195" s="7"/>
      <c r="Q195" s="23"/>
      <c r="R195" s="23"/>
      <c r="S195" s="32">
        <f t="shared" si="59"/>
        <v>1</v>
      </c>
      <c r="T195" s="47" t="str">
        <f t="shared" si="60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17:15:26-700',mode:absolute,to:'2017-01-02 19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5" s="49" t="str">
        <f t="shared" si="62"/>
        <v>N</v>
      </c>
      <c r="X195" s="173">
        <f t="shared" si="63"/>
        <v>1</v>
      </c>
      <c r="Y195" s="64">
        <f t="shared" si="64"/>
        <v>9.74E-2</v>
      </c>
      <c r="Z195" s="64">
        <f t="shared" si="65"/>
        <v>5.8925999999999998</v>
      </c>
      <c r="AA195" s="64">
        <f t="shared" si="66"/>
        <v>5.7951999999999995</v>
      </c>
      <c r="AB195" s="61" t="e">
        <f>VLOOKUP(A195,Enforcements!$C$7:$K$19,8,0)</f>
        <v>#N/A</v>
      </c>
      <c r="AC195" s="57" t="e">
        <f>VLOOKUP(A195,Enforcements!$C$7:$E$19,3,0)</f>
        <v>#N/A</v>
      </c>
      <c r="AD195" s="58" t="str">
        <f t="shared" si="67"/>
        <v>0837-02</v>
      </c>
      <c r="AE195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95" s="84" t="str">
        <f t="shared" si="69"/>
        <v>"C:\Program Files (x86)\AstroGrep\AstroGrep.exe" /spath="%USERPROFILE%\AppData\Local\Temp\OnboardLogs" /stypes="app*4018*20170103*" /stext=" 01:.+((SYSTEM_STATE.+slice.+state.+changed )|(ment ac)|(multiple cpu faults)|(system.+state.+changed )|(\[timeout)|(PRM\|1\|D)|(kpr)|(kdp)|(\|lc)|(penalty))" /e /r /s</v>
      </c>
      <c r="AG195" s="1" t="str">
        <f t="shared" si="70"/>
        <v>NW</v>
      </c>
      <c r="AH195" s="88" t="str">
        <f t="shared" si="71"/>
        <v>"%USERPROFILE%\Documents\GitHub\eaglep3\Utilities\RefineRTDCRunTimes.py" --tripid 837-02 --locoid 4018 --swversion DE.1.0.8.0 --startMP 204:974 --initTime 2017-01-02T18:15:26 --startdatetime 2017-01-02T18:21:15 --delay 1 --endMP 300:58926 --enddatetime 2017-01-02T18:36:01 --enforcementcount 0 &gt;&gt;C:\Users\stu\Documents\GitHub\eaglep3-reporting\EC\2017-01-02-refined-times.txt</v>
      </c>
      <c r="AI195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{"issue":{"subject":"","project_id":79,"tracker_id":40,"status_id":1,"priority_id":2,"assigned_to_id":23,"start_date":"2017-01-02","description":"","custom_fields":[{"id":1,"name":"Subdivision","value":"NW"},{"id":4,"name":"Milepost","value":"5.8926"},{"id":17,"name":"Train ID","value":"837-02"},{"id":16,"name":"Locomotive ID","value":"4018"},{"id":130,"name":"Impact","value":""},{"id":150,"name":"Time of Event (Mountain Time)","value":"18:36:01"},{"id":151,"name":"Denver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73"/>
        <v>start /low /b %USERPROFILE%\Documents\GitHub\eaglep3\Utilities\DownloadLogsFromS3.py --loco 4018 --day 2017-01-02</v>
      </c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4" t="s">
        <v>620</v>
      </c>
      <c r="B196" s="7">
        <v>4017</v>
      </c>
      <c r="C196" s="22" t="s">
        <v>203</v>
      </c>
      <c r="D196" s="22" t="s">
        <v>792</v>
      </c>
      <c r="E196" s="13">
        <v>42737.776331018518</v>
      </c>
      <c r="F196" s="13">
        <v>42737.777488425927</v>
      </c>
      <c r="G196" s="7">
        <v>0</v>
      </c>
      <c r="H196" s="22" t="s">
        <v>776</v>
      </c>
      <c r="I196" s="13">
        <v>42737.79078703704</v>
      </c>
      <c r="J196" s="7">
        <v>0</v>
      </c>
      <c r="K196" s="105" t="str">
        <f t="shared" si="56"/>
        <v>4017/4018</v>
      </c>
      <c r="L196" s="22" t="str">
        <f>VLOOKUP(A196,'Trips&amp;Operators'!$C$1:$G$99999,5,FALSE)</f>
        <v>LEVIN SCOTT</v>
      </c>
      <c r="M196" s="6">
        <f t="shared" si="57"/>
        <v>1.3298611112986691E-2</v>
      </c>
      <c r="N196" s="7">
        <f t="shared" si="58"/>
        <v>19.150000002700835</v>
      </c>
      <c r="O196" s="7"/>
      <c r="P196" s="7"/>
      <c r="Q196" s="23"/>
      <c r="R196" s="23"/>
      <c r="S196" s="32">
        <f t="shared" si="59"/>
        <v>1</v>
      </c>
      <c r="T196" s="47" t="str">
        <f t="shared" si="60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17:37:55-700',mode:absolute,to:'2017-01-02 19:58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6" s="49" t="str">
        <f t="shared" si="62"/>
        <v>N</v>
      </c>
      <c r="X196" s="173">
        <f t="shared" si="63"/>
        <v>1</v>
      </c>
      <c r="Y196" s="64">
        <f t="shared" si="64"/>
        <v>5.8604000000000003</v>
      </c>
      <c r="Z196" s="64">
        <f t="shared" si="65"/>
        <v>6.7699999999999996E-2</v>
      </c>
      <c r="AA196" s="64">
        <f t="shared" si="66"/>
        <v>5.7927</v>
      </c>
      <c r="AB196" s="61" t="e">
        <f>VLOOKUP(A196,Enforcements!$C$7:$K$19,8,0)</f>
        <v>#N/A</v>
      </c>
      <c r="AC196" s="57" t="e">
        <f>VLOOKUP(A196,Enforcements!$C$7:$E$19,3,0)</f>
        <v>#N/A</v>
      </c>
      <c r="AD196" s="58" t="str">
        <f t="shared" si="67"/>
        <v>0838-02</v>
      </c>
      <c r="AE196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96" s="84" t="str">
        <f t="shared" si="69"/>
        <v>"C:\Program Files (x86)\AstroGrep\AstroGrep.exe" /spath="%USERPROFILE%\AppData\Local\Temp\OnboardLogs" /stypes="app*4017*20170103*" /stext=" 01:.+((SYSTEM_STATE.+slice.+state.+changed )|(ment ac)|(multiple cpu faults)|(system.+state.+changed )|(\[timeout)|(PRM\|1\|D)|(kpr)|(kdp)|(\|lc)|(penalty))" /e /r /s</v>
      </c>
      <c r="AG196" s="1" t="str">
        <f t="shared" si="70"/>
        <v>NW</v>
      </c>
      <c r="AH196" s="88" t="str">
        <f t="shared" si="71"/>
        <v>"%USERPROFILE%\Documents\GitHub\eaglep3\Utilities\RefineRTDCRunTimes.py" --tripid 838-02 --locoid 4017 --swversion DE.1.0.8.0 --startMP 300:58604 --initTime 2017-01-02T18:37:55 --startdatetime 2017-01-02T18:39:35 --delay 0 --endMP 204:677 --enddatetime 2017-01-02T18:58:44 --enforcementcount 0 &gt;&gt;C:\Users\stu\Documents\GitHub\eaglep3-reporting\EC\2017-01-02-refined-times.txt</v>
      </c>
      <c r="AI196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{"issue":{"subject":"","project_id":79,"tracker_id":40,"status_id":1,"priority_id":2,"assigned_to_id":23,"start_date":"2017-01-02","description":"","custom_fields":[{"id":1,"name":"Subdivision","value":"NW"},{"id":4,"name":"Milepost","value":"0.0677"},{"id":17,"name":"Train ID","value":"838-02"},{"id":16,"name":"Locomotive ID","value":"4017"},{"id":130,"name":"Impact","value":""},{"id":150,"name":"Time of Event (Mountain Time)","value":"18:58:44"},{"id":151,"name":"Denver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73"/>
        <v>start /low /b %USERPROFILE%\Documents\GitHub\eaglep3\Utilities\DownloadLogsFromS3.py --loco 4017 --day 2017-01-02</v>
      </c>
    </row>
    <row r="197" spans="1:91" s="21" customFormat="1" x14ac:dyDescent="0.25">
      <c r="A197" s="34" t="s">
        <v>623</v>
      </c>
      <c r="B197" s="7">
        <v>4007</v>
      </c>
      <c r="C197" s="22" t="s">
        <v>203</v>
      </c>
      <c r="D197" s="22" t="s">
        <v>793</v>
      </c>
      <c r="E197" s="13">
        <v>42737.781770833331</v>
      </c>
      <c r="F197" s="13">
        <v>42737.785578703704</v>
      </c>
      <c r="G197" s="7">
        <v>1</v>
      </c>
      <c r="H197" s="22" t="s">
        <v>375</v>
      </c>
      <c r="I197" s="13">
        <v>42737.795254629629</v>
      </c>
      <c r="J197" s="7">
        <v>0</v>
      </c>
      <c r="K197" s="105" t="str">
        <f t="shared" si="56"/>
        <v>4007/4008</v>
      </c>
      <c r="L197" s="22" t="str">
        <f>VLOOKUP(A197,'Trips&amp;Operators'!$C$1:$G$99999,5,FALSE)</f>
        <v>NEWELL JAMES</v>
      </c>
      <c r="M197" s="6">
        <f t="shared" si="57"/>
        <v>9.6759259249665774E-3</v>
      </c>
      <c r="N197" s="7">
        <f t="shared" si="58"/>
        <v>13.933333331951872</v>
      </c>
      <c r="O197" s="7"/>
      <c r="P197" s="7"/>
      <c r="Q197" s="23"/>
      <c r="R197" s="23"/>
      <c r="S197" s="32">
        <f t="shared" si="59"/>
        <v>1</v>
      </c>
      <c r="T197" s="47" t="str">
        <f t="shared" si="60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17:45:45-700',mode:absolute,to:'2017-01-02 20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97" s="49" t="str">
        <f t="shared" si="62"/>
        <v>N</v>
      </c>
      <c r="X197" s="173">
        <f t="shared" si="63"/>
        <v>1</v>
      </c>
      <c r="Y197" s="64">
        <f t="shared" si="64"/>
        <v>9.9000000000000005E-2</v>
      </c>
      <c r="Z197" s="64">
        <f t="shared" si="65"/>
        <v>5.8925999999999998</v>
      </c>
      <c r="AA197" s="64">
        <f t="shared" si="66"/>
        <v>5.7935999999999996</v>
      </c>
      <c r="AB197" s="61" t="e">
        <f>VLOOKUP(A197,Enforcements!$C$7:$K$19,8,0)</f>
        <v>#N/A</v>
      </c>
      <c r="AC197" s="57" t="e">
        <f>VLOOKUP(A197,Enforcements!$C$7:$E$19,3,0)</f>
        <v>#N/A</v>
      </c>
      <c r="AD197" s="58" t="str">
        <f t="shared" si="67"/>
        <v>0839-02</v>
      </c>
      <c r="AE197" s="87" t="str">
        <f t="shared" si="68"/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AF197" s="84" t="str">
        <f t="shared" si="69"/>
        <v>"C:\Program Files (x86)\AstroGrep\AstroGrep.exe" /spath="%USERPROFILE%\AppData\Local\Temp\OnboardLogs" /stypes="app*4007*20170103*" /stext=" 02:.+((SYSTEM_STATE.+slice.+state.+changed )|(ment ac)|(multiple cpu faults)|(system.+state.+changed )|(\[timeout)|(PRM\|1\|D)|(kpr)|(kdp)|(\|lc)|(penalty))" /e /r /s</v>
      </c>
      <c r="AG197" s="1" t="str">
        <f t="shared" si="70"/>
        <v>NW</v>
      </c>
      <c r="AH197" s="88" t="str">
        <f t="shared" si="71"/>
        <v>"%USERPROFILE%\Documents\GitHub\eaglep3\Utilities\RefineRTDCRunTimes.py" --tripid 839-02 --locoid 4007 --swversion DE.1.0.8.0 --startMP 204:990 --initTime 2017-01-02T18:45:45 --startdatetime 2017-01-02T18:51:14 --delay 1 --endMP 300:58926 --enddatetime 2017-01-02T19:05:10 --enforcementcount 0 &gt;&gt;C:\Users\stu\Documents\GitHub\eaglep3-reporting\EC\2017-01-02-refined-times.txt</v>
      </c>
      <c r="AI197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{"issue":{"subject":"","project_id":79,"tracker_id":40,"status_id":1,"priority_id":2,"assigned_to_id":23,"start_date":"2017-01-02","description":"","custom_fields":[{"id":1,"name":"Subdivision","value":"NW"},{"id":4,"name":"Milepost","value":"5.8926"},{"id":17,"name":"Train ID","value":"839-02"},{"id":16,"name":"Locomotive ID","value":"4007"},{"id":130,"name":"Impact","value":""},{"id":150,"name":"Time of Event (Mountain Time)","value":"19:05:10"},{"id":151,"name":"Denver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73"/>
        <v>start /low /b %USERPROFILE%\Documents\GitHub\eaglep3\Utilities\DownloadLogsFromS3.py --loco 4007 --day 2017-01-02</v>
      </c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632</v>
      </c>
      <c r="B198" s="7">
        <v>4017</v>
      </c>
      <c r="C198" s="22" t="s">
        <v>203</v>
      </c>
      <c r="D198" s="22" t="s">
        <v>794</v>
      </c>
      <c r="E198" s="13">
        <v>42737.817395833335</v>
      </c>
      <c r="F198" s="13">
        <v>42737.818738425929</v>
      </c>
      <c r="G198" s="7">
        <v>1</v>
      </c>
      <c r="H198" s="22" t="s">
        <v>770</v>
      </c>
      <c r="I198" s="13">
        <v>42737.832118055558</v>
      </c>
      <c r="J198" s="7">
        <v>0</v>
      </c>
      <c r="K198" s="105" t="str">
        <f t="shared" si="56"/>
        <v>4017/4018</v>
      </c>
      <c r="L198" s="22" t="str">
        <f>VLOOKUP(A198,'Trips&amp;Operators'!$C$1:$G$99999,5,FALSE)</f>
        <v>LEVIN SCOTT</v>
      </c>
      <c r="M198" s="6">
        <f t="shared" si="57"/>
        <v>1.3379629628616385E-2</v>
      </c>
      <c r="N198" s="7">
        <f t="shared" si="58"/>
        <v>19.266666665207595</v>
      </c>
      <c r="O198" s="7"/>
      <c r="P198" s="7"/>
      <c r="Q198" s="23"/>
      <c r="R198" s="23"/>
      <c r="S198" s="32">
        <f t="shared" si="59"/>
        <v>1</v>
      </c>
      <c r="T198" s="47" t="str">
        <f t="shared" si="60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18:37:03-700',mode:absolute,to:'2017-01-02 20:58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8" s="49" t="str">
        <f t="shared" si="62"/>
        <v>N</v>
      </c>
      <c r="X198" s="173">
        <f t="shared" si="63"/>
        <v>1</v>
      </c>
      <c r="Y198" s="64">
        <f t="shared" si="64"/>
        <v>5.8615000000000004</v>
      </c>
      <c r="Z198" s="64">
        <f t="shared" si="65"/>
        <v>6.6799999999999998E-2</v>
      </c>
      <c r="AA198" s="64">
        <f t="shared" si="66"/>
        <v>5.7947000000000006</v>
      </c>
      <c r="AB198" s="61" t="e">
        <f>VLOOKUP(A198,Enforcements!$C$7:$K$19,8,0)</f>
        <v>#N/A</v>
      </c>
      <c r="AC198" s="57" t="e">
        <f>VLOOKUP(A198,Enforcements!$C$7:$E$19,3,0)</f>
        <v>#N/A</v>
      </c>
      <c r="AD198" s="58" t="str">
        <f t="shared" si="67"/>
        <v>0840-02</v>
      </c>
      <c r="AE198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198" s="84" t="str">
        <f t="shared" si="69"/>
        <v>"C:\Program Files (x86)\AstroGrep\AstroGrep.exe" /spath="%USERPROFILE%\AppData\Local\Temp\OnboardLogs" /stypes="app*4017*20170103*" /stext=" 02:.+((SYSTEM_STATE.+slice.+state.+changed )|(ment ac)|(multiple cpu faults)|(system.+state.+changed )|(\[timeout)|(PRM\|1\|D)|(kpr)|(kdp)|(\|lc)|(penalty))" /e /r /s</v>
      </c>
      <c r="AG198" s="1" t="str">
        <f t="shared" si="70"/>
        <v>NW</v>
      </c>
      <c r="AH198" s="88" t="str">
        <f t="shared" si="71"/>
        <v>"%USERPROFILE%\Documents\GitHub\eaglep3\Utilities\RefineRTDCRunTimes.py" --tripid 840-02 --locoid 4017 --swversion DE.1.0.8.0 --startMP 300:58615 --initTime 2017-01-02T19:37:03 --startdatetime 2017-01-02T19:38:59 --delay 1 --endMP 204:668 --enddatetime 2017-01-02T19:58:15 --enforcementcount 0 &gt;&gt;C:\Users\stu\Documents\GitHub\eaglep3-reporting\EC\2017-01-02-refined-times.txt</v>
      </c>
      <c r="AI198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{"issue":{"subject":"","project_id":79,"tracker_id":40,"status_id":1,"priority_id":2,"assigned_to_id":23,"start_date":"2017-01-02","description":"","custom_fields":[{"id":1,"name":"Subdivision","value":"NW"},{"id":4,"name":"Milepost","value":"0.0668"},{"id":17,"name":"Train ID","value":"840-02"},{"id":16,"name":"Locomotive ID","value":"4017"},{"id":130,"name":"Impact","value":""},{"id":150,"name":"Time of Event (Mountain Time)","value":"19:58:15"},{"id":151,"name":"Denver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73"/>
        <v>start /low /b %USERPROFILE%\Documents\GitHub\eaglep3\Utilities\DownloadLogsFromS3.py --loco 4017 --day 2017-01-02</v>
      </c>
    </row>
    <row r="199" spans="1:91" x14ac:dyDescent="0.25">
      <c r="A199" s="34" t="s">
        <v>629</v>
      </c>
      <c r="B199" s="7">
        <v>4018</v>
      </c>
      <c r="C199" s="22" t="s">
        <v>203</v>
      </c>
      <c r="D199" s="22" t="s">
        <v>788</v>
      </c>
      <c r="E199" s="13">
        <v>42737.799988425926</v>
      </c>
      <c r="F199" s="13">
        <v>42737.806435185186</v>
      </c>
      <c r="G199" s="7">
        <v>1</v>
      </c>
      <c r="H199" s="22" t="s">
        <v>329</v>
      </c>
      <c r="I199" s="13">
        <v>42737.816377314812</v>
      </c>
      <c r="J199" s="7">
        <v>0</v>
      </c>
      <c r="K199" s="105" t="str">
        <f t="shared" si="56"/>
        <v>4017/4018</v>
      </c>
      <c r="L199" s="22" t="str">
        <f>VLOOKUP(A199,'Trips&amp;Operators'!$C$1:$G$99999,5,FALSE)</f>
        <v>LEVIN SCOTT</v>
      </c>
      <c r="M199" s="6">
        <f t="shared" si="57"/>
        <v>9.9421296254149638E-3</v>
      </c>
      <c r="N199" s="7">
        <f t="shared" si="58"/>
        <v>14.316666660597548</v>
      </c>
      <c r="O199" s="7"/>
      <c r="P199" s="7"/>
      <c r="Q199" s="23"/>
      <c r="R199" s="23"/>
      <c r="S199" s="32">
        <f t="shared" si="59"/>
        <v>1</v>
      </c>
      <c r="T199" s="47" t="str">
        <f t="shared" si="60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18:11:59-700',mode:absolute,to:'2017-01-02 20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9" s="49" t="str">
        <f t="shared" si="62"/>
        <v>N</v>
      </c>
      <c r="X199" s="173">
        <f t="shared" si="63"/>
        <v>1</v>
      </c>
      <c r="Y199" s="64">
        <f t="shared" si="64"/>
        <v>9.6699999999999994E-2</v>
      </c>
      <c r="Z199" s="64">
        <f t="shared" si="65"/>
        <v>5.8929</v>
      </c>
      <c r="AA199" s="64">
        <f t="shared" si="66"/>
        <v>5.7961999999999998</v>
      </c>
      <c r="AB199" s="61" t="e">
        <f>VLOOKUP(A199,Enforcements!$C$7:$K$19,8,0)</f>
        <v>#N/A</v>
      </c>
      <c r="AC199" s="57" t="e">
        <f>VLOOKUP(A199,Enforcements!$C$7:$E$19,3,0)</f>
        <v>#N/A</v>
      </c>
      <c r="AD199" s="58" t="str">
        <f t="shared" si="67"/>
        <v>0841-02</v>
      </c>
      <c r="AE199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199" s="84" t="str">
        <f t="shared" si="69"/>
        <v>"C:\Program Files (x86)\AstroGrep\AstroGrep.exe" /spath="%USERPROFILE%\AppData\Local\Temp\OnboardLogs" /stypes="app*4018*20170103*" /stext=" 02:.+((SYSTEM_STATE.+slice.+state.+changed )|(ment ac)|(multiple cpu faults)|(system.+state.+changed )|(\[timeout)|(PRM\|1\|D)|(kpr)|(kdp)|(\|lc)|(penalty))" /e /r /s</v>
      </c>
      <c r="AG199" s="1" t="str">
        <f t="shared" si="70"/>
        <v>NW</v>
      </c>
      <c r="AH199" s="88" t="str">
        <f t="shared" si="71"/>
        <v>"%USERPROFILE%\Documents\GitHub\eaglep3\Utilities\RefineRTDCRunTimes.py" --tripid 841-02 --locoid 4018 --swversion DE.1.0.8.0 --startMP 204:967 --initTime 2017-01-02T19:11:59 --startdatetime 2017-01-02T19:21:16 --delay 1 --endMP 300:58929 --enddatetime 2017-01-02T19:35:35 --enforcementcount 0 &gt;&gt;C:\Users\stu\Documents\GitHub\eaglep3-reporting\EC\2017-01-02-refined-times.txt</v>
      </c>
      <c r="AI199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{"issue":{"subject":"","project_id":79,"tracker_id":40,"status_id":1,"priority_id":2,"assigned_to_id":23,"start_date":"2017-01-02","description":"","custom_fields":[{"id":1,"name":"Subdivision","value":"NW"},{"id":4,"name":"Milepost","value":"5.8929"},{"id":17,"name":"Train ID","value":"841-02"},{"id":16,"name":"Locomotive ID","value":"4018"},{"id":130,"name":"Impact","value":""},{"id":150,"name":"Time of Event (Mountain Time)","value":"19:35:35"},{"id":151,"name":"Denver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73"/>
        <v>start /low /b %USERPROFILE%\Documents\GitHub\eaglep3\Utilities\DownloadLogsFromS3.py --loco 4018 --day 2017-01-02</v>
      </c>
    </row>
    <row r="200" spans="1:91" x14ac:dyDescent="0.25">
      <c r="A200" s="34" t="s">
        <v>639</v>
      </c>
      <c r="B200" s="7">
        <v>4017</v>
      </c>
      <c r="C200" s="22" t="s">
        <v>203</v>
      </c>
      <c r="D200" s="22" t="s">
        <v>780</v>
      </c>
      <c r="E200" s="13">
        <v>42737.859039351853</v>
      </c>
      <c r="F200" s="13">
        <v>42737.860277777778</v>
      </c>
      <c r="G200" s="7">
        <v>0</v>
      </c>
      <c r="H200" s="22" t="s">
        <v>776</v>
      </c>
      <c r="I200" s="13">
        <v>42737.87226851852</v>
      </c>
      <c r="J200" s="7">
        <v>0</v>
      </c>
      <c r="K200" s="105" t="str">
        <f t="shared" si="56"/>
        <v>4017/4018</v>
      </c>
      <c r="L200" s="22" t="str">
        <f>VLOOKUP(A200,'Trips&amp;Operators'!$C$1:$G$99999,5,FALSE)</f>
        <v>LEVIN SCOTT</v>
      </c>
      <c r="M200" s="6">
        <f t="shared" si="57"/>
        <v>1.1990740742476191E-2</v>
      </c>
      <c r="N200" s="7">
        <f t="shared" si="58"/>
        <v>17.266666669165716</v>
      </c>
      <c r="O200" s="7"/>
      <c r="P200" s="7"/>
      <c r="Q200" s="23"/>
      <c r="R200" s="23"/>
      <c r="S200" s="32">
        <f t="shared" si="59"/>
        <v>1</v>
      </c>
      <c r="T200" s="47" t="str">
        <f t="shared" si="60"/>
        <v>Southbound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19:37:01-700',mode:absolute,to:'2017-01-02 21:56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0" s="49" t="str">
        <f t="shared" si="62"/>
        <v>N</v>
      </c>
      <c r="X200" s="173">
        <f t="shared" si="63"/>
        <v>1</v>
      </c>
      <c r="Y200" s="64">
        <f t="shared" si="64"/>
        <v>5.8613</v>
      </c>
      <c r="Z200" s="64">
        <f t="shared" si="65"/>
        <v>6.7699999999999996E-2</v>
      </c>
      <c r="AA200" s="64">
        <f t="shared" si="66"/>
        <v>5.7935999999999996</v>
      </c>
      <c r="AB200" s="61" t="e">
        <f>VLOOKUP(A200,Enforcements!$C$7:$K$19,8,0)</f>
        <v>#N/A</v>
      </c>
      <c r="AC200" s="57" t="e">
        <f>VLOOKUP(A200,Enforcements!$C$7:$E$19,3,0)</f>
        <v>#N/A</v>
      </c>
      <c r="AD200" s="58" t="str">
        <f t="shared" si="67"/>
        <v>0842-02</v>
      </c>
      <c r="AE200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200" s="84" t="str">
        <f t="shared" si="69"/>
        <v>"C:\Program Files (x86)\AstroGrep\AstroGrep.exe" /spath="%USERPROFILE%\AppData\Local\Temp\OnboardLogs" /stypes="app*4017*20170103*" /stext=" 03:.+((SYSTEM_STATE.+slice.+state.+changed )|(ment ac)|(multiple cpu faults)|(system.+state.+changed )|(\[timeout)|(PRM\|1\|D)|(kpr)|(kdp)|(\|lc)|(penalty))" /e /r /s</v>
      </c>
      <c r="AG200" s="1" t="str">
        <f t="shared" si="70"/>
        <v>NW</v>
      </c>
      <c r="AH200" s="88" t="str">
        <f t="shared" si="71"/>
        <v>"%USERPROFILE%\Documents\GitHub\eaglep3\Utilities\RefineRTDCRunTimes.py" --tripid 842-02 --locoid 4017 --swversion DE.1.0.8.0 --startMP 300:58613 --initTime 2017-01-02T20:37:01 --startdatetime 2017-01-02T20:38:48 --delay 0 --endMP 204:677 --enddatetime 2017-01-02T20:56:04 --enforcementcount 0 &gt;&gt;C:\Users\stu\Documents\GitHub\eaglep3-reporting\EC\2017-01-02-refined-times.txt</v>
      </c>
      <c r="AI200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{"issue":{"subject":"","project_id":79,"tracker_id":40,"status_id":1,"priority_id":2,"assigned_to_id":23,"start_date":"2017-01-02","description":"","custom_fields":[{"id":1,"name":"Subdivision","value":"NW"},{"id":4,"name":"Milepost","value":"0.0677"},{"id":17,"name":"Train ID","value":"842-02"},{"id":16,"name":"Locomotive ID","value":"4017"},{"id":130,"name":"Impact","value":""},{"id":150,"name":"Time of Event (Mountain Time)","value":"20:56:04"},{"id":151,"name":"Denver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73"/>
        <v>start /low /b %USERPROFILE%\Documents\GitHub\eaglep3\Utilities\DownloadLogsFromS3.py --loco 4017 --day 2017-01-02</v>
      </c>
    </row>
    <row r="201" spans="1:91" x14ac:dyDescent="0.25">
      <c r="A201" s="34" t="s">
        <v>636</v>
      </c>
      <c r="B201" s="7">
        <v>4018</v>
      </c>
      <c r="C201" s="22" t="s">
        <v>203</v>
      </c>
      <c r="D201" s="22" t="s">
        <v>795</v>
      </c>
      <c r="E201" s="13">
        <v>42737.842164351852</v>
      </c>
      <c r="F201" s="13">
        <v>42737.848124999997</v>
      </c>
      <c r="G201" s="7">
        <v>1</v>
      </c>
      <c r="H201" s="22" t="s">
        <v>372</v>
      </c>
      <c r="I201" s="13">
        <v>42737.857939814814</v>
      </c>
      <c r="J201" s="7">
        <v>0</v>
      </c>
      <c r="K201" s="105" t="str">
        <f t="shared" si="56"/>
        <v>4017/4018</v>
      </c>
      <c r="L201" s="22" t="str">
        <f>VLOOKUP(A201,'Trips&amp;Operators'!$C$1:$G$99999,5,FALSE)</f>
        <v>LEVIN SCOTT</v>
      </c>
      <c r="M201" s="6">
        <f t="shared" si="57"/>
        <v>9.8148148172185756E-3</v>
      </c>
      <c r="N201" s="7">
        <f t="shared" si="58"/>
        <v>14.133333336794749</v>
      </c>
      <c r="O201" s="7"/>
      <c r="P201" s="7"/>
      <c r="Q201" s="23"/>
      <c r="R201" s="23"/>
      <c r="S201" s="32">
        <f t="shared" si="59"/>
        <v>1</v>
      </c>
      <c r="T201" s="47" t="str">
        <f t="shared" si="60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19:12:43-700',mode:absolute,to:'2017-01-02 21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1" s="49" t="str">
        <f t="shared" si="62"/>
        <v>N</v>
      </c>
      <c r="X201" s="173">
        <f t="shared" si="63"/>
        <v>1</v>
      </c>
      <c r="Y201" s="64">
        <f t="shared" si="64"/>
        <v>9.69E-2</v>
      </c>
      <c r="Z201" s="64">
        <f t="shared" si="65"/>
        <v>5.8921999999999999</v>
      </c>
      <c r="AA201" s="64">
        <f t="shared" si="66"/>
        <v>5.7953000000000001</v>
      </c>
      <c r="AB201" s="61" t="e">
        <f>VLOOKUP(A201,Enforcements!$C$7:$K$19,8,0)</f>
        <v>#N/A</v>
      </c>
      <c r="AC201" s="57" t="e">
        <f>VLOOKUP(A201,Enforcements!$C$7:$E$19,3,0)</f>
        <v>#N/A</v>
      </c>
      <c r="AD201" s="58" t="str">
        <f t="shared" si="67"/>
        <v>0843-02</v>
      </c>
      <c r="AE201" s="87" t="str">
        <f t="shared" si="68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201" s="84" t="str">
        <f t="shared" si="69"/>
        <v>"C:\Program Files (x86)\AstroGrep\AstroGrep.exe" /spath="%USERPROFILE%\AppData\Local\Temp\OnboardLogs" /stypes="app*4018*20170103*" /stext=" 03:.+((SYSTEM_STATE.+slice.+state.+changed )|(ment ac)|(multiple cpu faults)|(system.+state.+changed )|(\[timeout)|(PRM\|1\|D)|(kpr)|(kdp)|(\|lc)|(penalty))" /e /r /s</v>
      </c>
      <c r="AG201" s="1" t="str">
        <f t="shared" si="70"/>
        <v>NW</v>
      </c>
      <c r="AH201" s="88" t="str">
        <f t="shared" si="71"/>
        <v>"%USERPROFILE%\Documents\GitHub\eaglep3\Utilities\RefineRTDCRunTimes.py" --tripid 843-02 --locoid 4018 --swversion DE.1.0.8.0 --startMP 204:969 --initTime 2017-01-02T20:12:43 --startdatetime 2017-01-02T20:21:18 --delay 1 --endMP 300:58922 --enddatetime 2017-01-02T20:35:26 --enforcementcount 0 &gt;&gt;C:\Users\stu\Documents\GitHub\eaglep3-reporting\EC\2017-01-02-refined-times.txt</v>
      </c>
      <c r="AI201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{"issue":{"subject":"","project_id":79,"tracker_id":40,"status_id":1,"priority_id":2,"assigned_to_id":23,"start_date":"2017-01-02","description":"","custom_fields":[{"id":1,"name":"Subdivision","value":"NW"},{"id":4,"name":"Milepost","value":"5.8922"},{"id":17,"name":"Train ID","value":"843-02"},{"id":16,"name":"Locomotive ID","value":"4018"},{"id":130,"name":"Impact","value":""},{"id":150,"name":"Time of Event (Mountain Time)","value":"20:35:26"},{"id":151,"name":"Denver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73"/>
        <v>start /low /b %USERPROFILE%\Documents\GitHub\eaglep3\Utilities\DownloadLogsFromS3.py --loco 4018 --day 2017-01-02</v>
      </c>
    </row>
    <row r="202" spans="1:91" x14ac:dyDescent="0.25">
      <c r="A202" s="34" t="s">
        <v>448</v>
      </c>
      <c r="B202" s="7">
        <v>4017</v>
      </c>
      <c r="C202" s="22" t="s">
        <v>203</v>
      </c>
      <c r="D202" s="22" t="s">
        <v>792</v>
      </c>
      <c r="E202" s="13">
        <v>42737.901504629626</v>
      </c>
      <c r="F202" s="13">
        <v>42737.903912037036</v>
      </c>
      <c r="G202" s="7">
        <v>2</v>
      </c>
      <c r="H202" s="22" t="s">
        <v>796</v>
      </c>
      <c r="I202" s="13">
        <v>42737.914178240739</v>
      </c>
      <c r="J202" s="7">
        <v>0</v>
      </c>
      <c r="K202" s="105" t="str">
        <f t="shared" si="56"/>
        <v>4017/4018</v>
      </c>
      <c r="L202" s="22" t="str">
        <f>VLOOKUP(A202,'Trips&amp;Operators'!$C$1:$G$99999,5,FALSE)</f>
        <v>NEWELL JAMES</v>
      </c>
      <c r="M202" s="6">
        <f t="shared" si="57"/>
        <v>1.0266203702485655E-2</v>
      </c>
      <c r="N202" s="7">
        <f t="shared" si="58"/>
        <v>14.783333331579342</v>
      </c>
      <c r="O202" s="7"/>
      <c r="P202" s="7"/>
      <c r="Q202" s="23"/>
      <c r="R202" s="23"/>
      <c r="S202" s="32">
        <f t="shared" si="59"/>
        <v>1</v>
      </c>
      <c r="T202" s="47" t="str">
        <f t="shared" si="60"/>
        <v>Southbound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61"/>
        <v>https://search-rtdc-monitor-bjffxe2xuh6vdkpspy63sjmuny.us-east-1.es.amazonaws.com/_plugin/kibana/#/discover/Steve-Slow-Train-Analysis-(2080s-and-2083s)?_g=(refreshInterval:(display:Off,section:0,value:0),time:(from:'2017-01-02 20:38:10-700',mode:absolute,to:'2017-01-02 22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2" s="49" t="str">
        <f t="shared" si="62"/>
        <v>N</v>
      </c>
      <c r="X202" s="173">
        <f t="shared" si="63"/>
        <v>1</v>
      </c>
      <c r="Y202" s="64">
        <f t="shared" si="64"/>
        <v>5.8604000000000003</v>
      </c>
      <c r="Z202" s="64">
        <f t="shared" si="65"/>
        <v>7.9699999999999993E-2</v>
      </c>
      <c r="AA202" s="64">
        <f t="shared" si="66"/>
        <v>5.7807000000000004</v>
      </c>
      <c r="AB202" s="61" t="e">
        <f>VLOOKUP(A202,Enforcements!$C$7:$K$19,8,0)</f>
        <v>#N/A</v>
      </c>
      <c r="AC202" s="57" t="e">
        <f>VLOOKUP(A202,Enforcements!$C$7:$E$19,3,0)</f>
        <v>#N/A</v>
      </c>
      <c r="AD202" s="58" t="str">
        <f t="shared" si="67"/>
        <v>0844-02</v>
      </c>
      <c r="AE202" s="87" t="str">
        <f t="shared" si="68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202" s="84" t="str">
        <f t="shared" si="69"/>
        <v>"C:\Program Files (x86)\AstroGrep\AstroGrep.exe" /spath="%USERPROFILE%\AppData\Local\Temp\OnboardLogs" /stypes="app*4017*20170103*" /stext=" 04:.+((SYSTEM_STATE.+slice.+state.+changed )|(ment ac)|(multiple cpu faults)|(system.+state.+changed )|(\[timeout)|(PRM\|1\|D)|(kpr)|(kdp)|(\|lc)|(penalty))" /e /r /s</v>
      </c>
      <c r="AG202" s="1" t="str">
        <f t="shared" si="70"/>
        <v>NW</v>
      </c>
      <c r="AH202" s="88" t="str">
        <f t="shared" si="71"/>
        <v>"%USERPROFILE%\Documents\GitHub\eaglep3\Utilities\RefineRTDCRunTimes.py" --tripid 844-02 --locoid 4017 --swversion DE.1.0.8.0 --startMP 300:58604 --initTime 2017-01-02T21:38:10 --startdatetime 2017-01-02T21:41:38 --delay 2 --endMP 204:797 --enddatetime 2017-01-02T21:56:25 --enforcementcount 0 &gt;&gt;C:\Users\stu\Documents\GitHub\eaglep3-reporting\EC\2017-01-02-refined-times.txt</v>
      </c>
      <c r="AI202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{"issue":{"subject":"","project_id":79,"tracker_id":40,"status_id":1,"priority_id":2,"assigned_to_id":23,"start_date":"2017-01-02","description":"","custom_fields":[{"id":1,"name":"Subdivision","value":"NW"},{"id":4,"name":"Milepost","value":"0.0797"},{"id":17,"name":"Train ID","value":"844-02"},{"id":16,"name":"Locomotive ID","value":"4017"},{"id":130,"name":"Impact","value":""},{"id":150,"name":"Time of Event (Mountain Time)","value":"21:56:25"},{"id":151,"name":"Denver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73"/>
        <v>start /low /b %USERPROFILE%\Documents\GitHub\eaglep3\Utilities\DownloadLogsFromS3.py --loco 4017 --day 2017-01-02</v>
      </c>
    </row>
    <row r="203" spans="1:91" x14ac:dyDescent="0.25">
      <c r="A203" s="34" t="s">
        <v>642</v>
      </c>
      <c r="B203" s="7">
        <v>4018</v>
      </c>
      <c r="C203" s="22" t="s">
        <v>203</v>
      </c>
      <c r="D203" s="22" t="s">
        <v>768</v>
      </c>
      <c r="E203" s="13">
        <v>42737.876608796294</v>
      </c>
      <c r="F203" s="13">
        <v>42737.889907407407</v>
      </c>
      <c r="G203" s="7">
        <v>1</v>
      </c>
      <c r="H203" s="22" t="s">
        <v>797</v>
      </c>
      <c r="I203" s="13">
        <v>42737.90042824074</v>
      </c>
      <c r="J203" s="7">
        <v>0</v>
      </c>
      <c r="K203" s="105" t="str">
        <f t="shared" ref="K203:K228" si="74">IF(ISEVEN(B203),(B203-1)&amp;"/"&amp;B203,B203&amp;"/"&amp;(B203+1))</f>
        <v>4017/4018</v>
      </c>
      <c r="L203" s="22" t="str">
        <f>VLOOKUP(A203,'Trips&amp;Operators'!$C$1:$G$99999,5,FALSE)</f>
        <v>NEWELL JAMES</v>
      </c>
      <c r="M203" s="6">
        <f t="shared" ref="M203:M228" si="75">I203-F203</f>
        <v>1.0520833333430346E-2</v>
      </c>
      <c r="N203" s="7">
        <f t="shared" ref="N203:N228" si="76">24*60*SUM($M203:$M203)</f>
        <v>15.150000000139698</v>
      </c>
      <c r="O203" s="7"/>
      <c r="P203" s="7"/>
      <c r="Q203" s="23"/>
      <c r="R203" s="23"/>
      <c r="S203" s="32">
        <f t="shared" ref="S203:S228" si="77">SUM(U203:U203)/IF(AG203="EC",12,1)</f>
        <v>1</v>
      </c>
      <c r="T203" s="47" t="str">
        <f t="shared" ref="T203:T228" si="78">IF(ISEVEN(LEFT(AD203,4)),"Southbound","NorthBound")</f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4" t="str">
        <f t="shared" ref="V203:V228" si="79">"https://search-rtdc-monitor-bjffxe2xuh6vdkpspy63sjmuny.us-east-1.es.amazonaws.com/_plugin/kibana/#/discover/Steve-Slow-Train-Analysis-(2080s-and-2083s)?_g=(refreshInterval:(display:Off,section:0,value:0),time:(from:'"&amp;TEXT(E203-1/24,"yyyy-MM-DD hh:mm:ss")&amp;utc_offset&amp;"00',mode:absolute,to:'"&amp;TEXT(I203+1/24,"yyyy-MM-DD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https://search-rtdc-monitor-bjffxe2xuh6vdkpspy63sjmuny.us-east-1.es.amazonaws.com/_plugin/kibana/#/discover/Steve-Slow-Train-Analysis-(2080s-and-2083s)?_g=(refreshInterval:(display:Off,section:0,value:0),time:(from:'2017-01-02 20:02:19-700',mode:absolute,to:'2017-01-02 22:36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3" s="49" t="str">
        <f t="shared" ref="W203:W228" si="80">IF(AA203&lt;IF(AG203="EC",23,5.65),"Y","N")</f>
        <v>N</v>
      </c>
      <c r="X203" s="173">
        <f t="shared" ref="X203:X228" si="81">VALUE(LEFT(AD203,4))-VALUE(LEFT(AD202,4))</f>
        <v>1</v>
      </c>
      <c r="Y203" s="64">
        <f t="shared" ref="Y203:Y228" si="82">RIGHT(D203,LEN(D203)-4)/10000</f>
        <v>9.6000000000000002E-2</v>
      </c>
      <c r="Z203" s="64">
        <f t="shared" ref="Z203:Z228" si="83">RIGHT(H203,LEN(H203)-4)/10000</f>
        <v>5.8916000000000004</v>
      </c>
      <c r="AA203" s="64">
        <f t="shared" ref="AA203:AA228" si="84">ABS(Z203-Y203)</f>
        <v>5.7956000000000003</v>
      </c>
      <c r="AB203" s="61" t="e">
        <f>VLOOKUP(A203,Enforcements!$C$7:$K$19,8,0)</f>
        <v>#N/A</v>
      </c>
      <c r="AC203" s="57" t="e">
        <f>VLOOKUP(A203,Enforcements!$C$7:$E$19,3,0)</f>
        <v>#N/A</v>
      </c>
      <c r="AD203" s="58" t="str">
        <f t="shared" ref="AD203:AD228" si="85">IF(LEN(A203)=6,"0"&amp;A203,A203)</f>
        <v>0845-02</v>
      </c>
      <c r="AE203" s="87" t="str">
        <f t="shared" ref="AE203:AE228" si="86"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203" s="84" t="str">
        <f t="shared" ref="AF203:AF228" si="87"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/stypes="app*4018*20170103*" /stext=" 04:.+((SYSTEM_STATE.+slice.+state.+changed )|(ment ac)|(multiple cpu faults)|(system.+state.+changed )|(\[timeout)|(PRM\|1\|D)|(kpr)|(kdp)|(\|lc)|(penalty))" /e /r /s</v>
      </c>
      <c r="AG203" s="1" t="str">
        <f t="shared" ref="AG203:AG228" si="88">IFERROR(IF(VALUE(LEFT(AD203,2))&lt;=2,"EC",IF(OR(VALUE(LEFT(AD203,2))=8,VALUE(LEFT(AD203,2))=18),"NW","Other")),"Other")</f>
        <v>NW</v>
      </c>
      <c r="AH203" s="88" t="str">
        <f t="shared" si="71"/>
        <v>"%USERPROFILE%\Documents\GitHub\eaglep3\Utilities\RefineRTDCRunTimes.py" --tripid 845-02 --locoid 4018 --swversion DE.1.0.8.0 --startMP 204:960 --initTime 2017-01-02T21:02:19 --startdatetime 2017-01-02T21:21:28 --delay 1 --endMP 300:58916 --enddatetime 2017-01-02T21:36:37 --enforcementcount 0 &gt;&gt;C:\Users\stu\Documents\GitHub\eaglep3-reporting\EC\2017-01-02-refined-times.txt</v>
      </c>
      <c r="AI203" s="115" t="str">
        <f t="shared" si="72"/>
        <v>echo {"issue":{"subject":"","project_id":79,"tracker_id":40,"status_id":1,"priority_id":2,"assigned_to_id":23,"start_date":"2017-01-02","description":"","custom_fields":[{"id":1,"name":"Subdivision","value":"NW"},{"id":4,"name":"Milepost","value":"5.8916"},{"id":17,"name":"Train ID","value":"845-02"},{"id":16,"name":"Locomotive ID","value":"4018"},{"id":130,"name":"Impact","value":""},{"id":150,"name":"Time of Event (Mountain Time)","value":"21:36:37"},{"id":151,"name":"Denver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73"/>
        <v>start /low /b %USERPROFILE%\Documents\GitHub\eaglep3\Utilities\DownloadLogsFromS3.py --loco 4018 --day 2017-01-02</v>
      </c>
    </row>
    <row r="204" spans="1:91" x14ac:dyDescent="0.25">
      <c r="A204" s="34" t="s">
        <v>647</v>
      </c>
      <c r="B204" s="7">
        <v>4018</v>
      </c>
      <c r="C204" s="22" t="s">
        <v>203</v>
      </c>
      <c r="D204" s="22" t="s">
        <v>798</v>
      </c>
      <c r="E204" s="13">
        <v>42737.916504629633</v>
      </c>
      <c r="F204" s="13">
        <v>42737.931446759256</v>
      </c>
      <c r="G204" s="7">
        <v>1</v>
      </c>
      <c r="H204" s="22" t="s">
        <v>372</v>
      </c>
      <c r="I204" s="13">
        <v>42737.94195601852</v>
      </c>
      <c r="J204" s="7">
        <v>0</v>
      </c>
      <c r="K204" s="105" t="str">
        <f t="shared" si="74"/>
        <v>4017/4018</v>
      </c>
      <c r="L204" s="22" t="str">
        <f>VLOOKUP(A204,'Trips&amp;Operators'!$C$1:$G$99999,5,FALSE)</f>
        <v>NEWELL JAMES</v>
      </c>
      <c r="M204" s="6">
        <f t="shared" si="75"/>
        <v>1.0509259263926651E-2</v>
      </c>
      <c r="N204" s="7">
        <f t="shared" si="76"/>
        <v>15.133333340054378</v>
      </c>
      <c r="O204" s="7"/>
      <c r="P204" s="7"/>
      <c r="Q204" s="23"/>
      <c r="R204" s="23"/>
      <c r="S204" s="32">
        <f t="shared" si="77"/>
        <v>1</v>
      </c>
      <c r="T204" s="47" t="str">
        <f t="shared" si="78"/>
        <v>NorthBound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20:59:46-700',mode:absolute,to:'2017-01-02 23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4" s="49" t="str">
        <f t="shared" si="80"/>
        <v>N</v>
      </c>
      <c r="X204" s="173">
        <f t="shared" si="81"/>
        <v>2</v>
      </c>
      <c r="Y204" s="64">
        <f t="shared" si="82"/>
        <v>0.1111</v>
      </c>
      <c r="Z204" s="64">
        <f t="shared" si="83"/>
        <v>5.8921999999999999</v>
      </c>
      <c r="AA204" s="64">
        <f t="shared" si="84"/>
        <v>5.7810999999999995</v>
      </c>
      <c r="AB204" s="61" t="e">
        <f>VLOOKUP(A204,Enforcements!$C$7:$K$19,8,0)</f>
        <v>#N/A</v>
      </c>
      <c r="AC204" s="57" t="e">
        <f>VLOOKUP(A204,Enforcements!$C$7:$E$19,3,0)</f>
        <v>#N/A</v>
      </c>
      <c r="AD204" s="58" t="str">
        <f t="shared" si="85"/>
        <v>0847-02</v>
      </c>
      <c r="AE204" s="87" t="str">
        <f t="shared" si="86"/>
        <v>aws s3 cp s3://rtdc.mdm.uploadarchive.raw/RTDC4018/ "%USERPROFILE%\AppData\Local\Temp\OnboardLogs"\RTDC4018\2017-01-02 --exclude "*" --recursive --include "*20170102*" &amp; "%USERPROFILE%\Documents\GitHub\mrs-test-scripts\Headless Mode &amp; Sideloading\WalkAndUnGZ.bat" "%USERPROFILE%\AppData\Local\Temp\OnboardLogs"\RTDC4018\2017-01-02 &amp; aws s3 cp s3://rtdc.mdm.uploadarchive.raw/RTDC4018/ "%USERPROFILE%\AppData\Local\Temp\OnboardLogs"\RTDC4018\2017-01-03 --exclude "*" --recursive --include "*20170103*" &amp; "%USERPROFILE%\Documents\GitHub\mrs-test-scripts\Headless Mode &amp; Sideloading\WalkAndUnGZ.bat" "%USERPROFILE%\AppData\Local\Temp\OnboardLogs"\RTDC4018\2017-01-03</v>
      </c>
      <c r="AF204" s="84" t="str">
        <f t="shared" si="87"/>
        <v>"C:\Program Files (x86)\AstroGrep\AstroGrep.exe" /spath="%USERPROFILE%\AppData\Local\Temp\OnboardLogs" /stypes="app*4018*20170103*" /stext=" 05:.+((SYSTEM_STATE.+slice.+state.+changed )|(ment ac)|(multiple cpu faults)|(system.+state.+changed )|(\[timeout)|(PRM\|1\|D)|(kpr)|(kdp)|(\|lc)|(penalty))" /e /r /s</v>
      </c>
      <c r="AG204" s="1" t="str">
        <f t="shared" si="88"/>
        <v>NW</v>
      </c>
      <c r="AH204" s="88" t="str">
        <f t="shared" ref="AH204:AH228" si="8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847-02 --locoid 4018 --swversion DE.1.0.8.0 --startMP 204:1111 --initTime 2017-01-02T21:59:46 --startdatetime 2017-01-02T22:21:17 --delay 1 --endMP 300:58922 --enddatetime 2017-01-02T22:36:25 --enforcementcount 0 &gt;&gt;C:\Users\stu\Documents\GitHub\eaglep3-reporting\EC\2017-01-02-refined-times.txt</v>
      </c>
      <c r="AI204" s="115" t="str">
        <f t="shared" ref="AI204:AI228" si="9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{"issue":{"subject":"","project_id":79,"tracker_id":40,"status_id":1,"priority_id":2,"assigned_to_id":23,"start_date":"2017-01-02","description":"","custom_fields":[{"id":1,"name":"Subdivision","value":"NW"},{"id":4,"name":"Milepost","value":"5.8922"},{"id":17,"name":"Train ID","value":"847-02"},{"id":16,"name":"Locomotive ID","value":"4018"},{"id":130,"name":"Impact","value":""},{"id":150,"name":"Time of Event (Mountain Time)","value":"22:36:25"},{"id":151,"name":"Denver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ref="AM204:AM228" si="91">"start /low /b "&amp;dls3logs&amp;" --loco "&amp;B204&amp;" --day "&amp;TEXT(F204,"YYYY-MM-DD")</f>
        <v>start /low /b %USERPROFILE%\Documents\GitHub\eaglep3\Utilities\DownloadLogsFromS3.py --loco 4018 --day 2017-01-02</v>
      </c>
    </row>
    <row r="205" spans="1:91" x14ac:dyDescent="0.25">
      <c r="A205" s="34" t="s">
        <v>450</v>
      </c>
      <c r="B205" s="7">
        <v>4032</v>
      </c>
      <c r="C205" s="22" t="s">
        <v>203</v>
      </c>
      <c r="D205" s="22" t="s">
        <v>721</v>
      </c>
      <c r="E205" s="13">
        <v>42737.113645833335</v>
      </c>
      <c r="F205" s="13">
        <v>42737.115937499999</v>
      </c>
      <c r="G205" s="7">
        <v>2</v>
      </c>
      <c r="H205" s="22" t="s">
        <v>230</v>
      </c>
      <c r="I205" s="13">
        <v>42737.122349537036</v>
      </c>
      <c r="J205" s="7">
        <v>0</v>
      </c>
      <c r="K205" s="105" t="str">
        <f t="shared" si="74"/>
        <v>4031/4032</v>
      </c>
      <c r="L205" s="22" t="str">
        <f>VLOOKUP(A205,'Trips&amp;Operators'!$C$1:$G$99999,5,FALSE)</f>
        <v>OUN ZACK</v>
      </c>
      <c r="M205" s="6">
        <f t="shared" si="75"/>
        <v>6.4120370370801538E-3</v>
      </c>
      <c r="N205" s="7">
        <f t="shared" si="76"/>
        <v>9.2333333333954215</v>
      </c>
      <c r="O205" s="7"/>
      <c r="P205" s="7"/>
      <c r="Q205" s="23"/>
      <c r="R205" s="23"/>
      <c r="S205" s="32">
        <f t="shared" si="77"/>
        <v>1</v>
      </c>
      <c r="T205" s="47" t="str">
        <f t="shared" si="78"/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01:43:39-700',mode:absolute,to:'2017-01-02 03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05" s="49" t="str">
        <f t="shared" si="80"/>
        <v>Y</v>
      </c>
      <c r="X205" s="173">
        <f t="shared" si="81"/>
        <v>-545</v>
      </c>
      <c r="Y205" s="64">
        <f t="shared" si="82"/>
        <v>2.3109999999999999</v>
      </c>
      <c r="Z205" s="64">
        <f t="shared" si="83"/>
        <v>1.4500000000000001E-2</v>
      </c>
      <c r="AA205" s="64">
        <f t="shared" si="84"/>
        <v>2.2965</v>
      </c>
      <c r="AB205" s="61" t="e">
        <f>VLOOKUP(A205,Enforcements!$C$7:$K$19,8,0)</f>
        <v>#N/A</v>
      </c>
      <c r="AC205" s="57" t="e">
        <f>VLOOKUP(A205,Enforcements!$C$7:$E$19,3,0)</f>
        <v>#N/A</v>
      </c>
      <c r="AD205" s="58" t="str">
        <f t="shared" si="85"/>
        <v>0302-02</v>
      </c>
      <c r="AE205" s="87" t="str">
        <f t="shared" si="86"/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AF205" s="84" t="str">
        <f t="shared" si="87"/>
        <v>"C:\Program Files (x86)\AstroGrep\AstroGrep.exe" /spath="%USERPROFILE%\AppData\Local\Temp\OnboardLogs" /stypes="app*4032*20170102*" /stext=" 09:.+((SYSTEM_STATE.+slice.+state.+changed )|(ment ac)|(multiple cpu faults)|(system.+state.+changed )|(\[timeout)|(PRM\|1\|D)|(kpr)|(kdp)|(\|lc)|(penalty))" /e /r /s</v>
      </c>
      <c r="AG205" s="1" t="str">
        <f t="shared" si="88"/>
        <v>Other</v>
      </c>
      <c r="AH205" s="88" t="str">
        <f t="shared" si="89"/>
        <v>"%USERPROFILE%\Documents\GitHub\eaglep3\Utilities\RefineRTDCRunTimes.py" --tripid 302-02 --locoid 4032 --swversion DE.1.0.8.0 --startMP 300:23110 --initTime 2017-01-02T02:43:39 --startdatetime 2017-01-02T02:46:57 --delay 2 --endMP 204:145 --enddatetime 2017-01-02T02:56:11 --enforcementcount 0 &gt;&gt;C:\Users\stu\Documents\GitHub\eaglep3-reporting\EC\2017-01-02-refined-times.txt</v>
      </c>
      <c r="AI205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{"issue":{"subject":"","project_id":79,"tracker_id":40,"status_id":1,"priority_id":2,"assigned_to_id":23,"start_date":"2017-01-02","description":"","custom_fields":[{"id":1,"name":"Subdivision","value":"Other"},{"id":4,"name":"Milepost","value":"0.0145"},{"id":17,"name":"Train ID","value":"302-02"},{"id":16,"name":"Locomotive ID","value":"4032"},{"id":130,"name":"Impact","value":""},{"id":150,"name":"Time of Event (Mountain Time)","value":"02:56:11"},{"id":151,"name":"Denver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si="91"/>
        <v>start /low /b %USERPROFILE%\Documents\GitHub\eaglep3\Utilities\DownloadLogsFromS3.py --loco 4032 --day 2017-01-02</v>
      </c>
    </row>
    <row r="206" spans="1:91" x14ac:dyDescent="0.25">
      <c r="A206" s="34" t="s">
        <v>452</v>
      </c>
      <c r="B206" s="7">
        <v>4019</v>
      </c>
      <c r="C206" s="22" t="s">
        <v>203</v>
      </c>
      <c r="D206" s="22" t="s">
        <v>722</v>
      </c>
      <c r="E206" s="13">
        <v>42737.143946759257</v>
      </c>
      <c r="F206" s="13">
        <v>42737.145451388889</v>
      </c>
      <c r="G206" s="7">
        <v>1</v>
      </c>
      <c r="H206" s="22" t="s">
        <v>192</v>
      </c>
      <c r="I206" s="13">
        <v>42737.150717592594</v>
      </c>
      <c r="J206" s="7">
        <v>0</v>
      </c>
      <c r="K206" s="105" t="str">
        <f t="shared" si="74"/>
        <v>4019/4020</v>
      </c>
      <c r="L206" s="22" t="str">
        <f>VLOOKUP(A206,'Trips&amp;Operators'!$C$1:$G$99999,5,FALSE)</f>
        <v>MAELZER KURT</v>
      </c>
      <c r="M206" s="6">
        <f t="shared" si="75"/>
        <v>5.2662037051049992E-3</v>
      </c>
      <c r="N206" s="7">
        <f t="shared" si="76"/>
        <v>7.5833333353511989</v>
      </c>
      <c r="O206" s="7"/>
      <c r="P206" s="7"/>
      <c r="Q206" s="23"/>
      <c r="R206" s="23"/>
      <c r="S206" s="32">
        <f t="shared" si="77"/>
        <v>1</v>
      </c>
      <c r="T206" s="47" t="str">
        <f t="shared" si="78"/>
        <v>Southbound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02:27:17-700',mode:absolute,to:'2017-01-02 04:37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6" s="49" t="str">
        <f t="shared" si="80"/>
        <v>Y</v>
      </c>
      <c r="X206" s="173">
        <f t="shared" si="81"/>
        <v>2</v>
      </c>
      <c r="Y206" s="64">
        <f t="shared" si="82"/>
        <v>1.9173</v>
      </c>
      <c r="Z206" s="64">
        <f t="shared" si="83"/>
        <v>1.43E-2</v>
      </c>
      <c r="AA206" s="64">
        <f t="shared" si="84"/>
        <v>1.903</v>
      </c>
      <c r="AB206" s="61" t="e">
        <f>VLOOKUP(A206,Enforcements!$C$7:$K$19,8,0)</f>
        <v>#N/A</v>
      </c>
      <c r="AC206" s="57" t="e">
        <f>VLOOKUP(A206,Enforcements!$C$7:$E$19,3,0)</f>
        <v>#N/A</v>
      </c>
      <c r="AD206" s="58" t="str">
        <f t="shared" si="85"/>
        <v>0304-02</v>
      </c>
      <c r="AE206" s="87" t="str">
        <f t="shared" si="86"/>
        <v>aws s3 cp s3://rtdc.mdm.uploadarchive.raw/RTDC4019/ "%USERPROFILE%\AppData\Local\Temp\OnboardLogs"\RTDC4019\2017-01-02 --exclude "*" --recursive --include "*20170102*" &amp; "%USERPROFILE%\Documents\GitHub\mrs-test-scripts\Headless Mode &amp; Sideloading\WalkAndUnGZ.bat" "%USERPROFILE%\AppData\Local\Temp\OnboardLogs"\RTDC4019\2017-01-02 &amp; aws s3 cp s3://rtdc.mdm.uploadarchive.raw/RTDC4019/ "%USERPROFILE%\AppData\Local\Temp\OnboardLogs"\RTDC4019\2017-01-03 --exclude "*" --recursive --include "*20170103*" &amp; "%USERPROFILE%\Documents\GitHub\mrs-test-scripts\Headless Mode &amp; Sideloading\WalkAndUnGZ.bat" "%USERPROFILE%\AppData\Local\Temp\OnboardLogs"\RTDC4019\2017-01-03</v>
      </c>
      <c r="AF206" s="84" t="str">
        <f t="shared" si="87"/>
        <v>"C:\Program Files (x86)\AstroGrep\AstroGrep.exe" /spath="%USERPROFILE%\AppData\Local\Temp\OnboardLogs" /stypes="app*4019*20170102*" /stext=" 10:.+((SYSTEM_STATE.+slice.+state.+changed )|(ment ac)|(multiple cpu faults)|(system.+state.+changed )|(\[timeout)|(PRM\|1\|D)|(kpr)|(kdp)|(\|lc)|(penalty))" /e /r /s</v>
      </c>
      <c r="AG206" s="1" t="str">
        <f t="shared" si="88"/>
        <v>Other</v>
      </c>
      <c r="AH206" s="88" t="str">
        <f t="shared" si="89"/>
        <v>"%USERPROFILE%\Documents\GitHub\eaglep3\Utilities\RefineRTDCRunTimes.py" --tripid 304-02 --locoid 4019 --swversion DE.1.0.8.0 --startMP 300:19173 --initTime 2017-01-02T03:27:17 --startdatetime 2017-01-02T03:29:27 --delay 1 --endMP 204:143 --enddatetime 2017-01-02T03:37:02 --enforcementcount 0 &gt;&gt;C:\Users\stu\Documents\GitHub\eaglep3-reporting\EC\2017-01-02-refined-times.txt</v>
      </c>
      <c r="AI206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{"issue":{"subject":"","project_id":79,"tracker_id":40,"status_id":1,"priority_id":2,"assigned_to_id":23,"start_date":"2017-01-02","description":"","custom_fields":[{"id":1,"name":"Subdivision","value":"Other"},{"id":4,"name":"Milepost","value":"0.0143"},{"id":17,"name":"Train ID","value":"304-02"},{"id":16,"name":"Locomotive ID","value":"4019"},{"id":130,"name":"Impact","value":""},{"id":150,"name":"Time of Event (Mountain Time)","value":"03:37:02"},{"id":151,"name":"Denver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91"/>
        <v>start /low /b %USERPROFILE%\Documents\GitHub\eaglep3\Utilities\DownloadLogsFromS3.py --loco 4019 --day 2017-01-02</v>
      </c>
    </row>
    <row r="207" spans="1:91" x14ac:dyDescent="0.25">
      <c r="A207" s="34" t="s">
        <v>628</v>
      </c>
      <c r="B207" s="7">
        <v>4031</v>
      </c>
      <c r="C207" s="22" t="s">
        <v>203</v>
      </c>
      <c r="D207" s="22" t="s">
        <v>227</v>
      </c>
      <c r="E207" s="13">
        <v>42737.797824074078</v>
      </c>
      <c r="F207" s="13">
        <v>25568.708333333332</v>
      </c>
      <c r="G207" s="7">
        <v>1</v>
      </c>
      <c r="H207" s="22" t="s">
        <v>425</v>
      </c>
      <c r="I207" s="13">
        <v>25568.708333333332</v>
      </c>
      <c r="J207" s="7">
        <v>0</v>
      </c>
      <c r="K207" s="105" t="str">
        <f t="shared" si="74"/>
        <v>4031/4032</v>
      </c>
      <c r="L207" s="22" t="str">
        <f>VLOOKUP(A207,'Trips&amp;Operators'!$C$1:$G$99999,5,FALSE)</f>
        <v>CRAYTON QUNTRELL</v>
      </c>
      <c r="M207" s="6">
        <f t="shared" si="75"/>
        <v>0</v>
      </c>
      <c r="N207" s="7">
        <f t="shared" si="76"/>
        <v>0</v>
      </c>
      <c r="O207" s="7"/>
      <c r="P207" s="7"/>
      <c r="Q207" s="23"/>
      <c r="R207" s="23"/>
      <c r="S207" s="32">
        <f t="shared" si="77"/>
        <v>1</v>
      </c>
      <c r="T207" s="47" t="str">
        <f t="shared" si="78"/>
        <v>NorthBound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18:08:52-700',mode:absolute,to:'1969-12-31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07" s="49" t="str">
        <f t="shared" si="80"/>
        <v>Y</v>
      </c>
      <c r="X207" s="173">
        <f t="shared" si="81"/>
        <v>1</v>
      </c>
      <c r="Y207" s="64">
        <f t="shared" si="82"/>
        <v>4.5999999999999999E-2</v>
      </c>
      <c r="Z207" s="64">
        <f t="shared" si="83"/>
        <v>2.3308</v>
      </c>
      <c r="AA207" s="64">
        <f t="shared" si="84"/>
        <v>2.2848000000000002</v>
      </c>
      <c r="AB207" s="61" t="e">
        <f>VLOOKUP(A207,Enforcements!$C$7:$K$19,8,0)</f>
        <v>#N/A</v>
      </c>
      <c r="AC207" s="57" t="e">
        <f>VLOOKUP(A207,Enforcements!$C$7:$E$19,3,0)</f>
        <v>#N/A</v>
      </c>
      <c r="AD207" s="58" t="str">
        <f t="shared" si="85"/>
        <v>0305-02</v>
      </c>
      <c r="AE207" s="87" t="str">
        <f t="shared" si="86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07" s="84" t="str">
        <f t="shared" si="87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07" s="1" t="str">
        <f t="shared" si="88"/>
        <v>Other</v>
      </c>
      <c r="AH207" s="88" t="str">
        <f t="shared" si="89"/>
        <v>"%USERPROFILE%\Documents\GitHub\eaglep3\Utilities\RefineRTDCRunTimes.py" --tripid 305-02 --locoid 4031 --swversion DE.1.0.8.0 --startMP 204:460 --initTime 2017-01-02T19:08:52 --startdatetime 1969-12-31T17:00:00 --delay 1 --endMP 300:23308 --enddatetime 1969-12-31T17:00:00 --enforcementcount 0 &gt;&gt;C:\Users\stu\Documents\GitHub\eaglep3-reporting\EC\2017-01-02-refined-times.txt</v>
      </c>
      <c r="AI207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ID","value":"305-02"},{"id":16,"name":"Locomotive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91"/>
        <v>start /low /b %USERPROFILE%\Documents\GitHub\eaglep3\Utilities\DownloadLogsFromS3.py --loco 4031 --day 1969-12-31</v>
      </c>
    </row>
    <row r="208" spans="1:91" x14ac:dyDescent="0.25">
      <c r="A208" s="34" t="s">
        <v>454</v>
      </c>
      <c r="B208" s="7">
        <v>4045</v>
      </c>
      <c r="C208" s="22" t="s">
        <v>203</v>
      </c>
      <c r="D208" s="22" t="s">
        <v>723</v>
      </c>
      <c r="E208" s="13">
        <v>42737.160543981481</v>
      </c>
      <c r="F208" s="13">
        <v>42737.161886574075</v>
      </c>
      <c r="G208" s="7">
        <v>1</v>
      </c>
      <c r="H208" s="22" t="s">
        <v>724</v>
      </c>
      <c r="I208" s="13">
        <v>42737.16815972222</v>
      </c>
      <c r="J208" s="7">
        <v>0</v>
      </c>
      <c r="K208" s="105" t="str">
        <f t="shared" si="74"/>
        <v>4045/4046</v>
      </c>
      <c r="L208" s="22" t="str">
        <f>VLOOKUP(A208,'Trips&amp;Operators'!$C$1:$G$99999,5,FALSE)</f>
        <v>ACKERMAN JARED</v>
      </c>
      <c r="M208" s="6">
        <f t="shared" si="75"/>
        <v>6.2731481448281556E-3</v>
      </c>
      <c r="N208" s="7">
        <f t="shared" si="76"/>
        <v>9.0333333285525441</v>
      </c>
      <c r="O208" s="7"/>
      <c r="P208" s="7"/>
      <c r="Q208" s="23"/>
      <c r="R208" s="23"/>
      <c r="S208" s="32">
        <f t="shared" si="77"/>
        <v>1</v>
      </c>
      <c r="T208" s="47" t="str">
        <f t="shared" si="78"/>
        <v>Southbound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02:51:11-700',mode:absolute,to:'2017-01-02 05:02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8" s="49" t="str">
        <f t="shared" si="80"/>
        <v>Y</v>
      </c>
      <c r="X208" s="173">
        <f t="shared" si="81"/>
        <v>1</v>
      </c>
      <c r="Y208" s="64">
        <f t="shared" si="82"/>
        <v>2.2336999999999998</v>
      </c>
      <c r="Z208" s="64">
        <f t="shared" si="83"/>
        <v>1.03E-2</v>
      </c>
      <c r="AA208" s="64">
        <f t="shared" si="84"/>
        <v>2.2233999999999998</v>
      </c>
      <c r="AB208" s="61" t="e">
        <f>VLOOKUP(A208,Enforcements!$C$7:$K$19,8,0)</f>
        <v>#N/A</v>
      </c>
      <c r="AC208" s="57" t="e">
        <f>VLOOKUP(A208,Enforcements!$C$7:$E$19,3,0)</f>
        <v>#N/A</v>
      </c>
      <c r="AD208" s="58" t="str">
        <f t="shared" si="85"/>
        <v>0306-02</v>
      </c>
      <c r="AE208" s="87" t="str">
        <f t="shared" si="86"/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AF208" s="84" t="str">
        <f t="shared" si="87"/>
        <v>"C:\Program Files (x86)\AstroGrep\AstroGrep.exe" /spath="%USERPROFILE%\AppData\Local\Temp\OnboardLogs" /stypes="app*4045*20170102*" /stext=" 11:.+((SYSTEM_STATE.+slice.+state.+changed )|(ment ac)|(multiple cpu faults)|(system.+state.+changed )|(\[timeout)|(PRM\|1\|D)|(kpr)|(kdp)|(\|lc)|(penalty))" /e /r /s</v>
      </c>
      <c r="AG208" s="1" t="str">
        <f t="shared" si="88"/>
        <v>Other</v>
      </c>
      <c r="AH208" s="88" t="str">
        <f t="shared" si="89"/>
        <v>"%USERPROFILE%\Documents\GitHub\eaglep3\Utilities\RefineRTDCRunTimes.py" --tripid 306-02 --locoid 4045 --swversion DE.1.0.8.0 --startMP 300:22337 --initTime 2017-01-02T03:51:11 --startdatetime 2017-01-02T03:53:07 --delay 1 --endMP 204:103 --enddatetime 2017-01-02T04:02:09 --enforcementcount 0 &gt;&gt;C:\Users\stu\Documents\GitHub\eaglep3-reporting\EC\2017-01-02-refined-times.txt</v>
      </c>
      <c r="AI208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{"issue":{"subject":"","project_id":79,"tracker_id":40,"status_id":1,"priority_id":2,"assigned_to_id":23,"start_date":"2017-01-02","description":"","custom_fields":[{"id":1,"name":"Subdivision","value":"Other"},{"id":4,"name":"Milepost","value":"0.0103"},{"id":17,"name":"Train ID","value":"306-02"},{"id":16,"name":"Locomotive ID","value":"4045"},{"id":130,"name":"Impact","value":""},{"id":150,"name":"Time of Event (Mountain Time)","value":"04:02:09"},{"id":151,"name":"Denver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91"/>
        <v>start /low /b %USERPROFILE%\Documents\GitHub\eaglep3\Utilities\DownloadLogsFromS3.py --loco 4045 --day 2017-01-02</v>
      </c>
    </row>
    <row r="209" spans="1:39" x14ac:dyDescent="0.25">
      <c r="A209" s="34" t="s">
        <v>633</v>
      </c>
      <c r="B209" s="7">
        <v>4046</v>
      </c>
      <c r="C209" s="22" t="s">
        <v>203</v>
      </c>
      <c r="D209" s="22" t="s">
        <v>227</v>
      </c>
      <c r="E209" s="13">
        <v>42737.819444444445</v>
      </c>
      <c r="F209" s="13">
        <v>25568.708333333332</v>
      </c>
      <c r="G209" s="7">
        <v>1</v>
      </c>
      <c r="H209" s="22" t="s">
        <v>423</v>
      </c>
      <c r="I209" s="13">
        <v>25568.708333333332</v>
      </c>
      <c r="J209" s="7">
        <v>0</v>
      </c>
      <c r="K209" s="105" t="str">
        <f t="shared" si="74"/>
        <v>4045/4046</v>
      </c>
      <c r="L209" s="22" t="str">
        <f>VLOOKUP(A209,'Trips&amp;Operators'!$C$1:$G$99999,5,FALSE)</f>
        <v>KILLION DAVID</v>
      </c>
      <c r="M209" s="6">
        <f t="shared" si="75"/>
        <v>0</v>
      </c>
      <c r="N209" s="7">
        <f t="shared" si="76"/>
        <v>0</v>
      </c>
      <c r="O209" s="7"/>
      <c r="P209" s="7"/>
      <c r="Q209" s="23"/>
      <c r="R209" s="23"/>
      <c r="S209" s="32">
        <f t="shared" si="77"/>
        <v>1</v>
      </c>
      <c r="T209" s="47" t="str">
        <f t="shared" si="78"/>
        <v>NorthBound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18:40:00-700',mode:absolute,to:'1969-12-31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9" s="49" t="str">
        <f t="shared" si="80"/>
        <v>Y</v>
      </c>
      <c r="X209" s="173">
        <f t="shared" si="81"/>
        <v>1</v>
      </c>
      <c r="Y209" s="64">
        <f t="shared" si="82"/>
        <v>4.5999999999999999E-2</v>
      </c>
      <c r="Z209" s="64">
        <f t="shared" si="83"/>
        <v>2.3298999999999999</v>
      </c>
      <c r="AA209" s="64">
        <f t="shared" si="84"/>
        <v>2.2839</v>
      </c>
      <c r="AB209" s="61" t="e">
        <f>VLOOKUP(A209,Enforcements!$C$7:$K$19,8,0)</f>
        <v>#N/A</v>
      </c>
      <c r="AC209" s="57" t="e">
        <f>VLOOKUP(A209,Enforcements!$C$7:$E$19,3,0)</f>
        <v>#N/A</v>
      </c>
      <c r="AD209" s="58" t="str">
        <f t="shared" si="85"/>
        <v>0307-02</v>
      </c>
      <c r="AE209" s="87" t="str">
        <f t="shared" si="86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9" s="84" t="str">
        <f t="shared" si="87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09" s="1" t="str">
        <f t="shared" si="88"/>
        <v>Other</v>
      </c>
      <c r="AH209" s="88" t="str">
        <f t="shared" si="89"/>
        <v>"%USERPROFILE%\Documents\GitHub\eaglep3\Utilities\RefineRTDCRunTimes.py" --tripid 307-02 --locoid 4046 --swversion DE.1.0.8.0 --startMP 204:460 --initTime 2017-01-02T19:40:00 --startdatetime 1969-12-31T17:00:00 --delay 1 --endMP 300:23299 --enddatetime 1969-12-31T17:00:00 --enforcementcount 0 &gt;&gt;C:\Users\stu\Documents\GitHub\eaglep3-reporting\EC\2017-01-02-refined-times.txt</v>
      </c>
      <c r="AI209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ID","value":"307-02"},{"id":16,"name":"Locomotive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91"/>
        <v>start /low /b %USERPROFILE%\Documents\GitHub\eaglep3\Utilities\DownloadLogsFromS3.py --loco 4046 --day 1969-12-31</v>
      </c>
    </row>
    <row r="210" spans="1:39" x14ac:dyDescent="0.25">
      <c r="A210" s="34" t="s">
        <v>457</v>
      </c>
      <c r="B210" s="7">
        <v>4041</v>
      </c>
      <c r="C210" s="22" t="s">
        <v>203</v>
      </c>
      <c r="D210" s="22" t="s">
        <v>725</v>
      </c>
      <c r="E210" s="13">
        <v>42737.166770833333</v>
      </c>
      <c r="F210" s="13">
        <v>42737.170439814814</v>
      </c>
      <c r="G210" s="7">
        <v>4</v>
      </c>
      <c r="H210" s="22" t="s">
        <v>299</v>
      </c>
      <c r="I210" s="13">
        <v>42737.180972222224</v>
      </c>
      <c r="J210" s="7">
        <v>0</v>
      </c>
      <c r="K210" s="105" t="str">
        <f t="shared" si="74"/>
        <v>4041/4042</v>
      </c>
      <c r="L210" s="22" t="str">
        <f>VLOOKUP(A210,'Trips&amp;Operators'!$C$1:$G$99999,5,FALSE)</f>
        <v>COMELLA JUSTIN</v>
      </c>
      <c r="M210" s="6">
        <f t="shared" si="75"/>
        <v>1.0532407410209998E-2</v>
      </c>
      <c r="N210" s="7">
        <f t="shared" si="76"/>
        <v>15.166666670702398</v>
      </c>
      <c r="O210" s="7"/>
      <c r="P210" s="7"/>
      <c r="Q210" s="23"/>
      <c r="R210" s="23"/>
      <c r="S210" s="32">
        <f t="shared" si="77"/>
        <v>1</v>
      </c>
      <c r="T210" s="47" t="str">
        <f t="shared" si="78"/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03:00:09-700',mode:absolute,to:'2017-01-02 05:20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0" s="49" t="str">
        <f t="shared" si="80"/>
        <v>Y</v>
      </c>
      <c r="X210" s="173">
        <f t="shared" si="81"/>
        <v>1</v>
      </c>
      <c r="Y210" s="64">
        <f t="shared" si="82"/>
        <v>2.3119999999999998</v>
      </c>
      <c r="Z210" s="64">
        <f t="shared" si="83"/>
        <v>1.5800000000000002E-2</v>
      </c>
      <c r="AA210" s="64">
        <f t="shared" si="84"/>
        <v>2.2961999999999998</v>
      </c>
      <c r="AB210" s="61" t="e">
        <f>VLOOKUP(A210,Enforcements!$C$7:$K$19,8,0)</f>
        <v>#N/A</v>
      </c>
      <c r="AC210" s="57" t="e">
        <f>VLOOKUP(A210,Enforcements!$C$7:$E$19,3,0)</f>
        <v>#N/A</v>
      </c>
      <c r="AD210" s="58" t="str">
        <f t="shared" si="85"/>
        <v>0308-02</v>
      </c>
      <c r="AE210" s="87" t="str">
        <f t="shared" si="86"/>
        <v>aws s3 cp s3://rtdc.mdm.uploadarchive.raw/RTDC4041/ "%USERPROFILE%\AppData\Local\Temp\OnboardLogs"\RTDC4041\2017-01-02 --exclude "*" --recursive --include "*20170102*" &amp; "%USERPROFILE%\Documents\GitHub\mrs-test-scripts\Headless Mode &amp; Sideloading\WalkAndUnGZ.bat" "%USERPROFILE%\AppData\Local\Temp\OnboardLogs"\RTDC4041\2017-01-02 &amp; aws s3 cp s3://rtdc.mdm.uploadarchive.raw/RTDC4041/ "%USERPROFILE%\AppData\Local\Temp\OnboardLogs"\RTDC4041\2017-01-03 --exclude "*" --recursive --include "*20170103*" &amp; "%USERPROFILE%\Documents\GitHub\mrs-test-scripts\Headless Mode &amp; Sideloading\WalkAndUnGZ.bat" "%USERPROFILE%\AppData\Local\Temp\OnboardLogs"\RTDC4041\2017-01-03</v>
      </c>
      <c r="AF210" s="84" t="str">
        <f t="shared" si="87"/>
        <v>"C:\Program Files (x86)\AstroGrep\AstroGrep.exe" /spath="%USERPROFILE%\AppData\Local\Temp\OnboardLogs" /stypes="app*4041*20170102*" /stext=" 11:.+((SYSTEM_STATE.+slice.+state.+changed )|(ment ac)|(multiple cpu faults)|(system.+state.+changed )|(\[timeout)|(PRM\|1\|D)|(kpr)|(kdp)|(\|lc)|(penalty))" /e /r /s</v>
      </c>
      <c r="AG210" s="1" t="str">
        <f t="shared" si="88"/>
        <v>Other</v>
      </c>
      <c r="AH210" s="88" t="str">
        <f t="shared" si="89"/>
        <v>"%USERPROFILE%\Documents\GitHub\eaglep3\Utilities\RefineRTDCRunTimes.py" --tripid 308-02 --locoid 4041 --swversion DE.1.0.8.0 --startMP 300:23120 --initTime 2017-01-02T04:00:09 --startdatetime 2017-01-02T04:05:26 --delay 4 --endMP 204:158 --enddatetime 2017-01-02T04:20:36 --enforcementcount 0 &gt;&gt;C:\Users\stu\Documents\GitHub\eaglep3-reporting\EC\2017-01-02-refined-times.txt</v>
      </c>
      <c r="AI210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{"issue":{"subject":"","project_id":79,"tracker_id":40,"status_id":1,"priority_id":2,"assigned_to_id":23,"start_date":"2017-01-02","description":"","custom_fields":[{"id":1,"name":"Subdivision","value":"Other"},{"id":4,"name":"Milepost","value":"0.0158"},{"id":17,"name":"Train ID","value":"308-02"},{"id":16,"name":"Locomotive ID","value":"4041"},{"id":130,"name":"Impact","value":""},{"id":150,"name":"Time of Event (Mountain Time)","value":"04:20:36"},{"id":151,"name":"Denver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91"/>
        <v>start /low /b %USERPROFILE%\Documents\GitHub\eaglep3\Utilities\DownloadLogsFromS3.py --loco 4041 --day 2017-01-02</v>
      </c>
    </row>
    <row r="211" spans="1:39" x14ac:dyDescent="0.25">
      <c r="A211" s="34" t="s">
        <v>659</v>
      </c>
      <c r="B211" s="7">
        <v>4016</v>
      </c>
      <c r="C211" s="22" t="s">
        <v>203</v>
      </c>
      <c r="D211" s="22" t="s">
        <v>698</v>
      </c>
      <c r="E211" s="13">
        <v>42738.028668981482</v>
      </c>
      <c r="F211" s="13">
        <v>42738.029907407406</v>
      </c>
      <c r="G211" s="7">
        <v>1</v>
      </c>
      <c r="H211" s="22" t="s">
        <v>726</v>
      </c>
      <c r="I211" s="13">
        <v>42738.036458333336</v>
      </c>
      <c r="J211" s="7">
        <v>0</v>
      </c>
      <c r="K211" s="105" t="str">
        <f t="shared" si="74"/>
        <v>4015/4016</v>
      </c>
      <c r="L211" s="22" t="str">
        <f>VLOOKUP(A211,'Trips&amp;Operators'!$C$1:$G$99999,5,FALSE)</f>
        <v>CHANDLER KELVIN</v>
      </c>
      <c r="M211" s="6">
        <f t="shared" si="75"/>
        <v>6.550925929332152E-3</v>
      </c>
      <c r="N211" s="7">
        <f t="shared" si="76"/>
        <v>9.4333333382382989</v>
      </c>
      <c r="O211" s="7"/>
      <c r="P211" s="7"/>
      <c r="Q211" s="23"/>
      <c r="R211" s="23"/>
      <c r="S211" s="32">
        <f t="shared" si="77"/>
        <v>1</v>
      </c>
      <c r="T211" s="47" t="str">
        <f t="shared" si="78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23:41:17-700',mode:absolute,to:'2017-01-03 01:52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1" s="49" t="str">
        <f t="shared" si="80"/>
        <v>Y</v>
      </c>
      <c r="X211" s="173">
        <f t="shared" si="81"/>
        <v>1</v>
      </c>
      <c r="Y211" s="64">
        <f t="shared" si="82"/>
        <v>4.8000000000000001E-2</v>
      </c>
      <c r="Z211" s="64">
        <f t="shared" si="83"/>
        <v>2.2839</v>
      </c>
      <c r="AA211" s="64">
        <f t="shared" si="84"/>
        <v>2.2359</v>
      </c>
      <c r="AB211" s="61" t="e">
        <f>VLOOKUP(A211,Enforcements!$C$7:$K$19,8,0)</f>
        <v>#N/A</v>
      </c>
      <c r="AC211" s="57" t="e">
        <f>VLOOKUP(A211,Enforcements!$C$7:$E$19,3,0)</f>
        <v>#N/A</v>
      </c>
      <c r="AD211" s="58" t="str">
        <f t="shared" si="85"/>
        <v>0309-02</v>
      </c>
      <c r="AE211" s="87" t="str">
        <f t="shared" si="86"/>
        <v>aws s3 cp s3://rtdc.mdm.uploadarchive.raw/RTDC4016/ "%USERPROFILE%\AppData\Local\Temp\OnboardLogs"\RTDC4016\2017-01-03 --exclude "*" --recursive --include "*20170103*" &amp; "%USERPROFILE%\Documents\GitHub\mrs-test-scripts\Headless Mode &amp; Sideloading\WalkAndUnGZ.bat" "%USERPROFILE%\AppData\Local\Temp\OnboardLogs"\RTDC4016\2017-01-03 &amp; aws s3 cp s3://rtdc.mdm.uploadarchive.raw/RTDC4016/ "%USERPROFILE%\AppData\Local\Temp\OnboardLogs"\RTDC4016\2017-01-04 --exclude "*" --recursive --include "*20170104*" &amp; "%USERPROFILE%\Documents\GitHub\mrs-test-scripts\Headless Mode &amp; Sideloading\WalkAndUnGZ.bat" "%USERPROFILE%\AppData\Local\Temp\OnboardLogs"\RTDC4016\2017-01-04</v>
      </c>
      <c r="AF211" s="84" t="str">
        <f t="shared" si="87"/>
        <v>"C:\Program Files (x86)\AstroGrep\AstroGrep.exe" /spath="%USERPROFILE%\AppData\Local\Temp\OnboardLogs" /stypes="app*4016*20170103*" /stext=" 07:.+((SYSTEM_STATE.+slice.+state.+changed )|(ment ac)|(multiple cpu faults)|(system.+state.+changed )|(\[timeout)|(PRM\|1\|D)|(kpr)|(kdp)|(\|lc)|(penalty))" /e /r /s</v>
      </c>
      <c r="AG211" s="1" t="str">
        <f t="shared" si="88"/>
        <v>Other</v>
      </c>
      <c r="AH211" s="88" t="str">
        <f t="shared" si="89"/>
        <v>"%USERPROFILE%\Documents\GitHub\eaglep3\Utilities\RefineRTDCRunTimes.py" --tripid 309-02 --locoid 4016 --swversion DE.1.0.8.0 --startMP 204:480 --initTime 2017-01-03T00:41:17 --startdatetime 2017-01-03T00:43:04 --delay 1 --endMP 300:22839 --enddatetime 2017-01-03T00:52:30 --enforcementcount 0 &gt;&gt;C:\Users\stu\Documents\GitHub\eaglep3-reporting\EC\2017-01-02-refined-times.txt</v>
      </c>
      <c r="AI211" s="115" t="str">
        <f t="shared" si="90"/>
        <v>echo {"issue":{"subject":"","project_id":79,"tracker_id":40,"status_id":1,"priority_id":2,"assigned_to_id":23,"start_date":"2017-01-03","description":"","custom_fields":[{"id":1,"name":"Subdivision","value":"Other"},{"id":4,"name":"Milepost","value":"2.2839"},{"id":17,"name":"Train ID","value":"309-02"},{"id":16,"name":"Locomotive ID","value":"4016"},{"id":130,"name":"Impact","value":""},{"id":150,"name":"Time of Event (Mountain Time)","value":"00:52:30"},{"id":151,"name":"Denver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91"/>
        <v>start /low /b %USERPROFILE%\Documents\GitHub\eaglep3\Utilities\DownloadLogsFromS3.py --loco 4016 --day 2017-01-03</v>
      </c>
    </row>
    <row r="212" spans="1:39" x14ac:dyDescent="0.25">
      <c r="A212" s="34" t="s">
        <v>462</v>
      </c>
      <c r="B212" s="7">
        <v>4030</v>
      </c>
      <c r="C212" s="22" t="s">
        <v>203</v>
      </c>
      <c r="D212" s="22" t="s">
        <v>727</v>
      </c>
      <c r="E212" s="13">
        <v>42737.182430555556</v>
      </c>
      <c r="F212" s="13">
        <v>42737.183831018519</v>
      </c>
      <c r="G212" s="7">
        <v>1</v>
      </c>
      <c r="H212" s="22" t="s">
        <v>292</v>
      </c>
      <c r="I212" s="13">
        <v>42737.191851851851</v>
      </c>
      <c r="J212" s="7">
        <v>0</v>
      </c>
      <c r="K212" s="105" t="str">
        <f t="shared" si="74"/>
        <v>4029/4030</v>
      </c>
      <c r="L212" s="22" t="str">
        <f>VLOOKUP(A212,'Trips&amp;Operators'!$C$1:$G$99999,5,FALSE)</f>
        <v>SHOOK JOHN</v>
      </c>
      <c r="M212" s="6">
        <f t="shared" si="75"/>
        <v>8.0208333311020397E-3</v>
      </c>
      <c r="N212" s="7">
        <f t="shared" si="76"/>
        <v>11.549999996786937</v>
      </c>
      <c r="O212" s="7"/>
      <c r="P212" s="7"/>
      <c r="Q212" s="23"/>
      <c r="R212" s="23"/>
      <c r="S212" s="32">
        <f t="shared" si="77"/>
        <v>1</v>
      </c>
      <c r="T212" s="47" t="str">
        <f t="shared" si="78"/>
        <v>Southbound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03:22:42-700',mode:absolute,to:'2017-01-02 05:36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12" s="49" t="str">
        <f t="shared" si="80"/>
        <v>Y</v>
      </c>
      <c r="X212" s="173">
        <f t="shared" si="81"/>
        <v>1</v>
      </c>
      <c r="Y212" s="64">
        <f t="shared" si="82"/>
        <v>2.3302</v>
      </c>
      <c r="Z212" s="64">
        <f t="shared" si="83"/>
        <v>1.52E-2</v>
      </c>
      <c r="AA212" s="64">
        <f t="shared" si="84"/>
        <v>2.3149999999999999</v>
      </c>
      <c r="AB212" s="61" t="e">
        <f>VLOOKUP(A212,Enforcements!$C$7:$K$19,8,0)</f>
        <v>#N/A</v>
      </c>
      <c r="AC212" s="57" t="e">
        <f>VLOOKUP(A212,Enforcements!$C$7:$E$19,3,0)</f>
        <v>#N/A</v>
      </c>
      <c r="AD212" s="58" t="str">
        <f t="shared" si="85"/>
        <v>0310-02</v>
      </c>
      <c r="AE212" s="87" t="str">
        <f t="shared" si="86"/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AF212" s="84" t="str">
        <f t="shared" si="87"/>
        <v>"C:\Program Files (x86)\AstroGrep\AstroGrep.exe" /spath="%USERPROFILE%\AppData\Local\Temp\OnboardLogs" /stypes="app*4030*20170102*" /stext=" 11:.+((SYSTEM_STATE.+slice.+state.+changed )|(ment ac)|(multiple cpu faults)|(system.+state.+changed )|(\[timeout)|(PRM\|1\|D)|(kpr)|(kdp)|(\|lc)|(penalty))" /e /r /s</v>
      </c>
      <c r="AG212" s="1" t="str">
        <f t="shared" si="88"/>
        <v>Other</v>
      </c>
      <c r="AH212" s="88" t="str">
        <f t="shared" si="89"/>
        <v>"%USERPROFILE%\Documents\GitHub\eaglep3\Utilities\RefineRTDCRunTimes.py" --tripid 310-02 --locoid 4030 --swversion DE.1.0.8.0 --startMP 300:23302 --initTime 2017-01-02T04:22:42 --startdatetime 2017-01-02T04:24:43 --delay 1 --endMP 204:152 --enddatetime 2017-01-02T04:36:16 --enforcementcount 0 &gt;&gt;C:\Users\stu\Documents\GitHub\eaglep3-reporting\EC\2017-01-02-refined-times.txt</v>
      </c>
      <c r="AI212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{"issue":{"subject":"","project_id":79,"tracker_id":40,"status_id":1,"priority_id":2,"assigned_to_id":23,"start_date":"2017-01-02","description":"","custom_fields":[{"id":1,"name":"Subdivision","value":"Other"},{"id":4,"name":"Milepost","value":"0.0152"},{"id":17,"name":"Train ID","value":"310-02"},{"id":16,"name":"Locomotive ID","value":"4030"},{"id":130,"name":"Impact","value":""},{"id":150,"name":"Time of Event (Mountain Time)","value":"04:36:16"},{"id":151,"name":"Denver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91"/>
        <v>start /low /b %USERPROFILE%\Documents\GitHub\eaglep3\Utilities\DownloadLogsFromS3.py --loco 4030 --day 2017-01-02</v>
      </c>
    </row>
    <row r="213" spans="1:39" x14ac:dyDescent="0.25">
      <c r="A213" s="34" t="s">
        <v>660</v>
      </c>
      <c r="B213" s="7">
        <v>4011</v>
      </c>
      <c r="C213" s="22" t="s">
        <v>203</v>
      </c>
      <c r="D213" s="22" t="s">
        <v>247</v>
      </c>
      <c r="E213" s="13">
        <v>42738.049074074072</v>
      </c>
      <c r="F213" s="13">
        <v>25568.708333333332</v>
      </c>
      <c r="G213" s="7">
        <v>4</v>
      </c>
      <c r="H213" s="22" t="s">
        <v>727</v>
      </c>
      <c r="I213" s="13">
        <v>25568.708333333332</v>
      </c>
      <c r="J213" s="7">
        <v>0</v>
      </c>
      <c r="K213" s="105" t="str">
        <f t="shared" si="74"/>
        <v>4011/4012</v>
      </c>
      <c r="L213" s="22" t="str">
        <f>VLOOKUP(A213,'Trips&amp;Operators'!$C$1:$G$99999,5,FALSE)</f>
        <v>SMITH MICHAEL</v>
      </c>
      <c r="M213" s="6">
        <f t="shared" si="75"/>
        <v>0</v>
      </c>
      <c r="N213" s="7">
        <f t="shared" si="76"/>
        <v>0</v>
      </c>
      <c r="O213" s="7"/>
      <c r="P213" s="7"/>
      <c r="Q213" s="23"/>
      <c r="R213" s="23"/>
      <c r="S213" s="32">
        <f t="shared" si="77"/>
        <v>1</v>
      </c>
      <c r="T213" s="47" t="str">
        <f t="shared" si="78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https://search-rtdc-monitor-bjffxe2xuh6vdkpspy63sjmuny.us-east-1.es.amazonaws.com/_plugin/kibana/#/discover/Steve-Slow-Train-Analysis-(2080s-and-2083s)?_g=(refreshInterval:(display:Off,section:0,value:0),time:(from:'2017-01-03 00:10:40-700',mode:absolute,to:'1969-12-31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3" s="49" t="str">
        <f t="shared" si="80"/>
        <v>Y</v>
      </c>
      <c r="X213" s="173">
        <f t="shared" si="81"/>
        <v>1</v>
      </c>
      <c r="Y213" s="64">
        <f t="shared" si="82"/>
        <v>4.6399999999999997E-2</v>
      </c>
      <c r="Z213" s="64">
        <f t="shared" si="83"/>
        <v>2.3302</v>
      </c>
      <c r="AA213" s="64">
        <f t="shared" si="84"/>
        <v>2.2838000000000003</v>
      </c>
      <c r="AB213" s="61" t="e">
        <f>VLOOKUP(A213,Enforcements!$C$7:$K$19,8,0)</f>
        <v>#N/A</v>
      </c>
      <c r="AC213" s="57" t="e">
        <f>VLOOKUP(A213,Enforcements!$C$7:$E$19,3,0)</f>
        <v>#N/A</v>
      </c>
      <c r="AD213" s="58" t="str">
        <f t="shared" si="85"/>
        <v>0311-02</v>
      </c>
      <c r="AE213" s="87" t="str">
        <f t="shared" si="86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3" s="84" t="str">
        <f t="shared" si="87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3" s="1" t="str">
        <f t="shared" si="88"/>
        <v>Other</v>
      </c>
      <c r="AH213" s="88" t="str">
        <f t="shared" si="89"/>
        <v>"%USERPROFILE%\Documents\GitHub\eaglep3\Utilities\RefineRTDCRunTimes.py" --tripid 311-02 --locoid 4011 --swversion DE.1.0.8.0 --startMP 204:464 --initTime 2017-01-03T01:10:40 --startdatetime 1969-12-31T17:00:00 --delay 4 --endMP 300:23302 --enddatetime 1969-12-31T17:00:00 --enforcementcount 0 &gt;&gt;C:\Users\stu\Documents\GitHub\eaglep3-reporting\EC\2017-01-02-refined-times.txt</v>
      </c>
      <c r="AI213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ID","value":"311-02"},{"id":16,"name":"Locomotive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91"/>
        <v>start /low /b %USERPROFILE%\Documents\GitHub\eaglep3\Utilities\DownloadLogsFromS3.py --loco 4011 --day 1969-12-31</v>
      </c>
    </row>
    <row r="214" spans="1:39" x14ac:dyDescent="0.25">
      <c r="A214" s="34" t="s">
        <v>662</v>
      </c>
      <c r="B214" s="7">
        <v>4014</v>
      </c>
      <c r="C214" s="22" t="s">
        <v>203</v>
      </c>
      <c r="D214" s="22" t="s">
        <v>728</v>
      </c>
      <c r="E214" s="13">
        <v>42738.067650462966</v>
      </c>
      <c r="F214" s="13">
        <v>25568.708333333332</v>
      </c>
      <c r="G214" s="7">
        <v>1</v>
      </c>
      <c r="H214" s="22" t="s">
        <v>423</v>
      </c>
      <c r="I214" s="13">
        <v>25568.708333333332</v>
      </c>
      <c r="J214" s="7">
        <v>0</v>
      </c>
      <c r="K214" s="105" t="str">
        <f t="shared" si="74"/>
        <v>4013/4014</v>
      </c>
      <c r="L214" s="22" t="str">
        <f>VLOOKUP(A214,'Trips&amp;Operators'!$C$1:$G$99999,5,FALSE)</f>
        <v>STAMBAUGH JAMES</v>
      </c>
      <c r="M214" s="6">
        <f t="shared" si="75"/>
        <v>0</v>
      </c>
      <c r="N214" s="7">
        <f t="shared" si="76"/>
        <v>0</v>
      </c>
      <c r="O214" s="7"/>
      <c r="P214" s="7"/>
      <c r="Q214" s="23"/>
      <c r="R214" s="23"/>
      <c r="S214" s="32">
        <f t="shared" si="77"/>
        <v>1</v>
      </c>
      <c r="T214" s="47" t="str">
        <f t="shared" si="78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https://search-rtdc-monitor-bjffxe2xuh6vdkpspy63sjmuny.us-east-1.es.amazonaws.com/_plugin/kibana/#/discover/Steve-Slow-Train-Analysis-(2080s-and-2083s)?_g=(refreshInterval:(display:Off,section:0,value:0),time:(from:'2017-01-03 00:37:25-700',mode:absolute,to:'1969-12-31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4" s="49" t="str">
        <f t="shared" si="80"/>
        <v>Y</v>
      </c>
      <c r="X214" s="173">
        <f t="shared" si="81"/>
        <v>2</v>
      </c>
      <c r="Y214" s="64">
        <f t="shared" si="82"/>
        <v>4.8399999999999999E-2</v>
      </c>
      <c r="Z214" s="64">
        <f t="shared" si="83"/>
        <v>2.3298999999999999</v>
      </c>
      <c r="AA214" s="64">
        <f t="shared" si="84"/>
        <v>2.2814999999999999</v>
      </c>
      <c r="AB214" s="61" t="e">
        <f>VLOOKUP(A214,Enforcements!$C$7:$K$19,8,0)</f>
        <v>#N/A</v>
      </c>
      <c r="AC214" s="57" t="e">
        <f>VLOOKUP(A214,Enforcements!$C$7:$E$19,3,0)</f>
        <v>#N/A</v>
      </c>
      <c r="AD214" s="58" t="str">
        <f t="shared" si="85"/>
        <v>0313-02</v>
      </c>
      <c r="AE214" s="87" t="str">
        <f t="shared" si="86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4" s="84" t="str">
        <f t="shared" si="87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4" s="1" t="str">
        <f t="shared" si="88"/>
        <v>Other</v>
      </c>
      <c r="AH214" s="88" t="str">
        <f t="shared" si="89"/>
        <v>"%USERPROFILE%\Documents\GitHub\eaglep3\Utilities\RefineRTDCRunTimes.py" --tripid 313-02 --locoid 4014 --swversion DE.1.0.8.0 --startMP 204:484 --initTime 2017-01-03T01:37:25 --startdatetime 1969-12-31T17:00:00 --delay 1 --endMP 300:23299 --enddatetime 1969-12-31T17:00:00 --enforcementcount 0 &gt;&gt;C:\Users\stu\Documents\GitHub\eaglep3-reporting\EC\2017-01-02-refined-times.txt</v>
      </c>
      <c r="AI214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ID","value":"313-02"},{"id":16,"name":"Locomotive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91"/>
        <v>start /low /b %USERPROFILE%\Documents\GitHub\eaglep3\Utilities\DownloadLogsFromS3.py --loco 4014 --day 1969-12-31</v>
      </c>
    </row>
    <row r="215" spans="1:39" x14ac:dyDescent="0.25">
      <c r="A215" s="34" t="s">
        <v>401</v>
      </c>
      <c r="B215" s="7">
        <v>4022</v>
      </c>
      <c r="C215" s="22" t="s">
        <v>203</v>
      </c>
      <c r="D215" s="22" t="s">
        <v>370</v>
      </c>
      <c r="E215" s="13">
        <v>42737.088726851849</v>
      </c>
      <c r="F215" s="13">
        <v>25568.708333333332</v>
      </c>
      <c r="G215" s="7">
        <v>1</v>
      </c>
      <c r="H215" s="22" t="s">
        <v>423</v>
      </c>
      <c r="I215" s="13">
        <v>25568.708333333332</v>
      </c>
      <c r="J215" s="7">
        <v>0</v>
      </c>
      <c r="K215" s="105" t="str">
        <f t="shared" si="74"/>
        <v>4021/4022</v>
      </c>
      <c r="L215" s="22" t="str">
        <f>VLOOKUP(A215,'Trips&amp;Operators'!$C$1:$G$99999,5,FALSE)</f>
        <v>STAMBAUGH JAMES</v>
      </c>
      <c r="M215" s="6">
        <f t="shared" si="75"/>
        <v>0</v>
      </c>
      <c r="N215" s="7">
        <f t="shared" si="76"/>
        <v>0</v>
      </c>
      <c r="O215" s="7"/>
      <c r="P215" s="7"/>
      <c r="Q215" s="23"/>
      <c r="R215" s="23"/>
      <c r="S215" s="32">
        <f t="shared" si="77"/>
        <v>1</v>
      </c>
      <c r="T215" s="47" t="str">
        <f t="shared" si="78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01:07:46-700',mode:absolute,to:'1969-12-31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5" s="49" t="str">
        <f t="shared" si="80"/>
        <v>Y</v>
      </c>
      <c r="X215" s="173">
        <f t="shared" si="81"/>
        <v>2</v>
      </c>
      <c r="Y215" s="64">
        <f t="shared" si="82"/>
        <v>4.8599999999999997E-2</v>
      </c>
      <c r="Z215" s="64">
        <f t="shared" si="83"/>
        <v>2.3298999999999999</v>
      </c>
      <c r="AA215" s="64">
        <f t="shared" si="84"/>
        <v>2.2812999999999999</v>
      </c>
      <c r="AB215" s="61" t="e">
        <f>VLOOKUP(A215,Enforcements!$C$7:$K$19,8,0)</f>
        <v>#N/A</v>
      </c>
      <c r="AC215" s="57" t="e">
        <f>VLOOKUP(A215,Enforcements!$C$7:$E$19,3,0)</f>
        <v>#N/A</v>
      </c>
      <c r="AD215" s="58" t="str">
        <f t="shared" si="85"/>
        <v>0315-01</v>
      </c>
      <c r="AE215" s="87" t="str">
        <f t="shared" si="86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5" s="84" t="str">
        <f t="shared" si="87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5" s="1" t="str">
        <f t="shared" si="88"/>
        <v>Other</v>
      </c>
      <c r="AH215" s="88" t="str">
        <f t="shared" si="89"/>
        <v>"%USERPROFILE%\Documents\GitHub\eaglep3\Utilities\RefineRTDCRunTimes.py" --tripid 315-01 --locoid 4022 --swversion DE.1.0.8.0 --startMP 204:486 --initTime 2017-01-02T02:07:46 --startdatetime 1969-12-31T17:00:00 --delay 1 --endMP 300:23299 --enddatetime 1969-12-31T17:00:00 --enforcementcount 0 &gt;&gt;C:\Users\stu\Documents\GitHub\eaglep3-reporting\EC\2017-01-02-refined-times.txt</v>
      </c>
      <c r="AI215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ID","value":"315-01"},{"id":16,"name":"Locomotive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91"/>
        <v>start /low /b %USERPROFILE%\Documents\GitHub\eaglep3\Utilities\DownloadLogsFromS3.py --loco 4022 --day 1969-12-31</v>
      </c>
    </row>
    <row r="216" spans="1:39" x14ac:dyDescent="0.25">
      <c r="A216" s="34" t="s">
        <v>663</v>
      </c>
      <c r="B216" s="7">
        <v>4042</v>
      </c>
      <c r="C216" s="22" t="s">
        <v>203</v>
      </c>
      <c r="D216" s="22" t="s">
        <v>345</v>
      </c>
      <c r="E216" s="13">
        <v>42738.087418981479</v>
      </c>
      <c r="F216" s="13">
        <v>25568.708333333332</v>
      </c>
      <c r="G216" s="7">
        <v>1</v>
      </c>
      <c r="H216" s="22" t="s">
        <v>729</v>
      </c>
      <c r="I216" s="13">
        <v>25568.708333333332</v>
      </c>
      <c r="J216" s="7">
        <v>0</v>
      </c>
      <c r="K216" s="105" t="str">
        <f t="shared" si="74"/>
        <v>4041/4042</v>
      </c>
      <c r="L216" s="22" t="str">
        <f>VLOOKUP(A216,'Trips&amp;Operators'!$C$1:$G$99999,5,FALSE)</f>
        <v>STORY SAMANTHA</v>
      </c>
      <c r="M216" s="6">
        <f t="shared" si="75"/>
        <v>0</v>
      </c>
      <c r="N216" s="7">
        <f t="shared" si="76"/>
        <v>0</v>
      </c>
      <c r="O216" s="7"/>
      <c r="P216" s="7"/>
      <c r="Q216" s="23"/>
      <c r="R216" s="23"/>
      <c r="S216" s="32">
        <f t="shared" si="77"/>
        <v>1</v>
      </c>
      <c r="T216" s="47" t="str">
        <f t="shared" si="78"/>
        <v>NorthBound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https://search-rtdc-monitor-bjffxe2xuh6vdkpspy63sjmuny.us-east-1.es.amazonaws.com/_plugin/kibana/#/discover/Steve-Slow-Train-Analysis-(2080s-and-2083s)?_g=(refreshInterval:(display:Off,section:0,value:0),time:(from:'2017-01-03 01:05:53-700',mode:absolute,to:'1969-12-31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16" s="49" t="str">
        <f t="shared" si="80"/>
        <v>Y</v>
      </c>
      <c r="X216" s="173">
        <f t="shared" si="81"/>
        <v>0</v>
      </c>
      <c r="Y216" s="64">
        <f t="shared" si="82"/>
        <v>4.7100000000000003E-2</v>
      </c>
      <c r="Z216" s="64">
        <f t="shared" si="83"/>
        <v>2.3315999999999999</v>
      </c>
      <c r="AA216" s="64">
        <f t="shared" si="84"/>
        <v>2.2845</v>
      </c>
      <c r="AB216" s="61" t="e">
        <f>VLOOKUP(A216,Enforcements!$C$7:$K$19,8,0)</f>
        <v>#N/A</v>
      </c>
      <c r="AC216" s="57" t="e">
        <f>VLOOKUP(A216,Enforcements!$C$7:$E$19,3,0)</f>
        <v>#N/A</v>
      </c>
      <c r="AD216" s="58" t="str">
        <f t="shared" si="85"/>
        <v>0315-02</v>
      </c>
      <c r="AE216" s="87" t="str">
        <f t="shared" si="86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16" s="84" t="str">
        <f t="shared" si="87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16" s="1" t="str">
        <f t="shared" si="88"/>
        <v>Other</v>
      </c>
      <c r="AH216" s="88" t="str">
        <f t="shared" si="89"/>
        <v>"%USERPROFILE%\Documents\GitHub\eaglep3\Utilities\RefineRTDCRunTimes.py" --tripid 315-02 --locoid 4042 --swversion DE.1.0.8.0 --startMP 204:471 --initTime 2017-01-03T02:05:53 --startdatetime 1969-12-31T17:00:00 --delay 1 --endMP 300:23316 --enddatetime 1969-12-31T17:00:00 --enforcementcount 0 &gt;&gt;C:\Users\stu\Documents\GitHub\eaglep3-reporting\EC\2017-01-02-refined-times.txt</v>
      </c>
      <c r="AI216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ID","value":"315-02"},{"id":16,"name":"Locomotive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91"/>
        <v>start /low /b %USERPROFILE%\Documents\GitHub\eaglep3\Utilities\DownloadLogsFromS3.py --loco 4042 --day 1969-12-31</v>
      </c>
    </row>
    <row r="217" spans="1:39" x14ac:dyDescent="0.25">
      <c r="A217" s="34" t="s">
        <v>477</v>
      </c>
      <c r="B217" s="7">
        <v>4017</v>
      </c>
      <c r="C217" s="22" t="s">
        <v>203</v>
      </c>
      <c r="D217" s="22" t="s">
        <v>799</v>
      </c>
      <c r="E217" s="13">
        <v>42737.252546296295</v>
      </c>
      <c r="F217" s="13">
        <v>42737.253599537034</v>
      </c>
      <c r="G217" s="7">
        <v>1</v>
      </c>
      <c r="H217" s="22" t="s">
        <v>800</v>
      </c>
      <c r="I217" s="13">
        <v>42737.259444444448</v>
      </c>
      <c r="J217" s="7">
        <v>0</v>
      </c>
      <c r="K217" s="105" t="str">
        <f t="shared" si="74"/>
        <v>4017/4018</v>
      </c>
      <c r="L217" s="22" t="str">
        <f>VLOOKUP(A217,'Trips&amp;Operators'!$C$1:$G$99999,5,FALSE)</f>
        <v>ROCHA YAOTL</v>
      </c>
      <c r="M217" s="6">
        <f t="shared" si="75"/>
        <v>5.8449074131203815E-3</v>
      </c>
      <c r="N217" s="7">
        <f t="shared" si="76"/>
        <v>8.4166666748933494</v>
      </c>
      <c r="O217" s="7"/>
      <c r="P217" s="7"/>
      <c r="Q217" s="23"/>
      <c r="R217" s="23"/>
      <c r="S217" s="32">
        <f t="shared" si="77"/>
        <v>1</v>
      </c>
      <c r="T217" s="47" t="str">
        <f t="shared" si="78"/>
        <v>Southbound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05:03:40-700',mode:absolute,to:'2017-01-02 07:13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7" s="49" t="str">
        <f t="shared" si="80"/>
        <v>Y</v>
      </c>
      <c r="X217" s="173">
        <f t="shared" si="81"/>
        <v>587</v>
      </c>
      <c r="Y217" s="64">
        <f t="shared" si="82"/>
        <v>2.3298000000000001</v>
      </c>
      <c r="Z217" s="64">
        <f t="shared" si="83"/>
        <v>6.8199999999999997E-2</v>
      </c>
      <c r="AA217" s="64">
        <f t="shared" si="84"/>
        <v>2.2616000000000001</v>
      </c>
      <c r="AB217" s="61" t="e">
        <f>VLOOKUP(A217,Enforcements!$C$7:$K$19,8,0)</f>
        <v>#N/A</v>
      </c>
      <c r="AC217" s="57" t="e">
        <f>VLOOKUP(A217,Enforcements!$C$7:$E$19,3,0)</f>
        <v>#N/A</v>
      </c>
      <c r="AD217" s="58" t="str">
        <f t="shared" si="85"/>
        <v>0902-02</v>
      </c>
      <c r="AE217" s="87" t="str">
        <f t="shared" si="86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217" s="84" t="str">
        <f t="shared" si="87"/>
        <v>"C:\Program Files (x86)\AstroGrep\AstroGrep.exe" /spath="%USERPROFILE%\AppData\Local\Temp\OnboardLogs" /stypes="app*4017*20170102*" /stext=" 13:.+((SYSTEM_STATE.+slice.+state.+changed )|(ment ac)|(multiple cpu faults)|(system.+state.+changed )|(\[timeout)|(PRM\|1\|D)|(kpr)|(kdp)|(\|lc)|(penalty))" /e /r /s</v>
      </c>
      <c r="AG217" s="1" t="str">
        <f t="shared" si="88"/>
        <v>Other</v>
      </c>
      <c r="AH217" s="88" t="str">
        <f t="shared" si="89"/>
        <v>"%USERPROFILE%\Documents\GitHub\eaglep3\Utilities\RefineRTDCRunTimes.py" --tripid 902-02 --locoid 4017 --swversion DE.1.0.8.0 --startMP 300:23298 --initTime 2017-01-02T06:03:40 --startdatetime 2017-01-02T06:05:11 --delay 1 --endMP 204:682 --enddatetime 2017-01-02T06:13:36 --enforcementcount 0 &gt;&gt;C:\Users\stu\Documents\GitHub\eaglep3-reporting\EC\2017-01-02-refined-times.txt</v>
      </c>
      <c r="AI217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{"issue":{"subject":"","project_id":79,"tracker_id":40,"status_id":1,"priority_id":2,"assigned_to_id":23,"start_date":"2017-01-02","description":"","custom_fields":[{"id":1,"name":"Subdivision","value":"Other"},{"id":4,"name":"Milepost","value":"0.0682"},{"id":17,"name":"Train ID","value":"902-02"},{"id":16,"name":"Locomotive ID","value":"4017"},{"id":130,"name":"Impact","value":""},{"id":150,"name":"Time of Event (Mountain Time)","value":"06:13:36"},{"id":151,"name":"Denver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91"/>
        <v>start /low /b %USERPROFILE%\Documents\GitHub\eaglep3\Utilities\DownloadLogsFromS3.py --loco 4017 --day 2017-01-02</v>
      </c>
    </row>
    <row r="218" spans="1:39" x14ac:dyDescent="0.25">
      <c r="A218" s="34" t="s">
        <v>505</v>
      </c>
      <c r="B218" s="7">
        <v>4007</v>
      </c>
      <c r="C218" s="22" t="s">
        <v>203</v>
      </c>
      <c r="D218" s="22" t="s">
        <v>801</v>
      </c>
      <c r="E218" s="13">
        <v>42737.353252314817</v>
      </c>
      <c r="F218" s="13">
        <v>42737.354780092595</v>
      </c>
      <c r="G218" s="7">
        <v>1</v>
      </c>
      <c r="H218" s="22" t="s">
        <v>802</v>
      </c>
      <c r="I218" s="13">
        <v>42737.363020833334</v>
      </c>
      <c r="J218" s="7">
        <v>0</v>
      </c>
      <c r="K218" s="105" t="str">
        <f t="shared" si="74"/>
        <v>4007/4008</v>
      </c>
      <c r="L218" s="22" t="str">
        <f>VLOOKUP(A218,'Trips&amp;Operators'!$C$1:$G$99999,5,FALSE)</f>
        <v>DAVIS WENDY</v>
      </c>
      <c r="M218" s="6">
        <f t="shared" si="75"/>
        <v>8.2407407389837317E-3</v>
      </c>
      <c r="N218" s="7">
        <f t="shared" si="76"/>
        <v>11.866666664136574</v>
      </c>
      <c r="O218" s="7"/>
      <c r="P218" s="7"/>
      <c r="Q218" s="23"/>
      <c r="R218" s="23"/>
      <c r="S218" s="32">
        <f t="shared" si="77"/>
        <v>1</v>
      </c>
      <c r="T218" s="47" t="str">
        <f t="shared" si="78"/>
        <v>NorthBound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07:28:41-700',mode:absolute,to:'2017-01-02 09:42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8" s="49" t="str">
        <f t="shared" si="80"/>
        <v>Y</v>
      </c>
      <c r="X218" s="173">
        <f t="shared" si="81"/>
        <v>1</v>
      </c>
      <c r="Y218" s="64">
        <f t="shared" si="82"/>
        <v>9.3899999999999997E-2</v>
      </c>
      <c r="Z218" s="64">
        <f t="shared" si="83"/>
        <v>2.5459000000000001</v>
      </c>
      <c r="AA218" s="64">
        <f t="shared" si="84"/>
        <v>2.452</v>
      </c>
      <c r="AB218" s="61" t="e">
        <f>VLOOKUP(A218,Enforcements!$C$7:$K$19,8,0)</f>
        <v>#N/A</v>
      </c>
      <c r="AC218" s="57" t="e">
        <f>VLOOKUP(A218,Enforcements!$C$7:$E$19,3,0)</f>
        <v>#N/A</v>
      </c>
      <c r="AD218" s="58" t="str">
        <f t="shared" si="85"/>
        <v>0903-02</v>
      </c>
      <c r="AE218" s="87" t="str">
        <f t="shared" si="86"/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AF218" s="84" t="str">
        <f t="shared" si="87"/>
        <v>"C:\Program Files (x86)\AstroGrep\AstroGrep.exe" /spath="%USERPROFILE%\AppData\Local\Temp\OnboardLogs" /stypes="app*4007*20170102*" /stext=" 15:.+((SYSTEM_STATE.+slice.+state.+changed )|(ment ac)|(multiple cpu faults)|(system.+state.+changed )|(\[timeout)|(PRM\|1\|D)|(kpr)|(kdp)|(\|lc)|(penalty))" /e /r /s</v>
      </c>
      <c r="AG218" s="1" t="str">
        <f t="shared" si="88"/>
        <v>Other</v>
      </c>
      <c r="AH218" s="88" t="str">
        <f t="shared" si="89"/>
        <v>"%USERPROFILE%\Documents\GitHub\eaglep3\Utilities\RefineRTDCRunTimes.py" --tripid 903-02 --locoid 4007 --swversion DE.1.0.8.0 --startMP 204:939 --initTime 2017-01-02T08:28:41 --startdatetime 2017-01-02T08:30:53 --delay 1 --endMP 300:25459 --enddatetime 2017-01-02T08:42:45 --enforcementcount 0 &gt;&gt;C:\Users\stu\Documents\GitHub\eaglep3-reporting\EC\2017-01-02-refined-times.txt</v>
      </c>
      <c r="AI218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{"issue":{"subject":"","project_id":79,"tracker_id":40,"status_id":1,"priority_id":2,"assigned_to_id":23,"start_date":"2017-01-02","description":"","custom_fields":[{"id":1,"name":"Subdivision","value":"Other"},{"id":4,"name":"Milepost","value":"2.5459"},{"id":17,"name":"Train ID","value":"903-02"},{"id":16,"name":"Locomotive ID","value":"4007"},{"id":130,"name":"Impact","value":""},{"id":150,"name":"Time of Event (Mountain Time)","value":"08:42:45"},{"id":151,"name":"Denver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91"/>
        <v>start /low /b %USERPROFILE%\Documents\GitHub\eaglep3\Utilities\DownloadLogsFromS3.py --loco 4007 --day 2017-01-02</v>
      </c>
    </row>
    <row r="219" spans="1:39" x14ac:dyDescent="0.25">
      <c r="A219" s="34" t="s">
        <v>577</v>
      </c>
      <c r="B219" s="7">
        <v>4008</v>
      </c>
      <c r="C219" s="22" t="s">
        <v>203</v>
      </c>
      <c r="D219" s="22" t="s">
        <v>803</v>
      </c>
      <c r="E219" s="13">
        <v>42737.641886574071</v>
      </c>
      <c r="F219" s="13">
        <v>42737.643310185187</v>
      </c>
      <c r="G219" s="7">
        <v>1</v>
      </c>
      <c r="H219" s="22" t="s">
        <v>786</v>
      </c>
      <c r="I219" s="13">
        <v>42737.649212962962</v>
      </c>
      <c r="J219" s="7">
        <v>0</v>
      </c>
      <c r="K219" s="105" t="str">
        <f t="shared" si="74"/>
        <v>4007/4008</v>
      </c>
      <c r="L219" s="22" t="str">
        <f>VLOOKUP(A219,'Trips&amp;Operators'!$C$1:$G$99999,5,FALSE)</f>
        <v>NEWELL JAMES</v>
      </c>
      <c r="M219" s="6">
        <f t="shared" si="75"/>
        <v>5.9027777751907706E-3</v>
      </c>
      <c r="N219" s="7">
        <f t="shared" si="76"/>
        <v>8.4999999962747097</v>
      </c>
      <c r="O219" s="7"/>
      <c r="P219" s="7"/>
      <c r="Q219" s="23"/>
      <c r="R219" s="23"/>
      <c r="S219" s="32">
        <f t="shared" si="77"/>
        <v>1</v>
      </c>
      <c r="T219" s="47" t="str">
        <f t="shared" si="78"/>
        <v>Southbound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14:24:19-700',mode:absolute,to:'2017-01-02 16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9" s="49" t="str">
        <f t="shared" si="80"/>
        <v>Y</v>
      </c>
      <c r="X219" s="173">
        <f t="shared" si="81"/>
        <v>1</v>
      </c>
      <c r="Y219" s="64">
        <f t="shared" si="82"/>
        <v>2.3134999999999999</v>
      </c>
      <c r="Z219" s="64">
        <f t="shared" si="83"/>
        <v>6.6100000000000006E-2</v>
      </c>
      <c r="AA219" s="64">
        <f t="shared" si="84"/>
        <v>2.2473999999999998</v>
      </c>
      <c r="AB219" s="61" t="e">
        <f>VLOOKUP(A219,Enforcements!$C$7:$K$19,8,0)</f>
        <v>#N/A</v>
      </c>
      <c r="AC219" s="57" t="e">
        <f>VLOOKUP(A219,Enforcements!$C$7:$E$19,3,0)</f>
        <v>#N/A</v>
      </c>
      <c r="AD219" s="58" t="str">
        <f t="shared" si="85"/>
        <v>0904-02</v>
      </c>
      <c r="AE219" s="87" t="str">
        <f t="shared" si="86"/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AF219" s="84" t="str">
        <f t="shared" si="87"/>
        <v>"C:\Program Files (x86)\AstroGrep\AstroGrep.exe" /spath="%USERPROFILE%\AppData\Local\Temp\OnboardLogs" /stypes="app*4008*20170102*" /stext=" 22:.+((SYSTEM_STATE.+slice.+state.+changed )|(ment ac)|(multiple cpu faults)|(system.+state.+changed )|(\[timeout)|(PRM\|1\|D)|(kpr)|(kdp)|(\|lc)|(penalty))" /e /r /s</v>
      </c>
      <c r="AG219" s="1" t="str">
        <f t="shared" si="88"/>
        <v>Other</v>
      </c>
      <c r="AH219" s="88" t="str">
        <f t="shared" si="89"/>
        <v>"%USERPROFILE%\Documents\GitHub\eaglep3\Utilities\RefineRTDCRunTimes.py" --tripid 904-02 --locoid 4008 --swversion DE.1.0.8.0 --startMP 300:23135 --initTime 2017-01-02T15:24:19 --startdatetime 2017-01-02T15:26:22 --delay 1 --endMP 204:661 --enddatetime 2017-01-02T15:34:52 --enforcementcount 0 &gt;&gt;C:\Users\stu\Documents\GitHub\eaglep3-reporting\EC\2017-01-02-refined-times.txt</v>
      </c>
      <c r="AI219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{"issue":{"subject":"","project_id":79,"tracker_id":40,"status_id":1,"priority_id":2,"assigned_to_id":23,"start_date":"2017-01-02","description":"","custom_fields":[{"id":1,"name":"Subdivision","value":"Other"},{"id":4,"name":"Milepost","value":"0.0661"},{"id":17,"name":"Train ID","value":"904-02"},{"id":16,"name":"Locomotive ID","value":"4008"},{"id":130,"name":"Impact","value":""},{"id":150,"name":"Time of Event (Mountain Time)","value":"15:34:52"},{"id":151,"name":"Denver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91"/>
        <v>start /low /b %USERPROFILE%\Documents\GitHub\eaglep3\Utilities\DownloadLogsFromS3.py --loco 4008 --day 2017-01-02</v>
      </c>
    </row>
    <row r="220" spans="1:39" x14ac:dyDescent="0.25">
      <c r="A220" s="34" t="s">
        <v>627</v>
      </c>
      <c r="B220" s="7">
        <v>4008</v>
      </c>
      <c r="C220" s="22" t="s">
        <v>203</v>
      </c>
      <c r="D220" s="22" t="s">
        <v>792</v>
      </c>
      <c r="E220" s="13">
        <v>42737.796342592592</v>
      </c>
      <c r="F220" s="13">
        <v>25568.708333333332</v>
      </c>
      <c r="G220" s="7">
        <v>1</v>
      </c>
      <c r="H220" s="22" t="s">
        <v>804</v>
      </c>
      <c r="I220" s="13">
        <v>25568.708333333332</v>
      </c>
      <c r="J220" s="7">
        <v>0</v>
      </c>
      <c r="K220" s="105" t="str">
        <f t="shared" si="74"/>
        <v>4007/4008</v>
      </c>
      <c r="L220" s="22" t="str">
        <f>VLOOKUP(A220,'Trips&amp;Operators'!$C$1:$G$99999,5,FALSE)</f>
        <v>NEWELL JAMES</v>
      </c>
      <c r="M220" s="6">
        <f t="shared" si="75"/>
        <v>0</v>
      </c>
      <c r="N220" s="7">
        <f t="shared" si="76"/>
        <v>0</v>
      </c>
      <c r="O220" s="7"/>
      <c r="P220" s="7"/>
      <c r="Q220" s="23"/>
      <c r="R220" s="23"/>
      <c r="S220" s="32">
        <f t="shared" si="77"/>
        <v>0</v>
      </c>
      <c r="T220" s="47" t="str">
        <f t="shared" si="78"/>
        <v>Southbound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18:06:44-700',mode:absolute,to:'1969-12-31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20" s="49" t="str">
        <f t="shared" si="80"/>
        <v>Y</v>
      </c>
      <c r="X220" s="173">
        <f t="shared" si="81"/>
        <v>2</v>
      </c>
      <c r="Y220" s="64">
        <f t="shared" si="82"/>
        <v>5.8604000000000003</v>
      </c>
      <c r="Z220" s="64">
        <f t="shared" si="83"/>
        <v>2.8744000000000001</v>
      </c>
      <c r="AA220" s="64">
        <f t="shared" si="84"/>
        <v>2.9860000000000002</v>
      </c>
      <c r="AB220" s="61" t="e">
        <f>VLOOKUP(A220,Enforcements!$C$7:$K$19,8,0)</f>
        <v>#N/A</v>
      </c>
      <c r="AC220" s="57" t="e">
        <f>VLOOKUP(A220,Enforcements!$C$7:$E$19,3,0)</f>
        <v>#N/A</v>
      </c>
      <c r="AD220" s="58" t="str">
        <f t="shared" si="85"/>
        <v>0906-02</v>
      </c>
      <c r="AE220" s="87" t="str">
        <f t="shared" si="86"/>
        <v>aws s3 cp s3://rtdc.mdm.uploadarchive.raw/RTDC4008/ "%USERPROFILE%\AppData\Local\Temp\OnboardLogs"\RTDC4008\1969-12-31 --exclude "*" --recursive --include "*19691231*" &amp; "%USERPROFILE%\Documents\GitHub\mrs-test-scripts\Headless Mode &amp; Sideloading\WalkAndUnGZ.bat" "%USERPROFILE%\AppData\Local\Temp\OnboardLogs"\RTDC4008\1969-12-31 &amp; aws s3 cp s3://rtdc.mdm.uploadarchive.raw/RTDC4008/ "%USERPROFILE%\AppData\Local\Temp\OnboardLogs"\RTDC4008\1970-01-01 --exclude "*" --recursive --include "*19700101*" &amp; "%USERPROFILE%\Documents\GitHub\mrs-test-scripts\Headless Mode &amp; Sideloading\WalkAndUnGZ.bat" "%USERPROFILE%\AppData\Local\Temp\OnboardLogs"\RTDC4008\1970-01-01</v>
      </c>
      <c r="AF220" s="84" t="str">
        <f t="shared" si="87"/>
        <v>"C:\Program Files (x86)\AstroGrep\AstroGrep.exe" /spath="%USERPROFILE%\AppData\Local\Temp\OnboardLogs" /stypes="app*4008*19700101*" /stext=" 00:.+((SYSTEM_STATE.+slice.+state.+changed )|(ment ac)|(multiple cpu faults)|(system.+state.+changed )|(\[timeout)|(PRM\|1\|D)|(kpr)|(kdp)|(\|lc)|(penalty))" /e /r /s</v>
      </c>
      <c r="AG220" s="1" t="str">
        <f t="shared" si="88"/>
        <v>Other</v>
      </c>
      <c r="AH220" s="88" t="str">
        <f t="shared" si="89"/>
        <v>"%USERPROFILE%\Documents\GitHub\eaglep3\Utilities\RefineRTDCRunTimes.py" --tripid 906-02 --locoid 4008 --swversion DE.1.0.8.0 --startMP 300:58604 --initTime 2017-01-02T19:06:44 --startdatetime 1969-12-31T17:00:00 --delay 1 --endMP 300:28744 --enddatetime 1969-12-31T17:00:00 --enforcementcount 0 &gt;&gt;C:\Users\stu\Documents\GitHub\eaglep3-reporting\EC\2017-01-02-refined-times.txt</v>
      </c>
      <c r="AI220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{"issue":{"subject":"","project_id":79,"tracker_id":40,"status_id":1,"priority_id":2,"assigned_to_id":23,"start_date":"1969-12-31","description":"","custom_fields":[{"id":1,"name":"Subdivision","value":"Other"},{"id":4,"name":"Milepost","value":"2.8744"},{"id":17,"name":"Train ID","value":"906-02"},{"id":16,"name":"Locomotive ID","value":"4008"},{"id":130,"name":"Impact","value":""},{"id":150,"name":"Time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91"/>
        <v>start /low /b %USERPROFILE%\Documents\GitHub\eaglep3\Utilities\DownloadLogsFromS3.py --loco 4008 --day 1969-12-31</v>
      </c>
    </row>
    <row r="221" spans="1:39" x14ac:dyDescent="0.25">
      <c r="A221" s="34" t="s">
        <v>650</v>
      </c>
      <c r="B221" s="7">
        <v>4017</v>
      </c>
      <c r="C221" s="22" t="s">
        <v>203</v>
      </c>
      <c r="D221" s="22" t="s">
        <v>792</v>
      </c>
      <c r="E221" s="13">
        <v>42737.942997685182</v>
      </c>
      <c r="F221" s="13">
        <v>42737.944340277776</v>
      </c>
      <c r="G221" s="7">
        <v>1</v>
      </c>
      <c r="H221" s="22" t="s">
        <v>805</v>
      </c>
      <c r="I221" s="13">
        <v>42737.948958333334</v>
      </c>
      <c r="J221" s="7">
        <v>0</v>
      </c>
      <c r="K221" s="105" t="str">
        <f t="shared" si="74"/>
        <v>4017/4018</v>
      </c>
      <c r="L221" s="22" t="str">
        <f>VLOOKUP(A221,'Trips&amp;Operators'!$C$1:$G$99999,5,FALSE)</f>
        <v>NEWELL JAMES</v>
      </c>
      <c r="M221" s="6">
        <f t="shared" si="75"/>
        <v>4.6180555582395755E-3</v>
      </c>
      <c r="N221" s="7">
        <f t="shared" si="76"/>
        <v>6.6500000038649887</v>
      </c>
      <c r="O221" s="7"/>
      <c r="P221" s="7"/>
      <c r="Q221" s="23"/>
      <c r="R221" s="23"/>
      <c r="S221" s="32">
        <f t="shared" si="77"/>
        <v>0</v>
      </c>
      <c r="T221" s="47" t="str">
        <f t="shared" si="78"/>
        <v>Southbound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21:37:55-700',mode:absolute,to:'2017-01-02 23:46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1" s="49" t="str">
        <f t="shared" si="80"/>
        <v>Y</v>
      </c>
      <c r="X221" s="173">
        <f t="shared" si="81"/>
        <v>2</v>
      </c>
      <c r="Y221" s="64">
        <f t="shared" si="82"/>
        <v>5.8604000000000003</v>
      </c>
      <c r="Z221" s="64">
        <f t="shared" si="83"/>
        <v>2.1768999999999998</v>
      </c>
      <c r="AA221" s="64">
        <f t="shared" si="84"/>
        <v>3.6835000000000004</v>
      </c>
      <c r="AB221" s="61" t="e">
        <f>VLOOKUP(A221,Enforcements!$C$7:$K$19,8,0)</f>
        <v>#N/A</v>
      </c>
      <c r="AC221" s="57" t="e">
        <f>VLOOKUP(A221,Enforcements!$C$7:$E$19,3,0)</f>
        <v>#N/A</v>
      </c>
      <c r="AD221" s="58" t="str">
        <f t="shared" si="85"/>
        <v>0908-02</v>
      </c>
      <c r="AE221" s="87" t="str">
        <f t="shared" si="86"/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AF221" s="84" t="str">
        <f t="shared" si="87"/>
        <v>"C:\Program Files (x86)\AstroGrep\AstroGrep.exe" /spath="%USERPROFILE%\AppData\Local\Temp\OnboardLogs" /stypes="app*4017*20170103*" /stext=" 05:.+((SYSTEM_STATE.+slice.+state.+changed )|(ment ac)|(multiple cpu faults)|(system.+state.+changed )|(\[timeout)|(PRM\|1\|D)|(kpr)|(kdp)|(\|lc)|(penalty))" /e /r /s</v>
      </c>
      <c r="AG221" s="1" t="str">
        <f t="shared" si="88"/>
        <v>Other</v>
      </c>
      <c r="AH221" s="88" t="str">
        <f t="shared" si="89"/>
        <v>"%USERPROFILE%\Documents\GitHub\eaglep3\Utilities\RefineRTDCRunTimes.py" --tripid 908-02 --locoid 4017 --swversion DE.1.0.8.0 --startMP 300:58604 --initTime 2017-01-02T22:37:55 --startdatetime 2017-01-02T22:39:51 --delay 1 --endMP 300:21769 --enddatetime 2017-01-02T22:46:30 --enforcementcount 0 &gt;&gt;C:\Users\stu\Documents\GitHub\eaglep3-reporting\EC\2017-01-02-refined-times.txt</v>
      </c>
      <c r="AI221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{"issue":{"subject":"","project_id":79,"tracker_id":40,"status_id":1,"priority_id":2,"assigned_to_id":23,"start_date":"2017-01-02","description":"","custom_fields":[{"id":1,"name":"Subdivision","value":"Other"},{"id":4,"name":"Milepost","value":"2.1769"},{"id":17,"name":"Train ID","value":"908-02"},{"id":16,"name":"Locomotive ID","value":"4017"},{"id":130,"name":"Impact","value":""},{"id":150,"name":"Time of Event (Mountain Time)","value":"22:46:30"},{"id":151,"name":"Denver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91"/>
        <v>start /low /b %USERPROFILE%\Documents\GitHub\eaglep3\Utilities\DownloadLogsFromS3.py --loco 4017 --day 2017-01-02</v>
      </c>
    </row>
    <row r="222" spans="1:39" x14ac:dyDescent="0.25">
      <c r="A222" s="34" t="s">
        <v>531</v>
      </c>
      <c r="B222" s="7">
        <v>4043</v>
      </c>
      <c r="C222" s="22" t="s">
        <v>203</v>
      </c>
      <c r="D222" s="22" t="s">
        <v>730</v>
      </c>
      <c r="E222" s="13">
        <v>42737.459733796299</v>
      </c>
      <c r="F222" s="13">
        <v>42737.4608912037</v>
      </c>
      <c r="G222" s="7">
        <v>1</v>
      </c>
      <c r="H222" s="22" t="s">
        <v>731</v>
      </c>
      <c r="I222" s="13">
        <v>42737.466527777775</v>
      </c>
      <c r="J222" s="7">
        <v>0</v>
      </c>
      <c r="K222" s="105" t="str">
        <f t="shared" si="74"/>
        <v>4043/4044</v>
      </c>
      <c r="L222" s="22" t="str">
        <f>VLOOKUP(A222,'Trips&amp;Operators'!$C$1:$G$99999,5,FALSE)</f>
        <v>ADANE ELSHADAY</v>
      </c>
      <c r="M222" s="6">
        <f t="shared" si="75"/>
        <v>5.6365740747423843E-3</v>
      </c>
      <c r="N222" s="7">
        <f t="shared" si="76"/>
        <v>8.1166666676290333</v>
      </c>
      <c r="O222" s="7"/>
      <c r="P222" s="7"/>
      <c r="Q222" s="23"/>
      <c r="R222" s="23"/>
      <c r="S222" s="32">
        <f t="shared" si="77"/>
        <v>0</v>
      </c>
      <c r="T222" s="47" t="e">
        <f t="shared" si="78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10:02:01-700',mode:absolute,to:'2017-01-02 12:11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2" s="49" t="str">
        <f t="shared" si="80"/>
        <v>Y</v>
      </c>
      <c r="X222" s="173" t="e">
        <f t="shared" si="81"/>
        <v>#VALUE!</v>
      </c>
      <c r="Y222" s="64">
        <f t="shared" si="82"/>
        <v>2.1949000000000001</v>
      </c>
      <c r="Z222" s="64">
        <f t="shared" si="83"/>
        <v>8.6900000000000005E-2</v>
      </c>
      <c r="AA222" s="64">
        <f t="shared" si="84"/>
        <v>2.1080000000000001</v>
      </c>
      <c r="AB222" s="61" t="e">
        <f>VLOOKUP(A222,Enforcements!$C$7:$K$19,8,0)</f>
        <v>#N/A</v>
      </c>
      <c r="AC222" s="57" t="e">
        <f>VLOOKUP(A222,Enforcements!$C$7:$E$19,3,0)</f>
        <v>#N/A</v>
      </c>
      <c r="AD222" s="58" t="str">
        <f t="shared" si="85"/>
        <v>50-02</v>
      </c>
      <c r="AE222" s="87" t="str">
        <f t="shared" si="86"/>
        <v>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 &amp; aws s3 cp s3://rtdc.mdm.uploadarchive.raw/RTDC4043/ "%USERPROFILE%\AppData\Local\Temp\OnboardLogs"\RTDC4043\2017-01-03 --exclude "*" --recursive --include "*20170103*" &amp; "%USERPROFILE%\Documents\GitHub\mrs-test-scripts\Headless Mode &amp; Sideloading\WalkAndUnGZ.bat" "%USERPROFILE%\AppData\Local\Temp\OnboardLogs"\RTDC4043\2017-01-03</v>
      </c>
      <c r="AF222" s="84" t="str">
        <f t="shared" si="87"/>
        <v>"C:\Program Files (x86)\AstroGrep\AstroGrep.exe" /spath="%USERPROFILE%\AppData\Local\Temp\OnboardLogs" /stypes="app*4043*20170102*" /stext=" 18:.+((SYSTEM_STATE.+slice.+state.+changed )|(ment ac)|(multiple cpu faults)|(system.+state.+changed )|(\[timeout)|(PRM\|1\|D)|(kpr)|(kdp)|(\|lc)|(penalty))" /e /r /s</v>
      </c>
      <c r="AG222" s="1" t="str">
        <f t="shared" si="88"/>
        <v>Other</v>
      </c>
      <c r="AH222" s="88" t="str">
        <f t="shared" si="89"/>
        <v>"%USERPROFILE%\Documents\GitHub\eaglep3\Utilities\RefineRTDCRunTimes.py" --tripid 50-02 --locoid 4043 --swversion DE.1.0.8.0 --startMP 300:21949 --initTime 2017-01-02T11:02:01 --startdatetime 2017-01-02T11:03:41 --delay 1 --endMP 204:869 --enddatetime 2017-01-02T11:11:48 --enforcementcount 0 &gt;&gt;C:\Users\stu\Documents\GitHub\eaglep3-reporting\EC\2017-01-02-refined-times.txt</v>
      </c>
      <c r="AI222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{"issue":{"subject":"","project_id":79,"tracker_id":40,"status_id":1,"priority_id":2,"assigned_to_id":23,"start_date":"2017-01-02","description":"","custom_fields":[{"id":1,"name":"Subdivision","value":"Other"},{"id":4,"name":"Milepost","value":"0.0869"},{"id":17,"name":"Train ID","value":"50-02"},{"id":16,"name":"Locomotive ID","value":"4043"},{"id":130,"name":"Impact","value":""},{"id":150,"name":"Time of Event (Mountain Time)","value":"11:11:48"},{"id":151,"name":"Denver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91"/>
        <v>start /low /b %USERPROFILE%\Documents\GitHub\eaglep3\Utilities\DownloadLogsFromS3.py --loco 4043 --day 2017-01-02</v>
      </c>
    </row>
    <row r="223" spans="1:39" x14ac:dyDescent="0.25">
      <c r="A223" s="34" t="s">
        <v>544</v>
      </c>
      <c r="B223" s="7">
        <v>4044</v>
      </c>
      <c r="C223" s="22" t="s">
        <v>203</v>
      </c>
      <c r="D223" s="22" t="s">
        <v>732</v>
      </c>
      <c r="E223" s="13">
        <v>42737.502210648148</v>
      </c>
      <c r="F223" s="13">
        <v>42737.510694444441</v>
      </c>
      <c r="G223" s="7">
        <v>2</v>
      </c>
      <c r="H223" s="22" t="s">
        <v>733</v>
      </c>
      <c r="I223" s="13">
        <v>42737.515752314815</v>
      </c>
      <c r="J223" s="7">
        <v>0</v>
      </c>
      <c r="K223" s="105" t="str">
        <f t="shared" si="74"/>
        <v>4043/4044</v>
      </c>
      <c r="L223" s="22" t="str">
        <f>VLOOKUP(A223,'Trips&amp;Operators'!$C$1:$G$99999,5,FALSE)</f>
        <v>YORK EDGAR</v>
      </c>
      <c r="M223" s="6">
        <f t="shared" si="75"/>
        <v>5.0578703740029596E-3</v>
      </c>
      <c r="N223" s="7">
        <f t="shared" si="76"/>
        <v>7.2833333385642618</v>
      </c>
      <c r="O223" s="7"/>
      <c r="P223" s="7"/>
      <c r="Q223" s="23"/>
      <c r="R223" s="23"/>
      <c r="S223" s="32">
        <f t="shared" si="77"/>
        <v>0</v>
      </c>
      <c r="T223" s="47" t="e">
        <f t="shared" si="78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11:03:11-700',mode:absolute,to:'2017-01-02 13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3" s="49" t="str">
        <f t="shared" si="80"/>
        <v>Y</v>
      </c>
      <c r="X223" s="173" t="e">
        <f t="shared" si="81"/>
        <v>#VALUE!</v>
      </c>
      <c r="Y223" s="64">
        <f t="shared" si="82"/>
        <v>0.1181</v>
      </c>
      <c r="Z223" s="64">
        <f t="shared" si="83"/>
        <v>2.4220000000000002</v>
      </c>
      <c r="AA223" s="64">
        <f t="shared" si="84"/>
        <v>2.3039000000000001</v>
      </c>
      <c r="AB223" s="61" t="e">
        <f>VLOOKUP(A223,Enforcements!$C$7:$K$19,8,0)</f>
        <v>#N/A</v>
      </c>
      <c r="AC223" s="57" t="e">
        <f>VLOOKUP(A223,Enforcements!$C$7:$E$19,3,0)</f>
        <v>#N/A</v>
      </c>
      <c r="AD223" s="58" t="str">
        <f t="shared" si="85"/>
        <v>51-02</v>
      </c>
      <c r="AE223" s="87" t="str">
        <f t="shared" si="86"/>
        <v>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 &amp; aws s3 cp s3://rtdc.mdm.uploadarchive.raw/RTDC4044/ "%USERPROFILE%\AppData\Local\Temp\OnboardLogs"\RTDC4044\2017-01-03 --exclude "*" --recursive --include "*20170103*" &amp; "%USERPROFILE%\Documents\GitHub\mrs-test-scripts\Headless Mode &amp; Sideloading\WalkAndUnGZ.bat" "%USERPROFILE%\AppData\Local\Temp\OnboardLogs"\RTDC4044\2017-01-03</v>
      </c>
      <c r="AF223" s="84" t="str">
        <f t="shared" si="87"/>
        <v>"C:\Program Files (x86)\AstroGrep\AstroGrep.exe" /spath="%USERPROFILE%\AppData\Local\Temp\OnboardLogs" /stypes="app*4044*20170102*" /stext=" 19:.+((SYSTEM_STATE.+slice.+state.+changed )|(ment ac)|(multiple cpu faults)|(system.+state.+changed )|(\[timeout)|(PRM\|1\|D)|(kpr)|(kdp)|(\|lc)|(penalty))" /e /r /s</v>
      </c>
      <c r="AG223" s="1" t="str">
        <f t="shared" si="88"/>
        <v>Other</v>
      </c>
      <c r="AH223" s="88" t="str">
        <f t="shared" si="89"/>
        <v>"%USERPROFILE%\Documents\GitHub\eaglep3\Utilities\RefineRTDCRunTimes.py" --tripid 51-02 --locoid 4044 --swversion DE.1.0.8.0 --startMP 204:1181 --initTime 2017-01-02T12:03:11 --startdatetime 2017-01-02T12:15:24 --delay 2 --endMP 300:24220 --enddatetime 2017-01-02T12:22:41 --enforcementcount 0 &gt;&gt;C:\Users\stu\Documents\GitHub\eaglep3-reporting\EC\2017-01-02-refined-times.txt</v>
      </c>
      <c r="AI223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{"issue":{"subject":"","project_id":79,"tracker_id":40,"status_id":1,"priority_id":2,"assigned_to_id":23,"start_date":"2017-01-02","description":"","custom_fields":[{"id":1,"name":"Subdivision","value":"Other"},{"id":4,"name":"Milepost","value":"2.422"},{"id":17,"name":"Train ID","value":"51-02"},{"id":16,"name":"Locomotive ID","value":"4044"},{"id":130,"name":"Impact","value":""},{"id":150,"name":"Time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91"/>
        <v>start /low /b %USERPROFILE%\Documents\GitHub\eaglep3\Utilities\DownloadLogsFromS3.py --loco 4044 --day 2017-01-02</v>
      </c>
    </row>
    <row r="224" spans="1:39" x14ac:dyDescent="0.25">
      <c r="A224" s="34" t="s">
        <v>439</v>
      </c>
      <c r="B224" s="7">
        <v>4043</v>
      </c>
      <c r="C224" s="22" t="s">
        <v>203</v>
      </c>
      <c r="D224" s="22" t="s">
        <v>734</v>
      </c>
      <c r="E224" s="13">
        <v>42737.69667824074</v>
      </c>
      <c r="F224" s="13">
        <v>42737.697916666664</v>
      </c>
      <c r="G224" s="7">
        <v>1</v>
      </c>
      <c r="H224" s="22" t="s">
        <v>735</v>
      </c>
      <c r="I224" s="13">
        <v>42737.705439814818</v>
      </c>
      <c r="J224" s="7">
        <v>0</v>
      </c>
      <c r="K224" s="105" t="str">
        <f t="shared" si="74"/>
        <v>4043/4044</v>
      </c>
      <c r="L224" s="22" t="str">
        <f>VLOOKUP(A224,'Trips&amp;Operators'!$C$1:$G$99999,5,FALSE)</f>
        <v>CHANDLER KELVIN</v>
      </c>
      <c r="M224" s="6">
        <f t="shared" si="75"/>
        <v>7.5231481532682665E-3</v>
      </c>
      <c r="N224" s="7">
        <f t="shared" si="76"/>
        <v>10.833333340706304</v>
      </c>
      <c r="O224" s="7"/>
      <c r="P224" s="7"/>
      <c r="Q224" s="23"/>
      <c r="R224" s="23"/>
      <c r="S224" s="32">
        <f t="shared" si="77"/>
        <v>0</v>
      </c>
      <c r="T224" s="47" t="e">
        <f t="shared" si="78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15:43:13-700',mode:absolute,to:'2017-01-02 17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4" s="49" t="str">
        <f t="shared" si="80"/>
        <v>Y</v>
      </c>
      <c r="X224" s="173" t="e">
        <f t="shared" si="81"/>
        <v>#VALUE!</v>
      </c>
      <c r="Y224" s="64">
        <f t="shared" si="82"/>
        <v>2.3424999999999998</v>
      </c>
      <c r="Z224" s="64">
        <f t="shared" si="83"/>
        <v>1.06E-2</v>
      </c>
      <c r="AA224" s="64">
        <f t="shared" si="84"/>
        <v>2.3318999999999996</v>
      </c>
      <c r="AB224" s="61" t="e">
        <f>VLOOKUP(A224,Enforcements!$C$7:$K$19,8,0)</f>
        <v>#N/A</v>
      </c>
      <c r="AC224" s="57" t="e">
        <f>VLOOKUP(A224,Enforcements!$C$7:$E$19,3,0)</f>
        <v>#N/A</v>
      </c>
      <c r="AD224" s="58" t="str">
        <f t="shared" si="85"/>
        <v>52-02</v>
      </c>
      <c r="AE224" s="87" t="str">
        <f t="shared" si="86"/>
        <v>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 &amp; aws s3 cp s3://rtdc.mdm.uploadarchive.raw/RTDC4043/ "%USERPROFILE%\AppData\Local\Temp\OnboardLogs"\RTDC4043\2017-01-03 --exclude "*" --recursive --include "*20170103*" &amp; "%USERPROFILE%\Documents\GitHub\mrs-test-scripts\Headless Mode &amp; Sideloading\WalkAndUnGZ.bat" "%USERPROFILE%\AppData\Local\Temp\OnboardLogs"\RTDC4043\2017-01-03</v>
      </c>
      <c r="AF224" s="84" t="str">
        <f t="shared" si="87"/>
        <v>"C:\Program Files (x86)\AstroGrep\AstroGrep.exe" /spath="%USERPROFILE%\AppData\Local\Temp\OnboardLogs" /stypes="app*4043*20170102*" /stext=" 23:.+((SYSTEM_STATE.+slice.+state.+changed )|(ment ac)|(multiple cpu faults)|(system.+state.+changed )|(\[timeout)|(PRM\|1\|D)|(kpr)|(kdp)|(\|lc)|(penalty))" /e /r /s</v>
      </c>
      <c r="AG224" s="1" t="str">
        <f t="shared" si="88"/>
        <v>Other</v>
      </c>
      <c r="AH224" s="88" t="str">
        <f t="shared" si="89"/>
        <v>"%USERPROFILE%\Documents\GitHub\eaglep3\Utilities\RefineRTDCRunTimes.py" --tripid 52-02 --locoid 4043 --swversion DE.1.0.8.0 --startMP 300:23425 --initTime 2017-01-02T16:43:13 --startdatetime 2017-01-02T16:45:00 --delay 1 --endMP 204:106 --enddatetime 2017-01-02T16:55:50 --enforcementcount 0 &gt;&gt;C:\Users\stu\Documents\GitHub\eaglep3-reporting\EC\2017-01-02-refined-times.txt</v>
      </c>
      <c r="AI224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{"issue":{"subject":"","project_id":79,"tracker_id":40,"status_id":1,"priority_id":2,"assigned_to_id":23,"start_date":"2017-01-02","description":"","custom_fields":[{"id":1,"name":"Subdivision","value":"Other"},{"id":4,"name":"Milepost","value":"0.0106"},{"id":17,"name":"Train ID","value":"52-02"},{"id":16,"name":"Locomotive ID","value":"4043"},{"id":130,"name":"Impact","value":""},{"id":150,"name":"Time of Event (Mountain Time)","value":"16:55:50"},{"id":151,"name":"Denver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91"/>
        <v>start /low /b %USERPROFILE%\Documents\GitHub\eaglep3\Utilities\DownloadLogsFromS3.py --loco 4043 --day 2017-01-02</v>
      </c>
    </row>
    <row r="225" spans="1:39" x14ac:dyDescent="0.25">
      <c r="A225" s="34" t="s">
        <v>613</v>
      </c>
      <c r="B225" s="7">
        <v>4054</v>
      </c>
      <c r="C225" s="22" t="s">
        <v>203</v>
      </c>
      <c r="D225" s="22" t="s">
        <v>736</v>
      </c>
      <c r="E225" s="13">
        <v>42737.758877314816</v>
      </c>
      <c r="F225" s="13">
        <v>42737.759976851848</v>
      </c>
      <c r="G225" s="7">
        <v>1</v>
      </c>
      <c r="H225" s="22">
        <v>8.5381944444444446</v>
      </c>
      <c r="I225" s="13">
        <v>42737.768090277779</v>
      </c>
      <c r="J225" s="7">
        <v>0</v>
      </c>
      <c r="K225" s="105" t="str">
        <f t="shared" si="74"/>
        <v>4053/4054</v>
      </c>
      <c r="L225" s="22" t="str">
        <f>VLOOKUP(A225,'Trips&amp;Operators'!$C$1:$G$99999,5,FALSE)</f>
        <v>STORY SAMANTHA</v>
      </c>
      <c r="M225" s="6">
        <f t="shared" si="75"/>
        <v>8.1134259307873435E-3</v>
      </c>
      <c r="N225" s="7">
        <f t="shared" si="76"/>
        <v>11.683333340333775</v>
      </c>
      <c r="O225" s="7"/>
      <c r="P225" s="7"/>
      <c r="Q225" s="23"/>
      <c r="R225" s="23"/>
      <c r="S225" s="32">
        <f t="shared" si="77"/>
        <v>0</v>
      </c>
      <c r="T225" s="47" t="e">
        <f t="shared" si="78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17:12:47-700',mode:absolute,to:'2017-01-02 19:26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25" s="49" t="str">
        <f t="shared" si="80"/>
        <v>N</v>
      </c>
      <c r="X225" s="173" t="e">
        <f t="shared" si="81"/>
        <v>#VALUE!</v>
      </c>
      <c r="Y225" s="64">
        <f t="shared" si="82"/>
        <v>2.1755</v>
      </c>
      <c r="Z225" s="64">
        <f t="shared" si="83"/>
        <v>81944444.444399998</v>
      </c>
      <c r="AA225" s="64">
        <f t="shared" si="84"/>
        <v>81944442.268899992</v>
      </c>
      <c r="AB225" s="61" t="e">
        <f>VLOOKUP(A225,Enforcements!$C$7:$K$19,8,0)</f>
        <v>#N/A</v>
      </c>
      <c r="AC225" s="57" t="e">
        <f>VLOOKUP(A225,Enforcements!$C$7:$E$19,3,0)</f>
        <v>#N/A</v>
      </c>
      <c r="AD225" s="58" t="str">
        <f t="shared" si="85"/>
        <v>54-02</v>
      </c>
      <c r="AE225" s="87" t="str">
        <f t="shared" si="86"/>
        <v>aws s3 cp s3://rtdc.mdm.uploadarchive.raw/RTDC4054/ "%USERPROFILE%\AppData\Local\Temp\OnboardLogs"\RTDC4054\2017-01-02 --exclude "*" --recursive --include "*20170102*" &amp; "%USERPROFILE%\Documents\GitHub\mrs-test-scripts\Headless Mode &amp; Sideloading\WalkAndUnGZ.bat" "%USERPROFILE%\AppData\Local\Temp\OnboardLogs"\RTDC4054\2017-01-02 &amp; aws s3 cp s3://rtdc.mdm.uploadarchive.raw/RTDC4054/ "%USERPROFILE%\AppData\Local\Temp\OnboardLogs"\RTDC4054\2017-01-03 --exclude "*" --recursive --include "*20170103*" &amp; "%USERPROFILE%\Documents\GitHub\mrs-test-scripts\Headless Mode &amp; Sideloading\WalkAndUnGZ.bat" "%USERPROFILE%\AppData\Local\Temp\OnboardLogs"\RTDC4054\2017-01-03</v>
      </c>
      <c r="AF225" s="84" t="str">
        <f t="shared" si="87"/>
        <v>"C:\Program Files (x86)\AstroGrep\AstroGrep.exe" /spath="%USERPROFILE%\AppData\Local\Temp\OnboardLogs" /stypes="app*4054*20170103*" /stext=" 01:.+((SYSTEM_STATE.+slice.+state.+changed )|(ment ac)|(multiple cpu faults)|(system.+state.+changed )|(\[timeout)|(PRM\|1\|D)|(kpr)|(kdp)|(\|lc)|(penalty))" /e /r /s</v>
      </c>
      <c r="AG225" s="1" t="str">
        <f t="shared" si="88"/>
        <v>Other</v>
      </c>
      <c r="AH225" s="88" t="str">
        <f t="shared" si="89"/>
        <v>"%USERPROFILE%\Documents\GitHub\eaglep3\Utilities\RefineRTDCRunTimes.py" --tripid 54-02 --locoid 4054 --swversion DE.1.0.8.0 --startMP 300:21755 --initTime 2017-01-02T18:12:47 --startdatetime 2017-01-02T18:14:22 --delay 1 --endMP 8.53819444444444 --enddatetime 2017-01-02T18:26:03 --enforcementcount 0 &gt;&gt;C:\Users\stu\Documents\GitHub\eaglep3-reporting\EC\2017-01-02-refined-times.txt</v>
      </c>
      <c r="AI225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81944444.4444"},{"id":17,"name":"Train ID","value":"54-02"},{"id":16,"name":"Locomotive ID","value":"4054"},{"id":130,"name":"Impact","value":""},{"id":150,"name":"Time of Event (Mountain Time)","value":"18:26:03"},{"id":151,"name":"Denver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91"/>
        <v>start /low /b %USERPROFILE%\Documents\GitHub\eaglep3\Utilities\DownloadLogsFromS3.py --loco 4054 --day 2017-01-02</v>
      </c>
    </row>
    <row r="226" spans="1:39" x14ac:dyDescent="0.25">
      <c r="A226" s="34" t="s">
        <v>624</v>
      </c>
      <c r="B226" s="7">
        <v>4053</v>
      </c>
      <c r="C226" s="22" t="s">
        <v>203</v>
      </c>
      <c r="D226" s="22" t="s">
        <v>737</v>
      </c>
      <c r="E226" s="13">
        <v>42737.784895833334</v>
      </c>
      <c r="F226" s="13">
        <v>25568.708333333332</v>
      </c>
      <c r="G226" s="7">
        <v>1</v>
      </c>
      <c r="H226" s="22" t="s">
        <v>317</v>
      </c>
      <c r="I226" s="13">
        <v>25568.708333333332</v>
      </c>
      <c r="J226" s="7">
        <v>0</v>
      </c>
      <c r="K226" s="105" t="str">
        <f t="shared" si="74"/>
        <v>4053/4054</v>
      </c>
      <c r="L226" s="22" t="str">
        <f>VLOOKUP(A226,'Trips&amp;Operators'!$C$1:$G$99999,5,FALSE)</f>
        <v>DAVIDSON DAVID</v>
      </c>
      <c r="M226" s="6">
        <f t="shared" si="75"/>
        <v>0</v>
      </c>
      <c r="N226" s="7">
        <f t="shared" si="76"/>
        <v>0</v>
      </c>
      <c r="O226" s="7"/>
      <c r="P226" s="7"/>
      <c r="Q226" s="23"/>
      <c r="R226" s="23"/>
      <c r="S226" s="32">
        <f t="shared" si="77"/>
        <v>0</v>
      </c>
      <c r="T226" s="47" t="e">
        <f t="shared" si="78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17:50:15-700',mode:absolute,to:'1969-12-31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26" s="49" t="str">
        <f t="shared" si="80"/>
        <v>Y</v>
      </c>
      <c r="X226" s="173" t="e">
        <f t="shared" si="81"/>
        <v>#VALUE!</v>
      </c>
      <c r="Y226" s="64">
        <f t="shared" si="82"/>
        <v>3.4099999999999998E-2</v>
      </c>
      <c r="Z226" s="64">
        <f t="shared" si="83"/>
        <v>2.3304</v>
      </c>
      <c r="AA226" s="64">
        <f t="shared" si="84"/>
        <v>2.2963</v>
      </c>
      <c r="AB226" s="61" t="e">
        <f>VLOOKUP(A226,Enforcements!$C$7:$K$19,8,0)</f>
        <v>#N/A</v>
      </c>
      <c r="AC226" s="57" t="e">
        <f>VLOOKUP(A226,Enforcements!$C$7:$E$19,3,0)</f>
        <v>#N/A</v>
      </c>
      <c r="AD226" s="58" t="str">
        <f t="shared" si="85"/>
        <v>55-02</v>
      </c>
      <c r="AE226" s="87" t="str">
        <f t="shared" si="86"/>
        <v>aws s3 cp s3://rtdc.mdm.uploadarchive.raw/RTDC4053/ "%USERPROFILE%\AppData\Local\Temp\OnboardLogs"\RTDC4053\1969-12-31 --exclude "*" --recursive --include "*19691231*" &amp; "%USERPROFILE%\Documents\GitHub\mrs-test-scripts\Headless Mode &amp; Sideloading\WalkAndUnGZ.bat" "%USERPROFILE%\AppData\Local\Temp\OnboardLogs"\RTDC4053\1969-12-31 &amp; aws s3 cp s3://rtdc.mdm.uploadarchive.raw/RTDC4053/ "%USERPROFILE%\AppData\Local\Temp\OnboardLogs"\RTDC4053\1970-01-01 --exclude "*" --recursive --include "*19700101*" &amp; "%USERPROFILE%\Documents\GitHub\mrs-test-scripts\Headless Mode &amp; Sideloading\WalkAndUnGZ.bat" "%USERPROFILE%\AppData\Local\Temp\OnboardLogs"\RTDC4053\1970-01-01</v>
      </c>
      <c r="AF226" s="84" t="str">
        <f t="shared" si="87"/>
        <v>"C:\Program Files (x86)\AstroGrep\AstroGrep.exe" /spath="%USERPROFILE%\AppData\Local\Temp\OnboardLogs" /stypes="app*4053*19700101*" /stext=" 00:.+((SYSTEM_STATE.+slice.+state.+changed )|(ment ac)|(multiple cpu faults)|(system.+state.+changed )|(\[timeout)|(PRM\|1\|D)|(kpr)|(kdp)|(\|lc)|(penalty))" /e /r /s</v>
      </c>
      <c r="AG226" s="1" t="str">
        <f t="shared" si="88"/>
        <v>Other</v>
      </c>
      <c r="AH226" s="88" t="str">
        <f t="shared" si="89"/>
        <v>"%USERPROFILE%\Documents\GitHub\eaglep3\Utilities\RefineRTDCRunTimes.py" --tripid 55-02 --locoid 4053 --swversion DE.1.0.8.0 --startMP 204:341 --initTime 2017-01-02T18:50:15 --startdatetime 1969-12-31T17:00:00 --delay 1 --endMP 300:23304 --enddatetime 1969-12-31T17:00:00 --enforcementcount 0 &gt;&gt;C:\Users\stu\Documents\GitHub\eaglep3-reporting\EC\2017-01-02-refined-times.txt</v>
      </c>
      <c r="AI226" s="115" t="str">
        <f t="shared" si="90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ID","value":"55-02"},{"id":16,"name":"Locomotive ID","value":"4053"},{"id":130,"name":"Impact","value":""},{"id":150,"name":"Time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91"/>
        <v>start /low /b %USERPROFILE%\Documents\GitHub\eaglep3\Utilities\DownloadLogsFromS3.py --loco 4053 --day 1969-12-31</v>
      </c>
    </row>
    <row r="227" spans="1:39" x14ac:dyDescent="0.25">
      <c r="A227" s="34" t="s">
        <v>607</v>
      </c>
      <c r="B227" s="7">
        <v>4044</v>
      </c>
      <c r="C227" s="22" t="s">
        <v>203</v>
      </c>
      <c r="D227" s="22" t="s">
        <v>738</v>
      </c>
      <c r="E227" s="13">
        <v>42737.728252314817</v>
      </c>
      <c r="F227" s="13">
        <v>42737.730891203704</v>
      </c>
      <c r="G227" s="7">
        <v>3</v>
      </c>
      <c r="H227" s="22" t="s">
        <v>739</v>
      </c>
      <c r="I227" s="13">
        <v>42737.73715277778</v>
      </c>
      <c r="J227" s="7">
        <v>0</v>
      </c>
      <c r="K227" s="105" t="str">
        <f t="shared" si="74"/>
        <v>4043/4044</v>
      </c>
      <c r="L227" s="22" t="str">
        <f>VLOOKUP(A227,'Trips&amp;Operators'!$C$1:$G$99999,5,FALSE)</f>
        <v>LEVERE CRAIG</v>
      </c>
      <c r="M227" s="6">
        <f t="shared" si="75"/>
        <v>6.2615740753244609E-3</v>
      </c>
      <c r="N227" s="7">
        <f t="shared" si="76"/>
        <v>9.0166666684672236</v>
      </c>
      <c r="O227" s="7"/>
      <c r="P227" s="7"/>
      <c r="Q227" s="23"/>
      <c r="R227" s="23"/>
      <c r="S227" s="32">
        <f t="shared" si="77"/>
        <v>0</v>
      </c>
      <c r="T227" s="47" t="e">
        <f t="shared" si="78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16:28:41-700',mode:absolute,to:'2017-01-02 18:41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7" s="49" t="str">
        <f t="shared" si="80"/>
        <v>Y</v>
      </c>
      <c r="X227" s="173" t="e">
        <f t="shared" si="81"/>
        <v>#VALUE!</v>
      </c>
      <c r="Y227" s="64">
        <f t="shared" si="82"/>
        <v>4.0399999999999998E-2</v>
      </c>
      <c r="Z227" s="64">
        <f t="shared" si="83"/>
        <v>2.2841</v>
      </c>
      <c r="AA227" s="64">
        <f t="shared" si="84"/>
        <v>2.2437</v>
      </c>
      <c r="AB227" s="61" t="e">
        <f>VLOOKUP(A227,Enforcements!$C$7:$K$19,8,0)</f>
        <v>#N/A</v>
      </c>
      <c r="AC227" s="57" t="e">
        <f>VLOOKUP(A227,Enforcements!$C$7:$E$19,3,0)</f>
        <v>#N/A</v>
      </c>
      <c r="AD227" s="58" t="str">
        <f t="shared" si="85"/>
        <v>65-02</v>
      </c>
      <c r="AE227" s="87" t="str">
        <f t="shared" si="86"/>
        <v>aws s3 cp s3://rtdc.mdm.uploadarchive.raw/RTDC4044/ "%USERPROFILE%\AppData\Local\Temp\OnboardLogs"\RTDC4044\2017-01-02 --exclude "*" --recursive --include "*20170102*" &amp; "%USERPROFILE%\Documents\GitHub\mrs-test-scripts\Headless Mode &amp; Sideloading\WalkAndUnGZ.bat" "%USERPROFILE%\AppData\Local\Temp\OnboardLogs"\RTDC4044\2017-01-02 &amp; aws s3 cp s3://rtdc.mdm.uploadarchive.raw/RTDC4044/ "%USERPROFILE%\AppData\Local\Temp\OnboardLogs"\RTDC4044\2017-01-03 --exclude "*" --recursive --include "*20170103*" &amp; "%USERPROFILE%\Documents\GitHub\mrs-test-scripts\Headless Mode &amp; Sideloading\WalkAndUnGZ.bat" "%USERPROFILE%\AppData\Local\Temp\OnboardLogs"\RTDC4044\2017-01-03</v>
      </c>
      <c r="AF227" s="84" t="str">
        <f t="shared" si="87"/>
        <v>"C:\Program Files (x86)\AstroGrep\AstroGrep.exe" /spath="%USERPROFILE%\AppData\Local\Temp\OnboardLogs" /stypes="app*4044*20170103*" /stext=" 00:.+((SYSTEM_STATE.+slice.+state.+changed )|(ment ac)|(multiple cpu faults)|(system.+state.+changed )|(\[timeout)|(PRM\|1\|D)|(kpr)|(kdp)|(\|lc)|(penalty))" /e /r /s</v>
      </c>
      <c r="AG227" s="1" t="str">
        <f t="shared" si="88"/>
        <v>Other</v>
      </c>
      <c r="AH227" s="88" t="str">
        <f t="shared" si="89"/>
        <v>"%USERPROFILE%\Documents\GitHub\eaglep3\Utilities\RefineRTDCRunTimes.py" --tripid 65-02 --locoid 4044 --swversion DE.1.0.8.0 --startMP 204:404 --initTime 2017-01-02T17:28:41 --startdatetime 2017-01-02T17:32:29 --delay 3 --endMP 300:22841 --enddatetime 2017-01-02T17:41:30 --enforcementcount 0 &gt;&gt;C:\Users\stu\Documents\GitHub\eaglep3-reporting\EC\2017-01-02-refined-times.txt</v>
      </c>
      <c r="AI227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{"issue":{"subject":"","project_id":79,"tracker_id":40,"status_id":1,"priority_id":2,"assigned_to_id":23,"start_date":"2017-01-02","description":"","custom_fields":[{"id":1,"name":"Subdivision","value":"Other"},{"id":4,"name":"Milepost","value":"2.2841"},{"id":17,"name":"Train ID","value":"65-02"},{"id":16,"name":"Locomotive ID","value":"4044"},{"id":130,"name":"Impact","value":""},{"id":150,"name":"Time of Event (Mountain Time)","value":"17:41:30"},{"id":151,"name":"Denver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91"/>
        <v>start /low /b %USERPROFILE%\Documents\GitHub\eaglep3\Utilities\DownloadLogsFromS3.py --loco 4044 --day 2017-01-02</v>
      </c>
    </row>
    <row r="228" spans="1:39" x14ac:dyDescent="0.25">
      <c r="A228" s="34" t="s">
        <v>441</v>
      </c>
      <c r="B228" s="7">
        <v>4020</v>
      </c>
      <c r="C228" s="22" t="s">
        <v>203</v>
      </c>
      <c r="D228" s="22" t="s">
        <v>740</v>
      </c>
      <c r="E228" s="13">
        <v>42737.711006944446</v>
      </c>
      <c r="F228" s="13">
        <v>42737.733807870369</v>
      </c>
      <c r="G228" s="7">
        <v>1</v>
      </c>
      <c r="H228" s="22" t="s">
        <v>741</v>
      </c>
      <c r="I228" s="13">
        <v>42737.734490740739</v>
      </c>
      <c r="J228" s="7">
        <v>0</v>
      </c>
      <c r="K228" s="105" t="str">
        <f t="shared" si="74"/>
        <v>4019/4020</v>
      </c>
      <c r="L228" s="22" t="str">
        <f>VLOOKUP(A228,'Trips&amp;Operators'!$C$1:$G$99999,5,FALSE)</f>
        <v>BRANDNER MELINDA</v>
      </c>
      <c r="M228" s="6">
        <f t="shared" si="75"/>
        <v>6.8287036992842332E-4</v>
      </c>
      <c r="N228" s="7">
        <f t="shared" si="76"/>
        <v>0.98333333269692957</v>
      </c>
      <c r="O228" s="7"/>
      <c r="P228" s="7"/>
      <c r="Q228" s="23"/>
      <c r="R228" s="23"/>
      <c r="S228" s="32">
        <f t="shared" si="77"/>
        <v>0</v>
      </c>
      <c r="T228" s="47" t="e">
        <f t="shared" si="78"/>
        <v>#VALUE!</v>
      </c>
      <c r="U228" s="167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https://search-rtdc-monitor-bjffxe2xuh6vdkpspy63sjmuny.us-east-1.es.amazonaws.com/_plugin/kibana/#/discover/Steve-Slow-Train-Analysis-(2080s-and-2083s)?_g=(refreshInterval:(display:Off,section:0,value:0),time:(from:'2017-01-02 16:03:51-700',mode:absolute,to:'2017-01-02 18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28" s="49" t="str">
        <f t="shared" si="80"/>
        <v>Y</v>
      </c>
      <c r="X228" s="173" t="e">
        <f t="shared" si="81"/>
        <v>#VALUE!</v>
      </c>
      <c r="Y228" s="64">
        <f t="shared" si="82"/>
        <v>0.14729999999999999</v>
      </c>
      <c r="Z228" s="64">
        <f t="shared" si="83"/>
        <v>0.1827</v>
      </c>
      <c r="AA228" s="64">
        <f t="shared" si="84"/>
        <v>3.5400000000000015E-2</v>
      </c>
      <c r="AB228" s="61" t="e">
        <f>VLOOKUP(A228,Enforcements!$C$7:$K$19,8,0)</f>
        <v>#N/A</v>
      </c>
      <c r="AC228" s="57" t="e">
        <f>VLOOKUP(A228,Enforcements!$C$7:$E$19,3,0)</f>
        <v>#N/A</v>
      </c>
      <c r="AD228" s="58" t="str">
        <f t="shared" si="85"/>
        <v>67-02</v>
      </c>
      <c r="AE228" s="87" t="str">
        <f t="shared" si="86"/>
        <v>aws s3 cp s3://rtdc.mdm.uploadarchive.raw/RTDC4020/ "%USERPROFILE%\AppData\Local\Temp\OnboardLogs"\RTDC4020\2017-01-02 --exclude "*" --recursive --include "*20170102*" &amp; "%USERPROFILE%\Documents\GitHub\mrs-test-scripts\Headless Mode &amp; Sideloading\WalkAndUnGZ.bat" "%USERPROFILE%\AppData\Local\Temp\OnboardLogs"\RTDC4020\2017-01-02 &amp; 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</v>
      </c>
      <c r="AF228" s="84" t="str">
        <f t="shared" si="87"/>
        <v>"C:\Program Files (x86)\AstroGrep\AstroGrep.exe" /spath="%USERPROFILE%\AppData\Local\Temp\OnboardLogs" /stypes="app*4020*20170103*" /stext=" 00:.+((SYSTEM_STATE.+slice.+state.+changed )|(ment ac)|(multiple cpu faults)|(system.+state.+changed )|(\[timeout)|(PRM\|1\|D)|(kpr)|(kdp)|(\|lc)|(penalty))" /e /r /s</v>
      </c>
      <c r="AG228" s="1" t="str">
        <f t="shared" si="88"/>
        <v>Other</v>
      </c>
      <c r="AH228" s="88" t="str">
        <f t="shared" si="89"/>
        <v>"%USERPROFILE%\Documents\GitHub\eaglep3\Utilities\RefineRTDCRunTimes.py" --tripid 67-02 --locoid 4020 --swversion DE.1.0.8.0 --startMP 204:1473 --initTime 2017-01-02T17:03:51 --startdatetime 2017-01-02T17:36:41 --delay 1 --endMP 204:1827 --enddatetime 2017-01-02T17:37:40 --enforcementcount 0 &gt;&gt;C:\Users\stu\Documents\GitHub\eaglep3-reporting\EC\2017-01-02-refined-times.txt</v>
      </c>
      <c r="AI228" s="115" t="str">
        <f t="shared" si="90"/>
        <v>echo {"issue":{"subject":"","project_id":79,"tracker_id":40,"status_id":1,"priority_id":2,"assigned_to_id":23,"start_date":"2017-01-02","description":"","custom_fields":[{"id":1,"name":"Subdivision","value":"Other"},{"id":4,"name":"Milepost","value":"0.1827"},{"id":17,"name":"Train ID","value":"67-02"},{"id":16,"name":"Locomotive ID","value":"4020"},{"id":130,"name":"Impact","value":""},{"id":150,"name":"Time of Event (Mountain Time)","value":"17:37:40"},{"id":151,"name":"Denver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0"/>
      <c r="AK228" s="50"/>
      <c r="AL228" s="50"/>
      <c r="AM228" s="180" t="str">
        <f t="shared" si="91"/>
        <v>start /low /b %USERPROFILE%\Documents\GitHub\eaglep3\Utilities\DownloadLogsFromS3.py --loco 4020 --day 2017-01-02</v>
      </c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  <c r="AM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  <c r="AM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</sheetData>
  <autoFilter ref="A12:AG220">
    <sortState ref="A13:AG230">
      <sortCondition ref="AG13:AG230"/>
      <sortCondition ref="AD13:AD230"/>
    </sortState>
  </autoFilter>
  <sortState ref="A13:AH200">
    <sortCondition ref="AG13:AG200"/>
    <sortCondition ref="AD13:AD200"/>
  </sortState>
  <mergeCells count="1">
    <mergeCell ref="A11:P11"/>
  </mergeCells>
  <conditionalFormatting sqref="W11:W12 W234:X1048576 W13:X228">
    <cfRule type="cellIs" dxfId="10" priority="352" operator="equal">
      <formula>"Y"</formula>
    </cfRule>
  </conditionalFormatting>
  <conditionalFormatting sqref="X234:X1048576 X13:X228">
    <cfRule type="cellIs" dxfId="9" priority="335" operator="greaterThan">
      <formula>1</formula>
    </cfRule>
  </conditionalFormatting>
  <conditionalFormatting sqref="X234:X1048576 X12:X228">
    <cfRule type="cellIs" dxfId="8" priority="332" operator="equal">
      <formula>0</formula>
    </cfRule>
  </conditionalFormatting>
  <conditionalFormatting sqref="A13:S228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AK13:AK228</xm:sqref>
        </x14:dataValidation>
        <x14:dataValidation type="list" allowBlank="1" showInputMessage="1" showErrorMessage="1">
          <x14:formula1>
            <xm:f>'Redmine List Values'!$C$2:$C$15</xm:f>
          </x14:formula1>
          <xm:sqref>AL13:AL228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F7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8.8554687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COUNTIF($O$7:$O$332,"=Y")</f>
        <v>0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COUNTA($O$7:$O$332)-O2</f>
        <v>24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- 2017-01-02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224</v>
      </c>
      <c r="AE6" s="181" t="s">
        <v>376</v>
      </c>
    </row>
    <row r="7" spans="1:31" s="1" customFormat="1" x14ac:dyDescent="0.25">
      <c r="A7" s="33">
        <v>42737.549328703702</v>
      </c>
      <c r="B7" s="31" t="s">
        <v>223</v>
      </c>
      <c r="C7" s="31" t="s">
        <v>435</v>
      </c>
      <c r="D7" s="31" t="s">
        <v>49</v>
      </c>
      <c r="E7" s="31" t="s">
        <v>240</v>
      </c>
      <c r="F7" s="44">
        <v>0</v>
      </c>
      <c r="G7" s="44">
        <v>90</v>
      </c>
      <c r="H7" s="44">
        <v>26599</v>
      </c>
      <c r="I7" s="44">
        <v>26740</v>
      </c>
      <c r="J7" s="31" t="s">
        <v>241</v>
      </c>
      <c r="K7" s="44">
        <v>27052</v>
      </c>
      <c r="L7" s="150" t="s">
        <v>50</v>
      </c>
      <c r="M7" s="151">
        <f t="shared" ref="M7:M30" si="0">CONVERT((I7-K7)/10000,"mi","ft")*IF(L7="Increasing Mileposts (1)",-1,1)</f>
        <v>164.73599999999999</v>
      </c>
      <c r="N7" s="152" t="str">
        <f>VLOOKUP(C7,'Trips&amp;Operators'!$C$1:$G$99999,5,FALSE)</f>
        <v>DAVIS MICHAEL</v>
      </c>
      <c r="O7" s="179" t="s">
        <v>195</v>
      </c>
      <c r="P7" s="153" t="s">
        <v>823</v>
      </c>
      <c r="Q7" s="31"/>
      <c r="R7" s="96" t="str">
        <f>VLOOKUP(C7,'Train Runs'!$A$13:$AE$9964,31,0)</f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S7" s="99" t="str">
        <f>VLOOKUP(C7,'Train Runs'!$A$13:$AE$9964,22,0)</f>
        <v>https://search-rtdc-monitor-bjffxe2xuh6vdkpspy63sjmuny.us-east-1.es.amazonaws.com/_plugin/kibana/#/discover/Steve-Slow-Train-Analysis-(2080s-and-2083s)?_g=(refreshInterval:(display:Off,section:0,value:0),time:(from:'2017-01-02 11:56:44-700',mode:absolute,to:'2017-01-02 14:43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7" s="101" t="str">
        <f t="shared" ref="T7:T30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/stypes="*4014*201701022*" /stext=" 20:.+((SYSTEM_STATE.+slice.+state.+changed )|(ment ac)|(multiple cpu faults)|(system.+state.+changed )|(\[timeout)|(PRM\|1\|D)|(kpr)|(kdp)|(\|lc)|(penalty))" /e /r /s</v>
      </c>
      <c r="U7" s="9" t="str">
        <f t="shared" ref="U7:U30" si="2">MID(B7,13,4)</f>
        <v>4014</v>
      </c>
      <c r="V7" s="33">
        <f t="shared" ref="V7:V30" si="3">A7-utc_offset/24</f>
        <v>42737.840995370367</v>
      </c>
      <c r="W7" s="47" t="str">
        <f t="shared" ref="W7:W30" si="4">IF(VALUE(LEFT(IF(LEN(C7)=6,"0"&amp;C7,C7),2))&lt;=2,"EC",IF(OR(VALUE(LEFT(IF(LEN(C7)=6,"0"&amp;C7,C7),2))=8,VALUE(LEFT(IF(LEN(C7)=6,"0"&amp;C7,C7),2))=18),"NW","Other"))</f>
        <v>EC</v>
      </c>
      <c r="X7" s="47" t="str">
        <f t="shared" ref="X7:X30" si="5">IF(AND(E7="TRACK WARRANT AUTHORITY",G7&lt;10),"OMIT","KEEP")</f>
        <v>KEEP</v>
      </c>
      <c r="Y7" s="115" t="str">
        <f t="shared" ref="Y7:Y3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C","project_id":79,"tracker_id":40,"status_id":1,"priority_id":2,"assigned_to_id":23,"start_date":"2017-01-02","description":"","custom_fields":[{"id":1,"name":"Subdivision","value":"EC"},{"id":4,"name":"Milepost","value":"2.7052"},{"id":17,"name":"Train ID","value":"175-02"},{"id":16,"name":"Locomotive ID","value":"4014"},{"id":130,"name":"Impact","value":""},{"id":150,"name":"Time of Event (Mountain Time)","value":"13:11:02"},{"id":151,"name":"Denver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30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"%USERPROFILE%\AppData\Local\Temp\OnboardLogs"\RTDC4014\*4014*201701022*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"%USERPROFILE%\AppData\Local\Temp\OnboardLogs"\RTDC4014\*4014*201701022* &gt;&gt; 42737-slicedisagreementcheck.txt</v>
      </c>
      <c r="AE7" s="183" t="str">
        <f t="shared" ref="AE7:AE30" si="8">"start /low /b "&amp;dls3logs&amp;" --loco "&amp;U7&amp;" --day "&amp;TEXT(V7,"YYYY-MM-DD")</f>
        <v>start /low /b %USERPROFILE%\Documents\GitHub\eaglep3\Utilities\DownloadLogsFromS3.py --loco 4014 --day 2017-01-02</v>
      </c>
    </row>
    <row r="8" spans="1:31" s="1" customFormat="1" x14ac:dyDescent="0.25">
      <c r="A8" s="33">
        <v>42737.640451388892</v>
      </c>
      <c r="B8" s="31" t="s">
        <v>349</v>
      </c>
      <c r="C8" s="31" t="s">
        <v>436</v>
      </c>
      <c r="D8" s="31" t="s">
        <v>98</v>
      </c>
      <c r="E8" s="31" t="s">
        <v>240</v>
      </c>
      <c r="F8" s="44">
        <v>150</v>
      </c>
      <c r="G8" s="44">
        <v>203</v>
      </c>
      <c r="H8" s="44">
        <v>27251</v>
      </c>
      <c r="I8" s="44">
        <v>27458</v>
      </c>
      <c r="J8" s="31" t="s">
        <v>241</v>
      </c>
      <c r="K8" s="44">
        <v>27053</v>
      </c>
      <c r="L8" s="150" t="s">
        <v>50</v>
      </c>
      <c r="M8" s="151">
        <f t="shared" si="0"/>
        <v>-213.84</v>
      </c>
      <c r="N8" s="152" t="str">
        <f>VLOOKUP(C8,'Trips&amp;Operators'!$C$1:$G$99999,5,FALSE)</f>
        <v>ADANE ELSHADAY</v>
      </c>
      <c r="O8" s="179" t="s">
        <v>195</v>
      </c>
      <c r="P8" s="153" t="s">
        <v>824</v>
      </c>
      <c r="Q8" s="31"/>
      <c r="R8" s="96" t="str">
        <f>VLOOKUP(C8,'Train Runs'!$A$13:$AE$9964,31,0)</f>
        <v>aws s3 cp s3://rtdc.mdm.uploadarchive.raw/RTDC4029/ "%USERPROFILE%\AppData\Local\Temp\OnboardLogs"\RTDC4029\2017-01-02 --exclude "*" --recursive --include "*20170102*" &amp; "%USERPROFILE%\Documents\GitHub\mrs-test-scripts\Headless Mode &amp; Sideloading\WalkAndUnGZ.bat" "%USERPROFILE%\AppData\Local\Temp\OnboardLogs"\RTDC4029\2017-01-02 &amp; aws s3 cp s3://rtdc.mdm.uploadarchive.raw/RTDC4029/ "%USERPROFILE%\AppData\Local\Temp\OnboardLogs"\RTDC4029\2017-01-03 --exclude "*" --recursive --include "*20170103*" &amp; "%USERPROFILE%\Documents\GitHub\mrs-test-scripts\Headless Mode &amp; Sideloading\WalkAndUnGZ.bat" "%USERPROFILE%\AppData\Local\Temp\OnboardLogs"\RTDC4029\2017-01-03</v>
      </c>
      <c r="S8" s="99" t="str">
        <f>VLOOKUP(C8,'Train Runs'!$A$13:$AE$9964,22,0)</f>
        <v>https://search-rtdc-monitor-bjffxe2xuh6vdkpspy63sjmuny.us-east-1.es.amazonaws.com/_plugin/kibana/#/discover/Steve-Slow-Train-Analysis-(2080s-and-2083s)?_g=(refreshInterval:(display:Off,section:0,value:0),time:(from:'2017-01-02 14:10:10-700',mode:absolute,to:'2017-01-02 16:52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8" s="101" t="str">
        <f t="shared" si="1"/>
        <v>"C:\Program Files (x86)\AstroGrep\AstroGrep.exe" /spath="%USERPROFILE%\AppData\Local\Temp\OnboardLogs" /stypes="*4029*201701022*" /stext=" 22:.+((SYSTEM_STATE.+slice.+state.+changed )|(ment ac)|(multiple cpu faults)|(system.+state.+changed )|(\[timeout)|(PRM\|1\|D)|(kpr)|(kdp)|(\|lc)|(penalty))" /e /r /s</v>
      </c>
      <c r="U8" s="9" t="str">
        <f t="shared" si="2"/>
        <v>4029</v>
      </c>
      <c r="V8" s="33">
        <f t="shared" si="3"/>
        <v>42737.932118055556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arrival","project_id":79,"tracker_id":40,"status_id":1,"priority_id":2,"assigned_to_id":23,"start_date":"2017-01-02","description":"","custom_fields":[{"id":1,"name":"Subdivision","value":"EC"},{"id":4,"name":"Milepost","value":"2.7053"},{"id":17,"name":"Train ID","value":"193-02"},{"id":16,"name":"Locomotive ID","value":"4029"},{"id":130,"name":"Impact","value":""},{"id":150,"name":"Time of Event (Mountain Time)","value":"15:22:15"},{"id":151,"name":"Denver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-A100 "Enforcement Action" "%USERPROFILE%\AppData\Local\Temp\OnboardLogs"\RTDC4029\*4029*201701022*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"%USERPROFILE%\AppData\Local\Temp\OnboardLogs"\RTDC4029\*4029*201701022* &gt;&gt; 42737-slicedisagreementcheck.txt</v>
      </c>
      <c r="AE8" s="183" t="str">
        <f t="shared" si="8"/>
        <v>start /low /b %USERPROFILE%\Documents\GitHub\eaglep3\Utilities\DownloadLogsFromS3.py --loco 4029 --day 2017-01-02</v>
      </c>
    </row>
    <row r="9" spans="1:31" s="1" customFormat="1" x14ac:dyDescent="0.25">
      <c r="A9" s="33">
        <v>42738.055648148147</v>
      </c>
      <c r="B9" s="31" t="s">
        <v>256</v>
      </c>
      <c r="C9" s="31" t="s">
        <v>449</v>
      </c>
      <c r="D9" s="31" t="s">
        <v>49</v>
      </c>
      <c r="E9" s="31" t="s">
        <v>240</v>
      </c>
      <c r="F9" s="44">
        <v>170</v>
      </c>
      <c r="G9" s="44">
        <v>222</v>
      </c>
      <c r="H9" s="44">
        <v>63758</v>
      </c>
      <c r="I9" s="44">
        <v>63359</v>
      </c>
      <c r="J9" s="31" t="s">
        <v>241</v>
      </c>
      <c r="K9" s="44">
        <v>63309</v>
      </c>
      <c r="L9" s="150" t="s">
        <v>51</v>
      </c>
      <c r="M9" s="151">
        <f t="shared" si="0"/>
        <v>26.4</v>
      </c>
      <c r="N9" s="152" t="str">
        <f>VLOOKUP(C9,'Trips&amp;Operators'!$C$1:$G$99999,5,FALSE)</f>
        <v>STAMBAUGH JAMES</v>
      </c>
      <c r="O9" s="179" t="s">
        <v>195</v>
      </c>
      <c r="P9" s="153" t="s">
        <v>824</v>
      </c>
      <c r="Q9" s="31"/>
      <c r="R9" s="96" t="str">
        <f>VLOOKUP(C9,'Train Runs'!$A$13:$AE$9964,31,0)</f>
        <v>aws s3 cp s3://rtdc.mdm.uploadarchive.raw/RTDC4013/ "%USERPROFILE%\AppData\Local\Temp\OnboardLogs"\RTDC4013\2017-01-03 --exclude "*" --recursive --include "*20170103*" &amp; "%USERPROFILE%\Documents\GitHub\mrs-test-scripts\Headless Mode &amp; Sideloading\WalkAndUnGZ.bat" "%USERPROFILE%\AppData\Local\Temp\OnboardLogs"\RTDC4013\2017-01-03 &amp; aws s3 cp s3://rtdc.mdm.uploadarchive.raw/RTDC4013/ "%USERPROFILE%\AppData\Local\Temp\OnboardLogs"\RTDC4013\2017-01-04 --exclude "*" --recursive --include "*20170104*" &amp; "%USERPROFILE%\Documents\GitHub\mrs-test-scripts\Headless Mode &amp; Sideloading\WalkAndUnGZ.bat" "%USERPROFILE%\AppData\Local\Temp\OnboardLogs"\RTDC4013\2017-01-04</v>
      </c>
      <c r="S9" s="99" t="str">
        <f>VLOOKUP(C9,'Train Runs'!$A$13:$AE$9964,22,0)</f>
        <v>https://search-rtdc-monitor-bjffxe2xuh6vdkpspy63sjmuny.us-east-1.es.amazonaws.com/_plugin/kibana/#/discover/Steve-Slow-Train-Analysis-(2080s-and-2083s)?_g=(refreshInterval:(display:Off,section:0,value:0),time:(from:'2017-01-02 23:51:03-700',mode:absolute,to:'2017-01-03 02:34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9" s="101" t="str">
        <f t="shared" si="1"/>
        <v>"C:\Program Files (x86)\AstroGrep\AstroGrep.exe" /spath="%USERPROFILE%\AppData\Local\Temp\OnboardLogs" /stypes="*4013*201701030*" /stext=" 08:.+((SYSTEM_STATE.+slice.+state.+changed )|(ment ac)|(multiple cpu faults)|(system.+state.+changed )|(\[timeout)|(PRM\|1\|D)|(kpr)|(kdp)|(\|lc)|(penalty))" /e /r /s</v>
      </c>
      <c r="U9" s="9" t="str">
        <f t="shared" si="2"/>
        <v>4013</v>
      </c>
      <c r="V9" s="33">
        <f t="shared" si="3"/>
        <v>42738.347314814811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arrival","project_id":79,"tracker_id":40,"status_id":1,"priority_id":2,"assigned_to_id":23,"start_date":"2017-01-03","description":"","custom_fields":[{"id":1,"name":"Subdivision","value":"EC"},{"id":4,"name":"Milepost","value":"6.3309"},{"id":17,"name":"Train ID","value":"242-02"},{"id":16,"name":"Locomotive ID","value":"4013"},{"id":130,"name":"Impact","value":""},{"id":150,"name":"Time of Event (Mountain Time)","value":"01:20:08"},{"id":151,"name":"Denver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-A100 "Enforcement Action" "%USERPROFILE%\AppData\Local\Temp\OnboardLogs"\RTDC4013\*4013*201701030*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"%USERPROFILE%\AppData\Local\Temp\OnboardLogs"\RTDC4013\*4013*201701030* &gt;&gt; 42737-slicedisagreementcheck.txt</v>
      </c>
      <c r="AE9" s="183" t="str">
        <f t="shared" si="8"/>
        <v>start /low /b %USERPROFILE%\Documents\GitHub\eaglep3\Utilities\DownloadLogsFromS3.py --loco 4013 --day 2017-01-03</v>
      </c>
    </row>
    <row r="10" spans="1:31" s="1" customFormat="1" x14ac:dyDescent="0.25">
      <c r="A10" s="33">
        <v>42737.243877314817</v>
      </c>
      <c r="B10" s="31" t="s">
        <v>248</v>
      </c>
      <c r="C10" s="31" t="s">
        <v>427</v>
      </c>
      <c r="D10" s="31" t="s">
        <v>49</v>
      </c>
      <c r="E10" s="31" t="s">
        <v>198</v>
      </c>
      <c r="F10" s="44">
        <v>0</v>
      </c>
      <c r="G10" s="44">
        <v>63</v>
      </c>
      <c r="H10" s="44">
        <v>236</v>
      </c>
      <c r="I10" s="44">
        <v>167</v>
      </c>
      <c r="J10" s="31" t="s">
        <v>199</v>
      </c>
      <c r="K10" s="44">
        <v>1</v>
      </c>
      <c r="L10" s="150" t="s">
        <v>51</v>
      </c>
      <c r="M10" s="151">
        <f t="shared" si="0"/>
        <v>87.647999999999996</v>
      </c>
      <c r="N10" s="152" t="str">
        <f>VLOOKUP(C10,'Trips&amp;Operators'!$C$1:$G$99999,5,FALSE)</f>
        <v>ACKERMAN JARED</v>
      </c>
      <c r="O10" s="179" t="s">
        <v>195</v>
      </c>
      <c r="P10" s="153"/>
      <c r="Q10" s="31"/>
      <c r="R10" s="96" t="str">
        <f>VLOOKUP(C10,'Train Runs'!$A$13:$AE$9964,31,0)</f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S10" s="99" t="str">
        <f>VLOOKUP(C10,'Train Runs'!$A$13:$AE$9964,22,0)</f>
        <v>https://search-rtdc-monitor-bjffxe2xuh6vdkpspy63sjmuny.us-east-1.es.amazonaws.com/_plugin/kibana/#/discover/Steve-Slow-Train-Analysis-(2080s-and-2083s)?_g=(refreshInterval:(display:Off,section:0,value:0),time:(from:'2017-01-02 04:02:31-700',mode:absolute,to:'2017-01-02 06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0" s="101" t="str">
        <f t="shared" si="1"/>
        <v>"C:\Program Files (x86)\AstroGrep\AstroGrep.exe" /spath="%USERPROFILE%\AppData\Local\Temp\OnboardLogs" /stypes="*4045*201701021*" /stext=" 12:.+((SYSTEM_STATE.+slice.+state.+changed )|(ment ac)|(multiple cpu faults)|(system.+state.+changed )|(\[timeout)|(PRM\|1\|D)|(kpr)|(kdp)|(\|lc)|(penalty))" /e /r /s</v>
      </c>
      <c r="U10" s="9" t="str">
        <f t="shared" si="2"/>
        <v>4045</v>
      </c>
      <c r="V10" s="33">
        <f t="shared" si="3"/>
        <v>42737.535543981481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{"issue":{"subject":"","project_id":79,"tracker_id":40,"status_id":1,"priority_id":2,"assigned_to_id":23,"start_date":"2017-01-02","description":"","custom_fields":[{"id":1,"name":"Subdivision","value":"EC"},{"id":4,"name":"Milepost","value":"0.0001"},{"id":17,"name":"Train ID","value":"106-02"},{"id":16,"name":"Locomotive ID","value":"4045"},{"id":130,"name":"Impact","value":""},{"id":150,"name":"Time of Event (Mountain Time)","value":"05:51:11"},{"id":151,"name":"Denver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-A100 "Enforcement Action" "%USERPROFILE%\AppData\Local\Temp\OnboardLogs"\RTDC4045\*4045*201701021*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"%USERPROFILE%\AppData\Local\Temp\OnboardLogs"\RTDC4045\*4045*201701021* &gt;&gt; 42737-slicedisagreementcheck.txt</v>
      </c>
      <c r="AE10" s="183" t="str">
        <f t="shared" si="8"/>
        <v>start /low /b %USERPROFILE%\Documents\GitHub\eaglep3\Utilities\DownloadLogsFromS3.py --loco 4045 --day 2017-01-02</v>
      </c>
    </row>
    <row r="11" spans="1:31" s="1" customFormat="1" x14ac:dyDescent="0.25">
      <c r="A11" s="33">
        <v>42737.244317129633</v>
      </c>
      <c r="B11" s="31" t="s">
        <v>248</v>
      </c>
      <c r="C11" s="31" t="s">
        <v>427</v>
      </c>
      <c r="D11" s="31" t="s">
        <v>49</v>
      </c>
      <c r="E11" s="31" t="s">
        <v>198</v>
      </c>
      <c r="F11" s="44">
        <v>0</v>
      </c>
      <c r="G11" s="44">
        <v>33</v>
      </c>
      <c r="H11" s="44">
        <v>83</v>
      </c>
      <c r="I11" s="44">
        <v>70</v>
      </c>
      <c r="J11" s="31" t="s">
        <v>199</v>
      </c>
      <c r="K11" s="44">
        <v>1</v>
      </c>
      <c r="L11" s="150" t="s">
        <v>51</v>
      </c>
      <c r="M11" s="151">
        <f t="shared" si="0"/>
        <v>36.432000000000002</v>
      </c>
      <c r="N11" s="152" t="str">
        <f>VLOOKUP(C11,'Trips&amp;Operators'!$C$1:$G$99999,5,FALSE)</f>
        <v>ACKERMAN JARED</v>
      </c>
      <c r="O11" s="179" t="s">
        <v>195</v>
      </c>
      <c r="P11" s="153"/>
      <c r="Q11" s="31"/>
      <c r="R11" s="96" t="str">
        <f>VLOOKUP(C11,'Train Runs'!$A$13:$AE$9964,31,0)</f>
        <v>aws s3 cp s3://rtdc.mdm.uploadarchive.raw/RTDC4045/ "%USERPROFILE%\AppData\Local\Temp\OnboardLogs"\RTDC4045\2017-01-02 --exclude "*" --recursive --include "*20170102*" &amp; "%USERPROFILE%\Documents\GitHub\mrs-test-scripts\Headless Mode &amp; Sideloading\WalkAndUnGZ.bat" "%USERPROFILE%\AppData\Local\Temp\OnboardLogs"\RTDC4045\2017-01-02 &amp; aws s3 cp s3://rtdc.mdm.uploadarchive.raw/RTDC4045/ "%USERPROFILE%\AppData\Local\Temp\OnboardLogs"\RTDC4045\2017-01-03 --exclude "*" --recursive --include "*20170103*" &amp; "%USERPROFILE%\Documents\GitHub\mrs-test-scripts\Headless Mode &amp; Sideloading\WalkAndUnGZ.bat" "%USERPROFILE%\AppData\Local\Temp\OnboardLogs"\RTDC4045\2017-01-03</v>
      </c>
      <c r="S11" s="99" t="str">
        <f>VLOOKUP(C11,'Train Runs'!$A$13:$AE$9964,22,0)</f>
        <v>https://search-rtdc-monitor-bjffxe2xuh6vdkpspy63sjmuny.us-east-1.es.amazonaws.com/_plugin/kibana/#/discover/Steve-Slow-Train-Analysis-(2080s-and-2083s)?_g=(refreshInterval:(display:Off,section:0,value:0),time:(from:'2017-01-02 04:02:31-700',mode:absolute,to:'2017-01-02 06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1" s="101" t="str">
        <f t="shared" si="1"/>
        <v>"C:\Program Files (x86)\AstroGrep\AstroGrep.exe" /spath="%USERPROFILE%\AppData\Local\Temp\OnboardLogs" /stypes="*4045*201701021*" /stext=" 12:.+((SYSTEM_STATE.+slice.+state.+changed )|(ment ac)|(multiple cpu faults)|(system.+state.+changed )|(\[timeout)|(PRM\|1\|D)|(kpr)|(kdp)|(\|lc)|(penalty))" /e /r /s</v>
      </c>
      <c r="U11" s="9" t="str">
        <f t="shared" si="2"/>
        <v>4045</v>
      </c>
      <c r="V11" s="33">
        <f t="shared" si="3"/>
        <v>42737.535983796297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{"issue":{"subject":"","project_id":79,"tracker_id":40,"status_id":1,"priority_id":2,"assigned_to_id":23,"start_date":"2017-01-02","description":"","custom_fields":[{"id":1,"name":"Subdivision","value":"EC"},{"id":4,"name":"Milepost","value":"0.0001"},{"id":17,"name":"Train ID","value":"106-02"},{"id":16,"name":"Locomotive ID","value":"4045"},{"id":130,"name":"Impact","value":""},{"id":150,"name":"Time of Event (Mountain Time)","value":"05:51:49"},{"id":151,"name":"Denver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-A100 "Enforcement Action" "%USERPROFILE%\AppData\Local\Temp\OnboardLogs"\RTDC4045\*4045*201701021*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"%USERPROFILE%\AppData\Local\Temp\OnboardLogs"\RTDC4045\*4045*201701021* &gt;&gt; 42737-slicedisagreementcheck.txt</v>
      </c>
      <c r="AE11" s="183" t="str">
        <f t="shared" si="8"/>
        <v>start /low /b %USERPROFILE%\Documents\GitHub\eaglep3\Utilities\DownloadLogsFromS3.py --loco 4045 --day 2017-01-02</v>
      </c>
    </row>
    <row r="12" spans="1:31" s="1" customFormat="1" x14ac:dyDescent="0.25">
      <c r="A12" s="33">
        <v>42737.650312500002</v>
      </c>
      <c r="B12" s="31" t="s">
        <v>437</v>
      </c>
      <c r="C12" s="31" t="s">
        <v>438</v>
      </c>
      <c r="D12" s="31" t="s">
        <v>49</v>
      </c>
      <c r="E12" s="31" t="s">
        <v>198</v>
      </c>
      <c r="F12" s="44">
        <v>0</v>
      </c>
      <c r="G12" s="44">
        <v>40</v>
      </c>
      <c r="H12" s="44">
        <v>194</v>
      </c>
      <c r="I12" s="44">
        <v>158</v>
      </c>
      <c r="J12" s="31" t="s">
        <v>199</v>
      </c>
      <c r="K12" s="44">
        <v>1</v>
      </c>
      <c r="L12" s="150" t="s">
        <v>51</v>
      </c>
      <c r="M12" s="151">
        <f t="shared" si="0"/>
        <v>82.895999999999987</v>
      </c>
      <c r="N12" s="152" t="str">
        <f>VLOOKUP(C12,'Trips&amp;Operators'!$C$1:$G$99999,5,FALSE)</f>
        <v>LEVERE CRAIG</v>
      </c>
      <c r="O12" s="179" t="s">
        <v>195</v>
      </c>
      <c r="P12" s="153"/>
      <c r="Q12" s="31"/>
      <c r="R12" s="96" t="str">
        <f>VLOOKUP(C12,'Train Runs'!$A$13:$AE$9964,31,0)</f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S12" s="99" t="str">
        <f>VLOOKUP(C12,'Train Runs'!$A$13:$AE$9964,22,0)</f>
        <v>https://search-rtdc-monitor-bjffxe2xuh6vdkpspy63sjmuny.us-east-1.es.amazonaws.com/_plugin/kibana/#/discover/Steve-Slow-Train-Analysis-(2080s-and-2083s)?_g=(refreshInterval:(display:Off,section:0,value:0),time:(from:'2017-01-02 13:46:59-700',mode:absolute,to:'2017-01-02 16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2" s="101" t="str">
        <f t="shared" si="1"/>
        <v>"C:\Program Files (x86)\AstroGrep\AstroGrep.exe" /spath="%USERPROFILE%\AppData\Local\Temp\OnboardLogs" /stypes="*4032*201701022*" /stext=" 22:.+((SYSTEM_STATE.+slice.+state.+changed )|(ment ac)|(multiple cpu faults)|(system.+state.+changed )|(\[timeout)|(PRM\|1\|D)|(kpr)|(kdp)|(\|lc)|(penalty))" /e /r /s</v>
      </c>
      <c r="U12" s="9" t="str">
        <f t="shared" si="2"/>
        <v>4032</v>
      </c>
      <c r="V12" s="33">
        <f t="shared" si="3"/>
        <v>42737.941979166666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{"issue":{"subject":"","project_id":79,"tracker_id":40,"status_id":1,"priority_id":2,"assigned_to_id":23,"start_date":"2017-01-02","description":"","custom_fields":[{"id":1,"name":"Subdivision","value":"EC"},{"id":4,"name":"Milepost","value":"0.0001"},{"id":17,"name":"Train ID","value":"184-02"},{"id":16,"name":"Locomotive ID","value":"4032"},{"id":130,"name":"Impact","value":""},{"id":150,"name":"Time of Event (Mountain Time)","value":"15:36:27"},{"id":151,"name":"Denver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-A100 "Enforcement Action" "%USERPROFILE%\AppData\Local\Temp\OnboardLogs"\RTDC4032\*4032*201701022*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"%USERPROFILE%\AppData\Local\Temp\OnboardLogs"\RTDC4032\*4032*201701022* &gt;&gt; 42737-slicedisagreementcheck.txt</v>
      </c>
      <c r="AE12" s="183" t="str">
        <f t="shared" si="8"/>
        <v>start /low /b %USERPROFILE%\Documents\GitHub\eaglep3\Utilities\DownloadLogsFromS3.py --loco 4032 --day 2017-01-02</v>
      </c>
    </row>
    <row r="13" spans="1:31" s="1" customFormat="1" x14ac:dyDescent="0.25">
      <c r="A13" s="33">
        <v>42737.796226851853</v>
      </c>
      <c r="B13" s="31" t="s">
        <v>437</v>
      </c>
      <c r="C13" s="31" t="s">
        <v>447</v>
      </c>
      <c r="D13" s="31" t="s">
        <v>49</v>
      </c>
      <c r="E13" s="31" t="s">
        <v>198</v>
      </c>
      <c r="F13" s="44">
        <v>0</v>
      </c>
      <c r="G13" s="44">
        <v>40</v>
      </c>
      <c r="H13" s="44">
        <v>187</v>
      </c>
      <c r="I13" s="44">
        <v>139</v>
      </c>
      <c r="J13" s="31" t="s">
        <v>199</v>
      </c>
      <c r="K13" s="44">
        <v>1</v>
      </c>
      <c r="L13" s="150" t="s">
        <v>51</v>
      </c>
      <c r="M13" s="151">
        <f t="shared" si="0"/>
        <v>72.864000000000004</v>
      </c>
      <c r="N13" s="152" t="str">
        <f>VLOOKUP(C13,'Trips&amp;Operators'!$C$1:$G$99999,5,FALSE)</f>
        <v>CRAYTON QUNTRELL</v>
      </c>
      <c r="O13" s="179" t="s">
        <v>195</v>
      </c>
      <c r="P13" s="153"/>
      <c r="Q13" s="31"/>
      <c r="R13" s="96" t="str">
        <f>VLOOKUP(C13,'Train Runs'!$A$13:$AE$9964,31,0)</f>
        <v>aws s3 cp s3://rtdc.mdm.uploadarchive.raw/RTDC4032/ "%USERPROFILE%\AppData\Local\Temp\OnboardLogs"\RTDC4032\2017-01-02 --exclude "*" --recursive --include "*20170102*" &amp; "%USERPROFILE%\Documents\GitHub\mrs-test-scripts\Headless Mode &amp; Sideloading\WalkAndUnGZ.bat" "%USERPROFILE%\AppData\Local\Temp\OnboardLogs"\RTDC4032\2017-01-02 &amp; aws s3 cp s3://rtdc.mdm.uploadarchive.raw/RTDC4032/ "%USERPROFILE%\AppData\Local\Temp\OnboardLogs"\RTDC4032\2017-01-03 --exclude "*" --recursive --include "*20170103*" &amp; "%USERPROFILE%\Documents\GitHub\mrs-test-scripts\Headless Mode &amp; Sideloading\WalkAndUnGZ.bat" "%USERPROFILE%\AppData\Local\Temp\OnboardLogs"\RTDC4032\2017-01-03</v>
      </c>
      <c r="S13" s="99" t="str">
        <f>VLOOKUP(C13,'Train Runs'!$A$13:$AE$9964,22,0)</f>
        <v>https://search-rtdc-monitor-bjffxe2xuh6vdkpspy63sjmuny.us-east-1.es.amazonaws.com/_plugin/kibana/#/discover/Steve-Slow-Train-Analysis-(2080s-and-2083s)?_g=(refreshInterval:(display:Off,section:0,value:0),time:(from:'2017-01-02 17:18:34-700',mode:absolute,to:'2017-01-02 20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3" s="101" t="str">
        <f t="shared" si="1"/>
        <v>"C:\Program Files (x86)\AstroGrep\AstroGrep.exe" /spath="%USERPROFILE%\AppData\Local\Temp\OnboardLogs" /stypes="*4032*201701030*" /stext=" 02:.+((SYSTEM_STATE.+slice.+state.+changed )|(ment ac)|(multiple cpu faults)|(system.+state.+changed )|(\[timeout)|(PRM\|1\|D)|(kpr)|(kdp)|(\|lc)|(penalty))" /e /r /s</v>
      </c>
      <c r="U13" s="9" t="str">
        <f t="shared" si="2"/>
        <v>4032</v>
      </c>
      <c r="V13" s="33">
        <f t="shared" si="3"/>
        <v>42738.087893518517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{"issue":{"subject":"","project_id":79,"tracker_id":40,"status_id":1,"priority_id":2,"assigned_to_id":23,"start_date":"2017-01-02","description":"","custom_fields":[{"id":1,"name":"Subdivision","value":"EC"},{"id":4,"name":"Milepost","value":"0.0001"},{"id":17,"name":"Train ID","value":"212-02"},{"id":16,"name":"Locomotive ID","value":"4032"},{"id":130,"name":"Impact","value":""},{"id":150,"name":"Time of Event (Mountain Time)","value":"19:06:34"},{"id":151,"name":"Denver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-A100 "Enforcement Action" "%USERPROFILE%\AppData\Local\Temp\OnboardLogs"\RTDC4032\*4032*201701030*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"%USERPROFILE%\AppData\Local\Temp\OnboardLogs"\RTDC4032\*4032*201701030* &gt;&gt; 42737-slicedisagreementcheck.txt</v>
      </c>
      <c r="AE13" s="183" t="str">
        <f t="shared" si="8"/>
        <v>start /low /b %USERPROFILE%\Documents\GitHub\eaglep3\Utilities\DownloadLogsFromS3.py --loco 4032 --day 2017-01-03</v>
      </c>
    </row>
    <row r="14" spans="1:31" s="1" customFormat="1" x14ac:dyDescent="0.25">
      <c r="A14" s="33">
        <v>42737.774513888886</v>
      </c>
      <c r="B14" s="31" t="s">
        <v>347</v>
      </c>
      <c r="C14" s="31" t="s">
        <v>446</v>
      </c>
      <c r="D14" s="31" t="s">
        <v>98</v>
      </c>
      <c r="E14" s="31" t="s">
        <v>198</v>
      </c>
      <c r="F14" s="44">
        <v>0</v>
      </c>
      <c r="G14" s="44">
        <v>10</v>
      </c>
      <c r="H14" s="44">
        <v>825</v>
      </c>
      <c r="I14" s="44">
        <v>0</v>
      </c>
      <c r="J14" s="31" t="s">
        <v>199</v>
      </c>
      <c r="K14" s="44">
        <v>826</v>
      </c>
      <c r="L14" s="150" t="s">
        <v>51</v>
      </c>
      <c r="M14" s="151">
        <f t="shared" si="0"/>
        <v>-436.12799999999999</v>
      </c>
      <c r="N14" s="152" t="str">
        <f>VLOOKUP(C14,'Trips&amp;Operators'!$C$1:$G$99999,5,FALSE)</f>
        <v>ADANE ELSHADAY</v>
      </c>
      <c r="O14" s="179" t="s">
        <v>195</v>
      </c>
      <c r="P14" s="153"/>
      <c r="Q14" s="31"/>
      <c r="R14" s="96" t="str">
        <f>VLOOKUP(C14,'Train Runs'!$A$13:$AE$9964,31,0)</f>
        <v>aws s3 cp s3://rtdc.mdm.uploadarchive.raw/RTDC4030/ "%USERPROFILE%\AppData\Local\Temp\OnboardLogs"\RTDC4030\2017-01-02 --exclude "*" --recursive --include "*20170102*" &amp; "%USERPROFILE%\Documents\GitHub\mrs-test-scripts\Headless Mode &amp; Sideloading\WalkAndUnGZ.bat" "%USERPROFILE%\AppData\Local\Temp\OnboardLogs"\RTDC4030\2017-01-02 &amp; aws s3 cp s3://rtdc.mdm.uploadarchive.raw/RTDC4030/ "%USERPROFILE%\AppData\Local\Temp\OnboardLogs"\RTDC4030\2017-01-03 --exclude "*" --recursive --include "*20170103*" &amp; "%USERPROFILE%\Documents\GitHub\mrs-test-scripts\Headless Mode &amp; Sideloading\WalkAndUnGZ.bat" "%USERPROFILE%\AppData\Local\Temp\OnboardLogs"\RTDC4030\2017-01-03</v>
      </c>
      <c r="S14" s="99" t="str">
        <f>VLOOKUP(C14,'Train Runs'!$A$13:$AE$9964,22,0)</f>
        <v>https://search-rtdc-monitor-bjffxe2xuh6vdkpspy63sjmuny.us-east-1.es.amazonaws.com/_plugin/kibana/#/discover/Steve-Slow-Train-Analysis-(2080s-and-2083s)?_g=(refreshInterval:(display:Off,section:0,value:0),time:(from:'2017-01-02 16:39:09-700',mode:absolute,to:'2017-01-02 19:33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4" s="101" t="str">
        <f t="shared" si="1"/>
        <v>"C:\Program Files (x86)\AstroGrep\AstroGrep.exe" /spath="%USERPROFILE%\AppData\Local\Temp\OnboardLogs" /stypes="*4030*201701030*" /stext=" 01:.+((SYSTEM_STATE.+slice.+state.+changed )|(ment ac)|(multiple cpu faults)|(system.+state.+changed )|(\[timeout)|(PRM\|1\|D)|(kpr)|(kdp)|(\|lc)|(penalty))" /e /r /s</v>
      </c>
      <c r="U14" s="9" t="str">
        <f t="shared" si="2"/>
        <v>4030</v>
      </c>
      <c r="V14" s="33">
        <f t="shared" si="3"/>
        <v>42738.06618055555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{"issue":{"subject":"","project_id":79,"tracker_id":40,"status_id":1,"priority_id":2,"assigned_to_id":23,"start_date":"2017-01-02","description":"","custom_fields":[{"id":1,"name":"Subdivision","value":"EC"},{"id":4,"name":"Milepost","value":"0.0826"},{"id":17,"name":"Train ID","value":"208-02"},{"id":16,"name":"Locomotive ID","value":"4030"},{"id":130,"name":"Impact","value":""},{"id":150,"name":"Time of Event (Mountain Time)","value":"18:35:18"},{"id":151,"name":"Denver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-A100 "Enforcement Action" "%USERPROFILE%\AppData\Local\Temp\OnboardLogs"\RTDC4030\*4030*201701030*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"%USERPROFILE%\AppData\Local\Temp\OnboardLogs"\RTDC4030\*4030*201701030* &gt;&gt; 42737-slicedisagreementcheck.txt</v>
      </c>
      <c r="AE14" s="183" t="str">
        <f t="shared" si="8"/>
        <v>start /low /b %USERPROFILE%\Documents\GitHub\eaglep3\Utilities\DownloadLogsFromS3.py --loco 4030 --day 2017-01-03</v>
      </c>
    </row>
    <row r="15" spans="1:31" s="1" customFormat="1" x14ac:dyDescent="0.25">
      <c r="A15" s="33">
        <v>42737.432835648149</v>
      </c>
      <c r="B15" s="31" t="s">
        <v>228</v>
      </c>
      <c r="C15" s="31" t="s">
        <v>433</v>
      </c>
      <c r="D15" s="31" t="s">
        <v>49</v>
      </c>
      <c r="E15" s="31" t="s">
        <v>198</v>
      </c>
      <c r="F15" s="44">
        <v>0</v>
      </c>
      <c r="G15" s="44">
        <v>46</v>
      </c>
      <c r="H15" s="44">
        <v>233314</v>
      </c>
      <c r="I15" s="44">
        <v>233357</v>
      </c>
      <c r="J15" s="31" t="s">
        <v>199</v>
      </c>
      <c r="K15" s="44">
        <v>233491</v>
      </c>
      <c r="L15" s="150" t="s">
        <v>50</v>
      </c>
      <c r="M15" s="151">
        <f t="shared" si="0"/>
        <v>70.751999999999995</v>
      </c>
      <c r="N15" s="152" t="str">
        <f>VLOOKUP(C15,'Trips&amp;Operators'!$C$1:$G$99999,5,FALSE)</f>
        <v>COMELLA JUSTIN</v>
      </c>
      <c r="O15" s="179" t="s">
        <v>195</v>
      </c>
      <c r="P15" s="153"/>
      <c r="Q15" s="31"/>
      <c r="R15" s="96" t="str">
        <f>VLOOKUP(C15,'Train Runs'!$A$13:$AE$9964,31,0)</f>
        <v>aws s3 cp s3://rtdc.mdm.uploadarchive.raw/RTDC4042/ "%USERPROFILE%\AppData\Local\Temp\OnboardLogs"\RTDC4042\2017-01-02 --exclude "*" --recursive --include "*20170102*" &amp; "%USERPROFILE%\Documents\GitHub\mrs-test-scripts\Headless Mode &amp; Sideloading\WalkAndUnGZ.bat" "%USERPROFILE%\AppData\Local\Temp\OnboardLogs"\RTDC4042\2017-01-02 &amp; aws s3 cp s3://rtdc.mdm.uploadarchive.raw/RTDC4042/ "%USERPROFILE%\AppData\Local\Temp\OnboardLogs"\RTDC4042\2017-01-03 --exclude "*" --recursive --include "*20170103*" &amp; "%USERPROFILE%\Documents\GitHub\mrs-test-scripts\Headless Mode &amp; Sideloading\WalkAndUnGZ.bat" "%USERPROFILE%\AppData\Local\Temp\OnboardLogs"\RTDC4042\2017-01-03</v>
      </c>
      <c r="S15" s="99" t="str">
        <f>VLOOKUP(C15,'Train Runs'!$A$13:$AE$9964,22,0)</f>
        <v>https://search-rtdc-monitor-bjffxe2xuh6vdkpspy63sjmuny.us-east-1.es.amazonaws.com/_plugin/kibana/#/discover/Steve-Slow-Train-Analysis-(2080s-and-2083s)?_g=(refreshInterval:(display:Off,section:0,value:0),time:(from:'2017-01-02 08:38:38-700',mode:absolute,to:'2017-01-02 11:22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5" s="101" t="str">
        <f t="shared" si="1"/>
        <v>"C:\Program Files (x86)\AstroGrep\AstroGrep.exe" /spath="%USERPROFILE%\AppData\Local\Temp\OnboardLogs" /stypes="*4042*201701021*" /stext=" 17:.+((SYSTEM_STATE.+slice.+state.+changed )|(ment ac)|(multiple cpu faults)|(system.+state.+changed )|(\[timeout)|(PRM\|1\|D)|(kpr)|(kdp)|(\|lc)|(penalty))" /e /r /s</v>
      </c>
      <c r="U15" s="9" t="str">
        <f t="shared" si="2"/>
        <v>4042</v>
      </c>
      <c r="V15" s="33">
        <f t="shared" si="3"/>
        <v>42737.724502314813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{"issue":{"subject":"","project_id":79,"tracker_id":40,"status_id":1,"priority_id":2,"assigned_to_id":23,"start_date":"2017-01-02","description":"","custom_fields":[{"id":1,"name":"Subdivision","value":"EC"},{"id":4,"name":"Milepost","value":"23.3491"},{"id":17,"name":"Train ID","value":"149-02"},{"id":16,"name":"Locomotive ID","value":"4042"},{"id":130,"name":"Impact","value":""},{"id":150,"name":"Time of Event (Mountain Time)","value":"10:23:17"},{"id":151,"name":"Denver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-A100 "Enforcement Action" "%USERPROFILE%\AppData\Local\Temp\OnboardLogs"\RTDC4042\*4042*201701021*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"%USERPROFILE%\AppData\Local\Temp\OnboardLogs"\RTDC4042\*4042*201701021* &gt;&gt; 42737-slicedisagreementcheck.txt</v>
      </c>
      <c r="AE15" s="183" t="str">
        <f t="shared" si="8"/>
        <v>start /low /b %USERPROFILE%\Documents\GitHub\eaglep3\Utilities\DownloadLogsFromS3.py --loco 4042 --day 2017-01-02</v>
      </c>
    </row>
    <row r="16" spans="1:31" s="1" customFormat="1" x14ac:dyDescent="0.25">
      <c r="A16" s="33">
        <v>42737.495821759258</v>
      </c>
      <c r="B16" s="31" t="s">
        <v>223</v>
      </c>
      <c r="C16" s="31" t="s">
        <v>434</v>
      </c>
      <c r="D16" s="31" t="s">
        <v>49</v>
      </c>
      <c r="E16" s="31" t="s">
        <v>198</v>
      </c>
      <c r="F16" s="44">
        <v>0</v>
      </c>
      <c r="G16" s="44">
        <v>69</v>
      </c>
      <c r="H16" s="44">
        <v>233198</v>
      </c>
      <c r="I16" s="44">
        <v>233264</v>
      </c>
      <c r="J16" s="31" t="s">
        <v>199</v>
      </c>
      <c r="K16" s="44">
        <v>233491</v>
      </c>
      <c r="L16" s="150" t="s">
        <v>50</v>
      </c>
      <c r="M16" s="151">
        <f t="shared" si="0"/>
        <v>119.85599999999999</v>
      </c>
      <c r="N16" s="152" t="str">
        <f>VLOOKUP(C16,'Trips&amp;Operators'!$C$1:$G$99999,5,FALSE)</f>
        <v>DAVIS MICHAEL</v>
      </c>
      <c r="O16" s="179" t="s">
        <v>195</v>
      </c>
      <c r="P16" s="153"/>
      <c r="Q16" s="31"/>
      <c r="R16" s="96" t="str">
        <f>VLOOKUP(C16,'Train Runs'!$A$13:$AE$9964,31,0)</f>
        <v>aws s3 cp s3://rtdc.mdm.uploadarchive.raw/RTDC4014/ "%USERPROFILE%\AppData\Local\Temp\OnboardLogs"\RTDC4014\2017-01-02 --exclude "*" --recursive --include "*20170102*" &amp; "%USERPROFILE%\Documents\GitHub\mrs-test-scripts\Headless Mode &amp; Sideloading\WalkAndUnGZ.bat" "%USERPROFILE%\AppData\Local\Temp\OnboardLogs"\RTDC4014\2017-01-02 &amp; aws s3 cp s3://rtdc.mdm.uploadarchive.raw/RTDC4014/ "%USERPROFILE%\AppData\Local\Temp\OnboardLogs"\RTDC4014\2017-01-03 --exclude "*" --recursive --include "*20170103*" &amp; "%USERPROFILE%\Documents\GitHub\mrs-test-scripts\Headless Mode &amp; Sideloading\WalkAndUnGZ.bat" "%USERPROFILE%\AppData\Local\Temp\OnboardLogs"\RTDC4014\2017-01-03</v>
      </c>
      <c r="S16" s="99" t="str">
        <f>VLOOKUP(C16,'Train Runs'!$A$13:$AE$9964,22,0)</f>
        <v>https://search-rtdc-monitor-bjffxe2xuh6vdkpspy63sjmuny.us-east-1.es.amazonaws.com/_plugin/kibana/#/discover/Steve-Slow-Train-Analysis-(2080s-and-2083s)?_g=(refreshInterval:(display:Off,section:0,value:0),time:(from:'2017-01-02 10:12:26-700',mode:absolute,to:'2017-01-02 12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6" s="101" t="str">
        <f t="shared" si="1"/>
        <v>"C:\Program Files (x86)\AstroGrep\AstroGrep.exe" /spath="%USERPROFILE%\AppData\Local\Temp\OnboardLogs" /stypes="*4014*201701021*" /stext=" 18:.+((SYSTEM_STATE.+slice.+state.+changed )|(ment ac)|(multiple cpu faults)|(system.+state.+changed )|(\[timeout)|(PRM\|1\|D)|(kpr)|(kdp)|(\|lc)|(penalty))" /e /r /s</v>
      </c>
      <c r="U16" s="9" t="str">
        <f t="shared" si="2"/>
        <v>4014</v>
      </c>
      <c r="V16" s="33">
        <f t="shared" si="3"/>
        <v>42737.787488425922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{"issue":{"subject":"","project_id":79,"tracker_id":40,"status_id":1,"priority_id":2,"assigned_to_id":23,"start_date":"2017-01-02","description":"","custom_fields":[{"id":1,"name":"Subdivision","value":"EC"},{"id":4,"name":"Milepost","value":"23.3491"},{"id":17,"name":"Train ID","value":"161-02"},{"id":16,"name":"Locomotive ID","value":"4014"},{"id":130,"name":"Impact","value":""},{"id":150,"name":"Time of Event (Mountain Time)","value":"11:53:59"},{"id":151,"name":"Denver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-A100 "Enforcement Action" "%USERPROFILE%\AppData\Local\Temp\OnboardLogs"\RTDC4014\*4014*201701021*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"%USERPROFILE%\AppData\Local\Temp\OnboardLogs"\RTDC4014\*4014*201701021* &gt;&gt; 42737-slicedisagreementcheck.txt</v>
      </c>
      <c r="AE16" s="183" t="str">
        <f t="shared" si="8"/>
        <v>start /low /b %USERPROFILE%\Documents\GitHub\eaglep3\Utilities\DownloadLogsFromS3.py --loco 4014 --day 2017-01-02</v>
      </c>
    </row>
    <row r="17" spans="1:32" s="1" customFormat="1" x14ac:dyDescent="0.25">
      <c r="A17" s="33">
        <v>42737.746967592589</v>
      </c>
      <c r="B17" s="31" t="s">
        <v>442</v>
      </c>
      <c r="C17" s="31" t="s">
        <v>443</v>
      </c>
      <c r="D17" s="31" t="s">
        <v>49</v>
      </c>
      <c r="E17" s="31" t="s">
        <v>348</v>
      </c>
      <c r="F17" s="44">
        <v>100</v>
      </c>
      <c r="G17" s="44">
        <v>172</v>
      </c>
      <c r="H17" s="44">
        <v>11892</v>
      </c>
      <c r="I17" s="44">
        <v>11530</v>
      </c>
      <c r="J17" s="31" t="s">
        <v>241</v>
      </c>
      <c r="K17" s="44">
        <v>11000</v>
      </c>
      <c r="L17" s="150" t="s">
        <v>51</v>
      </c>
      <c r="M17" s="151">
        <f t="shared" si="0"/>
        <v>279.83999999999997</v>
      </c>
      <c r="N17" s="152" t="str">
        <f>VLOOKUP(C17,'Trips&amp;Operators'!$C$1:$G$99999,5,FALSE)</f>
        <v>LEVIN SCOTT</v>
      </c>
      <c r="O17" s="179" t="s">
        <v>195</v>
      </c>
      <c r="P17" s="153"/>
      <c r="Q17" s="31"/>
      <c r="R17" s="96" t="str">
        <f>VLOOKUP(C17,'Train Runs'!$A$13:$AE$9964,31,0)</f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S17" s="99" t="str">
        <f>VLOOKUP(C17,'Train Runs'!$A$13:$AE$9964,22,0)</f>
        <v>https://search-rtdc-monitor-bjffxe2xuh6vdkpspy63sjmuny.us-east-1.es.amazonaws.com/_plugin/kibana/#/discover/Steve-Slow-Train-Analysis-(2080s-and-2083s)?_g=(refreshInterval:(display:Off,section:0,value:0),time:(from:'2017-01-02 16:38:10-700',mode:absolute,to:'2017-01-02 19:01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7" s="101" t="str">
        <f t="shared" si="1"/>
        <v>"C:\Program Files (x86)\AstroGrep\AstroGrep.exe" /spath="%USERPROFILE%\AppData\Local\Temp\OnboardLogs" /stypes="*4017*201701030*" /stext=" 00:.+((SYSTEM_STATE.+slice.+state.+changed )|(ment ac)|(multiple cpu faults)|(system.+state.+changed )|(\[timeout)|(PRM\|1\|D)|(kpr)|(kdp)|(\|lc)|(penalty))" /e /r /s</v>
      </c>
      <c r="U17" s="9" t="str">
        <f t="shared" si="2"/>
        <v>4017</v>
      </c>
      <c r="V17" s="33">
        <f t="shared" si="3"/>
        <v>42738.038634259254</v>
      </c>
      <c r="W17" s="47" t="str">
        <f t="shared" si="4"/>
        <v>NW</v>
      </c>
      <c r="X17" s="47" t="str">
        <f t="shared" si="5"/>
        <v>KEEP</v>
      </c>
      <c r="Y17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{"issue":{"subject":"","project_id":79,"tracker_id":40,"status_id":1,"priority_id":2,"assigned_to_id":23,"start_date":"2017-01-02","description":"","custom_fields":[{"id":1,"name":"Subdivision","value":"NW"},{"id":4,"name":"Milepost","value":"1.1"},{"id":17,"name":"Train ID","value":"834-02"},{"id":16,"name":"Locomotive ID","value":"4017"},{"id":130,"name":"Impact","value":""},{"id":150,"name":"Time of Event (Mountain Time)","value":"17:55:38"},{"id":151,"name":"Denver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-A100 "Enforcement Action" "%USERPROFILE%\AppData\Local\Temp\OnboardLogs"\RTDC4017\*4017*201701030*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"%USERPROFILE%\AppData\Local\Temp\OnboardLogs"\RTDC4017\*4017*201701030* &gt;&gt; 42737-slicedisagreementcheck.txt</v>
      </c>
      <c r="AE17" s="183" t="str">
        <f t="shared" si="8"/>
        <v>start /low /b %USERPROFILE%\Documents\GitHub\eaglep3\Utilities\DownloadLogsFromS3.py --loco 4017 --day 2017-01-03</v>
      </c>
    </row>
    <row r="18" spans="1:32" s="1" customFormat="1" x14ac:dyDescent="0.25">
      <c r="A18" s="33">
        <v>42737.22761574074</v>
      </c>
      <c r="B18" s="31" t="s">
        <v>380</v>
      </c>
      <c r="C18" s="31" t="s">
        <v>426</v>
      </c>
      <c r="D18" s="31" t="s">
        <v>49</v>
      </c>
      <c r="E18" s="31" t="s">
        <v>198</v>
      </c>
      <c r="F18" s="44">
        <v>0</v>
      </c>
      <c r="G18" s="44">
        <v>15</v>
      </c>
      <c r="H18" s="44">
        <v>610</v>
      </c>
      <c r="I18" s="44">
        <v>603</v>
      </c>
      <c r="J18" s="31" t="s">
        <v>199</v>
      </c>
      <c r="K18" s="44">
        <v>575</v>
      </c>
      <c r="L18" s="150" t="s">
        <v>51</v>
      </c>
      <c r="M18" s="151">
        <f t="shared" si="0"/>
        <v>14.784000000000001</v>
      </c>
      <c r="N18" s="152" t="str">
        <f>VLOOKUP(C18,'Trips&amp;Operators'!$C$1:$G$99999,5,FALSE)</f>
        <v>DAVIS WENDY</v>
      </c>
      <c r="O18" s="179" t="s">
        <v>195</v>
      </c>
      <c r="P18" s="153"/>
      <c r="Q18" s="31"/>
      <c r="R18" s="96" t="str">
        <f>VLOOKUP(C18,'Train Runs'!$A$13:$AE$9964,31,0)</f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S18" s="99" t="str">
        <f>VLOOKUP(C18,'Train Runs'!$A$13:$AE$9964,22,0)</f>
        <v>https://search-rtdc-monitor-bjffxe2xuh6vdkpspy63sjmuny.us-east-1.es.amazonaws.com/_plugin/kibana/#/discover/Steve-Slow-Train-Analysis-(2080s-and-2083s)?_g=(refreshInterval:(display:Off,section:0,value:0),time:(from:'2017-01-02 04:10:15-700',mode:absolute,to:'2017-01-02 06:27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8" s="101" t="str">
        <f t="shared" si="1"/>
        <v>"C:\Program Files (x86)\AstroGrep\AstroGrep.exe" /spath="%USERPROFILE%\AppData\Local\Temp\OnboardLogs" /stypes="*4008*201701021*" /stext=" 12:.+((SYSTEM_STATE.+slice.+state.+changed )|(ment ac)|(multiple cpu faults)|(system.+state.+changed )|(\[timeout)|(PRM\|1\|D)|(kpr)|(kdp)|(\|lc)|(penalty))" /e /r /s</v>
      </c>
      <c r="U18" s="9" t="str">
        <f t="shared" si="2"/>
        <v>4008</v>
      </c>
      <c r="V18" s="33">
        <f t="shared" si="3"/>
        <v>42737.519282407404</v>
      </c>
      <c r="W18" s="47" t="str">
        <f t="shared" si="4"/>
        <v>NW</v>
      </c>
      <c r="X18" s="47" t="str">
        <f t="shared" si="5"/>
        <v>KEEP</v>
      </c>
      <c r="Y18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{"issue":{"subject":"","project_id":79,"tracker_id":40,"status_id":1,"priority_id":2,"assigned_to_id":23,"start_date":"2017-01-02","description":"","custom_fields":[{"id":1,"name":"Subdivision","value":"NW"},{"id":4,"name":"Milepost","value":"0.0575"},{"id":17,"name":"Train ID","value":"800-02"},{"id":16,"name":"Locomotive ID","value":"4008"},{"id":130,"name":"Impact","value":""},{"id":150,"name":"Time of Event (Mountain Time)","value":"05:27:46"},{"id":151,"name":"Denver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-A100 "Enforcement Action" "%USERPROFILE%\AppData\Local\Temp\OnboardLogs"\RTDC4008\*4008*201701021*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"%USERPROFILE%\AppData\Local\Temp\OnboardLogs"\RTDC4008\*4008*201701021* &gt;&gt; 42737-slicedisagreementcheck.txt</v>
      </c>
      <c r="AE18" s="183" t="str">
        <f t="shared" si="8"/>
        <v>start /low /b %USERPROFILE%\Documents\GitHub\eaglep3\Utilities\DownloadLogsFromS3.py --loco 4008 --day 2017-01-02</v>
      </c>
    </row>
    <row r="19" spans="1:32" s="1" customFormat="1" x14ac:dyDescent="0.25">
      <c r="A19" s="33">
        <v>42737.310694444444</v>
      </c>
      <c r="B19" s="31" t="s">
        <v>380</v>
      </c>
      <c r="C19" s="31" t="s">
        <v>430</v>
      </c>
      <c r="D19" s="31" t="s">
        <v>98</v>
      </c>
      <c r="E19" s="31" t="s">
        <v>198</v>
      </c>
      <c r="F19" s="44">
        <v>0</v>
      </c>
      <c r="G19" s="44">
        <v>9</v>
      </c>
      <c r="H19" s="44">
        <v>575</v>
      </c>
      <c r="I19" s="44">
        <v>0</v>
      </c>
      <c r="J19" s="31" t="s">
        <v>199</v>
      </c>
      <c r="K19" s="44">
        <v>575</v>
      </c>
      <c r="L19" s="150" t="s">
        <v>51</v>
      </c>
      <c r="M19" s="151">
        <f t="shared" si="0"/>
        <v>-303.60000000000002</v>
      </c>
      <c r="N19" s="152" t="str">
        <f>VLOOKUP(C19,'Trips&amp;Operators'!$C$1:$G$99999,5,FALSE)</f>
        <v>DAVIS WENDY</v>
      </c>
      <c r="O19" s="179" t="s">
        <v>195</v>
      </c>
      <c r="P19" s="153"/>
      <c r="Q19" s="31"/>
      <c r="R19" s="96" t="str">
        <f>VLOOKUP(C19,'Train Runs'!$A$13:$AE$9964,31,0)</f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S19" s="99" t="str">
        <f>VLOOKUP(C19,'Train Runs'!$A$13:$AE$9964,22,0)</f>
        <v>https://search-rtdc-monitor-bjffxe2xuh6vdkpspy63sjmuny.us-east-1.es.amazonaws.com/_plugin/kibana/#/discover/Steve-Slow-Train-Analysis-(2080s-and-2083s)?_g=(refreshInterval:(display:Off,section:0,value:0),time:(from:'2017-01-02 06:10:33-700',mode:absolute,to:'2017-01-02 08:27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9" s="101" t="str">
        <f t="shared" si="1"/>
        <v>"C:\Program Files (x86)\AstroGrep\AstroGrep.exe" /spath="%USERPROFILE%\AppData\Local\Temp\OnboardLogs" /stypes="*4008*201701021*" /stext=" 14:.+((SYSTEM_STATE.+slice.+state.+changed )|(ment ac)|(multiple cpu faults)|(system.+state.+changed )|(\[timeout)|(PRM\|1\|D)|(kpr)|(kdp)|(\|lc)|(penalty))" /e /r /s</v>
      </c>
      <c r="U19" s="9" t="str">
        <f t="shared" si="2"/>
        <v>4008</v>
      </c>
      <c r="V19" s="33">
        <f t="shared" si="3"/>
        <v>42737.602361111109</v>
      </c>
      <c r="W19" s="47" t="str">
        <f t="shared" si="4"/>
        <v>NW</v>
      </c>
      <c r="X19" s="47" t="str">
        <f t="shared" si="5"/>
        <v>OMIT</v>
      </c>
      <c r="Y19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{"issue":{"subject":"","project_id":79,"tracker_id":40,"status_id":1,"priority_id":2,"assigned_to_id":23,"start_date":"2017-01-02","description":"","custom_fields":[{"id":1,"name":"Subdivision","value":"NW"},{"id":4,"name":"Milepost","value":"0.0575"},{"id":17,"name":"Train ID","value":"806-02"},{"id":16,"name":"Locomotive ID","value":"4008"},{"id":130,"name":"Impact","value":""},{"id":150,"name":"Time of Event (Mountain Time)","value":"07:27:24"},{"id":151,"name":"Denver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0"/>
      <c r="AA19" s="50"/>
      <c r="AB19" s="50"/>
      <c r="AC19" s="134" t="str">
        <f t="shared" si="7"/>
        <v>grep -hSE -A100 "Enforcement Action" "%USERPROFILE%\AppData\Local\Temp\OnboardLogs"\RTDC4008\*4008*201701021*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"%USERPROFILE%\AppData\Local\Temp\OnboardLogs"\RTDC4008\*4008*201701021* &gt;&gt; 42737-slicedisagreementcheck.txt</v>
      </c>
      <c r="AE19" s="183" t="str">
        <f t="shared" si="8"/>
        <v>start /low /b %USERPROFILE%\Documents\GitHub\eaglep3\Utilities\DownloadLogsFromS3.py --loco 4008 --day 2017-01-02</v>
      </c>
    </row>
    <row r="20" spans="1:32" x14ac:dyDescent="0.25">
      <c r="A20" s="33">
        <v>42737.3518287037</v>
      </c>
      <c r="B20" s="31" t="s">
        <v>380</v>
      </c>
      <c r="C20" s="31" t="s">
        <v>432</v>
      </c>
      <c r="D20" s="31" t="s">
        <v>49</v>
      </c>
      <c r="E20" s="31" t="s">
        <v>198</v>
      </c>
      <c r="F20" s="44">
        <v>0</v>
      </c>
      <c r="G20" s="44">
        <v>26</v>
      </c>
      <c r="H20" s="44">
        <v>638</v>
      </c>
      <c r="I20" s="44">
        <v>614</v>
      </c>
      <c r="J20" s="31" t="s">
        <v>199</v>
      </c>
      <c r="K20" s="44">
        <v>575</v>
      </c>
      <c r="L20" s="150" t="s">
        <v>51</v>
      </c>
      <c r="M20" s="151">
        <f t="shared" si="0"/>
        <v>20.591999999999999</v>
      </c>
      <c r="N20" s="152" t="str">
        <f>VLOOKUP(C20,'Trips&amp;Operators'!$C$1:$G$99999,5,FALSE)</f>
        <v>DAVIS WENDY</v>
      </c>
      <c r="O20" s="179" t="s">
        <v>195</v>
      </c>
      <c r="P20" s="153"/>
      <c r="Q20" s="31"/>
      <c r="R20" s="96" t="str">
        <f>VLOOKUP(C20,'Train Runs'!$A$13:$AE$9964,31,0)</f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S20" s="99" t="str">
        <f>VLOOKUP(C20,'Train Runs'!$A$13:$AE$9964,22,0)</f>
        <v>https://search-rtdc-monitor-bjffxe2xuh6vdkpspy63sjmuny.us-east-1.es.amazonaws.com/_plugin/kibana/#/discover/Steve-Slow-Train-Analysis-(2080s-and-2083s)?_g=(refreshInterval:(display:Off,section:0,value:0),time:(from:'2017-01-02 07:08:29-700',mode:absolute,to:'2017-01-02 09:26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0" s="101" t="str">
        <f t="shared" si="1"/>
        <v>"C:\Program Files (x86)\AstroGrep\AstroGrep.exe" /spath="%USERPROFILE%\AppData\Local\Temp\OnboardLogs" /stypes="*4008*201701021*" /stext=" 15:.+((SYSTEM_STATE.+slice.+state.+changed )|(ment ac)|(multiple cpu faults)|(system.+state.+changed )|(\[timeout)|(PRM\|1\|D)|(kpr)|(kdp)|(\|lc)|(penalty))" /e /r /s</v>
      </c>
      <c r="U20" s="9" t="str">
        <f t="shared" si="2"/>
        <v>4008</v>
      </c>
      <c r="V20" s="33">
        <f t="shared" si="3"/>
        <v>42737.643495370365</v>
      </c>
      <c r="W20" s="47" t="str">
        <f t="shared" si="4"/>
        <v>NW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{"issue":{"subject":"","project_id":79,"tracker_id":40,"status_id":1,"priority_id":2,"assigned_to_id":23,"start_date":"2017-01-02","description":"","custom_fields":[{"id":1,"name":"Subdivision","value":"NW"},{"id":4,"name":"Milepost","value":"0.0575"},{"id":17,"name":"Train ID","value":"810-02"},{"id":16,"name":"Locomotive ID","value":"4008"},{"id":130,"name":"Impact","value":""},{"id":150,"name":"Time of Event (Mountain Time)","value":"08:26:38"},{"id":151,"name":"Denver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-A100 "Enforcement Action" "%USERPROFILE%\AppData\Local\Temp\OnboardLogs"\RTDC4008\*4008*201701021*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"%USERPROFILE%\AppData\Local\Temp\OnboardLogs"\RTDC4008\*4008*201701021* &gt;&gt; 42737-slicedisagreementcheck.txt</v>
      </c>
      <c r="AE20" s="183" t="str">
        <f t="shared" si="8"/>
        <v>start /low /b %USERPROFILE%\Documents\GitHub\eaglep3\Utilities\DownloadLogsFromS3.py --loco 4008 --day 2017-01-02</v>
      </c>
      <c r="AF20" s="1"/>
    </row>
    <row r="21" spans="1:32" x14ac:dyDescent="0.25">
      <c r="A21" s="33">
        <v>42737.768969907411</v>
      </c>
      <c r="B21" s="31" t="s">
        <v>380</v>
      </c>
      <c r="C21" s="31" t="s">
        <v>445</v>
      </c>
      <c r="D21" s="31" t="s">
        <v>49</v>
      </c>
      <c r="E21" s="31" t="s">
        <v>198</v>
      </c>
      <c r="F21" s="44">
        <v>0</v>
      </c>
      <c r="G21" s="44">
        <v>42</v>
      </c>
      <c r="H21" s="44">
        <v>706</v>
      </c>
      <c r="I21" s="44">
        <v>668</v>
      </c>
      <c r="J21" s="31" t="s">
        <v>199</v>
      </c>
      <c r="K21" s="44">
        <v>575</v>
      </c>
      <c r="L21" s="150" t="s">
        <v>51</v>
      </c>
      <c r="M21" s="151">
        <f t="shared" si="0"/>
        <v>49.103999999999999</v>
      </c>
      <c r="N21" s="152" t="str">
        <f>VLOOKUP(C21,'Trips&amp;Operators'!$C$1:$G$99999,5,FALSE)</f>
        <v>NEWELL JAMES</v>
      </c>
      <c r="O21" s="179" t="s">
        <v>195</v>
      </c>
      <c r="P21" s="153"/>
      <c r="Q21" s="31"/>
      <c r="R21" s="96" t="str">
        <f>VLOOKUP(C21,'Train Runs'!$A$13:$AE$9964,31,0)</f>
        <v>aws s3 cp s3://rtdc.mdm.uploadarchive.raw/RTDC4008/ "%USERPROFILE%\AppData\Local\Temp\OnboardLogs"\RTDC4008\2017-01-02 --exclude "*" --recursive --include "*20170102*" &amp; "%USERPROFILE%\Documents\GitHub\mrs-test-scripts\Headless Mode &amp; Sideloading\WalkAndUnGZ.bat" "%USERPROFILE%\AppData\Local\Temp\OnboardLogs"\RTDC4008\2017-01-02 &amp; aws s3 cp s3://rtdc.mdm.uploadarchive.raw/RTDC4008/ "%USERPROFILE%\AppData\Local\Temp\OnboardLogs"\RTDC4008\2017-01-03 --exclude "*" --recursive --include "*20170103*" &amp; "%USERPROFILE%\Documents\GitHub\mrs-test-scripts\Headless Mode &amp; Sideloading\WalkAndUnGZ.bat" "%USERPROFILE%\AppData\Local\Temp\OnboardLogs"\RTDC4008\2017-01-03</v>
      </c>
      <c r="S21" s="99" t="str">
        <f>VLOOKUP(C21,'Train Runs'!$A$13:$AE$9964,22,0)</f>
        <v>https://search-rtdc-monitor-bjffxe2xuh6vdkpspy63sjmuny.us-east-1.es.amazonaws.com/_plugin/kibana/#/discover/Steve-Slow-Train-Analysis-(2080s-and-2083s)?_g=(refreshInterval:(display:Off,section:0,value:0),time:(from:'2017-01-02 17:07:48-700',mode:absolute,to:'2017-01-02 19:27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21" s="101" t="str">
        <f t="shared" si="1"/>
        <v>"C:\Program Files (x86)\AstroGrep\AstroGrep.exe" /spath="%USERPROFILE%\AppData\Local\Temp\OnboardLogs" /stypes="*4008*201701030*" /stext=" 01:.+((SYSTEM_STATE.+slice.+state.+changed )|(ment ac)|(multiple cpu faults)|(system.+state.+changed )|(\[timeout)|(PRM\|1\|D)|(kpr)|(kdp)|(\|lc)|(penalty))" /e /r /s</v>
      </c>
      <c r="U21" s="9" t="str">
        <f t="shared" si="2"/>
        <v>4008</v>
      </c>
      <c r="V21" s="33">
        <f t="shared" si="3"/>
        <v>42738.060636574075</v>
      </c>
      <c r="W21" s="47" t="str">
        <f t="shared" si="4"/>
        <v>NW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{"issue":{"subject":"","project_id":79,"tracker_id":40,"status_id":1,"priority_id":2,"assigned_to_id":23,"start_date":"2017-01-02","description":"","custom_fields":[{"id":1,"name":"Subdivision","value":"NW"},{"id":4,"name":"Milepost","value":"0.0575"},{"id":17,"name":"Train ID","value":"836-02"},{"id":16,"name":"Locomotive ID","value":"4008"},{"id":130,"name":"Impact","value":""},{"id":150,"name":"Time of Event (Mountain Time)","value":"18:27:19"},{"id":151,"name":"Denver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-A100 "Enforcement Action" "%USERPROFILE%\AppData\Local\Temp\OnboardLogs"\RTDC4008\*4008*201701030*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"%USERPROFILE%\AppData\Local\Temp\OnboardLogs"\RTDC4008\*4008*201701030* &gt;&gt; 42737-slicedisagreementcheck.txt</v>
      </c>
      <c r="AE21" s="183" t="str">
        <f t="shared" si="8"/>
        <v>start /low /b %USERPROFILE%\Documents\GitHub\eaglep3\Utilities\DownloadLogsFromS3.py --loco 4008 --day 2017-01-03</v>
      </c>
      <c r="AF21" s="1"/>
    </row>
    <row r="22" spans="1:32" ht="15" customHeight="1" x14ac:dyDescent="0.25">
      <c r="A22" s="33">
        <v>42737.914178240739</v>
      </c>
      <c r="B22" s="31" t="s">
        <v>442</v>
      </c>
      <c r="C22" s="31" t="s">
        <v>448</v>
      </c>
      <c r="D22" s="31" t="s">
        <v>49</v>
      </c>
      <c r="E22" s="31" t="s">
        <v>198</v>
      </c>
      <c r="F22" s="44">
        <v>0</v>
      </c>
      <c r="G22" s="44">
        <v>135</v>
      </c>
      <c r="H22" s="44">
        <v>1172</v>
      </c>
      <c r="I22" s="44">
        <v>1000</v>
      </c>
      <c r="J22" s="31" t="s">
        <v>199</v>
      </c>
      <c r="K22" s="44">
        <v>575</v>
      </c>
      <c r="L22" s="150" t="s">
        <v>51</v>
      </c>
      <c r="M22" s="151">
        <f t="shared" si="0"/>
        <v>224.4</v>
      </c>
      <c r="N22" s="152" t="str">
        <f>VLOOKUP(C22,'Trips&amp;Operators'!$C$1:$G$99999,5,FALSE)</f>
        <v>NEWELL JAMES</v>
      </c>
      <c r="O22" s="179" t="s">
        <v>195</v>
      </c>
      <c r="P22" s="153"/>
      <c r="Q22" s="31"/>
      <c r="R22" s="96" t="str">
        <f>VLOOKUP(C22,'Train Runs'!$A$13:$AE$9964,31,0)</f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S22" s="99" t="str">
        <f>VLOOKUP(C22,'Train Runs'!$A$13:$AE$9964,22,0)</f>
        <v>https://search-rtdc-monitor-bjffxe2xuh6vdkpspy63sjmuny.us-east-1.es.amazonaws.com/_plugin/kibana/#/discover/Steve-Slow-Train-Analysis-(2080s-and-2083s)?_g=(refreshInterval:(display:Off,section:0,value:0),time:(from:'2017-01-02 20:38:10-700',mode:absolute,to:'2017-01-02 22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2" s="101" t="str">
        <f t="shared" si="1"/>
        <v>"C:\Program Files (x86)\AstroGrep\AstroGrep.exe" /spath="%USERPROFILE%\AppData\Local\Temp\OnboardLogs" /stypes="*4017*201701030*" /stext=" 04:.+((SYSTEM_STATE.+slice.+state.+changed )|(ment ac)|(multiple cpu faults)|(system.+state.+changed )|(\[timeout)|(PRM\|1\|D)|(kpr)|(kdp)|(\|lc)|(penalty))" /e /r /s</v>
      </c>
      <c r="U22" s="9" t="str">
        <f t="shared" si="2"/>
        <v>4017</v>
      </c>
      <c r="V22" s="33">
        <f t="shared" si="3"/>
        <v>42738.205844907403</v>
      </c>
      <c r="W22" s="47" t="str">
        <f t="shared" si="4"/>
        <v>NW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{"issue":{"subject":"","project_id":79,"tracker_id":40,"status_id":1,"priority_id":2,"assigned_to_id":23,"start_date":"2017-01-02","description":"","custom_fields":[{"id":1,"name":"Subdivision","value":"NW"},{"id":4,"name":"Milepost","value":"0.0575"},{"id":17,"name":"Train ID","value":"844-02"},{"id":16,"name":"Locomotive ID","value":"4017"},{"id":130,"name":"Impact","value":""},{"id":150,"name":"Time of Event (Mountain Time)","value":"21:56:25"},{"id":151,"name":"Denver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-A100 "Enforcement Action" "%USERPROFILE%\AppData\Local\Temp\OnboardLogs"\RTDC4017\*4017*201701030*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"%USERPROFILE%\AppData\Local\Temp\OnboardLogs"\RTDC4017\*4017*201701030* &gt;&gt; 42737-slicedisagreementcheck.txt</v>
      </c>
      <c r="AE22" s="183" t="str">
        <f t="shared" si="8"/>
        <v>start /low /b %USERPROFILE%\Documents\GitHub\eaglep3\Utilities\DownloadLogsFromS3.py --loco 4017 --day 2017-01-03</v>
      </c>
      <c r="AF22" s="1"/>
    </row>
    <row r="23" spans="1:32" x14ac:dyDescent="0.25">
      <c r="A23" s="33">
        <v>42737.914768518516</v>
      </c>
      <c r="B23" s="31" t="s">
        <v>442</v>
      </c>
      <c r="C23" s="31" t="s">
        <v>448</v>
      </c>
      <c r="D23" s="31" t="s">
        <v>49</v>
      </c>
      <c r="E23" s="31" t="s">
        <v>198</v>
      </c>
      <c r="F23" s="44">
        <v>0</v>
      </c>
      <c r="G23" s="44">
        <v>56</v>
      </c>
      <c r="H23" s="44">
        <v>843</v>
      </c>
      <c r="I23" s="44">
        <v>794</v>
      </c>
      <c r="J23" s="31" t="s">
        <v>199</v>
      </c>
      <c r="K23" s="44">
        <v>575</v>
      </c>
      <c r="L23" s="150" t="s">
        <v>51</v>
      </c>
      <c r="M23" s="151">
        <f t="shared" si="0"/>
        <v>115.63200000000001</v>
      </c>
      <c r="N23" s="152" t="str">
        <f>VLOOKUP(C23,'Trips&amp;Operators'!$C$1:$G$99999,5,FALSE)</f>
        <v>NEWELL JAMES</v>
      </c>
      <c r="O23" s="179" t="s">
        <v>195</v>
      </c>
      <c r="P23" s="153"/>
      <c r="Q23" s="31"/>
      <c r="R23" s="96" t="str">
        <f>VLOOKUP(C23,'Train Runs'!$A$13:$AE$9964,31,0)</f>
        <v>aws s3 cp s3://rtdc.mdm.uploadarchive.raw/RTDC4017/ "%USERPROFILE%\AppData\Local\Temp\OnboardLogs"\RTDC4017\2017-01-02 --exclude "*" --recursive --include "*20170102*" &amp; "%USERPROFILE%\Documents\GitHub\mrs-test-scripts\Headless Mode &amp; Sideloading\WalkAndUnGZ.bat" "%USERPROFILE%\AppData\Local\Temp\OnboardLogs"\RTDC4017\2017-01-02 &amp; aws s3 cp s3://rtdc.mdm.uploadarchive.raw/RTDC4017/ "%USERPROFILE%\AppData\Local\Temp\OnboardLogs"\RTDC4017\2017-01-03 --exclude "*" --recursive --include "*20170103*" &amp; "%USERPROFILE%\Documents\GitHub\mrs-test-scripts\Headless Mode &amp; Sideloading\WalkAndUnGZ.bat" "%USERPROFILE%\AppData\Local\Temp\OnboardLogs"\RTDC4017\2017-01-03</v>
      </c>
      <c r="S23" s="99" t="str">
        <f>VLOOKUP(C23,'Train Runs'!$A$13:$AE$9964,22,0)</f>
        <v>https://search-rtdc-monitor-bjffxe2xuh6vdkpspy63sjmuny.us-east-1.es.amazonaws.com/_plugin/kibana/#/discover/Steve-Slow-Train-Analysis-(2080s-and-2083s)?_g=(refreshInterval:(display:Off,section:0,value:0),time:(from:'2017-01-02 20:38:10-700',mode:absolute,to:'2017-01-02 22:56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3" s="101" t="str">
        <f t="shared" si="1"/>
        <v>"C:\Program Files (x86)\AstroGrep\AstroGrep.exe" /spath="%USERPROFILE%\AppData\Local\Temp\OnboardLogs" /stypes="*4017*201701030*" /stext=" 04:.+((SYSTEM_STATE.+slice.+state.+changed )|(ment ac)|(multiple cpu faults)|(system.+state.+changed )|(\[timeout)|(PRM\|1\|D)|(kpr)|(kdp)|(\|lc)|(penalty))" /e /r /s</v>
      </c>
      <c r="U23" s="9" t="str">
        <f t="shared" si="2"/>
        <v>4017</v>
      </c>
      <c r="V23" s="33">
        <f t="shared" si="3"/>
        <v>42738.20643518518</v>
      </c>
      <c r="W23" s="47" t="str">
        <f t="shared" si="4"/>
        <v>NW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{"issue":{"subject":"","project_id":79,"tracker_id":40,"status_id":1,"priority_id":2,"assigned_to_id":23,"start_date":"2017-01-02","description":"","custom_fields":[{"id":1,"name":"Subdivision","value":"NW"},{"id":4,"name":"Milepost","value":"0.0575"},{"id":17,"name":"Train ID","value":"844-02"},{"id":16,"name":"Locomotive ID","value":"4017"},{"id":130,"name":"Impact","value":""},{"id":150,"name":"Time of Event (Mountain Time)","value":"21:57:16"},{"id":151,"name":"Denver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-A100 "Enforcement Action" "%USERPROFILE%\AppData\Local\Temp\OnboardLogs"\RTDC4017\*4017*201701030*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"%USERPROFILE%\AppData\Local\Temp\OnboardLogs"\RTDC4017\*4017*201701030* &gt;&gt; 42737-slicedisagreementcheck.txt</v>
      </c>
      <c r="AE23" s="183" t="str">
        <f t="shared" si="8"/>
        <v>start /low /b %USERPROFILE%\Documents\GitHub\eaglep3\Utilities\DownloadLogsFromS3.py --loco 4017 --day 2017-01-03</v>
      </c>
      <c r="AF23" s="1"/>
    </row>
    <row r="24" spans="1:32" x14ac:dyDescent="0.25">
      <c r="A24" s="33">
        <v>42737.254884259259</v>
      </c>
      <c r="B24" s="31" t="s">
        <v>383</v>
      </c>
      <c r="C24" s="31" t="s">
        <v>428</v>
      </c>
      <c r="D24" s="31" t="s">
        <v>49</v>
      </c>
      <c r="E24" s="31" t="s">
        <v>198</v>
      </c>
      <c r="F24" s="44">
        <v>0</v>
      </c>
      <c r="G24" s="44">
        <v>16</v>
      </c>
      <c r="H24" s="44">
        <v>59020</v>
      </c>
      <c r="I24" s="44">
        <v>59040</v>
      </c>
      <c r="J24" s="31" t="s">
        <v>199</v>
      </c>
      <c r="K24" s="44">
        <v>59048</v>
      </c>
      <c r="L24" s="150" t="s">
        <v>50</v>
      </c>
      <c r="M24" s="151">
        <f t="shared" si="0"/>
        <v>4.2240000000000002</v>
      </c>
      <c r="N24" s="152" t="str">
        <f>VLOOKUP(C24,'Trips&amp;Operators'!$C$1:$G$99999,5,FALSE)</f>
        <v>DAVIS WENDY</v>
      </c>
      <c r="O24" s="179" t="s">
        <v>195</v>
      </c>
      <c r="P24" s="153"/>
      <c r="Q24" s="31"/>
      <c r="R24" s="96" t="str">
        <f>VLOOKUP(C24,'Train Runs'!$A$13:$AE$9964,31,0)</f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S24" s="99" t="str">
        <f>VLOOKUP(C24,'Train Runs'!$A$13:$AE$9964,22,0)</f>
        <v>https://search-rtdc-monitor-bjffxe2xuh6vdkpspy63sjmuny.us-east-1.es.amazonaws.com/_plugin/kibana/#/discover/Steve-Slow-Train-Analysis-(2080s-and-2083s)?_g=(refreshInterval:(display:Off,section:0,value:0),time:(from:'2017-01-02 04:45:56-700',mode:absolute,to:'2017-01-02 07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4" s="101" t="str">
        <f t="shared" si="1"/>
        <v>"C:\Program Files (x86)\AstroGrep\AstroGrep.exe" /spath="%USERPROFILE%\AppData\Local\Temp\OnboardLogs" /stypes="*4007*201701021*" /stext=" 13:.+((SYSTEM_STATE.+slice.+state.+changed )|(ment ac)|(multiple cpu faults)|(system.+state.+changed )|(\[timeout)|(PRM\|1\|D)|(kpr)|(kdp)|(\|lc)|(penalty))" /e /r /s</v>
      </c>
      <c r="U24" s="9" t="str">
        <f t="shared" si="2"/>
        <v>4007</v>
      </c>
      <c r="V24" s="33">
        <f t="shared" si="3"/>
        <v>42737.546550925923</v>
      </c>
      <c r="W24" s="47" t="str">
        <f t="shared" si="4"/>
        <v>NW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{"issue":{"subject":"","project_id":79,"tracker_id":40,"status_id":1,"priority_id":2,"assigned_to_id":23,"start_date":"2017-01-02","description":"","custom_fields":[{"id":1,"name":"Subdivision","value":"NW"},{"id":4,"name":"Milepost","value":"5.9048"},{"id":17,"name":"Train ID","value":"801-02"},{"id":16,"name":"Locomotive ID","value":"4007"},{"id":130,"name":"Impact","value":""},{"id":150,"name":"Time of Event (Mountain Time)","value":"06:07:02"},{"id":151,"name":"Denver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-A100 "Enforcement Action" "%USERPROFILE%\AppData\Local\Temp\OnboardLogs"\RTDC4007\*4007*201701021*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"%USERPROFILE%\AppData\Local\Temp\OnboardLogs"\RTDC4007\*4007*201701021* &gt;&gt; 42737-slicedisagreementcheck.txt</v>
      </c>
      <c r="AE24" s="183" t="str">
        <f t="shared" si="8"/>
        <v>start /low /b %USERPROFILE%\Documents\GitHub\eaglep3\Utilities\DownloadLogsFromS3.py --loco 4007 --day 2017-01-02</v>
      </c>
      <c r="AF24" s="1"/>
    </row>
    <row r="25" spans="1:32" x14ac:dyDescent="0.25">
      <c r="A25" s="33">
        <v>42737.297997685186</v>
      </c>
      <c r="B25" s="31" t="s">
        <v>383</v>
      </c>
      <c r="C25" s="31" t="s">
        <v>429</v>
      </c>
      <c r="D25" s="31" t="s">
        <v>98</v>
      </c>
      <c r="E25" s="31" t="s">
        <v>198</v>
      </c>
      <c r="F25" s="44">
        <v>0</v>
      </c>
      <c r="G25" s="44">
        <v>6</v>
      </c>
      <c r="H25" s="44">
        <v>59048</v>
      </c>
      <c r="I25" s="44">
        <v>0</v>
      </c>
      <c r="J25" s="31" t="s">
        <v>199</v>
      </c>
      <c r="K25" s="44">
        <v>59048</v>
      </c>
      <c r="L25" s="150" t="s">
        <v>50</v>
      </c>
      <c r="M25" s="151">
        <f t="shared" si="0"/>
        <v>31177.344000000001</v>
      </c>
      <c r="N25" s="152" t="str">
        <f>VLOOKUP(C25,'Trips&amp;Operators'!$C$1:$G$99999,5,FALSE)</f>
        <v>DAVIS WENDY</v>
      </c>
      <c r="O25" s="179" t="s">
        <v>195</v>
      </c>
      <c r="P25" s="153"/>
      <c r="Q25" s="31"/>
      <c r="R25" s="96" t="str">
        <f>VLOOKUP(C25,'Train Runs'!$A$13:$AE$9964,31,0)</f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S25" s="99" t="str">
        <f>VLOOKUP(C25,'Train Runs'!$A$13:$AE$9964,22,0)</f>
        <v>https://search-rtdc-monitor-bjffxe2xuh6vdkpspy63sjmuny.us-east-1.es.amazonaws.com/_plugin/kibana/#/discover/Steve-Slow-Train-Analysis-(2080s-and-2083s)?_g=(refreshInterval:(display:Off,section:0,value:0),time:(from:'2017-01-02 05:49:48-700',mode:absolute,to:'2017-01-02 08:09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5" s="101" t="str">
        <f t="shared" si="1"/>
        <v>"C:\Program Files (x86)\AstroGrep\AstroGrep.exe" /spath="%USERPROFILE%\AppData\Local\Temp\OnboardLogs" /stypes="*4007*201701021*" /stext=" 14:.+((SYSTEM_STATE.+slice.+state.+changed )|(ment ac)|(multiple cpu faults)|(system.+state.+changed )|(\[timeout)|(PRM\|1\|D)|(kpr)|(kdp)|(\|lc)|(penalty))" /e /r /s</v>
      </c>
      <c r="U25" s="9" t="str">
        <f t="shared" si="2"/>
        <v>4007</v>
      </c>
      <c r="V25" s="33">
        <f t="shared" si="3"/>
        <v>42737.58966435185</v>
      </c>
      <c r="W25" s="47" t="str">
        <f t="shared" si="4"/>
        <v>NW</v>
      </c>
      <c r="X25" s="47" t="str">
        <f t="shared" si="5"/>
        <v>OMIT</v>
      </c>
      <c r="Y25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{"issue":{"subject":"","project_id":79,"tracker_id":40,"status_id":1,"priority_id":2,"assigned_to_id":23,"start_date":"2017-01-02","description":"","custom_fields":[{"id":1,"name":"Subdivision","value":"NW"},{"id":4,"name":"Milepost","value":"5.9048"},{"id":17,"name":"Train ID","value":"805-02"},{"id":16,"name":"Locomotive ID","value":"4007"},{"id":130,"name":"Impact","value":""},{"id":150,"name":"Time of Event (Mountain Time)","value":"07:09:07"},{"id":151,"name":"Denver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-A100 "Enforcement Action" "%USERPROFILE%\AppData\Local\Temp\OnboardLogs"\RTDC4007\*4007*201701021*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"%USERPROFILE%\AppData\Local\Temp\OnboardLogs"\RTDC4007\*4007*201701021* &gt;&gt; 42737-slicedisagreementcheck.txt</v>
      </c>
      <c r="AE25" s="183" t="str">
        <f t="shared" si="8"/>
        <v>start /low /b %USERPROFILE%\Documents\GitHub\eaglep3\Utilities\DownloadLogsFromS3.py --loco 4007 --day 2017-01-02</v>
      </c>
      <c r="AF25" s="1"/>
    </row>
    <row r="26" spans="1:32" x14ac:dyDescent="0.25">
      <c r="A26" s="33">
        <v>42737.338171296295</v>
      </c>
      <c r="B26" s="31" t="s">
        <v>383</v>
      </c>
      <c r="C26" s="31" t="s">
        <v>431</v>
      </c>
      <c r="D26" s="31" t="s">
        <v>49</v>
      </c>
      <c r="E26" s="31" t="s">
        <v>198</v>
      </c>
      <c r="F26" s="44">
        <v>0</v>
      </c>
      <c r="G26" s="44">
        <v>4</v>
      </c>
      <c r="H26" s="44">
        <v>59040</v>
      </c>
      <c r="I26" s="44">
        <v>59042</v>
      </c>
      <c r="J26" s="31" t="s">
        <v>199</v>
      </c>
      <c r="K26" s="44">
        <v>59048</v>
      </c>
      <c r="L26" s="150" t="s">
        <v>50</v>
      </c>
      <c r="M26" s="151">
        <f t="shared" si="0"/>
        <v>3.1680000000000001</v>
      </c>
      <c r="N26" s="152" t="str">
        <f>VLOOKUP(C26,'Trips&amp;Operators'!$C$1:$G$99999,5,FALSE)</f>
        <v>DAVIS WENDY</v>
      </c>
      <c r="O26" s="179" t="s">
        <v>195</v>
      </c>
      <c r="P26" s="153"/>
      <c r="Q26" s="31"/>
      <c r="R26" s="96" t="str">
        <f>VLOOKUP(C26,'Train Runs'!$A$13:$AE$9964,31,0)</f>
        <v>aws s3 cp s3://rtdc.mdm.uploadarchive.raw/RTDC4007/ "%USERPROFILE%\AppData\Local\Temp\OnboardLogs"\RTDC4007\2017-01-02 --exclude "*" --recursive --include "*20170102*" &amp; "%USERPROFILE%\Documents\GitHub\mrs-test-scripts\Headless Mode &amp; Sideloading\WalkAndUnGZ.bat" "%USERPROFILE%\AppData\Local\Temp\OnboardLogs"\RTDC4007\2017-01-02 &amp; aws s3 cp s3://rtdc.mdm.uploadarchive.raw/RTDC4007/ "%USERPROFILE%\AppData\Local\Temp\OnboardLogs"\RTDC4007\2017-01-03 --exclude "*" --recursive --include "*20170103*" &amp; "%USERPROFILE%\Documents\GitHub\mrs-test-scripts\Headless Mode &amp; Sideloading\WalkAndUnGZ.bat" "%USERPROFILE%\AppData\Local\Temp\OnboardLogs"\RTDC4007\2017-01-03</v>
      </c>
      <c r="S26" s="99" t="str">
        <f>VLOOKUP(C26,'Train Runs'!$A$13:$AE$9964,22,0)</f>
        <v>https://search-rtdc-monitor-bjffxe2xuh6vdkpspy63sjmuny.us-east-1.es.amazonaws.com/_plugin/kibana/#/discover/Steve-Slow-Train-Analysis-(2080s-and-2083s)?_g=(refreshInterval:(display:Off,section:0,value:0),time:(from:'2017-01-02 06:44:39-700',mode:absolute,to:'2017-01-02 09:06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T26" s="101" t="str">
        <f t="shared" si="1"/>
        <v>"C:\Program Files (x86)\AstroGrep\AstroGrep.exe" /spath="%USERPROFILE%\AppData\Local\Temp\OnboardLogs" /stypes="*4007*201701021*" /stext=" 15:.+((SYSTEM_STATE.+slice.+state.+changed )|(ment ac)|(multiple cpu faults)|(system.+state.+changed )|(\[timeout)|(PRM\|1\|D)|(kpr)|(kdp)|(\|lc)|(penalty))" /e /r /s</v>
      </c>
      <c r="U26" s="9" t="str">
        <f t="shared" si="2"/>
        <v>4007</v>
      </c>
      <c r="V26" s="33">
        <f t="shared" si="3"/>
        <v>42737.629837962959</v>
      </c>
      <c r="W26" s="47" t="str">
        <f t="shared" si="4"/>
        <v>NW</v>
      </c>
      <c r="X26" s="47" t="str">
        <f t="shared" si="5"/>
        <v>OMIT</v>
      </c>
      <c r="Y26" s="115" t="str">
        <f t="shared" si="6"/>
        <v>echo {"issue":{"subject":"","project_id":79,"tracker_id":40,"status_id":1,"priority_id":2,"assigned_to_id":23,"start_date":"2017-01-02","description":"","custom_fields":[{"id":1,"name":"Subdivision","value":"NW"},{"id":4,"name":"Milepost","value":"5.9048"},{"id":17,"name":"Train ID","value":"809-02"},{"id":16,"name":"Locomotive ID","value":"4007"},{"id":130,"name":"Impact","value":""},{"id":150,"name":"Time of Event (Mountain Time)","value":"08:06:58"},{"id":151,"name":"Denver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-A100 "Enforcement Action" "%USERPROFILE%\AppData\Local\Temp\OnboardLogs"\RTDC4007\*4007*201701021*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"%USERPROFILE%\AppData\Local\Temp\OnboardLogs"\RTDC4007\*4007*201701021* &gt;&gt; 42737-slicedisagreementcheck.txt</v>
      </c>
      <c r="AE26" s="183" t="str">
        <f t="shared" si="8"/>
        <v>start /low /b %USERPROFILE%\Documents\GitHub\eaglep3\Utilities\DownloadLogsFromS3.py --loco 4007 --day 2017-01-02</v>
      </c>
      <c r="AF26" s="1"/>
    </row>
    <row r="27" spans="1:32" x14ac:dyDescent="0.25">
      <c r="A27" s="33">
        <v>42737.733993055554</v>
      </c>
      <c r="B27" s="31" t="s">
        <v>440</v>
      </c>
      <c r="C27" s="31" t="s">
        <v>441</v>
      </c>
      <c r="D27" s="31" t="s">
        <v>98</v>
      </c>
      <c r="E27" s="31" t="s">
        <v>196</v>
      </c>
      <c r="F27" s="44">
        <v>0</v>
      </c>
      <c r="G27" s="44">
        <v>24</v>
      </c>
      <c r="H27" s="44">
        <v>1714</v>
      </c>
      <c r="I27" s="44">
        <v>1814</v>
      </c>
      <c r="J27" s="31" t="s">
        <v>197</v>
      </c>
      <c r="K27" s="44">
        <v>1692</v>
      </c>
      <c r="L27" s="150" t="s">
        <v>50</v>
      </c>
      <c r="M27" s="151">
        <f t="shared" si="0"/>
        <v>-64.415999999999997</v>
      </c>
      <c r="N27" s="152" t="str">
        <f>VLOOKUP(C27,'Trips&amp;Operators'!$C$1:$G$99999,5,FALSE)</f>
        <v>BRANDNER MELINDA</v>
      </c>
      <c r="O27" s="179" t="s">
        <v>195</v>
      </c>
      <c r="P27" s="153"/>
      <c r="Q27" s="31"/>
      <c r="R27" s="96" t="str">
        <f>VLOOKUP(C27,'Train Runs'!$A$13:$AE$9964,31,0)</f>
        <v>aws s3 cp s3://rtdc.mdm.uploadarchive.raw/RTDC4020/ "%USERPROFILE%\AppData\Local\Temp\OnboardLogs"\RTDC4020\2017-01-02 --exclude "*" --recursive --include "*20170102*" &amp; "%USERPROFILE%\Documents\GitHub\mrs-test-scripts\Headless Mode &amp; Sideloading\WalkAndUnGZ.bat" "%USERPROFILE%\AppData\Local\Temp\OnboardLogs"\RTDC4020\2017-01-02 &amp; 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</v>
      </c>
      <c r="S27" s="99" t="str">
        <f>VLOOKUP(C27,'Train Runs'!$A$13:$AE$9964,22,0)</f>
        <v>https://search-rtdc-monitor-bjffxe2xuh6vdkpspy63sjmuny.us-east-1.es.amazonaws.com/_plugin/kibana/#/discover/Steve-Slow-Train-Analysis-(2080s-and-2083s)?_g=(refreshInterval:(display:Off,section:0,value:0),time:(from:'2017-01-02 16:03:51-700',mode:absolute,to:'2017-01-02 18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27" s="101" t="str">
        <f t="shared" si="1"/>
        <v>"C:\Program Files (x86)\AstroGrep\AstroGrep.exe" /spath="%USERPROFILE%\AppData\Local\Temp\OnboardLogs" /stypes="*4020*201701030*" /stext=" 00:.+((SYSTEM_STATE.+slice.+state.+changed )|(ment ac)|(multiple cpu faults)|(system.+state.+changed )|(\[timeout)|(PRM\|1\|D)|(kpr)|(kdp)|(\|lc)|(penalty))" /e /r /s</v>
      </c>
      <c r="U27" s="9" t="str">
        <f t="shared" si="2"/>
        <v>4020</v>
      </c>
      <c r="V27" s="33">
        <f t="shared" si="3"/>
        <v>42738.025659722218</v>
      </c>
      <c r="W27" s="47" t="str">
        <f t="shared" si="4"/>
        <v>Other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{"issue":{"subject":"","project_id":79,"tracker_id":40,"status_id":1,"priority_id":2,"assigned_to_id":23,"start_date":"2017-01-02","description":"","custom_fields":[{"id":1,"name":"Subdivision","value":"Other"},{"id":4,"name":"Milepost","value":"0.1692"},{"id":17,"name":"Train ID","value":"67-02"},{"id":16,"name":"Locomotive ID","value":"4020"},{"id":130,"name":"Impact","value":""},{"id":150,"name":"Time of Event (Mountain Time)","value":"17:36:57"},{"id":151,"name":"Denver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-A100 "Enforcement Action" "%USERPROFILE%\AppData\Local\Temp\OnboardLogs"\RTDC4020\*4020*201701030*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"%USERPROFILE%\AppData\Local\Temp\OnboardLogs"\RTDC4020\*4020*201701030* &gt;&gt; 42737-slicedisagreementcheck.txt</v>
      </c>
      <c r="AE27" s="183" t="str">
        <f t="shared" si="8"/>
        <v>start /low /b %USERPROFILE%\Documents\GitHub\eaglep3\Utilities\DownloadLogsFromS3.py --loco 4020 --day 2017-01-03</v>
      </c>
      <c r="AF27" s="1"/>
    </row>
    <row r="28" spans="1:32" ht="15" customHeight="1" x14ac:dyDescent="0.25">
      <c r="A28" s="33">
        <v>42737.734502314815</v>
      </c>
      <c r="B28" s="31" t="s">
        <v>440</v>
      </c>
      <c r="C28" s="31" t="s">
        <v>441</v>
      </c>
      <c r="D28" s="31" t="s">
        <v>98</v>
      </c>
      <c r="E28" s="31" t="s">
        <v>196</v>
      </c>
      <c r="F28" s="44">
        <v>0</v>
      </c>
      <c r="G28" s="44">
        <v>10</v>
      </c>
      <c r="H28" s="44">
        <v>1825</v>
      </c>
      <c r="I28" s="44">
        <v>1858</v>
      </c>
      <c r="J28" s="31" t="s">
        <v>197</v>
      </c>
      <c r="K28" s="44">
        <v>1692</v>
      </c>
      <c r="L28" s="150" t="s">
        <v>50</v>
      </c>
      <c r="M28" s="151">
        <f t="shared" si="0"/>
        <v>-87.647999999999996</v>
      </c>
      <c r="N28" s="152" t="str">
        <f>VLOOKUP(C28,'Trips&amp;Operators'!$C$1:$G$99999,5,FALSE)</f>
        <v>BRANDNER MELINDA</v>
      </c>
      <c r="O28" s="179" t="s">
        <v>195</v>
      </c>
      <c r="P28" s="153"/>
      <c r="Q28" s="31"/>
      <c r="R28" s="96" t="str">
        <f>VLOOKUP(C28,'Train Runs'!$A$13:$AE$9964,31,0)</f>
        <v>aws s3 cp s3://rtdc.mdm.uploadarchive.raw/RTDC4020/ "%USERPROFILE%\AppData\Local\Temp\OnboardLogs"\RTDC4020\2017-01-02 --exclude "*" --recursive --include "*20170102*" &amp; "%USERPROFILE%\Documents\GitHub\mrs-test-scripts\Headless Mode &amp; Sideloading\WalkAndUnGZ.bat" "%USERPROFILE%\AppData\Local\Temp\OnboardLogs"\RTDC4020\2017-01-02 &amp; aws s3 cp s3://rtdc.mdm.uploadarchive.raw/RTDC4020/ "%USERPROFILE%\AppData\Local\Temp\OnboardLogs"\RTDC4020\2017-01-03 --exclude "*" --recursive --include "*20170103*" &amp; "%USERPROFILE%\Documents\GitHub\mrs-test-scripts\Headless Mode &amp; Sideloading\WalkAndUnGZ.bat" "%USERPROFILE%\AppData\Local\Temp\OnboardLogs"\RTDC4020\2017-01-03</v>
      </c>
      <c r="S28" s="99" t="str">
        <f>VLOOKUP(C28,'Train Runs'!$A$13:$AE$9964,22,0)</f>
        <v>https://search-rtdc-monitor-bjffxe2xuh6vdkpspy63sjmuny.us-east-1.es.amazonaws.com/_plugin/kibana/#/discover/Steve-Slow-Train-Analysis-(2080s-and-2083s)?_g=(refreshInterval:(display:Off,section:0,value:0),time:(from:'2017-01-02 16:03:51-700',mode:absolute,to:'2017-01-02 18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28" s="101" t="str">
        <f t="shared" si="1"/>
        <v>"C:\Program Files (x86)\AstroGrep\AstroGrep.exe" /spath="%USERPROFILE%\AppData\Local\Temp\OnboardLogs" /stypes="*4020*201701030*" /stext=" 00:.+((SYSTEM_STATE.+slice.+state.+changed )|(ment ac)|(multiple cpu faults)|(system.+state.+changed )|(\[timeout)|(PRM\|1\|D)|(kpr)|(kdp)|(\|lc)|(penalty))" /e /r /s</v>
      </c>
      <c r="U28" s="9" t="str">
        <f t="shared" si="2"/>
        <v>4020</v>
      </c>
      <c r="V28" s="33">
        <f t="shared" si="3"/>
        <v>42738.02616898148</v>
      </c>
      <c r="W28" s="47" t="str">
        <f t="shared" si="4"/>
        <v>Other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{"issue":{"subject":"","project_id":79,"tracker_id":40,"status_id":1,"priority_id":2,"assigned_to_id":23,"start_date":"2017-01-02","description":"","custom_fields":[{"id":1,"name":"Subdivision","value":"Other"},{"id":4,"name":"Milepost","value":"0.1692"},{"id":17,"name":"Train ID","value":"67-02"},{"id":16,"name":"Locomotive ID","value":"4020"},{"id":130,"name":"Impact","value":""},{"id":150,"name":"Time of Event (Mountain Time)","value":"17:37:41"},{"id":151,"name":"Denver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-A100 "Enforcement Action" "%USERPROFILE%\AppData\Local\Temp\OnboardLogs"\RTDC4020\*4020*201701030*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"%USERPROFILE%\AppData\Local\Temp\OnboardLogs"\RTDC4020\*4020*201701030* &gt;&gt; 42737-slicedisagreementcheck.txt</v>
      </c>
      <c r="AE28" s="183" t="str">
        <f t="shared" si="8"/>
        <v>start /low /b %USERPROFILE%\Documents\GitHub\eaglep3\Utilities\DownloadLogsFromS3.py --loco 4020 --day 2017-01-03</v>
      </c>
      <c r="AF28" s="1"/>
    </row>
    <row r="29" spans="1:32" ht="15" customHeight="1" x14ac:dyDescent="0.25">
      <c r="A29" s="33">
        <v>42737.705439814818</v>
      </c>
      <c r="B29" s="31" t="s">
        <v>271</v>
      </c>
      <c r="C29" s="31" t="s">
        <v>439</v>
      </c>
      <c r="D29" s="31" t="s">
        <v>49</v>
      </c>
      <c r="E29" s="31" t="s">
        <v>198</v>
      </c>
      <c r="F29" s="44">
        <v>0</v>
      </c>
      <c r="G29" s="44">
        <v>34</v>
      </c>
      <c r="H29" s="44">
        <v>115</v>
      </c>
      <c r="I29" s="44">
        <v>75</v>
      </c>
      <c r="J29" s="31" t="s">
        <v>199</v>
      </c>
      <c r="K29" s="44">
        <v>1</v>
      </c>
      <c r="L29" s="150" t="s">
        <v>51</v>
      </c>
      <c r="M29" s="151">
        <f t="shared" si="0"/>
        <v>39.072000000000003</v>
      </c>
      <c r="N29" s="152" t="str">
        <f>VLOOKUP(C29,'Trips&amp;Operators'!$C$1:$G$99999,5,FALSE)</f>
        <v>CHANDLER KELVIN</v>
      </c>
      <c r="O29" s="179" t="s">
        <v>195</v>
      </c>
      <c r="P29" s="153"/>
      <c r="Q29" s="31"/>
      <c r="R29" s="96" t="str">
        <f>VLOOKUP(C29,'Train Runs'!$A$13:$AE$9964,31,0)</f>
        <v>aws s3 cp s3://rtdc.mdm.uploadarchive.raw/RTDC4043/ "%USERPROFILE%\AppData\Local\Temp\OnboardLogs"\RTDC4043\2017-01-02 --exclude "*" --recursive --include "*20170102*" &amp; "%USERPROFILE%\Documents\GitHub\mrs-test-scripts\Headless Mode &amp; Sideloading\WalkAndUnGZ.bat" "%USERPROFILE%\AppData\Local\Temp\OnboardLogs"\RTDC4043\2017-01-02 &amp; aws s3 cp s3://rtdc.mdm.uploadarchive.raw/RTDC4043/ "%USERPROFILE%\AppData\Local\Temp\OnboardLogs"\RTDC4043\2017-01-03 --exclude "*" --recursive --include "*20170103*" &amp; "%USERPROFILE%\Documents\GitHub\mrs-test-scripts\Headless Mode &amp; Sideloading\WalkAndUnGZ.bat" "%USERPROFILE%\AppData\Local\Temp\OnboardLogs"\RTDC4043\2017-01-03</v>
      </c>
      <c r="S29" s="99" t="str">
        <f>VLOOKUP(C29,'Train Runs'!$A$13:$AE$9964,22,0)</f>
        <v>https://search-rtdc-monitor-bjffxe2xuh6vdkpspy63sjmuny.us-east-1.es.amazonaws.com/_plugin/kibana/#/discover/Steve-Slow-Train-Analysis-(2080s-and-2083s)?_g=(refreshInterval:(display:Off,section:0,value:0),time:(from:'2017-01-02 15:43:13-700',mode:absolute,to:'2017-01-02 17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29" s="101" t="str">
        <f t="shared" si="1"/>
        <v>"C:\Program Files (x86)\AstroGrep\AstroGrep.exe" /spath="%USERPROFILE%\AppData\Local\Temp\OnboardLogs" /stypes="*4043*201701022*" /stext=" 23:.+((SYSTEM_STATE.+slice.+state.+changed )|(ment ac)|(multiple cpu faults)|(system.+state.+changed )|(\[timeout)|(PRM\|1\|D)|(kpr)|(kdp)|(\|lc)|(penalty))" /e /r /s</v>
      </c>
      <c r="U29" s="9" t="str">
        <f t="shared" si="2"/>
        <v>4043</v>
      </c>
      <c r="V29" s="33">
        <f t="shared" si="3"/>
        <v>42737.997106481482</v>
      </c>
      <c r="W29" s="47" t="str">
        <f t="shared" si="4"/>
        <v>Other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{"issue":{"subject":"","project_id":79,"tracker_id":40,"status_id":1,"priority_id":2,"assigned_to_id":23,"start_date":"2017-01-02","description":"","custom_fields":[{"id":1,"name":"Subdivision","value":"Other"},{"id":4,"name":"Milepost","value":"0.0001"},{"id":17,"name":"Train ID","value":"52-02"},{"id":16,"name":"Locomotive ID","value":"4043"},{"id":130,"name":"Impact","value":""},{"id":150,"name":"Time of Event (Mountain Time)","value":"16:55:50"},{"id":151,"name":"Denver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-A100 "Enforcement Action" "%USERPROFILE%\AppData\Local\Temp\OnboardLogs"\RTDC4043\*4043*201701022*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"%USERPROFILE%\AppData\Local\Temp\OnboardLogs"\RTDC4043\*4043*201701022* &gt;&gt; 42737-slicedisagreementcheck.txt</v>
      </c>
      <c r="AE29" s="183" t="str">
        <f t="shared" si="8"/>
        <v>start /low /b %USERPROFILE%\Documents\GitHub\eaglep3\Utilities\DownloadLogsFromS3.py --loco 4043 --day 2017-01-02</v>
      </c>
      <c r="AF29" s="1"/>
    </row>
    <row r="30" spans="1:32" x14ac:dyDescent="0.25">
      <c r="A30" s="33">
        <v>42737.762199074074</v>
      </c>
      <c r="B30" s="31" t="s">
        <v>325</v>
      </c>
      <c r="C30" s="31" t="s">
        <v>444</v>
      </c>
      <c r="D30" s="31" t="s">
        <v>98</v>
      </c>
      <c r="E30" s="31" t="s">
        <v>198</v>
      </c>
      <c r="F30" s="44">
        <v>0</v>
      </c>
      <c r="G30" s="44">
        <v>6</v>
      </c>
      <c r="H30" s="44">
        <v>839</v>
      </c>
      <c r="I30" s="44">
        <v>0</v>
      </c>
      <c r="J30" s="31" t="s">
        <v>199</v>
      </c>
      <c r="K30" s="44">
        <v>839</v>
      </c>
      <c r="L30" s="150" t="s">
        <v>51</v>
      </c>
      <c r="M30" s="151">
        <f t="shared" si="0"/>
        <v>-442.99200000000002</v>
      </c>
      <c r="N30" s="152" t="str">
        <f>VLOOKUP(C30,'Trips&amp;Operators'!$C$1:$G$99999,5,FALSE)</f>
        <v>PERKINS DARREN</v>
      </c>
      <c r="O30" s="179" t="s">
        <v>195</v>
      </c>
      <c r="P30" s="153"/>
      <c r="Q30" s="31"/>
      <c r="R30" s="96" t="e">
        <f>VLOOKUP(C30,'Train Runs'!$A$13:$AE$9964,31,0)</f>
        <v>#N/A</v>
      </c>
      <c r="S30" s="99" t="e">
        <f>VLOOKUP(C30,'Train Runs'!$A$13:$AE$9964,22,0)</f>
        <v>#N/A</v>
      </c>
      <c r="T30" s="101" t="str">
        <f t="shared" si="1"/>
        <v>"C:\Program Files (x86)\AstroGrep\AstroGrep.exe" /spath="%USERPROFILE%\AppData\Local\Temp\OnboardLogs" /stypes="*4001*201701030*" /stext=" 01:.+((SYSTEM_STATE.+slice.+state.+changed )|(ment ac)|(multiple cpu faults)|(system.+state.+changed )|(\[timeout)|(PRM\|1\|D)|(kpr)|(kdp)|(\|lc)|(penalty))" /e /r /s</v>
      </c>
      <c r="U30" s="9" t="str">
        <f t="shared" si="2"/>
        <v>4001</v>
      </c>
      <c r="V30" s="33">
        <f t="shared" si="3"/>
        <v>42738.053865740738</v>
      </c>
      <c r="W30" s="47" t="str">
        <f t="shared" si="4"/>
        <v>Other</v>
      </c>
      <c r="X30" s="47" t="str">
        <f t="shared" si="5"/>
        <v>OMIT</v>
      </c>
      <c r="Y30" s="115" t="str">
        <f t="shared" si="6"/>
        <v>echo {"issue":{"subject":"","project_id":79,"tracker_id":40,"status_id":1,"priority_id":2,"assigned_to_id":23,"start_date":"2017-01-02","description":"","custom_fields":[{"id":1,"name":"Subdivision","value":"Other"},{"id":4,"name":"Milepost","value":"0.0839"},{"id":17,"name":"Train ID","value":"56-02"},{"id":16,"name":"Locomotive ID","value":"4001"},{"id":130,"name":"Impact","value":""},{"id":150,"name":"Time of Event (Mountain Time)","value":"18:17:34"},{"id":151,"name":"Denver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-A100 "Enforcement Action" "%USERPROFILE%\AppData\Local\Temp\OnboardLogs"\RTDC4001\*4001*201701030*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"%USERPROFILE%\AppData\Local\Temp\OnboardLogs"\RTDC4001\*4001*201701030* &gt;&gt; 42737-slicedisagreementcheck.txt</v>
      </c>
      <c r="AE30" s="183" t="str">
        <f t="shared" si="8"/>
        <v>start /low /b %USERPROFILE%\Documents\GitHub\eaglep3\Utilities\DownloadLogsFromS3.py --loco 4001 --day 2017-01-03</v>
      </c>
      <c r="AF30" s="1"/>
    </row>
    <row r="31" spans="1:32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  <c r="AE31"/>
    </row>
    <row r="32" spans="1:32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  <c r="AE32"/>
    </row>
    <row r="33" spans="1:31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  <c r="AE33"/>
    </row>
    <row r="34" spans="1:31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  <c r="AE34"/>
    </row>
    <row r="35" spans="1:31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  <c r="AE35"/>
    </row>
    <row r="36" spans="1:31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  <c r="AE36"/>
    </row>
    <row r="37" spans="1:31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  <c r="AE37"/>
    </row>
    <row r="38" spans="1:31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  <c r="AE38"/>
    </row>
    <row r="39" spans="1:31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  <c r="AE39"/>
    </row>
    <row r="40" spans="1:31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  <c r="AE40"/>
    </row>
    <row r="41" spans="1:31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  <c r="AE41"/>
    </row>
    <row r="42" spans="1:31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  <c r="AE42"/>
    </row>
    <row r="43" spans="1:31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  <c r="AE43"/>
    </row>
    <row r="44" spans="1:31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  <c r="AE44"/>
    </row>
    <row r="45" spans="1:31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1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  <c r="AE73"/>
    </row>
  </sheetData>
  <autoFilter ref="A6:AC44">
    <sortState ref="A7:AC44">
      <sortCondition ref="V6:V44"/>
    </sortState>
  </autoFilter>
  <sortState ref="A7:AE30">
    <sortCondition ref="W7:W30"/>
    <sortCondition ref="E7:E30"/>
    <sortCondition ref="K7:K30"/>
    <sortCondition ref="C7:C30"/>
    <sortCondition ref="F7:F30"/>
  </sortState>
  <mergeCells count="1">
    <mergeCell ref="A5:O5"/>
  </mergeCells>
  <conditionalFormatting sqref="O6:P6 R6 O74:O1048576 O7:O3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30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AA7:AA30</xm:sqref>
        </x14:dataValidation>
        <x14:dataValidation type="list" allowBlank="1" showInputMessage="1" showErrorMessage="1">
          <x14:formula1>
            <xm:f>'Redmine List Values'!$C$2:$C$15</xm:f>
          </x14:formula1>
          <xm:sqref>AB7:AB30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7"/>
  <sheetViews>
    <sheetView workbookViewId="0">
      <selection activeCell="A3" sqref="A3:XFD3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2017-01-02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/>
      <c r="B3" s="44" t="str">
        <f>A3&amp;"-"&amp;IF(DAY(Variables!$A$2)&lt;10,0,"")&amp;DAY(Variables!$A$2)</f>
        <v>-02</v>
      </c>
      <c r="C3" s="154"/>
      <c r="D3" s="159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47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3" s="31" t="e">
        <f>VLOOKUP(B3,'Train Runs'!$A$13:$A$99961,1,FALSE)</f>
        <v>#N/A</v>
      </c>
      <c r="K3" s="31" t="e">
        <f>IF(VLOOKUP(A3,$K$25:$K$48,1,FALSE),"Cancelled")</f>
        <v>#N/A</v>
      </c>
    </row>
    <row r="4" spans="1:11" x14ac:dyDescent="0.25">
      <c r="A4" s="167"/>
      <c r="B4" s="44" t="str">
        <f>A4&amp;"-"&amp;IF(DAY(Variables!$A$2)&lt;10,0,"")&amp;DAY(Variables!$A$2)</f>
        <v>-02</v>
      </c>
      <c r="C4" s="154"/>
      <c r="D4" s="159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4" s="31" t="e">
        <f>VLOOKUP(B4,'Train Runs'!$A$13:$A$99961,1,FALSE)</f>
        <v>#N/A</v>
      </c>
      <c r="K4" s="31" t="e">
        <f>IF(VLOOKUP(A4,$K$25:$K$48,1,FALSE),"Cancelled")</f>
        <v>#N/A</v>
      </c>
    </row>
    <row r="5" spans="1:11" x14ac:dyDescent="0.25">
      <c r="A5" s="167"/>
      <c r="B5" s="44" t="str">
        <f>A5&amp;"-"&amp;IF(DAY(Variables!$A$2)&lt;10,0,"")&amp;DAY(Variables!$A$2)</f>
        <v>-02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ref="I5:I17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5" s="31" t="e">
        <f>VLOOKUP(B5,'Train Runs'!$A$13:$A$99961,1,FALSE)</f>
        <v>#N/A</v>
      </c>
      <c r="K5" s="31" t="e">
        <f t="shared" ref="K5:K17" si="2">IF(VLOOKUP(A5,$K$25:$K$48,1,FALSE),"Cancelled")</f>
        <v>#N/A</v>
      </c>
    </row>
    <row r="6" spans="1:11" x14ac:dyDescent="0.25">
      <c r="A6" s="167"/>
      <c r="B6" s="44" t="str">
        <f>A6&amp;"-"&amp;IF(DAY(Variables!$A$2)&lt;10,0,"")&amp;DAY(Variables!$A$2)</f>
        <v>-02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6" s="31" t="e">
        <f>VLOOKUP(B6,'Train Runs'!$A$13:$A$99961,1,FALSE)</f>
        <v>#N/A</v>
      </c>
      <c r="K6" s="31" t="e">
        <f t="shared" si="2"/>
        <v>#N/A</v>
      </c>
    </row>
    <row r="7" spans="1:11" x14ac:dyDescent="0.25">
      <c r="A7" s="167"/>
      <c r="B7" s="44" t="str">
        <f>A7&amp;"-"&amp;IF(DAY(Variables!$A$2)&lt;10,0,"")&amp;DAY(Variables!$A$2)</f>
        <v>-02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7" s="31" t="e">
        <f>VLOOKUP(B7,'Train Runs'!$A$13:$A$99961,1,FALSE)</f>
        <v>#N/A</v>
      </c>
      <c r="K7" s="31" t="e">
        <f t="shared" si="2"/>
        <v>#N/A</v>
      </c>
    </row>
    <row r="8" spans="1:11" x14ac:dyDescent="0.25">
      <c r="A8" s="167"/>
      <c r="B8" s="44" t="str">
        <f>A8&amp;"-"&amp;IF(DAY(Variables!$A$2)&lt;10,0,"")&amp;DAY(Variables!$A$2)</f>
        <v>-02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8" s="31" t="e">
        <f>VLOOKUP(B8,'Train Runs'!$A$13:$A$99961,1,FALSE)</f>
        <v>#N/A</v>
      </c>
      <c r="K8" s="31" t="e">
        <f t="shared" si="2"/>
        <v>#N/A</v>
      </c>
    </row>
    <row r="9" spans="1:11" x14ac:dyDescent="0.25">
      <c r="A9" s="167"/>
      <c r="B9" s="44" t="str">
        <f>A9&amp;"-"&amp;IF(DAY(Variables!$A$2)&lt;10,0,"")&amp;DAY(Variables!$A$2)</f>
        <v>-02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9" s="31" t="e">
        <f>VLOOKUP(B9,'Train Runs'!$A$13:$A$99961,1,FALSE)</f>
        <v>#N/A</v>
      </c>
      <c r="K9" s="31" t="e">
        <f t="shared" si="2"/>
        <v>#N/A</v>
      </c>
    </row>
    <row r="10" spans="1:11" x14ac:dyDescent="0.25">
      <c r="A10" s="167"/>
      <c r="B10" s="44" t="str">
        <f>A10&amp;"-"&amp;IF(DAY(Variables!$A$2)&lt;10,0,"")&amp;DAY(Variables!$A$2)</f>
        <v>-02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0" s="31" t="e">
        <f>VLOOKUP(B10,'Train Runs'!$A$13:$A$99961,1,FALSE)</f>
        <v>#N/A</v>
      </c>
      <c r="K10" s="31" t="e">
        <f t="shared" si="2"/>
        <v>#N/A</v>
      </c>
    </row>
    <row r="11" spans="1:11" x14ac:dyDescent="0.25">
      <c r="A11" s="167"/>
      <c r="B11" s="44" t="str">
        <f>A11&amp;"-"&amp;IF(DAY(Variables!$A$2)&lt;10,0,"")&amp;DAY(Variables!$A$2)</f>
        <v>-02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1" s="31" t="e">
        <f>VLOOKUP(B11,'Train Runs'!$A$13:$A$99961,1,FALSE)</f>
        <v>#N/A</v>
      </c>
      <c r="K11" s="31" t="e">
        <f t="shared" si="2"/>
        <v>#N/A</v>
      </c>
    </row>
    <row r="12" spans="1:11" x14ac:dyDescent="0.25">
      <c r="A12" s="167"/>
      <c r="B12" s="44" t="str">
        <f>A12&amp;"-"&amp;IF(DAY(Variables!$A$2)&lt;10,0,"")&amp;DAY(Variables!$A$2)</f>
        <v>-02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2" s="31" t="e">
        <f>VLOOKUP(B12,'Train Runs'!$A$13:$A$99961,1,FALSE)</f>
        <v>#N/A</v>
      </c>
      <c r="K12" s="31" t="e">
        <f t="shared" si="2"/>
        <v>#N/A</v>
      </c>
    </row>
    <row r="13" spans="1:11" x14ac:dyDescent="0.25">
      <c r="A13" s="167"/>
      <c r="B13" s="44" t="str">
        <f>A13&amp;"-"&amp;IF(DAY(Variables!$A$2)&lt;10,0,"")&amp;DAY(Variables!$A$2)</f>
        <v>-02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3" s="31" t="e">
        <f>VLOOKUP(B13,'Train Runs'!$A$13:$A$99961,1,FALSE)</f>
        <v>#N/A</v>
      </c>
      <c r="K13" s="31" t="e">
        <f t="shared" si="2"/>
        <v>#N/A</v>
      </c>
    </row>
    <row r="14" spans="1:11" x14ac:dyDescent="0.25">
      <c r="A14" s="167"/>
      <c r="B14" s="44" t="str">
        <f>A14&amp;"-"&amp;IF(DAY(Variables!$A$2)&lt;10,0,"")&amp;DAY(Variables!$A$2)</f>
        <v>-02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4" s="31" t="e">
        <f>VLOOKUP(B14,'Train Runs'!$A$13:$A$99961,1,FALSE)</f>
        <v>#N/A</v>
      </c>
      <c r="K14" s="31" t="e">
        <f t="shared" si="2"/>
        <v>#N/A</v>
      </c>
    </row>
    <row r="15" spans="1:11" x14ac:dyDescent="0.25">
      <c r="A15" s="167"/>
      <c r="B15" s="44" t="str">
        <f>A15&amp;"-"&amp;IF(DAY(Variables!$A$2)&lt;10,0,"")&amp;DAY(Variables!$A$2)</f>
        <v>-02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5" s="31" t="e">
        <f>VLOOKUP(B15,'Train Runs'!$A$13:$A$99961,1,FALSE)</f>
        <v>#N/A</v>
      </c>
      <c r="K15" s="31" t="e">
        <f t="shared" si="2"/>
        <v>#N/A</v>
      </c>
    </row>
    <row r="16" spans="1:11" x14ac:dyDescent="0.25">
      <c r="A16" s="167"/>
      <c r="B16" s="44" t="str">
        <f>A16&amp;"-"&amp;IF(DAY(Variables!$A$2)&lt;10,0,"")&amp;DAY(Variables!$A$2)</f>
        <v>-02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6" s="31" t="e">
        <f>VLOOKUP(B16,'Train Runs'!$A$13:$A$99961,1,FALSE)</f>
        <v>#N/A</v>
      </c>
      <c r="K16" s="31" t="e">
        <f t="shared" si="2"/>
        <v>#N/A</v>
      </c>
    </row>
    <row r="17" spans="1:11" x14ac:dyDescent="0.25">
      <c r="A17" s="167"/>
      <c r="B17" s="44" t="str">
        <f>A17&amp;"-"&amp;IF(DAY(Variables!$A$2)&lt;10,0,"")&amp;DAY(Variables!$A$2)</f>
        <v>-02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-02%22)),sort:!(Time,asc))</v>
      </c>
      <c r="J17" s="31" t="e">
        <f>VLOOKUP(B17,'Train Runs'!$A$13:$A$99961,1,FALSE)</f>
        <v>#N/A</v>
      </c>
      <c r="K17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2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244</v>
      </c>
      <c r="G1" s="8" t="s">
        <v>243</v>
      </c>
    </row>
    <row r="2" spans="1:7" x14ac:dyDescent="0.25">
      <c r="A2" s="8">
        <v>42737.046932870369</v>
      </c>
      <c r="B2" s="21" t="s">
        <v>210</v>
      </c>
      <c r="C2" s="21" t="s">
        <v>399</v>
      </c>
      <c r="D2" s="160">
        <v>1810000</v>
      </c>
      <c r="E2" s="21" t="s">
        <v>265</v>
      </c>
      <c r="F2" s="21" t="s">
        <v>242</v>
      </c>
      <c r="G2" s="8" t="str">
        <f>E2&amp;" "&amp;F2</f>
        <v>NEWELL JAMES</v>
      </c>
    </row>
    <row r="3" spans="1:7" x14ac:dyDescent="0.25">
      <c r="A3" s="8">
        <v>42737.055034722223</v>
      </c>
      <c r="B3" s="21" t="s">
        <v>381</v>
      </c>
      <c r="C3" s="21" t="s">
        <v>382</v>
      </c>
      <c r="D3" s="160">
        <v>2000000</v>
      </c>
      <c r="E3" s="21" t="s">
        <v>207</v>
      </c>
      <c r="F3" s="21" t="s">
        <v>242</v>
      </c>
      <c r="G3" s="8" t="str">
        <f t="shared" ref="G3:G66" si="0">E3&amp;" "&amp;F3</f>
        <v>STAMBAUGH JAMES</v>
      </c>
    </row>
    <row r="4" spans="1:7" x14ac:dyDescent="0.25">
      <c r="A4" s="8">
        <v>42737.068738425929</v>
      </c>
      <c r="B4" s="21" t="s">
        <v>183</v>
      </c>
      <c r="C4" s="21" t="s">
        <v>400</v>
      </c>
      <c r="D4" s="160">
        <v>2230000</v>
      </c>
      <c r="E4" s="21" t="s">
        <v>264</v>
      </c>
      <c r="F4" s="21" t="s">
        <v>251</v>
      </c>
      <c r="G4" s="8" t="str">
        <f t="shared" si="0"/>
        <v>SMITH MICHAEL</v>
      </c>
    </row>
    <row r="5" spans="1:7" x14ac:dyDescent="0.25">
      <c r="A5" s="8">
        <v>42737.089282407411</v>
      </c>
      <c r="B5" s="21" t="s">
        <v>212</v>
      </c>
      <c r="C5" s="21" t="s">
        <v>401</v>
      </c>
      <c r="D5" s="160">
        <v>2000000</v>
      </c>
      <c r="E5" s="21" t="s">
        <v>207</v>
      </c>
      <c r="F5" s="21" t="s">
        <v>242</v>
      </c>
      <c r="G5" s="8" t="str">
        <f t="shared" si="0"/>
        <v>STAMBAUGH JAMES</v>
      </c>
    </row>
    <row r="6" spans="1:7" x14ac:dyDescent="0.25">
      <c r="A6" s="8">
        <v>42737.115358796298</v>
      </c>
      <c r="B6" s="21" t="s">
        <v>437</v>
      </c>
      <c r="C6" s="21" t="s">
        <v>450</v>
      </c>
      <c r="D6" s="160">
        <v>2110000</v>
      </c>
      <c r="E6" s="21" t="s">
        <v>272</v>
      </c>
      <c r="F6" s="21" t="s">
        <v>273</v>
      </c>
      <c r="G6" s="8" t="str">
        <f t="shared" si="0"/>
        <v>OUN ZACK</v>
      </c>
    </row>
    <row r="7" spans="1:7" x14ac:dyDescent="0.25">
      <c r="A7" s="8">
        <v>42737.132615740738</v>
      </c>
      <c r="B7" s="21" t="s">
        <v>237</v>
      </c>
      <c r="C7" s="21" t="s">
        <v>451</v>
      </c>
      <c r="D7" s="160">
        <v>2110000</v>
      </c>
      <c r="E7" s="21" t="s">
        <v>272</v>
      </c>
      <c r="F7" s="21" t="s">
        <v>273</v>
      </c>
      <c r="G7" s="8" t="str">
        <f t="shared" si="0"/>
        <v>OUN ZACK</v>
      </c>
    </row>
    <row r="8" spans="1:7" x14ac:dyDescent="0.25">
      <c r="A8" s="8">
        <v>42737.144432870373</v>
      </c>
      <c r="B8" s="21" t="s">
        <v>331</v>
      </c>
      <c r="C8" s="21" t="s">
        <v>452</v>
      </c>
      <c r="D8" s="160">
        <v>2010000</v>
      </c>
      <c r="E8" s="21" t="s">
        <v>332</v>
      </c>
      <c r="F8" s="21" t="s">
        <v>333</v>
      </c>
      <c r="G8" s="8" t="str">
        <f t="shared" si="0"/>
        <v>MAELZER KURT</v>
      </c>
    </row>
    <row r="9" spans="1:7" ht="15.75" thickBot="1" x14ac:dyDescent="0.3">
      <c r="A9" s="25">
        <v>42737.153240740743</v>
      </c>
      <c r="B9" s="21" t="s">
        <v>202</v>
      </c>
      <c r="C9" s="21" t="s">
        <v>453</v>
      </c>
      <c r="D9" s="160">
        <v>2010000</v>
      </c>
      <c r="E9" s="21" t="s">
        <v>332</v>
      </c>
      <c r="F9" s="21" t="s">
        <v>333</v>
      </c>
      <c r="G9" s="8" t="str">
        <f t="shared" si="0"/>
        <v>MAELZER KURT</v>
      </c>
    </row>
    <row r="10" spans="1:7" x14ac:dyDescent="0.25">
      <c r="A10" s="8">
        <v>42737.161076388889</v>
      </c>
      <c r="B10" s="21" t="s">
        <v>248</v>
      </c>
      <c r="C10" s="21" t="s">
        <v>454</v>
      </c>
      <c r="D10" s="160">
        <v>1260000</v>
      </c>
      <c r="E10" s="21" t="s">
        <v>455</v>
      </c>
      <c r="F10" s="21" t="s">
        <v>456</v>
      </c>
      <c r="G10" s="8" t="str">
        <f t="shared" si="0"/>
        <v>ACKERMAN JARED</v>
      </c>
    </row>
    <row r="11" spans="1:7" x14ac:dyDescent="0.25">
      <c r="A11" s="8">
        <v>42737.169270833336</v>
      </c>
      <c r="B11" s="21" t="s">
        <v>330</v>
      </c>
      <c r="C11" s="21" t="s">
        <v>457</v>
      </c>
      <c r="D11" s="160">
        <v>2670000</v>
      </c>
      <c r="E11" s="21" t="s">
        <v>458</v>
      </c>
      <c r="F11" s="21" t="s">
        <v>459</v>
      </c>
      <c r="G11" s="8" t="str">
        <f t="shared" si="0"/>
        <v>COMELLA JUSTIN</v>
      </c>
    </row>
    <row r="12" spans="1:7" x14ac:dyDescent="0.25">
      <c r="A12" s="8">
        <v>42737.170138888891</v>
      </c>
      <c r="B12" s="21" t="s">
        <v>437</v>
      </c>
      <c r="C12" s="21" t="s">
        <v>460</v>
      </c>
      <c r="D12" s="160">
        <v>2110000</v>
      </c>
      <c r="E12" s="21" t="s">
        <v>272</v>
      </c>
      <c r="F12" s="21" t="s">
        <v>273</v>
      </c>
      <c r="G12" s="8" t="str">
        <f t="shared" si="0"/>
        <v>OUN ZACK</v>
      </c>
    </row>
    <row r="13" spans="1:7" x14ac:dyDescent="0.25">
      <c r="A13" s="8">
        <v>42737.171898148146</v>
      </c>
      <c r="B13" s="21" t="s">
        <v>223</v>
      </c>
      <c r="C13" s="21" t="s">
        <v>461</v>
      </c>
      <c r="D13" s="160">
        <v>1260000</v>
      </c>
      <c r="E13" s="21" t="s">
        <v>455</v>
      </c>
      <c r="F13" s="21" t="s">
        <v>456</v>
      </c>
      <c r="G13" s="8" t="str">
        <f t="shared" si="0"/>
        <v>ACKERMAN JARED</v>
      </c>
    </row>
    <row r="14" spans="1:7" x14ac:dyDescent="0.25">
      <c r="A14" s="8">
        <v>42737.182939814818</v>
      </c>
      <c r="B14" s="21" t="s">
        <v>347</v>
      </c>
      <c r="C14" s="21" t="s">
        <v>462</v>
      </c>
      <c r="D14" s="160">
        <v>2020000</v>
      </c>
      <c r="E14" s="21" t="s">
        <v>388</v>
      </c>
      <c r="F14" s="21" t="s">
        <v>354</v>
      </c>
      <c r="G14" s="8" t="str">
        <f t="shared" si="0"/>
        <v>SHOOK JOHN</v>
      </c>
    </row>
    <row r="15" spans="1:7" x14ac:dyDescent="0.25">
      <c r="A15" s="8">
        <v>42737.184872685182</v>
      </c>
      <c r="B15" s="21" t="s">
        <v>228</v>
      </c>
      <c r="C15" s="21" t="s">
        <v>463</v>
      </c>
      <c r="D15" s="160">
        <v>2670000</v>
      </c>
      <c r="E15" s="21" t="s">
        <v>458</v>
      </c>
      <c r="F15" s="21" t="s">
        <v>459</v>
      </c>
      <c r="G15" s="8" t="str">
        <f t="shared" si="0"/>
        <v>COMELLA JUSTIN</v>
      </c>
    </row>
    <row r="16" spans="1:7" x14ac:dyDescent="0.25">
      <c r="A16" s="8">
        <v>42737.188564814816</v>
      </c>
      <c r="B16" s="21" t="s">
        <v>331</v>
      </c>
      <c r="C16" s="21" t="s">
        <v>464</v>
      </c>
      <c r="D16" s="160">
        <v>2010000</v>
      </c>
      <c r="E16" s="21" t="s">
        <v>332</v>
      </c>
      <c r="F16" s="21" t="s">
        <v>333</v>
      </c>
      <c r="G16" s="8" t="str">
        <f t="shared" si="0"/>
        <v>MAELZER KURT</v>
      </c>
    </row>
    <row r="17" spans="1:7" x14ac:dyDescent="0.25">
      <c r="A17" s="8">
        <v>42737.194745370369</v>
      </c>
      <c r="B17" s="21" t="s">
        <v>349</v>
      </c>
      <c r="C17" s="21" t="s">
        <v>465</v>
      </c>
      <c r="D17" s="160">
        <v>2020000</v>
      </c>
      <c r="E17" s="21" t="s">
        <v>388</v>
      </c>
      <c r="F17" s="21" t="s">
        <v>354</v>
      </c>
      <c r="G17" s="8" t="str">
        <f t="shared" si="0"/>
        <v>SHOOK JOHN</v>
      </c>
    </row>
    <row r="18" spans="1:7" x14ac:dyDescent="0.25">
      <c r="A18" s="8">
        <v>42737.195821759262</v>
      </c>
      <c r="B18" s="21" t="s">
        <v>331</v>
      </c>
      <c r="C18" s="21" t="s">
        <v>464</v>
      </c>
      <c r="D18" s="160">
        <v>2010000</v>
      </c>
      <c r="E18" s="21" t="s">
        <v>332</v>
      </c>
      <c r="F18" s="21" t="s">
        <v>333</v>
      </c>
      <c r="G18" s="8" t="str">
        <f t="shared" si="0"/>
        <v>MAELZER KURT</v>
      </c>
    </row>
    <row r="19" spans="1:7" x14ac:dyDescent="0.25">
      <c r="A19" s="8">
        <v>42737.197164351855</v>
      </c>
      <c r="B19" s="21" t="s">
        <v>331</v>
      </c>
      <c r="C19" s="21" t="s">
        <v>464</v>
      </c>
      <c r="D19" s="160">
        <v>2010000</v>
      </c>
      <c r="E19" s="21" t="s">
        <v>332</v>
      </c>
      <c r="F19" s="21" t="s">
        <v>333</v>
      </c>
      <c r="G19" s="8" t="str">
        <f t="shared" si="0"/>
        <v>MAELZER KURT</v>
      </c>
    </row>
    <row r="20" spans="1:7" x14ac:dyDescent="0.25">
      <c r="A20" s="8">
        <v>42737.207291666666</v>
      </c>
      <c r="B20" s="21" t="s">
        <v>237</v>
      </c>
      <c r="C20" s="21" t="s">
        <v>466</v>
      </c>
      <c r="D20" s="160">
        <v>2710000</v>
      </c>
      <c r="E20" s="21" t="s">
        <v>467</v>
      </c>
      <c r="F20" s="21" t="s">
        <v>468</v>
      </c>
      <c r="G20" s="8" t="str">
        <f t="shared" si="0"/>
        <v>SIMMONS SHYHESHA</v>
      </c>
    </row>
    <row r="21" spans="1:7" x14ac:dyDescent="0.25">
      <c r="A21" s="8">
        <v>42737.211099537039</v>
      </c>
      <c r="B21" s="21" t="s">
        <v>248</v>
      </c>
      <c r="C21" s="21" t="s">
        <v>427</v>
      </c>
      <c r="D21" s="160">
        <v>1260000</v>
      </c>
      <c r="E21" s="21" t="s">
        <v>455</v>
      </c>
      <c r="F21" s="21" t="s">
        <v>456</v>
      </c>
      <c r="G21" s="8" t="str">
        <f t="shared" si="0"/>
        <v>ACKERMAN JARED</v>
      </c>
    </row>
    <row r="22" spans="1:7" x14ac:dyDescent="0.25">
      <c r="A22" s="27">
        <v>42737.21334490741</v>
      </c>
      <c r="B22" s="21" t="s">
        <v>384</v>
      </c>
      <c r="C22" s="21" t="s">
        <v>469</v>
      </c>
      <c r="D22" s="160">
        <v>2110000</v>
      </c>
      <c r="E22" s="21" t="s">
        <v>272</v>
      </c>
      <c r="F22" s="21" t="s">
        <v>273</v>
      </c>
      <c r="G22" s="8" t="str">
        <f t="shared" si="0"/>
        <v>OUN ZACK</v>
      </c>
    </row>
    <row r="23" spans="1:7" x14ac:dyDescent="0.25">
      <c r="A23" s="8">
        <v>42737.215960648151</v>
      </c>
      <c r="B23" s="21" t="s">
        <v>380</v>
      </c>
      <c r="C23" s="21" t="s">
        <v>426</v>
      </c>
      <c r="D23" s="160">
        <v>1990000</v>
      </c>
      <c r="E23" s="21" t="s">
        <v>252</v>
      </c>
      <c r="F23" s="21" t="s">
        <v>385</v>
      </c>
      <c r="G23" s="8" t="str">
        <f t="shared" si="0"/>
        <v>DAVIS WENDY</v>
      </c>
    </row>
    <row r="24" spans="1:7" x14ac:dyDescent="0.25">
      <c r="A24" s="8">
        <v>42737.222696759258</v>
      </c>
      <c r="B24" s="21" t="s">
        <v>330</v>
      </c>
      <c r="C24" s="21" t="s">
        <v>470</v>
      </c>
      <c r="D24" s="160">
        <v>2670000</v>
      </c>
      <c r="E24" s="21" t="s">
        <v>458</v>
      </c>
      <c r="F24" s="21" t="s">
        <v>459</v>
      </c>
      <c r="G24" s="8" t="str">
        <f t="shared" si="0"/>
        <v>COMELLA JUSTIN</v>
      </c>
    </row>
    <row r="25" spans="1:7" x14ac:dyDescent="0.25">
      <c r="A25" s="8">
        <v>42737.22755787037</v>
      </c>
      <c r="B25" s="21" t="s">
        <v>202</v>
      </c>
      <c r="C25" s="21" t="s">
        <v>471</v>
      </c>
      <c r="D25" s="160">
        <v>2140000</v>
      </c>
      <c r="E25" s="21" t="s">
        <v>386</v>
      </c>
      <c r="F25" s="21" t="s">
        <v>387</v>
      </c>
      <c r="G25" s="8" t="str">
        <f t="shared" si="0"/>
        <v>ROBINSON KADDIBA</v>
      </c>
    </row>
    <row r="26" spans="1:7" x14ac:dyDescent="0.25">
      <c r="A26" s="8">
        <v>42737.22828703704</v>
      </c>
      <c r="B26" s="21" t="s">
        <v>347</v>
      </c>
      <c r="C26" s="21" t="s">
        <v>472</v>
      </c>
      <c r="D26" s="160">
        <v>2020000</v>
      </c>
      <c r="E26" s="21" t="s">
        <v>388</v>
      </c>
      <c r="F26" s="21" t="s">
        <v>354</v>
      </c>
      <c r="G26" s="8" t="str">
        <f t="shared" si="0"/>
        <v>SHOOK JOHN</v>
      </c>
    </row>
    <row r="27" spans="1:7" x14ac:dyDescent="0.25">
      <c r="A27" s="8">
        <v>42737.235891203702</v>
      </c>
      <c r="B27" s="21" t="s">
        <v>440</v>
      </c>
      <c r="C27" s="21" t="s">
        <v>473</v>
      </c>
      <c r="D27" s="160">
        <v>2010000</v>
      </c>
      <c r="E27" s="21" t="s">
        <v>332</v>
      </c>
      <c r="F27" s="21" t="s">
        <v>333</v>
      </c>
      <c r="G27" s="8" t="str">
        <f t="shared" si="0"/>
        <v>MAELZER KURT</v>
      </c>
    </row>
    <row r="28" spans="1:7" x14ac:dyDescent="0.25">
      <c r="A28" s="8">
        <v>42737.236122685186</v>
      </c>
      <c r="B28" s="21" t="s">
        <v>474</v>
      </c>
      <c r="C28" s="21" t="s">
        <v>475</v>
      </c>
      <c r="D28" s="160">
        <v>2710000</v>
      </c>
      <c r="E28" s="21" t="s">
        <v>467</v>
      </c>
      <c r="F28" s="21" t="s">
        <v>468</v>
      </c>
      <c r="G28" s="8" t="str">
        <f t="shared" si="0"/>
        <v>SIMMONS SHYHESHA</v>
      </c>
    </row>
    <row r="29" spans="1:7" x14ac:dyDescent="0.25">
      <c r="A29" s="8">
        <v>42737.240868055553</v>
      </c>
      <c r="B29" s="21" t="s">
        <v>383</v>
      </c>
      <c r="C29" s="21" t="s">
        <v>428</v>
      </c>
      <c r="D29" s="160">
        <v>1990000</v>
      </c>
      <c r="E29" s="21" t="s">
        <v>252</v>
      </c>
      <c r="F29" s="21" t="s">
        <v>385</v>
      </c>
      <c r="G29" s="8" t="str">
        <f t="shared" si="0"/>
        <v>DAVIS WENDY</v>
      </c>
    </row>
    <row r="30" spans="1:7" x14ac:dyDescent="0.25">
      <c r="A30" s="8">
        <v>42737.248356481483</v>
      </c>
      <c r="B30" s="21" t="s">
        <v>223</v>
      </c>
      <c r="C30" s="21" t="s">
        <v>476</v>
      </c>
      <c r="D30" s="160">
        <v>1260000</v>
      </c>
      <c r="E30" s="21" t="s">
        <v>455</v>
      </c>
      <c r="F30" s="21" t="s">
        <v>456</v>
      </c>
      <c r="G30" s="8" t="str">
        <f t="shared" si="0"/>
        <v>ACKERMAN JARED</v>
      </c>
    </row>
    <row r="31" spans="1:7" x14ac:dyDescent="0.25">
      <c r="A31" s="8">
        <v>42737.251886574071</v>
      </c>
      <c r="B31" s="21" t="s">
        <v>442</v>
      </c>
      <c r="C31" s="21" t="s">
        <v>477</v>
      </c>
      <c r="D31" s="160">
        <v>900000</v>
      </c>
      <c r="E31" s="21" t="s">
        <v>478</v>
      </c>
      <c r="F31" s="21" t="s">
        <v>479</v>
      </c>
      <c r="G31" s="8" t="str">
        <f t="shared" si="0"/>
        <v>ROCHA YAOTL</v>
      </c>
    </row>
    <row r="32" spans="1:7" x14ac:dyDescent="0.25">
      <c r="A32" s="8">
        <v>42737.252812500003</v>
      </c>
      <c r="B32" s="21" t="s">
        <v>442</v>
      </c>
      <c r="C32" s="21" t="s">
        <v>477</v>
      </c>
      <c r="D32" s="160">
        <v>900000</v>
      </c>
      <c r="E32" s="21" t="s">
        <v>478</v>
      </c>
      <c r="F32" s="21" t="s">
        <v>479</v>
      </c>
      <c r="G32" s="8" t="str">
        <f t="shared" si="0"/>
        <v>ROCHA YAOTL</v>
      </c>
    </row>
    <row r="33" spans="1:7" x14ac:dyDescent="0.25">
      <c r="A33" s="8">
        <v>42737.253263888888</v>
      </c>
      <c r="B33" s="21" t="s">
        <v>437</v>
      </c>
      <c r="C33" s="21" t="s">
        <v>480</v>
      </c>
      <c r="D33" s="160">
        <v>2110000</v>
      </c>
      <c r="E33" s="21" t="s">
        <v>272</v>
      </c>
      <c r="F33" s="21" t="s">
        <v>273</v>
      </c>
      <c r="G33" s="8" t="str">
        <f t="shared" si="0"/>
        <v>OUN ZACK</v>
      </c>
    </row>
    <row r="34" spans="1:7" x14ac:dyDescent="0.25">
      <c r="A34" s="8">
        <v>42737.255798611113</v>
      </c>
      <c r="B34" s="21" t="s">
        <v>228</v>
      </c>
      <c r="C34" s="21" t="s">
        <v>481</v>
      </c>
      <c r="D34" s="160">
        <v>2670000</v>
      </c>
      <c r="E34" s="21" t="s">
        <v>458</v>
      </c>
      <c r="F34" s="21" t="s">
        <v>459</v>
      </c>
      <c r="G34" s="8" t="str">
        <f t="shared" si="0"/>
        <v>COMELLA JUSTIN</v>
      </c>
    </row>
    <row r="35" spans="1:7" x14ac:dyDescent="0.25">
      <c r="A35" s="8">
        <v>42737.256469907406</v>
      </c>
      <c r="B35" s="21" t="s">
        <v>380</v>
      </c>
      <c r="C35" s="21" t="s">
        <v>482</v>
      </c>
      <c r="D35" s="160">
        <v>1990000</v>
      </c>
      <c r="E35" s="21" t="s">
        <v>252</v>
      </c>
      <c r="F35" s="21" t="s">
        <v>385</v>
      </c>
      <c r="G35" s="8" t="str">
        <f t="shared" si="0"/>
        <v>DAVIS WENDY</v>
      </c>
    </row>
    <row r="36" spans="1:7" x14ac:dyDescent="0.25">
      <c r="A36" s="8">
        <v>42737.261886574073</v>
      </c>
      <c r="B36" s="21" t="s">
        <v>208</v>
      </c>
      <c r="C36" s="21" t="s">
        <v>483</v>
      </c>
      <c r="D36" s="160">
        <v>2140000</v>
      </c>
      <c r="E36" s="21" t="s">
        <v>386</v>
      </c>
      <c r="F36" s="21" t="s">
        <v>387</v>
      </c>
      <c r="G36" s="8" t="str">
        <f t="shared" si="0"/>
        <v>ROBINSON KADDIBA</v>
      </c>
    </row>
    <row r="37" spans="1:7" x14ac:dyDescent="0.25">
      <c r="A37" s="8">
        <v>42737.263796296298</v>
      </c>
      <c r="B37" s="21" t="s">
        <v>319</v>
      </c>
      <c r="C37" s="21" t="s">
        <v>484</v>
      </c>
      <c r="D37" s="160">
        <v>900000</v>
      </c>
      <c r="E37" s="21" t="s">
        <v>478</v>
      </c>
      <c r="F37" s="21" t="s">
        <v>479</v>
      </c>
      <c r="G37" s="8" t="str">
        <f t="shared" si="0"/>
        <v>ROCHA YAOTL</v>
      </c>
    </row>
    <row r="38" spans="1:7" x14ac:dyDescent="0.25">
      <c r="A38" s="8">
        <v>42737.268020833333</v>
      </c>
      <c r="B38" s="21" t="s">
        <v>349</v>
      </c>
      <c r="C38" s="21" t="s">
        <v>485</v>
      </c>
      <c r="D38" s="160">
        <v>2020000</v>
      </c>
      <c r="E38" s="21" t="s">
        <v>388</v>
      </c>
      <c r="F38" s="21" t="s">
        <v>354</v>
      </c>
      <c r="G38" s="8" t="str">
        <f t="shared" si="0"/>
        <v>SHOOK JOHN</v>
      </c>
    </row>
    <row r="39" spans="1:7" x14ac:dyDescent="0.25">
      <c r="A39" s="8">
        <v>42737.276250000003</v>
      </c>
      <c r="B39" s="21" t="s">
        <v>237</v>
      </c>
      <c r="C39" s="21" t="s">
        <v>486</v>
      </c>
      <c r="D39" s="160">
        <v>2710000</v>
      </c>
      <c r="E39" s="21" t="s">
        <v>467</v>
      </c>
      <c r="F39" s="21" t="s">
        <v>468</v>
      </c>
      <c r="G39" s="8" t="str">
        <f t="shared" si="0"/>
        <v>SIMMONS SHYHESHA</v>
      </c>
    </row>
    <row r="40" spans="1:7" x14ac:dyDescent="0.25">
      <c r="A40" s="8">
        <v>42737.276886574073</v>
      </c>
      <c r="B40" s="26" t="s">
        <v>442</v>
      </c>
      <c r="C40" s="21" t="s">
        <v>487</v>
      </c>
      <c r="D40" s="160">
        <v>900000</v>
      </c>
      <c r="E40" s="21" t="s">
        <v>478</v>
      </c>
      <c r="F40" s="21" t="s">
        <v>479</v>
      </c>
      <c r="G40" s="8" t="str">
        <f t="shared" si="0"/>
        <v>ROCHA YAOTL</v>
      </c>
    </row>
    <row r="41" spans="1:7" x14ac:dyDescent="0.25">
      <c r="A41" s="8">
        <v>42737.281805555554</v>
      </c>
      <c r="B41" s="21" t="s">
        <v>256</v>
      </c>
      <c r="C41" s="21" t="s">
        <v>488</v>
      </c>
      <c r="D41" s="160">
        <v>1260000</v>
      </c>
      <c r="E41" s="21" t="s">
        <v>455</v>
      </c>
      <c r="F41" s="21" t="s">
        <v>456</v>
      </c>
      <c r="G41" s="8" t="str">
        <f t="shared" si="0"/>
        <v>ACKERMAN JARED</v>
      </c>
    </row>
    <row r="42" spans="1:7" x14ac:dyDescent="0.25">
      <c r="A42" s="8">
        <v>42737.28496527778</v>
      </c>
      <c r="B42" s="21" t="s">
        <v>383</v>
      </c>
      <c r="C42" s="21" t="s">
        <v>429</v>
      </c>
      <c r="D42" s="160">
        <v>1990000</v>
      </c>
      <c r="E42" s="21" t="s">
        <v>252</v>
      </c>
      <c r="F42" s="21" t="s">
        <v>385</v>
      </c>
      <c r="G42" s="8" t="str">
        <f t="shared" si="0"/>
        <v>DAVIS WENDY</v>
      </c>
    </row>
    <row r="43" spans="1:7" x14ac:dyDescent="0.25">
      <c r="A43" s="8">
        <v>42737.28738425926</v>
      </c>
      <c r="B43" s="21" t="s">
        <v>384</v>
      </c>
      <c r="C43" s="21" t="s">
        <v>489</v>
      </c>
      <c r="D43" s="160">
        <v>2110000</v>
      </c>
      <c r="E43" s="21" t="s">
        <v>272</v>
      </c>
      <c r="F43" s="21" t="s">
        <v>273</v>
      </c>
      <c r="G43" s="8" t="str">
        <f t="shared" si="0"/>
        <v>OUN ZACK</v>
      </c>
    </row>
    <row r="44" spans="1:7" x14ac:dyDescent="0.25">
      <c r="A44" s="8">
        <v>42737.288472222222</v>
      </c>
      <c r="B44" s="21" t="s">
        <v>330</v>
      </c>
      <c r="C44" s="21" t="s">
        <v>490</v>
      </c>
      <c r="D44" s="160">
        <v>2670000</v>
      </c>
      <c r="E44" s="21" t="s">
        <v>458</v>
      </c>
      <c r="F44" s="21" t="s">
        <v>459</v>
      </c>
      <c r="G44" s="8" t="str">
        <f t="shared" si="0"/>
        <v>COMELLA JUSTIN</v>
      </c>
    </row>
    <row r="45" spans="1:7" x14ac:dyDescent="0.25">
      <c r="A45" s="8">
        <v>42737.299293981479</v>
      </c>
      <c r="B45" s="21" t="s">
        <v>380</v>
      </c>
      <c r="C45" s="21" t="s">
        <v>430</v>
      </c>
      <c r="D45" s="160">
        <v>1990000</v>
      </c>
      <c r="E45" s="21" t="s">
        <v>252</v>
      </c>
      <c r="F45" s="21" t="s">
        <v>385</v>
      </c>
      <c r="G45" s="8" t="str">
        <f t="shared" si="0"/>
        <v>DAVIS WENDY</v>
      </c>
    </row>
    <row r="46" spans="1:7" x14ac:dyDescent="0.25">
      <c r="A46" s="8">
        <v>42737.299421296295</v>
      </c>
      <c r="B46" s="21" t="s">
        <v>202</v>
      </c>
      <c r="C46" s="21" t="s">
        <v>491</v>
      </c>
      <c r="D46" s="160">
        <v>2140000</v>
      </c>
      <c r="E46" s="21" t="s">
        <v>386</v>
      </c>
      <c r="F46" s="21" t="s">
        <v>387</v>
      </c>
      <c r="G46" s="8" t="str">
        <f t="shared" si="0"/>
        <v>ROBINSON KADDIBA</v>
      </c>
    </row>
    <row r="47" spans="1:7" x14ac:dyDescent="0.25">
      <c r="A47" s="8">
        <v>42737.299768518518</v>
      </c>
      <c r="B47" s="21" t="s">
        <v>347</v>
      </c>
      <c r="C47" s="21" t="s">
        <v>492</v>
      </c>
      <c r="D47" s="160">
        <v>2020000</v>
      </c>
      <c r="E47" s="21" t="s">
        <v>388</v>
      </c>
      <c r="F47" s="21" t="s">
        <v>354</v>
      </c>
      <c r="G47" s="8" t="str">
        <f t="shared" si="0"/>
        <v>SHOOK JOHN</v>
      </c>
    </row>
    <row r="48" spans="1:7" x14ac:dyDescent="0.25">
      <c r="A48" s="8">
        <v>42737.302465277775</v>
      </c>
      <c r="B48" s="21" t="s">
        <v>226</v>
      </c>
      <c r="C48" s="21" t="s">
        <v>493</v>
      </c>
      <c r="D48" s="160">
        <v>2010000</v>
      </c>
      <c r="E48" s="21" t="s">
        <v>332</v>
      </c>
      <c r="F48" s="21" t="s">
        <v>333</v>
      </c>
      <c r="G48" s="8" t="str">
        <f t="shared" si="0"/>
        <v>MAELZER KURT</v>
      </c>
    </row>
    <row r="49" spans="1:7" x14ac:dyDescent="0.25">
      <c r="A49" s="8">
        <v>42737.30431712963</v>
      </c>
      <c r="B49" s="21" t="s">
        <v>319</v>
      </c>
      <c r="C49" s="21" t="s">
        <v>494</v>
      </c>
      <c r="D49" s="160">
        <v>900000</v>
      </c>
      <c r="E49" s="21" t="s">
        <v>478</v>
      </c>
      <c r="F49" s="21" t="s">
        <v>479</v>
      </c>
      <c r="G49" s="8" t="str">
        <f t="shared" si="0"/>
        <v>ROCHA YAOTL</v>
      </c>
    </row>
    <row r="50" spans="1:7" x14ac:dyDescent="0.25">
      <c r="A50" s="8">
        <v>42737.309236111112</v>
      </c>
      <c r="B50" s="21" t="s">
        <v>474</v>
      </c>
      <c r="C50" s="21" t="s">
        <v>495</v>
      </c>
      <c r="D50" s="160">
        <v>2710000</v>
      </c>
      <c r="E50" s="21" t="s">
        <v>467</v>
      </c>
      <c r="F50" s="21" t="s">
        <v>468</v>
      </c>
      <c r="G50" s="8" t="str">
        <f t="shared" si="0"/>
        <v>SIMMONS SHYHESHA</v>
      </c>
    </row>
    <row r="51" spans="1:7" x14ac:dyDescent="0.25">
      <c r="A51" s="8">
        <v>42737.318078703705</v>
      </c>
      <c r="B51" s="21" t="s">
        <v>223</v>
      </c>
      <c r="C51" s="21" t="s">
        <v>496</v>
      </c>
      <c r="D51" s="160">
        <v>1260000</v>
      </c>
      <c r="E51" s="21" t="s">
        <v>455</v>
      </c>
      <c r="F51" s="21" t="s">
        <v>456</v>
      </c>
      <c r="G51" s="8" t="str">
        <f t="shared" si="0"/>
        <v>ACKERMAN JARED</v>
      </c>
    </row>
    <row r="52" spans="1:7" x14ac:dyDescent="0.25">
      <c r="A52" s="8">
        <v>42737.318622685183</v>
      </c>
      <c r="B52" s="21" t="s">
        <v>442</v>
      </c>
      <c r="C52" s="21" t="s">
        <v>497</v>
      </c>
      <c r="D52" s="160">
        <v>900000</v>
      </c>
      <c r="E52" s="21" t="s">
        <v>478</v>
      </c>
      <c r="F52" s="21" t="s">
        <v>479</v>
      </c>
      <c r="G52" s="8" t="str">
        <f t="shared" si="0"/>
        <v>ROCHA YAOTL</v>
      </c>
    </row>
    <row r="53" spans="1:7" x14ac:dyDescent="0.25">
      <c r="A53" s="8">
        <v>42737.323275462964</v>
      </c>
      <c r="B53" s="21" t="s">
        <v>383</v>
      </c>
      <c r="C53" s="21" t="s">
        <v>431</v>
      </c>
      <c r="D53" s="160">
        <v>1990000</v>
      </c>
      <c r="E53" s="21" t="s">
        <v>252</v>
      </c>
      <c r="F53" s="21" t="s">
        <v>385</v>
      </c>
      <c r="G53" s="8" t="str">
        <f t="shared" si="0"/>
        <v>DAVIS WENDY</v>
      </c>
    </row>
    <row r="54" spans="1:7" x14ac:dyDescent="0.25">
      <c r="A54" s="8">
        <v>42737.326944444445</v>
      </c>
      <c r="B54" s="21" t="s">
        <v>437</v>
      </c>
      <c r="C54" s="21" t="s">
        <v>498</v>
      </c>
      <c r="D54" s="160">
        <v>2110000</v>
      </c>
      <c r="E54" s="21" t="s">
        <v>272</v>
      </c>
      <c r="F54" s="21" t="s">
        <v>273</v>
      </c>
      <c r="G54" s="8" t="str">
        <f t="shared" si="0"/>
        <v>OUN ZACK</v>
      </c>
    </row>
    <row r="55" spans="1:7" x14ac:dyDescent="0.25">
      <c r="A55" s="8">
        <v>42737.328784722224</v>
      </c>
      <c r="B55" s="21" t="s">
        <v>228</v>
      </c>
      <c r="C55" s="21" t="s">
        <v>499</v>
      </c>
      <c r="D55" s="160">
        <v>2670000</v>
      </c>
      <c r="E55" s="21" t="s">
        <v>458</v>
      </c>
      <c r="F55" s="21" t="s">
        <v>459</v>
      </c>
      <c r="G55" s="8" t="str">
        <f t="shared" si="0"/>
        <v>COMELLA JUSTIN</v>
      </c>
    </row>
    <row r="56" spans="1:7" x14ac:dyDescent="0.25">
      <c r="A56" s="8">
        <v>42737.334409722222</v>
      </c>
      <c r="B56" s="21" t="s">
        <v>208</v>
      </c>
      <c r="C56" s="21" t="s">
        <v>500</v>
      </c>
      <c r="D56" s="160">
        <v>2140000</v>
      </c>
      <c r="E56" s="21" t="s">
        <v>386</v>
      </c>
      <c r="F56" s="21" t="s">
        <v>387</v>
      </c>
      <c r="G56" s="8" t="str">
        <f t="shared" si="0"/>
        <v>ROBINSON KADDIBA</v>
      </c>
    </row>
    <row r="57" spans="1:7" x14ac:dyDescent="0.25">
      <c r="A57" s="8">
        <v>42737.339525462965</v>
      </c>
      <c r="B57" s="21" t="s">
        <v>380</v>
      </c>
      <c r="C57" s="21" t="s">
        <v>432</v>
      </c>
      <c r="D57" s="160">
        <v>1990000</v>
      </c>
      <c r="E57" s="21" t="s">
        <v>252</v>
      </c>
      <c r="F57" s="21" t="s">
        <v>385</v>
      </c>
      <c r="G57" s="8" t="str">
        <f t="shared" si="0"/>
        <v>DAVIS WENDY</v>
      </c>
    </row>
    <row r="58" spans="1:7" x14ac:dyDescent="0.25">
      <c r="A58" s="8">
        <v>42737.339849537035</v>
      </c>
      <c r="B58" s="21" t="s">
        <v>349</v>
      </c>
      <c r="C58" s="21" t="s">
        <v>501</v>
      </c>
      <c r="D58" s="160">
        <v>2020000</v>
      </c>
      <c r="E58" s="21" t="s">
        <v>388</v>
      </c>
      <c r="F58" s="21" t="s">
        <v>354</v>
      </c>
      <c r="G58" s="8" t="str">
        <f t="shared" si="0"/>
        <v>SHOOK JOHN</v>
      </c>
    </row>
    <row r="59" spans="1:7" x14ac:dyDescent="0.25">
      <c r="A59" s="8">
        <v>42737.346759259257</v>
      </c>
      <c r="B59" s="21" t="s">
        <v>319</v>
      </c>
      <c r="C59" s="21" t="s">
        <v>502</v>
      </c>
      <c r="D59" s="160">
        <v>900000</v>
      </c>
      <c r="E59" s="21" t="s">
        <v>478</v>
      </c>
      <c r="F59" s="21" t="s">
        <v>479</v>
      </c>
      <c r="G59" s="8" t="str">
        <f t="shared" si="0"/>
        <v>ROCHA YAOTL</v>
      </c>
    </row>
    <row r="60" spans="1:7" x14ac:dyDescent="0.25">
      <c r="A60" s="8">
        <v>42737.348576388889</v>
      </c>
      <c r="B60" s="21" t="s">
        <v>248</v>
      </c>
      <c r="C60" s="21" t="s">
        <v>503</v>
      </c>
      <c r="D60" s="160">
        <v>2010000</v>
      </c>
      <c r="E60" s="21" t="s">
        <v>332</v>
      </c>
      <c r="F60" s="21" t="s">
        <v>333</v>
      </c>
      <c r="G60" s="8" t="str">
        <f t="shared" si="0"/>
        <v>MAELZER KURT</v>
      </c>
    </row>
    <row r="61" spans="1:7" x14ac:dyDescent="0.25">
      <c r="A61" s="8">
        <v>42737.349085648151</v>
      </c>
      <c r="B61" s="21" t="s">
        <v>237</v>
      </c>
      <c r="C61" s="21" t="s">
        <v>504</v>
      </c>
      <c r="D61" s="160">
        <v>2710000</v>
      </c>
      <c r="E61" s="21" t="s">
        <v>467</v>
      </c>
      <c r="F61" s="21" t="s">
        <v>468</v>
      </c>
      <c r="G61" s="8" t="str">
        <f t="shared" si="0"/>
        <v>SIMMONS SHYHESHA</v>
      </c>
    </row>
    <row r="62" spans="1:7" x14ac:dyDescent="0.25">
      <c r="A62" s="8">
        <v>42737.353530092594</v>
      </c>
      <c r="B62" s="21" t="s">
        <v>383</v>
      </c>
      <c r="C62" s="21" t="s">
        <v>505</v>
      </c>
      <c r="D62" s="160">
        <v>1990000</v>
      </c>
      <c r="E62" s="21" t="s">
        <v>252</v>
      </c>
      <c r="F62" s="21" t="s">
        <v>385</v>
      </c>
      <c r="G62" s="8" t="str">
        <f t="shared" si="0"/>
        <v>DAVIS WENDY</v>
      </c>
    </row>
    <row r="63" spans="1:7" x14ac:dyDescent="0.25">
      <c r="A63" s="8">
        <v>42737.357187499998</v>
      </c>
      <c r="B63" s="21" t="s">
        <v>256</v>
      </c>
      <c r="C63" s="21" t="s">
        <v>506</v>
      </c>
      <c r="D63" s="160">
        <v>1260000</v>
      </c>
      <c r="E63" s="21" t="s">
        <v>455</v>
      </c>
      <c r="F63" s="21" t="s">
        <v>456</v>
      </c>
      <c r="G63" s="8" t="str">
        <f t="shared" si="0"/>
        <v>ACKERMAN JARED</v>
      </c>
    </row>
    <row r="64" spans="1:7" x14ac:dyDescent="0.25">
      <c r="A64" s="27">
        <v>42737.359189814815</v>
      </c>
      <c r="B64" s="21" t="s">
        <v>442</v>
      </c>
      <c r="C64" s="21" t="s">
        <v>507</v>
      </c>
      <c r="D64" s="160">
        <v>900000</v>
      </c>
      <c r="E64" s="21" t="s">
        <v>478</v>
      </c>
      <c r="F64" s="21" t="s">
        <v>479</v>
      </c>
      <c r="G64" s="8" t="str">
        <f t="shared" si="0"/>
        <v>ROCHA YAOTL</v>
      </c>
    </row>
    <row r="65" spans="1:7" x14ac:dyDescent="0.25">
      <c r="A65" s="8">
        <v>42737.359236111108</v>
      </c>
      <c r="B65" s="21" t="s">
        <v>384</v>
      </c>
      <c r="C65" s="21" t="s">
        <v>508</v>
      </c>
      <c r="D65" s="160">
        <v>2110000</v>
      </c>
      <c r="E65" s="21" t="s">
        <v>272</v>
      </c>
      <c r="F65" s="21" t="s">
        <v>273</v>
      </c>
      <c r="G65" s="8" t="str">
        <f t="shared" si="0"/>
        <v>OUN ZACK</v>
      </c>
    </row>
    <row r="66" spans="1:7" x14ac:dyDescent="0.25">
      <c r="A66" s="8">
        <v>42737.359490740739</v>
      </c>
      <c r="B66" s="21" t="s">
        <v>330</v>
      </c>
      <c r="C66" s="21" t="s">
        <v>509</v>
      </c>
      <c r="D66" s="160">
        <v>2670000</v>
      </c>
      <c r="E66" s="21" t="s">
        <v>458</v>
      </c>
      <c r="F66" s="21" t="s">
        <v>459</v>
      </c>
      <c r="G66" s="8" t="str">
        <f t="shared" si="0"/>
        <v>COMELLA JUSTIN</v>
      </c>
    </row>
    <row r="67" spans="1:7" x14ac:dyDescent="0.25">
      <c r="A67" s="8">
        <v>42737.371863425928</v>
      </c>
      <c r="B67" s="21" t="s">
        <v>202</v>
      </c>
      <c r="C67" s="21" t="s">
        <v>510</v>
      </c>
      <c r="D67" s="160">
        <v>2140000</v>
      </c>
      <c r="E67" s="21" t="s">
        <v>386</v>
      </c>
      <c r="F67" s="21" t="s">
        <v>387</v>
      </c>
      <c r="G67" s="8" t="str">
        <f t="shared" ref="G67:G130" si="1">E67&amp;" "&amp;F67</f>
        <v>ROBINSON KADDIBA</v>
      </c>
    </row>
    <row r="68" spans="1:7" x14ac:dyDescent="0.25">
      <c r="A68" s="8">
        <v>42737.373252314814</v>
      </c>
      <c r="B68" s="21" t="s">
        <v>347</v>
      </c>
      <c r="C68" s="21" t="s">
        <v>511</v>
      </c>
      <c r="D68" s="160">
        <v>2020000</v>
      </c>
      <c r="E68" s="21" t="s">
        <v>388</v>
      </c>
      <c r="F68" s="21" t="s">
        <v>354</v>
      </c>
      <c r="G68" s="8" t="str">
        <f t="shared" si="1"/>
        <v>SHOOK JOHN</v>
      </c>
    </row>
    <row r="69" spans="1:7" x14ac:dyDescent="0.25">
      <c r="A69" s="8">
        <v>42737.380416666667</v>
      </c>
      <c r="B69" s="21" t="s">
        <v>226</v>
      </c>
      <c r="C69" s="21" t="s">
        <v>512</v>
      </c>
      <c r="D69" s="160">
        <v>2010000</v>
      </c>
      <c r="E69" s="21" t="s">
        <v>332</v>
      </c>
      <c r="F69" s="21" t="s">
        <v>333</v>
      </c>
      <c r="G69" s="8" t="str">
        <f t="shared" si="1"/>
        <v>MAELZER KURT</v>
      </c>
    </row>
    <row r="70" spans="1:7" x14ac:dyDescent="0.25">
      <c r="A70" s="8">
        <v>42737.381608796299</v>
      </c>
      <c r="B70" s="21" t="s">
        <v>474</v>
      </c>
      <c r="C70" s="21" t="s">
        <v>513</v>
      </c>
      <c r="D70" s="160">
        <v>2710000</v>
      </c>
      <c r="E70" s="21" t="s">
        <v>467</v>
      </c>
      <c r="F70" s="21" t="s">
        <v>468</v>
      </c>
      <c r="G70" s="8" t="str">
        <f t="shared" si="1"/>
        <v>SIMMONS SHYHESHA</v>
      </c>
    </row>
    <row r="71" spans="1:7" x14ac:dyDescent="0.25">
      <c r="A71" s="8">
        <v>42737.388726851852</v>
      </c>
      <c r="B71" s="21" t="s">
        <v>319</v>
      </c>
      <c r="C71" s="21" t="s">
        <v>514</v>
      </c>
      <c r="D71" s="160">
        <v>900000</v>
      </c>
      <c r="E71" s="21" t="s">
        <v>478</v>
      </c>
      <c r="F71" s="21" t="s">
        <v>479</v>
      </c>
      <c r="G71" s="8" t="str">
        <f t="shared" si="1"/>
        <v>ROCHA YAOTL</v>
      </c>
    </row>
    <row r="72" spans="1:7" x14ac:dyDescent="0.25">
      <c r="A72" s="8">
        <v>42737.391030092593</v>
      </c>
      <c r="B72" s="21" t="s">
        <v>223</v>
      </c>
      <c r="C72" s="21" t="s">
        <v>515</v>
      </c>
      <c r="D72" s="160">
        <v>1260000</v>
      </c>
      <c r="E72" s="21" t="s">
        <v>455</v>
      </c>
      <c r="F72" s="21" t="s">
        <v>456</v>
      </c>
      <c r="G72" s="8" t="str">
        <f t="shared" si="1"/>
        <v>ACKERMAN JARED</v>
      </c>
    </row>
    <row r="73" spans="1:7" x14ac:dyDescent="0.25">
      <c r="A73" s="8">
        <v>42737.393657407411</v>
      </c>
      <c r="B73" s="21" t="s">
        <v>474</v>
      </c>
      <c r="C73" s="21" t="s">
        <v>513</v>
      </c>
      <c r="D73" s="160">
        <v>2710000</v>
      </c>
      <c r="E73" s="21" t="s">
        <v>467</v>
      </c>
      <c r="F73" s="21" t="s">
        <v>468</v>
      </c>
      <c r="G73" s="8" t="str">
        <f t="shared" si="1"/>
        <v>SIMMONS SHYHESHA</v>
      </c>
    </row>
    <row r="74" spans="1:7" x14ac:dyDescent="0.25">
      <c r="A74" s="8">
        <v>42737.398738425924</v>
      </c>
      <c r="B74" s="21" t="s">
        <v>437</v>
      </c>
      <c r="C74" s="21" t="s">
        <v>516</v>
      </c>
      <c r="D74" s="160">
        <v>2110000</v>
      </c>
      <c r="E74" s="21" t="s">
        <v>272</v>
      </c>
      <c r="F74" s="21" t="s">
        <v>273</v>
      </c>
      <c r="G74" s="8" t="str">
        <f t="shared" si="1"/>
        <v>OUN ZACK</v>
      </c>
    </row>
    <row r="75" spans="1:7" x14ac:dyDescent="0.25">
      <c r="A75" s="8">
        <v>42737.401203703703</v>
      </c>
      <c r="B75" s="21" t="s">
        <v>442</v>
      </c>
      <c r="C75" s="21" t="s">
        <v>517</v>
      </c>
      <c r="D75" s="160">
        <v>900000</v>
      </c>
      <c r="E75" s="21" t="s">
        <v>478</v>
      </c>
      <c r="F75" s="21" t="s">
        <v>479</v>
      </c>
      <c r="G75" s="8" t="str">
        <f t="shared" si="1"/>
        <v>ROCHA YAOTL</v>
      </c>
    </row>
    <row r="76" spans="1:7" x14ac:dyDescent="0.25">
      <c r="A76" s="8">
        <v>42737.402222222219</v>
      </c>
      <c r="B76" s="21" t="s">
        <v>228</v>
      </c>
      <c r="C76" s="21" t="s">
        <v>433</v>
      </c>
      <c r="D76" s="160">
        <v>2670000</v>
      </c>
      <c r="E76" s="21" t="s">
        <v>458</v>
      </c>
      <c r="F76" s="21" t="s">
        <v>459</v>
      </c>
      <c r="G76" s="8" t="str">
        <f t="shared" si="1"/>
        <v>COMELLA JUSTIN</v>
      </c>
    </row>
    <row r="77" spans="1:7" x14ac:dyDescent="0.25">
      <c r="A77" s="8">
        <v>42737.40861111111</v>
      </c>
      <c r="B77" s="21" t="s">
        <v>208</v>
      </c>
      <c r="C77" s="21" t="s">
        <v>518</v>
      </c>
      <c r="D77" s="160">
        <v>2140000</v>
      </c>
      <c r="E77" s="21" t="s">
        <v>386</v>
      </c>
      <c r="F77" s="21" t="s">
        <v>387</v>
      </c>
      <c r="G77" s="8" t="str">
        <f t="shared" si="1"/>
        <v>ROBINSON KADDIBA</v>
      </c>
    </row>
    <row r="78" spans="1:7" x14ac:dyDescent="0.25">
      <c r="A78" s="8">
        <v>42737.412986111114</v>
      </c>
      <c r="B78" s="21" t="s">
        <v>349</v>
      </c>
      <c r="C78" s="21" t="s">
        <v>519</v>
      </c>
      <c r="D78" s="160">
        <v>2020000</v>
      </c>
      <c r="E78" s="21" t="s">
        <v>388</v>
      </c>
      <c r="F78" s="21" t="s">
        <v>354</v>
      </c>
      <c r="G78" s="8" t="str">
        <f t="shared" si="1"/>
        <v>SHOOK JOHN</v>
      </c>
    </row>
    <row r="79" spans="1:7" x14ac:dyDescent="0.25">
      <c r="A79" s="8">
        <v>42737.417893518519</v>
      </c>
      <c r="B79" s="21" t="s">
        <v>248</v>
      </c>
      <c r="C79" s="21" t="s">
        <v>520</v>
      </c>
      <c r="D79" s="160">
        <v>2010000</v>
      </c>
      <c r="E79" s="21" t="s">
        <v>332</v>
      </c>
      <c r="F79" s="21" t="s">
        <v>333</v>
      </c>
      <c r="G79" s="8" t="str">
        <f t="shared" si="1"/>
        <v>MAELZER KURT</v>
      </c>
    </row>
    <row r="80" spans="1:7" x14ac:dyDescent="0.25">
      <c r="A80" s="8">
        <v>42737.422835648147</v>
      </c>
      <c r="B80" s="21" t="s">
        <v>237</v>
      </c>
      <c r="C80" s="21" t="s">
        <v>521</v>
      </c>
      <c r="D80" s="160">
        <v>2710000</v>
      </c>
      <c r="E80" s="21" t="s">
        <v>467</v>
      </c>
      <c r="F80" s="21" t="s">
        <v>468</v>
      </c>
      <c r="G80" s="8" t="str">
        <f t="shared" si="1"/>
        <v>SIMMONS SHYHESHA</v>
      </c>
    </row>
    <row r="81" spans="1:7" x14ac:dyDescent="0.25">
      <c r="A81" s="8">
        <v>42737.428287037037</v>
      </c>
      <c r="B81" s="21" t="s">
        <v>256</v>
      </c>
      <c r="C81" s="21" t="s">
        <v>522</v>
      </c>
      <c r="D81" s="160">
        <v>1260000</v>
      </c>
      <c r="E81" s="21" t="s">
        <v>455</v>
      </c>
      <c r="F81" s="21" t="s">
        <v>456</v>
      </c>
      <c r="G81" s="8" t="str">
        <f t="shared" si="1"/>
        <v>ACKERMAN JARED</v>
      </c>
    </row>
    <row r="82" spans="1:7" x14ac:dyDescent="0.25">
      <c r="A82" s="8">
        <v>42737.429085648146</v>
      </c>
      <c r="B82" s="21" t="s">
        <v>319</v>
      </c>
      <c r="C82" s="21" t="s">
        <v>523</v>
      </c>
      <c r="D82" s="160">
        <v>900000</v>
      </c>
      <c r="E82" s="21" t="s">
        <v>478</v>
      </c>
      <c r="F82" s="21" t="s">
        <v>479</v>
      </c>
      <c r="G82" s="8" t="str">
        <f t="shared" si="1"/>
        <v>ROCHA YAOTL</v>
      </c>
    </row>
    <row r="83" spans="1:7" x14ac:dyDescent="0.25">
      <c r="A83" s="8">
        <v>42737.434606481482</v>
      </c>
      <c r="B83" s="21" t="s">
        <v>384</v>
      </c>
      <c r="C83" s="21" t="s">
        <v>524</v>
      </c>
      <c r="D83" s="160">
        <v>1990000</v>
      </c>
      <c r="E83" s="21" t="s">
        <v>252</v>
      </c>
      <c r="F83" s="21" t="s">
        <v>385</v>
      </c>
      <c r="G83" s="8" t="str">
        <f t="shared" si="1"/>
        <v>DAVIS WENDY</v>
      </c>
    </row>
    <row r="84" spans="1:7" x14ac:dyDescent="0.25">
      <c r="A84" s="8">
        <v>42737.441412037035</v>
      </c>
      <c r="B84" s="21" t="s">
        <v>330</v>
      </c>
      <c r="C84" s="21" t="s">
        <v>525</v>
      </c>
      <c r="D84" s="160">
        <v>2670000</v>
      </c>
      <c r="E84" s="21" t="s">
        <v>458</v>
      </c>
      <c r="F84" s="21" t="s">
        <v>459</v>
      </c>
      <c r="G84" s="8" t="str">
        <f t="shared" si="1"/>
        <v>COMELLA JUSTIN</v>
      </c>
    </row>
    <row r="85" spans="1:7" x14ac:dyDescent="0.25">
      <c r="A85" s="8">
        <v>42737.443414351852</v>
      </c>
      <c r="B85" s="21" t="s">
        <v>442</v>
      </c>
      <c r="C85" s="21" t="s">
        <v>526</v>
      </c>
      <c r="D85" s="160">
        <v>900000</v>
      </c>
      <c r="E85" s="21" t="s">
        <v>478</v>
      </c>
      <c r="F85" s="21" t="s">
        <v>479</v>
      </c>
      <c r="G85" s="8" t="str">
        <f t="shared" si="1"/>
        <v>ROCHA YAOTL</v>
      </c>
    </row>
    <row r="86" spans="1:7" x14ac:dyDescent="0.25">
      <c r="A86" s="8">
        <v>42737.444895833331</v>
      </c>
      <c r="B86" s="21" t="s">
        <v>202</v>
      </c>
      <c r="C86" s="21" t="s">
        <v>527</v>
      </c>
      <c r="D86" s="160">
        <v>2140000</v>
      </c>
      <c r="E86" s="21" t="s">
        <v>386</v>
      </c>
      <c r="F86" s="21" t="s">
        <v>387</v>
      </c>
      <c r="G86" s="8" t="str">
        <f t="shared" si="1"/>
        <v>ROBINSON KADDIBA</v>
      </c>
    </row>
    <row r="87" spans="1:7" x14ac:dyDescent="0.25">
      <c r="A87" s="8">
        <v>42737.445104166669</v>
      </c>
      <c r="B87" s="21" t="s">
        <v>347</v>
      </c>
      <c r="C87" s="21" t="s">
        <v>528</v>
      </c>
      <c r="D87" s="160">
        <v>2020000</v>
      </c>
      <c r="E87" s="21" t="s">
        <v>388</v>
      </c>
      <c r="F87" s="21" t="s">
        <v>354</v>
      </c>
      <c r="G87" s="8" t="str">
        <f t="shared" si="1"/>
        <v>SHOOK JOHN</v>
      </c>
    </row>
    <row r="88" spans="1:7" x14ac:dyDescent="0.25">
      <c r="A88" s="8">
        <v>42737.453912037039</v>
      </c>
      <c r="B88" s="21" t="s">
        <v>474</v>
      </c>
      <c r="C88" s="21" t="s">
        <v>529</v>
      </c>
      <c r="D88" s="160">
        <v>2710000</v>
      </c>
      <c r="E88" s="21" t="s">
        <v>467</v>
      </c>
      <c r="F88" s="21" t="s">
        <v>468</v>
      </c>
      <c r="G88" s="8" t="str">
        <f t="shared" si="1"/>
        <v>SIMMONS SHYHESHA</v>
      </c>
    </row>
    <row r="89" spans="1:7" x14ac:dyDescent="0.25">
      <c r="A89" s="8">
        <v>42737.454062500001</v>
      </c>
      <c r="B89" s="21" t="s">
        <v>226</v>
      </c>
      <c r="C89" s="21" t="s">
        <v>530</v>
      </c>
      <c r="D89" s="160">
        <v>880000</v>
      </c>
      <c r="E89" s="21" t="s">
        <v>393</v>
      </c>
      <c r="F89" s="21" t="s">
        <v>251</v>
      </c>
      <c r="G89" s="8" t="str">
        <f t="shared" si="1"/>
        <v>STEWART MICHAEL</v>
      </c>
    </row>
    <row r="90" spans="1:7" x14ac:dyDescent="0.25">
      <c r="A90" s="8">
        <v>42737.460219907407</v>
      </c>
      <c r="B90" s="21" t="s">
        <v>271</v>
      </c>
      <c r="C90" s="21" t="s">
        <v>531</v>
      </c>
      <c r="D90" s="160">
        <v>1820000</v>
      </c>
      <c r="E90" s="21" t="s">
        <v>390</v>
      </c>
      <c r="F90" s="21" t="s">
        <v>391</v>
      </c>
      <c r="G90" s="8" t="str">
        <f t="shared" si="1"/>
        <v>ADANE ELSHADAY</v>
      </c>
    </row>
    <row r="91" spans="1:7" x14ac:dyDescent="0.25">
      <c r="A91" s="8">
        <v>42737.46775462963</v>
      </c>
      <c r="B91" s="21" t="s">
        <v>223</v>
      </c>
      <c r="C91" s="21" t="s">
        <v>434</v>
      </c>
      <c r="D91" s="160">
        <v>920000</v>
      </c>
      <c r="E91" s="21" t="s">
        <v>252</v>
      </c>
      <c r="F91" s="21" t="s">
        <v>251</v>
      </c>
      <c r="G91" s="8" t="str">
        <f t="shared" si="1"/>
        <v>DAVIS MICHAEL</v>
      </c>
    </row>
    <row r="92" spans="1:7" x14ac:dyDescent="0.25">
      <c r="A92" s="8">
        <v>42737.470011574071</v>
      </c>
      <c r="B92" s="21" t="s">
        <v>319</v>
      </c>
      <c r="C92" s="21" t="s">
        <v>532</v>
      </c>
      <c r="D92" s="160">
        <v>900000</v>
      </c>
      <c r="E92" s="21" t="s">
        <v>478</v>
      </c>
      <c r="F92" s="21" t="s">
        <v>479</v>
      </c>
      <c r="G92" s="8" t="str">
        <f t="shared" si="1"/>
        <v>ROCHA YAOTL</v>
      </c>
    </row>
    <row r="93" spans="1:7" x14ac:dyDescent="0.25">
      <c r="A93" s="8">
        <v>42737.472754629627</v>
      </c>
      <c r="B93" s="21" t="s">
        <v>437</v>
      </c>
      <c r="C93" s="21" t="s">
        <v>533</v>
      </c>
      <c r="D93" s="160">
        <v>1990000</v>
      </c>
      <c r="E93" s="21" t="s">
        <v>252</v>
      </c>
      <c r="F93" s="21" t="s">
        <v>385</v>
      </c>
      <c r="G93" s="8" t="str">
        <f t="shared" si="1"/>
        <v>DAVIS WENDY</v>
      </c>
    </row>
    <row r="94" spans="1:7" x14ac:dyDescent="0.25">
      <c r="A94" s="8">
        <v>42737.475092592591</v>
      </c>
      <c r="B94" s="21" t="s">
        <v>228</v>
      </c>
      <c r="C94" s="21" t="s">
        <v>534</v>
      </c>
      <c r="D94" s="160">
        <v>930000</v>
      </c>
      <c r="E94" s="21" t="s">
        <v>535</v>
      </c>
      <c r="F94" s="21" t="s">
        <v>536</v>
      </c>
      <c r="G94" s="8" t="str">
        <f t="shared" si="1"/>
        <v>CLARK KATHLEEN</v>
      </c>
    </row>
    <row r="95" spans="1:7" x14ac:dyDescent="0.25">
      <c r="A95" s="8">
        <v>42737.483622685184</v>
      </c>
      <c r="B95" s="21" t="s">
        <v>208</v>
      </c>
      <c r="C95" s="21" t="s">
        <v>537</v>
      </c>
      <c r="D95" s="160">
        <v>2140000</v>
      </c>
      <c r="E95" s="21" t="s">
        <v>386</v>
      </c>
      <c r="F95" s="21" t="s">
        <v>387</v>
      </c>
      <c r="G95" s="8" t="str">
        <f t="shared" si="1"/>
        <v>ROBINSON KADDIBA</v>
      </c>
    </row>
    <row r="96" spans="1:7" x14ac:dyDescent="0.25">
      <c r="A96" s="8">
        <v>42737.484537037039</v>
      </c>
      <c r="B96" s="21" t="s">
        <v>442</v>
      </c>
      <c r="C96" s="21" t="s">
        <v>538</v>
      </c>
      <c r="D96" s="160">
        <v>900000</v>
      </c>
      <c r="E96" s="21" t="s">
        <v>478</v>
      </c>
      <c r="F96" s="21" t="s">
        <v>479</v>
      </c>
      <c r="G96" s="8" t="str">
        <f t="shared" si="1"/>
        <v>ROCHA YAOTL</v>
      </c>
    </row>
    <row r="97" spans="1:7" x14ac:dyDescent="0.25">
      <c r="A97" s="8">
        <v>42737.488668981481</v>
      </c>
      <c r="B97" s="21" t="s">
        <v>349</v>
      </c>
      <c r="C97" s="21" t="s">
        <v>539</v>
      </c>
      <c r="D97" s="160">
        <v>1820000</v>
      </c>
      <c r="E97" s="21" t="s">
        <v>390</v>
      </c>
      <c r="F97" s="21" t="s">
        <v>391</v>
      </c>
      <c r="G97" s="8" t="str">
        <f t="shared" si="1"/>
        <v>ADANE ELSHADAY</v>
      </c>
    </row>
    <row r="98" spans="1:7" x14ac:dyDescent="0.25">
      <c r="A98" s="8">
        <v>42737.492766203701</v>
      </c>
      <c r="B98" s="21" t="s">
        <v>248</v>
      </c>
      <c r="C98" s="21" t="s">
        <v>540</v>
      </c>
      <c r="D98" s="160">
        <v>880000</v>
      </c>
      <c r="E98" s="21" t="s">
        <v>393</v>
      </c>
      <c r="F98" s="21" t="s">
        <v>251</v>
      </c>
      <c r="G98" s="8" t="str">
        <f t="shared" si="1"/>
        <v>STEWART MICHAEL</v>
      </c>
    </row>
    <row r="99" spans="1:7" x14ac:dyDescent="0.25">
      <c r="A99" s="8">
        <v>42737.495034722226</v>
      </c>
      <c r="B99" s="21" t="s">
        <v>237</v>
      </c>
      <c r="C99" s="21" t="s">
        <v>541</v>
      </c>
      <c r="D99" s="160">
        <v>2250000</v>
      </c>
      <c r="E99" s="21" t="s">
        <v>542</v>
      </c>
      <c r="F99" s="21" t="s">
        <v>543</v>
      </c>
      <c r="G99" s="8" t="str">
        <f t="shared" si="1"/>
        <v>CRAYTON QUNTRELL</v>
      </c>
    </row>
    <row r="100" spans="1:7" x14ac:dyDescent="0.25">
      <c r="A100" s="8">
        <v>42737.503344907411</v>
      </c>
      <c r="B100" s="21" t="s">
        <v>270</v>
      </c>
      <c r="C100" s="21" t="s">
        <v>544</v>
      </c>
      <c r="D100" s="160">
        <v>1830000</v>
      </c>
      <c r="E100" s="21" t="s">
        <v>352</v>
      </c>
      <c r="F100" s="21" t="s">
        <v>353</v>
      </c>
      <c r="G100" s="8" t="str">
        <f t="shared" si="1"/>
        <v>YORK EDGAR</v>
      </c>
    </row>
    <row r="101" spans="1:7" x14ac:dyDescent="0.25">
      <c r="A101" s="8">
        <v>42737.505729166667</v>
      </c>
      <c r="B101" s="21" t="s">
        <v>256</v>
      </c>
      <c r="C101" s="21" t="s">
        <v>545</v>
      </c>
      <c r="D101" s="160">
        <v>920000</v>
      </c>
      <c r="E101" s="21" t="s">
        <v>252</v>
      </c>
      <c r="F101" s="21" t="s">
        <v>251</v>
      </c>
      <c r="G101" s="8" t="str">
        <f t="shared" si="1"/>
        <v>DAVIS MICHAEL</v>
      </c>
    </row>
    <row r="102" spans="1:7" x14ac:dyDescent="0.25">
      <c r="A102" s="8">
        <v>42737.509363425925</v>
      </c>
      <c r="B102" s="21" t="s">
        <v>384</v>
      </c>
      <c r="C102" s="21" t="s">
        <v>546</v>
      </c>
      <c r="D102" s="160">
        <v>1180000</v>
      </c>
      <c r="E102" s="21" t="s">
        <v>547</v>
      </c>
      <c r="F102" s="21" t="s">
        <v>548</v>
      </c>
      <c r="G102" s="8" t="str">
        <f t="shared" si="1"/>
        <v>LEVERE CRAIG</v>
      </c>
    </row>
    <row r="103" spans="1:7" x14ac:dyDescent="0.25">
      <c r="A103" s="8">
        <v>42737.513831018521</v>
      </c>
      <c r="B103" s="21" t="s">
        <v>330</v>
      </c>
      <c r="C103" s="21" t="s">
        <v>549</v>
      </c>
      <c r="D103" s="160">
        <v>930000</v>
      </c>
      <c r="E103" s="21" t="s">
        <v>535</v>
      </c>
      <c r="F103" s="21" t="s">
        <v>536</v>
      </c>
      <c r="G103" s="8" t="str">
        <f t="shared" si="1"/>
        <v>CLARK KATHLEEN</v>
      </c>
    </row>
    <row r="104" spans="1:7" x14ac:dyDescent="0.25">
      <c r="A104" s="8">
        <v>42737.51394675926</v>
      </c>
      <c r="B104" s="21" t="s">
        <v>319</v>
      </c>
      <c r="C104" s="21" t="s">
        <v>550</v>
      </c>
      <c r="D104" s="160">
        <v>900000</v>
      </c>
      <c r="E104" s="21" t="s">
        <v>478</v>
      </c>
      <c r="F104" s="21" t="s">
        <v>479</v>
      </c>
      <c r="G104" s="8" t="str">
        <f t="shared" si="1"/>
        <v>ROCHA YAOTL</v>
      </c>
    </row>
    <row r="105" spans="1:7" x14ac:dyDescent="0.25">
      <c r="A105" s="8">
        <v>42737.515925925924</v>
      </c>
      <c r="B105" s="21" t="s">
        <v>202</v>
      </c>
      <c r="C105" s="21" t="s">
        <v>551</v>
      </c>
      <c r="D105" s="160">
        <v>2030000</v>
      </c>
      <c r="E105" s="21" t="s">
        <v>395</v>
      </c>
      <c r="F105" s="21" t="s">
        <v>396</v>
      </c>
      <c r="G105" s="8" t="str">
        <f t="shared" si="1"/>
        <v>KILLION DAVID</v>
      </c>
    </row>
    <row r="106" spans="1:7" x14ac:dyDescent="0.25">
      <c r="A106" s="8">
        <v>42737.519305555557</v>
      </c>
      <c r="B106" s="21" t="s">
        <v>347</v>
      </c>
      <c r="C106" s="21" t="s">
        <v>552</v>
      </c>
      <c r="D106" s="160">
        <v>1820000</v>
      </c>
      <c r="E106" s="21" t="s">
        <v>390</v>
      </c>
      <c r="F106" s="21" t="s">
        <v>391</v>
      </c>
      <c r="G106" s="8" t="str">
        <f t="shared" si="1"/>
        <v>ADANE ELSHADAY</v>
      </c>
    </row>
    <row r="107" spans="1:7" x14ac:dyDescent="0.25">
      <c r="A107" s="8">
        <v>42737.526539351849</v>
      </c>
      <c r="B107" s="21" t="s">
        <v>226</v>
      </c>
      <c r="C107" s="21" t="s">
        <v>553</v>
      </c>
      <c r="D107" s="160">
        <v>880000</v>
      </c>
      <c r="E107" s="21" t="s">
        <v>393</v>
      </c>
      <c r="F107" s="21" t="s">
        <v>251</v>
      </c>
      <c r="G107" s="8" t="str">
        <f t="shared" si="1"/>
        <v>STEWART MICHAEL</v>
      </c>
    </row>
    <row r="108" spans="1:7" x14ac:dyDescent="0.25">
      <c r="A108" s="8">
        <v>42737.526620370372</v>
      </c>
      <c r="B108" s="21" t="s">
        <v>442</v>
      </c>
      <c r="C108" s="21" t="s">
        <v>554</v>
      </c>
      <c r="D108" s="160">
        <v>900000</v>
      </c>
      <c r="E108" s="21" t="s">
        <v>478</v>
      </c>
      <c r="F108" s="21" t="s">
        <v>479</v>
      </c>
      <c r="G108" s="8" t="str">
        <f t="shared" si="1"/>
        <v>ROCHA YAOTL</v>
      </c>
    </row>
    <row r="109" spans="1:7" x14ac:dyDescent="0.25">
      <c r="A109" s="8">
        <v>42737.534386574072</v>
      </c>
      <c r="B109" s="21" t="s">
        <v>474</v>
      </c>
      <c r="C109" s="21" t="s">
        <v>555</v>
      </c>
      <c r="D109" s="160">
        <v>2250000</v>
      </c>
      <c r="E109" s="21" t="s">
        <v>542</v>
      </c>
      <c r="F109" s="21" t="s">
        <v>543</v>
      </c>
      <c r="G109" s="8" t="str">
        <f t="shared" si="1"/>
        <v>CRAYTON QUNTRELL</v>
      </c>
    </row>
    <row r="110" spans="1:7" x14ac:dyDescent="0.25">
      <c r="A110" s="8">
        <v>42737.539918981478</v>
      </c>
      <c r="B110" s="21" t="s">
        <v>223</v>
      </c>
      <c r="C110" s="21" t="s">
        <v>435</v>
      </c>
      <c r="D110" s="160">
        <v>920000</v>
      </c>
      <c r="E110" s="21" t="s">
        <v>252</v>
      </c>
      <c r="F110" s="21" t="s">
        <v>251</v>
      </c>
      <c r="G110" s="8" t="str">
        <f t="shared" si="1"/>
        <v>DAVIS MICHAEL</v>
      </c>
    </row>
    <row r="111" spans="1:7" x14ac:dyDescent="0.25">
      <c r="A111" s="8">
        <v>42737.542071759257</v>
      </c>
      <c r="B111" s="21" t="s">
        <v>319</v>
      </c>
      <c r="C111" s="21" t="s">
        <v>556</v>
      </c>
      <c r="D111" s="160">
        <v>1300000</v>
      </c>
      <c r="E111" s="21" t="s">
        <v>113</v>
      </c>
      <c r="F111" s="21" t="s">
        <v>394</v>
      </c>
      <c r="G111" s="8" t="str">
        <f t="shared" si="1"/>
        <v>LEVIN SCOTT</v>
      </c>
    </row>
    <row r="112" spans="1:7" x14ac:dyDescent="0.25">
      <c r="A112" s="8">
        <v>42737.542939814812</v>
      </c>
      <c r="B112" s="21" t="s">
        <v>437</v>
      </c>
      <c r="C112" s="21" t="s">
        <v>557</v>
      </c>
      <c r="D112" s="160">
        <v>1180000</v>
      </c>
      <c r="E112" s="21" t="s">
        <v>547</v>
      </c>
      <c r="F112" s="21" t="s">
        <v>548</v>
      </c>
      <c r="G112" s="8" t="str">
        <f t="shared" si="1"/>
        <v>LEVERE CRAIG</v>
      </c>
    </row>
    <row r="113" spans="1:7" x14ac:dyDescent="0.25">
      <c r="A113" s="8">
        <v>42737.552476851852</v>
      </c>
      <c r="B113" s="21" t="s">
        <v>228</v>
      </c>
      <c r="C113" s="21" t="s">
        <v>558</v>
      </c>
      <c r="D113" s="160">
        <v>930000</v>
      </c>
      <c r="E113" s="21" t="s">
        <v>535</v>
      </c>
      <c r="F113" s="21" t="s">
        <v>536</v>
      </c>
      <c r="G113" s="8" t="str">
        <f t="shared" si="1"/>
        <v>CLARK KATHLEEN</v>
      </c>
    </row>
    <row r="114" spans="1:7" x14ac:dyDescent="0.25">
      <c r="A114" s="8">
        <v>42737.556689814817</v>
      </c>
      <c r="B114" s="21" t="s">
        <v>208</v>
      </c>
      <c r="C114" s="21" t="s">
        <v>559</v>
      </c>
      <c r="D114" s="160">
        <v>2030000</v>
      </c>
      <c r="E114" s="21" t="s">
        <v>395</v>
      </c>
      <c r="F114" s="21" t="s">
        <v>396</v>
      </c>
      <c r="G114" s="8" t="str">
        <f t="shared" si="1"/>
        <v>KILLION DAVID</v>
      </c>
    </row>
    <row r="115" spans="1:7" x14ac:dyDescent="0.25">
      <c r="A115" s="8">
        <v>42737.56212962963</v>
      </c>
      <c r="B115" s="21" t="s">
        <v>349</v>
      </c>
      <c r="C115" s="21" t="s">
        <v>560</v>
      </c>
      <c r="D115" s="160">
        <v>1820000</v>
      </c>
      <c r="E115" s="21" t="s">
        <v>390</v>
      </c>
      <c r="F115" s="21" t="s">
        <v>391</v>
      </c>
      <c r="G115" s="8" t="str">
        <f t="shared" si="1"/>
        <v>ADANE ELSHADAY</v>
      </c>
    </row>
    <row r="116" spans="1:7" x14ac:dyDescent="0.25">
      <c r="A116" s="8">
        <v>42737.567569444444</v>
      </c>
      <c r="B116" s="21" t="s">
        <v>248</v>
      </c>
      <c r="C116" s="21" t="s">
        <v>561</v>
      </c>
      <c r="D116" s="160">
        <v>880000</v>
      </c>
      <c r="E116" s="21" t="s">
        <v>393</v>
      </c>
      <c r="F116" s="21" t="s">
        <v>251</v>
      </c>
      <c r="G116" s="8" t="str">
        <f t="shared" si="1"/>
        <v>STEWART MICHAEL</v>
      </c>
    </row>
    <row r="117" spans="1:7" x14ac:dyDescent="0.25">
      <c r="A117" s="8">
        <v>42737.567986111113</v>
      </c>
      <c r="B117" s="21" t="s">
        <v>442</v>
      </c>
      <c r="C117" s="21" t="s">
        <v>562</v>
      </c>
      <c r="D117" s="160">
        <v>1300000</v>
      </c>
      <c r="E117" s="21" t="s">
        <v>113</v>
      </c>
      <c r="F117" s="21" t="s">
        <v>394</v>
      </c>
      <c r="G117" s="8" t="str">
        <f t="shared" si="1"/>
        <v>LEVIN SCOTT</v>
      </c>
    </row>
    <row r="118" spans="1:7" x14ac:dyDescent="0.25">
      <c r="A118" s="8">
        <v>42737.570231481484</v>
      </c>
      <c r="B118" s="21" t="s">
        <v>237</v>
      </c>
      <c r="C118" s="21" t="s">
        <v>563</v>
      </c>
      <c r="D118" s="160">
        <v>2250000</v>
      </c>
      <c r="E118" s="21" t="s">
        <v>542</v>
      </c>
      <c r="F118" s="21" t="s">
        <v>543</v>
      </c>
      <c r="G118" s="8" t="str">
        <f t="shared" si="1"/>
        <v>CRAYTON QUNTRELL</v>
      </c>
    </row>
    <row r="119" spans="1:7" x14ac:dyDescent="0.25">
      <c r="A119" s="8">
        <v>42737.577465277776</v>
      </c>
      <c r="B119" s="21" t="s">
        <v>256</v>
      </c>
      <c r="C119" s="21" t="s">
        <v>564</v>
      </c>
      <c r="D119" s="160">
        <v>920000</v>
      </c>
      <c r="E119" s="21" t="s">
        <v>252</v>
      </c>
      <c r="F119" s="21" t="s">
        <v>251</v>
      </c>
      <c r="G119" s="8" t="str">
        <f t="shared" si="1"/>
        <v>DAVIS MICHAEL</v>
      </c>
    </row>
    <row r="120" spans="1:7" x14ac:dyDescent="0.25">
      <c r="A120" s="8">
        <v>42737.583055555559</v>
      </c>
      <c r="B120" s="21" t="s">
        <v>384</v>
      </c>
      <c r="C120" s="21" t="s">
        <v>565</v>
      </c>
      <c r="D120" s="160">
        <v>1180000</v>
      </c>
      <c r="E120" s="21" t="s">
        <v>547</v>
      </c>
      <c r="F120" s="21" t="s">
        <v>548</v>
      </c>
      <c r="G120" s="8" t="str">
        <f t="shared" si="1"/>
        <v>LEVERE CRAIG</v>
      </c>
    </row>
    <row r="121" spans="1:7" x14ac:dyDescent="0.25">
      <c r="A121" s="8">
        <v>42737.586724537039</v>
      </c>
      <c r="B121" s="21" t="s">
        <v>330</v>
      </c>
      <c r="C121" s="21" t="s">
        <v>566</v>
      </c>
      <c r="D121" s="160">
        <v>930000</v>
      </c>
      <c r="E121" s="21" t="s">
        <v>535</v>
      </c>
      <c r="F121" s="21" t="s">
        <v>536</v>
      </c>
      <c r="G121" s="8" t="str">
        <f t="shared" si="1"/>
        <v>CLARK KATHLEEN</v>
      </c>
    </row>
    <row r="122" spans="1:7" x14ac:dyDescent="0.25">
      <c r="A122" s="8">
        <v>42737.591944444444</v>
      </c>
      <c r="B122" s="26" t="s">
        <v>347</v>
      </c>
      <c r="C122" s="21" t="s">
        <v>567</v>
      </c>
      <c r="D122" s="160">
        <v>1820000</v>
      </c>
      <c r="E122" s="21" t="s">
        <v>390</v>
      </c>
      <c r="F122" s="21" t="s">
        <v>391</v>
      </c>
      <c r="G122" s="8" t="str">
        <f t="shared" si="1"/>
        <v>ADANE ELSHADAY</v>
      </c>
    </row>
    <row r="123" spans="1:7" x14ac:dyDescent="0.25">
      <c r="A123" s="8">
        <v>42737.593298611115</v>
      </c>
      <c r="B123" s="21" t="s">
        <v>202</v>
      </c>
      <c r="C123" s="21" t="s">
        <v>568</v>
      </c>
      <c r="D123" s="160">
        <v>2030000</v>
      </c>
      <c r="E123" s="21" t="s">
        <v>395</v>
      </c>
      <c r="F123" s="21" t="s">
        <v>396</v>
      </c>
      <c r="G123" s="8" t="str">
        <f t="shared" si="1"/>
        <v>KILLION DAVID</v>
      </c>
    </row>
    <row r="124" spans="1:7" x14ac:dyDescent="0.25">
      <c r="A124" s="8">
        <v>42737.595312500001</v>
      </c>
      <c r="B124" s="21" t="s">
        <v>319</v>
      </c>
      <c r="C124" s="21" t="s">
        <v>569</v>
      </c>
      <c r="D124" s="160">
        <v>1300000</v>
      </c>
      <c r="E124" s="21" t="s">
        <v>113</v>
      </c>
      <c r="F124" s="21" t="s">
        <v>394</v>
      </c>
      <c r="G124" s="8" t="str">
        <f t="shared" si="1"/>
        <v>LEVIN SCOTT</v>
      </c>
    </row>
    <row r="125" spans="1:7" x14ac:dyDescent="0.25">
      <c r="A125" s="8">
        <v>42737.602361111109</v>
      </c>
      <c r="B125" s="21" t="s">
        <v>226</v>
      </c>
      <c r="C125" s="21" t="s">
        <v>570</v>
      </c>
      <c r="D125" s="160">
        <v>880000</v>
      </c>
      <c r="E125" s="21" t="s">
        <v>393</v>
      </c>
      <c r="F125" s="21" t="s">
        <v>251</v>
      </c>
      <c r="G125" s="8" t="str">
        <f t="shared" si="1"/>
        <v>STEWART MICHAEL</v>
      </c>
    </row>
    <row r="126" spans="1:7" x14ac:dyDescent="0.25">
      <c r="A126" s="8">
        <v>42737.604525462964</v>
      </c>
      <c r="B126" s="21" t="s">
        <v>474</v>
      </c>
      <c r="C126" s="21" t="s">
        <v>571</v>
      </c>
      <c r="D126" s="160">
        <v>2250000</v>
      </c>
      <c r="E126" s="21" t="s">
        <v>542</v>
      </c>
      <c r="F126" s="21" t="s">
        <v>543</v>
      </c>
      <c r="G126" s="8" t="str">
        <f t="shared" si="1"/>
        <v>CRAYTON QUNTRELL</v>
      </c>
    </row>
    <row r="127" spans="1:7" x14ac:dyDescent="0.25">
      <c r="A127" s="8">
        <v>42737.610173611109</v>
      </c>
      <c r="B127" s="21" t="s">
        <v>442</v>
      </c>
      <c r="C127" s="21" t="s">
        <v>569</v>
      </c>
      <c r="D127" s="160">
        <v>1300000</v>
      </c>
      <c r="E127" s="21" t="s">
        <v>113</v>
      </c>
      <c r="F127" s="21" t="s">
        <v>394</v>
      </c>
      <c r="G127" s="8" t="str">
        <f t="shared" si="1"/>
        <v>LEVIN SCOTT</v>
      </c>
    </row>
    <row r="128" spans="1:7" x14ac:dyDescent="0.25">
      <c r="A128" s="8">
        <v>42737.610752314817</v>
      </c>
      <c r="B128" s="21" t="s">
        <v>442</v>
      </c>
      <c r="C128" s="21" t="s">
        <v>572</v>
      </c>
      <c r="D128" s="160">
        <v>1300000</v>
      </c>
      <c r="E128" s="21" t="s">
        <v>113</v>
      </c>
      <c r="F128" s="21" t="s">
        <v>394</v>
      </c>
      <c r="G128" s="8" t="str">
        <f t="shared" si="1"/>
        <v>LEVIN SCOTT</v>
      </c>
    </row>
    <row r="129" spans="1:7" x14ac:dyDescent="0.25">
      <c r="A129" s="8">
        <v>42737.613009259258</v>
      </c>
      <c r="B129" s="21" t="s">
        <v>223</v>
      </c>
      <c r="C129" s="21" t="s">
        <v>573</v>
      </c>
      <c r="D129" s="160">
        <v>920000</v>
      </c>
      <c r="E129" s="21" t="s">
        <v>252</v>
      </c>
      <c r="F129" s="21" t="s">
        <v>251</v>
      </c>
      <c r="G129" s="8" t="str">
        <f t="shared" si="1"/>
        <v>DAVIS MICHAEL</v>
      </c>
    </row>
    <row r="130" spans="1:7" x14ac:dyDescent="0.25">
      <c r="A130" s="8">
        <v>42737.616342592592</v>
      </c>
      <c r="B130" s="21" t="s">
        <v>437</v>
      </c>
      <c r="C130" s="21" t="s">
        <v>438</v>
      </c>
      <c r="D130" s="160">
        <v>1180000</v>
      </c>
      <c r="E130" s="21" t="s">
        <v>547</v>
      </c>
      <c r="F130" s="21" t="s">
        <v>548</v>
      </c>
      <c r="G130" s="8" t="str">
        <f t="shared" si="1"/>
        <v>LEVERE CRAIG</v>
      </c>
    </row>
    <row r="131" spans="1:7" x14ac:dyDescent="0.25">
      <c r="A131" s="8">
        <v>42737.622511574074</v>
      </c>
      <c r="B131" s="21" t="s">
        <v>228</v>
      </c>
      <c r="C131" s="21" t="s">
        <v>574</v>
      </c>
      <c r="D131" s="160">
        <v>930000</v>
      </c>
      <c r="E131" s="21" t="s">
        <v>535</v>
      </c>
      <c r="F131" s="21" t="s">
        <v>536</v>
      </c>
      <c r="G131" s="8" t="str">
        <f t="shared" ref="G131:G194" si="2">E131&amp;" "&amp;F131</f>
        <v>CLARK KATHLEEN</v>
      </c>
    </row>
    <row r="132" spans="1:7" x14ac:dyDescent="0.25">
      <c r="A132" s="8">
        <v>42737.627314814818</v>
      </c>
      <c r="B132" s="21" t="s">
        <v>208</v>
      </c>
      <c r="C132" s="21" t="s">
        <v>575</v>
      </c>
      <c r="D132" s="160">
        <v>2030000</v>
      </c>
      <c r="E132" s="21" t="s">
        <v>395</v>
      </c>
      <c r="F132" s="21" t="s">
        <v>396</v>
      </c>
      <c r="G132" s="8" t="str">
        <f t="shared" si="2"/>
        <v>KILLION DAVID</v>
      </c>
    </row>
    <row r="133" spans="1:7" x14ac:dyDescent="0.25">
      <c r="A133" s="8">
        <v>42737.6328587963</v>
      </c>
      <c r="B133" s="21" t="s">
        <v>349</v>
      </c>
      <c r="C133" s="21" t="s">
        <v>436</v>
      </c>
      <c r="D133" s="160">
        <v>1820000</v>
      </c>
      <c r="E133" s="21" t="s">
        <v>390</v>
      </c>
      <c r="F133" s="21" t="s">
        <v>391</v>
      </c>
      <c r="G133" s="8" t="str">
        <f t="shared" si="2"/>
        <v>ADANE ELSHADAY</v>
      </c>
    </row>
    <row r="134" spans="1:7" x14ac:dyDescent="0.25">
      <c r="A134" s="8">
        <v>42737.63480324074</v>
      </c>
      <c r="B134" s="21" t="s">
        <v>319</v>
      </c>
      <c r="C134" s="21" t="s">
        <v>576</v>
      </c>
      <c r="D134" s="160">
        <v>1300000</v>
      </c>
      <c r="E134" s="21" t="s">
        <v>113</v>
      </c>
      <c r="F134" s="21" t="s">
        <v>394</v>
      </c>
      <c r="G134" s="8" t="str">
        <f t="shared" si="2"/>
        <v>LEVIN SCOTT</v>
      </c>
    </row>
    <row r="135" spans="1:7" x14ac:dyDescent="0.25">
      <c r="A135" s="8">
        <v>42737.640173611115</v>
      </c>
      <c r="B135" s="21" t="s">
        <v>380</v>
      </c>
      <c r="C135" s="21" t="s">
        <v>577</v>
      </c>
      <c r="D135" s="160">
        <v>1810000</v>
      </c>
      <c r="E135" s="21" t="s">
        <v>265</v>
      </c>
      <c r="F135" s="21" t="s">
        <v>242</v>
      </c>
      <c r="G135" s="8" t="str">
        <f t="shared" si="2"/>
        <v>NEWELL JAMES</v>
      </c>
    </row>
    <row r="136" spans="1:7" x14ac:dyDescent="0.25">
      <c r="A136" s="8">
        <v>42737.640208333331</v>
      </c>
      <c r="B136" s="21" t="s">
        <v>248</v>
      </c>
      <c r="C136" s="21" t="s">
        <v>578</v>
      </c>
      <c r="D136" s="160">
        <v>880000</v>
      </c>
      <c r="E136" s="21" t="s">
        <v>393</v>
      </c>
      <c r="F136" s="21" t="s">
        <v>251</v>
      </c>
      <c r="G136" s="8" t="str">
        <f t="shared" si="2"/>
        <v>STEWART MICHAEL</v>
      </c>
    </row>
    <row r="137" spans="1:7" x14ac:dyDescent="0.25">
      <c r="A137" s="8">
        <v>42737.642210648148</v>
      </c>
      <c r="B137" s="21" t="s">
        <v>380</v>
      </c>
      <c r="C137" s="21" t="s">
        <v>577</v>
      </c>
      <c r="D137" s="160">
        <v>1810000</v>
      </c>
      <c r="E137" s="21" t="s">
        <v>265</v>
      </c>
      <c r="F137" s="21" t="s">
        <v>242</v>
      </c>
      <c r="G137" s="8" t="str">
        <f t="shared" si="2"/>
        <v>NEWELL JAMES</v>
      </c>
    </row>
    <row r="138" spans="1:7" x14ac:dyDescent="0.25">
      <c r="A138" s="8">
        <v>42737.64266203704</v>
      </c>
      <c r="B138" s="21" t="s">
        <v>237</v>
      </c>
      <c r="C138" s="21" t="s">
        <v>579</v>
      </c>
      <c r="D138" s="160">
        <v>2250000</v>
      </c>
      <c r="E138" s="21" t="s">
        <v>542</v>
      </c>
      <c r="F138" s="21" t="s">
        <v>543</v>
      </c>
      <c r="G138" s="8" t="str">
        <f t="shared" si="2"/>
        <v>CRAYTON QUNTRELL</v>
      </c>
    </row>
    <row r="139" spans="1:7" x14ac:dyDescent="0.25">
      <c r="A139" s="8">
        <v>42737.649733796294</v>
      </c>
      <c r="B139" s="21" t="s">
        <v>256</v>
      </c>
      <c r="C139" s="21" t="s">
        <v>580</v>
      </c>
      <c r="D139" s="160">
        <v>920000</v>
      </c>
      <c r="E139" s="21" t="s">
        <v>252</v>
      </c>
      <c r="F139" s="21" t="s">
        <v>251</v>
      </c>
      <c r="G139" s="8" t="str">
        <f t="shared" si="2"/>
        <v>DAVIS MICHAEL</v>
      </c>
    </row>
    <row r="140" spans="1:7" x14ac:dyDescent="0.25">
      <c r="A140" s="8">
        <v>42737.651597222219</v>
      </c>
      <c r="B140" s="21" t="s">
        <v>442</v>
      </c>
      <c r="C140" s="21" t="s">
        <v>581</v>
      </c>
      <c r="D140" s="160">
        <v>1300000</v>
      </c>
      <c r="E140" s="21" t="s">
        <v>113</v>
      </c>
      <c r="F140" s="21" t="s">
        <v>394</v>
      </c>
      <c r="G140" s="8" t="str">
        <f t="shared" si="2"/>
        <v>LEVIN SCOTT</v>
      </c>
    </row>
    <row r="141" spans="1:7" x14ac:dyDescent="0.25">
      <c r="A141" s="8">
        <v>42737.651747685188</v>
      </c>
      <c r="B141" s="21" t="s">
        <v>383</v>
      </c>
      <c r="C141" s="21" t="s">
        <v>582</v>
      </c>
      <c r="D141" s="160">
        <v>1810000</v>
      </c>
      <c r="E141" s="21" t="s">
        <v>265</v>
      </c>
      <c r="F141" s="21" t="s">
        <v>242</v>
      </c>
      <c r="G141" s="8" t="str">
        <f t="shared" si="2"/>
        <v>NEWELL JAMES</v>
      </c>
    </row>
    <row r="142" spans="1:7" x14ac:dyDescent="0.25">
      <c r="A142" s="8">
        <v>42737.652245370373</v>
      </c>
      <c r="B142" s="21" t="s">
        <v>384</v>
      </c>
      <c r="C142" s="21" t="s">
        <v>583</v>
      </c>
      <c r="D142" s="160">
        <v>1180000</v>
      </c>
      <c r="E142" s="21" t="s">
        <v>547</v>
      </c>
      <c r="F142" s="21" t="s">
        <v>548</v>
      </c>
      <c r="G142" s="8" t="str">
        <f t="shared" si="2"/>
        <v>LEVERE CRAIG</v>
      </c>
    </row>
    <row r="143" spans="1:7" x14ac:dyDescent="0.25">
      <c r="A143" s="8">
        <v>42737.657986111109</v>
      </c>
      <c r="B143" s="21" t="s">
        <v>330</v>
      </c>
      <c r="C143" s="21" t="s">
        <v>584</v>
      </c>
      <c r="D143" s="160">
        <v>930000</v>
      </c>
      <c r="E143" s="21" t="s">
        <v>535</v>
      </c>
      <c r="F143" s="21" t="s">
        <v>536</v>
      </c>
      <c r="G143" s="8" t="str">
        <f t="shared" si="2"/>
        <v>CLARK KATHLEEN</v>
      </c>
    </row>
    <row r="144" spans="1:7" x14ac:dyDescent="0.25">
      <c r="A144" s="8">
        <v>42737.662222222221</v>
      </c>
      <c r="B144" s="21" t="s">
        <v>202</v>
      </c>
      <c r="C144" s="21" t="s">
        <v>585</v>
      </c>
      <c r="D144" s="160">
        <v>2030000</v>
      </c>
      <c r="E144" s="21" t="s">
        <v>395</v>
      </c>
      <c r="F144" s="21" t="s">
        <v>396</v>
      </c>
      <c r="G144" s="8" t="str">
        <f t="shared" si="2"/>
        <v>KILLION DAVID</v>
      </c>
    </row>
    <row r="145" spans="1:7" x14ac:dyDescent="0.25">
      <c r="A145" s="8">
        <v>42737.663854166669</v>
      </c>
      <c r="B145" s="21" t="s">
        <v>347</v>
      </c>
      <c r="C145" s="21" t="s">
        <v>586</v>
      </c>
      <c r="D145" s="160">
        <v>1820000</v>
      </c>
      <c r="E145" s="21" t="s">
        <v>390</v>
      </c>
      <c r="F145" s="21" t="s">
        <v>391</v>
      </c>
      <c r="G145" s="8" t="str">
        <f t="shared" si="2"/>
        <v>ADANE ELSHADAY</v>
      </c>
    </row>
    <row r="146" spans="1:7" x14ac:dyDescent="0.25">
      <c r="A146" s="8">
        <v>42737.671273148146</v>
      </c>
      <c r="B146" s="21" t="s">
        <v>380</v>
      </c>
      <c r="C146" s="21" t="s">
        <v>587</v>
      </c>
      <c r="D146" s="160">
        <v>1810000</v>
      </c>
      <c r="E146" s="21" t="s">
        <v>265</v>
      </c>
      <c r="F146" s="21" t="s">
        <v>242</v>
      </c>
      <c r="G146" s="8" t="str">
        <f t="shared" si="2"/>
        <v>NEWELL JAMES</v>
      </c>
    </row>
    <row r="147" spans="1:7" x14ac:dyDescent="0.25">
      <c r="A147" s="8">
        <v>42737.674502314818</v>
      </c>
      <c r="B147" s="21" t="s">
        <v>226</v>
      </c>
      <c r="C147" s="21" t="s">
        <v>588</v>
      </c>
      <c r="D147" s="160">
        <v>880000</v>
      </c>
      <c r="E147" s="21" t="s">
        <v>393</v>
      </c>
      <c r="F147" s="21" t="s">
        <v>251</v>
      </c>
      <c r="G147" s="8" t="str">
        <f t="shared" si="2"/>
        <v>STEWART MICHAEL</v>
      </c>
    </row>
    <row r="148" spans="1:7" x14ac:dyDescent="0.25">
      <c r="A148" s="8">
        <v>42737.677129629628</v>
      </c>
      <c r="B148" s="21" t="s">
        <v>474</v>
      </c>
      <c r="C148" s="21" t="s">
        <v>589</v>
      </c>
      <c r="D148" s="160">
        <v>2250000</v>
      </c>
      <c r="E148" s="21" t="s">
        <v>542</v>
      </c>
      <c r="F148" s="21" t="s">
        <v>543</v>
      </c>
      <c r="G148" s="8" t="str">
        <f t="shared" si="2"/>
        <v>CRAYTON QUNTRELL</v>
      </c>
    </row>
    <row r="149" spans="1:7" x14ac:dyDescent="0.25">
      <c r="A149" s="8">
        <v>42737.678379629629</v>
      </c>
      <c r="B149" s="21" t="s">
        <v>319</v>
      </c>
      <c r="C149" s="21" t="s">
        <v>590</v>
      </c>
      <c r="D149" s="160">
        <v>1300000</v>
      </c>
      <c r="E149" s="21" t="s">
        <v>113</v>
      </c>
      <c r="F149" s="21" t="s">
        <v>394</v>
      </c>
      <c r="G149" s="8" t="str">
        <f t="shared" si="2"/>
        <v>LEVIN SCOTT</v>
      </c>
    </row>
    <row r="150" spans="1:7" x14ac:dyDescent="0.25">
      <c r="A150" s="8">
        <v>42737.685312499998</v>
      </c>
      <c r="B150" s="21" t="s">
        <v>223</v>
      </c>
      <c r="C150" s="21" t="s">
        <v>591</v>
      </c>
      <c r="D150" s="160">
        <v>920000</v>
      </c>
      <c r="E150" s="21" t="s">
        <v>252</v>
      </c>
      <c r="F150" s="21" t="s">
        <v>251</v>
      </c>
      <c r="G150" s="8" t="str">
        <f t="shared" si="2"/>
        <v>DAVIS MICHAEL</v>
      </c>
    </row>
    <row r="151" spans="1:7" x14ac:dyDescent="0.25">
      <c r="A151" s="8">
        <v>42737.687928240739</v>
      </c>
      <c r="B151" s="21" t="s">
        <v>383</v>
      </c>
      <c r="C151" s="21" t="s">
        <v>592</v>
      </c>
      <c r="D151" s="160">
        <v>1810000</v>
      </c>
      <c r="E151" s="21" t="s">
        <v>265</v>
      </c>
      <c r="F151" s="21" t="s">
        <v>242</v>
      </c>
      <c r="G151" s="8" t="str">
        <f t="shared" si="2"/>
        <v>NEWELL JAMES</v>
      </c>
    </row>
    <row r="152" spans="1:7" x14ac:dyDescent="0.25">
      <c r="A152" s="8">
        <v>42737.688761574071</v>
      </c>
      <c r="B152" s="21" t="s">
        <v>437</v>
      </c>
      <c r="C152" s="21" t="s">
        <v>593</v>
      </c>
      <c r="D152" s="160">
        <v>1180000</v>
      </c>
      <c r="E152" s="21" t="s">
        <v>547</v>
      </c>
      <c r="F152" s="21" t="s">
        <v>548</v>
      </c>
      <c r="G152" s="8" t="str">
        <f t="shared" si="2"/>
        <v>LEVERE CRAIG</v>
      </c>
    </row>
    <row r="153" spans="1:7" x14ac:dyDescent="0.25">
      <c r="A153" s="8">
        <v>42737.693009259259</v>
      </c>
      <c r="B153" s="21" t="s">
        <v>442</v>
      </c>
      <c r="C153" s="21" t="s">
        <v>594</v>
      </c>
      <c r="D153" s="160">
        <v>1300000</v>
      </c>
      <c r="E153" s="21" t="s">
        <v>113</v>
      </c>
      <c r="F153" s="21" t="s">
        <v>394</v>
      </c>
      <c r="G153" s="8" t="str">
        <f t="shared" si="2"/>
        <v>LEVIN SCOTT</v>
      </c>
    </row>
    <row r="154" spans="1:7" x14ac:dyDescent="0.25">
      <c r="A154" s="8">
        <v>42737.694479166668</v>
      </c>
      <c r="B154" s="21" t="s">
        <v>228</v>
      </c>
      <c r="C154" s="21" t="s">
        <v>595</v>
      </c>
      <c r="D154" s="160">
        <v>930000</v>
      </c>
      <c r="E154" s="21" t="s">
        <v>535</v>
      </c>
      <c r="F154" s="21" t="s">
        <v>536</v>
      </c>
      <c r="G154" s="8" t="str">
        <f t="shared" si="2"/>
        <v>CLARK KATHLEEN</v>
      </c>
    </row>
    <row r="155" spans="1:7" x14ac:dyDescent="0.25">
      <c r="A155" s="8">
        <v>42737.697129629632</v>
      </c>
      <c r="B155" s="21" t="s">
        <v>271</v>
      </c>
      <c r="C155" s="21" t="s">
        <v>439</v>
      </c>
      <c r="D155" s="160">
        <v>1800000</v>
      </c>
      <c r="E155" s="21" t="s">
        <v>231</v>
      </c>
      <c r="F155" s="21" t="s">
        <v>245</v>
      </c>
      <c r="G155" s="8" t="str">
        <f t="shared" si="2"/>
        <v>CHANDLER KELVIN</v>
      </c>
    </row>
    <row r="156" spans="1:7" x14ac:dyDescent="0.25">
      <c r="A156" s="8">
        <v>42737.700324074074</v>
      </c>
      <c r="B156" s="21" t="s">
        <v>208</v>
      </c>
      <c r="C156" s="21" t="s">
        <v>596</v>
      </c>
      <c r="D156" s="160">
        <v>2030000</v>
      </c>
      <c r="E156" s="21" t="s">
        <v>395</v>
      </c>
      <c r="F156" s="21" t="s">
        <v>396</v>
      </c>
      <c r="G156" s="8" t="str">
        <f t="shared" si="2"/>
        <v>KILLION DAVID</v>
      </c>
    </row>
    <row r="157" spans="1:7" x14ac:dyDescent="0.25">
      <c r="A157" s="8">
        <v>42737.705243055556</v>
      </c>
      <c r="B157" s="21" t="s">
        <v>349</v>
      </c>
      <c r="C157" s="21" t="s">
        <v>597</v>
      </c>
      <c r="D157" s="160">
        <v>1820000</v>
      </c>
      <c r="E157" s="21" t="s">
        <v>390</v>
      </c>
      <c r="F157" s="21" t="s">
        <v>391</v>
      </c>
      <c r="G157" s="8" t="str">
        <f t="shared" si="2"/>
        <v>ADANE ELSHADAY</v>
      </c>
    </row>
    <row r="158" spans="1:7" x14ac:dyDescent="0.25">
      <c r="A158" s="8">
        <v>42737.710381944446</v>
      </c>
      <c r="B158" s="21" t="s">
        <v>440</v>
      </c>
      <c r="C158" s="21" t="s">
        <v>441</v>
      </c>
      <c r="D158" s="160">
        <v>2360000</v>
      </c>
      <c r="E158" s="21" t="s">
        <v>598</v>
      </c>
      <c r="F158" s="21" t="s">
        <v>599</v>
      </c>
      <c r="G158" s="8" t="str">
        <f t="shared" si="2"/>
        <v>BRANDNER MELINDA</v>
      </c>
    </row>
    <row r="159" spans="1:7" x14ac:dyDescent="0.25">
      <c r="A159" s="8">
        <v>42737.711296296293</v>
      </c>
      <c r="B159" s="21" t="s">
        <v>440</v>
      </c>
      <c r="C159" s="21" t="s">
        <v>441</v>
      </c>
      <c r="D159" s="160">
        <v>2360000</v>
      </c>
      <c r="E159" s="21" t="s">
        <v>598</v>
      </c>
      <c r="F159" s="21" t="s">
        <v>599</v>
      </c>
      <c r="G159" s="8" t="str">
        <f t="shared" si="2"/>
        <v>BRANDNER MELINDA</v>
      </c>
    </row>
    <row r="160" spans="1:7" x14ac:dyDescent="0.25">
      <c r="A160" s="8">
        <v>42737.713391203702</v>
      </c>
      <c r="B160" s="21" t="s">
        <v>248</v>
      </c>
      <c r="C160" s="21" t="s">
        <v>600</v>
      </c>
      <c r="D160" s="160">
        <v>880000</v>
      </c>
      <c r="E160" s="21" t="s">
        <v>393</v>
      </c>
      <c r="F160" s="21" t="s">
        <v>251</v>
      </c>
      <c r="G160" s="8" t="str">
        <f t="shared" si="2"/>
        <v>STEWART MICHAEL</v>
      </c>
    </row>
    <row r="161" spans="1:7" x14ac:dyDescent="0.25">
      <c r="A161" s="8">
        <v>42737.71502314815</v>
      </c>
      <c r="B161" s="21" t="s">
        <v>380</v>
      </c>
      <c r="C161" s="21" t="s">
        <v>601</v>
      </c>
      <c r="D161" s="160">
        <v>1810000</v>
      </c>
      <c r="E161" s="21" t="s">
        <v>265</v>
      </c>
      <c r="F161" s="21" t="s">
        <v>242</v>
      </c>
      <c r="G161" s="8" t="str">
        <f t="shared" si="2"/>
        <v>NEWELL JAMES</v>
      </c>
    </row>
    <row r="162" spans="1:7" x14ac:dyDescent="0.25">
      <c r="A162" s="8">
        <v>42737.718541666669</v>
      </c>
      <c r="B162" s="21" t="s">
        <v>237</v>
      </c>
      <c r="C162" s="21" t="s">
        <v>602</v>
      </c>
      <c r="D162" s="160">
        <v>1800000</v>
      </c>
      <c r="E162" s="21" t="s">
        <v>231</v>
      </c>
      <c r="F162" s="21" t="s">
        <v>245</v>
      </c>
      <c r="G162" s="8" t="str">
        <f t="shared" si="2"/>
        <v>CHANDLER KELVIN</v>
      </c>
    </row>
    <row r="163" spans="1:7" x14ac:dyDescent="0.25">
      <c r="A163" s="8">
        <v>42737.719548611109</v>
      </c>
      <c r="B163" s="21" t="s">
        <v>319</v>
      </c>
      <c r="C163" s="21" t="s">
        <v>603</v>
      </c>
      <c r="D163" s="160">
        <v>1300000</v>
      </c>
      <c r="E163" s="21" t="s">
        <v>113</v>
      </c>
      <c r="F163" s="21" t="s">
        <v>394</v>
      </c>
      <c r="G163" s="8" t="str">
        <f t="shared" si="2"/>
        <v>LEVIN SCOTT</v>
      </c>
    </row>
    <row r="164" spans="1:7" x14ac:dyDescent="0.25">
      <c r="A164" s="8">
        <v>42737.724016203705</v>
      </c>
      <c r="B164" s="21" t="s">
        <v>256</v>
      </c>
      <c r="C164" s="21" t="s">
        <v>604</v>
      </c>
      <c r="D164" s="160">
        <v>920000</v>
      </c>
      <c r="E164" s="21" t="s">
        <v>252</v>
      </c>
      <c r="F164" s="21" t="s">
        <v>251</v>
      </c>
      <c r="G164" s="8" t="str">
        <f t="shared" si="2"/>
        <v>DAVIS MICHAEL</v>
      </c>
    </row>
    <row r="165" spans="1:7" x14ac:dyDescent="0.25">
      <c r="A165" s="8">
        <v>42737.726087962961</v>
      </c>
      <c r="B165" s="21" t="s">
        <v>384</v>
      </c>
      <c r="C165" s="21" t="s">
        <v>605</v>
      </c>
      <c r="D165" s="160">
        <v>2250000</v>
      </c>
      <c r="E165" s="21" t="s">
        <v>542</v>
      </c>
      <c r="F165" s="21" t="s">
        <v>543</v>
      </c>
      <c r="G165" s="8" t="str">
        <f t="shared" si="2"/>
        <v>CRAYTON QUNTRELL</v>
      </c>
    </row>
    <row r="166" spans="1:7" x14ac:dyDescent="0.25">
      <c r="A166" s="8">
        <v>42737.728564814817</v>
      </c>
      <c r="B166" s="21" t="s">
        <v>383</v>
      </c>
      <c r="C166" s="21" t="s">
        <v>606</v>
      </c>
      <c r="D166" s="160">
        <v>1810000</v>
      </c>
      <c r="E166" s="21" t="s">
        <v>265</v>
      </c>
      <c r="F166" s="21" t="s">
        <v>242</v>
      </c>
      <c r="G166" s="8" t="str">
        <f t="shared" si="2"/>
        <v>NEWELL JAMES</v>
      </c>
    </row>
    <row r="167" spans="1:7" x14ac:dyDescent="0.25">
      <c r="A167" s="8">
        <v>42737.729895833334</v>
      </c>
      <c r="B167" s="21" t="s">
        <v>270</v>
      </c>
      <c r="C167" s="21" t="s">
        <v>607</v>
      </c>
      <c r="D167" s="160">
        <v>1180000</v>
      </c>
      <c r="E167" s="21" t="s">
        <v>547</v>
      </c>
      <c r="F167" s="21" t="s">
        <v>548</v>
      </c>
      <c r="G167" s="8" t="str">
        <f t="shared" si="2"/>
        <v>LEVERE CRAIG</v>
      </c>
    </row>
    <row r="168" spans="1:7" x14ac:dyDescent="0.25">
      <c r="A168" s="8">
        <v>42737.734212962961</v>
      </c>
      <c r="B168" s="21" t="s">
        <v>330</v>
      </c>
      <c r="C168" s="21" t="s">
        <v>608</v>
      </c>
      <c r="D168" s="160">
        <v>930000</v>
      </c>
      <c r="E168" s="21" t="s">
        <v>535</v>
      </c>
      <c r="F168" s="21" t="s">
        <v>536</v>
      </c>
      <c r="G168" s="8" t="str">
        <f t="shared" si="2"/>
        <v>CLARK KATHLEEN</v>
      </c>
    </row>
    <row r="169" spans="1:7" x14ac:dyDescent="0.25">
      <c r="A169" s="8">
        <v>42737.735196759262</v>
      </c>
      <c r="B169" s="21" t="s">
        <v>442</v>
      </c>
      <c r="C169" s="21" t="s">
        <v>443</v>
      </c>
      <c r="D169" s="160">
        <v>1300000</v>
      </c>
      <c r="E169" s="21" t="s">
        <v>113</v>
      </c>
      <c r="F169" s="21" t="s">
        <v>394</v>
      </c>
      <c r="G169" s="8" t="str">
        <f t="shared" si="2"/>
        <v>LEVIN SCOTT</v>
      </c>
    </row>
    <row r="170" spans="1:7" x14ac:dyDescent="0.25">
      <c r="A170" s="8">
        <v>42737.736493055556</v>
      </c>
      <c r="B170" s="21" t="s">
        <v>347</v>
      </c>
      <c r="C170" s="21" t="s">
        <v>446</v>
      </c>
      <c r="D170" s="160">
        <v>1820000</v>
      </c>
      <c r="E170" s="21" t="s">
        <v>390</v>
      </c>
      <c r="F170" s="21" t="s">
        <v>391</v>
      </c>
      <c r="G170" s="8" t="str">
        <f t="shared" si="2"/>
        <v>ADANE ELSHADAY</v>
      </c>
    </row>
    <row r="171" spans="1:7" x14ac:dyDescent="0.25">
      <c r="A171" s="8">
        <v>42737.738159722219</v>
      </c>
      <c r="B171" s="21" t="s">
        <v>202</v>
      </c>
      <c r="C171" s="21" t="s">
        <v>609</v>
      </c>
      <c r="D171" s="160">
        <v>2230000</v>
      </c>
      <c r="E171" s="21" t="s">
        <v>264</v>
      </c>
      <c r="F171" s="21" t="s">
        <v>251</v>
      </c>
      <c r="G171" s="8" t="str">
        <f t="shared" si="2"/>
        <v>SMITH MICHAEL</v>
      </c>
    </row>
    <row r="172" spans="1:7" x14ac:dyDescent="0.25">
      <c r="A172" s="8">
        <v>42737.745532407411</v>
      </c>
      <c r="B172" s="21" t="s">
        <v>226</v>
      </c>
      <c r="C172" s="21" t="s">
        <v>610</v>
      </c>
      <c r="D172" s="160">
        <v>2030000</v>
      </c>
      <c r="E172" s="21" t="s">
        <v>395</v>
      </c>
      <c r="F172" s="21" t="s">
        <v>396</v>
      </c>
      <c r="G172" s="8" t="str">
        <f t="shared" si="2"/>
        <v>KILLION DAVID</v>
      </c>
    </row>
    <row r="173" spans="1:7" x14ac:dyDescent="0.25">
      <c r="A173" s="8">
        <v>42737.754259259258</v>
      </c>
      <c r="B173" s="21" t="s">
        <v>325</v>
      </c>
      <c r="C173" s="21" t="s">
        <v>444</v>
      </c>
      <c r="D173" s="160">
        <v>2620000</v>
      </c>
      <c r="E173" s="21" t="s">
        <v>397</v>
      </c>
      <c r="F173" s="21" t="s">
        <v>398</v>
      </c>
      <c r="G173" s="8" t="str">
        <f t="shared" si="2"/>
        <v>PERKINS DARREN</v>
      </c>
    </row>
    <row r="174" spans="1:7" x14ac:dyDescent="0.25">
      <c r="A174" s="8">
        <v>42737.754282407404</v>
      </c>
      <c r="B174" s="21" t="s">
        <v>474</v>
      </c>
      <c r="C174" s="21" t="s">
        <v>611</v>
      </c>
      <c r="D174" s="160">
        <v>1800000</v>
      </c>
      <c r="E174" s="21" t="s">
        <v>231</v>
      </c>
      <c r="F174" s="21" t="s">
        <v>245</v>
      </c>
      <c r="G174" s="8" t="str">
        <f t="shared" si="2"/>
        <v>CHANDLER KELVIN</v>
      </c>
    </row>
    <row r="175" spans="1:7" x14ac:dyDescent="0.25">
      <c r="A175" s="8">
        <v>42737.755752314813</v>
      </c>
      <c r="B175" s="21" t="s">
        <v>380</v>
      </c>
      <c r="C175" s="21" t="s">
        <v>445</v>
      </c>
      <c r="D175" s="160">
        <v>1810000</v>
      </c>
      <c r="E175" s="21" t="s">
        <v>265</v>
      </c>
      <c r="F175" s="21" t="s">
        <v>242</v>
      </c>
      <c r="G175" s="8" t="str">
        <f t="shared" si="2"/>
        <v>NEWELL JAMES</v>
      </c>
    </row>
    <row r="176" spans="1:7" x14ac:dyDescent="0.25">
      <c r="A176" s="8">
        <v>42737.758981481478</v>
      </c>
      <c r="B176" s="21" t="s">
        <v>223</v>
      </c>
      <c r="C176" s="21" t="s">
        <v>612</v>
      </c>
      <c r="D176" s="160">
        <v>2000000</v>
      </c>
      <c r="E176" s="21" t="s">
        <v>207</v>
      </c>
      <c r="F176" s="21" t="s">
        <v>242</v>
      </c>
      <c r="G176" s="8" t="str">
        <f t="shared" si="2"/>
        <v>STAMBAUGH JAMES</v>
      </c>
    </row>
    <row r="177" spans="1:7" x14ac:dyDescent="0.25">
      <c r="A177" s="8">
        <v>42737.759351851855</v>
      </c>
      <c r="B177" s="21" t="s">
        <v>389</v>
      </c>
      <c r="C177" s="21" t="s">
        <v>613</v>
      </c>
      <c r="D177" s="160">
        <v>1740000</v>
      </c>
      <c r="E177" s="21" t="s">
        <v>614</v>
      </c>
      <c r="F177" s="21" t="s">
        <v>615</v>
      </c>
      <c r="G177" s="8" t="str">
        <f t="shared" si="2"/>
        <v>STORY SAMANTHA</v>
      </c>
    </row>
    <row r="178" spans="1:7" x14ac:dyDescent="0.25">
      <c r="A178" s="8">
        <v>42737.761319444442</v>
      </c>
      <c r="B178" s="21" t="s">
        <v>319</v>
      </c>
      <c r="C178" s="21" t="s">
        <v>616</v>
      </c>
      <c r="D178" s="160">
        <v>1300000</v>
      </c>
      <c r="E178" s="21" t="s">
        <v>113</v>
      </c>
      <c r="F178" s="21" t="s">
        <v>394</v>
      </c>
      <c r="G178" s="8" t="str">
        <f t="shared" si="2"/>
        <v>LEVIN SCOTT</v>
      </c>
    </row>
    <row r="179" spans="1:7" x14ac:dyDescent="0.25">
      <c r="A179" s="8">
        <v>42737.763622685183</v>
      </c>
      <c r="B179" s="21" t="s">
        <v>437</v>
      </c>
      <c r="C179" s="21" t="s">
        <v>447</v>
      </c>
      <c r="D179" s="160">
        <v>2250000</v>
      </c>
      <c r="E179" s="21" t="s">
        <v>542</v>
      </c>
      <c r="F179" s="21" t="s">
        <v>543</v>
      </c>
      <c r="G179" s="8" t="str">
        <f t="shared" si="2"/>
        <v>CRAYTON QUNTRELL</v>
      </c>
    </row>
    <row r="180" spans="1:7" x14ac:dyDescent="0.25">
      <c r="A180" s="8">
        <v>42737.770949074074</v>
      </c>
      <c r="B180" s="21" t="s">
        <v>208</v>
      </c>
      <c r="C180" s="21" t="s">
        <v>617</v>
      </c>
      <c r="D180" s="160">
        <v>2230000</v>
      </c>
      <c r="E180" s="21" t="s">
        <v>264</v>
      </c>
      <c r="F180" s="21" t="s">
        <v>251</v>
      </c>
      <c r="G180" s="8" t="str">
        <f t="shared" si="2"/>
        <v>SMITH MICHAEL</v>
      </c>
    </row>
    <row r="181" spans="1:7" x14ac:dyDescent="0.25">
      <c r="A181" s="8">
        <v>42737.771319444444</v>
      </c>
      <c r="B181" s="21" t="s">
        <v>228</v>
      </c>
      <c r="C181" s="21" t="s">
        <v>618</v>
      </c>
      <c r="D181" s="160">
        <v>2550000</v>
      </c>
      <c r="E181" s="21" t="s">
        <v>211</v>
      </c>
      <c r="F181" s="21" t="s">
        <v>619</v>
      </c>
      <c r="G181" s="8" t="str">
        <f t="shared" si="2"/>
        <v>BADERTSCHER DIANE</v>
      </c>
    </row>
    <row r="182" spans="1:7" x14ac:dyDescent="0.25">
      <c r="A182" s="8">
        <v>42737.776643518519</v>
      </c>
      <c r="B182" s="21" t="s">
        <v>442</v>
      </c>
      <c r="C182" s="21" t="s">
        <v>620</v>
      </c>
      <c r="D182" s="160">
        <v>1300000</v>
      </c>
      <c r="E182" s="21" t="s">
        <v>113</v>
      </c>
      <c r="F182" s="21" t="s">
        <v>394</v>
      </c>
      <c r="G182" s="8" t="str">
        <f t="shared" si="2"/>
        <v>LEVIN SCOTT</v>
      </c>
    </row>
    <row r="183" spans="1:7" x14ac:dyDescent="0.25">
      <c r="A183" s="8">
        <v>42737.777337962965</v>
      </c>
      <c r="B183" s="21" t="s">
        <v>349</v>
      </c>
      <c r="C183" s="21" t="s">
        <v>621</v>
      </c>
      <c r="D183" s="160">
        <v>1820000</v>
      </c>
      <c r="E183" s="21" t="s">
        <v>390</v>
      </c>
      <c r="F183" s="21" t="s">
        <v>391</v>
      </c>
      <c r="G183" s="8" t="str">
        <f t="shared" si="2"/>
        <v>ADANE ELSHADAY</v>
      </c>
    </row>
    <row r="184" spans="1:7" x14ac:dyDescent="0.25">
      <c r="A184" s="8">
        <v>42737.781192129631</v>
      </c>
      <c r="B184" s="21" t="s">
        <v>248</v>
      </c>
      <c r="C184" s="21" t="s">
        <v>622</v>
      </c>
      <c r="D184" s="160">
        <v>2030000</v>
      </c>
      <c r="E184" s="21" t="s">
        <v>395</v>
      </c>
      <c r="F184" s="21" t="s">
        <v>396</v>
      </c>
      <c r="G184" s="8" t="str">
        <f t="shared" si="2"/>
        <v>KILLION DAVID</v>
      </c>
    </row>
    <row r="185" spans="1:7" x14ac:dyDescent="0.25">
      <c r="A185" s="8">
        <v>42737.782268518517</v>
      </c>
      <c r="B185" s="21" t="s">
        <v>383</v>
      </c>
      <c r="C185" s="21" t="s">
        <v>623</v>
      </c>
      <c r="D185" s="160">
        <v>1810000</v>
      </c>
      <c r="E185" s="21" t="s">
        <v>265</v>
      </c>
      <c r="F185" s="21" t="s">
        <v>242</v>
      </c>
      <c r="G185" s="8" t="str">
        <f t="shared" si="2"/>
        <v>NEWELL JAMES</v>
      </c>
    </row>
    <row r="186" spans="1:7" x14ac:dyDescent="0.25">
      <c r="A186" s="8">
        <v>42737.785439814812</v>
      </c>
      <c r="B186" s="21" t="s">
        <v>392</v>
      </c>
      <c r="C186" s="21" t="s">
        <v>624</v>
      </c>
      <c r="D186" s="160">
        <v>2600000</v>
      </c>
      <c r="E186" s="21" t="s">
        <v>229</v>
      </c>
      <c r="F186" s="21" t="s">
        <v>396</v>
      </c>
      <c r="G186" s="8" t="str">
        <f t="shared" si="2"/>
        <v>DAVIDSON DAVID</v>
      </c>
    </row>
    <row r="187" spans="1:7" x14ac:dyDescent="0.25">
      <c r="A187" s="8">
        <v>42737.789537037039</v>
      </c>
      <c r="B187" s="21" t="s">
        <v>256</v>
      </c>
      <c r="C187" s="21" t="s">
        <v>625</v>
      </c>
      <c r="D187" s="160">
        <v>2000000</v>
      </c>
      <c r="E187" s="21" t="s">
        <v>207</v>
      </c>
      <c r="F187" s="21" t="s">
        <v>242</v>
      </c>
      <c r="G187" s="8" t="str">
        <f t="shared" si="2"/>
        <v>STAMBAUGH JAMES</v>
      </c>
    </row>
    <row r="188" spans="1:7" x14ac:dyDescent="0.25">
      <c r="A188" s="8">
        <v>42737.790694444448</v>
      </c>
      <c r="B188" s="21" t="s">
        <v>237</v>
      </c>
      <c r="C188" s="21" t="s">
        <v>626</v>
      </c>
      <c r="D188" s="160">
        <v>1800000</v>
      </c>
      <c r="E188" s="21" t="s">
        <v>231</v>
      </c>
      <c r="F188" s="21" t="s">
        <v>245</v>
      </c>
      <c r="G188" s="8" t="str">
        <f t="shared" si="2"/>
        <v>CHANDLER KELVIN</v>
      </c>
    </row>
    <row r="189" spans="1:7" x14ac:dyDescent="0.25">
      <c r="A189" s="8">
        <v>42737.796817129631</v>
      </c>
      <c r="B189" s="21" t="s">
        <v>380</v>
      </c>
      <c r="C189" s="21" t="s">
        <v>627</v>
      </c>
      <c r="D189" s="160">
        <v>1810000</v>
      </c>
      <c r="E189" s="21" t="s">
        <v>265</v>
      </c>
      <c r="F189" s="21" t="s">
        <v>242</v>
      </c>
      <c r="G189" s="8" t="str">
        <f t="shared" si="2"/>
        <v>NEWELL JAMES</v>
      </c>
    </row>
    <row r="190" spans="1:7" x14ac:dyDescent="0.25">
      <c r="A190" s="8">
        <v>42737.798136574071</v>
      </c>
      <c r="B190" s="21" t="s">
        <v>384</v>
      </c>
      <c r="C190" s="21" t="s">
        <v>628</v>
      </c>
      <c r="D190" s="160">
        <v>2250000</v>
      </c>
      <c r="E190" s="21" t="s">
        <v>542</v>
      </c>
      <c r="F190" s="21" t="s">
        <v>543</v>
      </c>
      <c r="G190" s="8" t="str">
        <f t="shared" si="2"/>
        <v>CRAYTON QUNTRELL</v>
      </c>
    </row>
    <row r="191" spans="1:7" x14ac:dyDescent="0.25">
      <c r="A191" s="8">
        <v>42737.800555555557</v>
      </c>
      <c r="B191" s="21" t="s">
        <v>319</v>
      </c>
      <c r="C191" s="21" t="s">
        <v>629</v>
      </c>
      <c r="D191" s="160">
        <v>1300000</v>
      </c>
      <c r="E191" s="21" t="s">
        <v>113</v>
      </c>
      <c r="F191" s="21" t="s">
        <v>394</v>
      </c>
      <c r="G191" s="8" t="str">
        <f t="shared" si="2"/>
        <v>LEVIN SCOTT</v>
      </c>
    </row>
    <row r="192" spans="1:7" x14ac:dyDescent="0.25">
      <c r="A192" s="8">
        <v>42737.807824074072</v>
      </c>
      <c r="B192" s="21" t="s">
        <v>330</v>
      </c>
      <c r="C192" s="21" t="s">
        <v>630</v>
      </c>
      <c r="D192" s="160">
        <v>2550000</v>
      </c>
      <c r="E192" s="21" t="s">
        <v>211</v>
      </c>
      <c r="F192" s="21" t="s">
        <v>619</v>
      </c>
      <c r="G192" s="8" t="str">
        <f t="shared" si="2"/>
        <v>BADERTSCHER DIANE</v>
      </c>
    </row>
    <row r="193" spans="1:7" x14ac:dyDescent="0.25">
      <c r="A193" s="8">
        <v>42737.808495370373</v>
      </c>
      <c r="B193" s="21" t="s">
        <v>202</v>
      </c>
      <c r="C193" s="21" t="s">
        <v>631</v>
      </c>
      <c r="D193" s="160">
        <v>2230000</v>
      </c>
      <c r="E193" s="21" t="s">
        <v>264</v>
      </c>
      <c r="F193" s="21" t="s">
        <v>251</v>
      </c>
      <c r="G193" s="8" t="str">
        <f t="shared" si="2"/>
        <v>SMITH MICHAEL</v>
      </c>
    </row>
    <row r="194" spans="1:7" x14ac:dyDescent="0.25">
      <c r="A194" s="8">
        <v>42737.817824074074</v>
      </c>
      <c r="B194" s="21" t="s">
        <v>442</v>
      </c>
      <c r="C194" s="21" t="s">
        <v>632</v>
      </c>
      <c r="D194" s="160">
        <v>1300000</v>
      </c>
      <c r="E194" s="21" t="s">
        <v>113</v>
      </c>
      <c r="F194" s="21" t="s">
        <v>394</v>
      </c>
      <c r="G194" s="8" t="str">
        <f t="shared" si="2"/>
        <v>LEVIN SCOTT</v>
      </c>
    </row>
    <row r="195" spans="1:7" x14ac:dyDescent="0.25">
      <c r="A195" s="8">
        <v>42737.819722222222</v>
      </c>
      <c r="B195" s="21" t="s">
        <v>226</v>
      </c>
      <c r="C195" s="21" t="s">
        <v>633</v>
      </c>
      <c r="D195" s="160">
        <v>2030000</v>
      </c>
      <c r="E195" s="21" t="s">
        <v>395</v>
      </c>
      <c r="F195" s="21" t="s">
        <v>396</v>
      </c>
      <c r="G195" s="8" t="str">
        <f t="shared" ref="G195:G258" si="3">E195&amp;" "&amp;F195</f>
        <v>KILLION DAVID</v>
      </c>
    </row>
    <row r="196" spans="1:7" x14ac:dyDescent="0.25">
      <c r="A196" s="8">
        <v>42737.8283912037</v>
      </c>
      <c r="B196" s="21" t="s">
        <v>223</v>
      </c>
      <c r="C196" s="21" t="s">
        <v>634</v>
      </c>
      <c r="D196" s="160">
        <v>2000000</v>
      </c>
      <c r="E196" s="21" t="s">
        <v>207</v>
      </c>
      <c r="F196" s="21" t="s">
        <v>242</v>
      </c>
      <c r="G196" s="8" t="str">
        <f t="shared" si="3"/>
        <v>STAMBAUGH JAMES</v>
      </c>
    </row>
    <row r="197" spans="1:7" x14ac:dyDescent="0.25">
      <c r="A197" s="8">
        <v>42737.828472222223</v>
      </c>
      <c r="B197" s="21" t="s">
        <v>474</v>
      </c>
      <c r="C197" s="21" t="s">
        <v>635</v>
      </c>
      <c r="D197" s="160">
        <v>1800000</v>
      </c>
      <c r="E197" s="21" t="s">
        <v>231</v>
      </c>
      <c r="F197" s="21" t="s">
        <v>245</v>
      </c>
      <c r="G197" s="8" t="str">
        <f t="shared" si="3"/>
        <v>CHANDLER KELVIN</v>
      </c>
    </row>
    <row r="198" spans="1:7" x14ac:dyDescent="0.25">
      <c r="A198" s="8">
        <v>42737.842534722222</v>
      </c>
      <c r="B198" s="21" t="s">
        <v>319</v>
      </c>
      <c r="C198" s="21" t="s">
        <v>636</v>
      </c>
      <c r="D198" s="160">
        <v>1300000</v>
      </c>
      <c r="E198" s="21" t="s">
        <v>113</v>
      </c>
      <c r="F198" s="21" t="s">
        <v>394</v>
      </c>
      <c r="G198" s="8" t="str">
        <f t="shared" si="3"/>
        <v>LEVIN SCOTT</v>
      </c>
    </row>
    <row r="199" spans="1:7" x14ac:dyDescent="0.25">
      <c r="A199" s="8">
        <v>42737.843090277776</v>
      </c>
      <c r="B199" s="21" t="s">
        <v>208</v>
      </c>
      <c r="C199" s="21" t="s">
        <v>637</v>
      </c>
      <c r="D199" s="160">
        <v>2230000</v>
      </c>
      <c r="E199" s="21" t="s">
        <v>264</v>
      </c>
      <c r="F199" s="21" t="s">
        <v>251</v>
      </c>
      <c r="G199" s="8" t="str">
        <f t="shared" si="3"/>
        <v>SMITH MICHAEL</v>
      </c>
    </row>
    <row r="200" spans="1:7" x14ac:dyDescent="0.25">
      <c r="A200" s="8">
        <v>42737.845833333333</v>
      </c>
      <c r="B200" s="21" t="s">
        <v>228</v>
      </c>
      <c r="C200" s="21" t="s">
        <v>638</v>
      </c>
      <c r="D200" s="160">
        <v>1740000</v>
      </c>
      <c r="E200" s="21" t="s">
        <v>614</v>
      </c>
      <c r="F200" s="21" t="s">
        <v>615</v>
      </c>
      <c r="G200" s="8" t="str">
        <f t="shared" si="3"/>
        <v>STORY SAMANTHA</v>
      </c>
    </row>
    <row r="201" spans="1:7" x14ac:dyDescent="0.25">
      <c r="A201" s="8">
        <v>42737.859340277777</v>
      </c>
      <c r="B201" s="21" t="s">
        <v>442</v>
      </c>
      <c r="C201" s="21" t="s">
        <v>639</v>
      </c>
      <c r="D201" s="160">
        <v>1300000</v>
      </c>
      <c r="E201" s="21" t="s">
        <v>113</v>
      </c>
      <c r="F201" s="21" t="s">
        <v>394</v>
      </c>
      <c r="G201" s="8" t="str">
        <f t="shared" si="3"/>
        <v>LEVIN SCOTT</v>
      </c>
    </row>
    <row r="202" spans="1:7" x14ac:dyDescent="0.25">
      <c r="A202" s="27">
        <v>42737.860902777778</v>
      </c>
      <c r="B202" s="21" t="s">
        <v>256</v>
      </c>
      <c r="C202" s="21" t="s">
        <v>640</v>
      </c>
      <c r="D202" s="160">
        <v>2000000</v>
      </c>
      <c r="E202" s="21" t="s">
        <v>207</v>
      </c>
      <c r="F202" s="21" t="s">
        <v>242</v>
      </c>
      <c r="G202" s="8" t="str">
        <f t="shared" si="3"/>
        <v>STAMBAUGH JAMES</v>
      </c>
    </row>
    <row r="203" spans="1:7" x14ac:dyDescent="0.25">
      <c r="A203" s="8">
        <v>42737.874444444446</v>
      </c>
      <c r="B203" s="21" t="s">
        <v>237</v>
      </c>
      <c r="C203" s="21" t="s">
        <v>641</v>
      </c>
      <c r="D203" s="160">
        <v>1800000</v>
      </c>
      <c r="E203" s="21" t="s">
        <v>231</v>
      </c>
      <c r="F203" s="21" t="s">
        <v>245</v>
      </c>
      <c r="G203" s="8" t="str">
        <f t="shared" si="3"/>
        <v>CHANDLER KELVIN</v>
      </c>
    </row>
    <row r="204" spans="1:7" x14ac:dyDescent="0.25">
      <c r="A204" s="8">
        <v>42737.87736111111</v>
      </c>
      <c r="B204" s="21" t="s">
        <v>319</v>
      </c>
      <c r="C204" s="21" t="s">
        <v>642</v>
      </c>
      <c r="D204" s="160">
        <v>1810000</v>
      </c>
      <c r="E204" s="21" t="s">
        <v>265</v>
      </c>
      <c r="F204" s="21" t="s">
        <v>242</v>
      </c>
      <c r="G204" s="8" t="str">
        <f t="shared" si="3"/>
        <v>NEWELL JAMES</v>
      </c>
    </row>
    <row r="205" spans="1:7" x14ac:dyDescent="0.25">
      <c r="A205" s="8">
        <v>42737.886712962965</v>
      </c>
      <c r="B205" s="21" t="s">
        <v>330</v>
      </c>
      <c r="C205" s="21" t="s">
        <v>643</v>
      </c>
      <c r="D205" s="160">
        <v>1740000</v>
      </c>
      <c r="E205" s="21" t="s">
        <v>614</v>
      </c>
      <c r="F205" s="21" t="s">
        <v>615</v>
      </c>
      <c r="G205" s="8" t="str">
        <f t="shared" si="3"/>
        <v>STORY SAMANTHA</v>
      </c>
    </row>
    <row r="206" spans="1:7" x14ac:dyDescent="0.25">
      <c r="A206" s="8">
        <v>42737.887384259258</v>
      </c>
      <c r="B206" s="21" t="s">
        <v>202</v>
      </c>
      <c r="C206" s="21" t="s">
        <v>644</v>
      </c>
      <c r="D206" s="160">
        <v>2230000</v>
      </c>
      <c r="E206" s="21" t="s">
        <v>264</v>
      </c>
      <c r="F206" s="21" t="s">
        <v>251</v>
      </c>
      <c r="G206" s="8" t="str">
        <f t="shared" si="3"/>
        <v>SMITH MICHAEL</v>
      </c>
    </row>
    <row r="207" spans="1:7" x14ac:dyDescent="0.25">
      <c r="A207" s="8">
        <v>42737.90216435185</v>
      </c>
      <c r="B207" s="21" t="s">
        <v>442</v>
      </c>
      <c r="C207" s="21" t="s">
        <v>448</v>
      </c>
      <c r="D207" s="160">
        <v>1810000</v>
      </c>
      <c r="E207" s="21" t="s">
        <v>265</v>
      </c>
      <c r="F207" s="21" t="s">
        <v>242</v>
      </c>
      <c r="G207" s="8" t="str">
        <f t="shared" si="3"/>
        <v>NEWELL JAMES</v>
      </c>
    </row>
    <row r="208" spans="1:7" x14ac:dyDescent="0.25">
      <c r="A208" s="8">
        <v>42737.902384259258</v>
      </c>
      <c r="B208" s="21" t="s">
        <v>223</v>
      </c>
      <c r="C208" s="21" t="s">
        <v>645</v>
      </c>
      <c r="D208" s="160">
        <v>2000000</v>
      </c>
      <c r="E208" s="21" t="s">
        <v>207</v>
      </c>
      <c r="F208" s="21" t="s">
        <v>242</v>
      </c>
      <c r="G208" s="8" t="str">
        <f t="shared" si="3"/>
        <v>STAMBAUGH JAMES</v>
      </c>
    </row>
    <row r="209" spans="1:7" x14ac:dyDescent="0.25">
      <c r="A209" s="8">
        <v>42737.910995370374</v>
      </c>
      <c r="B209" s="21" t="s">
        <v>474</v>
      </c>
      <c r="C209" s="21" t="s">
        <v>646</v>
      </c>
      <c r="D209" s="160">
        <v>1800000</v>
      </c>
      <c r="E209" s="21" t="s">
        <v>231</v>
      </c>
      <c r="F209" s="21" t="s">
        <v>245</v>
      </c>
      <c r="G209" s="8" t="str">
        <f t="shared" si="3"/>
        <v>CHANDLER KELVIN</v>
      </c>
    </row>
    <row r="210" spans="1:7" x14ac:dyDescent="0.25">
      <c r="A210" s="8">
        <v>42737.916921296295</v>
      </c>
      <c r="B210" s="21" t="s">
        <v>319</v>
      </c>
      <c r="C210" s="21" t="s">
        <v>647</v>
      </c>
      <c r="D210" s="160">
        <v>1810000</v>
      </c>
      <c r="E210" s="21" t="s">
        <v>265</v>
      </c>
      <c r="F210" s="21" t="s">
        <v>242</v>
      </c>
      <c r="G210" s="8" t="str">
        <f t="shared" si="3"/>
        <v>NEWELL JAMES</v>
      </c>
    </row>
    <row r="211" spans="1:7" x14ac:dyDescent="0.25">
      <c r="A211" s="8">
        <v>42737.927430555559</v>
      </c>
      <c r="B211" s="21" t="s">
        <v>208</v>
      </c>
      <c r="C211" s="21" t="s">
        <v>648</v>
      </c>
      <c r="D211" s="160">
        <v>2230000</v>
      </c>
      <c r="E211" s="21" t="s">
        <v>264</v>
      </c>
      <c r="F211" s="21" t="s">
        <v>251</v>
      </c>
      <c r="G211" s="8" t="str">
        <f t="shared" si="3"/>
        <v>SMITH MICHAEL</v>
      </c>
    </row>
    <row r="212" spans="1:7" x14ac:dyDescent="0.25">
      <c r="A212" s="8">
        <v>42737.932222222225</v>
      </c>
      <c r="B212" s="21" t="s">
        <v>228</v>
      </c>
      <c r="C212" s="21" t="s">
        <v>649</v>
      </c>
      <c r="D212" s="160">
        <v>1740000</v>
      </c>
      <c r="E212" s="21" t="s">
        <v>614</v>
      </c>
      <c r="F212" s="21" t="s">
        <v>615</v>
      </c>
      <c r="G212" s="8" t="str">
        <f t="shared" si="3"/>
        <v>STORY SAMANTHA</v>
      </c>
    </row>
    <row r="213" spans="1:7" x14ac:dyDescent="0.25">
      <c r="A213" s="8">
        <v>42737.943298611113</v>
      </c>
      <c r="B213" s="21" t="s">
        <v>442</v>
      </c>
      <c r="C213" s="21" t="s">
        <v>650</v>
      </c>
      <c r="D213" s="160">
        <v>1810000</v>
      </c>
      <c r="E213" s="21" t="s">
        <v>265</v>
      </c>
      <c r="F213" s="21" t="s">
        <v>242</v>
      </c>
      <c r="G213" s="8" t="str">
        <f t="shared" si="3"/>
        <v>NEWELL JAMES</v>
      </c>
    </row>
    <row r="214" spans="1:7" x14ac:dyDescent="0.25">
      <c r="A214" s="8">
        <v>42737.946608796294</v>
      </c>
      <c r="B214" s="21" t="s">
        <v>256</v>
      </c>
      <c r="C214" s="21" t="s">
        <v>651</v>
      </c>
      <c r="D214" s="160">
        <v>2000000</v>
      </c>
      <c r="E214" s="21" t="s">
        <v>207</v>
      </c>
      <c r="F214" s="21" t="s">
        <v>242</v>
      </c>
      <c r="G214" s="8" t="str">
        <f t="shared" si="3"/>
        <v>STAMBAUGH JAMES</v>
      </c>
    </row>
    <row r="215" spans="1:7" x14ac:dyDescent="0.25">
      <c r="A215" s="8">
        <v>42737.954062500001</v>
      </c>
      <c r="B215" s="21" t="s">
        <v>237</v>
      </c>
      <c r="C215" s="21" t="s">
        <v>652</v>
      </c>
      <c r="D215" s="160">
        <v>1800000</v>
      </c>
      <c r="E215" s="21" t="s">
        <v>231</v>
      </c>
      <c r="F215" s="21" t="s">
        <v>245</v>
      </c>
      <c r="G215" s="8" t="str">
        <f t="shared" si="3"/>
        <v>CHANDLER KELVIN</v>
      </c>
    </row>
    <row r="216" spans="1:7" x14ac:dyDescent="0.25">
      <c r="A216" s="8">
        <v>42737.967256944445</v>
      </c>
      <c r="B216" s="21" t="s">
        <v>202</v>
      </c>
      <c r="C216" s="21" t="s">
        <v>653</v>
      </c>
      <c r="D216" s="160">
        <v>2230000</v>
      </c>
      <c r="E216" s="21" t="s">
        <v>264</v>
      </c>
      <c r="F216" s="21" t="s">
        <v>251</v>
      </c>
      <c r="G216" s="8" t="str">
        <f t="shared" si="3"/>
        <v>SMITH MICHAEL</v>
      </c>
    </row>
    <row r="217" spans="1:7" x14ac:dyDescent="0.25">
      <c r="A217" s="8">
        <v>42737.96733796296</v>
      </c>
      <c r="B217" s="21" t="s">
        <v>330</v>
      </c>
      <c r="C217" s="21" t="s">
        <v>654</v>
      </c>
      <c r="D217" s="160">
        <v>1740000</v>
      </c>
      <c r="E217" s="21" t="s">
        <v>614</v>
      </c>
      <c r="F217" s="21" t="s">
        <v>615</v>
      </c>
      <c r="G217" s="8" t="str">
        <f t="shared" si="3"/>
        <v>STORY SAMANTHA</v>
      </c>
    </row>
    <row r="218" spans="1:7" x14ac:dyDescent="0.25">
      <c r="A218" s="8">
        <v>42737.9846412037</v>
      </c>
      <c r="B218" s="21" t="s">
        <v>223</v>
      </c>
      <c r="C218" s="21" t="s">
        <v>655</v>
      </c>
      <c r="D218" s="160">
        <v>2000000</v>
      </c>
      <c r="E218" s="21" t="s">
        <v>207</v>
      </c>
      <c r="F218" s="21" t="s">
        <v>242</v>
      </c>
      <c r="G218" s="8" t="str">
        <f t="shared" si="3"/>
        <v>STAMBAUGH JAMES</v>
      </c>
    </row>
    <row r="219" spans="1:7" x14ac:dyDescent="0.25">
      <c r="A219" s="8">
        <v>42737.995046296295</v>
      </c>
      <c r="B219" s="21" t="s">
        <v>474</v>
      </c>
      <c r="C219" s="21" t="s">
        <v>656</v>
      </c>
      <c r="D219" s="160">
        <v>1800000</v>
      </c>
      <c r="E219" s="21" t="s">
        <v>231</v>
      </c>
      <c r="F219" s="21" t="s">
        <v>245</v>
      </c>
      <c r="G219" s="8" t="str">
        <f t="shared" si="3"/>
        <v>CHANDLER KELVIN</v>
      </c>
    </row>
    <row r="220" spans="1:7" x14ac:dyDescent="0.25">
      <c r="A220" s="8">
        <v>42738.009560185186</v>
      </c>
      <c r="B220" s="21" t="s">
        <v>208</v>
      </c>
      <c r="C220" s="21" t="s">
        <v>657</v>
      </c>
      <c r="D220" s="160">
        <v>2230000</v>
      </c>
      <c r="E220" s="21" t="s">
        <v>264</v>
      </c>
      <c r="F220" s="21" t="s">
        <v>251</v>
      </c>
      <c r="G220" s="8" t="str">
        <f t="shared" si="3"/>
        <v>SMITH MICHAEL</v>
      </c>
    </row>
    <row r="221" spans="1:7" x14ac:dyDescent="0.25">
      <c r="A221" s="8">
        <v>42738.010891203703</v>
      </c>
      <c r="B221" s="21" t="s">
        <v>228</v>
      </c>
      <c r="C221" s="21" t="s">
        <v>658</v>
      </c>
      <c r="D221" s="160">
        <v>1740000</v>
      </c>
      <c r="E221" s="21" t="s">
        <v>614</v>
      </c>
      <c r="F221" s="21" t="s">
        <v>615</v>
      </c>
      <c r="G221" s="8" t="str">
        <f t="shared" si="3"/>
        <v>STORY SAMANTHA</v>
      </c>
    </row>
    <row r="222" spans="1:7" x14ac:dyDescent="0.25">
      <c r="A222" s="8">
        <v>42738.028969907406</v>
      </c>
      <c r="B222" s="21" t="s">
        <v>237</v>
      </c>
      <c r="C222" s="21" t="s">
        <v>659</v>
      </c>
      <c r="D222" s="160">
        <v>1800000</v>
      </c>
      <c r="E222" s="21" t="s">
        <v>231</v>
      </c>
      <c r="F222" s="21" t="s">
        <v>245</v>
      </c>
      <c r="G222" s="8" t="str">
        <f t="shared" si="3"/>
        <v>CHANDLER KELVIN</v>
      </c>
    </row>
    <row r="223" spans="1:7" x14ac:dyDescent="0.25">
      <c r="A223" s="8">
        <v>42738.035844907405</v>
      </c>
      <c r="B223" s="21" t="s">
        <v>256</v>
      </c>
      <c r="C223" s="21" t="s">
        <v>449</v>
      </c>
      <c r="D223" s="160">
        <v>2000000</v>
      </c>
      <c r="E223" s="21" t="s">
        <v>207</v>
      </c>
      <c r="F223" s="21" t="s">
        <v>242</v>
      </c>
      <c r="G223" s="8" t="str">
        <f t="shared" si="3"/>
        <v>STAMBAUGH JAMES</v>
      </c>
    </row>
    <row r="224" spans="1:7" x14ac:dyDescent="0.25">
      <c r="A224" s="8">
        <v>42738.049583333333</v>
      </c>
      <c r="B224" t="s">
        <v>202</v>
      </c>
      <c r="C224" t="s">
        <v>660</v>
      </c>
      <c r="D224" s="160">
        <v>2230000</v>
      </c>
      <c r="E224" t="s">
        <v>264</v>
      </c>
      <c r="F224" s="21" t="s">
        <v>251</v>
      </c>
      <c r="G224" s="8" t="str">
        <f t="shared" si="3"/>
        <v>SMITH MICHAEL</v>
      </c>
    </row>
    <row r="225" spans="1:7" x14ac:dyDescent="0.25">
      <c r="A225" s="8">
        <v>42738.057719907411</v>
      </c>
      <c r="B225" t="s">
        <v>330</v>
      </c>
      <c r="C225" t="s">
        <v>661</v>
      </c>
      <c r="D225" s="160">
        <v>1740000</v>
      </c>
      <c r="E225" t="s">
        <v>614</v>
      </c>
      <c r="F225" s="21" t="s">
        <v>615</v>
      </c>
      <c r="G225" s="8" t="str">
        <f t="shared" si="3"/>
        <v>STORY SAMANTHA</v>
      </c>
    </row>
    <row r="226" spans="1:7" x14ac:dyDescent="0.25">
      <c r="A226" s="8">
        <v>42738.06826388889</v>
      </c>
      <c r="B226" t="s">
        <v>223</v>
      </c>
      <c r="C226" t="s">
        <v>662</v>
      </c>
      <c r="D226" s="160">
        <v>2000000</v>
      </c>
      <c r="E226" t="s">
        <v>207</v>
      </c>
      <c r="F226" s="21" t="s">
        <v>242</v>
      </c>
      <c r="G226" s="8" t="str">
        <f t="shared" si="3"/>
        <v>STAMBAUGH JAMES</v>
      </c>
    </row>
    <row r="227" spans="1:7" x14ac:dyDescent="0.25">
      <c r="A227" s="8">
        <v>42738.087743055556</v>
      </c>
      <c r="B227" t="s">
        <v>228</v>
      </c>
      <c r="C227" t="s">
        <v>663</v>
      </c>
      <c r="D227" s="160">
        <v>1740000</v>
      </c>
      <c r="E227" t="s">
        <v>614</v>
      </c>
      <c r="F227" s="21" t="s">
        <v>615</v>
      </c>
      <c r="G227" s="8" t="str">
        <f t="shared" si="3"/>
        <v>STORY SAMANTHA</v>
      </c>
    </row>
    <row r="228" spans="1:7" x14ac:dyDescent="0.25">
      <c r="A228" s="8">
        <v>42733.055717592593</v>
      </c>
      <c r="B228" t="s">
        <v>226</v>
      </c>
      <c r="C228" t="s">
        <v>355</v>
      </c>
      <c r="D228" s="160">
        <v>2720000</v>
      </c>
      <c r="E228" t="s">
        <v>326</v>
      </c>
      <c r="F228" s="21" t="s">
        <v>327</v>
      </c>
      <c r="G228" s="8" t="str">
        <f t="shared" si="3"/>
        <v>SIMONEAUX TERA</v>
      </c>
    </row>
    <row r="229" spans="1:7" x14ac:dyDescent="0.25">
      <c r="A229" s="8">
        <v>42733.056759259256</v>
      </c>
      <c r="B229" t="s">
        <v>226</v>
      </c>
      <c r="C229" t="s">
        <v>355</v>
      </c>
      <c r="D229" s="160">
        <v>2720000</v>
      </c>
      <c r="E229" t="s">
        <v>326</v>
      </c>
      <c r="F229" s="21" t="s">
        <v>327</v>
      </c>
      <c r="G229" s="8" t="str">
        <f t="shared" si="3"/>
        <v>SIMONEAUX TERA</v>
      </c>
    </row>
    <row r="230" spans="1:7" x14ac:dyDescent="0.25">
      <c r="A230" s="8">
        <v>42733.058379629627</v>
      </c>
      <c r="B230" t="s">
        <v>226</v>
      </c>
      <c r="C230" t="s">
        <v>355</v>
      </c>
      <c r="D230" s="160">
        <v>2720000</v>
      </c>
      <c r="E230" t="s">
        <v>326</v>
      </c>
      <c r="F230" s="21" t="s">
        <v>327</v>
      </c>
      <c r="G230" s="8" t="str">
        <f t="shared" si="3"/>
        <v>SIMONEAUX TERA</v>
      </c>
    </row>
    <row r="231" spans="1:7" x14ac:dyDescent="0.25">
      <c r="A231" s="8">
        <v>42733.072997685187</v>
      </c>
      <c r="B231" t="s">
        <v>304</v>
      </c>
      <c r="C231" t="s">
        <v>356</v>
      </c>
      <c r="D231" s="160">
        <v>2270000</v>
      </c>
      <c r="E231" t="s">
        <v>297</v>
      </c>
      <c r="F231" s="21" t="s">
        <v>298</v>
      </c>
      <c r="G231" s="8" t="str">
        <f t="shared" si="3"/>
        <v>BROWN JACOB</v>
      </c>
    </row>
    <row r="232" spans="1:7" x14ac:dyDescent="0.25">
      <c r="A232" s="8">
        <v>42733.108020833337</v>
      </c>
      <c r="B232" t="s">
        <v>237</v>
      </c>
      <c r="C232" t="s">
        <v>357</v>
      </c>
      <c r="D232" s="160">
        <v>1090000</v>
      </c>
      <c r="E232" t="s">
        <v>358</v>
      </c>
      <c r="F232" s="21" t="s">
        <v>251</v>
      </c>
      <c r="G232" s="8" t="str">
        <f t="shared" si="3"/>
        <v>SPECTOR MICHAEL</v>
      </c>
    </row>
    <row r="233" spans="1:7" x14ac:dyDescent="0.25">
      <c r="A233" s="8">
        <v>42733.110335648147</v>
      </c>
      <c r="B233" t="s">
        <v>330</v>
      </c>
      <c r="C233" t="s">
        <v>359</v>
      </c>
      <c r="D233" s="160">
        <v>2100000</v>
      </c>
      <c r="E233" t="s">
        <v>350</v>
      </c>
      <c r="F233" s="21" t="s">
        <v>351</v>
      </c>
      <c r="G233" s="8" t="str">
        <f t="shared" si="3"/>
        <v>ISHMAEL JOSEPH</v>
      </c>
    </row>
    <row r="234" spans="1:7" x14ac:dyDescent="0.25">
      <c r="A234" s="8">
        <v>42732.057754629626</v>
      </c>
      <c r="B234" t="s">
        <v>325</v>
      </c>
      <c r="C234" t="s">
        <v>334</v>
      </c>
      <c r="D234" s="160">
        <v>2000000</v>
      </c>
      <c r="E234" t="s">
        <v>207</v>
      </c>
      <c r="F234" s="21" t="s">
        <v>242</v>
      </c>
      <c r="G234" s="8" t="str">
        <f t="shared" si="3"/>
        <v>STAMBAUGH JAMES</v>
      </c>
    </row>
    <row r="235" spans="1:7" x14ac:dyDescent="0.25">
      <c r="A235" s="8">
        <v>42732.070798611108</v>
      </c>
      <c r="B235" t="s">
        <v>228</v>
      </c>
      <c r="C235" t="s">
        <v>335</v>
      </c>
      <c r="D235" s="160">
        <v>2720000</v>
      </c>
      <c r="E235" t="s">
        <v>326</v>
      </c>
      <c r="F235" s="21" t="s">
        <v>327</v>
      </c>
      <c r="G235" s="8" t="str">
        <f t="shared" si="3"/>
        <v>SIMONEAUX TERA</v>
      </c>
    </row>
    <row r="236" spans="1:7" x14ac:dyDescent="0.25">
      <c r="A236" s="8">
        <v>42732.088171296295</v>
      </c>
      <c r="B236" t="s">
        <v>210</v>
      </c>
      <c r="C236" t="s">
        <v>336</v>
      </c>
      <c r="D236" s="160">
        <v>2000000</v>
      </c>
      <c r="E236" t="s">
        <v>207</v>
      </c>
      <c r="F236" s="21" t="s">
        <v>242</v>
      </c>
      <c r="G236" s="8" t="str">
        <f t="shared" si="3"/>
        <v>STAMBAUGH JAMES</v>
      </c>
    </row>
    <row r="237" spans="1:7" x14ac:dyDescent="0.25">
      <c r="A237" s="8">
        <v>42728.056018518517</v>
      </c>
      <c r="B237" t="s">
        <v>155</v>
      </c>
      <c r="C237" t="s">
        <v>306</v>
      </c>
      <c r="D237" s="160">
        <v>2220000</v>
      </c>
      <c r="E237" t="s">
        <v>295</v>
      </c>
      <c r="F237" s="21" t="s">
        <v>296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306</v>
      </c>
      <c r="D238" s="160">
        <v>2220000</v>
      </c>
      <c r="E238" t="s">
        <v>295</v>
      </c>
      <c r="F238" s="21" t="s">
        <v>296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306</v>
      </c>
      <c r="D239" s="160">
        <v>2220000</v>
      </c>
      <c r="E239" t="s">
        <v>295</v>
      </c>
      <c r="F239" s="21" t="s">
        <v>296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306</v>
      </c>
      <c r="D240" s="160">
        <v>2220000</v>
      </c>
      <c r="E240" t="s">
        <v>295</v>
      </c>
      <c r="F240" s="21" t="s">
        <v>296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237</v>
      </c>
      <c r="C241" t="s">
        <v>307</v>
      </c>
      <c r="D241" s="160">
        <v>2000000</v>
      </c>
      <c r="E241" t="s">
        <v>207</v>
      </c>
      <c r="F241" s="21" t="s">
        <v>242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305</v>
      </c>
      <c r="C242" t="s">
        <v>308</v>
      </c>
      <c r="D242" s="160">
        <v>2270000</v>
      </c>
      <c r="E242" t="s">
        <v>297</v>
      </c>
      <c r="F242" s="21" t="s">
        <v>298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309</v>
      </c>
      <c r="D243" s="160">
        <v>2220000</v>
      </c>
      <c r="E243" t="s">
        <v>295</v>
      </c>
      <c r="F243" s="21" t="s">
        <v>296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309</v>
      </c>
      <c r="D244" s="160">
        <v>2220000</v>
      </c>
      <c r="E244" t="s">
        <v>295</v>
      </c>
      <c r="F244" s="21" t="s">
        <v>296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304</v>
      </c>
      <c r="C245" t="s">
        <v>310</v>
      </c>
      <c r="D245" s="160">
        <v>2270000</v>
      </c>
      <c r="E245" t="s">
        <v>297</v>
      </c>
      <c r="F245" s="21" t="s">
        <v>298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271</v>
      </c>
      <c r="C246" t="s">
        <v>274</v>
      </c>
      <c r="D246" s="160">
        <v>2000000</v>
      </c>
      <c r="E246" t="s">
        <v>207</v>
      </c>
      <c r="F246" s="21" t="s">
        <v>242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258</v>
      </c>
      <c r="C247" t="s">
        <v>275</v>
      </c>
      <c r="D247" s="160">
        <v>1810000</v>
      </c>
      <c r="E247" t="s">
        <v>265</v>
      </c>
      <c r="F247" s="21" t="s">
        <v>242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223</v>
      </c>
      <c r="C248" t="s">
        <v>276</v>
      </c>
      <c r="D248" s="160">
        <v>2230000</v>
      </c>
      <c r="E248" t="s">
        <v>264</v>
      </c>
      <c r="F248" s="21" t="s">
        <v>251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205</v>
      </c>
      <c r="C249" t="s">
        <v>277</v>
      </c>
      <c r="D249" s="160">
        <v>1800000</v>
      </c>
      <c r="E249" t="s">
        <v>231</v>
      </c>
      <c r="F249" s="21" t="s">
        <v>245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257</v>
      </c>
      <c r="C250" t="s">
        <v>278</v>
      </c>
      <c r="D250" s="160">
        <v>1810000</v>
      </c>
      <c r="E250" t="s">
        <v>265</v>
      </c>
      <c r="F250" s="21" t="s">
        <v>242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270</v>
      </c>
      <c r="C251" t="s">
        <v>279</v>
      </c>
      <c r="D251" s="160">
        <v>2000000</v>
      </c>
      <c r="E251" t="s">
        <v>207</v>
      </c>
      <c r="F251" s="21" t="s">
        <v>242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204</v>
      </c>
      <c r="C252" t="s">
        <v>280</v>
      </c>
      <c r="D252" s="160">
        <v>1800000</v>
      </c>
      <c r="E252" t="s">
        <v>231</v>
      </c>
      <c r="F252" s="21" t="s">
        <v>245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256</v>
      </c>
      <c r="C253" t="s">
        <v>281</v>
      </c>
      <c r="D253" s="160">
        <v>2230000</v>
      </c>
      <c r="E253" t="s">
        <v>264</v>
      </c>
      <c r="F253" s="21" t="s">
        <v>251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258</v>
      </c>
      <c r="C254" t="s">
        <v>282</v>
      </c>
      <c r="D254" s="160">
        <v>1810000</v>
      </c>
      <c r="E254" t="s">
        <v>265</v>
      </c>
      <c r="F254" s="21" t="s">
        <v>242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271</v>
      </c>
      <c r="C255" t="s">
        <v>283</v>
      </c>
      <c r="D255" s="160">
        <v>2000000</v>
      </c>
      <c r="E255" t="s">
        <v>207</v>
      </c>
      <c r="F255" s="21" t="s">
        <v>242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223</v>
      </c>
      <c r="C256" t="s">
        <v>284</v>
      </c>
      <c r="D256" s="160">
        <v>2230000</v>
      </c>
      <c r="E256" t="s">
        <v>264</v>
      </c>
      <c r="F256" s="21" t="s">
        <v>251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270</v>
      </c>
      <c r="C257" t="s">
        <v>285</v>
      </c>
      <c r="D257" s="160">
        <v>2000000</v>
      </c>
      <c r="E257" t="s">
        <v>207</v>
      </c>
      <c r="F257" s="21" t="s">
        <v>242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208</v>
      </c>
      <c r="C258" t="s">
        <v>286</v>
      </c>
      <c r="D258" s="160">
        <v>2110000</v>
      </c>
      <c r="E258" t="s">
        <v>272</v>
      </c>
      <c r="F258" s="21" t="s">
        <v>273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208</v>
      </c>
      <c r="C259" t="s">
        <v>286</v>
      </c>
      <c r="D259" s="160">
        <v>2110000</v>
      </c>
      <c r="E259" t="s">
        <v>272</v>
      </c>
      <c r="F259" s="21" t="s">
        <v>273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228</v>
      </c>
      <c r="C260" t="s">
        <v>234</v>
      </c>
      <c r="D260" s="160">
        <v>2000000</v>
      </c>
      <c r="E260" t="s">
        <v>207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233</v>
      </c>
      <c r="D261" s="160">
        <v>2530000</v>
      </c>
      <c r="E261" t="s">
        <v>232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204</v>
      </c>
      <c r="C262" t="s">
        <v>235</v>
      </c>
      <c r="D262" s="160">
        <v>2600000</v>
      </c>
      <c r="E262" t="s">
        <v>229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202</v>
      </c>
      <c r="C263" t="s">
        <v>216</v>
      </c>
      <c r="D263" s="160">
        <v>2000000</v>
      </c>
      <c r="E263" t="s">
        <v>207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212</v>
      </c>
      <c r="C264" t="s">
        <v>217</v>
      </c>
      <c r="D264" s="160">
        <v>2550000</v>
      </c>
      <c r="E264" t="s">
        <v>211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215</v>
      </c>
      <c r="C265" t="s">
        <v>218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210</v>
      </c>
      <c r="C266" t="s">
        <v>219</v>
      </c>
      <c r="D266" s="160">
        <v>2420000</v>
      </c>
      <c r="E266" t="s">
        <v>213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208</v>
      </c>
      <c r="C267" t="s">
        <v>220</v>
      </c>
      <c r="D267" s="160">
        <v>2000000</v>
      </c>
      <c r="E267" t="s">
        <v>207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214</v>
      </c>
      <c r="C268" t="s">
        <v>221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activeCell="H1" sqref="H1"/>
    </sheetView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28.72</v>
      </c>
      <c r="B2" s="165">
        <v>0.62</v>
      </c>
      <c r="C2" s="165">
        <v>16.07</v>
      </c>
      <c r="D2" s="8">
        <v>42737</v>
      </c>
      <c r="E2" s="165">
        <v>0.59</v>
      </c>
      <c r="F2" s="165" t="s">
        <v>236</v>
      </c>
      <c r="G2" s="165">
        <v>304.27</v>
      </c>
      <c r="H2" s="165">
        <v>0</v>
      </c>
      <c r="I2" s="165">
        <v>0</v>
      </c>
      <c r="J2" s="165">
        <v>1005.25</v>
      </c>
      <c r="K2" s="165" t="s">
        <v>402</v>
      </c>
      <c r="L2" s="165">
        <v>28.72</v>
      </c>
      <c r="M2" s="165">
        <v>1483340400</v>
      </c>
      <c r="N2" s="165">
        <v>6.71</v>
      </c>
      <c r="O2" s="165">
        <v>256</v>
      </c>
      <c r="P2" s="165">
        <v>1.49</v>
      </c>
      <c r="Q2"/>
      <c r="R2"/>
    </row>
    <row r="3" spans="1:18" x14ac:dyDescent="0.25">
      <c r="A3" s="165">
        <v>27.38</v>
      </c>
      <c r="B3" s="165">
        <v>0.48</v>
      </c>
      <c r="C3" s="165">
        <v>15.27</v>
      </c>
      <c r="D3" s="8">
        <v>42737.041666666664</v>
      </c>
      <c r="E3" s="165">
        <v>0.6</v>
      </c>
      <c r="F3" s="165" t="s">
        <v>236</v>
      </c>
      <c r="G3" s="165">
        <v>305.05</v>
      </c>
      <c r="H3" s="165">
        <v>0</v>
      </c>
      <c r="I3" s="165">
        <v>0</v>
      </c>
      <c r="J3" s="165">
        <v>1005.77</v>
      </c>
      <c r="K3" s="165" t="s">
        <v>239</v>
      </c>
      <c r="L3" s="165">
        <v>27.38</v>
      </c>
      <c r="M3" s="165">
        <v>1483344000</v>
      </c>
      <c r="N3" s="165">
        <v>6.46</v>
      </c>
      <c r="O3" s="165">
        <v>249</v>
      </c>
      <c r="P3" s="165">
        <v>1.43</v>
      </c>
      <c r="Q3"/>
      <c r="R3"/>
    </row>
    <row r="4" spans="1:18" x14ac:dyDescent="0.25">
      <c r="A4" s="165">
        <v>26.2</v>
      </c>
      <c r="B4" s="165">
        <v>0.36</v>
      </c>
      <c r="C4" s="165">
        <v>16</v>
      </c>
      <c r="D4" s="8">
        <v>42737.083333333336</v>
      </c>
      <c r="E4" s="165">
        <v>0.65</v>
      </c>
      <c r="F4" s="165" t="s">
        <v>236</v>
      </c>
      <c r="G4" s="165">
        <v>305.83999999999997</v>
      </c>
      <c r="H4" s="165">
        <v>0</v>
      </c>
      <c r="I4" s="165">
        <v>0</v>
      </c>
      <c r="J4" s="165">
        <v>1006.29</v>
      </c>
      <c r="K4" s="165" t="s">
        <v>239</v>
      </c>
      <c r="L4" s="165">
        <v>26.2</v>
      </c>
      <c r="M4" s="165">
        <v>1483347600</v>
      </c>
      <c r="N4" s="165">
        <v>5.62</v>
      </c>
      <c r="O4" s="165">
        <v>260</v>
      </c>
      <c r="P4" s="165">
        <v>1.42</v>
      </c>
      <c r="Q4"/>
      <c r="R4"/>
    </row>
    <row r="5" spans="1:18" x14ac:dyDescent="0.25">
      <c r="A5" s="165">
        <v>24.51</v>
      </c>
      <c r="B5" s="165">
        <v>0.38</v>
      </c>
      <c r="C5" s="165">
        <v>15.08</v>
      </c>
      <c r="D5" s="8">
        <v>42737.125</v>
      </c>
      <c r="E5" s="165">
        <v>0.67</v>
      </c>
      <c r="F5" s="165" t="s">
        <v>236</v>
      </c>
      <c r="G5" s="165">
        <v>306.14</v>
      </c>
      <c r="H5" s="165">
        <v>0</v>
      </c>
      <c r="I5" s="165">
        <v>0</v>
      </c>
      <c r="J5" s="165">
        <v>1006.83</v>
      </c>
      <c r="K5" s="165" t="s">
        <v>239</v>
      </c>
      <c r="L5" s="165">
        <v>24.51</v>
      </c>
      <c r="M5" s="165">
        <v>1483351200</v>
      </c>
      <c r="N5" s="165">
        <v>5.03</v>
      </c>
      <c r="O5" s="165">
        <v>255</v>
      </c>
      <c r="P5" s="165">
        <v>1.8</v>
      </c>
      <c r="Q5"/>
      <c r="R5"/>
    </row>
    <row r="6" spans="1:18" x14ac:dyDescent="0.25">
      <c r="A6" s="165">
        <v>24.02</v>
      </c>
      <c r="B6" s="165">
        <v>0.42</v>
      </c>
      <c r="C6" s="165">
        <v>15.45</v>
      </c>
      <c r="D6" s="8">
        <v>42737.166666666664</v>
      </c>
      <c r="E6" s="165">
        <v>0.69</v>
      </c>
      <c r="F6" s="165" t="s">
        <v>236</v>
      </c>
      <c r="G6" s="165">
        <v>306.38</v>
      </c>
      <c r="H6" s="165">
        <v>0</v>
      </c>
      <c r="I6" s="165">
        <v>0</v>
      </c>
      <c r="J6" s="165">
        <v>1007.4</v>
      </c>
      <c r="K6" s="165" t="s">
        <v>239</v>
      </c>
      <c r="L6" s="165">
        <v>24.02</v>
      </c>
      <c r="M6" s="165">
        <v>1483354800</v>
      </c>
      <c r="N6" s="165">
        <v>5.23</v>
      </c>
      <c r="O6" s="165">
        <v>225</v>
      </c>
      <c r="P6" s="165">
        <v>1.82</v>
      </c>
      <c r="Q6"/>
      <c r="R6"/>
    </row>
    <row r="7" spans="1:18" x14ac:dyDescent="0.25">
      <c r="A7" s="165">
        <v>23.5</v>
      </c>
      <c r="B7" s="165">
        <v>0.46</v>
      </c>
      <c r="C7" s="165">
        <v>14.91</v>
      </c>
      <c r="D7" s="8">
        <v>42737.208333333336</v>
      </c>
      <c r="E7" s="165">
        <v>0.69</v>
      </c>
      <c r="F7" s="165" t="s">
        <v>236</v>
      </c>
      <c r="G7" s="165">
        <v>307.68</v>
      </c>
      <c r="H7" s="165">
        <v>0</v>
      </c>
      <c r="I7" s="165">
        <v>0</v>
      </c>
      <c r="J7" s="165">
        <v>1007.95</v>
      </c>
      <c r="K7" s="165" t="s">
        <v>239</v>
      </c>
      <c r="L7" s="165">
        <v>23.5</v>
      </c>
      <c r="M7" s="165">
        <v>1483358400</v>
      </c>
      <c r="N7" s="165">
        <v>6.82</v>
      </c>
      <c r="O7" s="165">
        <v>215</v>
      </c>
      <c r="P7" s="165">
        <v>2.1800000000000002</v>
      </c>
      <c r="Q7"/>
      <c r="R7"/>
    </row>
    <row r="8" spans="1:18" x14ac:dyDescent="0.25">
      <c r="A8" s="165">
        <v>20.61</v>
      </c>
      <c r="B8" s="165">
        <v>0.44</v>
      </c>
      <c r="C8" s="165">
        <v>15.76</v>
      </c>
      <c r="D8" s="8">
        <v>42737.25</v>
      </c>
      <c r="E8" s="165">
        <v>0.69</v>
      </c>
      <c r="F8" s="165" t="s">
        <v>236</v>
      </c>
      <c r="G8" s="165">
        <v>311.26</v>
      </c>
      <c r="H8" s="165">
        <v>0</v>
      </c>
      <c r="I8" s="165">
        <v>0</v>
      </c>
      <c r="J8" s="165">
        <v>1008.61</v>
      </c>
      <c r="K8" s="165" t="s">
        <v>239</v>
      </c>
      <c r="L8" s="165">
        <v>24.35</v>
      </c>
      <c r="M8" s="165">
        <v>1483362000</v>
      </c>
      <c r="N8" s="165">
        <v>6.2</v>
      </c>
      <c r="O8" s="165">
        <v>202</v>
      </c>
      <c r="P8" s="165">
        <v>3.04</v>
      </c>
      <c r="Q8"/>
      <c r="R8"/>
    </row>
    <row r="9" spans="1:18" x14ac:dyDescent="0.25">
      <c r="A9" s="165">
        <v>19.18</v>
      </c>
      <c r="B9" s="165">
        <v>0.37</v>
      </c>
      <c r="C9" s="165">
        <v>14.74</v>
      </c>
      <c r="D9" s="8">
        <v>42737.291666666664</v>
      </c>
      <c r="E9" s="165">
        <v>0.68</v>
      </c>
      <c r="F9" s="165" t="s">
        <v>236</v>
      </c>
      <c r="G9" s="165">
        <v>315.89999999999998</v>
      </c>
      <c r="H9" s="165">
        <v>0</v>
      </c>
      <c r="I9" s="165">
        <v>0</v>
      </c>
      <c r="J9" s="165">
        <v>1009.14</v>
      </c>
      <c r="K9" s="165" t="s">
        <v>239</v>
      </c>
      <c r="L9" s="165">
        <v>23.67</v>
      </c>
      <c r="M9" s="165">
        <v>1483365600</v>
      </c>
      <c r="N9" s="165">
        <v>5.26</v>
      </c>
      <c r="O9" s="165">
        <v>218</v>
      </c>
      <c r="P9" s="165">
        <v>3.47</v>
      </c>
      <c r="Q9"/>
      <c r="R9"/>
    </row>
    <row r="10" spans="1:18" x14ac:dyDescent="0.25">
      <c r="A10" s="165">
        <v>20.37</v>
      </c>
      <c r="B10" s="165">
        <v>0.32</v>
      </c>
      <c r="C10" s="165">
        <v>14.86</v>
      </c>
      <c r="D10" s="8">
        <v>42737.333333333336</v>
      </c>
      <c r="E10" s="165">
        <v>0.64</v>
      </c>
      <c r="F10" s="165" t="s">
        <v>337</v>
      </c>
      <c r="G10" s="165">
        <v>319.11</v>
      </c>
      <c r="H10" s="165">
        <v>0</v>
      </c>
      <c r="I10" s="165">
        <v>0</v>
      </c>
      <c r="J10" s="165">
        <v>1009.04</v>
      </c>
      <c r="K10" s="165" t="s">
        <v>239</v>
      </c>
      <c r="L10" s="165">
        <v>25.24</v>
      </c>
      <c r="M10" s="165">
        <v>1483369200</v>
      </c>
      <c r="N10" s="165">
        <v>4.8899999999999997</v>
      </c>
      <c r="O10" s="165">
        <v>226</v>
      </c>
      <c r="P10" s="165">
        <v>3.92</v>
      </c>
      <c r="Q10"/>
      <c r="R10"/>
    </row>
    <row r="11" spans="1:18" x14ac:dyDescent="0.25">
      <c r="A11" s="165">
        <v>26.93</v>
      </c>
      <c r="B11" s="165">
        <v>0.32</v>
      </c>
      <c r="C11" s="165">
        <v>17.38</v>
      </c>
      <c r="D11" s="8">
        <v>42737.375</v>
      </c>
      <c r="E11" s="165">
        <v>0.54</v>
      </c>
      <c r="F11" s="165" t="s">
        <v>337</v>
      </c>
      <c r="G11" s="165">
        <v>319.63</v>
      </c>
      <c r="H11" s="165">
        <v>0</v>
      </c>
      <c r="I11" s="165">
        <v>0</v>
      </c>
      <c r="J11" s="165">
        <v>1007.94</v>
      </c>
      <c r="K11" s="165" t="s">
        <v>239</v>
      </c>
      <c r="L11" s="165">
        <v>32.130000000000003</v>
      </c>
      <c r="M11" s="165">
        <v>1483372800</v>
      </c>
      <c r="N11" s="165">
        <v>4.7699999999999996</v>
      </c>
      <c r="O11" s="165">
        <v>229</v>
      </c>
      <c r="P11" s="165">
        <v>5.34</v>
      </c>
      <c r="Q11"/>
      <c r="R11"/>
    </row>
    <row r="12" spans="1:18" x14ac:dyDescent="0.25">
      <c r="A12" s="165">
        <v>32.369999999999997</v>
      </c>
      <c r="B12" s="165">
        <v>0.32</v>
      </c>
      <c r="C12" s="165">
        <v>17.97</v>
      </c>
      <c r="D12" s="8">
        <v>42737.416666666664</v>
      </c>
      <c r="E12" s="165">
        <v>0.46</v>
      </c>
      <c r="F12" s="165" t="s">
        <v>337</v>
      </c>
      <c r="G12" s="165">
        <v>318.72000000000003</v>
      </c>
      <c r="H12" s="165">
        <v>0</v>
      </c>
      <c r="I12" s="165">
        <v>0</v>
      </c>
      <c r="J12" s="165">
        <v>1007.02</v>
      </c>
      <c r="K12" s="165" t="s">
        <v>239</v>
      </c>
      <c r="L12" s="165">
        <v>36.94</v>
      </c>
      <c r="M12" s="165">
        <v>1483376400</v>
      </c>
      <c r="N12" s="165">
        <v>4.78</v>
      </c>
      <c r="O12" s="165">
        <v>223</v>
      </c>
      <c r="P12" s="165">
        <v>5.64</v>
      </c>
      <c r="Q12"/>
      <c r="R12"/>
    </row>
    <row r="13" spans="1:18" x14ac:dyDescent="0.25">
      <c r="A13" s="165">
        <v>40.53</v>
      </c>
      <c r="B13" s="165">
        <v>0.35</v>
      </c>
      <c r="C13" s="165">
        <v>16.940000000000001</v>
      </c>
      <c r="D13" s="8">
        <v>42737.458333333336</v>
      </c>
      <c r="E13" s="165">
        <v>0.33</v>
      </c>
      <c r="F13" s="165" t="s">
        <v>337</v>
      </c>
      <c r="G13" s="165">
        <v>317.70999999999998</v>
      </c>
      <c r="H13" s="165">
        <v>0</v>
      </c>
      <c r="I13" s="165">
        <v>0</v>
      </c>
      <c r="J13" s="165">
        <v>1006.31</v>
      </c>
      <c r="K13" s="165" t="s">
        <v>239</v>
      </c>
      <c r="L13" s="165">
        <v>43.98</v>
      </c>
      <c r="M13" s="165">
        <v>1483380000</v>
      </c>
      <c r="N13" s="165">
        <v>4.84</v>
      </c>
      <c r="O13" s="165">
        <v>227</v>
      </c>
      <c r="P13" s="165">
        <v>5.94</v>
      </c>
      <c r="Q13"/>
      <c r="R13"/>
    </row>
    <row r="14" spans="1:18" x14ac:dyDescent="0.25">
      <c r="A14" s="165">
        <v>44.49</v>
      </c>
      <c r="B14" s="165">
        <v>0.42</v>
      </c>
      <c r="C14" s="165">
        <v>16.28</v>
      </c>
      <c r="D14" s="8">
        <v>42737.5</v>
      </c>
      <c r="E14" s="165">
        <v>0.3</v>
      </c>
      <c r="F14" s="165" t="s">
        <v>337</v>
      </c>
      <c r="G14" s="165">
        <v>317.06</v>
      </c>
      <c r="H14" s="165">
        <v>0</v>
      </c>
      <c r="I14" s="165">
        <v>0</v>
      </c>
      <c r="J14" s="165">
        <v>1006.39</v>
      </c>
      <c r="K14" s="165" t="s">
        <v>239</v>
      </c>
      <c r="L14" s="165">
        <v>45.74</v>
      </c>
      <c r="M14" s="165">
        <v>1483383600</v>
      </c>
      <c r="N14" s="165">
        <v>4.9000000000000004</v>
      </c>
      <c r="O14" s="165">
        <v>255</v>
      </c>
      <c r="P14" s="165">
        <v>3.38</v>
      </c>
      <c r="Q14"/>
      <c r="R14"/>
    </row>
    <row r="15" spans="1:18" x14ac:dyDescent="0.25">
      <c r="A15" s="165">
        <v>44.11</v>
      </c>
      <c r="B15" s="165">
        <v>0.49</v>
      </c>
      <c r="C15" s="165">
        <v>19.600000000000001</v>
      </c>
      <c r="D15" s="8">
        <v>42737.541666666664</v>
      </c>
      <c r="E15" s="165">
        <v>0.36</v>
      </c>
      <c r="F15" s="165" t="s">
        <v>337</v>
      </c>
      <c r="G15" s="165">
        <v>316.33</v>
      </c>
      <c r="H15" s="165">
        <v>0</v>
      </c>
      <c r="I15" s="165">
        <v>0</v>
      </c>
      <c r="J15" s="165">
        <v>1006.98</v>
      </c>
      <c r="K15" s="165" t="s">
        <v>239</v>
      </c>
      <c r="L15" s="165">
        <v>45.19</v>
      </c>
      <c r="M15" s="165">
        <v>1483387200</v>
      </c>
      <c r="N15" s="165">
        <v>4.97</v>
      </c>
      <c r="O15" s="165">
        <v>342</v>
      </c>
      <c r="P15" s="165">
        <v>3.12</v>
      </c>
      <c r="Q15"/>
      <c r="R15"/>
    </row>
    <row r="16" spans="1:18" x14ac:dyDescent="0.25">
      <c r="A16" s="165">
        <v>37.270000000000003</v>
      </c>
      <c r="B16" s="165">
        <v>0.54</v>
      </c>
      <c r="C16" s="165">
        <v>18.170000000000002</v>
      </c>
      <c r="D16" s="8">
        <v>42737.583333333336</v>
      </c>
      <c r="E16" s="165">
        <v>0.42</v>
      </c>
      <c r="F16" s="165" t="s">
        <v>337</v>
      </c>
      <c r="G16" s="165">
        <v>315.45999999999998</v>
      </c>
      <c r="H16" s="165">
        <v>0</v>
      </c>
      <c r="I16" s="165">
        <v>0</v>
      </c>
      <c r="J16" s="165">
        <v>1007.91</v>
      </c>
      <c r="K16" s="165" t="s">
        <v>239</v>
      </c>
      <c r="L16" s="165">
        <v>39.590000000000003</v>
      </c>
      <c r="M16" s="165">
        <v>1483390800</v>
      </c>
      <c r="N16" s="165">
        <v>5.0599999999999996</v>
      </c>
      <c r="O16" s="165">
        <v>23</v>
      </c>
      <c r="P16" s="165">
        <v>3.57</v>
      </c>
      <c r="Q16"/>
      <c r="R16"/>
    </row>
    <row r="17" spans="1:18" x14ac:dyDescent="0.25">
      <c r="A17" s="165">
        <v>31.68</v>
      </c>
      <c r="B17" s="165">
        <v>0.56000000000000005</v>
      </c>
      <c r="C17" s="165">
        <v>21.47</v>
      </c>
      <c r="D17" s="8">
        <v>42737.625</v>
      </c>
      <c r="E17" s="165">
        <v>0.55000000000000004</v>
      </c>
      <c r="F17" s="165" t="s">
        <v>337</v>
      </c>
      <c r="G17" s="165">
        <v>314.06</v>
      </c>
      <c r="H17" s="165">
        <v>0</v>
      </c>
      <c r="I17" s="165">
        <v>0</v>
      </c>
      <c r="J17" s="165">
        <v>1009.66</v>
      </c>
      <c r="K17" s="165" t="s">
        <v>239</v>
      </c>
      <c r="L17" s="165">
        <v>36.270000000000003</v>
      </c>
      <c r="M17" s="165">
        <v>1483394400</v>
      </c>
      <c r="N17" s="165">
        <v>5.22</v>
      </c>
      <c r="O17" s="165">
        <v>38</v>
      </c>
      <c r="P17" s="165">
        <v>5.51</v>
      </c>
      <c r="Q17"/>
      <c r="R17"/>
    </row>
    <row r="18" spans="1:18" x14ac:dyDescent="0.25">
      <c r="A18" s="165">
        <v>28.44</v>
      </c>
      <c r="B18" s="165">
        <v>0.57999999999999996</v>
      </c>
      <c r="C18" s="165">
        <v>20.69</v>
      </c>
      <c r="D18" s="8">
        <v>42737.666666666664</v>
      </c>
      <c r="E18" s="165">
        <v>0.61</v>
      </c>
      <c r="F18" s="165" t="s">
        <v>337</v>
      </c>
      <c r="G18" s="165">
        <v>312.52999999999997</v>
      </c>
      <c r="H18" s="165">
        <v>0</v>
      </c>
      <c r="I18" s="165">
        <v>0</v>
      </c>
      <c r="J18" s="165">
        <v>1012.05</v>
      </c>
      <c r="K18" s="165" t="s">
        <v>239</v>
      </c>
      <c r="L18" s="165">
        <v>32.72</v>
      </c>
      <c r="M18" s="165">
        <v>1483398000</v>
      </c>
      <c r="N18" s="165">
        <v>7.71</v>
      </c>
      <c r="O18" s="165">
        <v>89</v>
      </c>
      <c r="P18" s="165">
        <v>4.46</v>
      </c>
      <c r="Q18"/>
      <c r="R18"/>
    </row>
    <row r="19" spans="1:18" x14ac:dyDescent="0.25">
      <c r="A19" s="165">
        <v>26.68</v>
      </c>
      <c r="B19" s="165">
        <v>0.51</v>
      </c>
      <c r="C19" s="165">
        <v>21.13</v>
      </c>
      <c r="D19" s="8">
        <v>42737.708333333336</v>
      </c>
      <c r="E19" s="165">
        <v>0.67</v>
      </c>
      <c r="F19" s="165" t="s">
        <v>236</v>
      </c>
      <c r="G19" s="165">
        <v>312.11</v>
      </c>
      <c r="H19" s="165">
        <v>0</v>
      </c>
      <c r="I19" s="165">
        <v>0</v>
      </c>
      <c r="J19" s="165">
        <v>1014.4</v>
      </c>
      <c r="K19" s="165" t="s">
        <v>239</v>
      </c>
      <c r="L19" s="165">
        <v>30.62</v>
      </c>
      <c r="M19" s="165">
        <v>1483401600</v>
      </c>
      <c r="N19" s="165">
        <v>7.63</v>
      </c>
      <c r="O19" s="165">
        <v>88</v>
      </c>
      <c r="P19" s="165">
        <v>3.83</v>
      </c>
      <c r="Q19"/>
      <c r="R19"/>
    </row>
    <row r="20" spans="1:18" x14ac:dyDescent="0.25">
      <c r="A20" s="165">
        <v>24.53</v>
      </c>
      <c r="B20" s="165">
        <v>0.42</v>
      </c>
      <c r="C20" s="165">
        <v>21.23</v>
      </c>
      <c r="D20" s="8">
        <v>42737.75</v>
      </c>
      <c r="E20" s="165">
        <v>0.72</v>
      </c>
      <c r="F20" s="165" t="s">
        <v>236</v>
      </c>
      <c r="G20" s="165">
        <v>313.64</v>
      </c>
      <c r="H20" s="165">
        <v>0</v>
      </c>
      <c r="I20" s="165">
        <v>0</v>
      </c>
      <c r="J20" s="165">
        <v>1016.39</v>
      </c>
      <c r="K20" s="165" t="s">
        <v>239</v>
      </c>
      <c r="L20" s="165">
        <v>29.13</v>
      </c>
      <c r="M20" s="165">
        <v>1483405200</v>
      </c>
      <c r="N20" s="165">
        <v>7.67</v>
      </c>
      <c r="O20" s="165">
        <v>94</v>
      </c>
      <c r="P20" s="165">
        <v>4.2</v>
      </c>
      <c r="Q20"/>
      <c r="R20"/>
    </row>
    <row r="21" spans="1:18" x14ac:dyDescent="0.25">
      <c r="A21" s="165">
        <v>22.24</v>
      </c>
      <c r="B21" s="165">
        <v>0.43</v>
      </c>
      <c r="C21" s="165">
        <v>20.59</v>
      </c>
      <c r="D21" s="8">
        <v>42737.791666666664</v>
      </c>
      <c r="E21" s="165">
        <v>0.75</v>
      </c>
      <c r="F21" s="165" t="s">
        <v>236</v>
      </c>
      <c r="G21" s="165">
        <v>316.27</v>
      </c>
      <c r="H21" s="165">
        <v>0</v>
      </c>
      <c r="I21" s="165">
        <v>0</v>
      </c>
      <c r="J21" s="165">
        <v>1018.01</v>
      </c>
      <c r="K21" s="165" t="s">
        <v>239</v>
      </c>
      <c r="L21" s="165">
        <v>27.56</v>
      </c>
      <c r="M21" s="165">
        <v>1483408800</v>
      </c>
      <c r="N21" s="165">
        <v>7.22</v>
      </c>
      <c r="O21" s="165">
        <v>78</v>
      </c>
      <c r="P21" s="165">
        <v>4.63</v>
      </c>
      <c r="Q21"/>
      <c r="R21"/>
    </row>
    <row r="22" spans="1:18" x14ac:dyDescent="0.25">
      <c r="A22" s="165">
        <v>20.54</v>
      </c>
      <c r="B22" s="165">
        <v>0.47</v>
      </c>
      <c r="C22" s="165">
        <v>19.38</v>
      </c>
      <c r="D22" s="8">
        <v>42737.833333333336</v>
      </c>
      <c r="E22" s="165">
        <v>0.77</v>
      </c>
      <c r="F22" s="165" t="s">
        <v>236</v>
      </c>
      <c r="G22" s="165">
        <v>318.69</v>
      </c>
      <c r="H22" s="165">
        <v>0</v>
      </c>
      <c r="I22" s="165">
        <v>0</v>
      </c>
      <c r="J22" s="165">
        <v>1019.35</v>
      </c>
      <c r="K22" s="165" t="s">
        <v>239</v>
      </c>
      <c r="L22" s="165">
        <v>25.59</v>
      </c>
      <c r="M22" s="165">
        <v>1483412400</v>
      </c>
      <c r="N22" s="165">
        <v>6.34</v>
      </c>
      <c r="O22" s="165">
        <v>76</v>
      </c>
      <c r="P22" s="165">
        <v>4.1100000000000003</v>
      </c>
      <c r="Q22"/>
      <c r="R22"/>
    </row>
    <row r="23" spans="1:18" x14ac:dyDescent="0.25">
      <c r="A23" s="165">
        <v>18.87</v>
      </c>
      <c r="B23" s="165">
        <v>0.59</v>
      </c>
      <c r="C23" s="165">
        <v>18.36</v>
      </c>
      <c r="D23" s="8">
        <v>42737.875</v>
      </c>
      <c r="E23" s="165">
        <v>0.78</v>
      </c>
      <c r="F23" s="165" t="s">
        <v>236</v>
      </c>
      <c r="G23" s="165">
        <v>320.64</v>
      </c>
      <c r="H23" s="165">
        <v>0</v>
      </c>
      <c r="I23" s="165">
        <v>0</v>
      </c>
      <c r="J23" s="165">
        <v>1020.51</v>
      </c>
      <c r="K23" s="165" t="s">
        <v>239</v>
      </c>
      <c r="L23" s="165">
        <v>24.22</v>
      </c>
      <c r="M23" s="165">
        <v>1483416000</v>
      </c>
      <c r="N23" s="165">
        <v>5.31</v>
      </c>
      <c r="O23" s="165">
        <v>70</v>
      </c>
      <c r="P23" s="165">
        <v>4.18</v>
      </c>
      <c r="Q23"/>
      <c r="R23"/>
    </row>
    <row r="24" spans="1:18" x14ac:dyDescent="0.25">
      <c r="A24" s="165">
        <v>18.29</v>
      </c>
      <c r="B24" s="165">
        <v>0.69</v>
      </c>
      <c r="C24" s="165">
        <v>18.16</v>
      </c>
      <c r="D24" s="8">
        <v>42737.916666666664</v>
      </c>
      <c r="E24" s="165">
        <v>0.81</v>
      </c>
      <c r="F24" s="165" t="s">
        <v>236</v>
      </c>
      <c r="G24" s="165">
        <v>322.37</v>
      </c>
      <c r="H24" s="165">
        <v>0</v>
      </c>
      <c r="I24" s="165">
        <v>0</v>
      </c>
      <c r="J24" s="165">
        <v>1021.41</v>
      </c>
      <c r="K24" s="165" t="s">
        <v>402</v>
      </c>
      <c r="L24" s="165">
        <v>23.02</v>
      </c>
      <c r="M24" s="165">
        <v>1483419600</v>
      </c>
      <c r="N24" s="165">
        <v>5.22</v>
      </c>
      <c r="O24" s="165">
        <v>68</v>
      </c>
      <c r="P24" s="165">
        <v>3.56</v>
      </c>
      <c r="Q24"/>
      <c r="R24"/>
    </row>
    <row r="25" spans="1:18" x14ac:dyDescent="0.25">
      <c r="A25" s="165">
        <v>17.170000000000002</v>
      </c>
      <c r="B25" s="165">
        <v>0.7</v>
      </c>
      <c r="C25" s="165">
        <v>16.86</v>
      </c>
      <c r="D25" s="8">
        <v>42737.958333333336</v>
      </c>
      <c r="E25" s="165">
        <v>0.81</v>
      </c>
      <c r="F25" s="165" t="s">
        <v>236</v>
      </c>
      <c r="G25" s="165">
        <v>323.39</v>
      </c>
      <c r="H25" s="165">
        <v>0</v>
      </c>
      <c r="I25" s="165">
        <v>0</v>
      </c>
      <c r="J25" s="165">
        <v>1022.02</v>
      </c>
      <c r="K25" s="165" t="s">
        <v>402</v>
      </c>
      <c r="L25" s="165">
        <v>21.73</v>
      </c>
      <c r="M25" s="165">
        <v>1483423200</v>
      </c>
      <c r="N25" s="165">
        <v>5.39</v>
      </c>
      <c r="O25" s="165">
        <v>64</v>
      </c>
      <c r="P25" s="165">
        <v>3.33</v>
      </c>
      <c r="Q25"/>
      <c r="R25"/>
    </row>
    <row r="26" spans="1:18" x14ac:dyDescent="0.25">
      <c r="A26" s="165">
        <v>15.45</v>
      </c>
      <c r="B26" s="165">
        <v>0.71</v>
      </c>
      <c r="C26" s="165">
        <v>15.16</v>
      </c>
      <c r="D26" s="8">
        <v>42738</v>
      </c>
      <c r="E26" s="165">
        <v>0.8</v>
      </c>
      <c r="F26" s="165" t="s">
        <v>236</v>
      </c>
      <c r="G26" s="165">
        <v>322.82</v>
      </c>
      <c r="H26" s="165">
        <v>0</v>
      </c>
      <c r="I26" s="165">
        <v>0</v>
      </c>
      <c r="J26" s="165">
        <v>1022</v>
      </c>
      <c r="K26" s="165" t="s">
        <v>402</v>
      </c>
      <c r="L26" s="165">
        <v>20.41</v>
      </c>
      <c r="M26" s="165">
        <v>1483426800</v>
      </c>
      <c r="N26" s="165">
        <v>5.08</v>
      </c>
      <c r="O26" s="165">
        <v>52</v>
      </c>
      <c r="P26" s="165">
        <v>3.47</v>
      </c>
      <c r="Q26"/>
      <c r="R26"/>
    </row>
    <row r="27" spans="1:18" x14ac:dyDescent="0.25">
      <c r="A27" s="165">
        <v>13.47</v>
      </c>
      <c r="B27" s="165">
        <v>0.73</v>
      </c>
      <c r="C27" s="165">
        <v>12.79</v>
      </c>
      <c r="D27" s="8">
        <v>42738.041666666664</v>
      </c>
      <c r="E27" s="165">
        <v>0.78</v>
      </c>
      <c r="F27" s="165" t="s">
        <v>236</v>
      </c>
      <c r="G27" s="165">
        <v>322.24</v>
      </c>
      <c r="H27" s="165">
        <v>0</v>
      </c>
      <c r="I27" s="165">
        <v>0</v>
      </c>
      <c r="J27" s="165">
        <v>1022.02</v>
      </c>
      <c r="K27" s="165" t="s">
        <v>402</v>
      </c>
      <c r="L27" s="165">
        <v>18.45</v>
      </c>
      <c r="M27" s="165">
        <v>1483430400</v>
      </c>
      <c r="N27" s="165">
        <v>5.0999999999999996</v>
      </c>
      <c r="O27" s="165">
        <v>36</v>
      </c>
      <c r="P27" s="165">
        <v>3.31</v>
      </c>
      <c r="Q27"/>
      <c r="R27"/>
    </row>
    <row r="28" spans="1:18" x14ac:dyDescent="0.25">
      <c r="A28" s="165">
        <v>10.97</v>
      </c>
      <c r="B28" s="165">
        <v>0.75</v>
      </c>
      <c r="C28" s="165">
        <v>11.13</v>
      </c>
      <c r="D28" s="8">
        <v>42738.083333333336</v>
      </c>
      <c r="E28" s="165">
        <v>0.76</v>
      </c>
      <c r="F28" s="165" t="s">
        <v>236</v>
      </c>
      <c r="G28" s="165">
        <v>321.67</v>
      </c>
      <c r="H28" s="165">
        <v>0</v>
      </c>
      <c r="I28" s="165">
        <v>0</v>
      </c>
      <c r="J28" s="165">
        <v>1022.04</v>
      </c>
      <c r="K28" s="165" t="s">
        <v>402</v>
      </c>
      <c r="L28" s="165">
        <v>17.32</v>
      </c>
      <c r="M28" s="165">
        <v>1483434000</v>
      </c>
      <c r="N28" s="165">
        <v>4.08</v>
      </c>
      <c r="O28" s="165">
        <v>19</v>
      </c>
      <c r="P28" s="165">
        <v>4.0999999999999996</v>
      </c>
      <c r="Q28"/>
      <c r="R28"/>
    </row>
    <row r="29" spans="1:18" x14ac:dyDescent="0.25">
      <c r="A29" s="165">
        <v>15.85</v>
      </c>
      <c r="B29" s="165">
        <v>0.74</v>
      </c>
      <c r="C29" s="165">
        <v>10.23</v>
      </c>
      <c r="D29" s="8">
        <v>42738.125</v>
      </c>
      <c r="E29" s="165">
        <v>0.78</v>
      </c>
      <c r="F29" s="165" t="s">
        <v>236</v>
      </c>
      <c r="G29" s="165">
        <v>319.04000000000002</v>
      </c>
      <c r="H29" s="165">
        <v>0</v>
      </c>
      <c r="I29" s="165">
        <v>0</v>
      </c>
      <c r="J29" s="165">
        <v>1022.92</v>
      </c>
      <c r="K29" s="165" t="s">
        <v>402</v>
      </c>
      <c r="L29" s="165">
        <v>15.85</v>
      </c>
      <c r="M29" s="165">
        <v>1483437600</v>
      </c>
      <c r="N29" s="165">
        <v>4.88</v>
      </c>
      <c r="O29" s="165">
        <v>29</v>
      </c>
      <c r="P29" s="165">
        <v>2.84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200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1"/>
  <sheetViews>
    <sheetView workbookViewId="0">
      <selection activeCell="Q7" sqref="Q7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42737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201</v>
      </c>
      <c r="J17" s="186"/>
      <c r="K17" s="187"/>
      <c r="L17" s="187"/>
    </row>
    <row r="18" spans="3:13" x14ac:dyDescent="0.25">
      <c r="C18" t="s">
        <v>806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807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808</v>
      </c>
      <c r="J20" s="165" t="s">
        <v>87</v>
      </c>
      <c r="M20" s="165" t="s">
        <v>379</v>
      </c>
    </row>
    <row r="21" spans="3:13" x14ac:dyDescent="0.25">
      <c r="C21" t="s">
        <v>809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810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811</v>
      </c>
      <c r="J23" s="188" t="s">
        <v>95</v>
      </c>
      <c r="M23" s="165">
        <v>-7</v>
      </c>
    </row>
    <row r="24" spans="3:13" x14ac:dyDescent="0.25">
      <c r="C24" t="s">
        <v>812</v>
      </c>
      <c r="J24" s="165" t="s">
        <v>108</v>
      </c>
      <c r="M24" s="165" t="s">
        <v>110</v>
      </c>
    </row>
    <row r="25" spans="3:13" x14ac:dyDescent="0.25">
      <c r="C25" t="s">
        <v>813</v>
      </c>
      <c r="J25" s="165" t="s">
        <v>151</v>
      </c>
      <c r="M25" s="165" t="b">
        <v>1</v>
      </c>
    </row>
    <row r="26" spans="3:13" x14ac:dyDescent="0.25">
      <c r="C26" t="s">
        <v>814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C:\Users\stu\Documents\GitHub\eaglep3-reporting\EC\2017-01-02-refined-times.txt</v>
      </c>
    </row>
    <row r="27" spans="3:13" x14ac:dyDescent="0.25">
      <c r="C27" t="s">
        <v>815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C:\Users\stu\Documents\GitHub\eaglep3-reporting\EC\2017-01-02-Enforcements.txt</v>
      </c>
    </row>
    <row r="28" spans="3:13" x14ac:dyDescent="0.25">
      <c r="C28" t="s">
        <v>816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C:\Users\stu\Documents\GitHub\eaglep3-reporting\EC\2017-01-02-Runs-refined.txt</v>
      </c>
    </row>
    <row r="29" spans="3:13" x14ac:dyDescent="0.25">
      <c r="C29" t="s">
        <v>817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C:\Users\stu\Documents\GitHub\eaglep3-reporting\EC\2017-01-02-Trips.txt</v>
      </c>
    </row>
    <row r="30" spans="3:13" x14ac:dyDescent="0.25">
      <c r="C30" t="s">
        <v>818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C:\Users\stu\Documents\GitHub\eaglep3-reporting\EC\2017-01-02-Weather.txt</v>
      </c>
    </row>
    <row r="31" spans="3:13" x14ac:dyDescent="0.25">
      <c r="J31" s="165" t="s">
        <v>377</v>
      </c>
      <c r="M31" s="165" t="s">
        <v>378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206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825</v>
      </c>
      <c r="B1" t="str">
        <f t="shared" ref="B1:B52" si="0">MID(A1,6,23)</f>
        <v>2017/01/02 12:27:41.528</v>
      </c>
      <c r="C1" t="e">
        <f>ABS(B1-#REF!)</f>
        <v>#REF!</v>
      </c>
    </row>
    <row r="2" spans="1:3" x14ac:dyDescent="0.25">
      <c r="A2" t="s">
        <v>826</v>
      </c>
      <c r="B2" s="21" t="str">
        <f t="shared" si="0"/>
        <v>2017/01/02 12:27:42.008</v>
      </c>
      <c r="C2">
        <f>ABS(B2-B1)</f>
        <v>5.5555574363097548E-6</v>
      </c>
    </row>
    <row r="3" spans="1:3" x14ac:dyDescent="0.25">
      <c r="A3" t="s">
        <v>827</v>
      </c>
      <c r="B3" s="21" t="str">
        <f t="shared" si="0"/>
        <v>2017/01/02 12:27:42.077</v>
      </c>
      <c r="C3" s="21">
        <f t="shared" ref="C3:C52" si="1">ABS(B3-B2)</f>
        <v>7.9860910773277283E-7</v>
      </c>
    </row>
    <row r="4" spans="1:3" x14ac:dyDescent="0.25">
      <c r="A4" t="s">
        <v>828</v>
      </c>
      <c r="B4" s="21" t="str">
        <f t="shared" si="0"/>
        <v>2017/01/02 12:51:04.673</v>
      </c>
      <c r="C4" s="21">
        <f t="shared" si="1"/>
        <v>1.6233750000537839E-2</v>
      </c>
    </row>
    <row r="5" spans="1:3" x14ac:dyDescent="0.25">
      <c r="A5" t="s">
        <v>829</v>
      </c>
      <c r="B5" s="21" t="str">
        <f t="shared" si="0"/>
        <v>2017/01/02 12:51:04.689</v>
      </c>
      <c r="C5" s="21">
        <f t="shared" si="1"/>
        <v>1.8518767319619656E-7</v>
      </c>
    </row>
    <row r="6" spans="1:3" x14ac:dyDescent="0.25">
      <c r="A6" t="s">
        <v>830</v>
      </c>
      <c r="B6" s="21" t="str">
        <f t="shared" si="0"/>
        <v>2017/01/02 12:51:45.673</v>
      </c>
      <c r="C6" s="21">
        <f t="shared" si="1"/>
        <v>4.7435185115318745E-4</v>
      </c>
    </row>
    <row r="7" spans="1:3" x14ac:dyDescent="0.25">
      <c r="A7" t="s">
        <v>831</v>
      </c>
      <c r="B7" s="21" t="str">
        <f t="shared" si="0"/>
        <v>2017/01/02 12:51:45.690</v>
      </c>
      <c r="C7" s="21">
        <f t="shared" si="1"/>
        <v>1.967564458027482E-7</v>
      </c>
    </row>
    <row r="8" spans="1:3" x14ac:dyDescent="0.25">
      <c r="A8" t="s">
        <v>832</v>
      </c>
      <c r="B8" s="21" t="str">
        <f t="shared" si="0"/>
        <v>2017/01/02 13:06:56.778</v>
      </c>
      <c r="C8" s="21">
        <f t="shared" si="1"/>
        <v>1.0545000004640315E-2</v>
      </c>
    </row>
    <row r="9" spans="1:3" x14ac:dyDescent="0.25">
      <c r="A9" t="s">
        <v>833</v>
      </c>
      <c r="B9" s="21" t="str">
        <f t="shared" si="0"/>
        <v>2017/01/02 13:06:56.935</v>
      </c>
      <c r="C9" s="21">
        <f t="shared" si="1"/>
        <v>1.8171267583966255E-6</v>
      </c>
    </row>
    <row r="10" spans="1:3" x14ac:dyDescent="0.25">
      <c r="A10" t="s">
        <v>834</v>
      </c>
      <c r="B10" s="21" t="str">
        <f t="shared" si="0"/>
        <v>2017/01/02 14:09:01.775</v>
      </c>
      <c r="C10" s="21">
        <f t="shared" si="1"/>
        <v>4.3111574072099756E-2</v>
      </c>
    </row>
    <row r="11" spans="1:3" x14ac:dyDescent="0.25">
      <c r="A11" t="s">
        <v>835</v>
      </c>
      <c r="B11" s="21" t="str">
        <f t="shared" si="0"/>
        <v>2017/01/02 14:09:02.942</v>
      </c>
      <c r="C11" s="21">
        <f t="shared" si="1"/>
        <v>1.3506942195817828E-5</v>
      </c>
    </row>
    <row r="12" spans="1:3" x14ac:dyDescent="0.25">
      <c r="A12" t="s">
        <v>836</v>
      </c>
      <c r="B12" s="21" t="str">
        <f t="shared" si="0"/>
        <v>2017/01/02 14:27:20.530</v>
      </c>
      <c r="C12" s="21">
        <f t="shared" si="1"/>
        <v>1.2703564818366431E-2</v>
      </c>
    </row>
    <row r="13" spans="1:3" x14ac:dyDescent="0.25">
      <c r="A13" t="s">
        <v>837</v>
      </c>
      <c r="B13" s="21" t="str">
        <f t="shared" si="0"/>
        <v>2017/01/02 14:27:21.005</v>
      </c>
      <c r="C13" s="21">
        <f t="shared" si="1"/>
        <v>5.4976844694465399E-6</v>
      </c>
    </row>
    <row r="14" spans="1:3" x14ac:dyDescent="0.25">
      <c r="A14" t="s">
        <v>838</v>
      </c>
      <c r="B14" s="21" t="str">
        <f t="shared" si="0"/>
        <v>2017/01/02 14:27:21.071</v>
      </c>
      <c r="C14" s="21">
        <f t="shared" si="1"/>
        <v>7.6388823799788952E-7</v>
      </c>
    </row>
    <row r="15" spans="1:3" x14ac:dyDescent="0.25">
      <c r="A15" t="s">
        <v>839</v>
      </c>
      <c r="B15" s="21" t="str">
        <f t="shared" si="0"/>
        <v>2017/01/02 15:06:56.789</v>
      </c>
      <c r="C15" s="21">
        <f t="shared" si="1"/>
        <v>2.7496736111061182E-2</v>
      </c>
    </row>
    <row r="16" spans="1:3" x14ac:dyDescent="0.25">
      <c r="A16" t="s">
        <v>840</v>
      </c>
      <c r="B16" s="21" t="str">
        <f t="shared" si="0"/>
        <v>2017/01/02 15:06:56.946</v>
      </c>
      <c r="C16" s="21">
        <f t="shared" si="1"/>
        <v>1.8171340343542397E-6</v>
      </c>
    </row>
    <row r="17" spans="1:3" x14ac:dyDescent="0.25">
      <c r="A17" t="s">
        <v>841</v>
      </c>
      <c r="B17" s="21" t="str">
        <f t="shared" si="0"/>
        <v>2017/01/02 15:26:32.523</v>
      </c>
      <c r="C17" s="21">
        <f t="shared" si="1"/>
        <v>1.3606215274194255E-2</v>
      </c>
    </row>
    <row r="18" spans="1:3" x14ac:dyDescent="0.25">
      <c r="A18" t="s">
        <v>842</v>
      </c>
      <c r="B18" s="21" t="str">
        <f t="shared" si="0"/>
        <v>2017/01/02 15:26:33.010</v>
      </c>
      <c r="C18" s="21">
        <f t="shared" si="1"/>
        <v>5.6365752243436873E-6</v>
      </c>
    </row>
    <row r="19" spans="1:3" x14ac:dyDescent="0.25">
      <c r="A19" t="s">
        <v>843</v>
      </c>
      <c r="B19" s="21" t="str">
        <f t="shared" si="0"/>
        <v>2017/01/02 15:26:33.075</v>
      </c>
      <c r="C19" s="21">
        <f t="shared" si="1"/>
        <v>7.5231218943372369E-7</v>
      </c>
    </row>
    <row r="20" spans="1:3" x14ac:dyDescent="0.25">
      <c r="A20" t="s">
        <v>844</v>
      </c>
      <c r="B20" s="21" t="str">
        <f t="shared" si="0"/>
        <v>2017/01/02 17:23:11.446</v>
      </c>
      <c r="C20" s="21">
        <f t="shared" si="1"/>
        <v>8.0999664351111278E-2</v>
      </c>
    </row>
    <row r="21" spans="1:3" x14ac:dyDescent="0.25">
      <c r="A21" t="s">
        <v>845</v>
      </c>
      <c r="B21" s="21" t="str">
        <f t="shared" si="0"/>
        <v>2017/01/02 17:23:11.981</v>
      </c>
      <c r="C21" s="21">
        <f t="shared" si="1"/>
        <v>6.1921309679746628E-6</v>
      </c>
    </row>
    <row r="22" spans="1:3" x14ac:dyDescent="0.25">
      <c r="A22" t="s">
        <v>846</v>
      </c>
      <c r="B22" s="21" t="str">
        <f t="shared" si="0"/>
        <v>2017/01/02 17:23:12.100</v>
      </c>
      <c r="C22" s="21">
        <f t="shared" si="1"/>
        <v>1.37731694849208E-6</v>
      </c>
    </row>
    <row r="23" spans="1:3" x14ac:dyDescent="0.25">
      <c r="A23" t="s">
        <v>847</v>
      </c>
      <c r="B23" s="21" t="str">
        <f t="shared" si="0"/>
        <v>2017/01/02 18:53:52.954</v>
      </c>
      <c r="C23" s="21">
        <f t="shared" si="1"/>
        <v>6.2972847219498362E-2</v>
      </c>
    </row>
    <row r="24" spans="1:3" x14ac:dyDescent="0.25">
      <c r="A24" t="s">
        <v>848</v>
      </c>
      <c r="B24" s="21" t="str">
        <f t="shared" si="0"/>
        <v>2017/01/02 18:53:52.984</v>
      </c>
      <c r="C24" s="21">
        <f t="shared" si="1"/>
        <v>3.4722324926406145E-7</v>
      </c>
    </row>
    <row r="25" spans="1:3" x14ac:dyDescent="0.25">
      <c r="A25" t="s">
        <v>849</v>
      </c>
      <c r="B25" s="21" t="str">
        <f t="shared" si="0"/>
        <v>2017/01/02 18:53:53.055</v>
      </c>
      <c r="C25" s="21">
        <f t="shared" si="1"/>
        <v>8.2176120486110449E-7</v>
      </c>
    </row>
    <row r="26" spans="1:3" x14ac:dyDescent="0.25">
      <c r="A26" t="s">
        <v>850</v>
      </c>
      <c r="B26" s="21" t="str">
        <f t="shared" si="0"/>
        <v>2017/01/02 20:10:53.978</v>
      </c>
      <c r="C26" s="21">
        <f t="shared" si="1"/>
        <v>5.348290508845821E-2</v>
      </c>
    </row>
    <row r="27" spans="1:3" x14ac:dyDescent="0.25">
      <c r="A27" t="s">
        <v>851</v>
      </c>
      <c r="B27" s="21" t="str">
        <f t="shared" si="0"/>
        <v>2017/01/02 20:10:53.986</v>
      </c>
      <c r="C27" s="21">
        <f t="shared" si="1"/>
        <v>9.2593836598098278E-8</v>
      </c>
    </row>
    <row r="28" spans="1:3" x14ac:dyDescent="0.25">
      <c r="A28" t="s">
        <v>852</v>
      </c>
      <c r="B28" s="21" t="str">
        <f t="shared" si="0"/>
        <v>2017/01/02 20:10:54.070</v>
      </c>
      <c r="C28" s="21">
        <f t="shared" si="1"/>
        <v>9.7222073236480355E-7</v>
      </c>
    </row>
    <row r="29" spans="1:3" x14ac:dyDescent="0.25">
      <c r="A29" t="s">
        <v>853</v>
      </c>
      <c r="B29" s="21" t="str">
        <f t="shared" si="0"/>
        <v>2017/01/02 20:13:23.986</v>
      </c>
      <c r="C29" s="21">
        <f t="shared" si="1"/>
        <v>1.7351388887618668E-3</v>
      </c>
    </row>
    <row r="30" spans="1:3" x14ac:dyDescent="0.25">
      <c r="A30" t="s">
        <v>854</v>
      </c>
      <c r="B30" s="21" t="str">
        <f t="shared" si="0"/>
        <v>2017/01/02 22:22:04.704</v>
      </c>
      <c r="C30" s="21">
        <f t="shared" si="1"/>
        <v>8.936016204097541E-2</v>
      </c>
    </row>
    <row r="31" spans="1:3" x14ac:dyDescent="0.25">
      <c r="A31" t="s">
        <v>855</v>
      </c>
      <c r="B31" s="21" t="str">
        <f t="shared" si="0"/>
        <v>2017/01/02 22:22:04.768</v>
      </c>
      <c r="C31" s="21">
        <f t="shared" si="1"/>
        <v>7.4074341682717204E-7</v>
      </c>
    </row>
    <row r="32" spans="1:3" x14ac:dyDescent="0.25">
      <c r="A32" t="s">
        <v>856</v>
      </c>
      <c r="B32" s="21" t="str">
        <f t="shared" si="0"/>
        <v>2017/01/02 22:22:05.229</v>
      </c>
      <c r="C32" s="21">
        <f t="shared" si="1"/>
        <v>5.3356416174210608E-6</v>
      </c>
    </row>
    <row r="33" spans="1:3" x14ac:dyDescent="0.25">
      <c r="A33" t="s">
        <v>857</v>
      </c>
      <c r="B33" s="21" t="str">
        <f t="shared" si="0"/>
        <v>2017/01/02 22:36:21.719</v>
      </c>
      <c r="C33" s="21">
        <f t="shared" si="1"/>
        <v>9.9130787057220004E-3</v>
      </c>
    </row>
    <row r="34" spans="1:3" x14ac:dyDescent="0.25">
      <c r="A34" t="s">
        <v>858</v>
      </c>
      <c r="B34" s="21" t="str">
        <f t="shared" si="0"/>
        <v>2017/01/02 22:36:22.145</v>
      </c>
      <c r="C34" s="21">
        <f t="shared" si="1"/>
        <v>4.9305599532090127E-6</v>
      </c>
    </row>
    <row r="35" spans="1:3" x14ac:dyDescent="0.25">
      <c r="A35" t="s">
        <v>859</v>
      </c>
      <c r="B35" s="21" t="str">
        <f t="shared" si="0"/>
        <v>2017/01/02 22:36:22.579</v>
      </c>
      <c r="C35" s="21">
        <f t="shared" si="1"/>
        <v>5.0231465138494968E-6</v>
      </c>
    </row>
    <row r="36" spans="1:3" x14ac:dyDescent="0.25">
      <c r="A36" t="s">
        <v>860</v>
      </c>
      <c r="B36" s="21" t="str">
        <f t="shared" si="0"/>
        <v>2017/01/03 00:55:25.409</v>
      </c>
      <c r="C36" s="21">
        <f t="shared" si="1"/>
        <v>9.6560532409057487E-2</v>
      </c>
    </row>
    <row r="37" spans="1:3" x14ac:dyDescent="0.25">
      <c r="A37" t="s">
        <v>861</v>
      </c>
      <c r="B37" s="21" t="str">
        <f t="shared" si="0"/>
        <v>2017/01/03 00:55:25.665</v>
      </c>
      <c r="C37" s="21">
        <f t="shared" si="1"/>
        <v>2.9629591153934598E-6</v>
      </c>
    </row>
    <row r="38" spans="1:3" x14ac:dyDescent="0.25">
      <c r="A38" t="s">
        <v>862</v>
      </c>
      <c r="B38" s="21" t="str">
        <f t="shared" si="0"/>
        <v>2017/01/03 01:27:12.523</v>
      </c>
      <c r="C38" s="21">
        <f t="shared" si="1"/>
        <v>2.2070115745009389E-2</v>
      </c>
    </row>
    <row r="39" spans="1:3" x14ac:dyDescent="0.25">
      <c r="A39" t="s">
        <v>863</v>
      </c>
      <c r="B39" s="21" t="str">
        <f t="shared" si="0"/>
        <v>2017/01/03 01:27:13.009</v>
      </c>
      <c r="C39" s="21">
        <f t="shared" si="1"/>
        <v>5.6249991757795215E-6</v>
      </c>
    </row>
    <row r="40" spans="1:3" x14ac:dyDescent="0.25">
      <c r="A40" t="s">
        <v>864</v>
      </c>
      <c r="B40" s="21" t="str">
        <f t="shared" si="0"/>
        <v>2017/01/03 01:27:13.077</v>
      </c>
      <c r="C40" s="21">
        <f t="shared" si="1"/>
        <v>7.87033059168607E-7</v>
      </c>
    </row>
    <row r="41" spans="1:3" x14ac:dyDescent="0.25">
      <c r="A41" t="s">
        <v>865</v>
      </c>
      <c r="B41" s="21" t="str">
        <f t="shared" si="0"/>
        <v>2017/01/03 01:35:14.959</v>
      </c>
      <c r="C41" s="21">
        <f t="shared" si="1"/>
        <v>5.5773379644961096E-3</v>
      </c>
    </row>
    <row r="42" spans="1:3" x14ac:dyDescent="0.25">
      <c r="A42" t="s">
        <v>866</v>
      </c>
      <c r="B42" s="21" t="str">
        <f t="shared" si="0"/>
        <v>2017/01/03 01:35:15.479</v>
      </c>
      <c r="C42" s="21">
        <f t="shared" si="1"/>
        <v>6.0185193433426321E-6</v>
      </c>
    </row>
    <row r="43" spans="1:3" x14ac:dyDescent="0.25">
      <c r="A43" t="s">
        <v>867</v>
      </c>
      <c r="B43" s="21" t="str">
        <f t="shared" si="0"/>
        <v>2017/01/03 01:35:15.992</v>
      </c>
      <c r="C43" s="21">
        <f t="shared" si="1"/>
        <v>5.9375015553086996E-6</v>
      </c>
    </row>
    <row r="44" spans="1:3" x14ac:dyDescent="0.25">
      <c r="A44" t="s">
        <v>868</v>
      </c>
      <c r="B44" s="21" t="str">
        <f t="shared" si="0"/>
        <v>2017/01/03 02:06:27.145</v>
      </c>
      <c r="C44" s="21">
        <f t="shared" si="1"/>
        <v>2.1656863420503214E-2</v>
      </c>
    </row>
    <row r="45" spans="1:3" x14ac:dyDescent="0.25">
      <c r="A45" t="s">
        <v>869</v>
      </c>
      <c r="B45" s="21" t="str">
        <f t="shared" si="0"/>
        <v>2017/01/03 02:06:29.575</v>
      </c>
      <c r="C45" s="21">
        <f t="shared" si="1"/>
        <v>2.8125003154855222E-5</v>
      </c>
    </row>
    <row r="46" spans="1:3" x14ac:dyDescent="0.25">
      <c r="A46" t="s">
        <v>870</v>
      </c>
      <c r="B46" s="21" t="str">
        <f t="shared" si="0"/>
        <v>2017/01/03 02:06:29.730</v>
      </c>
      <c r="C46" s="21">
        <f t="shared" si="1"/>
        <v>1.793981937225908E-6</v>
      </c>
    </row>
    <row r="47" spans="1:3" x14ac:dyDescent="0.25">
      <c r="A47" t="s">
        <v>871</v>
      </c>
      <c r="B47" s="21" t="str">
        <f t="shared" si="0"/>
        <v>2017/01/03 04:56:16.401</v>
      </c>
      <c r="C47" s="21">
        <f t="shared" si="1"/>
        <v>0.11790128472057404</v>
      </c>
    </row>
    <row r="48" spans="1:3" x14ac:dyDescent="0.25">
      <c r="A48" t="s">
        <v>872</v>
      </c>
      <c r="B48" s="21" t="str">
        <f t="shared" si="0"/>
        <v>2017/01/03 04:56:16.658</v>
      </c>
      <c r="C48" s="21">
        <f t="shared" si="1"/>
        <v>2.9745351639576256E-6</v>
      </c>
    </row>
    <row r="49" spans="1:3" x14ac:dyDescent="0.25">
      <c r="A49" t="s">
        <v>873</v>
      </c>
      <c r="B49" s="21" t="str">
        <f t="shared" si="0"/>
        <v>2017/01/03 04:56:17.161</v>
      </c>
      <c r="C49" s="21">
        <f t="shared" si="1"/>
        <v>5.8217628975398839E-6</v>
      </c>
    </row>
    <row r="50" spans="1:3" x14ac:dyDescent="0.25">
      <c r="A50" t="s">
        <v>874</v>
      </c>
      <c r="B50" s="21" t="str">
        <f t="shared" si="0"/>
        <v>2017/01/03 04:57:09.402</v>
      </c>
      <c r="C50" s="21">
        <f t="shared" si="1"/>
        <v>6.0464120178949088E-4</v>
      </c>
    </row>
    <row r="51" spans="1:3" x14ac:dyDescent="0.25">
      <c r="A51" t="s">
        <v>875</v>
      </c>
      <c r="B51" s="21" t="str">
        <f t="shared" si="0"/>
        <v>2017/01/03 04:57:09.662</v>
      </c>
      <c r="C51" s="21">
        <f t="shared" si="1"/>
        <v>3.0092633096501231E-6</v>
      </c>
    </row>
    <row r="52" spans="1:3" x14ac:dyDescent="0.25">
      <c r="A52" t="s">
        <v>876</v>
      </c>
      <c r="B52" s="21" t="str">
        <f t="shared" si="0"/>
        <v>2017/01/03 04:57:10.162</v>
      </c>
      <c r="C52" s="21">
        <f t="shared" si="1"/>
        <v>5.7870347518473864E-6</v>
      </c>
    </row>
    <row r="53" spans="1:3" x14ac:dyDescent="0.25">
      <c r="A53" t="s">
        <v>877</v>
      </c>
      <c r="B53" s="21" t="str">
        <f t="shared" ref="B53:B55" si="2">MID(A53,6,23)</f>
        <v>2017/01/03 08:19:54.966</v>
      </c>
      <c r="C53" s="21">
        <f t="shared" ref="C53:C55" si="3">ABS(B53-B52)</f>
        <v>0.14079634259542217</v>
      </c>
    </row>
    <row r="54" spans="1:3" x14ac:dyDescent="0.25">
      <c r="A54" t="s">
        <v>878</v>
      </c>
      <c r="B54" s="21" t="str">
        <f t="shared" si="2"/>
        <v>2017/01/03 08:19:55.431</v>
      </c>
      <c r="C54" s="21">
        <f t="shared" si="3"/>
        <v>5.3819385357201099E-6</v>
      </c>
    </row>
    <row r="55" spans="1:3" x14ac:dyDescent="0.25">
      <c r="A55" t="s">
        <v>879</v>
      </c>
      <c r="B55" s="21" t="str">
        <f t="shared" si="2"/>
        <v>2017/01/03 08:19:56.248</v>
      </c>
      <c r="C55" s="21">
        <f t="shared" si="3"/>
        <v>9.4560236902907491E-6</v>
      </c>
    </row>
    <row r="56" spans="1:3" x14ac:dyDescent="0.25">
      <c r="B56" s="21"/>
      <c r="C56" s="21"/>
    </row>
    <row r="57" spans="1:3" x14ac:dyDescent="0.25">
      <c r="B57" s="21"/>
      <c r="C57" s="21"/>
    </row>
    <row r="58" spans="1:3" x14ac:dyDescent="0.25">
      <c r="B58" s="21"/>
      <c r="C58" s="21"/>
    </row>
    <row r="59" spans="1:3" x14ac:dyDescent="0.25">
      <c r="B59" s="21"/>
      <c r="C59" s="21"/>
    </row>
    <row r="60" spans="1:3" x14ac:dyDescent="0.25">
      <c r="B60" s="21"/>
      <c r="C60" s="21"/>
    </row>
    <row r="61" spans="1:3" x14ac:dyDescent="0.25">
      <c r="B61" s="21"/>
      <c r="C61" s="21"/>
    </row>
    <row r="62" spans="1:3" x14ac:dyDescent="0.25">
      <c r="B62" s="21"/>
      <c r="C62" s="21"/>
    </row>
    <row r="63" spans="1:3" x14ac:dyDescent="0.25">
      <c r="B63" s="21"/>
      <c r="C63" s="21"/>
    </row>
    <row r="64" spans="1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2017-01-03T16:56:51Z</dcterms:modified>
</cp:coreProperties>
</file>