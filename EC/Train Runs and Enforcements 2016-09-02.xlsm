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Enforcements!$A$6:$Z$68</definedName>
    <definedName name="_xlnm._FilterDatabase" localSheetId="2" hidden="1">'Missing Trips'!$B$2:$I$2</definedName>
    <definedName name="_xlnm._FilterDatabase" localSheetId="0" hidden="1">'Train Runs'!$A$12:$AG$240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X131" i="1"/>
  <c r="X132" i="1"/>
  <c r="P130" i="1"/>
  <c r="K130" i="1"/>
  <c r="L130" i="1"/>
  <c r="M130" i="1"/>
  <c r="V130" i="1"/>
  <c r="Y130" i="1"/>
  <c r="Z130" i="1"/>
  <c r="AA130" i="1"/>
  <c r="AB130" i="1"/>
  <c r="AC130" i="1"/>
  <c r="AD130" i="1"/>
  <c r="T130" i="1" s="1"/>
  <c r="AE130" i="1"/>
  <c r="AF130" i="1"/>
  <c r="AH130" i="1"/>
  <c r="X33" i="1"/>
  <c r="X34" i="1"/>
  <c r="X35" i="1"/>
  <c r="K32" i="1"/>
  <c r="L32" i="1"/>
  <c r="M32" i="1"/>
  <c r="V32" i="1"/>
  <c r="Y32" i="1"/>
  <c r="Z32" i="1"/>
  <c r="AA32" i="1"/>
  <c r="AB32" i="1"/>
  <c r="AC32" i="1"/>
  <c r="AD32" i="1"/>
  <c r="T32" i="1" s="1"/>
  <c r="AE32" i="1"/>
  <c r="AF32" i="1"/>
  <c r="AH32" i="1"/>
  <c r="X18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G17" i="1"/>
  <c r="AH17" i="1"/>
  <c r="X171" i="1"/>
  <c r="X172" i="1"/>
  <c r="X173" i="1"/>
  <c r="X174" i="1"/>
  <c r="X175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P15" i="3" s="1"/>
  <c r="AF18" i="1"/>
  <c r="AH18" i="1"/>
  <c r="S37" i="3"/>
  <c r="R37" i="3" s="1"/>
  <c r="T37" i="3"/>
  <c r="U37" i="3"/>
  <c r="V37" i="3"/>
  <c r="Q16" i="3"/>
  <c r="S16" i="3"/>
  <c r="R16" i="3" s="1"/>
  <c r="T16" i="3"/>
  <c r="U16" i="3"/>
  <c r="V16" i="3"/>
  <c r="Q15" i="3"/>
  <c r="S15" i="3"/>
  <c r="R15" i="3" s="1"/>
  <c r="T15" i="3"/>
  <c r="U15" i="3"/>
  <c r="V15" i="3"/>
  <c r="S42" i="3"/>
  <c r="R42" i="3" s="1"/>
  <c r="T42" i="3"/>
  <c r="U42" i="3"/>
  <c r="V42" i="3"/>
  <c r="S7" i="3"/>
  <c r="R7" i="3" s="1"/>
  <c r="T7" i="3"/>
  <c r="U7" i="3"/>
  <c r="V7" i="3"/>
  <c r="S33" i="3"/>
  <c r="R33" i="3" s="1"/>
  <c r="T33" i="3"/>
  <c r="U33" i="3"/>
  <c r="V33" i="3"/>
  <c r="S43" i="3"/>
  <c r="R43" i="3" s="1"/>
  <c r="T43" i="3"/>
  <c r="U43" i="3"/>
  <c r="V43" i="3"/>
  <c r="S40" i="3"/>
  <c r="R40" i="3" s="1"/>
  <c r="T40" i="3"/>
  <c r="U40" i="3"/>
  <c r="V40" i="3"/>
  <c r="S31" i="3"/>
  <c r="R31" i="3" s="1"/>
  <c r="T31" i="3"/>
  <c r="U31" i="3"/>
  <c r="V31" i="3"/>
  <c r="S9" i="3"/>
  <c r="R9" i="3" s="1"/>
  <c r="T9" i="3"/>
  <c r="U9" i="3"/>
  <c r="V9" i="3"/>
  <c r="S32" i="3"/>
  <c r="R32" i="3" s="1"/>
  <c r="T32" i="3"/>
  <c r="U32" i="3"/>
  <c r="V32" i="3"/>
  <c r="S10" i="3"/>
  <c r="R10" i="3" s="1"/>
  <c r="T10" i="3"/>
  <c r="U10" i="3"/>
  <c r="V10" i="3"/>
  <c r="S20" i="3"/>
  <c r="R20" i="3" s="1"/>
  <c r="T20" i="3"/>
  <c r="U20" i="3"/>
  <c r="V20" i="3"/>
  <c r="S50" i="3"/>
  <c r="R50" i="3" s="1"/>
  <c r="T50" i="3"/>
  <c r="U50" i="3"/>
  <c r="V50" i="3"/>
  <c r="S21" i="3"/>
  <c r="R21" i="3" s="1"/>
  <c r="T21" i="3"/>
  <c r="U21" i="3"/>
  <c r="V21" i="3"/>
  <c r="S17" i="3"/>
  <c r="R17" i="3" s="1"/>
  <c r="T17" i="3"/>
  <c r="U17" i="3"/>
  <c r="V17" i="3"/>
  <c r="S48" i="3"/>
  <c r="R48" i="3" s="1"/>
  <c r="T48" i="3"/>
  <c r="U48" i="3"/>
  <c r="V48" i="3"/>
  <c r="S51" i="3"/>
  <c r="R51" i="3" s="1"/>
  <c r="T51" i="3"/>
  <c r="U51" i="3"/>
  <c r="V51" i="3"/>
  <c r="S52" i="3"/>
  <c r="R52" i="3" s="1"/>
  <c r="T52" i="3"/>
  <c r="U52" i="3"/>
  <c r="V52" i="3"/>
  <c r="S11" i="3"/>
  <c r="R11" i="3" s="1"/>
  <c r="T11" i="3"/>
  <c r="U11" i="3"/>
  <c r="V11" i="3"/>
  <c r="S22" i="3"/>
  <c r="R22" i="3" s="1"/>
  <c r="T22" i="3"/>
  <c r="U22" i="3"/>
  <c r="V22" i="3"/>
  <c r="S27" i="3"/>
  <c r="R27" i="3" s="1"/>
  <c r="T27" i="3"/>
  <c r="U27" i="3"/>
  <c r="V27" i="3"/>
  <c r="S18" i="3"/>
  <c r="R18" i="3" s="1"/>
  <c r="T18" i="3"/>
  <c r="U18" i="3"/>
  <c r="V18" i="3"/>
  <c r="S34" i="3"/>
  <c r="R34" i="3" s="1"/>
  <c r="T34" i="3"/>
  <c r="U34" i="3"/>
  <c r="V34" i="3"/>
  <c r="S44" i="3"/>
  <c r="R44" i="3" s="1"/>
  <c r="T44" i="3"/>
  <c r="U44" i="3"/>
  <c r="V44" i="3"/>
  <c r="S14" i="3"/>
  <c r="R14" i="3" s="1"/>
  <c r="T14" i="3"/>
  <c r="U14" i="3"/>
  <c r="V14" i="3"/>
  <c r="S13" i="3"/>
  <c r="R13" i="3" s="1"/>
  <c r="T13" i="3"/>
  <c r="U13" i="3"/>
  <c r="V13" i="3"/>
  <c r="S35" i="3"/>
  <c r="R35" i="3" s="1"/>
  <c r="T35" i="3"/>
  <c r="U35" i="3"/>
  <c r="V35" i="3"/>
  <c r="S41" i="3"/>
  <c r="R41" i="3" s="1"/>
  <c r="T41" i="3"/>
  <c r="U41" i="3"/>
  <c r="V41" i="3"/>
  <c r="S36" i="3"/>
  <c r="R36" i="3" s="1"/>
  <c r="T36" i="3"/>
  <c r="U36" i="3"/>
  <c r="V36" i="3"/>
  <c r="S28" i="3"/>
  <c r="R28" i="3" s="1"/>
  <c r="T28" i="3"/>
  <c r="U28" i="3"/>
  <c r="V28" i="3"/>
  <c r="S29" i="3"/>
  <c r="R29" i="3" s="1"/>
  <c r="T29" i="3"/>
  <c r="U29" i="3"/>
  <c r="V29" i="3"/>
  <c r="S8" i="3"/>
  <c r="R8" i="3" s="1"/>
  <c r="T8" i="3"/>
  <c r="U8" i="3"/>
  <c r="V8" i="3"/>
  <c r="S19" i="3"/>
  <c r="R19" i="3" s="1"/>
  <c r="T19" i="3"/>
  <c r="U19" i="3"/>
  <c r="V19" i="3"/>
  <c r="S45" i="3"/>
  <c r="R45" i="3" s="1"/>
  <c r="T45" i="3"/>
  <c r="U45" i="3"/>
  <c r="V45" i="3"/>
  <c r="S12" i="3"/>
  <c r="R12" i="3" s="1"/>
  <c r="T12" i="3"/>
  <c r="U12" i="3"/>
  <c r="V12" i="3"/>
  <c r="S38" i="3"/>
  <c r="R38" i="3" s="1"/>
  <c r="T38" i="3"/>
  <c r="U38" i="3"/>
  <c r="V38" i="3"/>
  <c r="S49" i="3"/>
  <c r="R49" i="3" s="1"/>
  <c r="T49" i="3"/>
  <c r="U49" i="3"/>
  <c r="V49" i="3"/>
  <c r="S39" i="3"/>
  <c r="R39" i="3" s="1"/>
  <c r="T39" i="3"/>
  <c r="U39" i="3"/>
  <c r="V39" i="3"/>
  <c r="S46" i="3"/>
  <c r="R46" i="3" s="1"/>
  <c r="T46" i="3"/>
  <c r="U46" i="3"/>
  <c r="V46" i="3"/>
  <c r="S23" i="3"/>
  <c r="R23" i="3" s="1"/>
  <c r="T23" i="3"/>
  <c r="U23" i="3"/>
  <c r="V23" i="3"/>
  <c r="S30" i="3"/>
  <c r="R30" i="3" s="1"/>
  <c r="T30" i="3"/>
  <c r="U30" i="3"/>
  <c r="V30" i="3"/>
  <c r="S47" i="3"/>
  <c r="R47" i="3" s="1"/>
  <c r="T47" i="3"/>
  <c r="U47" i="3"/>
  <c r="V47" i="3"/>
  <c r="S24" i="3"/>
  <c r="R24" i="3" s="1"/>
  <c r="T24" i="3"/>
  <c r="U24" i="3"/>
  <c r="V24" i="3"/>
  <c r="S25" i="3"/>
  <c r="R25" i="3" s="1"/>
  <c r="T25" i="3"/>
  <c r="U25" i="3"/>
  <c r="V25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G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G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Q7" i="3" s="1"/>
  <c r="Y35" i="1"/>
  <c r="Z35" i="1"/>
  <c r="AB35" i="1"/>
  <c r="AC35" i="1"/>
  <c r="AD35" i="1"/>
  <c r="T35" i="1" s="1"/>
  <c r="AE35" i="1"/>
  <c r="P7" i="3" s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Q9" i="3" s="1"/>
  <c r="Y38" i="1"/>
  <c r="Z38" i="1"/>
  <c r="AB38" i="1"/>
  <c r="AC38" i="1"/>
  <c r="AD38" i="1"/>
  <c r="T38" i="1" s="1"/>
  <c r="AE38" i="1"/>
  <c r="P9" i="3" s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Q10" i="3" s="1"/>
  <c r="Y40" i="1"/>
  <c r="Z40" i="1"/>
  <c r="AB40" i="1"/>
  <c r="AC40" i="1"/>
  <c r="AD40" i="1"/>
  <c r="AG40" i="1" s="1"/>
  <c r="AE40" i="1"/>
  <c r="P10" i="3" s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AA51" i="1" s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Q21" i="3" s="1"/>
  <c r="Y52" i="1"/>
  <c r="Z52" i="1"/>
  <c r="AB52" i="1"/>
  <c r="AC52" i="1"/>
  <c r="AD52" i="1"/>
  <c r="AE52" i="1"/>
  <c r="P21" i="3" s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T58" i="1"/>
  <c r="V58" i="1"/>
  <c r="Q17" i="3" s="1"/>
  <c r="Y58" i="1"/>
  <c r="Z58" i="1"/>
  <c r="AB58" i="1"/>
  <c r="AC58" i="1"/>
  <c r="AD58" i="1"/>
  <c r="AG58" i="1" s="1"/>
  <c r="AE58" i="1"/>
  <c r="P17" i="3" s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Q22" i="3" s="1"/>
  <c r="Y66" i="1"/>
  <c r="Z66" i="1"/>
  <c r="AB66" i="1"/>
  <c r="AC66" i="1"/>
  <c r="AD66" i="1"/>
  <c r="T66" i="1" s="1"/>
  <c r="AE66" i="1"/>
  <c r="P22" i="3" s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Q11" i="3" s="1"/>
  <c r="Y68" i="1"/>
  <c r="Z68" i="1"/>
  <c r="AB68" i="1"/>
  <c r="AC68" i="1"/>
  <c r="AD68" i="1"/>
  <c r="T68" i="1" s="1"/>
  <c r="AE68" i="1"/>
  <c r="P11" i="3" s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Q27" i="3" s="1"/>
  <c r="Y73" i="1"/>
  <c r="Z73" i="1"/>
  <c r="AB73" i="1"/>
  <c r="AC73" i="1"/>
  <c r="AD73" i="1"/>
  <c r="AE73" i="1"/>
  <c r="P27" i="3" s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Q18" i="3" s="1"/>
  <c r="Y78" i="1"/>
  <c r="Z78" i="1"/>
  <c r="AA78" i="1" s="1"/>
  <c r="AB78" i="1"/>
  <c r="AC78" i="1"/>
  <c r="AD78" i="1"/>
  <c r="T78" i="1" s="1"/>
  <c r="AE78" i="1"/>
  <c r="P18" i="3" s="1"/>
  <c r="AF78" i="1"/>
  <c r="AG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Q14" i="3" s="1"/>
  <c r="Y86" i="1"/>
  <c r="Z86" i="1"/>
  <c r="AB86" i="1"/>
  <c r="AC86" i="1"/>
  <c r="AD86" i="1"/>
  <c r="T86" i="1" s="1"/>
  <c r="AE86" i="1"/>
  <c r="P14" i="3" s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Q13" i="3" s="1"/>
  <c r="Y91" i="1"/>
  <c r="Z91" i="1"/>
  <c r="AB91" i="1"/>
  <c r="AC91" i="1"/>
  <c r="AD91" i="1"/>
  <c r="AG91" i="1" s="1"/>
  <c r="AE91" i="1"/>
  <c r="P13" i="3" s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A100" i="1" s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T107" i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A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Q28" i="3" s="1"/>
  <c r="Y115" i="1"/>
  <c r="Z115" i="1"/>
  <c r="AB115" i="1"/>
  <c r="AC115" i="1"/>
  <c r="AD115" i="1"/>
  <c r="T115" i="1" s="1"/>
  <c r="AE115" i="1"/>
  <c r="P28" i="3" s="1"/>
  <c r="AF115" i="1"/>
  <c r="K116" i="1"/>
  <c r="L116" i="1"/>
  <c r="M116" i="1"/>
  <c r="N116" i="1" s="1"/>
  <c r="V116" i="1"/>
  <c r="Q8" i="3" s="1"/>
  <c r="Y116" i="1"/>
  <c r="Z116" i="1"/>
  <c r="AB116" i="1"/>
  <c r="AC116" i="1"/>
  <c r="AD116" i="1"/>
  <c r="AE116" i="1"/>
  <c r="P8" i="3" s="1"/>
  <c r="AF116" i="1"/>
  <c r="K117" i="1"/>
  <c r="L117" i="1"/>
  <c r="M117" i="1"/>
  <c r="N117" i="1" s="1"/>
  <c r="V117" i="1"/>
  <c r="Q29" i="3" s="1"/>
  <c r="Y117" i="1"/>
  <c r="Z117" i="1"/>
  <c r="AB117" i="1"/>
  <c r="AC117" i="1"/>
  <c r="AD117" i="1"/>
  <c r="T117" i="1" s="1"/>
  <c r="AE117" i="1"/>
  <c r="P29" i="3" s="1"/>
  <c r="AF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Q12" i="3" s="1"/>
  <c r="Y122" i="1"/>
  <c r="Z122" i="1"/>
  <c r="AB122" i="1"/>
  <c r="AC122" i="1"/>
  <c r="AD122" i="1"/>
  <c r="AE122" i="1"/>
  <c r="P12" i="3" s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Q19" i="3" s="1"/>
  <c r="Y127" i="1"/>
  <c r="Z127" i="1"/>
  <c r="AB127" i="1"/>
  <c r="AC127" i="1"/>
  <c r="AD127" i="1"/>
  <c r="AE127" i="1"/>
  <c r="P19" i="3" s="1"/>
  <c r="AF127" i="1"/>
  <c r="K128" i="1"/>
  <c r="L128" i="1"/>
  <c r="M128" i="1"/>
  <c r="N128" i="1" s="1"/>
  <c r="V128" i="1"/>
  <c r="Q23" i="3" s="1"/>
  <c r="Y128" i="1"/>
  <c r="Z128" i="1"/>
  <c r="AB128" i="1"/>
  <c r="AC128" i="1"/>
  <c r="AD128" i="1"/>
  <c r="AE128" i="1"/>
  <c r="P23" i="3" s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Q30" i="3" s="1"/>
  <c r="Y133" i="1"/>
  <c r="Z133" i="1"/>
  <c r="AB133" i="1"/>
  <c r="AC133" i="1"/>
  <c r="AD133" i="1"/>
  <c r="AE133" i="1"/>
  <c r="P30" i="3" s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Q24" i="3" s="1"/>
  <c r="Y138" i="1"/>
  <c r="Z138" i="1"/>
  <c r="AB138" i="1"/>
  <c r="AC138" i="1"/>
  <c r="AD138" i="1"/>
  <c r="T138" i="1" s="1"/>
  <c r="AE138" i="1"/>
  <c r="P25" i="3" s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AA151" i="1" s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P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5" i="1"/>
  <c r="L215" i="1"/>
  <c r="M215" i="1"/>
  <c r="N215" i="1" s="1"/>
  <c r="V215" i="1"/>
  <c r="Q52" i="3" s="1"/>
  <c r="Y215" i="1"/>
  <c r="Z215" i="1"/>
  <c r="AB215" i="1"/>
  <c r="AC215" i="1"/>
  <c r="AD215" i="1"/>
  <c r="AE215" i="1"/>
  <c r="P52" i="3" s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Q48" i="3" s="1"/>
  <c r="Y217" i="1"/>
  <c r="Z217" i="1"/>
  <c r="AB217" i="1"/>
  <c r="AC217" i="1"/>
  <c r="AD217" i="1"/>
  <c r="AE217" i="1"/>
  <c r="P48" i="3" s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Q49" i="3" s="1"/>
  <c r="Y224" i="1"/>
  <c r="Z224" i="1"/>
  <c r="AB224" i="1"/>
  <c r="AC224" i="1"/>
  <c r="AD224" i="1"/>
  <c r="AE224" i="1"/>
  <c r="P49" i="3" s="1"/>
  <c r="AF224" i="1"/>
  <c r="K159" i="1"/>
  <c r="L159" i="1"/>
  <c r="M159" i="1"/>
  <c r="N159" i="1" s="1"/>
  <c r="V159" i="1"/>
  <c r="Q37" i="3" s="1"/>
  <c r="Y159" i="1"/>
  <c r="Z159" i="1"/>
  <c r="AB159" i="1"/>
  <c r="AC159" i="1"/>
  <c r="AD159" i="1"/>
  <c r="AG159" i="1" s="1"/>
  <c r="AE159" i="1"/>
  <c r="P37" i="3" s="1"/>
  <c r="AF159" i="1"/>
  <c r="K160" i="1"/>
  <c r="L160" i="1"/>
  <c r="M160" i="1"/>
  <c r="N160" i="1" s="1"/>
  <c r="V160" i="1"/>
  <c r="Q42" i="3" s="1"/>
  <c r="Y160" i="1"/>
  <c r="Z160" i="1"/>
  <c r="AB160" i="1"/>
  <c r="AC160" i="1"/>
  <c r="AD160" i="1"/>
  <c r="T160" i="1" s="1"/>
  <c r="AE160" i="1"/>
  <c r="P42" i="3" s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Q33" i="3" s="1"/>
  <c r="Y164" i="1"/>
  <c r="Z164" i="1"/>
  <c r="AB164" i="1"/>
  <c r="AC164" i="1"/>
  <c r="AD164" i="1"/>
  <c r="AE164" i="1"/>
  <c r="P33" i="3" s="1"/>
  <c r="AF164" i="1"/>
  <c r="K165" i="1"/>
  <c r="L165" i="1"/>
  <c r="M165" i="1"/>
  <c r="P165" i="1" s="1"/>
  <c r="V165" i="1"/>
  <c r="Q40" i="3" s="1"/>
  <c r="Y165" i="1"/>
  <c r="Z165" i="1"/>
  <c r="AB165" i="1"/>
  <c r="AC165" i="1"/>
  <c r="AD165" i="1"/>
  <c r="AG165" i="1" s="1"/>
  <c r="AE165" i="1"/>
  <c r="P40" i="3" s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Q31" i="3" s="1"/>
  <c r="Y168" i="1"/>
  <c r="Z168" i="1"/>
  <c r="AB168" i="1"/>
  <c r="AC168" i="1"/>
  <c r="AD168" i="1"/>
  <c r="AG168" i="1" s="1"/>
  <c r="AE168" i="1"/>
  <c r="P31" i="3" s="1"/>
  <c r="AF168" i="1"/>
  <c r="K169" i="1"/>
  <c r="L169" i="1"/>
  <c r="M169" i="1"/>
  <c r="N169" i="1" s="1"/>
  <c r="V169" i="1"/>
  <c r="Y169" i="1"/>
  <c r="AA169" i="1" s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Q44" i="3" s="1"/>
  <c r="Y180" i="1"/>
  <c r="Z180" i="1"/>
  <c r="AB180" i="1"/>
  <c r="AC180" i="1"/>
  <c r="AD180" i="1"/>
  <c r="T180" i="1" s="1"/>
  <c r="AE180" i="1"/>
  <c r="P44" i="3" s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Q35" i="3" s="1"/>
  <c r="Y182" i="1"/>
  <c r="Z182" i="1"/>
  <c r="AB182" i="1"/>
  <c r="AC182" i="1"/>
  <c r="AD182" i="1"/>
  <c r="AE182" i="1"/>
  <c r="P35" i="3" s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Q41" i="3" s="1"/>
  <c r="Y187" i="1"/>
  <c r="Z187" i="1"/>
  <c r="AB187" i="1"/>
  <c r="AC187" i="1"/>
  <c r="AD187" i="1"/>
  <c r="T187" i="1" s="1"/>
  <c r="AE187" i="1"/>
  <c r="P41" i="3" s="1"/>
  <c r="AF187" i="1"/>
  <c r="K188" i="1"/>
  <c r="L188" i="1"/>
  <c r="M188" i="1"/>
  <c r="N188" i="1" s="1"/>
  <c r="V188" i="1"/>
  <c r="Q36" i="3" s="1"/>
  <c r="Y188" i="1"/>
  <c r="Z188" i="1"/>
  <c r="AB188" i="1"/>
  <c r="AC188" i="1"/>
  <c r="AD188" i="1"/>
  <c r="AE188" i="1"/>
  <c r="P36" i="3" s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/>
  <c r="V193" i="1"/>
  <c r="Y193" i="1"/>
  <c r="Z193" i="1"/>
  <c r="AB193" i="1"/>
  <c r="AC193" i="1"/>
  <c r="AD193" i="1"/>
  <c r="X193" i="1" s="1"/>
  <c r="AE193" i="1"/>
  <c r="AF193" i="1"/>
  <c r="K194" i="1"/>
  <c r="L194" i="1"/>
  <c r="M194" i="1"/>
  <c r="N194" i="1" s="1"/>
  <c r="V194" i="1"/>
  <c r="Q45" i="3" s="1"/>
  <c r="Y194" i="1"/>
  <c r="Z194" i="1"/>
  <c r="AB194" i="1"/>
  <c r="AC194" i="1"/>
  <c r="AD194" i="1"/>
  <c r="AE194" i="1"/>
  <c r="P45" i="3" s="1"/>
  <c r="AF194" i="1"/>
  <c r="K195" i="1"/>
  <c r="L195" i="1"/>
  <c r="M195" i="1"/>
  <c r="N195" i="1" s="1"/>
  <c r="V195" i="1"/>
  <c r="Q38" i="3" s="1"/>
  <c r="Y195" i="1"/>
  <c r="Z195" i="1"/>
  <c r="AB195" i="1"/>
  <c r="AC195" i="1"/>
  <c r="AD195" i="1"/>
  <c r="T195" i="1" s="1"/>
  <c r="AE195" i="1"/>
  <c r="P38" i="3" s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Q39" i="3" s="1"/>
  <c r="Y197" i="1"/>
  <c r="Z197" i="1"/>
  <c r="AB197" i="1"/>
  <c r="AC197" i="1"/>
  <c r="AD197" i="1"/>
  <c r="T197" i="1" s="1"/>
  <c r="AE197" i="1"/>
  <c r="P39" i="3" s="1"/>
  <c r="AF197" i="1"/>
  <c r="K198" i="1"/>
  <c r="L198" i="1"/>
  <c r="M198" i="1"/>
  <c r="N198" i="1" s="1"/>
  <c r="V198" i="1"/>
  <c r="Q46" i="3" s="1"/>
  <c r="Y198" i="1"/>
  <c r="Z198" i="1"/>
  <c r="AB198" i="1"/>
  <c r="AC198" i="1"/>
  <c r="AD198" i="1"/>
  <c r="AE198" i="1"/>
  <c r="P46" i="3" s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Q47" i="3" s="1"/>
  <c r="Y204" i="1"/>
  <c r="Z204" i="1"/>
  <c r="AB204" i="1"/>
  <c r="AC204" i="1"/>
  <c r="AD204" i="1"/>
  <c r="AG204" i="1" s="1"/>
  <c r="AE204" i="1"/>
  <c r="P47" i="3" s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12" i="1"/>
  <c r="L212" i="1"/>
  <c r="M212" i="1"/>
  <c r="N212" i="1" s="1"/>
  <c r="V212" i="1"/>
  <c r="Q50" i="3" s="1"/>
  <c r="Y212" i="1"/>
  <c r="Z212" i="1"/>
  <c r="AB212" i="1"/>
  <c r="AC212" i="1"/>
  <c r="AD212" i="1"/>
  <c r="AG212" i="1" s="1"/>
  <c r="AE212" i="1"/>
  <c r="P50" i="3" s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W130" i="1" l="1"/>
  <c r="AG130" i="1"/>
  <c r="X130" i="1"/>
  <c r="AG32" i="1"/>
  <c r="W32" i="1" s="1"/>
  <c r="X32" i="1"/>
  <c r="W21" i="3"/>
  <c r="W17" i="1"/>
  <c r="U17" i="1"/>
  <c r="S17" i="1" s="1"/>
  <c r="X17" i="1"/>
  <c r="AI17" i="1"/>
  <c r="AI118" i="1"/>
  <c r="X19" i="1"/>
  <c r="X165" i="1"/>
  <c r="AA37" i="1"/>
  <c r="AA26" i="1"/>
  <c r="X188" i="1"/>
  <c r="AA180" i="1"/>
  <c r="AI180" i="1" s="1"/>
  <c r="T222" i="1"/>
  <c r="AI120" i="1"/>
  <c r="U78" i="1"/>
  <c r="S78" i="1" s="1"/>
  <c r="AA165" i="1"/>
  <c r="AI165" i="1" s="1"/>
  <c r="AA72" i="1"/>
  <c r="AA68" i="1"/>
  <c r="AG26" i="1"/>
  <c r="AI26" i="1" s="1"/>
  <c r="X26" i="1"/>
  <c r="AG24" i="1"/>
  <c r="AA18" i="1"/>
  <c r="X20" i="1"/>
  <c r="W30" i="3"/>
  <c r="W39" i="3"/>
  <c r="W38" i="3"/>
  <c r="W12" i="3"/>
  <c r="W45" i="3"/>
  <c r="W35" i="3"/>
  <c r="W13" i="3"/>
  <c r="W40" i="3"/>
  <c r="W43" i="3"/>
  <c r="W24" i="3"/>
  <c r="W47" i="3"/>
  <c r="W11" i="3"/>
  <c r="W15" i="3"/>
  <c r="P16" i="3"/>
  <c r="AG18" i="1"/>
  <c r="AI18" i="1" s="1"/>
  <c r="U18" i="1"/>
  <c r="S18" i="1" s="1"/>
  <c r="W28" i="3"/>
  <c r="W18" i="3"/>
  <c r="W17" i="3"/>
  <c r="W32" i="3"/>
  <c r="W42" i="3"/>
  <c r="W23" i="3"/>
  <c r="W29" i="3"/>
  <c r="W34" i="3"/>
  <c r="W52" i="3"/>
  <c r="W10" i="3"/>
  <c r="W7" i="3"/>
  <c r="Q34" i="3"/>
  <c r="AA205" i="1"/>
  <c r="AG211" i="1"/>
  <c r="U211" i="1" s="1"/>
  <c r="S211" i="1" s="1"/>
  <c r="AG66" i="1"/>
  <c r="X48" i="1"/>
  <c r="AG46" i="1"/>
  <c r="AA43" i="1"/>
  <c r="W43" i="1" s="1"/>
  <c r="T15" i="1"/>
  <c r="AG14" i="1"/>
  <c r="U14" i="1" s="1"/>
  <c r="S14" i="1" s="1"/>
  <c r="Q25" i="3"/>
  <c r="AA143" i="1"/>
  <c r="AI143" i="1" s="1"/>
  <c r="AA202" i="1"/>
  <c r="AA192" i="1"/>
  <c r="AG169" i="1"/>
  <c r="W169" i="1" s="1"/>
  <c r="X164" i="1"/>
  <c r="AA206" i="1"/>
  <c r="AI206" i="1" s="1"/>
  <c r="AA83" i="1"/>
  <c r="AA64" i="1"/>
  <c r="AA22" i="1"/>
  <c r="P20" i="3"/>
  <c r="P43" i="3"/>
  <c r="P51" i="3"/>
  <c r="X213" i="1"/>
  <c r="X201" i="1"/>
  <c r="AA214" i="1"/>
  <c r="AG200" i="1"/>
  <c r="AA197" i="1"/>
  <c r="AA196" i="1"/>
  <c r="AA193" i="1"/>
  <c r="AG180" i="1"/>
  <c r="T168" i="1"/>
  <c r="U168" i="1" s="1"/>
  <c r="S168" i="1" s="1"/>
  <c r="AA166" i="1"/>
  <c r="T164" i="1"/>
  <c r="AG155" i="1"/>
  <c r="X150" i="1"/>
  <c r="AG134" i="1"/>
  <c r="AA127" i="1"/>
  <c r="AA108" i="1"/>
  <c r="U107" i="1"/>
  <c r="S107" i="1" s="1"/>
  <c r="AA107" i="1"/>
  <c r="AA101" i="1"/>
  <c r="AA96" i="1"/>
  <c r="AI96" i="1" s="1"/>
  <c r="T91" i="1"/>
  <c r="AA88" i="1"/>
  <c r="AA87" i="1"/>
  <c r="AG79" i="1"/>
  <c r="X79" i="1"/>
  <c r="X67" i="1"/>
  <c r="AG62" i="1"/>
  <c r="U62" i="1" s="1"/>
  <c r="S62" i="1" s="1"/>
  <c r="AA60" i="1"/>
  <c r="AA55" i="1"/>
  <c r="AG47" i="1"/>
  <c r="U47" i="1" s="1"/>
  <c r="S47" i="1" s="1"/>
  <c r="X47" i="1"/>
  <c r="AG43" i="1"/>
  <c r="AA40" i="1"/>
  <c r="AI40" i="1" s="1"/>
  <c r="AG35" i="1"/>
  <c r="U35" i="1" s="1"/>
  <c r="S35" i="1" s="1"/>
  <c r="AG25" i="1"/>
  <c r="U25" i="1" s="1"/>
  <c r="S25" i="1" s="1"/>
  <c r="X25" i="1"/>
  <c r="P24" i="3"/>
  <c r="Q51" i="3"/>
  <c r="Q20" i="3"/>
  <c r="Q43" i="3"/>
  <c r="AG187" i="1"/>
  <c r="U187" i="1" s="1"/>
  <c r="S187" i="1" s="1"/>
  <c r="AA185" i="1"/>
  <c r="AA171" i="1"/>
  <c r="AG164" i="1"/>
  <c r="AA153" i="1"/>
  <c r="W153" i="1" s="1"/>
  <c r="AG150" i="1"/>
  <c r="U150" i="1" s="1"/>
  <c r="S150" i="1" s="1"/>
  <c r="AG143" i="1"/>
  <c r="AA140" i="1"/>
  <c r="AI140" i="1" s="1"/>
  <c r="X134" i="1"/>
  <c r="AA125" i="1"/>
  <c r="AA119" i="1"/>
  <c r="X118" i="1"/>
  <c r="AG95" i="1"/>
  <c r="U95" i="1" s="1"/>
  <c r="S95" i="1" s="1"/>
  <c r="AA92" i="1"/>
  <c r="AI92" i="1" s="1"/>
  <c r="AA91" i="1"/>
  <c r="AI91" i="1" s="1"/>
  <c r="AA85" i="1"/>
  <c r="AA80" i="1"/>
  <c r="AA76" i="1"/>
  <c r="AA67" i="1"/>
  <c r="AA53" i="1"/>
  <c r="AI53" i="1" s="1"/>
  <c r="AA49" i="1"/>
  <c r="AG39" i="1"/>
  <c r="U39" i="1" s="1"/>
  <c r="S39" i="1" s="1"/>
  <c r="AA35" i="1"/>
  <c r="AG30" i="1"/>
  <c r="AA23" i="1"/>
  <c r="AA15" i="1"/>
  <c r="W15" i="1" s="1"/>
  <c r="P34" i="3"/>
  <c r="Q32" i="3"/>
  <c r="T74" i="1"/>
  <c r="W37" i="1"/>
  <c r="U33" i="1"/>
  <c r="S33" i="1" s="1"/>
  <c r="U20" i="1"/>
  <c r="S20" i="1" s="1"/>
  <c r="P32" i="3"/>
  <c r="W8" i="3"/>
  <c r="W41" i="3"/>
  <c r="W44" i="3"/>
  <c r="W22" i="3"/>
  <c r="W48" i="3"/>
  <c r="W20" i="3"/>
  <c r="W31" i="3"/>
  <c r="W37" i="3"/>
  <c r="W25" i="3"/>
  <c r="W19" i="3"/>
  <c r="W36" i="3"/>
  <c r="W14" i="3"/>
  <c r="W27" i="3"/>
  <c r="W51" i="3"/>
  <c r="W50" i="3"/>
  <c r="W9" i="3"/>
  <c r="W33" i="3"/>
  <c r="W16" i="3"/>
  <c r="W49" i="3"/>
  <c r="W46" i="3"/>
  <c r="AI37" i="1"/>
  <c r="W53" i="1"/>
  <c r="AA212" i="1"/>
  <c r="AI212" i="1" s="1"/>
  <c r="T204" i="1"/>
  <c r="AA194" i="1"/>
  <c r="AG191" i="1"/>
  <c r="AA177" i="1"/>
  <c r="AG175" i="1"/>
  <c r="AA174" i="1"/>
  <c r="AA173" i="1"/>
  <c r="AA172" i="1"/>
  <c r="X161" i="1"/>
  <c r="AA223" i="1"/>
  <c r="AA216" i="1"/>
  <c r="AA215" i="1"/>
  <c r="AI215" i="1" s="1"/>
  <c r="AG151" i="1"/>
  <c r="W151" i="1" s="1"/>
  <c r="AA149" i="1"/>
  <c r="AG146" i="1"/>
  <c r="U146" i="1" s="1"/>
  <c r="S146" i="1" s="1"/>
  <c r="AA139" i="1"/>
  <c r="AI139" i="1" s="1"/>
  <c r="AA133" i="1"/>
  <c r="AA132" i="1"/>
  <c r="AA126" i="1"/>
  <c r="AA122" i="1"/>
  <c r="AG117" i="1"/>
  <c r="U117" i="1" s="1"/>
  <c r="S117" i="1" s="1"/>
  <c r="AA112" i="1"/>
  <c r="AI112" i="1" s="1"/>
  <c r="AA103" i="1"/>
  <c r="T100" i="1"/>
  <c r="U100" i="1" s="1"/>
  <c r="S100" i="1" s="1"/>
  <c r="AG98" i="1"/>
  <c r="U98" i="1" s="1"/>
  <c r="S98" i="1" s="1"/>
  <c r="AG87" i="1"/>
  <c r="AA79" i="1"/>
  <c r="W79" i="1" s="1"/>
  <c r="AG71" i="1"/>
  <c r="U71" i="1" s="1"/>
  <c r="S71" i="1" s="1"/>
  <c r="X71" i="1"/>
  <c r="AG63" i="1"/>
  <c r="AA59" i="1"/>
  <c r="AA47" i="1"/>
  <c r="W47" i="1" s="1"/>
  <c r="AA30" i="1"/>
  <c r="W30" i="1" s="1"/>
  <c r="AG15" i="1"/>
  <c r="T179" i="1"/>
  <c r="U222" i="1"/>
  <c r="S222" i="1" s="1"/>
  <c r="W107" i="1"/>
  <c r="X96" i="1"/>
  <c r="AA44" i="1"/>
  <c r="AI44" i="1" s="1"/>
  <c r="AG192" i="1"/>
  <c r="U192" i="1" s="1"/>
  <c r="S192" i="1" s="1"/>
  <c r="X192" i="1"/>
  <c r="AA189" i="1"/>
  <c r="AA188" i="1"/>
  <c r="X176" i="1"/>
  <c r="AA176" i="1"/>
  <c r="AI176" i="1" s="1"/>
  <c r="AA175" i="1"/>
  <c r="AA162" i="1"/>
  <c r="AA161" i="1"/>
  <c r="W161" i="1" s="1"/>
  <c r="AG160" i="1"/>
  <c r="U160" i="1" s="1"/>
  <c r="S160" i="1" s="1"/>
  <c r="X160" i="1"/>
  <c r="AG223" i="1"/>
  <c r="X223" i="1"/>
  <c r="AA209" i="1"/>
  <c r="AA208" i="1"/>
  <c r="AG206" i="1"/>
  <c r="X158" i="1"/>
  <c r="AA156" i="1"/>
  <c r="AI156" i="1" s="1"/>
  <c r="AA147" i="1"/>
  <c r="AG139" i="1"/>
  <c r="U139" i="1" s="1"/>
  <c r="S139" i="1" s="1"/>
  <c r="AG126" i="1"/>
  <c r="U126" i="1" s="1"/>
  <c r="S126" i="1" s="1"/>
  <c r="X126" i="1"/>
  <c r="X125" i="1"/>
  <c r="AG114" i="1"/>
  <c r="AA109" i="1"/>
  <c r="AI109" i="1" s="1"/>
  <c r="AA104" i="1"/>
  <c r="AG102" i="1"/>
  <c r="X102" i="1"/>
  <c r="AG99" i="1"/>
  <c r="U99" i="1" s="1"/>
  <c r="S99" i="1" s="1"/>
  <c r="X99" i="1"/>
  <c r="AA98" i="1"/>
  <c r="AA97" i="1"/>
  <c r="U91" i="1"/>
  <c r="S91" i="1" s="1"/>
  <c r="AA89" i="1"/>
  <c r="W89" i="1" s="1"/>
  <c r="AA71" i="1"/>
  <c r="AG70" i="1"/>
  <c r="U70" i="1" s="1"/>
  <c r="S70" i="1" s="1"/>
  <c r="AG67" i="1"/>
  <c r="AI67" i="1" s="1"/>
  <c r="AG59" i="1"/>
  <c r="U59" i="1" s="1"/>
  <c r="S59" i="1" s="1"/>
  <c r="X59" i="1"/>
  <c r="AG51" i="1"/>
  <c r="T132" i="1"/>
  <c r="U132" i="1" s="1"/>
  <c r="S132" i="1" s="1"/>
  <c r="AI108" i="1"/>
  <c r="AA39" i="1"/>
  <c r="AG28" i="1"/>
  <c r="AG16" i="1"/>
  <c r="U16" i="1" s="1"/>
  <c r="S16" i="1" s="1"/>
  <c r="U204" i="1"/>
  <c r="S204" i="1" s="1"/>
  <c r="U155" i="1"/>
  <c r="S155" i="1" s="1"/>
  <c r="X214" i="1"/>
  <c r="AA213" i="1"/>
  <c r="T199" i="1"/>
  <c r="U199" i="1" s="1"/>
  <c r="S199" i="1" s="1"/>
  <c r="X199" i="1"/>
  <c r="AG199" i="1"/>
  <c r="AA198" i="1"/>
  <c r="X196" i="1"/>
  <c r="AG196" i="1"/>
  <c r="X191" i="1"/>
  <c r="AA190" i="1"/>
  <c r="W190" i="1" s="1"/>
  <c r="T188" i="1"/>
  <c r="AG184" i="1"/>
  <c r="W184" i="1" s="1"/>
  <c r="X184" i="1"/>
  <c r="W165" i="1"/>
  <c r="X219" i="1"/>
  <c r="AG210" i="1"/>
  <c r="X211" i="1"/>
  <c r="AG208" i="1"/>
  <c r="W208" i="1" s="1"/>
  <c r="X208" i="1"/>
  <c r="AA207" i="1"/>
  <c r="AI207" i="1" s="1"/>
  <c r="X142" i="1"/>
  <c r="X143" i="1"/>
  <c r="AG122" i="1"/>
  <c r="W122" i="1" s="1"/>
  <c r="T122" i="1"/>
  <c r="W111" i="1"/>
  <c r="AI111" i="1"/>
  <c r="X204" i="1"/>
  <c r="T203" i="1"/>
  <c r="AG197" i="1"/>
  <c r="X197" i="1"/>
  <c r="AG218" i="1"/>
  <c r="T218" i="1"/>
  <c r="AG215" i="1"/>
  <c r="X215" i="1"/>
  <c r="AA204" i="1"/>
  <c r="W204" i="1" s="1"/>
  <c r="AG203" i="1"/>
  <c r="X203" i="1"/>
  <c r="AG188" i="1"/>
  <c r="AI188" i="1" s="1"/>
  <c r="T184" i="1"/>
  <c r="U175" i="1"/>
  <c r="S175" i="1" s="1"/>
  <c r="T208" i="1"/>
  <c r="AG148" i="1"/>
  <c r="X148" i="1"/>
  <c r="T148" i="1"/>
  <c r="U148" i="1" s="1"/>
  <c r="S148" i="1" s="1"/>
  <c r="W140" i="1"/>
  <c r="T129" i="1"/>
  <c r="AG129" i="1"/>
  <c r="AG127" i="1"/>
  <c r="AI127" i="1" s="1"/>
  <c r="X127" i="1"/>
  <c r="T127" i="1"/>
  <c r="T34" i="1"/>
  <c r="U34" i="1" s="1"/>
  <c r="S34" i="1" s="1"/>
  <c r="AG34" i="1"/>
  <c r="W214" i="1"/>
  <c r="AG183" i="1"/>
  <c r="T183" i="1"/>
  <c r="T214" i="1"/>
  <c r="U214" i="1" s="1"/>
  <c r="S214" i="1" s="1"/>
  <c r="T196" i="1"/>
  <c r="U196" i="1" s="1"/>
  <c r="S196" i="1" s="1"/>
  <c r="AG205" i="1"/>
  <c r="X206" i="1"/>
  <c r="X200" i="1"/>
  <c r="AA199" i="1"/>
  <c r="AI199" i="1" s="1"/>
  <c r="AA187" i="1"/>
  <c r="AG172" i="1"/>
  <c r="AA219" i="1"/>
  <c r="W219" i="1" s="1"/>
  <c r="T215" i="1"/>
  <c r="W156" i="1"/>
  <c r="AA155" i="1"/>
  <c r="W155" i="1" s="1"/>
  <c r="X147" i="1"/>
  <c r="AG147" i="1"/>
  <c r="T147" i="1"/>
  <c r="AA144" i="1"/>
  <c r="AI144" i="1" s="1"/>
  <c r="T54" i="1"/>
  <c r="X54" i="1"/>
  <c r="AG54" i="1"/>
  <c r="U180" i="1"/>
  <c r="S180" i="1" s="1"/>
  <c r="W175" i="1"/>
  <c r="W174" i="1"/>
  <c r="U169" i="1"/>
  <c r="S169" i="1" s="1"/>
  <c r="T165" i="1"/>
  <c r="U165" i="1" s="1"/>
  <c r="S165" i="1" s="1"/>
  <c r="T161" i="1"/>
  <c r="U161" i="1" s="1"/>
  <c r="S161" i="1" s="1"/>
  <c r="AA224" i="1"/>
  <c r="AA221" i="1"/>
  <c r="AI221" i="1" s="1"/>
  <c r="AI169" i="1"/>
  <c r="U206" i="1"/>
  <c r="S206" i="1" s="1"/>
  <c r="AA146" i="1"/>
  <c r="AA145" i="1"/>
  <c r="AA137" i="1"/>
  <c r="W137" i="1" s="1"/>
  <c r="W120" i="1"/>
  <c r="X110" i="1"/>
  <c r="X111" i="1"/>
  <c r="X83" i="1"/>
  <c r="AG83" i="1"/>
  <c r="U83" i="1" s="1"/>
  <c r="S83" i="1" s="1"/>
  <c r="X75" i="1"/>
  <c r="AG75" i="1"/>
  <c r="W75" i="1" s="1"/>
  <c r="AI71" i="1"/>
  <c r="T50" i="1"/>
  <c r="X50" i="1"/>
  <c r="AG50" i="1"/>
  <c r="X42" i="1"/>
  <c r="X43" i="1"/>
  <c r="T21" i="1"/>
  <c r="X21" i="1"/>
  <c r="AG21" i="1"/>
  <c r="AA183" i="1"/>
  <c r="X180" i="1"/>
  <c r="T176" i="1"/>
  <c r="U176" i="1" s="1"/>
  <c r="S176" i="1" s="1"/>
  <c r="X169" i="1"/>
  <c r="AA220" i="1"/>
  <c r="T219" i="1"/>
  <c r="U219" i="1" s="1"/>
  <c r="S219" i="1" s="1"/>
  <c r="T207" i="1"/>
  <c r="U207" i="1" s="1"/>
  <c r="S207" i="1" s="1"/>
  <c r="AA158" i="1"/>
  <c r="AA148" i="1"/>
  <c r="AI148" i="1" s="1"/>
  <c r="T144" i="1"/>
  <c r="U144" i="1" s="1"/>
  <c r="S144" i="1" s="1"/>
  <c r="AA142" i="1"/>
  <c r="AA129" i="1"/>
  <c r="AA128" i="1"/>
  <c r="T103" i="1"/>
  <c r="AG103" i="1"/>
  <c r="T82" i="1"/>
  <c r="AG82" i="1"/>
  <c r="AG80" i="1"/>
  <c r="X80" i="1"/>
  <c r="X55" i="1"/>
  <c r="AG55" i="1"/>
  <c r="U30" i="1"/>
  <c r="S30" i="1" s="1"/>
  <c r="T29" i="1"/>
  <c r="X29" i="1"/>
  <c r="AG29" i="1"/>
  <c r="AA16" i="1"/>
  <c r="AA201" i="1"/>
  <c r="W201" i="1" s="1"/>
  <c r="AA200" i="1"/>
  <c r="W200" i="1" s="1"/>
  <c r="AA195" i="1"/>
  <c r="AA182" i="1"/>
  <c r="AA181" i="1"/>
  <c r="AA170" i="1"/>
  <c r="AA160" i="1"/>
  <c r="AA159" i="1"/>
  <c r="AA222" i="1"/>
  <c r="W222" i="1" s="1"/>
  <c r="X207" i="1"/>
  <c r="X144" i="1"/>
  <c r="T135" i="1"/>
  <c r="AG135" i="1"/>
  <c r="AA135" i="1"/>
  <c r="AA123" i="1"/>
  <c r="W118" i="1"/>
  <c r="AA115" i="1"/>
  <c r="AA105" i="1"/>
  <c r="W105" i="1" s="1"/>
  <c r="AA95" i="1"/>
  <c r="AG84" i="1"/>
  <c r="T84" i="1"/>
  <c r="X84" i="1"/>
  <c r="T80" i="1"/>
  <c r="AA63" i="1"/>
  <c r="W63" i="1" s="1"/>
  <c r="T55" i="1"/>
  <c r="U55" i="1" s="1"/>
  <c r="S55" i="1" s="1"/>
  <c r="X22" i="1"/>
  <c r="AG22" i="1"/>
  <c r="AA131" i="1"/>
  <c r="T118" i="1"/>
  <c r="U118" i="1" s="1"/>
  <c r="S118" i="1" s="1"/>
  <c r="X112" i="1"/>
  <c r="T111" i="1"/>
  <c r="U111" i="1" s="1"/>
  <c r="S111" i="1" s="1"/>
  <c r="AI107" i="1"/>
  <c r="AA99" i="1"/>
  <c r="T96" i="1"/>
  <c r="U96" i="1" s="1"/>
  <c r="S96" i="1" s="1"/>
  <c r="X95" i="1"/>
  <c r="W78" i="1"/>
  <c r="AA70" i="1"/>
  <c r="W70" i="1" s="1"/>
  <c r="AA65" i="1"/>
  <c r="X63" i="1"/>
  <c r="X44" i="1"/>
  <c r="X30" i="1"/>
  <c r="AA25" i="1"/>
  <c r="W25" i="1" s="1"/>
  <c r="U24" i="1"/>
  <c r="S24" i="1" s="1"/>
  <c r="X16" i="1"/>
  <c r="AA14" i="1"/>
  <c r="AI14" i="1" s="1"/>
  <c r="AG131" i="1"/>
  <c r="AA114" i="1"/>
  <c r="W114" i="1" s="1"/>
  <c r="AA113" i="1"/>
  <c r="X100" i="1"/>
  <c r="X94" i="1"/>
  <c r="AA93" i="1"/>
  <c r="W93" i="1" s="1"/>
  <c r="AG86" i="1"/>
  <c r="X86" i="1"/>
  <c r="AA62" i="1"/>
  <c r="W62" i="1" s="1"/>
  <c r="AA57" i="1"/>
  <c r="W51" i="1"/>
  <c r="AA48" i="1"/>
  <c r="AI48" i="1" s="1"/>
  <c r="T48" i="1"/>
  <c r="U48" i="1" s="1"/>
  <c r="S48" i="1" s="1"/>
  <c r="AA46" i="1"/>
  <c r="W46" i="1" s="1"/>
  <c r="AA45" i="1"/>
  <c r="U43" i="1"/>
  <c r="S43" i="1" s="1"/>
  <c r="AA33" i="1"/>
  <c r="W33" i="1" s="1"/>
  <c r="AA27" i="1"/>
  <c r="AA20" i="1"/>
  <c r="W20" i="1" s="1"/>
  <c r="U114" i="1"/>
  <c r="S114" i="1" s="1"/>
  <c r="T112" i="1"/>
  <c r="AA110" i="1"/>
  <c r="AA84" i="1"/>
  <c r="W84" i="1" s="1"/>
  <c r="AA82" i="1"/>
  <c r="AA81" i="1"/>
  <c r="AA77" i="1"/>
  <c r="U74" i="1"/>
  <c r="S74" i="1" s="1"/>
  <c r="AA69" i="1"/>
  <c r="AA54" i="1"/>
  <c r="AA52" i="1"/>
  <c r="U46" i="1"/>
  <c r="S46" i="1" s="1"/>
  <c r="T44" i="1"/>
  <c r="U44" i="1" s="1"/>
  <c r="S44" i="1" s="1"/>
  <c r="AA42" i="1"/>
  <c r="AA36" i="1"/>
  <c r="AA34" i="1"/>
  <c r="AA31" i="1"/>
  <c r="AA29" i="1"/>
  <c r="AI29" i="1" s="1"/>
  <c r="U26" i="1"/>
  <c r="S26" i="1" s="1"/>
  <c r="AA21" i="1"/>
  <c r="AA19" i="1"/>
  <c r="W205" i="1"/>
  <c r="T170" i="1"/>
  <c r="X170" i="1"/>
  <c r="AG170" i="1"/>
  <c r="AI100" i="1"/>
  <c r="W100" i="1"/>
  <c r="T213" i="1"/>
  <c r="T198" i="1"/>
  <c r="X198" i="1"/>
  <c r="T194" i="1"/>
  <c r="X194" i="1"/>
  <c r="T182" i="1"/>
  <c r="X182" i="1"/>
  <c r="T178" i="1"/>
  <c r="X178" i="1"/>
  <c r="T167" i="1"/>
  <c r="X167" i="1"/>
  <c r="U223" i="1"/>
  <c r="S223" i="1" s="1"/>
  <c r="T220" i="1"/>
  <c r="X220" i="1"/>
  <c r="AG220" i="1"/>
  <c r="AG213" i="1"/>
  <c r="T205" i="1"/>
  <c r="U205" i="1" s="1"/>
  <c r="S205" i="1" s="1"/>
  <c r="T202" i="1"/>
  <c r="X202" i="1"/>
  <c r="AG202" i="1"/>
  <c r="T201" i="1"/>
  <c r="U201" i="1" s="1"/>
  <c r="S201" i="1" s="1"/>
  <c r="AG198" i="1"/>
  <c r="X195" i="1"/>
  <c r="AG195" i="1"/>
  <c r="AG194" i="1"/>
  <c r="AG193" i="1"/>
  <c r="W193" i="1" s="1"/>
  <c r="T193" i="1"/>
  <c r="AA191" i="1"/>
  <c r="W191" i="1" s="1"/>
  <c r="U191" i="1"/>
  <c r="S191" i="1" s="1"/>
  <c r="T189" i="1"/>
  <c r="AG189" i="1"/>
  <c r="X189" i="1"/>
  <c r="AA186" i="1"/>
  <c r="T185" i="1"/>
  <c r="X185" i="1"/>
  <c r="AG185" i="1"/>
  <c r="X183" i="1"/>
  <c r="AG182" i="1"/>
  <c r="AG178" i="1"/>
  <c r="T173" i="1"/>
  <c r="AG173" i="1"/>
  <c r="T171" i="1"/>
  <c r="AG171" i="1"/>
  <c r="W171" i="1" s="1"/>
  <c r="AG167" i="1"/>
  <c r="W207" i="1"/>
  <c r="U134" i="1"/>
  <c r="S134" i="1" s="1"/>
  <c r="T212" i="1"/>
  <c r="U212" i="1" s="1"/>
  <c r="S212" i="1" s="1"/>
  <c r="X212" i="1"/>
  <c r="X205" i="1"/>
  <c r="U203" i="1"/>
  <c r="S203" i="1" s="1"/>
  <c r="U200" i="1"/>
  <c r="S200" i="1" s="1"/>
  <c r="T186" i="1"/>
  <c r="X186" i="1"/>
  <c r="AG186" i="1"/>
  <c r="X187" i="1"/>
  <c r="T181" i="1"/>
  <c r="X181" i="1"/>
  <c r="AG181" i="1"/>
  <c r="U179" i="1"/>
  <c r="S179" i="1" s="1"/>
  <c r="X179" i="1"/>
  <c r="X168" i="1"/>
  <c r="T224" i="1"/>
  <c r="X224" i="1"/>
  <c r="AG224" i="1"/>
  <c r="T217" i="1"/>
  <c r="X217" i="1"/>
  <c r="AG217" i="1"/>
  <c r="X218" i="1"/>
  <c r="U131" i="1"/>
  <c r="AA203" i="1"/>
  <c r="T190" i="1"/>
  <c r="U190" i="1" s="1"/>
  <c r="S190" i="1" s="1"/>
  <c r="X190" i="1"/>
  <c r="AA179" i="1"/>
  <c r="W179" i="1" s="1"/>
  <c r="AA178" i="1"/>
  <c r="T177" i="1"/>
  <c r="X177" i="1"/>
  <c r="AG177" i="1"/>
  <c r="T174" i="1"/>
  <c r="U174" i="1" s="1"/>
  <c r="S174" i="1" s="1"/>
  <c r="AA164" i="1"/>
  <c r="W164" i="1" s="1"/>
  <c r="AA163" i="1"/>
  <c r="W163" i="1" s="1"/>
  <c r="T162" i="1"/>
  <c r="X162" i="1"/>
  <c r="AG162" i="1"/>
  <c r="T159" i="1"/>
  <c r="U159" i="1" s="1"/>
  <c r="S159" i="1" s="1"/>
  <c r="X159" i="1"/>
  <c r="X222" i="1"/>
  <c r="AA211" i="1"/>
  <c r="AA210" i="1"/>
  <c r="W210" i="1" s="1"/>
  <c r="T209" i="1"/>
  <c r="X209" i="1"/>
  <c r="AG209" i="1"/>
  <c r="AI132" i="1"/>
  <c r="W132" i="1"/>
  <c r="AA168" i="1"/>
  <c r="W168" i="1" s="1"/>
  <c r="AA167" i="1"/>
  <c r="T166" i="1"/>
  <c r="X166" i="1"/>
  <c r="AG166" i="1"/>
  <c r="T163" i="1"/>
  <c r="U163" i="1" s="1"/>
  <c r="S163" i="1" s="1"/>
  <c r="X163" i="1"/>
  <c r="AI174" i="1"/>
  <c r="AA218" i="1"/>
  <c r="W218" i="1" s="1"/>
  <c r="AA217" i="1"/>
  <c r="T216" i="1"/>
  <c r="X216" i="1"/>
  <c r="AG216" i="1"/>
  <c r="T210" i="1"/>
  <c r="U210" i="1" s="1"/>
  <c r="S210" i="1" s="1"/>
  <c r="X210" i="1"/>
  <c r="AA157" i="1"/>
  <c r="W157" i="1" s="1"/>
  <c r="X155" i="1"/>
  <c r="X154" i="1"/>
  <c r="AG154" i="1"/>
  <c r="AG152" i="1"/>
  <c r="W152" i="1" s="1"/>
  <c r="X152" i="1"/>
  <c r="T152" i="1"/>
  <c r="T145" i="1"/>
  <c r="X145" i="1"/>
  <c r="X146" i="1"/>
  <c r="AG145" i="1"/>
  <c r="AA141" i="1"/>
  <c r="W141" i="1" s="1"/>
  <c r="X139" i="1"/>
  <c r="X138" i="1"/>
  <c r="AG138" i="1"/>
  <c r="AG136" i="1"/>
  <c r="W136" i="1" s="1"/>
  <c r="X136" i="1"/>
  <c r="T136" i="1"/>
  <c r="T128" i="1"/>
  <c r="X128" i="1"/>
  <c r="X129" i="1"/>
  <c r="AG128" i="1"/>
  <c r="W128" i="1" s="1"/>
  <c r="AA124" i="1"/>
  <c r="W124" i="1" s="1"/>
  <c r="X122" i="1"/>
  <c r="X121" i="1"/>
  <c r="AG121" i="1"/>
  <c r="T119" i="1"/>
  <c r="X119" i="1"/>
  <c r="AG119" i="1"/>
  <c r="W119" i="1" s="1"/>
  <c r="W40" i="1"/>
  <c r="T221" i="1"/>
  <c r="U221" i="1" s="1"/>
  <c r="S221" i="1" s="1"/>
  <c r="X221" i="1"/>
  <c r="T116" i="1"/>
  <c r="X116" i="1"/>
  <c r="AG116" i="1"/>
  <c r="X117" i="1"/>
  <c r="U58" i="1"/>
  <c r="S58" i="1" s="1"/>
  <c r="T158" i="1"/>
  <c r="T149" i="1"/>
  <c r="X149" i="1"/>
  <c r="T142" i="1"/>
  <c r="T133" i="1"/>
  <c r="X133" i="1"/>
  <c r="T125" i="1"/>
  <c r="T113" i="1"/>
  <c r="X113" i="1"/>
  <c r="X114" i="1"/>
  <c r="AG113" i="1"/>
  <c r="X107" i="1"/>
  <c r="X106" i="1"/>
  <c r="AG106" i="1"/>
  <c r="AG104" i="1"/>
  <c r="X104" i="1"/>
  <c r="T104" i="1"/>
  <c r="T97" i="1"/>
  <c r="X97" i="1"/>
  <c r="X98" i="1"/>
  <c r="AG97" i="1"/>
  <c r="X91" i="1"/>
  <c r="X90" i="1"/>
  <c r="AG90" i="1"/>
  <c r="AG88" i="1"/>
  <c r="X88" i="1"/>
  <c r="T88" i="1"/>
  <c r="T81" i="1"/>
  <c r="X81" i="1"/>
  <c r="X82" i="1"/>
  <c r="AG81" i="1"/>
  <c r="T76" i="1"/>
  <c r="X76" i="1"/>
  <c r="AG76" i="1"/>
  <c r="AG158" i="1"/>
  <c r="T156" i="1"/>
  <c r="U156" i="1" s="1"/>
  <c r="S156" i="1" s="1"/>
  <c r="T153" i="1"/>
  <c r="U153" i="1" s="1"/>
  <c r="S153" i="1" s="1"/>
  <c r="X153" i="1"/>
  <c r="X151" i="1"/>
  <c r="AA150" i="1"/>
  <c r="AG149" i="1"/>
  <c r="AG142" i="1"/>
  <c r="T140" i="1"/>
  <c r="U140" i="1" s="1"/>
  <c r="S140" i="1" s="1"/>
  <c r="T137" i="1"/>
  <c r="U137" i="1" s="1"/>
  <c r="S137" i="1" s="1"/>
  <c r="X137" i="1"/>
  <c r="X135" i="1"/>
  <c r="AA134" i="1"/>
  <c r="AG133" i="1"/>
  <c r="AG125" i="1"/>
  <c r="T123" i="1"/>
  <c r="U123" i="1" s="1"/>
  <c r="S123" i="1" s="1"/>
  <c r="T120" i="1"/>
  <c r="U120" i="1" s="1"/>
  <c r="S120" i="1" s="1"/>
  <c r="X120" i="1"/>
  <c r="W108" i="1"/>
  <c r="U102" i="1"/>
  <c r="S102" i="1" s="1"/>
  <c r="U86" i="1"/>
  <c r="S86" i="1" s="1"/>
  <c r="U79" i="1"/>
  <c r="S79" i="1" s="1"/>
  <c r="T157" i="1"/>
  <c r="U157" i="1" s="1"/>
  <c r="S157" i="1" s="1"/>
  <c r="X157" i="1"/>
  <c r="X156" i="1"/>
  <c r="AA154" i="1"/>
  <c r="T141" i="1"/>
  <c r="U141" i="1" s="1"/>
  <c r="S141" i="1" s="1"/>
  <c r="X141" i="1"/>
  <c r="X140" i="1"/>
  <c r="AA138" i="1"/>
  <c r="T124" i="1"/>
  <c r="U124" i="1" s="1"/>
  <c r="S124" i="1" s="1"/>
  <c r="X124" i="1"/>
  <c r="X123" i="1"/>
  <c r="AA121" i="1"/>
  <c r="AA117" i="1"/>
  <c r="AA116" i="1"/>
  <c r="T106" i="1"/>
  <c r="T90" i="1"/>
  <c r="T73" i="1"/>
  <c r="X73" i="1"/>
  <c r="AG73" i="1"/>
  <c r="X74" i="1"/>
  <c r="U66" i="1"/>
  <c r="S66" i="1" s="1"/>
  <c r="W112" i="1"/>
  <c r="T110" i="1"/>
  <c r="T101" i="1"/>
  <c r="X101" i="1"/>
  <c r="W96" i="1"/>
  <c r="T94" i="1"/>
  <c r="U87" i="1"/>
  <c r="S87" i="1" s="1"/>
  <c r="T85" i="1"/>
  <c r="X85" i="1"/>
  <c r="T77" i="1"/>
  <c r="X77" i="1"/>
  <c r="T65" i="1"/>
  <c r="X65" i="1"/>
  <c r="AG65" i="1"/>
  <c r="W65" i="1" s="1"/>
  <c r="X66" i="1"/>
  <c r="T57" i="1"/>
  <c r="X57" i="1"/>
  <c r="AG57" i="1"/>
  <c r="X58" i="1"/>
  <c r="AG115" i="1"/>
  <c r="U112" i="1"/>
  <c r="S112" i="1" s="1"/>
  <c r="AG110" i="1"/>
  <c r="T108" i="1"/>
  <c r="U108" i="1" s="1"/>
  <c r="S108" i="1" s="1"/>
  <c r="T105" i="1"/>
  <c r="U105" i="1" s="1"/>
  <c r="S105" i="1" s="1"/>
  <c r="X105" i="1"/>
  <c r="X103" i="1"/>
  <c r="AA102" i="1"/>
  <c r="W102" i="1" s="1"/>
  <c r="AG101" i="1"/>
  <c r="AG94" i="1"/>
  <c r="T92" i="1"/>
  <c r="U92" i="1" s="1"/>
  <c r="S92" i="1" s="1"/>
  <c r="T89" i="1"/>
  <c r="U89" i="1" s="1"/>
  <c r="S89" i="1" s="1"/>
  <c r="X89" i="1"/>
  <c r="X87" i="1"/>
  <c r="AA86" i="1"/>
  <c r="W86" i="1" s="1"/>
  <c r="AG85" i="1"/>
  <c r="AI78" i="1"/>
  <c r="X78" i="1"/>
  <c r="AG77" i="1"/>
  <c r="AA66" i="1"/>
  <c r="U63" i="1"/>
  <c r="S63" i="1" s="1"/>
  <c r="AA58" i="1"/>
  <c r="W58" i="1" s="1"/>
  <c r="AG52" i="1"/>
  <c r="X52" i="1"/>
  <c r="T52" i="1"/>
  <c r="T45" i="1"/>
  <c r="X45" i="1"/>
  <c r="X46" i="1"/>
  <c r="AG45" i="1"/>
  <c r="AA41" i="1"/>
  <c r="W41" i="1" s="1"/>
  <c r="X39" i="1"/>
  <c r="X38" i="1"/>
  <c r="AG38" i="1"/>
  <c r="AG36" i="1"/>
  <c r="T36" i="1"/>
  <c r="X36" i="1"/>
  <c r="T27" i="1"/>
  <c r="X27" i="1"/>
  <c r="AG27" i="1"/>
  <c r="X115" i="1"/>
  <c r="T109" i="1"/>
  <c r="U109" i="1" s="1"/>
  <c r="S109" i="1" s="1"/>
  <c r="X109" i="1"/>
  <c r="X108" i="1"/>
  <c r="AA106" i="1"/>
  <c r="W106" i="1" s="1"/>
  <c r="T93" i="1"/>
  <c r="U93" i="1" s="1"/>
  <c r="S93" i="1" s="1"/>
  <c r="X93" i="1"/>
  <c r="X92" i="1"/>
  <c r="AA90" i="1"/>
  <c r="W90" i="1" s="1"/>
  <c r="AA74" i="1"/>
  <c r="W74" i="1" s="1"/>
  <c r="AA73" i="1"/>
  <c r="T69" i="1"/>
  <c r="X69" i="1"/>
  <c r="AG69" i="1"/>
  <c r="X70" i="1"/>
  <c r="T61" i="1"/>
  <c r="X61" i="1"/>
  <c r="AG61" i="1"/>
  <c r="W61" i="1" s="1"/>
  <c r="X62" i="1"/>
  <c r="U28" i="1"/>
  <c r="S28" i="1" s="1"/>
  <c r="U51" i="1"/>
  <c r="S51" i="1" s="1"/>
  <c r="T49" i="1"/>
  <c r="X49" i="1"/>
  <c r="W44" i="1"/>
  <c r="T42" i="1"/>
  <c r="T23" i="1"/>
  <c r="X23" i="1"/>
  <c r="AG23" i="1"/>
  <c r="W14" i="1"/>
  <c r="AG72" i="1"/>
  <c r="AG68" i="1"/>
  <c r="W68" i="1" s="1"/>
  <c r="AG64" i="1"/>
  <c r="AG60" i="1"/>
  <c r="AG56" i="1"/>
  <c r="T53" i="1"/>
  <c r="U53" i="1" s="1"/>
  <c r="S53" i="1" s="1"/>
  <c r="X53" i="1"/>
  <c r="X51" i="1"/>
  <c r="AA50" i="1"/>
  <c r="AG49" i="1"/>
  <c r="AG42" i="1"/>
  <c r="T40" i="1"/>
  <c r="U40" i="1" s="1"/>
  <c r="S40" i="1" s="1"/>
  <c r="T37" i="1"/>
  <c r="U37" i="1" s="1"/>
  <c r="S37" i="1" s="1"/>
  <c r="X37" i="1"/>
  <c r="AA28" i="1"/>
  <c r="W28" i="1" s="1"/>
  <c r="AI20" i="1"/>
  <c r="T19" i="1"/>
  <c r="AG19" i="1"/>
  <c r="X72" i="1"/>
  <c r="X68" i="1"/>
  <c r="X64" i="1"/>
  <c r="X60" i="1"/>
  <c r="X56" i="1"/>
  <c r="AI51" i="1"/>
  <c r="AI46" i="1"/>
  <c r="T41" i="1"/>
  <c r="U41" i="1" s="1"/>
  <c r="S41" i="1" s="1"/>
  <c r="X41" i="1"/>
  <c r="X40" i="1"/>
  <c r="AA38" i="1"/>
  <c r="W38" i="1" s="1"/>
  <c r="T31" i="1"/>
  <c r="X31" i="1"/>
  <c r="AG31" i="1"/>
  <c r="AA24" i="1"/>
  <c r="W24" i="1" s="1"/>
  <c r="U29" i="1"/>
  <c r="S29" i="1" s="1"/>
  <c r="U15" i="1"/>
  <c r="S15" i="1" s="1"/>
  <c r="X28" i="1"/>
  <c r="X24" i="1"/>
  <c r="AI15" i="1"/>
  <c r="B3" i="6"/>
  <c r="B4" i="6"/>
  <c r="B5" i="6"/>
  <c r="B6" i="6"/>
  <c r="F6" i="6" s="1"/>
  <c r="B7" i="6"/>
  <c r="H7" i="6" s="1"/>
  <c r="B8" i="6"/>
  <c r="G8" i="6" s="1"/>
  <c r="B9" i="6"/>
  <c r="F9" i="6" s="1"/>
  <c r="B10" i="6"/>
  <c r="F10" i="6" s="1"/>
  <c r="F7" i="6"/>
  <c r="G7" i="6"/>
  <c r="L37" i="3"/>
  <c r="L16" i="3"/>
  <c r="L15" i="3"/>
  <c r="L42" i="3"/>
  <c r="L7" i="3"/>
  <c r="L33" i="3"/>
  <c r="L43" i="3"/>
  <c r="L40" i="3"/>
  <c r="L31" i="3"/>
  <c r="L9" i="3"/>
  <c r="L32" i="3"/>
  <c r="L10" i="3"/>
  <c r="L20" i="3"/>
  <c r="L50" i="3"/>
  <c r="L21" i="3"/>
  <c r="L17" i="3"/>
  <c r="L48" i="3"/>
  <c r="L51" i="3"/>
  <c r="L52" i="3"/>
  <c r="L11" i="3"/>
  <c r="L22" i="3"/>
  <c r="L27" i="3"/>
  <c r="L18" i="3"/>
  <c r="L34" i="3"/>
  <c r="L44" i="3"/>
  <c r="L14" i="3"/>
  <c r="L13" i="3"/>
  <c r="L35" i="3"/>
  <c r="L41" i="3"/>
  <c r="L36" i="3"/>
  <c r="L28" i="3"/>
  <c r="L29" i="3"/>
  <c r="L8" i="3"/>
  <c r="L19" i="3"/>
  <c r="L45" i="3"/>
  <c r="L12" i="3"/>
  <c r="L38" i="3"/>
  <c r="L49" i="3"/>
  <c r="L39" i="3"/>
  <c r="L46" i="3"/>
  <c r="L23" i="3"/>
  <c r="L30" i="3"/>
  <c r="L47" i="3"/>
  <c r="L24" i="3"/>
  <c r="L25" i="3"/>
  <c r="S26" i="3"/>
  <c r="R26" i="3" s="1"/>
  <c r="T26" i="3"/>
  <c r="U26" i="3"/>
  <c r="V26" i="3"/>
  <c r="S130" i="1" l="1"/>
  <c r="AI130" i="1"/>
  <c r="U130" i="1"/>
  <c r="I10" i="6"/>
  <c r="U32" i="1"/>
  <c r="S32" i="1" s="1"/>
  <c r="AI32" i="1"/>
  <c r="AI33" i="1"/>
  <c r="W69" i="1"/>
  <c r="W150" i="1"/>
  <c r="W166" i="1"/>
  <c r="W185" i="1"/>
  <c r="W92" i="1"/>
  <c r="AI47" i="1"/>
  <c r="AI98" i="1"/>
  <c r="W36" i="1"/>
  <c r="W66" i="1"/>
  <c r="AI213" i="1"/>
  <c r="W170" i="1"/>
  <c r="W160" i="1"/>
  <c r="AI80" i="1"/>
  <c r="W129" i="1"/>
  <c r="W183" i="1"/>
  <c r="U50" i="1"/>
  <c r="AI35" i="1"/>
  <c r="W206" i="1"/>
  <c r="W139" i="1"/>
  <c r="AI43" i="1"/>
  <c r="W180" i="1"/>
  <c r="W18" i="1"/>
  <c r="W134" i="1"/>
  <c r="AI222" i="1"/>
  <c r="U135" i="1"/>
  <c r="S135" i="1" s="1"/>
  <c r="W176" i="1"/>
  <c r="AI190" i="1"/>
  <c r="W113" i="1"/>
  <c r="W178" i="1"/>
  <c r="W198" i="1"/>
  <c r="W34" i="1"/>
  <c r="W135" i="1"/>
  <c r="W35" i="1"/>
  <c r="AI196" i="1"/>
  <c r="W39" i="1"/>
  <c r="W71" i="1"/>
  <c r="AI175" i="1"/>
  <c r="W26" i="1"/>
  <c r="AI129" i="1"/>
  <c r="W211" i="1"/>
  <c r="W109" i="1"/>
  <c r="AI192" i="1"/>
  <c r="W80" i="1"/>
  <c r="W121" i="1"/>
  <c r="W23" i="1"/>
  <c r="W21" i="1"/>
  <c r="AI84" i="1"/>
  <c r="U103" i="1"/>
  <c r="S103" i="1" s="1"/>
  <c r="U147" i="1"/>
  <c r="S147" i="1" s="1"/>
  <c r="W98" i="1"/>
  <c r="AI103" i="1"/>
  <c r="W143" i="1"/>
  <c r="W87" i="1"/>
  <c r="U164" i="1"/>
  <c r="S164" i="1" s="1"/>
  <c r="AI151" i="1"/>
  <c r="W95" i="1"/>
  <c r="U21" i="1"/>
  <c r="S21" i="1" s="1"/>
  <c r="U218" i="1"/>
  <c r="S218" i="1" s="1"/>
  <c r="AI217" i="1"/>
  <c r="W52" i="1"/>
  <c r="AI93" i="1"/>
  <c r="AI135" i="1"/>
  <c r="W195" i="1"/>
  <c r="W212" i="1"/>
  <c r="AI87" i="1"/>
  <c r="W45" i="1"/>
  <c r="U80" i="1"/>
  <c r="S80" i="1" s="1"/>
  <c r="W117" i="1"/>
  <c r="U151" i="1"/>
  <c r="S151" i="1" s="1"/>
  <c r="U84" i="1"/>
  <c r="S84" i="1" s="1"/>
  <c r="W16" i="1"/>
  <c r="AI30" i="1"/>
  <c r="AI153" i="1"/>
  <c r="AI161" i="1"/>
  <c r="W197" i="1"/>
  <c r="AI59" i="1"/>
  <c r="AI114" i="1"/>
  <c r="W192" i="1"/>
  <c r="AI126" i="1"/>
  <c r="W49" i="1"/>
  <c r="AI62" i="1"/>
  <c r="AI70" i="1"/>
  <c r="W101" i="1"/>
  <c r="W116" i="1"/>
  <c r="AI99" i="1"/>
  <c r="W216" i="1"/>
  <c r="AI191" i="1"/>
  <c r="W203" i="1"/>
  <c r="AI171" i="1"/>
  <c r="W221" i="1"/>
  <c r="W54" i="1"/>
  <c r="U67" i="1"/>
  <c r="S67" i="1" s="1"/>
  <c r="W99" i="1"/>
  <c r="W91" i="1"/>
  <c r="AI55" i="1"/>
  <c r="U143" i="1"/>
  <c r="S143" i="1" s="1"/>
  <c r="W147" i="1"/>
  <c r="W187" i="1"/>
  <c r="W199" i="1"/>
  <c r="F8" i="6"/>
  <c r="G9" i="6"/>
  <c r="I9" i="6"/>
  <c r="U188" i="1"/>
  <c r="S188" i="1" s="1"/>
  <c r="AI21" i="1"/>
  <c r="AI83" i="1"/>
  <c r="AI195" i="1"/>
  <c r="S131" i="1"/>
  <c r="W103" i="1"/>
  <c r="W83" i="1"/>
  <c r="W213" i="1"/>
  <c r="AI89" i="1"/>
  <c r="AI25" i="1"/>
  <c r="W110" i="1"/>
  <c r="W148" i="1"/>
  <c r="AI147" i="1"/>
  <c r="AI16" i="1"/>
  <c r="AI105" i="1"/>
  <c r="W142" i="1"/>
  <c r="AI220" i="1"/>
  <c r="S50" i="1"/>
  <c r="W126" i="1"/>
  <c r="W146" i="1"/>
  <c r="U183" i="1"/>
  <c r="S183" i="1" s="1"/>
  <c r="AI79" i="1"/>
  <c r="W223" i="1"/>
  <c r="W67" i="1"/>
  <c r="W59" i="1"/>
  <c r="AI34" i="1"/>
  <c r="AI86" i="1"/>
  <c r="AI157" i="1"/>
  <c r="W167" i="1"/>
  <c r="AI187" i="1"/>
  <c r="W182" i="1"/>
  <c r="W29" i="1"/>
  <c r="AI82" i="1"/>
  <c r="AI95" i="1"/>
  <c r="AI54" i="1"/>
  <c r="U129" i="1"/>
  <c r="S129" i="1" s="1"/>
  <c r="AI39" i="1"/>
  <c r="U215" i="1"/>
  <c r="S215" i="1" s="1"/>
  <c r="U54" i="1"/>
  <c r="S54" i="1" s="1"/>
  <c r="U127" i="1"/>
  <c r="S127" i="1" s="1"/>
  <c r="AI183" i="1"/>
  <c r="W55" i="1"/>
  <c r="AI200" i="1"/>
  <c r="U122" i="1"/>
  <c r="S122" i="1" s="1"/>
  <c r="AI122" i="1"/>
  <c r="W215" i="1"/>
  <c r="AI204" i="1"/>
  <c r="U22" i="1"/>
  <c r="S22" i="1" s="1"/>
  <c r="AI22" i="1"/>
  <c r="W159" i="1"/>
  <c r="AI159" i="1"/>
  <c r="W50" i="1"/>
  <c r="AI50" i="1"/>
  <c r="W48" i="1"/>
  <c r="W127" i="1"/>
  <c r="AI58" i="1"/>
  <c r="AI124" i="1"/>
  <c r="W131" i="1"/>
  <c r="AI131" i="1"/>
  <c r="AI216" i="1"/>
  <c r="AI123" i="1"/>
  <c r="W123" i="1"/>
  <c r="AI63" i="1"/>
  <c r="U82" i="1"/>
  <c r="S82" i="1" s="1"/>
  <c r="U75" i="1"/>
  <c r="S75" i="1" s="1"/>
  <c r="AI75" i="1"/>
  <c r="U172" i="1"/>
  <c r="S172" i="1" s="1"/>
  <c r="AI172" i="1"/>
  <c r="W196" i="1"/>
  <c r="W188" i="1"/>
  <c r="U208" i="1"/>
  <c r="S208" i="1" s="1"/>
  <c r="AI208" i="1"/>
  <c r="AI146" i="1"/>
  <c r="AI117" i="1"/>
  <c r="W144" i="1"/>
  <c r="AI141" i="1"/>
  <c r="AI203" i="1"/>
  <c r="U197" i="1"/>
  <c r="S197" i="1" s="1"/>
  <c r="W224" i="1"/>
  <c r="AI224" i="1"/>
  <c r="W82" i="1"/>
  <c r="W22" i="1"/>
  <c r="W172" i="1"/>
  <c r="AI137" i="1"/>
  <c r="AI160" i="1"/>
  <c r="U184" i="1"/>
  <c r="S184" i="1" s="1"/>
  <c r="AI184" i="1"/>
  <c r="AI155" i="1"/>
  <c r="AI42" i="1"/>
  <c r="U42" i="1"/>
  <c r="S42" i="1" s="1"/>
  <c r="AI73" i="1"/>
  <c r="U73" i="1"/>
  <c r="S73" i="1" s="1"/>
  <c r="AI167" i="1"/>
  <c r="U217" i="1"/>
  <c r="S217" i="1" s="1"/>
  <c r="U173" i="1"/>
  <c r="S173" i="1" s="1"/>
  <c r="AI189" i="1"/>
  <c r="U60" i="1"/>
  <c r="S60" i="1" s="1"/>
  <c r="AI60" i="1"/>
  <c r="U27" i="1"/>
  <c r="S27" i="1" s="1"/>
  <c r="AI27" i="1"/>
  <c r="AI77" i="1"/>
  <c r="U77" i="1"/>
  <c r="S77" i="1" s="1"/>
  <c r="AI94" i="1"/>
  <c r="U94" i="1"/>
  <c r="S94" i="1" s="1"/>
  <c r="AI66" i="1"/>
  <c r="W138" i="1"/>
  <c r="W60" i="1"/>
  <c r="AI142" i="1"/>
  <c r="U142" i="1"/>
  <c r="S142" i="1" s="1"/>
  <c r="U76" i="1"/>
  <c r="S76" i="1" s="1"/>
  <c r="AI76" i="1"/>
  <c r="AI106" i="1"/>
  <c r="U106" i="1"/>
  <c r="S106" i="1" s="1"/>
  <c r="AI116" i="1"/>
  <c r="U116" i="1"/>
  <c r="S116" i="1" s="1"/>
  <c r="U119" i="1"/>
  <c r="S119" i="1" s="1"/>
  <c r="AI119" i="1"/>
  <c r="W217" i="1"/>
  <c r="U166" i="1"/>
  <c r="S166" i="1" s="1"/>
  <c r="AI181" i="1"/>
  <c r="U162" i="1"/>
  <c r="S162" i="1" s="1"/>
  <c r="AI177" i="1"/>
  <c r="W162" i="1"/>
  <c r="AI219" i="1"/>
  <c r="AI186" i="1"/>
  <c r="U171" i="1"/>
  <c r="S171" i="1" s="1"/>
  <c r="U189" i="1"/>
  <c r="S189" i="1" s="1"/>
  <c r="AI205" i="1"/>
  <c r="W189" i="1"/>
  <c r="AI211" i="1"/>
  <c r="U195" i="1"/>
  <c r="S195" i="1" s="1"/>
  <c r="AI164" i="1"/>
  <c r="AI163" i="1"/>
  <c r="AI179" i="1"/>
  <c r="U31" i="1"/>
  <c r="S31" i="1" s="1"/>
  <c r="AI31" i="1"/>
  <c r="U19" i="1"/>
  <c r="S19" i="1" s="1"/>
  <c r="AI19" i="1"/>
  <c r="U56" i="1"/>
  <c r="S56" i="1" s="1"/>
  <c r="AI56" i="1"/>
  <c r="W56" i="1"/>
  <c r="U72" i="1"/>
  <c r="S72" i="1" s="1"/>
  <c r="AI72" i="1"/>
  <c r="W72" i="1"/>
  <c r="AI61" i="1"/>
  <c r="U61" i="1"/>
  <c r="S61" i="1" s="1"/>
  <c r="AI69" i="1"/>
  <c r="U69" i="1"/>
  <c r="S69" i="1" s="1"/>
  <c r="U115" i="1"/>
  <c r="S115" i="1" s="1"/>
  <c r="AI115" i="1"/>
  <c r="W115" i="1"/>
  <c r="AI125" i="1"/>
  <c r="U125" i="1"/>
  <c r="S125" i="1" s="1"/>
  <c r="AI81" i="1"/>
  <c r="U81" i="1"/>
  <c r="S81" i="1" s="1"/>
  <c r="U104" i="1"/>
  <c r="S104" i="1" s="1"/>
  <c r="AI104" i="1"/>
  <c r="AI113" i="1"/>
  <c r="U113" i="1"/>
  <c r="S113" i="1" s="1"/>
  <c r="AI121" i="1"/>
  <c r="U121" i="1"/>
  <c r="S121" i="1" s="1"/>
  <c r="AI128" i="1"/>
  <c r="U128" i="1"/>
  <c r="S128" i="1" s="1"/>
  <c r="AI138" i="1"/>
  <c r="U138" i="1"/>
  <c r="S138" i="1" s="1"/>
  <c r="AI145" i="1"/>
  <c r="U145" i="1"/>
  <c r="S145" i="1" s="1"/>
  <c r="AI154" i="1"/>
  <c r="U154" i="1"/>
  <c r="S154" i="1" s="1"/>
  <c r="AI198" i="1"/>
  <c r="U182" i="1"/>
  <c r="S182" i="1" s="1"/>
  <c r="U185" i="1"/>
  <c r="S185" i="1" s="1"/>
  <c r="AI201" i="1"/>
  <c r="AI210" i="1"/>
  <c r="U194" i="1"/>
  <c r="S194" i="1" s="1"/>
  <c r="AI223" i="1"/>
  <c r="U213" i="1"/>
  <c r="S213" i="1" s="1"/>
  <c r="U49" i="1"/>
  <c r="S49" i="1" s="1"/>
  <c r="AI49" i="1"/>
  <c r="U64" i="1"/>
  <c r="S64" i="1" s="1"/>
  <c r="AI64" i="1"/>
  <c r="W64" i="1"/>
  <c r="W19" i="1"/>
  <c r="AI24" i="1"/>
  <c r="AI28" i="1"/>
  <c r="U36" i="1"/>
  <c r="S36" i="1" s="1"/>
  <c r="AI36" i="1"/>
  <c r="U52" i="1"/>
  <c r="S52" i="1" s="1"/>
  <c r="AI52" i="1"/>
  <c r="U85" i="1"/>
  <c r="S85" i="1" s="1"/>
  <c r="AI85" i="1"/>
  <c r="AI110" i="1"/>
  <c r="U110" i="1"/>
  <c r="S110" i="1" s="1"/>
  <c r="AI74" i="1"/>
  <c r="W154" i="1"/>
  <c r="U133" i="1"/>
  <c r="S133" i="1" s="1"/>
  <c r="AI133" i="1"/>
  <c r="AI158" i="1"/>
  <c r="U158" i="1"/>
  <c r="S158" i="1" s="1"/>
  <c r="AI41" i="1"/>
  <c r="U88" i="1"/>
  <c r="S88" i="1" s="1"/>
  <c r="AI88" i="1"/>
  <c r="AI97" i="1"/>
  <c r="U97" i="1"/>
  <c r="S97" i="1" s="1"/>
  <c r="W125" i="1"/>
  <c r="W158" i="1"/>
  <c r="U216" i="1"/>
  <c r="S216" i="1" s="1"/>
  <c r="AI166" i="1"/>
  <c r="W145" i="1"/>
  <c r="U177" i="1"/>
  <c r="S177" i="1" s="1"/>
  <c r="AI193" i="1"/>
  <c r="W177" i="1"/>
  <c r="AI178" i="1"/>
  <c r="U181" i="1"/>
  <c r="S181" i="1" s="1"/>
  <c r="AI197" i="1"/>
  <c r="W181" i="1"/>
  <c r="AI202" i="1"/>
  <c r="U186" i="1"/>
  <c r="S186" i="1" s="1"/>
  <c r="AI150" i="1"/>
  <c r="U202" i="1"/>
  <c r="S202" i="1" s="1"/>
  <c r="AI218" i="1"/>
  <c r="W202" i="1"/>
  <c r="W27" i="1"/>
  <c r="W31" i="1"/>
  <c r="U68" i="1"/>
  <c r="S68" i="1" s="1"/>
  <c r="AI68" i="1"/>
  <c r="U23" i="1"/>
  <c r="S23" i="1" s="1"/>
  <c r="AI23" i="1"/>
  <c r="W73" i="1"/>
  <c r="AI38" i="1"/>
  <c r="U38" i="1"/>
  <c r="S38" i="1" s="1"/>
  <c r="AI45" i="1"/>
  <c r="U45" i="1"/>
  <c r="S45" i="1" s="1"/>
  <c r="U101" i="1"/>
  <c r="S101" i="1" s="1"/>
  <c r="AI101" i="1"/>
  <c r="AI57" i="1"/>
  <c r="U57" i="1"/>
  <c r="S57" i="1" s="1"/>
  <c r="AI65" i="1"/>
  <c r="U65" i="1"/>
  <c r="S65" i="1" s="1"/>
  <c r="W57" i="1"/>
  <c r="W85" i="1"/>
  <c r="W94" i="1"/>
  <c r="W42" i="1"/>
  <c r="W77" i="1"/>
  <c r="AI102" i="1"/>
  <c r="U149" i="1"/>
  <c r="S149" i="1" s="1"/>
  <c r="AI149" i="1"/>
  <c r="AI90" i="1"/>
  <c r="U90" i="1"/>
  <c r="S90" i="1" s="1"/>
  <c r="W81" i="1"/>
  <c r="W88" i="1"/>
  <c r="W133" i="1"/>
  <c r="W149" i="1"/>
  <c r="AI168" i="1"/>
  <c r="U136" i="1"/>
  <c r="S136" i="1" s="1"/>
  <c r="AI136" i="1"/>
  <c r="U152" i="1"/>
  <c r="S152" i="1" s="1"/>
  <c r="AI152" i="1"/>
  <c r="W76" i="1"/>
  <c r="U209" i="1"/>
  <c r="S209" i="1" s="1"/>
  <c r="AI162" i="1"/>
  <c r="W209" i="1"/>
  <c r="U224" i="1"/>
  <c r="S224" i="1" s="1"/>
  <c r="AI173" i="1"/>
  <c r="AI134" i="1"/>
  <c r="AI182" i="1"/>
  <c r="U167" i="1"/>
  <c r="S167" i="1" s="1"/>
  <c r="AI194" i="1"/>
  <c r="U178" i="1"/>
  <c r="S178" i="1" s="1"/>
  <c r="W186" i="1"/>
  <c r="U193" i="1"/>
  <c r="S193" i="1" s="1"/>
  <c r="AI209" i="1"/>
  <c r="U198" i="1"/>
  <c r="S198" i="1" s="1"/>
  <c r="AI214" i="1"/>
  <c r="U220" i="1"/>
  <c r="S220" i="1" s="1"/>
  <c r="AI170" i="1"/>
  <c r="W173" i="1"/>
  <c r="W97" i="1"/>
  <c r="W104" i="1"/>
  <c r="W220" i="1"/>
  <c r="U170" i="1"/>
  <c r="S170" i="1" s="1"/>
  <c r="AI185" i="1"/>
  <c r="W194" i="1"/>
  <c r="H8" i="6"/>
  <c r="I8" i="6"/>
  <c r="I7" i="6"/>
  <c r="I6" i="6"/>
  <c r="H10" i="6"/>
  <c r="G10" i="6"/>
  <c r="H9" i="6"/>
  <c r="W26" i="3"/>
  <c r="L26" i="3"/>
  <c r="F3" i="6" l="1"/>
  <c r="I3" i="6"/>
  <c r="F4" i="6"/>
  <c r="I4" i="6"/>
  <c r="F5" i="6"/>
  <c r="I5" i="6"/>
  <c r="K13" i="1" l="1"/>
  <c r="L13" i="1"/>
  <c r="M13" i="1"/>
  <c r="N13" i="1" s="1"/>
  <c r="V13" i="1"/>
  <c r="Q26" i="3" s="1"/>
  <c r="Y13" i="1"/>
  <c r="Z13" i="1"/>
  <c r="AB13" i="1"/>
  <c r="AC13" i="1"/>
  <c r="AD13" i="1"/>
  <c r="X14" i="1" s="1"/>
  <c r="AE13" i="1"/>
  <c r="P26" i="3" s="1"/>
  <c r="AF13" i="1"/>
  <c r="T13" i="1" l="1"/>
  <c r="X13" i="1"/>
  <c r="AA13" i="1"/>
  <c r="AG13" i="1"/>
  <c r="M26" i="5"/>
  <c r="AH14" i="1" l="1"/>
  <c r="AH24" i="1"/>
  <c r="AH26" i="1"/>
  <c r="AH27" i="1"/>
  <c r="AH28" i="1"/>
  <c r="AH29" i="1"/>
  <c r="AH37" i="1"/>
  <c r="AH38" i="1"/>
  <c r="AH44" i="1"/>
  <c r="AH45" i="1"/>
  <c r="AH48" i="1"/>
  <c r="AH49" i="1"/>
  <c r="AH50" i="1"/>
  <c r="AH51" i="1"/>
  <c r="AH52" i="1"/>
  <c r="AH53" i="1"/>
  <c r="AH54" i="1"/>
  <c r="AH55" i="1"/>
  <c r="AH56" i="1"/>
  <c r="AH57" i="1"/>
  <c r="AH83" i="1"/>
  <c r="AH84" i="1"/>
  <c r="AH85" i="1"/>
  <c r="AH93" i="1"/>
  <c r="AH94" i="1"/>
  <c r="AH104" i="1"/>
  <c r="AH105" i="1"/>
  <c r="AH106" i="1"/>
  <c r="AH112" i="1"/>
  <c r="AH113" i="1"/>
  <c r="AH114" i="1"/>
  <c r="AH115" i="1"/>
  <c r="AH116" i="1"/>
  <c r="AH124" i="1"/>
  <c r="AH125" i="1"/>
  <c r="AH126" i="1"/>
  <c r="AH127" i="1"/>
  <c r="AH128" i="1"/>
  <c r="AH129" i="1"/>
  <c r="AH131" i="1"/>
  <c r="AH133" i="1"/>
  <c r="AH143" i="1"/>
  <c r="AH164" i="1"/>
  <c r="AH165" i="1"/>
  <c r="AH168" i="1"/>
  <c r="AH170" i="1"/>
  <c r="AH171" i="1"/>
  <c r="AH197" i="1"/>
  <c r="AH199" i="1"/>
  <c r="AH202" i="1"/>
  <c r="AH206" i="1"/>
  <c r="AH208" i="1"/>
  <c r="AH218" i="1"/>
  <c r="AH20" i="1"/>
  <c r="AH34" i="1"/>
  <c r="AH63" i="1"/>
  <c r="AH68" i="1"/>
  <c r="AH71" i="1"/>
  <c r="AH89" i="1"/>
  <c r="AH101" i="1"/>
  <c r="AH110" i="1"/>
  <c r="AH137" i="1"/>
  <c r="AH140" i="1"/>
  <c r="AH155" i="1"/>
  <c r="AH158" i="1"/>
  <c r="AH175" i="1"/>
  <c r="AH178" i="1"/>
  <c r="AH182" i="1"/>
  <c r="AH190" i="1"/>
  <c r="AH210" i="1"/>
  <c r="AH213" i="1"/>
  <c r="AH222" i="1"/>
  <c r="AH15" i="1"/>
  <c r="AH16" i="1"/>
  <c r="AH19" i="1"/>
  <c r="AH30" i="1"/>
  <c r="AH31" i="1"/>
  <c r="AH39" i="1"/>
  <c r="AH40" i="1"/>
  <c r="AH46" i="1"/>
  <c r="AH58" i="1"/>
  <c r="AH59" i="1"/>
  <c r="AH60" i="1"/>
  <c r="AH61" i="1"/>
  <c r="AH66" i="1"/>
  <c r="AH78" i="1"/>
  <c r="AH86" i="1"/>
  <c r="AH87" i="1"/>
  <c r="AH88" i="1"/>
  <c r="AH95" i="1"/>
  <c r="AH96" i="1"/>
  <c r="AH97" i="1"/>
  <c r="AH98" i="1"/>
  <c r="AH99" i="1"/>
  <c r="AH107" i="1"/>
  <c r="AH117" i="1"/>
  <c r="AH134" i="1"/>
  <c r="AH135" i="1"/>
  <c r="AH136" i="1"/>
  <c r="AH144" i="1"/>
  <c r="AH145" i="1"/>
  <c r="AH146" i="1"/>
  <c r="AH147" i="1"/>
  <c r="AH154" i="1"/>
  <c r="AH172" i="1"/>
  <c r="AH173" i="1"/>
  <c r="AH179" i="1"/>
  <c r="AH184" i="1"/>
  <c r="AH185" i="1"/>
  <c r="AH186" i="1"/>
  <c r="AH187" i="1"/>
  <c r="AH203" i="1"/>
  <c r="AH204" i="1"/>
  <c r="AH205" i="1"/>
  <c r="AH207" i="1"/>
  <c r="AH217" i="1"/>
  <c r="AH220" i="1"/>
  <c r="AH25" i="1"/>
  <c r="AH41" i="1"/>
  <c r="AH62" i="1"/>
  <c r="AH67" i="1"/>
  <c r="AH70" i="1"/>
  <c r="AH73" i="1"/>
  <c r="AH100" i="1"/>
  <c r="AH109" i="1"/>
  <c r="AH119" i="1"/>
  <c r="AH139" i="1"/>
  <c r="AH148" i="1"/>
  <c r="AH156" i="1"/>
  <c r="AH159" i="1"/>
  <c r="AH176" i="1"/>
  <c r="AH180" i="1"/>
  <c r="AH188" i="1"/>
  <c r="AH191" i="1"/>
  <c r="AH211" i="1"/>
  <c r="AH214" i="1"/>
  <c r="AH223" i="1"/>
  <c r="AH22" i="1"/>
  <c r="AH23" i="1"/>
  <c r="AH35" i="1"/>
  <c r="AH36" i="1"/>
  <c r="AH43" i="1"/>
  <c r="AH47" i="1"/>
  <c r="AH65" i="1"/>
  <c r="AH74" i="1"/>
  <c r="AH75" i="1"/>
  <c r="AH76" i="1"/>
  <c r="AH77" i="1"/>
  <c r="AH79" i="1"/>
  <c r="AH80" i="1"/>
  <c r="AH81" i="1"/>
  <c r="AH82" i="1"/>
  <c r="AH91" i="1"/>
  <c r="AH92" i="1"/>
  <c r="AH102" i="1"/>
  <c r="AH103" i="1"/>
  <c r="AH111" i="1"/>
  <c r="AH120" i="1"/>
  <c r="AH121" i="1"/>
  <c r="AH122" i="1"/>
  <c r="AH123" i="1"/>
  <c r="AH141" i="1"/>
  <c r="AH142" i="1"/>
  <c r="AH150" i="1"/>
  <c r="AH151" i="1"/>
  <c r="AH152" i="1"/>
  <c r="AH160" i="1"/>
  <c r="AH161" i="1"/>
  <c r="AH162" i="1"/>
  <c r="AH163" i="1"/>
  <c r="AH183" i="1"/>
  <c r="AH192" i="1"/>
  <c r="AH193" i="1"/>
  <c r="AH194" i="1"/>
  <c r="AH195" i="1"/>
  <c r="AH215" i="1"/>
  <c r="AH132" i="1"/>
  <c r="AH153" i="1"/>
  <c r="AH166" i="1"/>
  <c r="AH167" i="1"/>
  <c r="AH169" i="1"/>
  <c r="AH196" i="1"/>
  <c r="AH198" i="1"/>
  <c r="AH200" i="1"/>
  <c r="AH201" i="1"/>
  <c r="AH216" i="1"/>
  <c r="AH219" i="1"/>
  <c r="AH21" i="1"/>
  <c r="AH33" i="1"/>
  <c r="AH42" i="1"/>
  <c r="AH64" i="1"/>
  <c r="AH69" i="1"/>
  <c r="AH72" i="1"/>
  <c r="AH90" i="1"/>
  <c r="AH108" i="1"/>
  <c r="AH118" i="1"/>
  <c r="AH138" i="1"/>
  <c r="AH149" i="1"/>
  <c r="AH157" i="1"/>
  <c r="AH174" i="1"/>
  <c r="AH177" i="1"/>
  <c r="AH181" i="1"/>
  <c r="AH189" i="1"/>
  <c r="AH209" i="1"/>
  <c r="AH212" i="1"/>
  <c r="AH221" i="1"/>
  <c r="AH22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4" i="6" s="1"/>
  <c r="G150" i="4"/>
  <c r="H4" i="6" s="1"/>
  <c r="F151" i="4"/>
  <c r="G151" i="4"/>
  <c r="F152" i="4"/>
  <c r="G152" i="4"/>
  <c r="F153" i="4"/>
  <c r="G153" i="4"/>
  <c r="F154" i="4"/>
  <c r="G154" i="4"/>
  <c r="F155" i="4"/>
  <c r="G155" i="4"/>
  <c r="F156" i="4"/>
  <c r="G6" i="6" s="1"/>
  <c r="G156" i="4"/>
  <c r="H6" i="6" s="1"/>
  <c r="F157" i="4"/>
  <c r="G157" i="4"/>
  <c r="F158" i="4"/>
  <c r="G3" i="6" s="1"/>
  <c r="G158" i="4"/>
  <c r="H3" i="6" s="1"/>
  <c r="F159" i="4"/>
  <c r="G159" i="4"/>
  <c r="F160" i="4"/>
  <c r="G160" i="4"/>
  <c r="F161" i="4"/>
  <c r="G5" i="6" s="1"/>
  <c r="G161" i="4"/>
  <c r="H5" i="6" s="1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<sst xmlns="http://schemas.openxmlformats.org/spreadsheetml/2006/main" count="2125" uniqueCount="736">
  <si>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</si>
  <si>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</si>
  <si>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</si>
  <si>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</si>
  <si>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</si>
  <si>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</si>
  <si>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</si>
  <si>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</si>
  <si>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</si>
  <si>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</si>
  <si>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</si>
  <si>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</si>
  <si>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</si>
  <si>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</si>
  <si>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</si>
  <si>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</si>
  <si>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</si>
  <si>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</si>
  <si>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</si>
  <si>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</si>
  <si>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</si>
  <si>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</si>
  <si>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</si>
  <si>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</si>
  <si>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</si>
  <si>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</si>
  <si>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</si>
  <si>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</si>
  <si>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</si>
  <si>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</si>
  <si>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</si>
  <si>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</si>
  <si>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</si>
  <si>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</si>
  <si>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</si>
  <si>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</si>
  <si>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</si>
  <si>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</si>
  <si>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</si>
  <si>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</si>
  <si>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</si>
  <si>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</si>
  <si>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</si>
  <si>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</si>
  <si>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</si>
  <si>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</si>
  <si>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</si>
  <si>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</si>
  <si>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</si>
  <si>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</si>
  <si>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</si>
  <si>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</si>
  <si>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</si>
  <si>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</si>
  <si>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</si>
  <si>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</si>
  <si>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</si>
  <si>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</si>
  <si>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</si>
  <si>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</si>
  <si>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</si>
  <si>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</si>
  <si>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</si>
  <si>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</si>
  <si>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</si>
  <si>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</si>
  <si>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</si>
  <si>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</si>
  <si>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</si>
  <si>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</si>
  <si>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</si>
  <si>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</si>
  <si>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</si>
  <si>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</si>
  <si>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</si>
  <si>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</si>
  <si>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</si>
  <si>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</si>
  <si>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</si>
  <si>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</si>
  <si>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</si>
  <si>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</si>
  <si>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</si>
  <si>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</si>
  <si>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</si>
  <si>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</si>
  <si>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</si>
  <si>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</si>
  <si>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</si>
  <si>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</si>
  <si>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</si>
  <si>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</si>
  <si>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</si>
  <si>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</si>
  <si>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</si>
  <si>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</si>
  <si>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</si>
  <si>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</si>
  <si>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</si>
  <si>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</si>
  <si>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</si>
  <si>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</si>
  <si>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</si>
  <si>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</si>
  <si>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</si>
  <si>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</si>
  <si>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</si>
  <si>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</si>
  <si>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</si>
  <si>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</si>
  <si>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</si>
  <si>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</si>
  <si>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</si>
  <si>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</si>
  <si>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</si>
  <si>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</si>
  <si>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</si>
  <si>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</si>
  <si>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</si>
  <si>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</si>
  <si>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</si>
  <si>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</si>
  <si>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</si>
  <si>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</si>
  <si>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</si>
  <si>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</si>
  <si>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</si>
  <si>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</si>
  <si>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</si>
  <si>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</si>
  <si>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</si>
  <si>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</si>
  <si>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</si>
  <si>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</si>
  <si>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</si>
  <si>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</si>
  <si>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</si>
  <si>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</si>
  <si>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</si>
  <si>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</si>
  <si>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</si>
  <si>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</si>
  <si>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</si>
  <si>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</si>
  <si>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</si>
  <si>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</si>
  <si>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</si>
  <si>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</si>
  <si>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</si>
  <si>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</si>
  <si>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</si>
  <si>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</si>
  <si>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</si>
  <si>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</si>
  <si>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</si>
  <si>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</si>
  <si>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</si>
  <si>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</si>
  <si>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</si>
  <si>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</si>
  <si>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</si>
  <si>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</si>
  <si>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</si>
  <si>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</si>
  <si>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</si>
  <si>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</si>
  <si>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</si>
  <si>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</si>
  <si>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</si>
  <si>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</si>
  <si>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</si>
  <si>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</si>
  <si>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</si>
  <si>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</si>
  <si>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</si>
  <si>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</si>
  <si>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</si>
  <si>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</si>
  <si>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204:139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</si>
  <si>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</si>
  <si>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</si>
  <si>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</si>
  <si>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</si>
  <si>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</si>
  <si>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</si>
  <si>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</si>
  <si>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</si>
  <si>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</si>
  <si>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</si>
  <si>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</si>
  <si>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</si>
  <si>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</si>
  <si>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</si>
  <si>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</si>
  <si>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</si>
  <si>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</si>
  <si>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</si>
  <si>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</si>
  <si>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</si>
  <si>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</si>
  <si>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</si>
  <si>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</si>
  <si>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</si>
  <si>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</si>
  <si>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</si>
  <si>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</si>
  <si>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</si>
  <si>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</si>
  <si>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</si>
  <si>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</si>
  <si>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</si>
  <si>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</si>
  <si>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</si>
  <si>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</si>
  <si>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</si>
  <si>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</si>
  <si>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</si>
  <si>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</si>
  <si>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</si>
  <si>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From 08-24-2016 13:14:05.327 until 13:28:22.128, 61st 2S should have been clear (controls sent to it the entire time was CLEAR). However, it cycled back and forth between PROCEED CAB and STOP. Any ideas why?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</si>
  <si>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</si>
  <si>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</si>
  <si>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</si>
  <si>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</si>
  <si>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</si>
  <si>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</si>
  <si>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rtdc.l.rtdc.4028:itc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</si>
  <si>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</si>
  <si>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</si>
  <si>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</si>
  <si>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</si>
  <si>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</si>
  <si>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</si>
  <si>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</si>
  <si>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</si>
  <si>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</si>
  <si>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</si>
  <si>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</si>
  <si>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</si>
  <si>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</si>
  <si>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204:232981</t>
  </si>
  <si>
    <t>204:233288</t>
  </si>
  <si>
    <t>204:232990</t>
  </si>
  <si>
    <t>COOLAHAN</t>
  </si>
  <si>
    <t>204:232961</t>
  </si>
  <si>
    <t>204:233308</t>
  </si>
  <si>
    <t>204:442</t>
  </si>
  <si>
    <t>204:233008</t>
  </si>
  <si>
    <t>204:446</t>
  </si>
  <si>
    <t>Trip Number</t>
  </si>
  <si>
    <t>Early arrival</t>
  </si>
  <si>
    <t>SPECTOR</t>
  </si>
  <si>
    <t>rtdc.l.rtdc.4011:itc</t>
  </si>
  <si>
    <t>rtdc.l.rtdc.4006:itc</t>
  </si>
  <si>
    <t>204:233314</t>
  </si>
  <si>
    <t>204:163</t>
  </si>
  <si>
    <t>204:232975</t>
  </si>
  <si>
    <t>204:233303</t>
  </si>
  <si>
    <t>204:232996</t>
  </si>
  <si>
    <t>204:232993</t>
  </si>
  <si>
    <t>204:233307</t>
  </si>
  <si>
    <t>204:233001</t>
  </si>
  <si>
    <t>rtdc.l.rtdc.4015:itc</t>
  </si>
  <si>
    <t>rtdc.l.rtdc.4012:itc</t>
  </si>
  <si>
    <t>SMITH</t>
  </si>
  <si>
    <t>GEBRETEKLE</t>
  </si>
  <si>
    <t>MAHAN</t>
  </si>
  <si>
    <t>BROWN</t>
  </si>
  <si>
    <t>rtdc.l.rtdc.4016:itc</t>
  </si>
  <si>
    <t>HILLS</t>
  </si>
  <si>
    <t>204:233319</t>
  </si>
  <si>
    <t>204:233302</t>
  </si>
  <si>
    <t>204:233324</t>
  </si>
  <si>
    <t>204:233309</t>
  </si>
  <si>
    <t>204:161</t>
  </si>
  <si>
    <t>204:233300</t>
  </si>
  <si>
    <t>204:233305</t>
  </si>
  <si>
    <t>204:138</t>
  </si>
  <si>
    <t>300:23346</t>
  </si>
  <si>
    <t>Pena 4S STOP, cleared shortly</t>
  </si>
  <si>
    <t>204:141</t>
  </si>
  <si>
    <t>204:150</t>
  </si>
  <si>
    <t>204:233306</t>
  </si>
  <si>
    <t>204:233004</t>
  </si>
  <si>
    <t>204:444</t>
  </si>
  <si>
    <t>204:232979</t>
  </si>
  <si>
    <t>204:165</t>
  </si>
  <si>
    <t>204:233304</t>
  </si>
  <si>
    <t>204:469</t>
  </si>
  <si>
    <t>204:169</t>
  </si>
  <si>
    <t>204:233317</t>
  </si>
  <si>
    <t>204:178</t>
  </si>
  <si>
    <t>300:23312</t>
  </si>
  <si>
    <t>300:58931</t>
  </si>
  <si>
    <t>300:58617</t>
  </si>
  <si>
    <t>rtdc.l.rtdc.4043:itc</t>
  </si>
  <si>
    <t>rtdc.l.rtdc.4001:itc</t>
  </si>
  <si>
    <t>rtdc.l.rtdc.4044:itc</t>
  </si>
  <si>
    <t>rtdc.l.rtdc.4008:itc</t>
  </si>
  <si>
    <t>rtdc.l.rtdc.4007:itc</t>
  </si>
  <si>
    <t>MAELZER</t>
  </si>
  <si>
    <t>STRICKLAND</t>
  </si>
  <si>
    <t>ROBINSON</t>
  </si>
  <si>
    <t>MOSES</t>
  </si>
  <si>
    <t>Reactive Warning (1)</t>
  </si>
  <si>
    <t>204:752</t>
  </si>
  <si>
    <t>204:775</t>
  </si>
  <si>
    <t>204:233280</t>
  </si>
  <si>
    <t>204:473</t>
  </si>
  <si>
    <t>204:233005</t>
  </si>
  <si>
    <t>204:233322</t>
  </si>
  <si>
    <t>204:221</t>
  </si>
  <si>
    <t>204:232984</t>
  </si>
  <si>
    <t>204:233315</t>
  </si>
  <si>
    <t>204:233036</t>
  </si>
  <si>
    <t>204:437</t>
  </si>
  <si>
    <t>204:233312</t>
  </si>
  <si>
    <t>204:482</t>
  </si>
  <si>
    <t>204:232998</t>
  </si>
  <si>
    <t>204:233336</t>
  </si>
  <si>
    <t>204:526</t>
  </si>
  <si>
    <t>204:134</t>
  </si>
  <si>
    <t>204:233009</t>
  </si>
  <si>
    <t>204:233284</t>
  </si>
  <si>
    <t>204:232992</t>
  </si>
  <si>
    <t>242-01</t>
  </si>
  <si>
    <t>244-01</t>
  </si>
  <si>
    <t>311-01</t>
  </si>
  <si>
    <t>313-01</t>
  </si>
  <si>
    <t>315-01</t>
  </si>
  <si>
    <t>300:22276</t>
  </si>
  <si>
    <t>57-01</t>
  </si>
  <si>
    <t>DE.1.0.8.0.ENG1</t>
  </si>
  <si>
    <t>204:10068</t>
  </si>
  <si>
    <t>204:128366</t>
  </si>
  <si>
    <t>67-01</t>
  </si>
  <si>
    <t>204:157705</t>
  </si>
  <si>
    <t>204:9810</t>
  </si>
  <si>
    <t>300:58626</t>
  </si>
  <si>
    <t>300:58624</t>
  </si>
  <si>
    <t>300:58623</t>
  </si>
  <si>
    <t>204:981</t>
  </si>
  <si>
    <t>204:789</t>
  </si>
  <si>
    <t>204:1123</t>
  </si>
  <si>
    <t>300:58944</t>
  </si>
  <si>
    <t>300:58687</t>
  </si>
  <si>
    <t>204:699</t>
  </si>
  <si>
    <t>204:745</t>
  </si>
  <si>
    <t>300:58621</t>
  </si>
  <si>
    <t>300:58946</t>
  </si>
  <si>
    <t>300:58632</t>
  </si>
  <si>
    <t>204:656</t>
  </si>
  <si>
    <t>300:58935</t>
  </si>
  <si>
    <t>300:58641</t>
  </si>
  <si>
    <t>300:58976</t>
  </si>
  <si>
    <t>300:58611</t>
  </si>
  <si>
    <t>204:797</t>
  </si>
  <si>
    <t>300:58937</t>
  </si>
  <si>
    <t>rtdc.l.rtdc.4051:itc</t>
  </si>
  <si>
    <t>MALAVE</t>
  </si>
  <si>
    <t>YORK</t>
  </si>
  <si>
    <t>rtdc.l.rtdc.4021:itc</t>
  </si>
  <si>
    <t>SHOOK</t>
  </si>
  <si>
    <t>rtdc.l.rtdc.4022:itc</t>
  </si>
  <si>
    <t>BONDS</t>
  </si>
  <si>
    <t>HAUSER</t>
  </si>
  <si>
    <t>OUN</t>
  </si>
  <si>
    <t>GOLIGHTLY</t>
  </si>
  <si>
    <t>rtdc.l.rtdc.4052:itc</t>
  </si>
  <si>
    <t>101-02</t>
  </si>
  <si>
    <t>204:743</t>
  </si>
  <si>
    <t>204:233055</t>
  </si>
  <si>
    <t>102-02</t>
  </si>
  <si>
    <t>204:232687</t>
  </si>
  <si>
    <t>103-02</t>
  </si>
  <si>
    <t>204:739</t>
  </si>
  <si>
    <t>204:233334</t>
  </si>
  <si>
    <t>104-02</t>
  </si>
  <si>
    <t>204:232669</t>
  </si>
  <si>
    <t>107-02</t>
  </si>
  <si>
    <t>108-02</t>
  </si>
  <si>
    <t>109-02</t>
  </si>
  <si>
    <t>204:233321</t>
  </si>
  <si>
    <t>110-02</t>
  </si>
  <si>
    <t>111-02</t>
  </si>
  <si>
    <t>204:757</t>
  </si>
  <si>
    <t>112-02</t>
  </si>
  <si>
    <t>204:233019</t>
  </si>
  <si>
    <t>113-02</t>
  </si>
  <si>
    <t>114-02</t>
  </si>
  <si>
    <t>115-02</t>
  </si>
  <si>
    <t>116-02</t>
  </si>
  <si>
    <t>117-02</t>
  </si>
  <si>
    <t>118-02</t>
  </si>
  <si>
    <t>119-02</t>
  </si>
  <si>
    <t>204:748</t>
  </si>
  <si>
    <t>121-02</t>
  </si>
  <si>
    <t>204:431</t>
  </si>
  <si>
    <t>204:233270</t>
  </si>
  <si>
    <t>122-02</t>
  </si>
  <si>
    <t>204:136</t>
  </si>
  <si>
    <t>123-02</t>
  </si>
  <si>
    <t>204:233311</t>
  </si>
  <si>
    <t>124-02</t>
  </si>
  <si>
    <t>125-02</t>
  </si>
  <si>
    <t>126-02</t>
  </si>
  <si>
    <t>127-02</t>
  </si>
  <si>
    <t>128-02</t>
  </si>
  <si>
    <t>129-02</t>
  </si>
  <si>
    <t>130-02</t>
  </si>
  <si>
    <t>131-02</t>
  </si>
  <si>
    <t>132-02</t>
  </si>
  <si>
    <t>133-02</t>
  </si>
  <si>
    <t>134-02</t>
  </si>
  <si>
    <t>135-02</t>
  </si>
  <si>
    <t>136-02</t>
  </si>
  <si>
    <t>204:232973</t>
  </si>
  <si>
    <t>137-02</t>
  </si>
  <si>
    <t>138-02</t>
  </si>
  <si>
    <t>139-02</t>
  </si>
  <si>
    <t>204:233320</t>
  </si>
  <si>
    <t>140-02</t>
  </si>
  <si>
    <t>141-02</t>
  </si>
  <si>
    <t>142-02</t>
  </si>
  <si>
    <t>204:232987</t>
  </si>
  <si>
    <t>143-02</t>
  </si>
  <si>
    <t>204:233268</t>
  </si>
  <si>
    <t>144-02</t>
  </si>
  <si>
    <t>204:232963</t>
  </si>
  <si>
    <t>145-02</t>
  </si>
  <si>
    <t>204:464</t>
  </si>
  <si>
    <t>146-02</t>
  </si>
  <si>
    <t>204:232976</t>
  </si>
  <si>
    <t>147-02</t>
  </si>
  <si>
    <t>148-02</t>
  </si>
  <si>
    <t>149-02</t>
  </si>
  <si>
    <t>150-02</t>
  </si>
  <si>
    <t>151-02</t>
  </si>
  <si>
    <t>204:233326</t>
  </si>
  <si>
    <t>152-02</t>
  </si>
  <si>
    <t>204:232982</t>
  </si>
  <si>
    <t>153-02</t>
  </si>
  <si>
    <t>154-02</t>
  </si>
  <si>
    <t>155-02</t>
  </si>
  <si>
    <t>204:233272</t>
  </si>
  <si>
    <t>156-02</t>
  </si>
  <si>
    <t>157-02</t>
  </si>
  <si>
    <t>158-02</t>
  </si>
  <si>
    <t>159-02</t>
  </si>
  <si>
    <t>160-02</t>
  </si>
  <si>
    <t>161-02</t>
  </si>
  <si>
    <t>204:478</t>
  </si>
  <si>
    <t>204:233223</t>
  </si>
  <si>
    <t>162-02</t>
  </si>
  <si>
    <t>204:232917</t>
  </si>
  <si>
    <t>163-02</t>
  </si>
  <si>
    <t>164-02</t>
  </si>
  <si>
    <t>165-02</t>
  </si>
  <si>
    <t>204:233327</t>
  </si>
  <si>
    <t>166-02</t>
  </si>
  <si>
    <t>204:233000</t>
  </si>
  <si>
    <t>167-02</t>
  </si>
  <si>
    <t>168-02</t>
  </si>
  <si>
    <t>169-02</t>
  </si>
  <si>
    <t>204:233383</t>
  </si>
  <si>
    <t>170-02</t>
  </si>
  <si>
    <t>171-02</t>
  </si>
  <si>
    <t>172-02</t>
  </si>
  <si>
    <t>173-02</t>
  </si>
  <si>
    <t>174-02</t>
  </si>
  <si>
    <t>175-02</t>
  </si>
  <si>
    <t>176-02</t>
  </si>
  <si>
    <t>177-02</t>
  </si>
  <si>
    <t>178-02</t>
  </si>
  <si>
    <t>179-02</t>
  </si>
  <si>
    <t>180-02</t>
  </si>
  <si>
    <t>181-02</t>
  </si>
  <si>
    <t>182-02</t>
  </si>
  <si>
    <t>183-02</t>
  </si>
  <si>
    <t>204:233397</t>
  </si>
  <si>
    <t>184-02</t>
  </si>
  <si>
    <t>204:233049</t>
  </si>
  <si>
    <t>185-02</t>
  </si>
  <si>
    <t>204:424</t>
  </si>
  <si>
    <t>186-02</t>
  </si>
  <si>
    <t>187-02</t>
  </si>
  <si>
    <t>188-02</t>
  </si>
  <si>
    <t>189-02</t>
  </si>
  <si>
    <t>190-02</t>
  </si>
  <si>
    <t>191-02</t>
  </si>
  <si>
    <t>192-02</t>
  </si>
  <si>
    <t>193-02</t>
  </si>
  <si>
    <t>204:440</t>
  </si>
  <si>
    <t>194-02</t>
  </si>
  <si>
    <t>195-02</t>
  </si>
  <si>
    <t>204:233261</t>
  </si>
  <si>
    <t>196-02</t>
  </si>
  <si>
    <t>197-02</t>
  </si>
  <si>
    <t>198-02</t>
  </si>
  <si>
    <t>204:233045</t>
  </si>
  <si>
    <t>199-02</t>
  </si>
  <si>
    <t>204:429</t>
  </si>
  <si>
    <t>200-02</t>
  </si>
  <si>
    <t>201-02</t>
  </si>
  <si>
    <t>202-02</t>
  </si>
  <si>
    <t>204:233002</t>
  </si>
  <si>
    <t>203-02</t>
  </si>
  <si>
    <t>204:233157</t>
  </si>
  <si>
    <t>204-02</t>
  </si>
  <si>
    <t>204:232848</t>
  </si>
  <si>
    <t>205-02</t>
  </si>
  <si>
    <t>204:435</t>
  </si>
  <si>
    <t>206-02</t>
  </si>
  <si>
    <t>207-02</t>
  </si>
  <si>
    <t>208-02</t>
  </si>
  <si>
    <t>209-02</t>
  </si>
  <si>
    <t>210-02</t>
  </si>
  <si>
    <t>211-02</t>
  </si>
  <si>
    <t>212-02</t>
  </si>
  <si>
    <t>204:1326</t>
  </si>
  <si>
    <t>213-02</t>
  </si>
  <si>
    <t>214-02</t>
  </si>
  <si>
    <t>215-02</t>
  </si>
  <si>
    <t>216-02</t>
  </si>
  <si>
    <t>204:232986</t>
  </si>
  <si>
    <t>204:960</t>
  </si>
  <si>
    <t>217-02</t>
  </si>
  <si>
    <t>219-02</t>
  </si>
  <si>
    <t>204:427</t>
  </si>
  <si>
    <t>220-02</t>
  </si>
  <si>
    <t>204:232988</t>
  </si>
  <si>
    <t>221-02</t>
  </si>
  <si>
    <t>222-02</t>
  </si>
  <si>
    <t>223-02</t>
  </si>
  <si>
    <t>204:233357</t>
  </si>
  <si>
    <t>224-02</t>
  </si>
  <si>
    <t>225-02</t>
  </si>
  <si>
    <t>226-02</t>
  </si>
  <si>
    <t>204:933</t>
  </si>
  <si>
    <t>227-02</t>
  </si>
  <si>
    <t>228-02</t>
  </si>
  <si>
    <t>204:167</t>
  </si>
  <si>
    <t>229-02</t>
  </si>
  <si>
    <t>230-02</t>
  </si>
  <si>
    <t>231-02</t>
  </si>
  <si>
    <t>204:233298</t>
  </si>
  <si>
    <t>232-02</t>
  </si>
  <si>
    <t>204:232968</t>
  </si>
  <si>
    <t>233-02</t>
  </si>
  <si>
    <t>204:493</t>
  </si>
  <si>
    <t>234-02</t>
  </si>
  <si>
    <t>204:232959</t>
  </si>
  <si>
    <t>235-02</t>
  </si>
  <si>
    <t>204:233282</t>
  </si>
  <si>
    <t>236-02</t>
  </si>
  <si>
    <t>204:232969</t>
  </si>
  <si>
    <t>204:170</t>
  </si>
  <si>
    <t>237-02</t>
  </si>
  <si>
    <t>238-02</t>
  </si>
  <si>
    <t>239-02</t>
  </si>
  <si>
    <t>240-02</t>
  </si>
  <si>
    <t>241-02</t>
  </si>
  <si>
    <t>204:477</t>
  </si>
  <si>
    <t>242-02</t>
  </si>
  <si>
    <t>243-02</t>
  </si>
  <si>
    <t>204:233316</t>
  </si>
  <si>
    <t>244-02</t>
  </si>
  <si>
    <t>245-02</t>
  </si>
  <si>
    <t>204:66385</t>
  </si>
  <si>
    <t>246-02</t>
  </si>
  <si>
    <t>305-02</t>
  </si>
  <si>
    <t>204:726</t>
  </si>
  <si>
    <t>309-02</t>
  </si>
  <si>
    <t>300:23091</t>
  </si>
  <si>
    <t>311-02</t>
  </si>
  <si>
    <t>300:22865</t>
  </si>
  <si>
    <t>313-02</t>
  </si>
  <si>
    <t>315-02</t>
  </si>
  <si>
    <t>51-02</t>
  </si>
  <si>
    <t>204:334</t>
  </si>
  <si>
    <t>300:24940</t>
  </si>
  <si>
    <t>300:24781</t>
  </si>
  <si>
    <t>52-02</t>
  </si>
  <si>
    <t>300:24641</t>
  </si>
  <si>
    <t>300:24250</t>
  </si>
  <si>
    <t>53-02</t>
  </si>
  <si>
    <t>204:1229</t>
  </si>
  <si>
    <t>300:24728</t>
  </si>
  <si>
    <t>66-02</t>
  </si>
  <si>
    <t>204:323</t>
  </si>
  <si>
    <t>300:25328</t>
  </si>
  <si>
    <t>204:128101</t>
  </si>
  <si>
    <t>68-02</t>
  </si>
  <si>
    <t>300:22085</t>
  </si>
  <si>
    <t>204:906</t>
  </si>
  <si>
    <t>70-02</t>
  </si>
  <si>
    <t>300:24443</t>
  </si>
  <si>
    <t>300:24316</t>
  </si>
  <si>
    <t>800-02</t>
  </si>
  <si>
    <t>204:691</t>
  </si>
  <si>
    <t>801-02</t>
  </si>
  <si>
    <t>204:976</t>
  </si>
  <si>
    <t>300:58502</t>
  </si>
  <si>
    <t>802-02</t>
  </si>
  <si>
    <t>300:58628</t>
  </si>
  <si>
    <t>204:694</t>
  </si>
  <si>
    <t>803-02</t>
  </si>
  <si>
    <t>204:1114</t>
  </si>
  <si>
    <t>300:58954</t>
  </si>
  <si>
    <t>804-02</t>
  </si>
  <si>
    <t>204:827</t>
  </si>
  <si>
    <t>805-02</t>
  </si>
  <si>
    <t>300:58877</t>
  </si>
  <si>
    <t>806-02</t>
  </si>
  <si>
    <t>300:57346</t>
  </si>
  <si>
    <t>807-02</t>
  </si>
  <si>
    <t>808-02</t>
  </si>
  <si>
    <t>809-02</t>
  </si>
  <si>
    <t>204:1056</t>
  </si>
  <si>
    <t>300:58961</t>
  </si>
  <si>
    <t>810-02</t>
  </si>
  <si>
    <t>811-02</t>
  </si>
  <si>
    <t>204:1077</t>
  </si>
  <si>
    <t>300:58956</t>
  </si>
  <si>
    <t>812-02</t>
  </si>
  <si>
    <t>300:58634</t>
  </si>
  <si>
    <t>204:815</t>
  </si>
  <si>
    <t>813-02</t>
  </si>
  <si>
    <t>204:1112</t>
  </si>
  <si>
    <t>814-02</t>
  </si>
  <si>
    <t>815-02</t>
  </si>
  <si>
    <t>204:1097</t>
  </si>
  <si>
    <t>816-02</t>
  </si>
  <si>
    <t>204:824</t>
  </si>
  <si>
    <t>817-02</t>
  </si>
  <si>
    <t>300:58924</t>
  </si>
  <si>
    <t>818-02</t>
  </si>
  <si>
    <t>819-02</t>
  </si>
  <si>
    <t>204:1105</t>
  </si>
  <si>
    <t>300:58929</t>
  </si>
  <si>
    <t>820-02</t>
  </si>
  <si>
    <t>204:836</t>
  </si>
  <si>
    <t>821-02</t>
  </si>
  <si>
    <t>204:1126</t>
  </si>
  <si>
    <t>822-02</t>
  </si>
  <si>
    <t>300:58615</t>
  </si>
  <si>
    <t>823-02</t>
  </si>
  <si>
    <t>204:1020</t>
  </si>
  <si>
    <t>824-02</t>
  </si>
  <si>
    <t>204:733</t>
  </si>
  <si>
    <t>825-02</t>
  </si>
  <si>
    <t>204:1014</t>
  </si>
  <si>
    <t>826-02</t>
  </si>
  <si>
    <t>300:58608</t>
  </si>
  <si>
    <t>204:754</t>
  </si>
  <si>
    <t>827-02</t>
  </si>
  <si>
    <t>204:913</t>
  </si>
  <si>
    <t>300:59005</t>
  </si>
  <si>
    <t>828-02</t>
  </si>
  <si>
    <t>204:720</t>
  </si>
  <si>
    <t>829-02</t>
  </si>
  <si>
    <t>204:1058</t>
  </si>
  <si>
    <t>830-02</t>
  </si>
  <si>
    <t>204:741</t>
  </si>
  <si>
    <t>831-02</t>
  </si>
  <si>
    <t>204:1013</t>
  </si>
  <si>
    <t>300:58939</t>
  </si>
  <si>
    <t>832-02</t>
  </si>
  <si>
    <t>833-02</t>
  </si>
  <si>
    <t>204:1037</t>
  </si>
  <si>
    <t>300:58967</t>
  </si>
  <si>
    <t>834-02</t>
  </si>
  <si>
    <t>300:58649</t>
  </si>
  <si>
    <t>835-02</t>
  </si>
  <si>
    <t>204:958</t>
  </si>
  <si>
    <t>300:58999</t>
  </si>
  <si>
    <t>836-02</t>
  </si>
  <si>
    <t>300:58696</t>
  </si>
  <si>
    <t>204:666</t>
  </si>
  <si>
    <t>837-02</t>
  </si>
  <si>
    <t>204:1034</t>
  </si>
  <si>
    <t>838-02</t>
  </si>
  <si>
    <t>204:727</t>
  </si>
  <si>
    <t>839-02</t>
  </si>
  <si>
    <t>300:58088</t>
  </si>
  <si>
    <t>840-02</t>
  </si>
  <si>
    <t>841-02</t>
  </si>
  <si>
    <t>842-02</t>
  </si>
  <si>
    <t>843-02</t>
  </si>
  <si>
    <t>204:1048</t>
  </si>
  <si>
    <t>844-02</t>
  </si>
  <si>
    <t>300:58664</t>
  </si>
  <si>
    <t>204:636</t>
  </si>
  <si>
    <t>845-02</t>
  </si>
  <si>
    <t>847-02</t>
  </si>
  <si>
    <t>204:939</t>
  </si>
  <si>
    <t>903-02</t>
  </si>
  <si>
    <t>204:986</t>
  </si>
  <si>
    <t>300:25465</t>
  </si>
  <si>
    <t>906-02</t>
  </si>
  <si>
    <t>300:58702</t>
  </si>
  <si>
    <t>300:28765</t>
  </si>
  <si>
    <t>908-02</t>
  </si>
  <si>
    <t>300:21708</t>
  </si>
  <si>
    <t>rtdc.l.rtdc.4053:itc</t>
  </si>
  <si>
    <t>106-02</t>
  </si>
  <si>
    <t>rtdc.l.rtdc.4054:itc</t>
  </si>
  <si>
    <t>rtdc.l.rtdc.4005:itc</t>
  </si>
  <si>
    <t>SWITCH ALIGNMENT</t>
  </si>
  <si>
    <t>Track device (7)</t>
  </si>
  <si>
    <t>Unknown (0)</t>
  </si>
  <si>
    <t>UNKNOWN LOCATION</t>
  </si>
  <si>
    <t>Other (9)</t>
  </si>
  <si>
    <t>rtdc.l.rtdc.4025:itc</t>
  </si>
  <si>
    <t>SWITCH UNKNOWN</t>
  </si>
  <si>
    <t>rtdc.l.rtdc.4026:itc</t>
  </si>
  <si>
    <t>Y</t>
  </si>
  <si>
    <t>rtdc.l.rtdc.4046:itc</t>
  </si>
  <si>
    <t>DAVIS</t>
  </si>
  <si>
    <t>rtdc.l.rtdc.4045:itc</t>
  </si>
  <si>
    <t>STEWART</t>
  </si>
  <si>
    <t>50-02</t>
  </si>
  <si>
    <t>CLARK</t>
  </si>
  <si>
    <t>WEBSTER</t>
  </si>
  <si>
    <t>STURGEON</t>
  </si>
  <si>
    <t>303-02</t>
  </si>
  <si>
    <t>218-02</t>
  </si>
  <si>
    <t>307-02</t>
  </si>
  <si>
    <t>Wi-MAX outage</t>
  </si>
  <si>
    <t>Onboard in-route failure</t>
  </si>
  <si>
    <t>105-02</t>
  </si>
  <si>
    <t>Did not init</t>
  </si>
  <si>
    <t>120-02</t>
  </si>
  <si>
    <t>Form C</t>
  </si>
  <si>
    <t>Overspeed</t>
  </si>
  <si>
    <t>Track maintenance?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</si>
</sst>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workbookViewId="0">
      <selection activeCell="R165" sqref="R16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42615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141</v>
      </c>
      <c r="K5" s="46"/>
      <c r="L5" s="46"/>
      <c r="M5" s="47">
        <f>AVERAGEIFS($N$13:$N$9395,$AG$13:$AG$9395,I1)</f>
        <v>39.16843971599171</v>
      </c>
      <c r="N5" s="45">
        <f t="array" ref="N5">MIN(IF($AG$13:$AG$9395=I1,IF(ISNUMBER($N$13:$N$9395),IF($N$13:$N$9395&gt;0,$N$13:$N$9395))))</f>
        <v>34.750000003259629</v>
      </c>
      <c r="O5" s="3">
        <f t="array" ref="O5">MAX(IF($AG$13:$AG$9395=I1,IF(ISNUMBER($N$13:$N$9395),IF($N$13:$N$9395&gt;0,$N$13:$N$9395))))</f>
        <v>48.183333333581686</v>
      </c>
      <c r="P5" s="2"/>
      <c r="R5" s="87" t="s">
        <v>17</v>
      </c>
      <c r="S5" s="57">
        <f>COUNTIFS($N$13:$N$9395,"&gt;0",$AG$13:$AG$9395,R1)</f>
        <v>46</v>
      </c>
      <c r="T5" s="46"/>
      <c r="U5" s="124"/>
      <c r="V5" s="47">
        <f>AVERAGEIFS($N$13:$N$9395,$AG$13:$AG$9395,R1)</f>
        <v>15.310144927302051</v>
      </c>
      <c r="W5" s="45">
        <f t="array" ref="W5">MIN(IF($AG$13:$AG$9395=R1,IF(ISNUMBER($N$13:$N$9395),IF($N$13:$N$9395&gt;0,$N$13:$N$9395))))</f>
        <v>12.383333336329088</v>
      </c>
      <c r="X5" s="116">
        <f t="array" ref="X5">MAX(IF($AG$13:$AG$9395=R1,IF(ISNUMBER($N$13:$N$9395),IF($N$13:$N$9395&gt;0,$N$13:$N$9395))))</f>
        <v>30.91666666441597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COUNT($O$13:$O$156)</f>
        <v>0</v>
      </c>
      <c r="K6" s="46"/>
      <c r="L6" s="46"/>
      <c r="M6" s="47">
        <f>IFERROR(AVERAGE($O$13:$O$156),0)</f>
        <v>0</v>
      </c>
      <c r="N6" s="45">
        <f>MIN($O$13:$O$156)</f>
        <v>0</v>
      </c>
      <c r="O6" s="3">
        <f>MAX($O$13:$O$156)</f>
        <v>0</v>
      </c>
      <c r="P6" s="2"/>
      <c r="R6" s="88" t="s">
        <v>43</v>
      </c>
      <c r="S6" s="57">
        <f>COUNT($O$13:$O$156)</f>
        <v>0</v>
      </c>
      <c r="T6" s="46"/>
      <c r="U6" s="124"/>
      <c r="V6" s="47">
        <f>IFERROR(AVERAGE($O$13:$O$156),0)</f>
        <v>0</v>
      </c>
      <c r="W6" s="45">
        <f>MIN($O$13:$O$156)</f>
        <v>0</v>
      </c>
      <c r="X6" s="116">
        <f>MAX($O$13:$O$156)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1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39.16843971599171</v>
      </c>
      <c r="N8" s="45">
        <f>N5</f>
        <v>34.750000003259629</v>
      </c>
      <c r="O8" s="3">
        <f>O5</f>
        <v>48.183333333581686</v>
      </c>
      <c r="P8" s="2"/>
      <c r="R8" s="87" t="s">
        <v>16</v>
      </c>
      <c r="S8" s="57">
        <f>S5</f>
        <v>46</v>
      </c>
      <c r="T8" s="46"/>
      <c r="U8" s="124"/>
      <c r="V8" s="47">
        <f>V5</f>
        <v>15.310144927302051</v>
      </c>
      <c r="W8" s="45">
        <f>W5</f>
        <v>12.383333336329088</v>
      </c>
      <c r="X8" s="116">
        <f>X5</f>
        <v>30.91666666441597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0.96575342465753422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0.97872340425531912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- 2016-09-02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AVERAGE(S13:S104)</f>
        <v>0.97826086956521741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214</v>
      </c>
      <c r="AJ12" s="53" t="s">
        <v>215</v>
      </c>
      <c r="AK12" s="53" t="s">
        <v>187</v>
      </c>
      <c r="AL12" s="53" t="s">
        <v>216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369</v>
      </c>
      <c r="B13" s="7">
        <v>4053</v>
      </c>
      <c r="C13" s="24" t="s">
        <v>113</v>
      </c>
      <c r="D13" s="24" t="s">
        <v>370</v>
      </c>
      <c r="E13" s="15">
        <v>42615.128645833334</v>
      </c>
      <c r="F13" s="15">
        <v>42615.135659722226</v>
      </c>
      <c r="G13" s="7">
        <v>1</v>
      </c>
      <c r="H13" s="15" t="s">
        <v>371</v>
      </c>
      <c r="I13" s="15">
        <v>42615.161770833336</v>
      </c>
      <c r="J13" s="7">
        <v>1</v>
      </c>
      <c r="K13" s="132" t="str">
        <f t="shared" ref="K13:K76" si="0">IF(ISEVEN(B13),(B13-1)&amp;"/"&amp;B13,B13&amp;"/"&amp;(B13+1))</f>
        <v>4053/4054</v>
      </c>
      <c r="L13" s="24" t="str">
        <f>VLOOKUP(A13,'Trips&amp;Operators'!$C$1:$E$10000,3,FALSE)</f>
        <v>MAELZER</v>
      </c>
      <c r="M13" s="6">
        <f t="shared" ref="M13:M76" si="1">I13-F13</f>
        <v>2.6111111110367347E-2</v>
      </c>
      <c r="N13" s="7">
        <f>24*60*SUM($M13:$M13)</f>
        <v>37.599999998928979</v>
      </c>
      <c r="O13" s="7"/>
      <c r="P13" s="7"/>
      <c r="Q13" s="25"/>
      <c r="R13" s="25"/>
      <c r="S13" s="37">
        <f t="shared" ref="S13:S76" si="2">SUM(U13:U13)/IF(AG13="EC",12,1)</f>
        <v>1</v>
      </c>
      <c r="T13" s="52" t="str">
        <f t="shared" ref="T13:T76" si="3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13" s="54" t="str">
        <f t="shared" ref="W13:W76" si="5">IF(AA13&lt;IF(AG13="EC",23,5.65),"Y","N")</f>
        <v>N</v>
      </c>
      <c r="X13" s="120" t="e">
        <f t="shared" ref="X13:X18" si="6">VALUE(LEFT(AD13,4))-VALUE(LEFT(AD12,4))</f>
        <v>#VALUE!</v>
      </c>
      <c r="Y13" s="69">
        <f t="shared" ref="Y13:Y76" si="7">RIGHT(D13,LEN(D13)-4)/10000</f>
        <v>7.4300000000000005E-2</v>
      </c>
      <c r="Z13" s="69">
        <f t="shared" ref="Z13:Z76" si="8">RIGHT(H13,LEN(H13)-4)/10000</f>
        <v>23.305499999999999</v>
      </c>
      <c r="AA13" s="69">
        <f t="shared" ref="AA13:AA76" si="9">ABS(Z13-Y13)</f>
        <v>23.231199999999998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76" si="10">IF(LEN(A13)=6,"0"&amp;A13,A13)</f>
        <v>0101-02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13" s="96" t="str">
        <f t="shared" ref="AF13:AF76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/stypes="*4053*20160902*"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4053 --swversion DE.1.0.7.0 --startMP 204:743 --initTime 2016-09-02T03:05:15 --startdatetime 2016-09-02T03:15:21 --delay 1 --endMP 204:233055 --enddatetime 2016-09-02T03:52:57 --enforcementcount 1 &gt;&gt;C:\Users\stu\Documents\GitHub\eaglep3-reporting\EC\2016-09-02-refined-times.txt</v>
      </c>
      <c r="AI13" s="14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{"issue":{"subject":"","project_id":79,"tracker_id":40,"status_id":1,"priority_id":2,"assigned_to_id":23,"start_date":"2016-09-02","description":"","custom_fields":[{"id":1,"name":"Subdivision","value":"EC"},{"id":4,"name":"Milepost","value":"23.2312"},{"id":17,"name":"Train ID","value":"101-02"},{"id":16,"name":"Locomotive ID","value":"4053"},{"id":130,"name":"Impact","value":""},{"id":150,"name":"Time of Event (Mountain Time)","value":"03:52:57"},{"id":151,"name":"Denver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372</v>
      </c>
      <c r="B14" s="7">
        <v>4030</v>
      </c>
      <c r="C14" s="24" t="s">
        <v>113</v>
      </c>
      <c r="D14" s="24" t="s">
        <v>373</v>
      </c>
      <c r="E14" s="15">
        <v>42615.170046296298</v>
      </c>
      <c r="F14" s="15">
        <v>42615.174513888887</v>
      </c>
      <c r="G14" s="7">
        <v>1</v>
      </c>
      <c r="H14" s="15" t="s">
        <v>277</v>
      </c>
      <c r="I14" s="15">
        <v>42615.203761574077</v>
      </c>
      <c r="J14" s="7">
        <v>1</v>
      </c>
      <c r="K14" s="132" t="str">
        <f t="shared" si="0"/>
        <v>4029/4030</v>
      </c>
      <c r="L14" s="24" t="str">
        <f>VLOOKUP(A14,'Trips&amp;Operators'!$C$1:$E$10000,3,FALSE)</f>
        <v>MAELZER</v>
      </c>
      <c r="M14" s="6">
        <f t="shared" si="1"/>
        <v>2.9247685190057382E-2</v>
      </c>
      <c r="N14" s="7">
        <f>24*60*SUM($M14:$M14)</f>
        <v>42.11666667368263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03:04:52-0600',mode:absolute,to:'2016-09-02 05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" s="54" t="str">
        <f t="shared" si="5"/>
        <v>N</v>
      </c>
      <c r="X14" s="120">
        <f t="shared" si="6"/>
        <v>1</v>
      </c>
      <c r="Y14" s="69">
        <f t="shared" si="7"/>
        <v>23.268699999999999</v>
      </c>
      <c r="Z14" s="69">
        <f t="shared" si="8"/>
        <v>1.38E-2</v>
      </c>
      <c r="AA14" s="69">
        <f t="shared" si="9"/>
        <v>23.254899999999999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0"/>
        <v>0102-02</v>
      </c>
      <c r="AE14" s="99" t="str">
        <f t="shared" si="11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14" s="96" t="str">
        <f t="shared" si="12"/>
        <v>"C:\Program Files (x86)\AstroGrep\AstroGrep.exe" /spath="%USERPROFILE%\AppData\Local\Temp\OnboardLogs" /stypes="*4030*20160902*"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80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4030 --swversion DE.1.0.7.0 --startMP 204:232687 --initTime 2016-09-02T04:04:52 --startdatetime 2016-09-02T04:11:18 --delay 1 --endMP 204:138 --enddatetime 2016-09-02T04:53:25 --enforcementcount 1 &gt;&gt;C:\Users\stu\Documents\GitHub\eaglep3-reporting\EC\2016-09-02-refined-times.txt</v>
      </c>
      <c r="AI14" s="149" t="str">
        <f t="shared" ref="AI14:AI80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{"issue":{"subject":"","project_id":79,"tracker_id":40,"status_id":1,"priority_id":2,"assigned_to_id":23,"start_date":"2016-09-02","description":"","custom_fields":[{"id":1,"name":"Subdivision","value":"EC"},{"id":4,"name":"Milepost","value":"23.2549"},{"id":17,"name":"Train ID","value":"102-02"},{"id":16,"name":"Locomotive ID","value":"4030"},{"id":130,"name":"Impact","value":""},{"id":150,"name":"Time of Event (Mountain Time)","value":"04:53:25"},{"id":151,"name":"Denver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374</v>
      </c>
      <c r="B15" s="7">
        <v>4046</v>
      </c>
      <c r="C15" s="24" t="s">
        <v>113</v>
      </c>
      <c r="D15" s="24" t="s">
        <v>375</v>
      </c>
      <c r="E15" s="15">
        <v>42615.152777777781</v>
      </c>
      <c r="F15" s="15">
        <v>42615.157650462963</v>
      </c>
      <c r="G15" s="7">
        <v>1</v>
      </c>
      <c r="H15" s="15" t="s">
        <v>376</v>
      </c>
      <c r="I15" s="15">
        <v>42615.185104166667</v>
      </c>
      <c r="J15" s="7">
        <v>1</v>
      </c>
      <c r="K15" s="132" t="str">
        <f t="shared" si="0"/>
        <v>4045/4046</v>
      </c>
      <c r="L15" s="24" t="str">
        <f>VLOOKUP(A15,'Trips&amp;Operators'!$C$1:$E$10000,3,FALSE)</f>
        <v>DAVIS</v>
      </c>
      <c r="M15" s="6">
        <f t="shared" si="1"/>
        <v>2.7453703703940846E-2</v>
      </c>
      <c r="N15" s="7">
        <f>24*60*SUM($M15:$M15)</f>
        <v>39.533333333674818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02:40:00-0600',mode:absolute,to:'2016-09-02 05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5" s="54" t="str">
        <f t="shared" si="5"/>
        <v>N</v>
      </c>
      <c r="X15" s="120">
        <f t="shared" si="6"/>
        <v>1</v>
      </c>
      <c r="Y15" s="69">
        <f t="shared" si="7"/>
        <v>7.3899999999999993E-2</v>
      </c>
      <c r="Z15" s="69">
        <f t="shared" si="8"/>
        <v>23.333400000000001</v>
      </c>
      <c r="AA15" s="69">
        <f t="shared" si="9"/>
        <v>23.259500000000003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0"/>
        <v>0103-02</v>
      </c>
      <c r="AE15" s="99" t="str">
        <f t="shared" si="11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5" s="96" t="str">
        <f t="shared" si="12"/>
        <v>"C:\Program Files (x86)\AstroGrep\AstroGrep.exe" /spath="%USERPROFILE%\AppData\Local\Temp\OnboardLogs" /stypes="*4046*20160902*"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6"/>
        <v>"%USERPROFILE%\Documents\GitHub\eaglep3\Utilities\RefineRTDCRunTimes.py" --tripid 103-02 --locoid 4046 --swversion DE.1.0.7.0 --startMP 204:739 --initTime 2016-09-02T03:40:00 --startdatetime 2016-09-02T03:47:01 --delay 1 --endMP 204:233334 --enddatetime 2016-09-02T04:26:33 --enforcementcount 1 &gt;&gt;C:\Users\stu\Documents\GitHub\eaglep3-reporting\EC\2016-09-02-refined-times.txt</v>
      </c>
      <c r="AI1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{"issue":{"subject":"","project_id":79,"tracker_id":40,"status_id":1,"priority_id":2,"assigned_to_id":23,"start_date":"2016-09-02","description":"","custom_fields":[{"id":1,"name":"Subdivision","value":"EC"},{"id":4,"name":"Milepost","value":"23.2595"},{"id":17,"name":"Train ID","value":"103-02"},{"id":16,"name":"Locomotive ID","value":"4046"},{"id":130,"name":"Impact","value":""},{"id":150,"name":"Time of Event (Mountain Time)","value":"04:26:33"},{"id":151,"name":"Denver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377</v>
      </c>
      <c r="B16" s="7">
        <v>4015</v>
      </c>
      <c r="C16" s="24" t="s">
        <v>113</v>
      </c>
      <c r="D16" s="24" t="s">
        <v>378</v>
      </c>
      <c r="E16" s="15">
        <v>42615.191006944442</v>
      </c>
      <c r="F16" s="15">
        <v>42615.195370370369</v>
      </c>
      <c r="G16" s="7">
        <v>1</v>
      </c>
      <c r="H16" s="15" t="s">
        <v>131</v>
      </c>
      <c r="I16" s="15">
        <v>42615.22552083333</v>
      </c>
      <c r="J16" s="7">
        <v>1</v>
      </c>
      <c r="K16" s="132" t="str">
        <f t="shared" si="0"/>
        <v>4015/4016</v>
      </c>
      <c r="L16" s="24" t="str">
        <f>VLOOKUP(A16,'Trips&amp;Operators'!$C$1:$E$10000,3,FALSE)</f>
        <v>DAVIS</v>
      </c>
      <c r="M16" s="6">
        <f t="shared" si="1"/>
        <v>3.015046296059154E-2</v>
      </c>
      <c r="N16" s="7">
        <f>24*60*SUM($M16:$M16)</f>
        <v>43.416666663251817</v>
      </c>
      <c r="O16" s="7"/>
      <c r="P16" s="7"/>
      <c r="Q16" s="25"/>
      <c r="R16" s="25"/>
      <c r="S16" s="37">
        <f t="shared" si="2"/>
        <v>1</v>
      </c>
      <c r="T16" s="52" t="str">
        <f t="shared" si="3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6" s="54" t="str">
        <f t="shared" si="5"/>
        <v>N</v>
      </c>
      <c r="X16" s="120">
        <f t="shared" si="6"/>
        <v>1</v>
      </c>
      <c r="Y16" s="69">
        <f t="shared" si="7"/>
        <v>23.2669</v>
      </c>
      <c r="Z16" s="69">
        <f t="shared" si="8"/>
        <v>1.5800000000000002E-2</v>
      </c>
      <c r="AA16" s="69">
        <f t="shared" si="9"/>
        <v>23.251100000000001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0"/>
        <v>0104-02</v>
      </c>
      <c r="AE16" s="99" t="str">
        <f t="shared" si="11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16" s="96" t="str">
        <f t="shared" si="12"/>
        <v>"C:\Program Files (x86)\AstroGrep\AstroGrep.exe" /spath="%USERPROFILE%\AppData\Local\Temp\OnboardLogs" /stypes="*4015*20160902*"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6"/>
        <v>"%USERPROFILE%\Documents\GitHub\eaglep3\Utilities\RefineRTDCRunTimes.py" --tripid 104-02 --locoid 4015 --swversion DE.1.0.7.0 --startMP 204:232669 --initTime 2016-09-02T04:35:03 --startdatetime 2016-09-02T04:41:20 --delay 1 --endMP 204:158 --enddatetime 2016-09-02T05:24:45 --enforcementcount 1 &gt;&gt;C:\Users\stu\Documents\GitHub\eaglep3-reporting\EC\2016-09-02-refined-times.txt</v>
      </c>
      <c r="AI1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{"issue":{"subject":"","project_id":79,"tracker_id":40,"status_id":1,"priority_id":2,"assigned_to_id":23,"start_date":"2016-09-02","description":"","custom_fields":[{"id":1,"name":"Subdivision","value":"EC"},{"id":4,"name":"Milepost","value":"23.2511"},{"id":17,"name":"Train ID","value":"104-02"},{"id":16,"name":"Locomotive ID","value":"4015"},{"id":130,"name":"Impact","value":""},{"id":150,"name":"Time of Event (Mountain Time)","value":"05:24:45"},{"id":151,"name":"Denver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730</v>
      </c>
      <c r="B17" s="7"/>
      <c r="C17" s="24" t="s">
        <v>113</v>
      </c>
      <c r="D17" s="24" t="s">
        <v>378</v>
      </c>
      <c r="E17" s="15">
        <v>42615.191006944442</v>
      </c>
      <c r="F17" s="15"/>
      <c r="G17" s="7">
        <v>1</v>
      </c>
      <c r="H17" s="15" t="s">
        <v>131</v>
      </c>
      <c r="I17" s="15"/>
      <c r="J17" s="7">
        <v>1</v>
      </c>
      <c r="K17" s="132" t="str">
        <f t="shared" si="0"/>
        <v>-1/</v>
      </c>
      <c r="L17" s="24" t="e">
        <f>VLOOKUP(A17,'Trips&amp;Operators'!$C$1:$E$10000,3,FALSE)</f>
        <v>#N/A</v>
      </c>
      <c r="M17" s="6">
        <f t="shared" si="1"/>
        <v>0</v>
      </c>
      <c r="N17" s="7"/>
      <c r="O17" s="7"/>
      <c r="P17" s="7">
        <v>1</v>
      </c>
      <c r="Q17" s="25"/>
      <c r="R17" s="25" t="s">
        <v>731</v>
      </c>
      <c r="S17" s="37">
        <f t="shared" si="2"/>
        <v>0</v>
      </c>
      <c r="T17" s="52" t="str">
        <f t="shared" si="3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03:35:03-0600',mode:absolute,to:'1900-01-00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17" s="54" t="str">
        <f t="shared" si="5"/>
        <v>N</v>
      </c>
      <c r="X17" s="120">
        <f t="shared" si="6"/>
        <v>1</v>
      </c>
      <c r="Y17" s="69">
        <f t="shared" si="7"/>
        <v>23.2669</v>
      </c>
      <c r="Z17" s="69">
        <f t="shared" si="8"/>
        <v>1.5800000000000002E-2</v>
      </c>
      <c r="AA17" s="69">
        <f t="shared" si="9"/>
        <v>23.251100000000001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0"/>
        <v>0105-02</v>
      </c>
      <c r="AE17" s="99" t="str">
        <f t="shared" si="11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7" s="96" t="str">
        <f t="shared" si="12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ref="AH17" si="1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105-02 --locoid  --swversion DE.1.0.7.0 --startMP 204:232669 --initTime 2016-09-02T04:35:03 --startdatetime 1900-01-00T00:00:00 --delay 1 --endMP 204:158 --enddatetime 1900-01-00T00:00:00 --enforcementcount 1 &gt;&gt;C:\Users\stu\Documents\GitHub\eaglep3-reporting\EC\2016-09-02-refined-times.txt</v>
      </c>
      <c r="AI17" s="149" t="str">
        <f t="shared" ref="AI17" si="1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AA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init","project_id":79,"tracker_id":40,"status_id":1,"priority_id":2,"assigned_to_id":23,"start_date":"1900-01-00","description":"","custom_fields":[{"id":1,"name":"Subdivision","value":"EC"},{"id":4,"name":"Milepost","value":"23.2511"},{"id":17,"name":"Train ID","value":"105-02"},{"id":16,"name":"Locomotive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705</v>
      </c>
      <c r="B18" s="7">
        <v>4001</v>
      </c>
      <c r="C18" s="24" t="s">
        <v>113</v>
      </c>
      <c r="D18" s="24" t="s">
        <v>378</v>
      </c>
      <c r="E18" s="15">
        <v>42615.191006944442</v>
      </c>
      <c r="F18" s="15">
        <v>42615.224108796298</v>
      </c>
      <c r="G18" s="7">
        <v>1</v>
      </c>
      <c r="H18" s="15" t="s">
        <v>131</v>
      </c>
      <c r="I18" s="15">
        <v>42615.22552083333</v>
      </c>
      <c r="J18" s="7">
        <v>1</v>
      </c>
      <c r="K18" s="132" t="str">
        <f t="shared" si="0"/>
        <v>4001/4002</v>
      </c>
      <c r="L18" s="24" t="str">
        <f>VLOOKUP(A18,'Trips&amp;Operators'!$C$1:$E$10000,3,FALSE)</f>
        <v>MALAVE</v>
      </c>
      <c r="M18" s="6">
        <f t="shared" si="1"/>
        <v>1.4120370324235409E-3</v>
      </c>
      <c r="N18" s="7"/>
      <c r="O18" s="7"/>
      <c r="P18" s="7">
        <f>24*60*SUM($M18:$M18)</f>
        <v>2.033333326689899</v>
      </c>
      <c r="Q18" s="25"/>
      <c r="R18" s="25" t="s">
        <v>728</v>
      </c>
      <c r="S18" s="37">
        <f t="shared" si="2"/>
        <v>1</v>
      </c>
      <c r="T18" s="52" t="str">
        <f t="shared" si="3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" s="54" t="str">
        <f t="shared" si="5"/>
        <v>N</v>
      </c>
      <c r="X18" s="120">
        <f t="shared" si="6"/>
        <v>1</v>
      </c>
      <c r="Y18" s="69">
        <f t="shared" si="7"/>
        <v>23.2669</v>
      </c>
      <c r="Z18" s="69">
        <f t="shared" si="8"/>
        <v>1.5800000000000002E-2</v>
      </c>
      <c r="AA18" s="69">
        <f t="shared" si="9"/>
        <v>23.251100000000001</v>
      </c>
      <c r="AB18" s="66">
        <f>VLOOKUP(A18,Enforcements!$C$7:$J$21,8,0)</f>
        <v>157300</v>
      </c>
      <c r="AC18" s="62" t="str">
        <f>VLOOKUP(A18,Enforcements!$C$7:$E$21,3,0)</f>
        <v>SIGNAL</v>
      </c>
      <c r="AD18" s="63" t="str">
        <f t="shared" si="10"/>
        <v>0106-02</v>
      </c>
      <c r="AE18" s="99" t="str">
        <f t="shared" si="11"/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AF18" s="96" t="str">
        <f t="shared" si="12"/>
        <v>"C:\Program Files (x86)\AstroGrep\AstroGrep.exe" /spath="%USERPROFILE%\AppData\Local\Temp\OnboardLogs" /stypes="*4001*20160902*"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ref="AH18" si="20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106-02 --locoid 4001 --swversion DE.1.0.7.0 --startMP 204:232669 --initTime 2016-09-02T04:35:03 --startdatetime 2016-09-02T05:22:43 --delay 1 --endMP 204:158 --enddatetime 2016-09-02T05:24:45 --enforcementcount 1 &gt;&gt;C:\Users\stu\Documents\GitHub\eaglep3-reporting\EC\2016-09-02-refined-times.txt</v>
      </c>
      <c r="AI18" s="149" t="str">
        <f t="shared" ref="AI18" si="21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AA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outage","project_id":79,"tracker_id":40,"status_id":1,"priority_id":2,"assigned_to_id":23,"start_date":"2016-09-02","description":"","custom_fields":[{"id":1,"name":"Subdivision","value":"EC"},{"id":4,"name":"Milepost","value":"23.2511"},{"id":17,"name":"Train ID","value":"106-02"},{"id":16,"name":"Locomotive ID","value":"4001"},{"id":130,"name":"Impact","value":""},{"id":150,"name":"Time of Event (Mountain Time)","value":"05:24:45"},{"id":151,"name":"Denver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379</v>
      </c>
      <c r="B19" s="7">
        <v>4044</v>
      </c>
      <c r="C19" s="24" t="s">
        <v>113</v>
      </c>
      <c r="D19" s="24" t="s">
        <v>125</v>
      </c>
      <c r="E19" s="15">
        <v>42615.183495370373</v>
      </c>
      <c r="F19" s="15">
        <v>42615.187696759262</v>
      </c>
      <c r="G19" s="7">
        <v>2</v>
      </c>
      <c r="H19" s="15" t="s">
        <v>150</v>
      </c>
      <c r="I19" s="15">
        <v>42615.215648148151</v>
      </c>
      <c r="J19" s="7">
        <v>1</v>
      </c>
      <c r="K19" s="132" t="str">
        <f t="shared" si="0"/>
        <v>4043/4044</v>
      </c>
      <c r="L19" s="24" t="str">
        <f>VLOOKUP(A19,'Trips&amp;Operators'!$C$1:$E$10000,3,FALSE)</f>
        <v>SMITH</v>
      </c>
      <c r="M19" s="6">
        <f t="shared" si="1"/>
        <v>2.7951388889050577E-2</v>
      </c>
      <c r="N19" s="7">
        <f t="shared" ref="N19:N31" si="22">24*60*SUM($M19:$M19)</f>
        <v>40.250000000232831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03:24:14-0600',mode:absolute,to:'2016-09-02 06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" s="54" t="str">
        <f t="shared" si="5"/>
        <v>N</v>
      </c>
      <c r="X19" s="120">
        <f t="shared" ref="X19:X20" si="23">VALUE(LEFT(AD19,4))-VALUE(LEFT(AD18,4))</f>
        <v>1</v>
      </c>
      <c r="Y19" s="69">
        <f t="shared" si="7"/>
        <v>4.5499999999999999E-2</v>
      </c>
      <c r="Z19" s="69">
        <f t="shared" si="8"/>
        <v>23.3291</v>
      </c>
      <c r="AA19" s="69">
        <f t="shared" si="9"/>
        <v>23.2836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0"/>
        <v>0107-02</v>
      </c>
      <c r="AE19" s="99" t="str">
        <f t="shared" si="11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9" s="96" t="str">
        <f t="shared" si="12"/>
        <v>"C:\Program Files (x86)\AstroGrep\AstroGrep.exe" /spath="%USERPROFILE%\AppData\Local\Temp\OnboardLogs" /stypes="*4044*20160902*"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6"/>
        <v>"%USERPROFILE%\Documents\GitHub\eaglep3\Utilities\RefineRTDCRunTimes.py" --tripid 107-02 --locoid 4044 --swversion DE.1.0.7.0 --startMP 204:455 --initTime 2016-09-02T04:24:14 --startdatetime 2016-09-02T04:30:17 --delay 2 --endMP 204:233291 --enddatetime 2016-09-02T05:10:32 --enforcementcount 1 &gt;&gt;C:\Users\stu\Documents\GitHub\eaglep3-reporting\EC\2016-09-02-refined-times.txt</v>
      </c>
      <c r="AI1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{"issue":{"subject":"","project_id":79,"tracker_id":40,"status_id":1,"priority_id":2,"assigned_to_id":23,"start_date":"2016-09-02","description":"","custom_fields":[{"id":1,"name":"Subdivision","value":"EC"},{"id":4,"name":"Milepost","value":"23.2836"},{"id":17,"name":"Train ID","value":"107-02"},{"id":16,"name":"Locomotive ID","value":"4044"},{"id":130,"name":"Impact","value":""},{"id":150,"name":"Time of Event (Mountain Time)","value":"05:10:32"},{"id":151,"name":"Denver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380</v>
      </c>
      <c r="B20" s="7">
        <v>4043</v>
      </c>
      <c r="C20" s="24" t="s">
        <v>113</v>
      </c>
      <c r="D20" s="24" t="s">
        <v>234</v>
      </c>
      <c r="E20" s="15">
        <v>42615.21770833333</v>
      </c>
      <c r="F20" s="15">
        <v>42615.226678240739</v>
      </c>
      <c r="G20" s="7">
        <v>2</v>
      </c>
      <c r="H20" s="15" t="s">
        <v>281</v>
      </c>
      <c r="I20" s="15">
        <v>42615.257453703707</v>
      </c>
      <c r="J20" s="7">
        <v>1</v>
      </c>
      <c r="K20" s="132" t="str">
        <f t="shared" si="0"/>
        <v>4043/4044</v>
      </c>
      <c r="L20" s="24" t="str">
        <f>VLOOKUP(A20,'Trips&amp;Operators'!$C$1:$E$10000,3,FALSE)</f>
        <v>SMITH</v>
      </c>
      <c r="M20" s="6">
        <f t="shared" si="1"/>
        <v>3.0775462968449574E-2</v>
      </c>
      <c r="N20" s="7">
        <f t="shared" si="22"/>
        <v>44.316666674567387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04:13:30-0600',mode:absolute,to:'2016-09-02 07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0" s="54" t="str">
        <f t="shared" si="5"/>
        <v>N</v>
      </c>
      <c r="X20" s="120">
        <f t="shared" si="23"/>
        <v>1</v>
      </c>
      <c r="Y20" s="69">
        <f t="shared" si="7"/>
        <v>23.2971</v>
      </c>
      <c r="Z20" s="69">
        <f t="shared" si="8"/>
        <v>1.4999999999999999E-2</v>
      </c>
      <c r="AA20" s="69">
        <f t="shared" si="9"/>
        <v>23.2821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10"/>
        <v>0108-02</v>
      </c>
      <c r="AE20" s="99" t="str">
        <f t="shared" si="11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20" s="96" t="str">
        <f t="shared" si="12"/>
        <v>"C:\Program Files (x86)\AstroGrep\AstroGrep.exe" /spath="%USERPROFILE%\AppData\Local\Temp\OnboardLogs" /stypes="*4043*20160902*"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6"/>
        <v>"%USERPROFILE%\Documents\GitHub\eaglep3\Utilities\RefineRTDCRunTimes.py" --tripid 108-02 --locoid 4043 --swversion DE.1.0.7.0 --startMP 204:232971 --initTime 2016-09-02T05:13:30 --startdatetime 2016-09-02T05:26:25 --delay 2 --endMP 204:150 --enddatetime 2016-09-02T06:10:44 --enforcementcount 1 &gt;&gt;C:\Users\stu\Documents\GitHub\eaglep3-reporting\EC\2016-09-02-refined-times.txt</v>
      </c>
      <c r="AI2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{"issue":{"subject":"","project_id":79,"tracker_id":40,"status_id":1,"priority_id":2,"assigned_to_id":23,"start_date":"2016-09-02","description":"","custom_fields":[{"id":1,"name":"Subdivision","value":"EC"},{"id":4,"name":"Milepost","value":"23.2821"},{"id":17,"name":"Train ID","value":"108-02"},{"id":16,"name":"Locomotive ID","value":"4043"},{"id":130,"name":"Impact","value":""},{"id":150,"name":"Time of Event (Mountain Time)","value":"06:10:44"},{"id":151,"name":"Denver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381</v>
      </c>
      <c r="B21" s="7">
        <v>4031</v>
      </c>
      <c r="C21" s="24" t="s">
        <v>113</v>
      </c>
      <c r="D21" s="24" t="s">
        <v>174</v>
      </c>
      <c r="E21" s="15">
        <v>42615.190775462965</v>
      </c>
      <c r="F21" s="15">
        <v>42615.198148148149</v>
      </c>
      <c r="G21" s="7">
        <v>1</v>
      </c>
      <c r="H21" s="15" t="s">
        <v>382</v>
      </c>
      <c r="I21" s="15">
        <v>42615.223645833335</v>
      </c>
      <c r="J21" s="7">
        <v>1</v>
      </c>
      <c r="K21" s="132" t="str">
        <f t="shared" si="0"/>
        <v>4031/4032</v>
      </c>
      <c r="L21" s="24" t="str">
        <f>VLOOKUP(A21,'Trips&amp;Operators'!$C$1:$E$10000,3,FALSE)</f>
        <v>GEBRETEKLE</v>
      </c>
      <c r="M21" s="6">
        <f t="shared" si="1"/>
        <v>2.5497685186564922E-2</v>
      </c>
      <c r="N21" s="7">
        <f t="shared" si="22"/>
        <v>36.716666668653488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03:34:43-0600',mode:absolute,to:'2016-09-02 06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" s="54" t="str">
        <f t="shared" si="5"/>
        <v>N</v>
      </c>
      <c r="X21" s="120">
        <f t="shared" ref="X21:X32" si="24">VALUE(LEFT(AD21,4))-VALUE(LEFT(AD20,4))</f>
        <v>1</v>
      </c>
      <c r="Y21" s="69">
        <f t="shared" si="7"/>
        <v>4.4699999999999997E-2</v>
      </c>
      <c r="Z21" s="69">
        <f t="shared" si="8"/>
        <v>23.332100000000001</v>
      </c>
      <c r="AA21" s="69">
        <f t="shared" si="9"/>
        <v>23.287400000000002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0"/>
        <v>0109-02</v>
      </c>
      <c r="AE21" s="99" t="str">
        <f t="shared" si="11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21" s="96" t="str">
        <f t="shared" si="12"/>
        <v>"C:\Program Files (x86)\AstroGrep\AstroGrep.exe" /spath="%USERPROFILE%\AppData\Local\Temp\OnboardLogs" /stypes="*4031*20160902*"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6"/>
        <v>"%USERPROFILE%\Documents\GitHub\eaglep3\Utilities\RefineRTDCRunTimes.py" --tripid 109-02 --locoid 4031 --swversion DE.1.0.7.0 --startMP 204:447 --initTime 2016-09-02T04:34:43 --startdatetime 2016-09-02T04:45:20 --delay 1 --endMP 204:233321 --enddatetime 2016-09-02T05:22:03 --enforcementcount 1 &gt;&gt;C:\Users\stu\Documents\GitHub\eaglep3-reporting\EC\2016-09-02-refined-times.txt</v>
      </c>
      <c r="AI2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{"issue":{"subject":"","project_id":79,"tracker_id":40,"status_id":1,"priority_id":2,"assigned_to_id":23,"start_date":"2016-09-02","description":"","custom_fields":[{"id":1,"name":"Subdivision","value":"EC"},{"id":4,"name":"Milepost","value":"23.2874"},{"id":17,"name":"Train ID","value":"109-02"},{"id":16,"name":"Locomotive ID","value":"4031"},{"id":130,"name":"Impact","value":""},{"id":150,"name":"Time of Event (Mountain Time)","value":"05:22:03"},{"id":151,"name":"Denver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383</v>
      </c>
      <c r="B22" s="7">
        <v>4032</v>
      </c>
      <c r="C22" s="24" t="s">
        <v>113</v>
      </c>
      <c r="D22" s="24" t="s">
        <v>258</v>
      </c>
      <c r="E22" s="15">
        <v>42615.233946759261</v>
      </c>
      <c r="F22" s="15">
        <v>42615.237002314818</v>
      </c>
      <c r="G22" s="7">
        <v>1</v>
      </c>
      <c r="H22" s="15" t="s">
        <v>178</v>
      </c>
      <c r="I22" s="15">
        <v>42615.264444444445</v>
      </c>
      <c r="J22" s="7">
        <v>1</v>
      </c>
      <c r="K22" s="132" t="str">
        <f t="shared" si="0"/>
        <v>4031/4032</v>
      </c>
      <c r="L22" s="24" t="str">
        <f>VLOOKUP(A22,'Trips&amp;Operators'!$C$1:$E$10000,3,FALSE)</f>
        <v>GEBRETEKLE</v>
      </c>
      <c r="M22" s="6">
        <f t="shared" si="1"/>
        <v>2.7442129627161194E-2</v>
      </c>
      <c r="N22" s="7">
        <f t="shared" si="22"/>
        <v>39.516666663112119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04:36:53-0600',mode:absolute,to:'2016-09-02 07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2" s="54" t="str">
        <f t="shared" si="5"/>
        <v>N</v>
      </c>
      <c r="X22" s="120">
        <f t="shared" si="24"/>
        <v>1</v>
      </c>
      <c r="Y22" s="69">
        <f t="shared" si="7"/>
        <v>23.299600000000002</v>
      </c>
      <c r="Z22" s="69">
        <f t="shared" si="8"/>
        <v>1.3899999999999999E-2</v>
      </c>
      <c r="AA22" s="69">
        <f t="shared" si="9"/>
        <v>23.285700000000002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10"/>
        <v>0110-02</v>
      </c>
      <c r="AE22" s="99" t="str">
        <f t="shared" si="11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22" s="96" t="str">
        <f t="shared" si="12"/>
        <v>"C:\Program Files (x86)\AstroGrep\AstroGrep.exe" /spath="%USERPROFILE%\AppData\Local\Temp\OnboardLogs" /stypes="*4032*20160902*"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6"/>
        <v>"%USERPROFILE%\Documents\GitHub\eaglep3\Utilities\RefineRTDCRunTimes.py" --tripid 110-02 --locoid 4032 --swversion DE.1.0.7.0 --startMP 204:232996 --initTime 2016-09-02T05:36:53 --startdatetime 2016-09-02T05:41:17 --delay 1 --endMP 204:139 --enddatetime 2016-09-02T06:20:48 --enforcementcount 1 &gt;&gt;C:\Users\stu\Documents\GitHub\eaglep3-reporting\EC\2016-09-02-refined-times.txt</v>
      </c>
      <c r="AI22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{"issue":{"subject":"","project_id":79,"tracker_id":40,"status_id":1,"priority_id":2,"assigned_to_id":23,"start_date":"2016-09-02","description":"","custom_fields":[{"id":1,"name":"Subdivision","value":"EC"},{"id":4,"name":"Milepost","value":"23.2857"},{"id":17,"name":"Train ID","value":"110-02"},{"id":16,"name":"Locomotive ID","value":"4032"},{"id":130,"name":"Impact","value":""},{"id":150,"name":"Time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384</v>
      </c>
      <c r="B23" s="7">
        <v>4053</v>
      </c>
      <c r="C23" s="24" t="s">
        <v>113</v>
      </c>
      <c r="D23" s="24" t="s">
        <v>385</v>
      </c>
      <c r="E23" s="15">
        <v>42615.207395833335</v>
      </c>
      <c r="F23" s="15">
        <v>42615.209560185183</v>
      </c>
      <c r="G23" s="7">
        <v>1</v>
      </c>
      <c r="H23" s="15" t="s">
        <v>310</v>
      </c>
      <c r="I23" s="15">
        <v>42615.235902777778</v>
      </c>
      <c r="J23" s="7">
        <v>1</v>
      </c>
      <c r="K23" s="132" t="str">
        <f t="shared" si="0"/>
        <v>4053/4054</v>
      </c>
      <c r="L23" s="24" t="str">
        <f>VLOOKUP(A23,'Trips&amp;Operators'!$C$1:$E$10000,3,FALSE)</f>
        <v>SPECTOR</v>
      </c>
      <c r="M23" s="6">
        <f t="shared" si="1"/>
        <v>2.6342592595028691E-2</v>
      </c>
      <c r="N23" s="7">
        <f t="shared" si="22"/>
        <v>37.933333336841315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03:58:39-0600',mode:absolute,to:'2016-09-02 06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23" s="54" t="str">
        <f t="shared" si="5"/>
        <v>N</v>
      </c>
      <c r="X23" s="120">
        <f t="shared" si="24"/>
        <v>1</v>
      </c>
      <c r="Y23" s="69">
        <f t="shared" si="7"/>
        <v>7.5700000000000003E-2</v>
      </c>
      <c r="Z23" s="69">
        <f t="shared" si="8"/>
        <v>23.3322</v>
      </c>
      <c r="AA23" s="69">
        <f t="shared" si="9"/>
        <v>23.256499999999999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0"/>
        <v>0111-02</v>
      </c>
      <c r="AE23" s="99" t="str">
        <f t="shared" si="11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23" s="96" t="str">
        <f t="shared" si="12"/>
        <v>"C:\Program Files (x86)\AstroGrep\AstroGrep.exe" /spath="%USERPROFILE%\AppData\Local\Temp\OnboardLogs" /stypes="*4053*20160902*"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6"/>
        <v>"%USERPROFILE%\Documents\GitHub\eaglep3\Utilities\RefineRTDCRunTimes.py" --tripid 111-02 --locoid 4053 --swversion DE.1.0.7.0 --startMP 204:757 --initTime 2016-09-02T04:58:39 --startdatetime 2016-09-02T05:01:46 --delay 1 --endMP 204:233322 --enddatetime 2016-09-02T05:39:42 --enforcementcount 1 &gt;&gt;C:\Users\stu\Documents\GitHub\eaglep3-reporting\EC\2016-09-02-refined-times.txt</v>
      </c>
      <c r="AI2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{"issue":{"subject":"","project_id":79,"tracker_id":40,"status_id":1,"priority_id":2,"assigned_to_id":23,"start_date":"2016-09-02","description":"","custom_fields":[{"id":1,"name":"Subdivision","value":"EC"},{"id":4,"name":"Milepost","value":"23.2565"},{"id":17,"name":"Train ID","value":"111-02"},{"id":16,"name":"Locomotive ID","value":"4053"},{"id":130,"name":"Impact","value":""},{"id":150,"name":"Time of Event (Mountain Time)","value":"05:39:42"},{"id":151,"name":"Denver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386</v>
      </c>
      <c r="B24" s="7">
        <v>4054</v>
      </c>
      <c r="C24" s="24" t="s">
        <v>113</v>
      </c>
      <c r="D24" s="24" t="s">
        <v>387</v>
      </c>
      <c r="E24" s="15">
        <v>42615.241712962961</v>
      </c>
      <c r="F24" s="15">
        <v>42615.247395833336</v>
      </c>
      <c r="G24" s="7">
        <v>2</v>
      </c>
      <c r="H24" s="15" t="s">
        <v>321</v>
      </c>
      <c r="I24" s="15">
        <v>42615.273831018516</v>
      </c>
      <c r="J24" s="7">
        <v>1</v>
      </c>
      <c r="K24" s="132" t="str">
        <f t="shared" si="0"/>
        <v>4053/4054</v>
      </c>
      <c r="L24" s="24" t="str">
        <f>VLOOKUP(A24,'Trips&amp;Operators'!$C$1:$E$10000,3,FALSE)</f>
        <v>SPECTOR</v>
      </c>
      <c r="M24" s="6">
        <f t="shared" si="1"/>
        <v>2.643518518016208E-2</v>
      </c>
      <c r="N24" s="7">
        <f t="shared" si="22"/>
        <v>38.066666659433395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04:48:04-0600',mode:absolute,to:'2016-09-02 07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4" s="54" t="str">
        <f t="shared" si="5"/>
        <v>N</v>
      </c>
      <c r="X24" s="120">
        <f t="shared" si="24"/>
        <v>1</v>
      </c>
      <c r="Y24" s="69">
        <f t="shared" si="7"/>
        <v>23.3019</v>
      </c>
      <c r="Z24" s="69">
        <f t="shared" si="8"/>
        <v>1.34E-2</v>
      </c>
      <c r="AA24" s="69">
        <f t="shared" si="9"/>
        <v>23.288499999999999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0"/>
        <v>0112-02</v>
      </c>
      <c r="AE24" s="99" t="str">
        <f t="shared" si="11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24" s="96" t="str">
        <f t="shared" si="12"/>
        <v>"C:\Program Files (x86)\AstroGrep\AstroGrep.exe" /spath="%USERPROFILE%\AppData\Local\Temp\OnboardLogs" /stypes="*4054*20160902*"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6"/>
        <v>"%USERPROFILE%\Documents\GitHub\eaglep3\Utilities\RefineRTDCRunTimes.py" --tripid 112-02 --locoid 4054 --swversion DE.1.0.7.0 --startMP 204:233019 --initTime 2016-09-02T05:48:04 --startdatetime 2016-09-02T05:56:15 --delay 2 --endMP 204:134 --enddatetime 2016-09-02T06:34:19 --enforcementcount 1 &gt;&gt;C:\Users\stu\Documents\GitHub\eaglep3-reporting\EC\2016-09-02-refined-times.txt</v>
      </c>
      <c r="AI2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{"issue":{"subject":"","project_id":79,"tracker_id":40,"status_id":1,"priority_id":2,"assigned_to_id":23,"start_date":"2016-09-02","description":"","custom_fields":[{"id":1,"name":"Subdivision","value":"EC"},{"id":4,"name":"Milepost","value":"23.2885"},{"id":17,"name":"Train ID","value":"112-02"},{"id":16,"name":"Locomotive ID","value":"4054"},{"id":130,"name":"Impact","value":""},{"id":150,"name":"Time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388</v>
      </c>
      <c r="B25" s="7">
        <v>4029</v>
      </c>
      <c r="C25" s="24" t="s">
        <v>113</v>
      </c>
      <c r="D25" s="24" t="s">
        <v>133</v>
      </c>
      <c r="E25" s="15">
        <v>42615.216805555552</v>
      </c>
      <c r="F25" s="15">
        <v>42615.219004629631</v>
      </c>
      <c r="G25" s="7">
        <v>1</v>
      </c>
      <c r="H25" s="15" t="s">
        <v>316</v>
      </c>
      <c r="I25" s="15">
        <v>42615.245138888888</v>
      </c>
      <c r="J25" s="7">
        <v>1</v>
      </c>
      <c r="K25" s="132" t="str">
        <f t="shared" si="0"/>
        <v>4029/4030</v>
      </c>
      <c r="L25" s="24" t="str">
        <f>VLOOKUP(A25,'Trips&amp;Operators'!$C$1:$E$10000,3,FALSE)</f>
        <v>MAELZER</v>
      </c>
      <c r="M25" s="6">
        <f t="shared" si="1"/>
        <v>2.6134259256650694E-2</v>
      </c>
      <c r="N25" s="7">
        <f t="shared" si="22"/>
        <v>37.633333329576999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04:12:12-0600',mode:absolute,to:'2016-09-02 06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5" s="54" t="str">
        <f t="shared" si="5"/>
        <v>N</v>
      </c>
      <c r="X25" s="120">
        <f t="shared" si="24"/>
        <v>1</v>
      </c>
      <c r="Y25" s="69">
        <f t="shared" si="7"/>
        <v>4.53E-2</v>
      </c>
      <c r="Z25" s="69">
        <f t="shared" si="8"/>
        <v>23.331199999999999</v>
      </c>
      <c r="AA25" s="69">
        <f t="shared" si="9"/>
        <v>23.285899999999998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0"/>
        <v>0113-02</v>
      </c>
      <c r="AE25" s="99" t="str">
        <f t="shared" si="11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25" s="96" t="str">
        <f t="shared" si="12"/>
        <v>"C:\Program Files (x86)\AstroGrep\AstroGrep.exe" /spath="%USERPROFILE%\AppData\Local\Temp\OnboardLogs" /stypes="*4029*20160902*"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6"/>
        <v>"%USERPROFILE%\Documents\GitHub\eaglep3\Utilities\RefineRTDCRunTimes.py" --tripid 113-02 --locoid 4029 --swversion DE.1.0.7.0 --startMP 204:453 --initTime 2016-09-02T05:12:12 --startdatetime 2016-09-02T05:15:22 --delay 1 --endMP 204:233312 --enddatetime 2016-09-02T05:53:00 --enforcementcount 1 &gt;&gt;C:\Users\stu\Documents\GitHub\eaglep3-reporting\EC\2016-09-02-refined-times.txt</v>
      </c>
      <c r="AI2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{"issue":{"subject":"","project_id":79,"tracker_id":40,"status_id":1,"priority_id":2,"assigned_to_id":23,"start_date":"2016-09-02","description":"","custom_fields":[{"id":1,"name":"Subdivision","value":"EC"},{"id":4,"name":"Milepost","value":"23.2859"},{"id":17,"name":"Train ID","value":"113-02"},{"id":16,"name":"Locomotive ID","value":"4029"},{"id":130,"name":"Impact","value":""},{"id":150,"name":"Time of Event (Mountain Time)","value":"05:53:00"},{"id":151,"name":"Denver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389</v>
      </c>
      <c r="B26" s="7">
        <v>4030</v>
      </c>
      <c r="C26" s="24" t="s">
        <v>113</v>
      </c>
      <c r="D26" s="24" t="s">
        <v>258</v>
      </c>
      <c r="E26" s="15">
        <v>42615.250381944446</v>
      </c>
      <c r="F26" s="15">
        <v>42615.258055555554</v>
      </c>
      <c r="G26" s="7">
        <v>1</v>
      </c>
      <c r="H26" s="15" t="s">
        <v>148</v>
      </c>
      <c r="I26" s="15">
        <v>42615.285208333335</v>
      </c>
      <c r="J26" s="7">
        <v>1</v>
      </c>
      <c r="K26" s="132" t="str">
        <f t="shared" si="0"/>
        <v>4029/4030</v>
      </c>
      <c r="L26" s="24" t="str">
        <f>VLOOKUP(A26,'Trips&amp;Operators'!$C$1:$E$10000,3,FALSE)</f>
        <v>MAELZER</v>
      </c>
      <c r="M26" s="6">
        <f t="shared" si="1"/>
        <v>2.715277778042946E-2</v>
      </c>
      <c r="N26" s="7">
        <f t="shared" si="22"/>
        <v>39.100000003818423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05:00:33-0600',mode:absolute,to:'2016-09-02 07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6" s="54" t="str">
        <f t="shared" si="5"/>
        <v>N</v>
      </c>
      <c r="X26" s="120">
        <f t="shared" si="24"/>
        <v>1</v>
      </c>
      <c r="Y26" s="69">
        <f t="shared" si="7"/>
        <v>23.299600000000002</v>
      </c>
      <c r="Z26" s="69">
        <f t="shared" si="8"/>
        <v>1.5599999999999999E-2</v>
      </c>
      <c r="AA26" s="69">
        <f t="shared" si="9"/>
        <v>23.284000000000002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0"/>
        <v>0114-02</v>
      </c>
      <c r="AE26" s="99" t="str">
        <f t="shared" si="11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26" s="96" t="str">
        <f t="shared" si="12"/>
        <v>"C:\Program Files (x86)\AstroGrep\AstroGrep.exe" /spath="%USERPROFILE%\AppData\Local\Temp\OnboardLogs" /stypes="*4030*20160902*"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6"/>
        <v>"%USERPROFILE%\Documents\GitHub\eaglep3\Utilities\RefineRTDCRunTimes.py" --tripid 114-02 --locoid 4030 --swversion DE.1.0.7.0 --startMP 204:232996 --initTime 2016-09-02T06:00:33 --startdatetime 2016-09-02T06:11:36 --delay 1 --endMP 204:156 --enddatetime 2016-09-02T06:50:42 --enforcementcount 1 &gt;&gt;C:\Users\stu\Documents\GitHub\eaglep3-reporting\EC\2016-09-02-refined-times.txt</v>
      </c>
      <c r="AI2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{"issue":{"subject":"","project_id":79,"tracker_id":40,"status_id":1,"priority_id":2,"assigned_to_id":23,"start_date":"2016-09-02","description":"","custom_fields":[{"id":1,"name":"Subdivision","value":"EC"},{"id":4,"name":"Milepost","value":"23.284"},{"id":17,"name":"Train ID","value":"114-02"},{"id":16,"name":"Locomotive ID","value":"4030"},{"id":130,"name":"Impact","value":""},{"id":150,"name":"Time of Event (Mountain Time)","value":"06:50:42"},{"id":151,"name":"Denver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390</v>
      </c>
      <c r="B27" s="7">
        <v>4046</v>
      </c>
      <c r="C27" s="24" t="s">
        <v>113</v>
      </c>
      <c r="D27" s="24" t="s">
        <v>306</v>
      </c>
      <c r="E27" s="15">
        <v>42615.228159722225</v>
      </c>
      <c r="F27" s="15">
        <v>42615.229664351849</v>
      </c>
      <c r="G27" s="7">
        <v>1</v>
      </c>
      <c r="H27" s="15" t="s">
        <v>275</v>
      </c>
      <c r="I27" s="15">
        <v>42615.253796296296</v>
      </c>
      <c r="J27" s="7">
        <v>1</v>
      </c>
      <c r="K27" s="132" t="str">
        <f t="shared" si="0"/>
        <v>4045/4046</v>
      </c>
      <c r="L27" s="24" t="str">
        <f>VLOOKUP(A27,'Trips&amp;Operators'!$C$1:$E$10000,3,FALSE)</f>
        <v>ARVIDSON</v>
      </c>
      <c r="M27" s="6">
        <f t="shared" si="1"/>
        <v>2.4131944446708076E-2</v>
      </c>
      <c r="N27" s="7">
        <f t="shared" si="22"/>
        <v>34.750000003259629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04:28:33-0600',mode:absolute,to:'2016-09-02 07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27" s="54" t="str">
        <f t="shared" si="5"/>
        <v>N</v>
      </c>
      <c r="X27" s="120">
        <f t="shared" si="24"/>
        <v>1</v>
      </c>
      <c r="Y27" s="69">
        <f t="shared" si="7"/>
        <v>7.7499999999999999E-2</v>
      </c>
      <c r="Z27" s="69">
        <f t="shared" si="8"/>
        <v>23.33</v>
      </c>
      <c r="AA27" s="69">
        <f t="shared" si="9"/>
        <v>23.252499999999998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0"/>
        <v>0115-02</v>
      </c>
      <c r="AE27" s="99" t="str">
        <f t="shared" si="11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27" s="96" t="str">
        <f t="shared" si="12"/>
        <v>"C:\Program Files (x86)\AstroGrep\AstroGrep.exe" /spath="%USERPROFILE%\AppData\Local\Temp\OnboardLogs" /stypes="*4046*20160902*"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6"/>
        <v>"%USERPROFILE%\Documents\GitHub\eaglep3\Utilities\RefineRTDCRunTimes.py" --tripid 115-02 --locoid 4046 --swversion DE.1.0.7.0 --startMP 204:775 --initTime 2016-09-02T05:28:33 --startdatetime 2016-09-02T05:30:43 --delay 1 --endMP 204:233300 --enddatetime 2016-09-02T06:05:28 --enforcementcount 1 &gt;&gt;C:\Users\stu\Documents\GitHub\eaglep3-reporting\EC\2016-09-02-refined-times.txt</v>
      </c>
      <c r="AI2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{"issue":{"subject":"","project_id":79,"tracker_id":40,"status_id":1,"priority_id":2,"assigned_to_id":23,"start_date":"2016-09-02","description":"","custom_fields":[{"id":1,"name":"Subdivision","value":"EC"},{"id":4,"name":"Milepost","value":"23.2525"},{"id":17,"name":"Train ID","value":"115-02"},{"id":16,"name":"Locomotive ID","value":"4046"},{"id":130,"name":"Impact","value":""},{"id":150,"name":"Time of Event (Mountain Time)","value":"06:05:28"},{"id":151,"name":"Denver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391</v>
      </c>
      <c r="B28" s="7">
        <v>4045</v>
      </c>
      <c r="C28" s="24" t="s">
        <v>113</v>
      </c>
      <c r="D28" s="24" t="s">
        <v>312</v>
      </c>
      <c r="E28" s="15">
        <v>42615.263020833336</v>
      </c>
      <c r="F28" s="15">
        <v>42615.268599537034</v>
      </c>
      <c r="G28" s="7">
        <v>2</v>
      </c>
      <c r="H28" s="15" t="s">
        <v>173</v>
      </c>
      <c r="I28" s="15">
        <v>42615.295335648145</v>
      </c>
      <c r="J28" s="7">
        <v>1</v>
      </c>
      <c r="K28" s="132" t="str">
        <f t="shared" si="0"/>
        <v>4045/4046</v>
      </c>
      <c r="L28" s="24" t="str">
        <f>VLOOKUP(A28,'Trips&amp;Operators'!$C$1:$E$10000,3,FALSE)</f>
        <v>ARVIDSON</v>
      </c>
      <c r="M28" s="6">
        <f t="shared" si="1"/>
        <v>2.6736111110949423E-2</v>
      </c>
      <c r="N28" s="7">
        <f t="shared" si="22"/>
        <v>38.499999999767169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05:18:45-0600',mode:absolute,to:'2016-09-02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28" s="54" t="str">
        <f t="shared" si="5"/>
        <v>N</v>
      </c>
      <c r="X28" s="120">
        <f t="shared" si="24"/>
        <v>1</v>
      </c>
      <c r="Y28" s="69">
        <f t="shared" si="7"/>
        <v>23.298400000000001</v>
      </c>
      <c r="Z28" s="69">
        <f t="shared" si="8"/>
        <v>1.4500000000000001E-2</v>
      </c>
      <c r="AA28" s="69">
        <f t="shared" si="9"/>
        <v>23.283899999999999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0"/>
        <v>0116-02</v>
      </c>
      <c r="AE28" s="99" t="str">
        <f t="shared" si="11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28" s="96" t="str">
        <f t="shared" si="12"/>
        <v>"C:\Program Files (x86)\AstroGrep\AstroGrep.exe" /spath="%USERPROFILE%\AppData\Local\Temp\OnboardLogs" /stypes="*4045*20160902*"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6"/>
        <v>"%USERPROFILE%\Documents\GitHub\eaglep3\Utilities\RefineRTDCRunTimes.py" --tripid 116-02 --locoid 4045 --swversion DE.1.0.7.0 --startMP 204:232984 --initTime 2016-09-02T06:18:45 --startdatetime 2016-09-02T06:26:47 --delay 2 --endMP 204:145 --enddatetime 2016-09-02T07:05:17 --enforcementcount 1 &gt;&gt;C:\Users\stu\Documents\GitHub\eaglep3-reporting\EC\2016-09-02-refined-times.txt</v>
      </c>
      <c r="AI2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{"issue":{"subject":"","project_id":79,"tracker_id":40,"status_id":1,"priority_id":2,"assigned_to_id":23,"start_date":"2016-09-02","description":"","custom_fields":[{"id":1,"name":"Subdivision","value":"EC"},{"id":4,"name":"Milepost","value":"23.2839"},{"id":17,"name":"Train ID","value":"116-02"},{"id":16,"name":"Locomotive ID","value":"4045"},{"id":130,"name":"Impact","value":""},{"id":150,"name":"Time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392</v>
      </c>
      <c r="B29" s="7">
        <v>4016</v>
      </c>
      <c r="C29" s="24" t="s">
        <v>113</v>
      </c>
      <c r="D29" s="24" t="s">
        <v>235</v>
      </c>
      <c r="E29" s="15">
        <v>42615.231481481482</v>
      </c>
      <c r="F29" s="15">
        <v>42615.23978009259</v>
      </c>
      <c r="G29" s="7">
        <v>2</v>
      </c>
      <c r="H29" s="15" t="s">
        <v>307</v>
      </c>
      <c r="I29" s="15">
        <v>42615.265648148146</v>
      </c>
      <c r="J29" s="7">
        <v>1</v>
      </c>
      <c r="K29" s="132" t="str">
        <f t="shared" si="0"/>
        <v>4015/4016</v>
      </c>
      <c r="L29" s="24" t="str">
        <f>VLOOKUP(A29,'Trips&amp;Operators'!$C$1:$E$10000,3,FALSE)</f>
        <v>DAVIS</v>
      </c>
      <c r="M29" s="6">
        <f t="shared" si="1"/>
        <v>2.5868055556202307E-2</v>
      </c>
      <c r="N29" s="7">
        <f t="shared" si="22"/>
        <v>37.250000000931323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04:33:20-0600',mode:absolute,to:'2016-09-02 07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9" s="54" t="str">
        <f t="shared" si="5"/>
        <v>N</v>
      </c>
      <c r="X29" s="120">
        <f t="shared" si="24"/>
        <v>1</v>
      </c>
      <c r="Y29" s="69">
        <f t="shared" si="7"/>
        <v>4.58E-2</v>
      </c>
      <c r="Z29" s="69">
        <f t="shared" si="8"/>
        <v>23.327999999999999</v>
      </c>
      <c r="AA29" s="69">
        <f t="shared" si="9"/>
        <v>23.2822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0"/>
        <v>0117-02</v>
      </c>
      <c r="AE29" s="99" t="str">
        <f t="shared" si="11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29" s="96" t="str">
        <f t="shared" si="12"/>
        <v>"C:\Program Files (x86)\AstroGrep\AstroGrep.exe" /spath="%USERPROFILE%\AppData\Local\Temp\OnboardLogs" /stypes="*4016*20160902*"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6"/>
        <v>"%USERPROFILE%\Documents\GitHub\eaglep3\Utilities\RefineRTDCRunTimes.py" --tripid 117-02 --locoid 4016 --swversion DE.1.0.7.0 --startMP 204:458 --initTime 2016-09-02T05:33:20 --startdatetime 2016-09-02T05:45:17 --delay 2 --endMP 204:233280 --enddatetime 2016-09-02T06:22:32 --enforcementcount 1 &gt;&gt;C:\Users\stu\Documents\GitHub\eaglep3-reporting\EC\2016-09-02-refined-times.txt</v>
      </c>
      <c r="AI2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{"issue":{"subject":"","project_id":79,"tracker_id":40,"status_id":1,"priority_id":2,"assigned_to_id":23,"start_date":"2016-09-02","description":"","custom_fields":[{"id":1,"name":"Subdivision","value":"EC"},{"id":4,"name":"Milepost","value":"23.2822"},{"id":17,"name":"Train ID","value":"117-02"},{"id":16,"name":"Locomotive ID","value":"4016"},{"id":130,"name":"Impact","value":""},{"id":150,"name":"Time of Event (Mountain Time)","value":"06:22:32"},{"id":151,"name":"Denver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393</v>
      </c>
      <c r="B30" s="7">
        <v>4015</v>
      </c>
      <c r="C30" s="24" t="s">
        <v>113</v>
      </c>
      <c r="D30" s="24" t="s">
        <v>259</v>
      </c>
      <c r="E30" s="15">
        <v>42615.2734375</v>
      </c>
      <c r="F30" s="15">
        <v>42615.278645833336</v>
      </c>
      <c r="G30" s="7">
        <v>1</v>
      </c>
      <c r="H30" s="15" t="s">
        <v>151</v>
      </c>
      <c r="I30" s="15">
        <v>42615.305914351855</v>
      </c>
      <c r="J30" s="7">
        <v>1</v>
      </c>
      <c r="K30" s="132" t="str">
        <f t="shared" si="0"/>
        <v>4015/4016</v>
      </c>
      <c r="L30" s="24" t="str">
        <f>VLOOKUP(A30,'Trips&amp;Operators'!$C$1:$E$10000,3,FALSE)</f>
        <v>DAVIS</v>
      </c>
      <c r="M30" s="6">
        <f t="shared" si="1"/>
        <v>2.7268518519122154E-2</v>
      </c>
      <c r="N30" s="7">
        <f t="shared" si="22"/>
        <v>39.266666667535901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05:33:45-0600',mode:absolute,to:'2016-09-02 08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30" s="54" t="str">
        <f t="shared" si="5"/>
        <v>N</v>
      </c>
      <c r="X30" s="120">
        <f t="shared" si="24"/>
        <v>1</v>
      </c>
      <c r="Y30" s="69">
        <f t="shared" si="7"/>
        <v>23.299299999999999</v>
      </c>
      <c r="Z30" s="69">
        <f t="shared" si="8"/>
        <v>1.54E-2</v>
      </c>
      <c r="AA30" s="69">
        <f t="shared" si="9"/>
        <v>23.283899999999999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0"/>
        <v>0118-02</v>
      </c>
      <c r="AE30" s="99" t="str">
        <f t="shared" si="11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30" s="96" t="str">
        <f t="shared" si="12"/>
        <v>"C:\Program Files (x86)\AstroGrep\AstroGrep.exe" /spath="%USERPROFILE%\AppData\Local\Temp\OnboardLogs" /stypes="*4015*20160902*"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6"/>
        <v>"%USERPROFILE%\Documents\GitHub\eaglep3\Utilities\RefineRTDCRunTimes.py" --tripid 118-02 --locoid 4015 --swversion DE.1.0.7.0 --startMP 204:232993 --initTime 2016-09-02T06:33:45 --startdatetime 2016-09-02T06:41:15 --delay 1 --endMP 204:154 --enddatetime 2016-09-02T07:20:31 --enforcementcount 1 &gt;&gt;C:\Users\stu\Documents\GitHub\eaglep3-reporting\EC\2016-09-02-refined-times.txt</v>
      </c>
      <c r="AI3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{"issue":{"subject":"","project_id":79,"tracker_id":40,"status_id":1,"priority_id":2,"assigned_to_id":23,"start_date":"2016-09-02","description":"","custom_fields":[{"id":1,"name":"Subdivision","value":"EC"},{"id":4,"name":"Milepost","value":"23.2839"},{"id":17,"name":"Train ID","value":"118-02"},{"id":16,"name":"Locomotive ID","value":"4015"},{"id":130,"name":"Impact","value":""},{"id":150,"name":"Time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394</v>
      </c>
      <c r="B31" s="7">
        <v>4009</v>
      </c>
      <c r="C31" s="24" t="s">
        <v>113</v>
      </c>
      <c r="D31" s="24" t="s">
        <v>395</v>
      </c>
      <c r="E31" s="15">
        <v>42615.248969907407</v>
      </c>
      <c r="F31" s="15">
        <v>42615.251400462963</v>
      </c>
      <c r="G31" s="7">
        <v>2</v>
      </c>
      <c r="H31" s="15" t="s">
        <v>257</v>
      </c>
      <c r="I31" s="15">
        <v>42615.276087962964</v>
      </c>
      <c r="J31" s="7">
        <v>1</v>
      </c>
      <c r="K31" s="132" t="str">
        <f t="shared" si="0"/>
        <v>4009/4010</v>
      </c>
      <c r="L31" s="24" t="str">
        <f>VLOOKUP(A31,'Trips&amp;Operators'!$C$1:$E$10000,3,FALSE)</f>
        <v>MALAVE</v>
      </c>
      <c r="M31" s="6">
        <f t="shared" si="1"/>
        <v>2.4687500001164153E-2</v>
      </c>
      <c r="N31" s="7">
        <f t="shared" si="22"/>
        <v>35.550000001676381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04:58:31-0600',mode:absolute,to:'2016-09-02 07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1" s="54" t="str">
        <f t="shared" si="5"/>
        <v>N</v>
      </c>
      <c r="X31" s="120">
        <f t="shared" si="24"/>
        <v>1</v>
      </c>
      <c r="Y31" s="69">
        <f t="shared" si="7"/>
        <v>7.4800000000000005E-2</v>
      </c>
      <c r="Z31" s="69">
        <f t="shared" si="8"/>
        <v>23.330300000000001</v>
      </c>
      <c r="AA31" s="69">
        <f t="shared" si="9"/>
        <v>23.255500000000001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0"/>
        <v>0119-02</v>
      </c>
      <c r="AE31" s="99" t="str">
        <f t="shared" si="11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31" s="96" t="str">
        <f t="shared" si="12"/>
        <v>"C:\Program Files (x86)\AstroGrep\AstroGrep.exe" /spath="%USERPROFILE%\AppData\Local\Temp\OnboardLogs" /stypes="*4009*20160902*"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6"/>
        <v>"%USERPROFILE%\Documents\GitHub\eaglep3\Utilities\RefineRTDCRunTimes.py" --tripid 119-02 --locoid 4009 --swversion DE.1.0.7.0 --startMP 204:748 --initTime 2016-09-02T05:58:31 --startdatetime 2016-09-02T06:02:01 --delay 2 --endMP 204:233303 --enddatetime 2016-09-02T06:37:34 --enforcementcount 1 &gt;&gt;C:\Users\stu\Documents\GitHub\eaglep3-reporting\EC\2016-09-02-refined-times.txt</v>
      </c>
      <c r="AI3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{"issue":{"subject":"","project_id":79,"tracker_id":40,"status_id":1,"priority_id":2,"assigned_to_id":23,"start_date":"2016-09-02","description":"","custom_fields":[{"id":1,"name":"Subdivision","value":"EC"},{"id":4,"name":"Milepost","value":"23.2555"},{"id":17,"name":"Train ID","value":"119-02"},{"id":16,"name":"Locomotive ID","value":"4009"},{"id":130,"name":"Impact","value":""},{"id":150,"name":"Time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732</v>
      </c>
      <c r="B32" s="7">
        <v>4010</v>
      </c>
      <c r="C32" s="24" t="s">
        <v>113</v>
      </c>
      <c r="D32" s="24" t="s">
        <v>395</v>
      </c>
      <c r="E32" s="15">
        <v>42615.248969907407</v>
      </c>
      <c r="F32" s="15"/>
      <c r="G32" s="7">
        <v>2</v>
      </c>
      <c r="H32" s="15" t="s">
        <v>257</v>
      </c>
      <c r="I32" s="15"/>
      <c r="J32" s="7">
        <v>1</v>
      </c>
      <c r="K32" s="132" t="str">
        <f t="shared" si="0"/>
        <v>4009/4010</v>
      </c>
      <c r="L32" s="24" t="e">
        <f>VLOOKUP(A32,'Trips&amp;Operators'!$C$1:$E$10000,3,FALSE)</f>
        <v>#N/A</v>
      </c>
      <c r="M32" s="6">
        <f t="shared" si="1"/>
        <v>0</v>
      </c>
      <c r="N32" s="7"/>
      <c r="O32" s="7"/>
      <c r="P32" s="7">
        <v>1</v>
      </c>
      <c r="Q32" s="25"/>
      <c r="R32" s="25" t="s">
        <v>729</v>
      </c>
      <c r="S32" s="37">
        <f t="shared" si="2"/>
        <v>0</v>
      </c>
      <c r="T32" s="52" t="str">
        <f t="shared" si="3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04:58:31-0600',mode:absolute,to:'1900-01-00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2" s="54" t="str">
        <f t="shared" si="5"/>
        <v>N</v>
      </c>
      <c r="X32" s="120">
        <f t="shared" si="24"/>
        <v>1</v>
      </c>
      <c r="Y32" s="69">
        <f t="shared" si="7"/>
        <v>7.4800000000000005E-2</v>
      </c>
      <c r="Z32" s="69">
        <f t="shared" si="8"/>
        <v>23.330300000000001</v>
      </c>
      <c r="AA32" s="69">
        <f t="shared" si="9"/>
        <v>23.255500000000001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0"/>
        <v>0120-02</v>
      </c>
      <c r="AE32" s="99" t="str">
        <f t="shared" si="11"/>
        <v>aws s3 cp s3://rtdc.mdm.uploadarchive/RTDC4010/1900-01-00/ "%USERPROFILE%\AppData\Local\Temp\OnboardLogs"\RTDC4010\1900-01-00 --recursive &amp; "%USERPROFILE%\Documents\GitHub\mrs-test-scripts\Headless Mode &amp; Sideloading\WalkAndUnGZ.bat" "%USERPROFILE%\AppData\Local\Temp\OnboardLogs"\RTDC4010\1900-01-00 &amp; aws s3 cp s3://rtdc.mdm.uploadarchive/RTDC4010/1900-01-01/ "%USERPROFILE%\AppData\Local\Temp\OnboardLogs"\RTDC4010\1900-01-01 --recursive &amp; "%USERPROFILE%\Documents\GitHub\mrs-test-scripts\Headless Mode &amp; Sideloading\WalkAndUnGZ.bat" "%USERPROFILE%\AppData\Local\Temp\OnboardLogs"\RTDC4010\1900-01-01</v>
      </c>
      <c r="AF32" s="96" t="str">
        <f t="shared" si="12"/>
        <v>"C:\Program Files (x86)\AstroGrep\AstroGrep.exe" /spath="%USERPROFILE%\AppData\Local\Temp\OnboardLogs" /stypes="*4010*19000100*" /stext=" 06:.+((SYSTEM_STATE.+slice.+state.+changed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ref="AH32" si="25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120-02 --locoid 4010 --swversion DE.1.0.7.0 --startMP 204:748 --initTime 2016-09-02T05:58:31 --startdatetime 1900-01-00T00:00:00 --delay 2 --endMP 204:233303 --enddatetime 1900-01-00T00:00:00 --enforcementcount 1 &gt;&gt;C:\Users\stu\Documents\GitHub\eaglep3-reporting\EC\2016-09-02-refined-times.txt</v>
      </c>
      <c r="AI32" s="149" t="str">
        <f t="shared" ref="AI32" si="26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AA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failure","project_id":79,"tracker_id":40,"status_id":1,"priority_id":2,"assigned_to_id":23,"start_date":"1900-01-00","description":"","custom_fields":[{"id":1,"name":"Subdivision","value":"EC"},{"id":4,"name":"Milepost","value":"23.2555"},{"id":17,"name":"Train ID","value":"120-02"},{"id":16,"name":"Locomotive ID","value":"4010"},{"id":130,"name":"Impact","value":""},{"id":150,"name":"Time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396</v>
      </c>
      <c r="B33" s="7">
        <v>4044</v>
      </c>
      <c r="C33" s="24" t="s">
        <v>113</v>
      </c>
      <c r="D33" s="24" t="s">
        <v>397</v>
      </c>
      <c r="E33" s="15">
        <v>42615.258576388886</v>
      </c>
      <c r="F33" s="15">
        <v>42615.260613425926</v>
      </c>
      <c r="G33" s="7">
        <v>2</v>
      </c>
      <c r="H33" s="15" t="s">
        <v>398</v>
      </c>
      <c r="I33" s="15">
        <v>42615.286273148151</v>
      </c>
      <c r="J33" s="7">
        <v>1</v>
      </c>
      <c r="K33" s="132" t="str">
        <f t="shared" si="0"/>
        <v>4043/4044</v>
      </c>
      <c r="L33" s="24" t="str">
        <f>VLOOKUP(A33,'Trips&amp;Operators'!$C$1:$E$10000,3,FALSE)</f>
        <v>SMITH</v>
      </c>
      <c r="M33" s="6">
        <f t="shared" si="1"/>
        <v>2.5659722225100268E-2</v>
      </c>
      <c r="N33" s="7">
        <f t="shared" ref="N33:N64" si="27">24*60*SUM($M33:$M33)</f>
        <v>36.950000004144385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05:12:21-0600',mode:absolute,to:'2016-09-02 07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3" s="54" t="str">
        <f t="shared" si="5"/>
        <v>N</v>
      </c>
      <c r="X33" s="120">
        <f t="shared" ref="X33:X35" si="28">VALUE(LEFT(AD33,4))-VALUE(LEFT(AD32,4))</f>
        <v>1</v>
      </c>
      <c r="Y33" s="69">
        <f t="shared" si="7"/>
        <v>4.3099999999999999E-2</v>
      </c>
      <c r="Z33" s="69">
        <f t="shared" si="8"/>
        <v>23.327000000000002</v>
      </c>
      <c r="AA33" s="69">
        <f t="shared" si="9"/>
        <v>23.283900000000003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0"/>
        <v>0121-02</v>
      </c>
      <c r="AE33" s="99" t="str">
        <f t="shared" si="11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33" s="96" t="str">
        <f t="shared" si="12"/>
        <v>"C:\Program Files (x86)\AstroGrep\AstroGrep.exe" /spath="%USERPROFILE%\AppData\Local\Temp\OnboardLogs" /stypes="*4044*20160902*"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6"/>
        <v>"%USERPROFILE%\Documents\GitHub\eaglep3\Utilities\RefineRTDCRunTimes.py" --tripid 121-02 --locoid 4044 --swversion DE.1.0.7.0 --startMP 204:431 --initTime 2016-09-02T06:12:21 --startdatetime 2016-09-02T06:15:17 --delay 2 --endMP 204:233270 --enddatetime 2016-09-02T06:52:14 --enforcementcount 1 &gt;&gt;C:\Users\stu\Documents\GitHub\eaglep3-reporting\EC\2016-09-02-refined-times.txt</v>
      </c>
      <c r="AI3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{"issue":{"subject":"","project_id":79,"tracker_id":40,"status_id":1,"priority_id":2,"assigned_to_id":23,"start_date":"2016-09-02","description":"","custom_fields":[{"id":1,"name":"Subdivision","value":"EC"},{"id":4,"name":"Milepost","value":"23.2839"},{"id":17,"name":"Train ID","value":"121-02"},{"id":16,"name":"Locomotive ID","value":"4044"},{"id":130,"name":"Impact","value":""},{"id":150,"name":"Time of Event (Mountain Time)","value":"06:52:14"},{"id":151,"name":"Denver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399</v>
      </c>
      <c r="B34" s="7">
        <v>4043</v>
      </c>
      <c r="C34" s="24" t="s">
        <v>113</v>
      </c>
      <c r="D34" s="24" t="s">
        <v>240</v>
      </c>
      <c r="E34" s="15">
        <v>42615.296967592592</v>
      </c>
      <c r="F34" s="15">
        <v>42615.299467592595</v>
      </c>
      <c r="G34" s="7">
        <v>1</v>
      </c>
      <c r="H34" s="15" t="s">
        <v>400</v>
      </c>
      <c r="I34" s="15">
        <v>42615.327326388891</v>
      </c>
      <c r="J34" s="7">
        <v>1</v>
      </c>
      <c r="K34" s="132" t="str">
        <f t="shared" si="0"/>
        <v>4043/4044</v>
      </c>
      <c r="L34" s="24" t="str">
        <f>VLOOKUP(A34,'Trips&amp;Operators'!$C$1:$E$10000,3,FALSE)</f>
        <v>SMITH</v>
      </c>
      <c r="M34" s="6">
        <f t="shared" si="1"/>
        <v>2.7858796296641231E-2</v>
      </c>
      <c r="N34" s="7">
        <f t="shared" si="27"/>
        <v>40.116666667163372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06:07:38-0600',mode:absolute,to:'2016-09-02 08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4" s="54" t="str">
        <f t="shared" si="5"/>
        <v>N</v>
      </c>
      <c r="X34" s="120">
        <f t="shared" si="28"/>
        <v>1</v>
      </c>
      <c r="Y34" s="69">
        <f t="shared" si="7"/>
        <v>23.298100000000002</v>
      </c>
      <c r="Z34" s="69">
        <f t="shared" si="8"/>
        <v>1.3599999999999999E-2</v>
      </c>
      <c r="AA34" s="69">
        <f t="shared" si="9"/>
        <v>23.284500000000001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10"/>
        <v>0122-02</v>
      </c>
      <c r="AE34" s="99" t="str">
        <f t="shared" si="11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34" s="96" t="str">
        <f t="shared" si="12"/>
        <v>"C:\Program Files (x86)\AstroGrep\AstroGrep.exe" /spath="%USERPROFILE%\AppData\Local\Temp\OnboardLogs" /stypes="*4043*20160902*"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6"/>
        <v>"%USERPROFILE%\Documents\GitHub\eaglep3\Utilities\RefineRTDCRunTimes.py" --tripid 122-02 --locoid 4043 --swversion DE.1.0.7.0 --startMP 204:232981 --initTime 2016-09-02T07:07:38 --startdatetime 2016-09-02T07:11:14 --delay 1 --endMP 204:136 --enddatetime 2016-09-02T07:51:21 --enforcementcount 1 &gt;&gt;C:\Users\stu\Documents\GitHub\eaglep3-reporting\EC\2016-09-02-refined-times.txt</v>
      </c>
      <c r="AI3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{"issue":{"subject":"","project_id":79,"tracker_id":40,"status_id":1,"priority_id":2,"assigned_to_id":23,"start_date":"2016-09-02","description":"","custom_fields":[{"id":1,"name":"Subdivision","value":"EC"},{"id":4,"name":"Milepost","value":"23.2845"},{"id":17,"name":"Train ID","value":"122-02"},{"id":16,"name":"Locomotive ID","value":"4043"},{"id":130,"name":"Impact","value":""},{"id":150,"name":"Time of Event (Mountain Time)","value":"07:51:21"},{"id":151,"name":"Denver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401</v>
      </c>
      <c r="B35" s="7">
        <v>4031</v>
      </c>
      <c r="C35" s="24" t="s">
        <v>113</v>
      </c>
      <c r="D35" s="24" t="s">
        <v>315</v>
      </c>
      <c r="E35" s="15">
        <v>42615.268194444441</v>
      </c>
      <c r="F35" s="15">
        <v>42615.271018518521</v>
      </c>
      <c r="G35" s="7">
        <v>1</v>
      </c>
      <c r="H35" s="15" t="s">
        <v>402</v>
      </c>
      <c r="I35" s="15">
        <v>42615.296111111114</v>
      </c>
      <c r="J35" s="7">
        <v>1</v>
      </c>
      <c r="K35" s="132" t="str">
        <f t="shared" si="0"/>
        <v>4031/4032</v>
      </c>
      <c r="L35" s="24" t="str">
        <f>VLOOKUP(A35,'Trips&amp;Operators'!$C$1:$E$10000,3,FALSE)</f>
        <v>GEBRETEKLE</v>
      </c>
      <c r="M35" s="6">
        <f t="shared" si="1"/>
        <v>2.5092592593864538E-2</v>
      </c>
      <c r="N35" s="7">
        <f t="shared" si="27"/>
        <v>36.133333335164934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5" s="54" t="str">
        <f t="shared" si="5"/>
        <v>N</v>
      </c>
      <c r="X35" s="120">
        <f t="shared" si="28"/>
        <v>1</v>
      </c>
      <c r="Y35" s="69">
        <f t="shared" si="7"/>
        <v>4.3700000000000003E-2</v>
      </c>
      <c r="Z35" s="69">
        <f t="shared" si="8"/>
        <v>23.331099999999999</v>
      </c>
      <c r="AA35" s="69">
        <f t="shared" si="9"/>
        <v>23.287399999999998</v>
      </c>
      <c r="AB35" s="66">
        <f>VLOOKUP(A35,Enforcements!$C$7:$J$21,8,0)</f>
        <v>33137</v>
      </c>
      <c r="AC35" s="62" t="str">
        <f>VLOOKUP(A35,Enforcements!$C$7:$E$21,3,0)</f>
        <v>GRADE CROSSING</v>
      </c>
      <c r="AD35" s="63" t="str">
        <f t="shared" si="10"/>
        <v>0123-02</v>
      </c>
      <c r="AE35" s="99" t="str">
        <f t="shared" si="11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35" s="96" t="str">
        <f t="shared" si="12"/>
        <v>"C:\Program Files (x86)\AstroGrep\AstroGrep.exe" /spath="%USERPROFILE%\AppData\Local\Temp\OnboardLogs" /stypes="*4031*20160902*"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6"/>
        <v>"%USERPROFILE%\Documents\GitHub\eaglep3\Utilities\RefineRTDCRunTimes.py" --tripid 123-02 --locoid 4031 --swversion DE.1.0.7.0 --startMP 204:437 --initTime 2016-09-02T06:26:12 --startdatetime 2016-09-02T06:30:16 --delay 1 --endMP 204:233311 --enddatetime 2016-09-02T07:06:24 --enforcementcount 1 &gt;&gt;C:\Users\stu\Documents\GitHub\eaglep3-reporting\EC\2016-09-02-refined-times.txt</v>
      </c>
      <c r="AI3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{"issue":{"subject":"","project_id":79,"tracker_id":40,"status_id":1,"priority_id":2,"assigned_to_id":23,"start_date":"2016-09-02","description":"","custom_fields":[{"id":1,"name":"Subdivision","value":"EC"},{"id":4,"name":"Milepost","value":"23.2874"},{"id":17,"name":"Train ID","value":"123-02"},{"id":16,"name":"Locomotive ID","value":"4031"},{"id":130,"name":"Impact","value":""},{"id":150,"name":"Time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403</v>
      </c>
      <c r="B36" s="7">
        <v>4032</v>
      </c>
      <c r="C36" s="24" t="s">
        <v>113</v>
      </c>
      <c r="D36" s="24" t="s">
        <v>261</v>
      </c>
      <c r="E36" s="15">
        <v>42615.305972222224</v>
      </c>
      <c r="F36" s="15">
        <v>42615.309884259259</v>
      </c>
      <c r="G36" s="7">
        <v>1</v>
      </c>
      <c r="H36" s="15" t="s">
        <v>277</v>
      </c>
      <c r="I36" s="15">
        <v>42615.337280092594</v>
      </c>
      <c r="J36" s="7">
        <v>1</v>
      </c>
      <c r="K36" s="132" t="str">
        <f t="shared" si="0"/>
        <v>4031/4032</v>
      </c>
      <c r="L36" s="24" t="str">
        <f>VLOOKUP(A36,'Trips&amp;Operators'!$C$1:$E$10000,3,FALSE)</f>
        <v>GEBRETEKLE</v>
      </c>
      <c r="M36" s="6">
        <f t="shared" si="1"/>
        <v>2.7395833334594499E-2</v>
      </c>
      <c r="N36" s="7">
        <f t="shared" si="27"/>
        <v>39.450000001816079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06:20:36-0600',mode:absolute,to:'2016-09-02 09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6" s="54" t="str">
        <f t="shared" si="5"/>
        <v>N</v>
      </c>
      <c r="X36" s="120">
        <f t="shared" ref="X36:X67" si="29">VALUE(LEFT(AD36,4))-VALUE(LEFT(AD35,4))</f>
        <v>1</v>
      </c>
      <c r="Y36" s="69">
        <f t="shared" si="7"/>
        <v>23.3001</v>
      </c>
      <c r="Z36" s="69">
        <f t="shared" si="8"/>
        <v>1.38E-2</v>
      </c>
      <c r="AA36" s="69">
        <f t="shared" si="9"/>
        <v>23.286300000000001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0"/>
        <v>0124-02</v>
      </c>
      <c r="AE36" s="99" t="str">
        <f t="shared" si="11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36" s="96" t="str">
        <f t="shared" si="12"/>
        <v>"C:\Program Files (x86)\AstroGrep\AstroGrep.exe" /spath="%USERPROFILE%\AppData\Local\Temp\OnboardLogs" /stypes="*4032*20160902*"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6"/>
        <v>"%USERPROFILE%\Documents\GitHub\eaglep3\Utilities\RefineRTDCRunTimes.py" --tripid 124-02 --locoid 4032 --swversion DE.1.0.7.0 --startMP 204:233001 --initTime 2016-09-02T07:20:36 --startdatetime 2016-09-02T07:26:14 --delay 1 --endMP 204:138 --enddatetime 2016-09-02T08:05:41 --enforcementcount 1 &gt;&gt;C:\Users\stu\Documents\GitHub\eaglep3-reporting\EC\2016-09-02-refined-times.txt</v>
      </c>
      <c r="AI3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{"issue":{"subject":"","project_id":79,"tracker_id":40,"status_id":1,"priority_id":2,"assigned_to_id":23,"start_date":"2016-09-02","description":"","custom_fields":[{"id":1,"name":"Subdivision","value":"EC"},{"id":4,"name":"Milepost","value":"23.2863"},{"id":17,"name":"Train ID","value":"124-02"},{"id":16,"name":"Locomotive ID","value":"4032"},{"id":130,"name":"Impact","value":""},{"id":150,"name":"Time of Event (Mountain Time)","value":"08:05:41"},{"id":151,"name":"Denver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404</v>
      </c>
      <c r="B37" s="7">
        <v>4053</v>
      </c>
      <c r="C37" s="24" t="s">
        <v>113</v>
      </c>
      <c r="D37" s="24" t="s">
        <v>170</v>
      </c>
      <c r="E37" s="15">
        <v>42615.27752314815</v>
      </c>
      <c r="F37" s="15">
        <v>42615.281458333331</v>
      </c>
      <c r="G37" s="7">
        <v>1</v>
      </c>
      <c r="H37" s="15" t="s">
        <v>245</v>
      </c>
      <c r="I37" s="15">
        <v>42615.306550925925</v>
      </c>
      <c r="J37" s="7">
        <v>1</v>
      </c>
      <c r="K37" s="132" t="str">
        <f t="shared" si="0"/>
        <v>4053/4054</v>
      </c>
      <c r="L37" s="24" t="str">
        <f>VLOOKUP(A37,'Trips&amp;Operators'!$C$1:$E$10000,3,FALSE)</f>
        <v>SPECTOR</v>
      </c>
      <c r="M37" s="6">
        <f t="shared" si="1"/>
        <v>2.5092592593864538E-2</v>
      </c>
      <c r="N37" s="7">
        <f t="shared" si="27"/>
        <v>36.133333335164934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05:39:38-0600',mode:absolute,to:'2016-09-02 08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37" s="54" t="str">
        <f t="shared" si="5"/>
        <v>N</v>
      </c>
      <c r="X37" s="120">
        <f t="shared" si="29"/>
        <v>1</v>
      </c>
      <c r="Y37" s="69">
        <f t="shared" si="7"/>
        <v>4.7100000000000003E-2</v>
      </c>
      <c r="Z37" s="69">
        <f t="shared" si="8"/>
        <v>23.3308</v>
      </c>
      <c r="AA37" s="69">
        <f t="shared" si="9"/>
        <v>23.2837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10"/>
        <v>0125-02</v>
      </c>
      <c r="AE37" s="99" t="str">
        <f t="shared" si="11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37" s="96" t="str">
        <f t="shared" si="12"/>
        <v>"C:\Program Files (x86)\AstroGrep\AstroGrep.exe" /spath="%USERPROFILE%\AppData\Local\Temp\OnboardLogs" /stypes="*4053*20160902*"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6"/>
        <v>"%USERPROFILE%\Documents\GitHub\eaglep3\Utilities\RefineRTDCRunTimes.py" --tripid 125-02 --locoid 4053 --swversion DE.1.0.7.0 --startMP 204:471 --initTime 2016-09-02T06:39:38 --startdatetime 2016-09-02T06:45:18 --delay 1 --endMP 204:233308 --enddatetime 2016-09-02T07:21:26 --enforcementcount 1 &gt;&gt;C:\Users\stu\Documents\GitHub\eaglep3-reporting\EC\2016-09-02-refined-times.txt</v>
      </c>
      <c r="AI3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{"issue":{"subject":"","project_id":79,"tracker_id":40,"status_id":1,"priority_id":2,"assigned_to_id":23,"start_date":"2016-09-02","description":"","custom_fields":[{"id":1,"name":"Subdivision","value":"EC"},{"id":4,"name":"Milepost","value":"23.2837"},{"id":17,"name":"Train ID","value":"125-02"},{"id":16,"name":"Locomotive ID","value":"4053"},{"id":130,"name":"Impact","value":""},{"id":150,"name":"Time of Event (Mountain Time)","value":"07:21:26"},{"id":151,"name":"Denver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405</v>
      </c>
      <c r="B38" s="7">
        <v>4054</v>
      </c>
      <c r="C38" s="24" t="s">
        <v>113</v>
      </c>
      <c r="D38" s="24" t="s">
        <v>283</v>
      </c>
      <c r="E38" s="15">
        <v>42615.312291666669</v>
      </c>
      <c r="F38" s="15">
        <v>42615.3203125</v>
      </c>
      <c r="G38" s="7">
        <v>1</v>
      </c>
      <c r="H38" s="15" t="s">
        <v>280</v>
      </c>
      <c r="I38" s="15">
        <v>42615.34814814815</v>
      </c>
      <c r="J38" s="7">
        <v>1</v>
      </c>
      <c r="K38" s="132" t="str">
        <f t="shared" si="0"/>
        <v>4053/4054</v>
      </c>
      <c r="L38" s="24" t="str">
        <f>VLOOKUP(A38,'Trips&amp;Operators'!$C$1:$E$10000,3,FALSE)</f>
        <v>SPECTOR</v>
      </c>
      <c r="M38" s="6">
        <f t="shared" si="1"/>
        <v>2.7835648150357883E-2</v>
      </c>
      <c r="N38" s="7">
        <f t="shared" si="27"/>
        <v>40.083333336515352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38" s="54" t="str">
        <f t="shared" si="5"/>
        <v>N</v>
      </c>
      <c r="X38" s="120">
        <f t="shared" si="29"/>
        <v>1</v>
      </c>
      <c r="Y38" s="69">
        <f t="shared" si="7"/>
        <v>23.3004</v>
      </c>
      <c r="Z38" s="69">
        <f t="shared" si="8"/>
        <v>1.41E-2</v>
      </c>
      <c r="AA38" s="69">
        <f t="shared" si="9"/>
        <v>23.286300000000001</v>
      </c>
      <c r="AB38" s="66">
        <f>VLOOKUP(A38,Enforcements!$C$7:$J$21,8,0)</f>
        <v>109135</v>
      </c>
      <c r="AC38" s="62" t="str">
        <f>VLOOKUP(A38,Enforcements!$C$7:$E$21,3,0)</f>
        <v>GRADE CROSSING</v>
      </c>
      <c r="AD38" s="63" t="str">
        <f t="shared" si="10"/>
        <v>0126-02</v>
      </c>
      <c r="AE38" s="99" t="str">
        <f t="shared" si="11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38" s="96" t="str">
        <f t="shared" si="12"/>
        <v>"C:\Program Files (x86)\AstroGrep\AstroGrep.exe" /spath="%USERPROFILE%\AppData\Local\Temp\OnboardLogs" /stypes="*4054*20160902*"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6"/>
        <v>"%USERPROFILE%\Documents\GitHub\eaglep3\Utilities\RefineRTDCRunTimes.py" --tripid 126-02 --locoid 4054 --swversion DE.1.0.7.0 --startMP 204:233004 --initTime 2016-09-02T07:29:42 --startdatetime 2016-09-02T07:41:15 --delay 1 --endMP 204:141 --enddatetime 2016-09-02T08:21:20 --enforcementcount 1 &gt;&gt;C:\Users\stu\Documents\GitHub\eaglep3-reporting\EC\2016-09-02-refined-times.txt</v>
      </c>
      <c r="AI3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{"issue":{"subject":"","project_id":79,"tracker_id":40,"status_id":1,"priority_id":2,"assigned_to_id":23,"start_date":"2016-09-02","description":"","custom_fields":[{"id":1,"name":"Subdivision","value":"EC"},{"id":4,"name":"Milepost","value":"23.2863"},{"id":17,"name":"Train ID","value":"126-02"},{"id":16,"name":"Locomotive ID","value":"4054"},{"id":130,"name":"Impact","value":""},{"id":150,"name":"Time of Event (Mountain Time)","value":"08:21:20"},{"id":151,"name":"Denver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406</v>
      </c>
      <c r="B39" s="7">
        <v>4029</v>
      </c>
      <c r="C39" s="24" t="s">
        <v>113</v>
      </c>
      <c r="D39" s="24" t="s">
        <v>109</v>
      </c>
      <c r="E39" s="15">
        <v>42615.287592592591</v>
      </c>
      <c r="F39" s="15">
        <v>42615.291909722226</v>
      </c>
      <c r="G39" s="7">
        <v>1</v>
      </c>
      <c r="H39" s="15" t="s">
        <v>260</v>
      </c>
      <c r="I39" s="15">
        <v>42615.317939814813</v>
      </c>
      <c r="J39" s="7">
        <v>1</v>
      </c>
      <c r="K39" s="132" t="str">
        <f t="shared" si="0"/>
        <v>4029/4030</v>
      </c>
      <c r="L39" s="24" t="str">
        <f>VLOOKUP(A39,'Trips&amp;Operators'!$C$1:$E$10000,3,FALSE)</f>
        <v>MAELZER</v>
      </c>
      <c r="M39" s="6">
        <f t="shared" si="1"/>
        <v>2.6030092587461695E-2</v>
      </c>
      <c r="N39" s="7">
        <f t="shared" si="27"/>
        <v>37.483333325944841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05:54:08-0600',mode:absolute,to:'2016-09-02 08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39" s="54" t="str">
        <f t="shared" si="5"/>
        <v>N</v>
      </c>
      <c r="X39" s="120">
        <f t="shared" si="29"/>
        <v>1</v>
      </c>
      <c r="Y39" s="69">
        <f t="shared" si="7"/>
        <v>4.6199999999999998E-2</v>
      </c>
      <c r="Z39" s="69">
        <f t="shared" si="8"/>
        <v>23.3307</v>
      </c>
      <c r="AA39" s="69">
        <f t="shared" si="9"/>
        <v>23.284500000000001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0"/>
        <v>0127-02</v>
      </c>
      <c r="AE39" s="99" t="str">
        <f t="shared" si="11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39" s="96" t="str">
        <f t="shared" si="12"/>
        <v>"C:\Program Files (x86)\AstroGrep\AstroGrep.exe" /spath="%USERPROFILE%\AppData\Local\Temp\OnboardLogs" /stypes="*4029*20160902*"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6"/>
        <v>"%USERPROFILE%\Documents\GitHub\eaglep3\Utilities\RefineRTDCRunTimes.py" --tripid 127-02 --locoid 4029 --swversion DE.1.0.7.0 --startMP 204:462 --initTime 2016-09-02T06:54:08 --startdatetime 2016-09-02T07:00:21 --delay 1 --endMP 204:233307 --enddatetime 2016-09-02T07:37:50 --enforcementcount 1 &gt;&gt;C:\Users\stu\Documents\GitHub\eaglep3-reporting\EC\2016-09-02-refined-times.txt</v>
      </c>
      <c r="AI3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{"issue":{"subject":"","project_id":79,"tracker_id":40,"status_id":1,"priority_id":2,"assigned_to_id":23,"start_date":"2016-09-02","description":"","custom_fields":[{"id":1,"name":"Subdivision","value":"EC"},{"id":4,"name":"Milepost","value":"23.2845"},{"id":17,"name":"Train ID","value":"127-02"},{"id":16,"name":"Locomotive ID","value":"4029"},{"id":130,"name":"Impact","value":""},{"id":150,"name":"Time of Event (Mountain Time)","value":"07:37:50"},{"id":151,"name":"Denver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407</v>
      </c>
      <c r="B40" s="7">
        <v>4030</v>
      </c>
      <c r="C40" s="24" t="s">
        <v>113</v>
      </c>
      <c r="D40" s="24" t="s">
        <v>318</v>
      </c>
      <c r="E40" s="15">
        <v>42615.322847222225</v>
      </c>
      <c r="F40" s="15">
        <v>42615.332453703704</v>
      </c>
      <c r="G40" s="7">
        <v>1</v>
      </c>
      <c r="H40" s="15" t="s">
        <v>277</v>
      </c>
      <c r="I40" s="15">
        <v>42615.358726851853</v>
      </c>
      <c r="J40" s="7">
        <v>1</v>
      </c>
      <c r="K40" s="132" t="str">
        <f t="shared" si="0"/>
        <v>4029/4030</v>
      </c>
      <c r="L40" s="24" t="str">
        <f>VLOOKUP(A40,'Trips&amp;Operators'!$C$1:$E$10000,3,FALSE)</f>
        <v>MAELZER</v>
      </c>
      <c r="M40" s="6">
        <f t="shared" si="1"/>
        <v>2.6273148148902692E-2</v>
      </c>
      <c r="N40" s="7">
        <f t="shared" si="27"/>
        <v>37.833333334419876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0" s="54" t="str">
        <f t="shared" si="5"/>
        <v>N</v>
      </c>
      <c r="X40" s="120">
        <f t="shared" si="29"/>
        <v>1</v>
      </c>
      <c r="Y40" s="69">
        <f t="shared" si="7"/>
        <v>23.299800000000001</v>
      </c>
      <c r="Z40" s="69">
        <f t="shared" si="8"/>
        <v>1.38E-2</v>
      </c>
      <c r="AA40" s="69">
        <f t="shared" si="9"/>
        <v>23.286000000000001</v>
      </c>
      <c r="AB40" s="66">
        <f>VLOOKUP(A40,Enforcements!$C$7:$J$21,8,0)</f>
        <v>156300</v>
      </c>
      <c r="AC40" s="62" t="str">
        <f>VLOOKUP(A40,Enforcements!$C$7:$E$21,3,0)</f>
        <v>PERMANENT SPEED RESTRICTION</v>
      </c>
      <c r="AD40" s="63" t="str">
        <f t="shared" si="10"/>
        <v>0128-02</v>
      </c>
      <c r="AE40" s="99" t="str">
        <f t="shared" si="11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40" s="96" t="str">
        <f t="shared" si="12"/>
        <v>"C:\Program Files (x86)\AstroGrep\AstroGrep.exe" /spath="%USERPROFILE%\AppData\Local\Temp\OnboardLogs" /stypes="*4030*20160902*"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6"/>
        <v>"%USERPROFILE%\Documents\GitHub\eaglep3\Utilities\RefineRTDCRunTimes.py" --tripid 128-02 --locoid 4030 --swversion DE.1.0.7.0 --startMP 204:232998 --initTime 2016-09-02T07:44:54 --startdatetime 2016-09-02T07:58:44 --delay 1 --endMP 204:138 --enddatetime 2016-09-02T08:36:34 --enforcementcount 1 &gt;&gt;C:\Users\stu\Documents\GitHub\eaglep3-reporting\EC\2016-09-02-refined-times.txt</v>
      </c>
      <c r="AI4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{"issue":{"subject":"","project_id":79,"tracker_id":40,"status_id":1,"priority_id":2,"assigned_to_id":23,"start_date":"2016-09-02","description":"","custom_fields":[{"id":1,"name":"Subdivision","value":"EC"},{"id":4,"name":"Milepost","value":"23.286"},{"id":17,"name":"Train ID","value":"128-02"},{"id":16,"name":"Locomotive ID","value":"4030"},{"id":130,"name":"Impact","value":""},{"id":150,"name":"Time of Event (Mountain Time)","value":"08:36:34"},{"id":151,"name":"Denver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408</v>
      </c>
      <c r="B41" s="7">
        <v>4046</v>
      </c>
      <c r="C41" s="24" t="s">
        <v>113</v>
      </c>
      <c r="D41" s="24" t="s">
        <v>149</v>
      </c>
      <c r="E41" s="15">
        <v>42615.297199074077</v>
      </c>
      <c r="F41" s="15">
        <v>42615.302430555559</v>
      </c>
      <c r="G41" s="7">
        <v>2</v>
      </c>
      <c r="H41" s="15" t="s">
        <v>275</v>
      </c>
      <c r="I41" s="15">
        <v>42615.33222222222</v>
      </c>
      <c r="J41" s="7">
        <v>1</v>
      </c>
      <c r="K41" s="132" t="str">
        <f t="shared" si="0"/>
        <v>4045/4046</v>
      </c>
      <c r="L41" s="24" t="str">
        <f>VLOOKUP(A41,'Trips&amp;Operators'!$C$1:$E$10000,3,FALSE)</f>
        <v>ARVIDSON</v>
      </c>
      <c r="M41" s="6">
        <f t="shared" si="1"/>
        <v>2.979166666045785E-2</v>
      </c>
      <c r="N41" s="7">
        <f t="shared" si="27"/>
        <v>42.899999991059303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06:07:58-0600',mode:absolute,to:'2016-09-02 08:58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41" s="54" t="str">
        <f t="shared" si="5"/>
        <v>N</v>
      </c>
      <c r="X41" s="120">
        <f t="shared" si="29"/>
        <v>1</v>
      </c>
      <c r="Y41" s="69">
        <f t="shared" si="7"/>
        <v>4.5100000000000001E-2</v>
      </c>
      <c r="Z41" s="69">
        <f t="shared" si="8"/>
        <v>23.33</v>
      </c>
      <c r="AA41" s="69">
        <f t="shared" si="9"/>
        <v>23.284899999999997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0"/>
        <v>0129-02</v>
      </c>
      <c r="AE41" s="99" t="str">
        <f t="shared" si="11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41" s="96" t="str">
        <f t="shared" si="12"/>
        <v>"C:\Program Files (x86)\AstroGrep\AstroGrep.exe" /spath="%USERPROFILE%\AppData\Local\Temp\OnboardLogs" /stypes="*4046*20160902*"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6"/>
        <v>"%USERPROFILE%\Documents\GitHub\eaglep3\Utilities\RefineRTDCRunTimes.py" --tripid 129-02 --locoid 4046 --swversion DE.1.0.7.0 --startMP 204:451 --initTime 2016-09-02T07:07:58 --startdatetime 2016-09-02T07:15:30 --delay 2 --endMP 204:233300 --enddatetime 2016-09-02T07:58:24 --enforcementcount 1 &gt;&gt;C:\Users\stu\Documents\GitHub\eaglep3-reporting\EC\2016-09-02-refined-times.txt</v>
      </c>
      <c r="AI4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{"issue":{"subject":"","project_id":79,"tracker_id":40,"status_id":1,"priority_id":2,"assigned_to_id":23,"start_date":"2016-09-02","description":"","custom_fields":[{"id":1,"name":"Subdivision","value":"EC"},{"id":4,"name":"Milepost","value":"23.2849"},{"id":17,"name":"Train ID","value":"129-02"},{"id":16,"name":"Locomotive ID","value":"4046"},{"id":130,"name":"Impact","value":""},{"id":150,"name":"Time of Event (Mountain Time)","value":"07:58:24"},{"id":151,"name":"Denver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409</v>
      </c>
      <c r="B42" s="7">
        <v>4045</v>
      </c>
      <c r="C42" s="24" t="s">
        <v>113</v>
      </c>
      <c r="D42" s="24" t="s">
        <v>134</v>
      </c>
      <c r="E42" s="15">
        <v>42615.338969907411</v>
      </c>
      <c r="F42" s="15">
        <v>42615.341585648152</v>
      </c>
      <c r="G42" s="7">
        <v>1</v>
      </c>
      <c r="H42" s="15" t="s">
        <v>151</v>
      </c>
      <c r="I42" s="15">
        <v>42615.369803240741</v>
      </c>
      <c r="J42" s="7">
        <v>1</v>
      </c>
      <c r="K42" s="132" t="str">
        <f t="shared" si="0"/>
        <v>4045/4046</v>
      </c>
      <c r="L42" s="24" t="str">
        <f>VLOOKUP(A42,'Trips&amp;Operators'!$C$1:$E$10000,3,FALSE)</f>
        <v>ARVIDSON</v>
      </c>
      <c r="M42" s="6">
        <f t="shared" si="1"/>
        <v>2.8217592589498963E-2</v>
      </c>
      <c r="N42" s="7">
        <f t="shared" si="27"/>
        <v>40.633333328878507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07:08:07-0600',mode:absolute,to:'2016-09-02 09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42" s="54" t="str">
        <f t="shared" si="5"/>
        <v>N</v>
      </c>
      <c r="X42" s="120">
        <f t="shared" si="29"/>
        <v>1</v>
      </c>
      <c r="Y42" s="69">
        <f t="shared" si="7"/>
        <v>23.299399999999999</v>
      </c>
      <c r="Z42" s="69">
        <f t="shared" si="8"/>
        <v>1.54E-2</v>
      </c>
      <c r="AA42" s="69">
        <f t="shared" si="9"/>
        <v>23.283999999999999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0"/>
        <v>0130-02</v>
      </c>
      <c r="AE42" s="99" t="str">
        <f t="shared" si="11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42" s="96" t="str">
        <f t="shared" si="12"/>
        <v>"C:\Program Files (x86)\AstroGrep\AstroGrep.exe" /spath="%USERPROFILE%\AppData\Local\Temp\OnboardLogs" /stypes="*4045*20160902*"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6"/>
        <v>"%USERPROFILE%\Documents\GitHub\eaglep3\Utilities\RefineRTDCRunTimes.py" --tripid 130-02 --locoid 4045 --swversion DE.1.0.7.0 --startMP 204:232994 --initTime 2016-09-02T08:08:07 --startdatetime 2016-09-02T08:11:53 --delay 1 --endMP 204:154 --enddatetime 2016-09-02T08:52:31 --enforcementcount 1 &gt;&gt;C:\Users\stu\Documents\GitHub\eaglep3-reporting\EC\2016-09-02-refined-times.txt</v>
      </c>
      <c r="AI42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{"issue":{"subject":"","project_id":79,"tracker_id":40,"status_id":1,"priority_id":2,"assigned_to_id":23,"start_date":"2016-09-02","description":"","custom_fields":[{"id":1,"name":"Subdivision","value":"EC"},{"id":4,"name":"Milepost","value":"23.284"},{"id":17,"name":"Train ID","value":"130-02"},{"id":16,"name":"Locomotive ID","value":"4045"},{"id":130,"name":"Impact","value":""},{"id":150,"name":"Time of Event (Mountain Time)","value":"08:52:31"},{"id":151,"name":"Denver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410</v>
      </c>
      <c r="B43" s="7">
        <v>4016</v>
      </c>
      <c r="C43" s="24" t="s">
        <v>113</v>
      </c>
      <c r="D43" s="24" t="s">
        <v>149</v>
      </c>
      <c r="E43" s="15">
        <v>42615.307870370372</v>
      </c>
      <c r="F43" s="15">
        <v>42615.312662037039</v>
      </c>
      <c r="G43" s="7">
        <v>1</v>
      </c>
      <c r="H43" s="15" t="s">
        <v>272</v>
      </c>
      <c r="I43" s="15">
        <v>42615.337395833332</v>
      </c>
      <c r="J43" s="7">
        <v>1</v>
      </c>
      <c r="K43" s="132" t="str">
        <f t="shared" si="0"/>
        <v>4015/4016</v>
      </c>
      <c r="L43" s="24" t="str">
        <f>VLOOKUP(A43,'Trips&amp;Operators'!$C$1:$E$10000,3,FALSE)</f>
        <v>DAVIS</v>
      </c>
      <c r="M43" s="6">
        <f t="shared" si="1"/>
        <v>2.4733796293730848E-2</v>
      </c>
      <c r="N43" s="7">
        <f t="shared" si="27"/>
        <v>35.61666666297242</v>
      </c>
      <c r="O43" s="7"/>
      <c r="P43" s="7"/>
      <c r="Q43" s="25"/>
      <c r="R43" s="25"/>
      <c r="S43" s="37">
        <f t="shared" si="2"/>
        <v>1</v>
      </c>
      <c r="T43" s="52" t="str">
        <f t="shared" si="3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06:23:20-0600',mode:absolute,to:'2016-09-02 09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43" s="54" t="str">
        <f t="shared" si="5"/>
        <v>N</v>
      </c>
      <c r="X43" s="120">
        <f t="shared" si="29"/>
        <v>1</v>
      </c>
      <c r="Y43" s="69">
        <f t="shared" si="7"/>
        <v>4.5100000000000001E-2</v>
      </c>
      <c r="Z43" s="69">
        <f t="shared" si="8"/>
        <v>23.3324</v>
      </c>
      <c r="AA43" s="69">
        <f t="shared" si="9"/>
        <v>23.287299999999998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0"/>
        <v>0131-02</v>
      </c>
      <c r="AE43" s="99" t="str">
        <f t="shared" si="11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43" s="96" t="str">
        <f t="shared" si="12"/>
        <v>"C:\Program Files (x86)\AstroGrep\AstroGrep.exe" /spath="%USERPROFILE%\AppData\Local\Temp\OnboardLogs" /stypes="*4016*20160902*"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6"/>
        <v>"%USERPROFILE%\Documents\GitHub\eaglep3\Utilities\RefineRTDCRunTimes.py" --tripid 131-02 --locoid 4016 --swversion DE.1.0.7.0 --startMP 204:451 --initTime 2016-09-02T07:23:20 --startdatetime 2016-09-02T07:30:14 --delay 1 --endMP 204:233324 --enddatetime 2016-09-02T08:05:51 --enforcementcount 1 &gt;&gt;C:\Users\stu\Documents\GitHub\eaglep3-reporting\EC\2016-09-02-refined-times.txt</v>
      </c>
      <c r="AI4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{"issue":{"subject":"","project_id":79,"tracker_id":40,"status_id":1,"priority_id":2,"assigned_to_id":23,"start_date":"2016-09-02","description":"","custom_fields":[{"id":1,"name":"Subdivision","value":"EC"},{"id":4,"name":"Milepost","value":"23.2873"},{"id":17,"name":"Train ID","value":"131-02"},{"id":16,"name":"Locomotive ID","value":"4016"},{"id":130,"name":"Impact","value":""},{"id":150,"name":"Time of Event (Mountain Time)","value":"08:05:51"},{"id":151,"name":"Denver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411</v>
      </c>
      <c r="B44" s="7">
        <v>4015</v>
      </c>
      <c r="C44" s="24" t="s">
        <v>113</v>
      </c>
      <c r="D44" s="24" t="s">
        <v>312</v>
      </c>
      <c r="E44" s="15">
        <v>42615.348310185182</v>
      </c>
      <c r="F44" s="15">
        <v>42615.351539351854</v>
      </c>
      <c r="G44" s="7">
        <v>1</v>
      </c>
      <c r="H44" s="15" t="s">
        <v>136</v>
      </c>
      <c r="I44" s="15">
        <v>42615.380208333336</v>
      </c>
      <c r="J44" s="7">
        <v>1</v>
      </c>
      <c r="K44" s="132" t="str">
        <f t="shared" si="0"/>
        <v>4015/4016</v>
      </c>
      <c r="L44" s="24" t="str">
        <f>VLOOKUP(A44,'Trips&amp;Operators'!$C$1:$E$10000,3,FALSE)</f>
        <v>DAVIS</v>
      </c>
      <c r="M44" s="6">
        <f t="shared" si="1"/>
        <v>2.8668981482042E-2</v>
      </c>
      <c r="N44" s="7">
        <f t="shared" si="27"/>
        <v>41.28333333414048</v>
      </c>
      <c r="O44" s="7"/>
      <c r="P44" s="7"/>
      <c r="Q44" s="25"/>
      <c r="R44" s="25"/>
      <c r="S44" s="37">
        <f t="shared" si="2"/>
        <v>1</v>
      </c>
      <c r="T44" s="52" t="str">
        <f t="shared" si="3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07:21:34-0600',mode:absolute,to:'2016-09-02 10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44" s="54" t="str">
        <f t="shared" si="5"/>
        <v>N</v>
      </c>
      <c r="X44" s="120">
        <f t="shared" si="29"/>
        <v>1</v>
      </c>
      <c r="Y44" s="69">
        <f t="shared" si="7"/>
        <v>23.298400000000001</v>
      </c>
      <c r="Z44" s="69">
        <f t="shared" si="8"/>
        <v>1.49E-2</v>
      </c>
      <c r="AA44" s="69">
        <f t="shared" si="9"/>
        <v>23.2835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10"/>
        <v>0132-02</v>
      </c>
      <c r="AE44" s="99" t="str">
        <f t="shared" si="11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44" s="96" t="str">
        <f t="shared" si="12"/>
        <v>"C:\Program Files (x86)\AstroGrep\AstroGrep.exe" /spath="%USERPROFILE%\AppData\Local\Temp\OnboardLogs" /stypes="*4015*20160902*"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6"/>
        <v>"%USERPROFILE%\Documents\GitHub\eaglep3\Utilities\RefineRTDCRunTimes.py" --tripid 132-02 --locoid 4015 --swversion DE.1.0.7.0 --startMP 204:232984 --initTime 2016-09-02T08:21:34 --startdatetime 2016-09-02T08:26:13 --delay 1 --endMP 204:149 --enddatetime 2016-09-02T09:07:30 --enforcementcount 1 &gt;&gt;C:\Users\stu\Documents\GitHub\eaglep3-reporting\EC\2016-09-02-refined-times.txt</v>
      </c>
      <c r="AI4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{"issue":{"subject":"","project_id":79,"tracker_id":40,"status_id":1,"priority_id":2,"assigned_to_id":23,"start_date":"2016-09-02","description":"","custom_fields":[{"id":1,"name":"Subdivision","value":"EC"},{"id":4,"name":"Milepost","value":"23.2835"},{"id":17,"name":"Train ID","value":"132-02"},{"id":16,"name":"Locomotive ID","value":"4015"},{"id":130,"name":"Impact","value":""},{"id":150,"name":"Time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412</v>
      </c>
      <c r="B45" s="7">
        <v>4009</v>
      </c>
      <c r="C45" s="24" t="s">
        <v>113</v>
      </c>
      <c r="D45" s="24" t="s">
        <v>170</v>
      </c>
      <c r="E45" s="15">
        <v>42615.321064814816</v>
      </c>
      <c r="F45" s="15">
        <v>42615.323344907411</v>
      </c>
      <c r="G45" s="7">
        <v>1</v>
      </c>
      <c r="H45" s="15" t="s">
        <v>282</v>
      </c>
      <c r="I45" s="15">
        <v>42615.349189814813</v>
      </c>
      <c r="J45" s="7">
        <v>1</v>
      </c>
      <c r="K45" s="132" t="str">
        <f t="shared" si="0"/>
        <v>4009/4010</v>
      </c>
      <c r="L45" s="24" t="str">
        <f>VLOOKUP(A45,'Trips&amp;Operators'!$C$1:$E$10000,3,FALSE)</f>
        <v>MALAVE</v>
      </c>
      <c r="M45" s="6">
        <f t="shared" si="1"/>
        <v>2.5844907402643003E-2</v>
      </c>
      <c r="N45" s="7">
        <f t="shared" si="27"/>
        <v>37.216666659805924</v>
      </c>
      <c r="O45" s="7"/>
      <c r="P45" s="7"/>
      <c r="Q45" s="25"/>
      <c r="R45" s="25"/>
      <c r="S45" s="37">
        <f t="shared" si="2"/>
        <v>1</v>
      </c>
      <c r="T45" s="52" t="str">
        <f t="shared" si="3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06:42:20-0600',mode:absolute,to:'2016-09-02 09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5" s="54" t="str">
        <f t="shared" si="5"/>
        <v>N</v>
      </c>
      <c r="X45" s="120">
        <f t="shared" si="29"/>
        <v>1</v>
      </c>
      <c r="Y45" s="69">
        <f t="shared" si="7"/>
        <v>4.7100000000000003E-2</v>
      </c>
      <c r="Z45" s="69">
        <f t="shared" si="8"/>
        <v>23.3306</v>
      </c>
      <c r="AA45" s="69">
        <f t="shared" si="9"/>
        <v>23.2835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10"/>
        <v>0133-02</v>
      </c>
      <c r="AE45" s="99" t="str">
        <f t="shared" si="11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45" s="96" t="str">
        <f t="shared" si="12"/>
        <v>"C:\Program Files (x86)\AstroGrep\AstroGrep.exe" /spath="%USERPROFILE%\AppData\Local\Temp\OnboardLogs" /stypes="*4009*20160902*"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6"/>
        <v>"%USERPROFILE%\Documents\GitHub\eaglep3\Utilities\RefineRTDCRunTimes.py" --tripid 133-02 --locoid 4009 --swversion DE.1.0.7.0 --startMP 204:471 --initTime 2016-09-02T07:42:20 --startdatetime 2016-09-02T07:45:37 --delay 1 --endMP 204:233306 --enddatetime 2016-09-02T08:22:50 --enforcementcount 1 &gt;&gt;C:\Users\stu\Documents\GitHub\eaglep3-reporting\EC\2016-09-02-refined-times.txt</v>
      </c>
      <c r="AI4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{"issue":{"subject":"","project_id":79,"tracker_id":40,"status_id":1,"priority_id":2,"assigned_to_id":23,"start_date":"2016-09-02","description":"","custom_fields":[{"id":1,"name":"Subdivision","value":"EC"},{"id":4,"name":"Milepost","value":"23.2835"},{"id":17,"name":"Train ID","value":"133-02"},{"id":16,"name":"Locomotive ID","value":"4009"},{"id":130,"name":"Impact","value":""},{"id":150,"name":"Time of Event (Mountain Time)","value":"08:22:50"},{"id":151,"name":"Denver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413</v>
      </c>
      <c r="B46" s="7">
        <v>4010</v>
      </c>
      <c r="C46" s="24" t="s">
        <v>113</v>
      </c>
      <c r="D46" s="24" t="s">
        <v>240</v>
      </c>
      <c r="E46" s="15">
        <v>42615.359722222223</v>
      </c>
      <c r="F46" s="15">
        <v>42615.362083333333</v>
      </c>
      <c r="G46" s="7">
        <v>2</v>
      </c>
      <c r="H46" s="15" t="s">
        <v>286</v>
      </c>
      <c r="I46" s="15">
        <v>42615.388738425929</v>
      </c>
      <c r="J46" s="7">
        <v>1</v>
      </c>
      <c r="K46" s="132" t="str">
        <f t="shared" si="0"/>
        <v>4009/4010</v>
      </c>
      <c r="L46" s="24" t="str">
        <f>VLOOKUP(A46,'Trips&amp;Operators'!$C$1:$E$10000,3,FALSE)</f>
        <v>MALAVE</v>
      </c>
      <c r="M46" s="6">
        <f t="shared" si="1"/>
        <v>2.6655092595319729E-2</v>
      </c>
      <c r="N46" s="7">
        <f t="shared" si="27"/>
        <v>38.38333333726041</v>
      </c>
      <c r="O46" s="7"/>
      <c r="P46" s="7"/>
      <c r="Q46" s="25"/>
      <c r="R46" s="25"/>
      <c r="S46" s="37">
        <f t="shared" si="2"/>
        <v>1</v>
      </c>
      <c r="T46" s="52" t="str">
        <f t="shared" si="3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07:38:00-0600',mode:absolute,to:'2016-09-02 10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6" s="54" t="str">
        <f t="shared" si="5"/>
        <v>N</v>
      </c>
      <c r="X46" s="120">
        <f t="shared" si="29"/>
        <v>1</v>
      </c>
      <c r="Y46" s="69">
        <f t="shared" si="7"/>
        <v>23.298100000000002</v>
      </c>
      <c r="Z46" s="69">
        <f t="shared" si="8"/>
        <v>1.6500000000000001E-2</v>
      </c>
      <c r="AA46" s="69">
        <f t="shared" si="9"/>
        <v>23.281600000000001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10"/>
        <v>0134-02</v>
      </c>
      <c r="AE46" s="99" t="str">
        <f t="shared" si="11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46" s="96" t="str">
        <f t="shared" si="12"/>
        <v>"C:\Program Files (x86)\AstroGrep\AstroGrep.exe" /spath="%USERPROFILE%\AppData\Local\Temp\OnboardLogs" /stypes="*4010*20160902*"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6"/>
        <v>"%USERPROFILE%\Documents\GitHub\eaglep3\Utilities\RefineRTDCRunTimes.py" --tripid 134-02 --locoid 4010 --swversion DE.1.0.7.0 --startMP 204:232981 --initTime 2016-09-02T08:38:00 --startdatetime 2016-09-02T08:41:24 --delay 2 --endMP 204:165 --enddatetime 2016-09-02T09:19:47 --enforcementcount 1 &gt;&gt;C:\Users\stu\Documents\GitHub\eaglep3-reporting\EC\2016-09-02-refined-times.txt</v>
      </c>
      <c r="AI4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{"issue":{"subject":"","project_id":79,"tracker_id":40,"status_id":1,"priority_id":2,"assigned_to_id":23,"start_date":"2016-09-02","description":"","custom_fields":[{"id":1,"name":"Subdivision","value":"EC"},{"id":4,"name":"Milepost","value":"23.2816"},{"id":17,"name":"Train ID","value":"134-02"},{"id":16,"name":"Locomotive ID","value":"4010"},{"id":130,"name":"Impact","value":""},{"id":150,"name":"Time of Event (Mountain Time)","value":"09:19:47"},{"id":151,"name":"Denver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414</v>
      </c>
      <c r="B47" s="7">
        <v>4044</v>
      </c>
      <c r="C47" s="24" t="s">
        <v>113</v>
      </c>
      <c r="D47" s="24" t="s">
        <v>237</v>
      </c>
      <c r="E47" s="15">
        <v>42615.329687500001</v>
      </c>
      <c r="F47" s="15">
        <v>42615.333495370367</v>
      </c>
      <c r="G47" s="7">
        <v>1</v>
      </c>
      <c r="H47" s="15" t="s">
        <v>323</v>
      </c>
      <c r="I47" s="15">
        <v>42615.359629629631</v>
      </c>
      <c r="J47" s="7">
        <v>1</v>
      </c>
      <c r="K47" s="132" t="str">
        <f t="shared" si="0"/>
        <v>4043/4044</v>
      </c>
      <c r="L47" s="24" t="str">
        <f>VLOOKUP(A47,'Trips&amp;Operators'!$C$1:$E$10000,3,FALSE)</f>
        <v>SMITH</v>
      </c>
      <c r="M47" s="6">
        <f t="shared" si="1"/>
        <v>2.6134259263926651E-2</v>
      </c>
      <c r="N47" s="7">
        <f t="shared" si="27"/>
        <v>37.633333340054378</v>
      </c>
      <c r="O47" s="7"/>
      <c r="P47" s="7"/>
      <c r="Q47" s="25"/>
      <c r="R47" s="25"/>
      <c r="S47" s="37">
        <f t="shared" si="2"/>
        <v>1</v>
      </c>
      <c r="T47" s="52" t="str">
        <f t="shared" si="3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06:54:45-0600',mode:absolute,to:'2016-09-02 09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7" s="54" t="str">
        <f t="shared" si="5"/>
        <v>N</v>
      </c>
      <c r="X47" s="120">
        <f t="shared" si="29"/>
        <v>1</v>
      </c>
      <c r="Y47" s="69">
        <f t="shared" si="7"/>
        <v>4.6600000000000003E-2</v>
      </c>
      <c r="Z47" s="69">
        <f t="shared" si="8"/>
        <v>23.328399999999998</v>
      </c>
      <c r="AA47" s="69">
        <f t="shared" si="9"/>
        <v>23.281799999999997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10"/>
        <v>0135-02</v>
      </c>
      <c r="AE47" s="99" t="str">
        <f t="shared" si="11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47" s="96" t="str">
        <f t="shared" si="12"/>
        <v>"C:\Program Files (x86)\AstroGrep\AstroGrep.exe" /spath="%USERPROFILE%\AppData\Local\Temp\OnboardLogs" /stypes="*4044*20160902*"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6"/>
        <v>"%USERPROFILE%\Documents\GitHub\eaglep3\Utilities\RefineRTDCRunTimes.py" --tripid 135-02 --locoid 4044 --swversion DE.1.0.7.0 --startMP 204:466 --initTime 2016-09-02T07:54:45 --startdatetime 2016-09-02T08:00:14 --delay 1 --endMP 204:233284 --enddatetime 2016-09-02T08:37:52 --enforcementcount 1 &gt;&gt;C:\Users\stu\Documents\GitHub\eaglep3-reporting\EC\2016-09-02-refined-times.txt</v>
      </c>
      <c r="AI4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{"issue":{"subject":"","project_id":79,"tracker_id":40,"status_id":1,"priority_id":2,"assigned_to_id":23,"start_date":"2016-09-02","description":"","custom_fields":[{"id":1,"name":"Subdivision","value":"EC"},{"id":4,"name":"Milepost","value":"23.2818"},{"id":17,"name":"Train ID","value":"135-02"},{"id":16,"name":"Locomotive ID","value":"4044"},{"id":130,"name":"Impact","value":""},{"id":150,"name":"Time of Event (Mountain Time)","value":"08:37:52"},{"id":151,"name":"Denver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415</v>
      </c>
      <c r="B48" s="7">
        <v>4043</v>
      </c>
      <c r="C48" s="24" t="s">
        <v>113</v>
      </c>
      <c r="D48" s="24" t="s">
        <v>416</v>
      </c>
      <c r="E48" s="15">
        <v>42615.368738425925</v>
      </c>
      <c r="F48" s="15">
        <v>42615.372407407405</v>
      </c>
      <c r="G48" s="7">
        <v>1</v>
      </c>
      <c r="H48" s="15" t="s">
        <v>255</v>
      </c>
      <c r="I48" s="15">
        <v>42615.399918981479</v>
      </c>
      <c r="J48" s="7">
        <v>1</v>
      </c>
      <c r="K48" s="132" t="str">
        <f t="shared" si="0"/>
        <v>4043/4044</v>
      </c>
      <c r="L48" s="24" t="str">
        <f>VLOOKUP(A48,'Trips&amp;Operators'!$C$1:$E$10000,3,FALSE)</f>
        <v>SMITH</v>
      </c>
      <c r="M48" s="6">
        <f t="shared" si="1"/>
        <v>2.7511574073287193E-2</v>
      </c>
      <c r="N48" s="7">
        <f t="shared" si="27"/>
        <v>39.616666665533558</v>
      </c>
      <c r="O48" s="7"/>
      <c r="P48" s="7"/>
      <c r="Q48" s="25"/>
      <c r="R48" s="25"/>
      <c r="S48" s="37">
        <f t="shared" si="2"/>
        <v>1</v>
      </c>
      <c r="T48" s="52" t="str">
        <f t="shared" si="3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07:50:59-0600',mode:absolute,to:'2016-09-02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8" s="54" t="str">
        <f t="shared" si="5"/>
        <v>N</v>
      </c>
      <c r="X48" s="120">
        <f t="shared" si="29"/>
        <v>1</v>
      </c>
      <c r="Y48" s="69">
        <f t="shared" si="7"/>
        <v>23.2973</v>
      </c>
      <c r="Z48" s="69">
        <f t="shared" si="8"/>
        <v>1.6299999999999999E-2</v>
      </c>
      <c r="AA48" s="69">
        <f t="shared" si="9"/>
        <v>23.280999999999999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10"/>
        <v>0136-02</v>
      </c>
      <c r="AE48" s="99" t="str">
        <f t="shared" si="11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48" s="96" t="str">
        <f t="shared" si="12"/>
        <v>"C:\Program Files (x86)\AstroGrep\AstroGrep.exe" /spath="%USERPROFILE%\AppData\Local\Temp\OnboardLogs" /stypes="*4043*20160902*"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6"/>
        <v>"%USERPROFILE%\Documents\GitHub\eaglep3\Utilities\RefineRTDCRunTimes.py" --tripid 136-02 --locoid 4043 --swversion DE.1.0.7.0 --startMP 204:232973 --initTime 2016-09-02T08:50:59 --startdatetime 2016-09-02T08:56:16 --delay 1 --endMP 204:163 --enddatetime 2016-09-02T09:35:53 --enforcementcount 1 &gt;&gt;C:\Users\stu\Documents\GitHub\eaglep3-reporting\EC\2016-09-02-refined-times.txt</v>
      </c>
      <c r="AI4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{"issue":{"subject":"","project_id":79,"tracker_id":40,"status_id":1,"priority_id":2,"assigned_to_id":23,"start_date":"2016-09-02","description":"","custom_fields":[{"id":1,"name":"Subdivision","value":"EC"},{"id":4,"name":"Milepost","value":"23.281"},{"id":17,"name":"Train ID","value":"136-02"},{"id":16,"name":"Locomotive ID","value":"4043"},{"id":130,"name":"Impact","value":""},{"id":150,"name":"Time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417</v>
      </c>
      <c r="B49" s="7">
        <v>4031</v>
      </c>
      <c r="C49" s="24" t="s">
        <v>113</v>
      </c>
      <c r="D49" s="24" t="s">
        <v>139</v>
      </c>
      <c r="E49" s="15">
        <v>42615.340520833335</v>
      </c>
      <c r="F49" s="15">
        <v>42615.344074074077</v>
      </c>
      <c r="G49" s="7">
        <v>1</v>
      </c>
      <c r="H49" s="15" t="s">
        <v>313</v>
      </c>
      <c r="I49" s="15">
        <v>42615.369340277779</v>
      </c>
      <c r="J49" s="7">
        <v>1</v>
      </c>
      <c r="K49" s="132" t="str">
        <f t="shared" si="0"/>
        <v>4031/4032</v>
      </c>
      <c r="L49" s="24" t="str">
        <f>VLOOKUP(A49,'Trips&amp;Operators'!$C$1:$E$10000,3,FALSE)</f>
        <v>GEBRETEKLE</v>
      </c>
      <c r="M49" s="6">
        <f t="shared" si="1"/>
        <v>2.5266203701903578E-2</v>
      </c>
      <c r="N49" s="7">
        <f t="shared" si="27"/>
        <v>36.383333330741152</v>
      </c>
      <c r="O49" s="7"/>
      <c r="P49" s="7"/>
      <c r="Q49" s="25"/>
      <c r="R49" s="25"/>
      <c r="S49" s="37">
        <f t="shared" si="2"/>
        <v>1</v>
      </c>
      <c r="T49" s="52" t="str">
        <f t="shared" si="3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07:10:21-0600',mode:absolute,to:'2016-09-02 09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9" s="54" t="str">
        <f t="shared" si="5"/>
        <v>N</v>
      </c>
      <c r="X49" s="120">
        <f t="shared" si="29"/>
        <v>1</v>
      </c>
      <c r="Y49" s="69">
        <f t="shared" si="7"/>
        <v>4.5699999999999998E-2</v>
      </c>
      <c r="Z49" s="69">
        <f t="shared" si="8"/>
        <v>23.331499999999998</v>
      </c>
      <c r="AA49" s="69">
        <f t="shared" si="9"/>
        <v>23.285799999999998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10"/>
        <v>0137-02</v>
      </c>
      <c r="AE49" s="99" t="str">
        <f t="shared" si="11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49" s="96" t="str">
        <f t="shared" si="12"/>
        <v>"C:\Program Files (x86)\AstroGrep\AstroGrep.exe" /spath="%USERPROFILE%\AppData\Local\Temp\OnboardLogs" /stypes="*4031*20160902*"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6"/>
        <v>"%USERPROFILE%\Documents\GitHub\eaglep3\Utilities\RefineRTDCRunTimes.py" --tripid 137-02 --locoid 4031 --swversion DE.1.0.7.0 --startMP 204:457 --initTime 2016-09-02T08:10:21 --startdatetime 2016-09-02T08:15:28 --delay 1 --endMP 204:233315 --enddatetime 2016-09-02T08:51:51 --enforcementcount 1 &gt;&gt;C:\Users\stu\Documents\GitHub\eaglep3-reporting\EC\2016-09-02-refined-times.txt</v>
      </c>
      <c r="AI4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{"issue":{"subject":"","project_id":79,"tracker_id":40,"status_id":1,"priority_id":2,"assigned_to_id":23,"start_date":"2016-09-02","description":"","custom_fields":[{"id":1,"name":"Subdivision","value":"EC"},{"id":4,"name":"Milepost","value":"23.2858"},{"id":17,"name":"Train ID","value":"137-02"},{"id":16,"name":"Locomotive ID","value":"4031"},{"id":130,"name":"Impact","value":""},{"id":150,"name":"Time of Event (Mountain Time)","value":"08:51:51"},{"id":151,"name":"Denver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418</v>
      </c>
      <c r="B50" s="7">
        <v>4032</v>
      </c>
      <c r="C50" s="24" t="s">
        <v>113</v>
      </c>
      <c r="D50" s="24" t="s">
        <v>285</v>
      </c>
      <c r="E50" s="15">
        <v>42615.378599537034</v>
      </c>
      <c r="F50" s="15">
        <v>42615.383009259262</v>
      </c>
      <c r="G50" s="7">
        <v>2</v>
      </c>
      <c r="H50" s="15" t="s">
        <v>136</v>
      </c>
      <c r="I50" s="15">
        <v>42615.410081018519</v>
      </c>
      <c r="J50" s="7">
        <v>1</v>
      </c>
      <c r="K50" s="132" t="str">
        <f t="shared" si="0"/>
        <v>4031/4032</v>
      </c>
      <c r="L50" s="24" t="str">
        <f>VLOOKUP(A50,'Trips&amp;Operators'!$C$1:$E$10000,3,FALSE)</f>
        <v>GEBRETEKLE</v>
      </c>
      <c r="M50" s="6">
        <f t="shared" si="1"/>
        <v>2.7071759257523809E-2</v>
      </c>
      <c r="N50" s="7">
        <f t="shared" si="27"/>
        <v>38.983333330834284</v>
      </c>
      <c r="O50" s="7"/>
      <c r="P50" s="7"/>
      <c r="Q50" s="25"/>
      <c r="R50" s="25"/>
      <c r="S50" s="37">
        <f t="shared" si="2"/>
        <v>1</v>
      </c>
      <c r="T50" s="52" t="str">
        <f t="shared" si="3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08:05:11-0600',mode:absolute,to:'2016-09-02 10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0" s="54" t="str">
        <f t="shared" si="5"/>
        <v>N</v>
      </c>
      <c r="X50" s="120">
        <f t="shared" si="29"/>
        <v>1</v>
      </c>
      <c r="Y50" s="69">
        <f t="shared" si="7"/>
        <v>23.297899999999998</v>
      </c>
      <c r="Z50" s="69">
        <f t="shared" si="8"/>
        <v>1.49E-2</v>
      </c>
      <c r="AA50" s="69">
        <f t="shared" si="9"/>
        <v>23.282999999999998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10"/>
        <v>0138-02</v>
      </c>
      <c r="AE50" s="99" t="str">
        <f t="shared" si="11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50" s="96" t="str">
        <f t="shared" si="12"/>
        <v>"C:\Program Files (x86)\AstroGrep\AstroGrep.exe" /spath="%USERPROFILE%\AppData\Local\Temp\OnboardLogs" /stypes="*4032*20160902*"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6"/>
        <v>"%USERPROFILE%\Documents\GitHub\eaglep3\Utilities\RefineRTDCRunTimes.py" --tripid 138-02 --locoid 4032 --swversion DE.1.0.7.0 --startMP 204:232979 --initTime 2016-09-02T09:05:11 --startdatetime 2016-09-02T09:11:32 --delay 2 --endMP 204:149 --enddatetime 2016-09-02T09:50:31 --enforcementcount 1 &gt;&gt;C:\Users\stu\Documents\GitHub\eaglep3-reporting\EC\2016-09-02-refined-times.txt</v>
      </c>
      <c r="AI5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{"issue":{"subject":"","project_id":79,"tracker_id":40,"status_id":1,"priority_id":2,"assigned_to_id":23,"start_date":"2016-09-02","description":"","custom_fields":[{"id":1,"name":"Subdivision","value":"EC"},{"id":4,"name":"Milepost","value":"23.283"},{"id":17,"name":"Train ID","value":"138-02"},{"id":16,"name":"Locomotive ID","value":"4032"},{"id":130,"name":"Impact","value":""},{"id":150,"name":"Time of Event (Mountain Time)","value":"09:50:31"},{"id":151,"name":"Denver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419</v>
      </c>
      <c r="B51" s="7">
        <v>4053</v>
      </c>
      <c r="C51" s="24" t="s">
        <v>113</v>
      </c>
      <c r="D51" s="24" t="s">
        <v>135</v>
      </c>
      <c r="E51" s="15">
        <v>42615.350983796299</v>
      </c>
      <c r="F51" s="15">
        <v>42615.354363425926</v>
      </c>
      <c r="G51" s="7">
        <v>1</v>
      </c>
      <c r="H51" s="15" t="s">
        <v>420</v>
      </c>
      <c r="I51" s="15">
        <v>42615.379166666666</v>
      </c>
      <c r="J51" s="7">
        <v>1</v>
      </c>
      <c r="K51" s="132" t="str">
        <f t="shared" si="0"/>
        <v>4053/4054</v>
      </c>
      <c r="L51" s="24" t="str">
        <f>VLOOKUP(A51,'Trips&amp;Operators'!$C$1:$E$10000,3,FALSE)</f>
        <v>SPECTOR</v>
      </c>
      <c r="M51" s="6">
        <f t="shared" si="1"/>
        <v>2.4803240739856847E-2</v>
      </c>
      <c r="N51" s="7">
        <f t="shared" si="27"/>
        <v>35.716666665393859</v>
      </c>
      <c r="O51" s="7"/>
      <c r="P51" s="7"/>
      <c r="Q51" s="25"/>
      <c r="R51" s="25"/>
      <c r="S51" s="37">
        <f t="shared" si="2"/>
        <v>1</v>
      </c>
      <c r="T51" s="52" t="str">
        <f t="shared" si="3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07:25:25-0600',mode:absolute,to:'2016-09-02 10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51" s="54" t="str">
        <f t="shared" si="5"/>
        <v>N</v>
      </c>
      <c r="X51" s="120">
        <f t="shared" si="29"/>
        <v>1</v>
      </c>
      <c r="Y51" s="69">
        <f t="shared" si="7"/>
        <v>4.4900000000000002E-2</v>
      </c>
      <c r="Z51" s="69">
        <f t="shared" si="8"/>
        <v>23.332000000000001</v>
      </c>
      <c r="AA51" s="69">
        <f t="shared" si="9"/>
        <v>23.287100000000002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10"/>
        <v>0139-02</v>
      </c>
      <c r="AE51" s="99" t="str">
        <f t="shared" si="11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51" s="96" t="str">
        <f t="shared" si="12"/>
        <v>"C:\Program Files (x86)\AstroGrep\AstroGrep.exe" /spath="%USERPROFILE%\AppData\Local\Temp\OnboardLogs" /stypes="*4053*20160902*"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6"/>
        <v>"%USERPROFILE%\Documents\GitHub\eaglep3\Utilities\RefineRTDCRunTimes.py" --tripid 139-02 --locoid 4053 --swversion DE.1.0.7.0 --startMP 204:449 --initTime 2016-09-02T08:25:25 --startdatetime 2016-09-02T08:30:17 --delay 1 --endMP 204:233320 --enddatetime 2016-09-02T09:06:00 --enforcementcount 1 &gt;&gt;C:\Users\stu\Documents\GitHub\eaglep3-reporting\EC\2016-09-02-refined-times.txt</v>
      </c>
      <c r="AI5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{"issue":{"subject":"","project_id":79,"tracker_id":40,"status_id":1,"priority_id":2,"assigned_to_id":23,"start_date":"2016-09-02","description":"","custom_fields":[{"id":1,"name":"Subdivision","value":"EC"},{"id":4,"name":"Milepost","value":"23.2871"},{"id":17,"name":"Train ID","value":"139-02"},{"id":16,"name":"Locomotive ID","value":"4053"},{"id":130,"name":"Impact","value":""},{"id":150,"name":"Time of Event (Mountain Time)","value":"09:06:00"},{"id":151,"name":"Denver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421</v>
      </c>
      <c r="B52" s="7">
        <v>4054</v>
      </c>
      <c r="C52" s="24" t="s">
        <v>113</v>
      </c>
      <c r="D52" s="24" t="s">
        <v>134</v>
      </c>
      <c r="E52" s="15">
        <v>42615.386782407404</v>
      </c>
      <c r="F52" s="15">
        <v>42615.393240740741</v>
      </c>
      <c r="G52" s="7">
        <v>5</v>
      </c>
      <c r="H52" s="15" t="s">
        <v>255</v>
      </c>
      <c r="I52" s="15">
        <v>42615.421736111108</v>
      </c>
      <c r="J52" s="7">
        <v>1</v>
      </c>
      <c r="K52" s="132" t="str">
        <f t="shared" si="0"/>
        <v>4053/4054</v>
      </c>
      <c r="L52" s="24" t="str">
        <f>VLOOKUP(A52,'Trips&amp;Operators'!$C$1:$E$10000,3,FALSE)</f>
        <v>SPECTOR</v>
      </c>
      <c r="M52" s="6">
        <f t="shared" si="1"/>
        <v>2.8495370366727002E-2</v>
      </c>
      <c r="N52" s="7">
        <f t="shared" si="27"/>
        <v>41.033333328086883</v>
      </c>
      <c r="O52" s="7"/>
      <c r="P52" s="7"/>
      <c r="Q52" s="25"/>
      <c r="R52" s="25"/>
      <c r="S52" s="37">
        <f t="shared" si="2"/>
        <v>1</v>
      </c>
      <c r="T52" s="52" t="str">
        <f t="shared" si="3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52" s="54" t="str">
        <f t="shared" si="5"/>
        <v>N</v>
      </c>
      <c r="X52" s="120">
        <f t="shared" si="29"/>
        <v>1</v>
      </c>
      <c r="Y52" s="69">
        <f t="shared" si="7"/>
        <v>23.299399999999999</v>
      </c>
      <c r="Z52" s="69">
        <f t="shared" si="8"/>
        <v>1.6299999999999999E-2</v>
      </c>
      <c r="AA52" s="69">
        <f t="shared" si="9"/>
        <v>23.283099999999997</v>
      </c>
      <c r="AB52" s="66">
        <f>VLOOKUP(A52,Enforcements!$C$7:$J$21,8,0)</f>
        <v>1</v>
      </c>
      <c r="AC52" s="62" t="str">
        <f>VLOOKUP(A52,Enforcements!$C$7:$E$21,3,0)</f>
        <v>TRACK WARRANT AUTHORITY</v>
      </c>
      <c r="AD52" s="63" t="str">
        <f t="shared" si="10"/>
        <v>0140-02</v>
      </c>
      <c r="AE52" s="99" t="str">
        <f t="shared" si="11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52" s="96" t="str">
        <f t="shared" si="12"/>
        <v>"C:\Program Files (x86)\AstroGrep\AstroGrep.exe" /spath="%USERPROFILE%\AppData\Local\Temp\OnboardLogs" /stypes="*4054*20160902*"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6"/>
        <v>"%USERPROFILE%\Documents\GitHub\eaglep3\Utilities\RefineRTDCRunTimes.py" --tripid 140-02 --locoid 4054 --swversion DE.1.0.7.0 --startMP 204:232994 --initTime 2016-09-02T09:16:58 --startdatetime 2016-09-02T09:26:16 --delay 5 --endMP 204:163 --enddatetime 2016-09-02T10:07:18 --enforcementcount 1 &gt;&gt;C:\Users\stu\Documents\GitHub\eaglep3-reporting\EC\2016-09-02-refined-times.txt</v>
      </c>
      <c r="AI52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{"issue":{"subject":"","project_id":79,"tracker_id":40,"status_id":1,"priority_id":2,"assigned_to_id":23,"start_date":"2016-09-02","description":"","custom_fields":[{"id":1,"name":"Subdivision","value":"EC"},{"id":4,"name":"Milepost","value":"23.2831"},{"id":17,"name":"Train ID","value":"140-02"},{"id":16,"name":"Locomotive ID","value":"4054"},{"id":130,"name":"Impact","value":""},{"id":150,"name":"Time of Event (Mountain Time)","value":"10:07:18"},{"id":151,"name":"Denver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422</v>
      </c>
      <c r="B53" s="7">
        <v>4029</v>
      </c>
      <c r="C53" s="24" t="s">
        <v>113</v>
      </c>
      <c r="D53" s="24" t="s">
        <v>133</v>
      </c>
      <c r="E53" s="15">
        <v>42615.360752314817</v>
      </c>
      <c r="F53" s="15">
        <v>42615.364918981482</v>
      </c>
      <c r="G53" s="7">
        <v>1</v>
      </c>
      <c r="H53" s="15" t="s">
        <v>254</v>
      </c>
      <c r="I53" s="15">
        <v>42615.390462962961</v>
      </c>
      <c r="J53" s="7">
        <v>1</v>
      </c>
      <c r="K53" s="132" t="str">
        <f t="shared" si="0"/>
        <v>4029/4030</v>
      </c>
      <c r="L53" s="24" t="str">
        <f>VLOOKUP(A53,'Trips&amp;Operators'!$C$1:$E$10000,3,FALSE)</f>
        <v>MAELZER</v>
      </c>
      <c r="M53" s="6">
        <f t="shared" si="1"/>
        <v>2.5543981479131617E-2</v>
      </c>
      <c r="N53" s="7">
        <f t="shared" si="27"/>
        <v>36.783333329949528</v>
      </c>
      <c r="O53" s="7"/>
      <c r="P53" s="7"/>
      <c r="Q53" s="25"/>
      <c r="R53" s="25"/>
      <c r="S53" s="37">
        <f t="shared" si="2"/>
        <v>1</v>
      </c>
      <c r="T53" s="52" t="str">
        <f t="shared" si="3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07:39:29-0600',mode:absolute,to:'2016-09-02 10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3" s="54" t="str">
        <f t="shared" si="5"/>
        <v>N</v>
      </c>
      <c r="X53" s="120">
        <f t="shared" si="29"/>
        <v>1</v>
      </c>
      <c r="Y53" s="69">
        <f t="shared" si="7"/>
        <v>4.53E-2</v>
      </c>
      <c r="Z53" s="69">
        <f t="shared" si="8"/>
        <v>23.331399999999999</v>
      </c>
      <c r="AA53" s="69">
        <f t="shared" si="9"/>
        <v>23.286099999999998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10"/>
        <v>0141-02</v>
      </c>
      <c r="AE53" s="99" t="str">
        <f t="shared" si="11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53" s="96" t="str">
        <f t="shared" si="12"/>
        <v>"C:\Program Files (x86)\AstroGrep\AstroGrep.exe" /spath="%USERPROFILE%\AppData\Local\Temp\OnboardLogs" /stypes="*4029*20160902*"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6"/>
        <v>"%USERPROFILE%\Documents\GitHub\eaglep3\Utilities\RefineRTDCRunTimes.py" --tripid 141-02 --locoid 4029 --swversion DE.1.0.7.0 --startMP 204:453 --initTime 2016-09-02T08:39:29 --startdatetime 2016-09-02T08:45:29 --delay 1 --endMP 204:233314 --enddatetime 2016-09-02T09:22:16 --enforcementcount 1 &gt;&gt;C:\Users\stu\Documents\GitHub\eaglep3-reporting\EC\2016-09-02-refined-times.txt</v>
      </c>
      <c r="AI5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{"issue":{"subject":"","project_id":79,"tracker_id":40,"status_id":1,"priority_id":2,"assigned_to_id":23,"start_date":"2016-09-02","description":"","custom_fields":[{"id":1,"name":"Subdivision","value":"EC"},{"id":4,"name":"Milepost","value":"23.2861"},{"id":17,"name":"Train ID","value":"141-02"},{"id":16,"name":"Locomotive ID","value":"4029"},{"id":130,"name":"Impact","value":""},{"id":150,"name":"Time of Event (Mountain Time)","value":"09:22:16"},{"id":151,"name":"Denver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423</v>
      </c>
      <c r="B54" s="7">
        <v>4030</v>
      </c>
      <c r="C54" s="24" t="s">
        <v>113</v>
      </c>
      <c r="D54" s="24" t="s">
        <v>424</v>
      </c>
      <c r="E54" s="15">
        <v>42615.396377314813</v>
      </c>
      <c r="F54" s="15">
        <v>42615.403749999998</v>
      </c>
      <c r="G54" s="7">
        <v>1</v>
      </c>
      <c r="H54" s="15" t="s">
        <v>277</v>
      </c>
      <c r="I54" s="15">
        <v>42615.430497685185</v>
      </c>
      <c r="J54" s="7">
        <v>1</v>
      </c>
      <c r="K54" s="132" t="str">
        <f t="shared" si="0"/>
        <v>4029/4030</v>
      </c>
      <c r="L54" s="24" t="str">
        <f>VLOOKUP(A54,'Trips&amp;Operators'!$C$1:$E$10000,3,FALSE)</f>
        <v>MAELZER</v>
      </c>
      <c r="M54" s="6">
        <f t="shared" si="1"/>
        <v>2.6747685187729076E-2</v>
      </c>
      <c r="N54" s="7">
        <f t="shared" si="27"/>
        <v>38.516666670329869</v>
      </c>
      <c r="O54" s="7"/>
      <c r="P54" s="7"/>
      <c r="Q54" s="25"/>
      <c r="R54" s="25"/>
      <c r="S54" s="37">
        <f t="shared" si="2"/>
        <v>1</v>
      </c>
      <c r="T54" s="52" t="str">
        <f t="shared" si="3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08:30:47-0600',mode:absolute,to:'2016-09-02 11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4" s="54" t="str">
        <f t="shared" si="5"/>
        <v>N</v>
      </c>
      <c r="X54" s="120">
        <f t="shared" si="29"/>
        <v>1</v>
      </c>
      <c r="Y54" s="69">
        <f t="shared" si="7"/>
        <v>23.2987</v>
      </c>
      <c r="Z54" s="69">
        <f t="shared" si="8"/>
        <v>1.38E-2</v>
      </c>
      <c r="AA54" s="69">
        <f t="shared" si="9"/>
        <v>23.2849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10"/>
        <v>0142-02</v>
      </c>
      <c r="AE54" s="99" t="str">
        <f t="shared" si="11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54" s="96" t="str">
        <f t="shared" si="12"/>
        <v>"C:\Program Files (x86)\AstroGrep\AstroGrep.exe" /spath="%USERPROFILE%\AppData\Local\Temp\OnboardLogs" /stypes="*4030*20160902*"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6"/>
        <v>"%USERPROFILE%\Documents\GitHub\eaglep3\Utilities\RefineRTDCRunTimes.py" --tripid 142-02 --locoid 4030 --swversion DE.1.0.7.0 --startMP 204:232987 --initTime 2016-09-02T09:30:47 --startdatetime 2016-09-02T09:41:24 --delay 1 --endMP 204:138 --enddatetime 2016-09-02T10:19:55 --enforcementcount 1 &gt;&gt;C:\Users\stu\Documents\GitHub\eaglep3-reporting\EC\2016-09-02-refined-times.txt</v>
      </c>
      <c r="AI5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{"issue":{"subject":"","project_id":79,"tracker_id":40,"status_id":1,"priority_id":2,"assigned_to_id":23,"start_date":"2016-09-02","description":"","custom_fields":[{"id":1,"name":"Subdivision","value":"EC"},{"id":4,"name":"Milepost","value":"23.2849"},{"id":17,"name":"Train ID","value":"142-02"},{"id":16,"name":"Locomotive ID","value":"4030"},{"id":130,"name":"Impact","value":""},{"id":150,"name":"Time of Event (Mountain Time)","value":"10:19:55"},{"id":151,"name":"Denver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425</v>
      </c>
      <c r="B55" s="7">
        <v>4046</v>
      </c>
      <c r="C55" s="24" t="s">
        <v>113</v>
      </c>
      <c r="D55" s="24" t="s">
        <v>288</v>
      </c>
      <c r="E55" s="15">
        <v>42615.371550925927</v>
      </c>
      <c r="F55" s="15">
        <v>42615.376284722224</v>
      </c>
      <c r="G55" s="7">
        <v>1</v>
      </c>
      <c r="H55" s="15" t="s">
        <v>426</v>
      </c>
      <c r="I55" s="15">
        <v>42615.402777777781</v>
      </c>
      <c r="J55" s="7">
        <v>1</v>
      </c>
      <c r="K55" s="132" t="str">
        <f t="shared" si="0"/>
        <v>4045/4046</v>
      </c>
      <c r="L55" s="24" t="str">
        <f>VLOOKUP(A55,'Trips&amp;Operators'!$C$1:$E$10000,3,FALSE)</f>
        <v>ARVIDSON</v>
      </c>
      <c r="M55" s="6">
        <f t="shared" si="1"/>
        <v>2.6493055556784384E-2</v>
      </c>
      <c r="N55" s="7">
        <f t="shared" si="27"/>
        <v>38.150000001769513</v>
      </c>
      <c r="O55" s="7"/>
      <c r="P55" s="7"/>
      <c r="Q55" s="25"/>
      <c r="R55" s="25"/>
      <c r="S55" s="37">
        <f t="shared" si="2"/>
        <v>1</v>
      </c>
      <c r="T55" s="52" t="str">
        <f t="shared" si="3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07:55:02-0600',mode:absolute,to:'2016-09-02 10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55" s="54" t="str">
        <f t="shared" si="5"/>
        <v>N</v>
      </c>
      <c r="X55" s="120">
        <f t="shared" si="29"/>
        <v>1</v>
      </c>
      <c r="Y55" s="69">
        <f t="shared" si="7"/>
        <v>4.6899999999999997E-2</v>
      </c>
      <c r="Z55" s="69">
        <f t="shared" si="8"/>
        <v>23.326799999999999</v>
      </c>
      <c r="AA55" s="69">
        <f t="shared" si="9"/>
        <v>23.279899999999998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10"/>
        <v>0143-02</v>
      </c>
      <c r="AE55" s="99" t="str">
        <f t="shared" si="11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55" s="96" t="str">
        <f t="shared" si="12"/>
        <v>"C:\Program Files (x86)\AstroGrep\AstroGrep.exe" /spath="%USERPROFILE%\AppData\Local\Temp\OnboardLogs" /stypes="*4046*20160902*"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6"/>
        <v>"%USERPROFILE%\Documents\GitHub\eaglep3\Utilities\RefineRTDCRunTimes.py" --tripid 143-02 --locoid 4046 --swversion DE.1.0.7.0 --startMP 204:469 --initTime 2016-09-02T08:55:02 --startdatetime 2016-09-02T09:01:51 --delay 1 --endMP 204:233268 --enddatetime 2016-09-02T09:40:00 --enforcementcount 1 &gt;&gt;C:\Users\stu\Documents\GitHub\eaglep3-reporting\EC\2016-09-02-refined-times.txt</v>
      </c>
      <c r="AI5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{"issue":{"subject":"","project_id":79,"tracker_id":40,"status_id":1,"priority_id":2,"assigned_to_id":23,"start_date":"2016-09-02","description":"","custom_fields":[{"id":1,"name":"Subdivision","value":"EC"},{"id":4,"name":"Milepost","value":"23.2799"},{"id":17,"name":"Train ID","value":"143-02"},{"id":16,"name":"Locomotive ID","value":"4046"},{"id":130,"name":"Impact","value":""},{"id":150,"name":"Time of Event (Mountain Time)","value":"09:40:00"},{"id":151,"name":"Denver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427</v>
      </c>
      <c r="B56" s="7">
        <v>4045</v>
      </c>
      <c r="C56" s="24" t="s">
        <v>113</v>
      </c>
      <c r="D56" s="24" t="s">
        <v>428</v>
      </c>
      <c r="E56" s="15">
        <v>42615.408310185187</v>
      </c>
      <c r="F56" s="15">
        <v>42615.414224537039</v>
      </c>
      <c r="G56" s="7">
        <v>1</v>
      </c>
      <c r="H56" s="15" t="s">
        <v>281</v>
      </c>
      <c r="I56" s="15">
        <v>42615.44358796296</v>
      </c>
      <c r="J56" s="7">
        <v>1</v>
      </c>
      <c r="K56" s="132" t="str">
        <f t="shared" si="0"/>
        <v>4045/4046</v>
      </c>
      <c r="L56" s="24" t="str">
        <f>VLOOKUP(A56,'Trips&amp;Operators'!$C$1:$E$10000,3,FALSE)</f>
        <v>ARVIDSON</v>
      </c>
      <c r="M56" s="6">
        <f t="shared" si="1"/>
        <v>2.9363425921474118E-2</v>
      </c>
      <c r="N56" s="7">
        <f t="shared" si="27"/>
        <v>42.28333332692273</v>
      </c>
      <c r="O56" s="7"/>
      <c r="P56" s="7"/>
      <c r="Q56" s="25"/>
      <c r="R56" s="25"/>
      <c r="S56" s="37">
        <f t="shared" si="2"/>
        <v>1</v>
      </c>
      <c r="T56" s="52" t="str">
        <f t="shared" si="3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08:47:58-0600',mode:absolute,to:'2016-09-02 11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56" s="54" t="str">
        <f t="shared" si="5"/>
        <v>N</v>
      </c>
      <c r="X56" s="120">
        <f t="shared" si="29"/>
        <v>1</v>
      </c>
      <c r="Y56" s="69">
        <f t="shared" si="7"/>
        <v>23.296299999999999</v>
      </c>
      <c r="Z56" s="69">
        <f t="shared" si="8"/>
        <v>1.4999999999999999E-2</v>
      </c>
      <c r="AA56" s="69">
        <f t="shared" si="9"/>
        <v>23.281299999999998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10"/>
        <v>0144-02</v>
      </c>
      <c r="AE56" s="99" t="str">
        <f t="shared" si="11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56" s="96" t="str">
        <f t="shared" si="12"/>
        <v>"C:\Program Files (x86)\AstroGrep\AstroGrep.exe" /spath="%USERPROFILE%\AppData\Local\Temp\OnboardLogs" /stypes="*4045*20160902*"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6"/>
        <v>"%USERPROFILE%\Documents\GitHub\eaglep3\Utilities\RefineRTDCRunTimes.py" --tripid 144-02 --locoid 4045 --swversion DE.1.0.7.0 --startMP 204:232963 --initTime 2016-09-02T09:47:58 --startdatetime 2016-09-02T09:56:29 --delay 1 --endMP 204:150 --enddatetime 2016-09-02T10:38:46 --enforcementcount 1 &gt;&gt;C:\Users\stu\Documents\GitHub\eaglep3-reporting\EC\2016-09-02-refined-times.txt</v>
      </c>
      <c r="AI5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{"issue":{"subject":"","project_id":79,"tracker_id":40,"status_id":1,"priority_id":2,"assigned_to_id":23,"start_date":"2016-09-02","description":"","custom_fields":[{"id":1,"name":"Subdivision","value":"EC"},{"id":4,"name":"Milepost","value":"23.2813"},{"id":17,"name":"Train ID","value":"144-02"},{"id":16,"name":"Locomotive ID","value":"4045"},{"id":130,"name":"Impact","value":""},{"id":150,"name":"Time of Event (Mountain Time)","value":"10:38:46"},{"id":151,"name":"Denver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429</v>
      </c>
      <c r="B57" s="7">
        <v>4016</v>
      </c>
      <c r="C57" s="24" t="s">
        <v>113</v>
      </c>
      <c r="D57" s="24" t="s">
        <v>430</v>
      </c>
      <c r="E57" s="15">
        <v>42615.381678240738</v>
      </c>
      <c r="F57" s="15">
        <v>42615.385601851849</v>
      </c>
      <c r="G57" s="7">
        <v>1</v>
      </c>
      <c r="H57" s="15" t="s">
        <v>287</v>
      </c>
      <c r="I57" s="15">
        <v>42615.410879629628</v>
      </c>
      <c r="J57" s="7">
        <v>1</v>
      </c>
      <c r="K57" s="132" t="str">
        <f t="shared" si="0"/>
        <v>4015/4016</v>
      </c>
      <c r="L57" s="24" t="str">
        <f>VLOOKUP(A57,'Trips&amp;Operators'!$C$1:$E$10000,3,FALSE)</f>
        <v>DAVIS</v>
      </c>
      <c r="M57" s="6">
        <f t="shared" si="1"/>
        <v>2.527777777868323E-2</v>
      </c>
      <c r="N57" s="7">
        <f t="shared" si="27"/>
        <v>36.400000001303852</v>
      </c>
      <c r="O57" s="7"/>
      <c r="P57" s="7"/>
      <c r="Q57" s="25"/>
      <c r="R57" s="25"/>
      <c r="S57" s="37">
        <f t="shared" si="2"/>
        <v>1</v>
      </c>
      <c r="T57" s="52" t="str">
        <f t="shared" si="3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08:09:37-0600',mode:absolute,to:'2016-09-02 10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57" s="54" t="str">
        <f t="shared" si="5"/>
        <v>N</v>
      </c>
      <c r="X57" s="120">
        <f t="shared" si="29"/>
        <v>1</v>
      </c>
      <c r="Y57" s="69">
        <f t="shared" si="7"/>
        <v>4.6399999999999997E-2</v>
      </c>
      <c r="Z57" s="69">
        <f t="shared" si="8"/>
        <v>23.330400000000001</v>
      </c>
      <c r="AA57" s="69">
        <f t="shared" si="9"/>
        <v>23.284000000000002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10"/>
        <v>0145-02</v>
      </c>
      <c r="AE57" s="99" t="str">
        <f t="shared" si="11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57" s="96" t="str">
        <f t="shared" si="12"/>
        <v>"C:\Program Files (x86)\AstroGrep\AstroGrep.exe" /spath="%USERPROFILE%\AppData\Local\Temp\OnboardLogs" /stypes="*4016*20160902*"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6"/>
        <v>"%USERPROFILE%\Documents\GitHub\eaglep3\Utilities\RefineRTDCRunTimes.py" --tripid 145-02 --locoid 4016 --swversion DE.1.0.7.0 --startMP 204:464 --initTime 2016-09-02T09:09:37 --startdatetime 2016-09-02T09:15:16 --delay 1 --endMP 204:233304 --enddatetime 2016-09-02T09:51:40 --enforcementcount 1 &gt;&gt;C:\Users\stu\Documents\GitHub\eaglep3-reporting\EC\2016-09-02-refined-times.txt</v>
      </c>
      <c r="AI5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{"issue":{"subject":"","project_id":79,"tracker_id":40,"status_id":1,"priority_id":2,"assigned_to_id":23,"start_date":"2016-09-02","description":"","custom_fields":[{"id":1,"name":"Subdivision","value":"EC"},{"id":4,"name":"Milepost","value":"23.284"},{"id":17,"name":"Train ID","value":"145-02"},{"id":16,"name":"Locomotive ID","value":"4016"},{"id":130,"name":"Impact","value":""},{"id":150,"name":"Time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431</v>
      </c>
      <c r="B58" s="7">
        <v>4015</v>
      </c>
      <c r="C58" s="24" t="s">
        <v>113</v>
      </c>
      <c r="D58" s="24" t="s">
        <v>432</v>
      </c>
      <c r="E58" s="15">
        <v>42615.418368055558</v>
      </c>
      <c r="F58" s="15">
        <v>42615.424710648149</v>
      </c>
      <c r="G58" s="7">
        <v>1</v>
      </c>
      <c r="H58" s="15" t="s">
        <v>89</v>
      </c>
      <c r="I58" s="15">
        <v>42615.452476851853</v>
      </c>
      <c r="J58" s="7">
        <v>1</v>
      </c>
      <c r="K58" s="132" t="str">
        <f t="shared" si="0"/>
        <v>4015/4016</v>
      </c>
      <c r="L58" s="24" t="str">
        <f>VLOOKUP(A58,'Trips&amp;Operators'!$C$1:$E$10000,3,FALSE)</f>
        <v>DAVIS</v>
      </c>
      <c r="M58" s="6">
        <f t="shared" si="1"/>
        <v>2.7766203704231884E-2</v>
      </c>
      <c r="N58" s="7">
        <f t="shared" si="27"/>
        <v>39.983333334093913</v>
      </c>
      <c r="O58" s="7"/>
      <c r="P58" s="7"/>
      <c r="Q58" s="25"/>
      <c r="R58" s="25"/>
      <c r="S58" s="37">
        <f t="shared" si="2"/>
        <v>1</v>
      </c>
      <c r="T58" s="52" t="str">
        <f t="shared" si="3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58" s="54" t="str">
        <f t="shared" si="5"/>
        <v>N</v>
      </c>
      <c r="X58" s="120">
        <f t="shared" si="29"/>
        <v>1</v>
      </c>
      <c r="Y58" s="69">
        <f t="shared" si="7"/>
        <v>23.297599999999999</v>
      </c>
      <c r="Z58" s="69">
        <f t="shared" si="8"/>
        <v>1.43E-2</v>
      </c>
      <c r="AA58" s="69">
        <f t="shared" si="9"/>
        <v>23.283300000000001</v>
      </c>
      <c r="AB58" s="66">
        <f>VLOOKUP(A58,Enforcements!$C$7:$J$21,8,0)</f>
        <v>191723</v>
      </c>
      <c r="AC58" s="62" t="str">
        <f>VLOOKUP(A58,Enforcements!$C$7:$E$21,3,0)</f>
        <v>SIGNAL</v>
      </c>
      <c r="AD58" s="63" t="str">
        <f t="shared" si="10"/>
        <v>0146-02</v>
      </c>
      <c r="AE58" s="99" t="str">
        <f t="shared" si="11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58" s="96" t="str">
        <f t="shared" si="12"/>
        <v>"C:\Program Files (x86)\AstroGrep\AstroGrep.exe" /spath="%USERPROFILE%\AppData\Local\Temp\OnboardLogs" /stypes="*4015*20160902*"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6"/>
        <v>"%USERPROFILE%\Documents\GitHub\eaglep3\Utilities\RefineRTDCRunTimes.py" --tripid 146-02 --locoid 4015 --swversion DE.1.0.7.0 --startMP 204:232976 --initTime 2016-09-02T10:02:27 --startdatetime 2016-09-02T10:11:35 --delay 1 --endMP 204:143 --enddatetime 2016-09-02T10:51:34 --enforcementcount 1 &gt;&gt;C:\Users\stu\Documents\GitHub\eaglep3-reporting\EC\2016-09-02-refined-times.txt</v>
      </c>
      <c r="AI5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{"issue":{"subject":"","project_id":79,"tracker_id":40,"status_id":1,"priority_id":2,"assigned_to_id":23,"start_date":"2016-09-02","description":"","custom_fields":[{"id":1,"name":"Subdivision","value":"EC"},{"id":4,"name":"Milepost","value":"23.2833"},{"id":17,"name":"Train ID","value":"146-02"},{"id":16,"name":"Locomotive ID","value":"4015"},{"id":130,"name":"Impact","value":""},{"id":150,"name":"Time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433</v>
      </c>
      <c r="B59" s="7">
        <v>4009</v>
      </c>
      <c r="C59" s="24" t="s">
        <v>113</v>
      </c>
      <c r="D59" s="24" t="s">
        <v>109</v>
      </c>
      <c r="E59" s="15">
        <v>42615.394756944443</v>
      </c>
      <c r="F59" s="15">
        <v>42615.396261574075</v>
      </c>
      <c r="G59" s="7">
        <v>1</v>
      </c>
      <c r="H59" s="15" t="s">
        <v>241</v>
      </c>
      <c r="I59" s="15">
        <v>42615.422546296293</v>
      </c>
      <c r="J59" s="7">
        <v>1</v>
      </c>
      <c r="K59" s="132" t="str">
        <f t="shared" si="0"/>
        <v>4009/4010</v>
      </c>
      <c r="L59" s="24" t="str">
        <f>VLOOKUP(A59,'Trips&amp;Operators'!$C$1:$E$10000,3,FALSE)</f>
        <v>MALAVE</v>
      </c>
      <c r="M59" s="6">
        <f t="shared" si="1"/>
        <v>2.6284722218406387E-2</v>
      </c>
      <c r="N59" s="7">
        <f t="shared" si="27"/>
        <v>37.849999994505197</v>
      </c>
      <c r="O59" s="7"/>
      <c r="P59" s="7"/>
      <c r="Q59" s="25"/>
      <c r="R59" s="25"/>
      <c r="S59" s="37">
        <f t="shared" si="2"/>
        <v>1</v>
      </c>
      <c r="T59" s="52" t="str">
        <f t="shared" si="3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08:28:27-0600',mode:absolute,to:'2016-09-02 11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9" s="54" t="str">
        <f t="shared" si="5"/>
        <v>N</v>
      </c>
      <c r="X59" s="120">
        <f t="shared" si="29"/>
        <v>1</v>
      </c>
      <c r="Y59" s="69">
        <f t="shared" si="7"/>
        <v>4.6199999999999998E-2</v>
      </c>
      <c r="Z59" s="69">
        <f t="shared" si="8"/>
        <v>23.328800000000001</v>
      </c>
      <c r="AA59" s="69">
        <f t="shared" si="9"/>
        <v>23.282600000000002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10"/>
        <v>0147-02</v>
      </c>
      <c r="AE59" s="99" t="str">
        <f t="shared" si="11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59" s="96" t="str">
        <f t="shared" si="12"/>
        <v>"C:\Program Files (x86)\AstroGrep\AstroGrep.exe" /spath="%USERPROFILE%\AppData\Local\Temp\OnboardLogs" /stypes="*4009*20160902*"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6"/>
        <v>"%USERPROFILE%\Documents\GitHub\eaglep3\Utilities\RefineRTDCRunTimes.py" --tripid 147-02 --locoid 4009 --swversion DE.1.0.7.0 --startMP 204:462 --initTime 2016-09-02T09:28:27 --startdatetime 2016-09-02T09:30:37 --delay 1 --endMP 204:233288 --enddatetime 2016-09-02T10:08:28 --enforcementcount 1 &gt;&gt;C:\Users\stu\Documents\GitHub\eaglep3-reporting\EC\2016-09-02-refined-times.txt</v>
      </c>
      <c r="AI5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{"issue":{"subject":"","project_id":79,"tracker_id":40,"status_id":1,"priority_id":2,"assigned_to_id":23,"start_date":"2016-09-02","description":"","custom_fields":[{"id":1,"name":"Subdivision","value":"EC"},{"id":4,"name":"Milepost","value":"23.2826"},{"id":17,"name":"Train ID","value":"147-02"},{"id":16,"name":"Locomotive ID","value":"4009"},{"id":130,"name":"Impact","value":""},{"id":150,"name":"Time of Event (Mountain Time)","value":"10:08:28"},{"id":151,"name":"Denver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434</v>
      </c>
      <c r="B60" s="7">
        <v>4010</v>
      </c>
      <c r="C60" s="24" t="s">
        <v>113</v>
      </c>
      <c r="D60" s="24" t="s">
        <v>244</v>
      </c>
      <c r="E60" s="15">
        <v>42615.433749999997</v>
      </c>
      <c r="F60" s="15">
        <v>42615.434895833336</v>
      </c>
      <c r="G60" s="7">
        <v>1</v>
      </c>
      <c r="H60" s="15" t="s">
        <v>173</v>
      </c>
      <c r="I60" s="15">
        <v>42615.461805555555</v>
      </c>
      <c r="J60" s="7">
        <v>1</v>
      </c>
      <c r="K60" s="132" t="str">
        <f t="shared" si="0"/>
        <v>4009/4010</v>
      </c>
      <c r="L60" s="24" t="str">
        <f>VLOOKUP(A60,'Trips&amp;Operators'!$C$1:$E$10000,3,FALSE)</f>
        <v>MALAVE</v>
      </c>
      <c r="M60" s="6">
        <f t="shared" si="1"/>
        <v>2.6909722218988463E-2</v>
      </c>
      <c r="N60" s="7">
        <f t="shared" si="27"/>
        <v>38.749999995343387</v>
      </c>
      <c r="O60" s="7"/>
      <c r="P60" s="7"/>
      <c r="Q60" s="25"/>
      <c r="R60" s="25"/>
      <c r="S60" s="37">
        <f t="shared" si="2"/>
        <v>1</v>
      </c>
      <c r="T60" s="52" t="str">
        <f t="shared" si="3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09:24:36-0600',mode:absolute,to:'2016-09-02 12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0" s="54" t="str">
        <f t="shared" si="5"/>
        <v>N</v>
      </c>
      <c r="X60" s="120">
        <f t="shared" si="29"/>
        <v>1</v>
      </c>
      <c r="Y60" s="69">
        <f t="shared" si="7"/>
        <v>23.296099999999999</v>
      </c>
      <c r="Z60" s="69">
        <f t="shared" si="8"/>
        <v>1.4500000000000001E-2</v>
      </c>
      <c r="AA60" s="69">
        <f t="shared" si="9"/>
        <v>23.281599999999997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10"/>
        <v>0148-02</v>
      </c>
      <c r="AE60" s="99" t="str">
        <f t="shared" si="11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60" s="96" t="str">
        <f t="shared" si="12"/>
        <v>"C:\Program Files (x86)\AstroGrep\AstroGrep.exe" /spath="%USERPROFILE%\AppData\Local\Temp\OnboardLogs" /stypes="*4010*20160902*"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6"/>
        <v>"%USERPROFILE%\Documents\GitHub\eaglep3\Utilities\RefineRTDCRunTimes.py" --tripid 148-02 --locoid 4010 --swversion DE.1.0.7.0 --startMP 204:232961 --initTime 2016-09-02T10:24:36 --startdatetime 2016-09-02T10:26:15 --delay 1 --endMP 204:145 --enddatetime 2016-09-02T11:05:00 --enforcementcount 1 &gt;&gt;C:\Users\stu\Documents\GitHub\eaglep3-reporting\EC\2016-09-02-refined-times.txt</v>
      </c>
      <c r="AI6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{"issue":{"subject":"","project_id":79,"tracker_id":40,"status_id":1,"priority_id":2,"assigned_to_id":23,"start_date":"2016-09-02","description":"","custom_fields":[{"id":1,"name":"Subdivision","value":"EC"},{"id":4,"name":"Milepost","value":"23.2816"},{"id":17,"name":"Train ID","value":"148-02"},{"id":16,"name":"Locomotive ID","value":"4010"},{"id":130,"name":"Impact","value":""},{"id":150,"name":"Time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435</v>
      </c>
      <c r="B61" s="7">
        <v>4044</v>
      </c>
      <c r="C61" s="24" t="s">
        <v>113</v>
      </c>
      <c r="D61" s="24" t="s">
        <v>397</v>
      </c>
      <c r="E61" s="15">
        <v>42615.401226851849</v>
      </c>
      <c r="F61" s="15">
        <v>42615.406412037039</v>
      </c>
      <c r="G61" s="7">
        <v>1</v>
      </c>
      <c r="H61" s="15" t="s">
        <v>382</v>
      </c>
      <c r="I61" s="15">
        <v>42615.435069444444</v>
      </c>
      <c r="J61" s="7">
        <v>1</v>
      </c>
      <c r="K61" s="132" t="str">
        <f t="shared" si="0"/>
        <v>4043/4044</v>
      </c>
      <c r="L61" s="24" t="str">
        <f>VLOOKUP(A61,'Trips&amp;Operators'!$C$1:$E$10000,3,FALSE)</f>
        <v>SMITH</v>
      </c>
      <c r="M61" s="6">
        <f t="shared" si="1"/>
        <v>2.8657407405262347E-2</v>
      </c>
      <c r="N61" s="7">
        <f t="shared" si="27"/>
        <v>41.26666666357778</v>
      </c>
      <c r="O61" s="7"/>
      <c r="P61" s="7"/>
      <c r="Q61" s="25"/>
      <c r="R61" s="25"/>
      <c r="S61" s="37">
        <f t="shared" si="2"/>
        <v>1</v>
      </c>
      <c r="T61" s="52" t="str">
        <f t="shared" si="3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08:37:46-0600',mode:absolute,to:'2016-09-02 11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1" s="54" t="str">
        <f t="shared" si="5"/>
        <v>N</v>
      </c>
      <c r="X61" s="120">
        <f t="shared" si="29"/>
        <v>1</v>
      </c>
      <c r="Y61" s="69">
        <f t="shared" si="7"/>
        <v>4.3099999999999999E-2</v>
      </c>
      <c r="Z61" s="69">
        <f t="shared" si="8"/>
        <v>23.332100000000001</v>
      </c>
      <c r="AA61" s="69">
        <f t="shared" si="9"/>
        <v>23.289000000000001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10"/>
        <v>0149-02</v>
      </c>
      <c r="AE61" s="99" t="str">
        <f t="shared" si="11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61" s="96" t="str">
        <f t="shared" si="12"/>
        <v>"C:\Program Files (x86)\AstroGrep\AstroGrep.exe" /spath="%USERPROFILE%\AppData\Local\Temp\OnboardLogs" /stypes="*4044*20160902*"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6"/>
        <v>"%USERPROFILE%\Documents\GitHub\eaglep3\Utilities\RefineRTDCRunTimes.py" --tripid 149-02 --locoid 4044 --swversion DE.1.0.7.0 --startMP 204:431 --initTime 2016-09-02T09:37:46 --startdatetime 2016-09-02T09:45:14 --delay 1 --endMP 204:233321 --enddatetime 2016-09-02T10:26:30 --enforcementcount 1 &gt;&gt;C:\Users\stu\Documents\GitHub\eaglep3-reporting\EC\2016-09-02-refined-times.txt</v>
      </c>
      <c r="AI6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{"issue":{"subject":"","project_id":79,"tracker_id":40,"status_id":1,"priority_id":2,"assigned_to_id":23,"start_date":"2016-09-02","description":"","custom_fields":[{"id":1,"name":"Subdivision","value":"EC"},{"id":4,"name":"Milepost","value":"23.289"},{"id":17,"name":"Train ID","value":"149-02"},{"id":16,"name":"Locomotive ID","value":"4044"},{"id":130,"name":"Impact","value":""},{"id":150,"name":"Time of Event (Mountain Time)","value":"10:26:30"},{"id":151,"name":"Denver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436</v>
      </c>
      <c r="B62" s="7">
        <v>4043</v>
      </c>
      <c r="C62" s="24" t="s">
        <v>113</v>
      </c>
      <c r="D62" s="24" t="s">
        <v>134</v>
      </c>
      <c r="E62" s="15">
        <v>42615.440509259257</v>
      </c>
      <c r="F62" s="15">
        <v>42615.445289351854</v>
      </c>
      <c r="G62" s="7">
        <v>2</v>
      </c>
      <c r="H62" s="15" t="s">
        <v>178</v>
      </c>
      <c r="I62" s="15">
        <v>42615.471273148149</v>
      </c>
      <c r="J62" s="7">
        <v>1</v>
      </c>
      <c r="K62" s="132" t="str">
        <f t="shared" si="0"/>
        <v>4043/4044</v>
      </c>
      <c r="L62" s="24" t="str">
        <f>VLOOKUP(A62,'Trips&amp;Operators'!$C$1:$E$10000,3,FALSE)</f>
        <v>SMITH</v>
      </c>
      <c r="M62" s="6">
        <f t="shared" si="1"/>
        <v>2.5983796294895001E-2</v>
      </c>
      <c r="N62" s="7">
        <f t="shared" si="27"/>
        <v>37.416666664648801</v>
      </c>
      <c r="O62" s="7"/>
      <c r="P62" s="7"/>
      <c r="Q62" s="25"/>
      <c r="R62" s="25"/>
      <c r="S62" s="37">
        <f t="shared" si="2"/>
        <v>1</v>
      </c>
      <c r="T62" s="52" t="str">
        <f t="shared" si="3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09:34:20-0600',mode:absolute,to:'2016-09-02 12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2" s="54" t="str">
        <f t="shared" si="5"/>
        <v>N</v>
      </c>
      <c r="X62" s="120">
        <f t="shared" si="29"/>
        <v>1</v>
      </c>
      <c r="Y62" s="69">
        <f t="shared" si="7"/>
        <v>23.299399999999999</v>
      </c>
      <c r="Z62" s="69">
        <f t="shared" si="8"/>
        <v>1.3899999999999999E-2</v>
      </c>
      <c r="AA62" s="69">
        <f t="shared" si="9"/>
        <v>23.285499999999999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10"/>
        <v>0150-02</v>
      </c>
      <c r="AE62" s="99" t="str">
        <f t="shared" si="11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62" s="96" t="str">
        <f t="shared" si="12"/>
        <v>"C:\Program Files (x86)\AstroGrep\AstroGrep.exe" /spath="%USERPROFILE%\AppData\Local\Temp\OnboardLogs" /stypes="*4043*20160902*"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6"/>
        <v>"%USERPROFILE%\Documents\GitHub\eaglep3\Utilities\RefineRTDCRunTimes.py" --tripid 150-02 --locoid 4043 --swversion DE.1.0.7.0 --startMP 204:232994 --initTime 2016-09-02T10:34:20 --startdatetime 2016-09-02T10:41:13 --delay 2 --endMP 204:139 --enddatetime 2016-09-02T11:18:38 --enforcementcount 1 &gt;&gt;C:\Users\stu\Documents\GitHub\eaglep3-reporting\EC\2016-09-02-refined-times.txt</v>
      </c>
      <c r="AI62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{"issue":{"subject":"","project_id":79,"tracker_id":40,"status_id":1,"priority_id":2,"assigned_to_id":23,"start_date":"2016-09-02","description":"","custom_fields":[{"id":1,"name":"Subdivision","value":"EC"},{"id":4,"name":"Milepost","value":"23.2855"},{"id":17,"name":"Train ID","value":"150-02"},{"id":16,"name":"Locomotive ID","value":"4043"},{"id":130,"name":"Impact","value":""},{"id":150,"name":"Time of Event (Mountain Time)","value":"11:18:38"},{"id":151,"name":"Denver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437</v>
      </c>
      <c r="B63" s="7">
        <v>4031</v>
      </c>
      <c r="C63" s="24" t="s">
        <v>113</v>
      </c>
      <c r="D63" s="24" t="s">
        <v>133</v>
      </c>
      <c r="E63" s="15">
        <v>42615.41300925926</v>
      </c>
      <c r="F63" s="15">
        <v>42615.416828703703</v>
      </c>
      <c r="G63" s="7">
        <v>1</v>
      </c>
      <c r="H63" s="15" t="s">
        <v>438</v>
      </c>
      <c r="I63" s="15">
        <v>42615.442175925928</v>
      </c>
      <c r="J63" s="7">
        <v>1</v>
      </c>
      <c r="K63" s="132" t="str">
        <f t="shared" si="0"/>
        <v>4031/4032</v>
      </c>
      <c r="L63" s="24" t="str">
        <f>VLOOKUP(A63,'Trips&amp;Operators'!$C$1:$E$10000,3,FALSE)</f>
        <v>GEBRETEKLE</v>
      </c>
      <c r="M63" s="6">
        <f t="shared" si="1"/>
        <v>2.5347222224809229E-2</v>
      </c>
      <c r="N63" s="7">
        <f t="shared" si="27"/>
        <v>36.50000000372529</v>
      </c>
      <c r="O63" s="7"/>
      <c r="P63" s="7"/>
      <c r="Q63" s="25"/>
      <c r="R63" s="25"/>
      <c r="S63" s="37">
        <f t="shared" si="2"/>
        <v>1</v>
      </c>
      <c r="T63" s="52" t="str">
        <f t="shared" si="3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08:54:44-0600',mode:absolute,to:'2016-09-02 11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3" s="54" t="str">
        <f t="shared" si="5"/>
        <v>N</v>
      </c>
      <c r="X63" s="120">
        <f t="shared" si="29"/>
        <v>1</v>
      </c>
      <c r="Y63" s="69">
        <f t="shared" si="7"/>
        <v>4.53E-2</v>
      </c>
      <c r="Z63" s="69">
        <f t="shared" si="8"/>
        <v>23.332599999999999</v>
      </c>
      <c r="AA63" s="69">
        <f t="shared" si="9"/>
        <v>23.287299999999998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10"/>
        <v>0151-02</v>
      </c>
      <c r="AE63" s="99" t="str">
        <f t="shared" si="11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63" s="96" t="str">
        <f t="shared" si="12"/>
        <v>"C:\Program Files (x86)\AstroGrep\AstroGrep.exe" /spath="%USERPROFILE%\AppData\Local\Temp\OnboardLogs" /stypes="*4031*20160902*"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6"/>
        <v>"%USERPROFILE%\Documents\GitHub\eaglep3\Utilities\RefineRTDCRunTimes.py" --tripid 151-02 --locoid 4031 --swversion DE.1.0.7.0 --startMP 204:453 --initTime 2016-09-02T09:54:44 --startdatetime 2016-09-02T10:00:14 --delay 1 --endMP 204:233326 --enddatetime 2016-09-02T10:36:44 --enforcementcount 1 &gt;&gt;C:\Users\stu\Documents\GitHub\eaglep3-reporting\EC\2016-09-02-refined-times.txt</v>
      </c>
      <c r="AI6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{"issue":{"subject":"","project_id":79,"tracker_id":40,"status_id":1,"priority_id":2,"assigned_to_id":23,"start_date":"2016-09-02","description":"","custom_fields":[{"id":1,"name":"Subdivision","value":"EC"},{"id":4,"name":"Milepost","value":"23.2873"},{"id":17,"name":"Train ID","value":"151-02"},{"id":16,"name":"Locomotive ID","value":"4031"},{"id":130,"name":"Impact","value":""},{"id":150,"name":"Time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439</v>
      </c>
      <c r="B64" s="7">
        <v>4032</v>
      </c>
      <c r="C64" s="24" t="s">
        <v>113</v>
      </c>
      <c r="D64" s="24" t="s">
        <v>440</v>
      </c>
      <c r="E64" s="15">
        <v>42615.450624999998</v>
      </c>
      <c r="F64" s="15">
        <v>42615.455717592595</v>
      </c>
      <c r="G64" s="7">
        <v>1</v>
      </c>
      <c r="H64" s="15" t="s">
        <v>178</v>
      </c>
      <c r="I64" s="15">
        <v>42615.483344907407</v>
      </c>
      <c r="J64" s="7">
        <v>1</v>
      </c>
      <c r="K64" s="132" t="str">
        <f t="shared" si="0"/>
        <v>4031/4032</v>
      </c>
      <c r="L64" s="24" t="str">
        <f>VLOOKUP(A64,'Trips&amp;Operators'!$C$1:$E$10000,3,FALSE)</f>
        <v>GEBRETEKLE</v>
      </c>
      <c r="M64" s="6">
        <f t="shared" si="1"/>
        <v>2.7627314811979886E-2</v>
      </c>
      <c r="N64" s="7">
        <f t="shared" si="27"/>
        <v>39.783333329251036</v>
      </c>
      <c r="O64" s="7"/>
      <c r="P64" s="7"/>
      <c r="Q64" s="25"/>
      <c r="R64" s="25"/>
      <c r="S64" s="37">
        <f t="shared" si="2"/>
        <v>1</v>
      </c>
      <c r="T64" s="52" t="str">
        <f t="shared" si="3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09:48:54-0600',mode:absolute,to:'2016-09-02 12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4" s="54" t="str">
        <f t="shared" si="5"/>
        <v>N</v>
      </c>
      <c r="X64" s="120">
        <f t="shared" si="29"/>
        <v>1</v>
      </c>
      <c r="Y64" s="69">
        <f t="shared" si="7"/>
        <v>23.298200000000001</v>
      </c>
      <c r="Z64" s="69">
        <f t="shared" si="8"/>
        <v>1.3899999999999999E-2</v>
      </c>
      <c r="AA64" s="69">
        <f t="shared" si="9"/>
        <v>23.284300000000002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10"/>
        <v>0152-02</v>
      </c>
      <c r="AE64" s="99" t="str">
        <f t="shared" si="11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64" s="96" t="str">
        <f t="shared" si="12"/>
        <v>"C:\Program Files (x86)\AstroGrep\AstroGrep.exe" /spath="%USERPROFILE%\AppData\Local\Temp\OnboardLogs" /stypes="*4032*20160902*"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6"/>
        <v>"%USERPROFILE%\Documents\GitHub\eaglep3\Utilities\RefineRTDCRunTimes.py" --tripid 152-02 --locoid 4032 --swversion DE.1.0.7.0 --startMP 204:232982 --initTime 2016-09-02T10:48:54 --startdatetime 2016-09-02T10:56:14 --delay 1 --endMP 204:139 --enddatetime 2016-09-02T11:36:01 --enforcementcount 1 &gt;&gt;C:\Users\stu\Documents\GitHub\eaglep3-reporting\EC\2016-09-02-refined-times.txt</v>
      </c>
      <c r="AI6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{"issue":{"subject":"","project_id":79,"tracker_id":40,"status_id":1,"priority_id":2,"assigned_to_id":23,"start_date":"2016-09-02","description":"","custom_fields":[{"id":1,"name":"Subdivision","value":"EC"},{"id":4,"name":"Milepost","value":"23.2843"},{"id":17,"name":"Train ID","value":"152-02"},{"id":16,"name":"Locomotive ID","value":"4032"},{"id":130,"name":"Impact","value":""},{"id":150,"name":"Time of Event (Mountain Time)","value":"11:36:01"},{"id":151,"name":"Denver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441</v>
      </c>
      <c r="B65" s="7">
        <v>4053</v>
      </c>
      <c r="C65" s="24" t="s">
        <v>113</v>
      </c>
      <c r="D65" s="24" t="s">
        <v>430</v>
      </c>
      <c r="E65" s="15">
        <v>42615.425219907411</v>
      </c>
      <c r="F65" s="15">
        <v>42615.427303240744</v>
      </c>
      <c r="G65" s="7">
        <v>1</v>
      </c>
      <c r="H65" s="15" t="s">
        <v>382</v>
      </c>
      <c r="I65" s="15">
        <v>42615.452384259261</v>
      </c>
      <c r="J65" s="7">
        <v>1</v>
      </c>
      <c r="K65" s="132" t="str">
        <f t="shared" si="0"/>
        <v>4053/4054</v>
      </c>
      <c r="L65" s="24" t="str">
        <f>VLOOKUP(A65,'Trips&amp;Operators'!$C$1:$E$10000,3,FALSE)</f>
        <v>SPECTOR</v>
      </c>
      <c r="M65" s="6">
        <f t="shared" si="1"/>
        <v>2.5081018517084885E-2</v>
      </c>
      <c r="N65" s="7">
        <f t="shared" ref="N65:N96" si="30">24*60*SUM($M65:$M65)</f>
        <v>36.116666664602235</v>
      </c>
      <c r="O65" s="7"/>
      <c r="P65" s="7"/>
      <c r="Q65" s="25"/>
      <c r="R65" s="25"/>
      <c r="S65" s="37">
        <f t="shared" si="2"/>
        <v>1</v>
      </c>
      <c r="T65" s="52" t="str">
        <f t="shared" si="3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09:12:19-0600',mode:absolute,to:'2016-09-02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65" s="54" t="str">
        <f t="shared" si="5"/>
        <v>N</v>
      </c>
      <c r="X65" s="120">
        <f t="shared" si="29"/>
        <v>1</v>
      </c>
      <c r="Y65" s="69">
        <f t="shared" si="7"/>
        <v>4.6399999999999997E-2</v>
      </c>
      <c r="Z65" s="69">
        <f t="shared" si="8"/>
        <v>23.332100000000001</v>
      </c>
      <c r="AA65" s="69">
        <f t="shared" si="9"/>
        <v>23.285700000000002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10"/>
        <v>0153-02</v>
      </c>
      <c r="AE65" s="99" t="str">
        <f t="shared" si="11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65" s="96" t="str">
        <f t="shared" si="12"/>
        <v>"C:\Program Files (x86)\AstroGrep\AstroGrep.exe" /spath="%USERPROFILE%\AppData\Local\Temp\OnboardLogs" /stypes="*4053*20160902*"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6"/>
        <v>"%USERPROFILE%\Documents\GitHub\eaglep3\Utilities\RefineRTDCRunTimes.py" --tripid 153-02 --locoid 4053 --swversion DE.1.0.7.0 --startMP 204:464 --initTime 2016-09-02T10:12:19 --startdatetime 2016-09-02T10:15:19 --delay 1 --endMP 204:233321 --enddatetime 2016-09-02T10:51:26 --enforcementcount 1 &gt;&gt;C:\Users\stu\Documents\GitHub\eaglep3-reporting\EC\2016-09-02-refined-times.txt</v>
      </c>
      <c r="AI6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{"issue":{"subject":"","project_id":79,"tracker_id":40,"status_id":1,"priority_id":2,"assigned_to_id":23,"start_date":"2016-09-02","description":"","custom_fields":[{"id":1,"name":"Subdivision","value":"EC"},{"id":4,"name":"Milepost","value":"23.2857"},{"id":17,"name":"Train ID","value":"153-02"},{"id":16,"name":"Locomotive ID","value":"4053"},{"id":130,"name":"Impact","value":""},{"id":150,"name":"Time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442</v>
      </c>
      <c r="B66" s="7">
        <v>4054</v>
      </c>
      <c r="C66" s="24" t="s">
        <v>113</v>
      </c>
      <c r="D66" s="24" t="s">
        <v>283</v>
      </c>
      <c r="E66" s="15">
        <v>42615.459953703707</v>
      </c>
      <c r="F66" s="15">
        <v>42615.466249999998</v>
      </c>
      <c r="G66" s="7">
        <v>1</v>
      </c>
      <c r="H66" s="15" t="s">
        <v>400</v>
      </c>
      <c r="I66" s="15">
        <v>42615.493125000001</v>
      </c>
      <c r="J66" s="7">
        <v>1</v>
      </c>
      <c r="K66" s="132" t="str">
        <f t="shared" si="0"/>
        <v>4053/4054</v>
      </c>
      <c r="L66" s="24" t="str">
        <f>VLOOKUP(A66,'Trips&amp;Operators'!$C$1:$E$10000,3,FALSE)</f>
        <v>SPECTOR</v>
      </c>
      <c r="M66" s="6">
        <f t="shared" si="1"/>
        <v>2.6875000003201421E-2</v>
      </c>
      <c r="N66" s="7">
        <f t="shared" si="30"/>
        <v>38.700000004610047</v>
      </c>
      <c r="O66" s="7"/>
      <c r="P66" s="7"/>
      <c r="Q66" s="25"/>
      <c r="R66" s="25"/>
      <c r="S66" s="37">
        <f t="shared" si="2"/>
        <v>1</v>
      </c>
      <c r="T66" s="52" t="str">
        <f t="shared" si="3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66" s="54" t="str">
        <f t="shared" si="5"/>
        <v>N</v>
      </c>
      <c r="X66" s="120">
        <f t="shared" si="29"/>
        <v>1</v>
      </c>
      <c r="Y66" s="69">
        <f t="shared" si="7"/>
        <v>23.3004</v>
      </c>
      <c r="Z66" s="69">
        <f t="shared" si="8"/>
        <v>1.3599999999999999E-2</v>
      </c>
      <c r="AA66" s="69">
        <f t="shared" si="9"/>
        <v>23.286799999999999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10"/>
        <v>0154-02</v>
      </c>
      <c r="AE66" s="99" t="str">
        <f t="shared" si="11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66" s="96" t="str">
        <f t="shared" si="12"/>
        <v>"C:\Program Files (x86)\AstroGrep\AstroGrep.exe" /spath="%USERPROFILE%\AppData\Local\Temp\OnboardLogs" /stypes="*4054*20160902*"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6"/>
        <v>"%USERPROFILE%\Documents\GitHub\eaglep3\Utilities\RefineRTDCRunTimes.py" --tripid 154-02 --locoid 4054 --swversion DE.1.0.7.0 --startMP 204:233004 --initTime 2016-09-02T11:02:20 --startdatetime 2016-09-02T11:11:24 --delay 1 --endMP 204:136 --enddatetime 2016-09-02T11:50:06 --enforcementcount 1 &gt;&gt;C:\Users\stu\Documents\GitHub\eaglep3-reporting\EC\2016-09-02-refined-times.txt</v>
      </c>
      <c r="AI6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{"issue":{"subject":"","project_id":79,"tracker_id":40,"status_id":1,"priority_id":2,"assigned_to_id":23,"start_date":"2016-09-02","description":"","custom_fields":[{"id":1,"name":"Subdivision","value":"EC"},{"id":4,"name":"Milepost","value":"23.2868"},{"id":17,"name":"Train ID","value":"154-02"},{"id":16,"name":"Locomotive ID","value":"4054"},{"id":130,"name":"Impact","value":""},{"id":150,"name":"Time of Event (Mountain Time)","value":"11:50:06"},{"id":151,"name":"Denver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443</v>
      </c>
      <c r="B67" s="7">
        <v>4029</v>
      </c>
      <c r="C67" s="24" t="s">
        <v>113</v>
      </c>
      <c r="D67" s="24" t="s">
        <v>248</v>
      </c>
      <c r="E67" s="15">
        <v>42615.43209490741</v>
      </c>
      <c r="F67" s="15">
        <v>42615.437731481485</v>
      </c>
      <c r="G67" s="7">
        <v>2</v>
      </c>
      <c r="H67" s="15" t="s">
        <v>444</v>
      </c>
      <c r="I67" s="15">
        <v>42615.46435185185</v>
      </c>
      <c r="J67" s="7">
        <v>1</v>
      </c>
      <c r="K67" s="132" t="str">
        <f t="shared" si="0"/>
        <v>4029/4030</v>
      </c>
      <c r="L67" s="24" t="str">
        <f>VLOOKUP(A67,'Trips&amp;Operators'!$C$1:$E$10000,3,FALSE)</f>
        <v>STRICKLAND</v>
      </c>
      <c r="M67" s="6">
        <f t="shared" si="1"/>
        <v>2.6620370364980772E-2</v>
      </c>
      <c r="N67" s="7">
        <f t="shared" si="30"/>
        <v>38.333333325572312</v>
      </c>
      <c r="O67" s="7"/>
      <c r="P67" s="7"/>
      <c r="Q67" s="25"/>
      <c r="R67" s="25"/>
      <c r="S67" s="37">
        <f t="shared" si="2"/>
        <v>1</v>
      </c>
      <c r="T67" s="52" t="str">
        <f t="shared" si="3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09:22:13-0600',mode:absolute,to:'2016-09-02 12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7" s="54" t="str">
        <f t="shared" si="5"/>
        <v>N</v>
      </c>
      <c r="X67" s="120">
        <f t="shared" si="29"/>
        <v>1</v>
      </c>
      <c r="Y67" s="69">
        <f t="shared" si="7"/>
        <v>4.4600000000000001E-2</v>
      </c>
      <c r="Z67" s="69">
        <f t="shared" si="8"/>
        <v>23.327200000000001</v>
      </c>
      <c r="AA67" s="69">
        <f t="shared" si="9"/>
        <v>23.282600000000002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10"/>
        <v>0155-02</v>
      </c>
      <c r="AE67" s="99" t="str">
        <f t="shared" si="11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67" s="96" t="str">
        <f t="shared" si="12"/>
        <v>"C:\Program Files (x86)\AstroGrep\AstroGrep.exe" /spath="%USERPROFILE%\AppData\Local\Temp\OnboardLogs" /stypes="*4029*20160902*"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6"/>
        <v>"%USERPROFILE%\Documents\GitHub\eaglep3\Utilities\RefineRTDCRunTimes.py" --tripid 155-02 --locoid 4029 --swversion DE.1.0.7.0 --startMP 204:446 --initTime 2016-09-02T10:22:13 --startdatetime 2016-09-02T10:30:20 --delay 2 --endMP 204:233272 --enddatetime 2016-09-02T11:08:40 --enforcementcount 1 &gt;&gt;C:\Users\stu\Documents\GitHub\eaglep3-reporting\EC\2016-09-02-refined-times.txt</v>
      </c>
      <c r="AI6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{"issue":{"subject":"","project_id":79,"tracker_id":40,"status_id":1,"priority_id":2,"assigned_to_id":23,"start_date":"2016-09-02","description":"","custom_fields":[{"id":1,"name":"Subdivision","value":"EC"},{"id":4,"name":"Milepost","value":"23.2826"},{"id":17,"name":"Train ID","value":"155-02"},{"id":16,"name":"Locomotive ID","value":"4029"},{"id":130,"name":"Impact","value":""},{"id":150,"name":"Time of Event (Mountain Time)","value":"11:08:40"},{"id":151,"name":"Denver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445</v>
      </c>
      <c r="B68" s="7">
        <v>4030</v>
      </c>
      <c r="C68" s="24" t="s">
        <v>113</v>
      </c>
      <c r="D68" s="24" t="s">
        <v>440</v>
      </c>
      <c r="E68" s="15">
        <v>42615.472083333334</v>
      </c>
      <c r="F68" s="15">
        <v>42615.476597222223</v>
      </c>
      <c r="G68" s="7">
        <v>2</v>
      </c>
      <c r="H68" s="15" t="s">
        <v>166</v>
      </c>
      <c r="I68" s="15">
        <v>42615.505787037036</v>
      </c>
      <c r="J68" s="7">
        <v>1</v>
      </c>
      <c r="K68" s="132" t="str">
        <f t="shared" si="0"/>
        <v>4029/4030</v>
      </c>
      <c r="L68" s="24" t="str">
        <f>VLOOKUP(A68,'Trips&amp;Operators'!$C$1:$E$10000,3,FALSE)</f>
        <v>STRICKLAND</v>
      </c>
      <c r="M68" s="6">
        <f t="shared" si="1"/>
        <v>2.9189814813435078E-2</v>
      </c>
      <c r="N68" s="7">
        <f t="shared" si="30"/>
        <v>42.033333331346512</v>
      </c>
      <c r="O68" s="7"/>
      <c r="P68" s="7"/>
      <c r="Q68" s="25"/>
      <c r="R68" s="25"/>
      <c r="S68" s="37">
        <f t="shared" si="2"/>
        <v>1</v>
      </c>
      <c r="T68" s="52" t="str">
        <f t="shared" si="3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68" s="54" t="str">
        <f t="shared" si="5"/>
        <v>N</v>
      </c>
      <c r="X68" s="120">
        <f t="shared" ref="X68:X99" si="31">VALUE(LEFT(AD68,4))-VALUE(LEFT(AD67,4))</f>
        <v>1</v>
      </c>
      <c r="Y68" s="69">
        <f t="shared" si="7"/>
        <v>23.298200000000001</v>
      </c>
      <c r="Z68" s="69">
        <f t="shared" si="8"/>
        <v>1.52E-2</v>
      </c>
      <c r="AA68" s="69">
        <f t="shared" si="9"/>
        <v>23.283000000000001</v>
      </c>
      <c r="AB68" s="66">
        <f>VLOOKUP(A68,Enforcements!$C$7:$J$21,8,0)</f>
        <v>183829</v>
      </c>
      <c r="AC68" s="62" t="str">
        <f>VLOOKUP(A68,Enforcements!$C$7:$E$21,3,0)</f>
        <v>PERMANENT SPEED RESTRICTION</v>
      </c>
      <c r="AD68" s="63" t="str">
        <f t="shared" si="10"/>
        <v>0156-02</v>
      </c>
      <c r="AE68" s="99" t="str">
        <f t="shared" si="11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68" s="96" t="str">
        <f t="shared" si="12"/>
        <v>"C:\Program Files (x86)\AstroGrep\AstroGrep.exe" /spath="%USERPROFILE%\AppData\Local\Temp\OnboardLogs" /stypes="*4030*20160902*"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6"/>
        <v>"%USERPROFILE%\Documents\GitHub\eaglep3\Utilities\RefineRTDCRunTimes.py" --tripid 156-02 --locoid 4030 --swversion DE.1.0.7.0 --startMP 204:232982 --initTime 2016-09-02T11:19:48 --startdatetime 2016-09-02T11:26:18 --delay 2 --endMP 204:152 --enddatetime 2016-09-02T12:08:20 --enforcementcount 1 &gt;&gt;C:\Users\stu\Documents\GitHub\eaglep3-reporting\EC\2016-09-02-refined-times.txt</v>
      </c>
      <c r="AI6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{"issue":{"subject":"","project_id":79,"tracker_id":40,"status_id":1,"priority_id":2,"assigned_to_id":23,"start_date":"2016-09-02","description":"","custom_fields":[{"id":1,"name":"Subdivision","value":"EC"},{"id":4,"name":"Milepost","value":"23.283"},{"id":17,"name":"Train ID","value":"156-02"},{"id":16,"name":"Locomotive ID","value":"4030"},{"id":130,"name":"Impact","value":""},{"id":150,"name":"Time of Event (Mountain Time)","value":"12:08:20"},{"id":151,"name":"Denver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446</v>
      </c>
      <c r="B69" s="7">
        <v>4046</v>
      </c>
      <c r="C69" s="24" t="s">
        <v>113</v>
      </c>
      <c r="D69" s="24" t="s">
        <v>125</v>
      </c>
      <c r="E69" s="15">
        <v>42615.445601851854</v>
      </c>
      <c r="F69" s="15">
        <v>42615.448506944442</v>
      </c>
      <c r="G69" s="7">
        <v>1</v>
      </c>
      <c r="H69" s="15" t="s">
        <v>176</v>
      </c>
      <c r="I69" s="15">
        <v>42615.474537037036</v>
      </c>
      <c r="J69" s="7">
        <v>1</v>
      </c>
      <c r="K69" s="132" t="str">
        <f t="shared" si="0"/>
        <v>4045/4046</v>
      </c>
      <c r="L69" s="24" t="str">
        <f>VLOOKUP(A69,'Trips&amp;Operators'!$C$1:$E$10000,3,FALSE)</f>
        <v>ARVIDSON</v>
      </c>
      <c r="M69" s="6">
        <f t="shared" si="1"/>
        <v>2.6030092594737653E-2</v>
      </c>
      <c r="N69" s="7">
        <f t="shared" si="30"/>
        <v>37.48333333642222</v>
      </c>
      <c r="O69" s="7"/>
      <c r="P69" s="7"/>
      <c r="Q69" s="25"/>
      <c r="R69" s="25"/>
      <c r="S69" s="37">
        <f t="shared" si="2"/>
        <v>1</v>
      </c>
      <c r="T69" s="52" t="str">
        <f t="shared" si="3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09:41:40-0600',mode:absolute,to:'2016-09-02 12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69" s="54" t="str">
        <f t="shared" si="5"/>
        <v>N</v>
      </c>
      <c r="X69" s="120">
        <f t="shared" si="31"/>
        <v>1</v>
      </c>
      <c r="Y69" s="69">
        <f t="shared" si="7"/>
        <v>4.5499999999999999E-2</v>
      </c>
      <c r="Z69" s="69">
        <f t="shared" si="8"/>
        <v>23.3293</v>
      </c>
      <c r="AA69" s="69">
        <f t="shared" si="9"/>
        <v>23.283799999999999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10"/>
        <v>0157-02</v>
      </c>
      <c r="AE69" s="99" t="str">
        <f t="shared" si="11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69" s="96" t="str">
        <f t="shared" si="12"/>
        <v>"C:\Program Files (x86)\AstroGrep\AstroGrep.exe" /spath="%USERPROFILE%\AppData\Local\Temp\OnboardLogs" /stypes="*4046*20160902*"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6"/>
        <v>"%USERPROFILE%\Documents\GitHub\eaglep3\Utilities\RefineRTDCRunTimes.py" --tripid 157-02 --locoid 4046 --swversion DE.1.0.7.0 --startMP 204:455 --initTime 2016-09-02T10:41:40 --startdatetime 2016-09-02T10:45:51 --delay 1 --endMP 204:233293 --enddatetime 2016-09-02T11:23:20 --enforcementcount 1 &gt;&gt;C:\Users\stu\Documents\GitHub\eaglep3-reporting\EC\2016-09-02-refined-times.txt</v>
      </c>
      <c r="AI6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ID","value":"157-02"},{"id":16,"name":"Locomotive ID","value":"4046"},{"id":130,"name":"Impact","value":""},{"id":150,"name":"Time of Event (Mountain Time)","value":"11:23:20"},{"id":151,"name":"Denver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447</v>
      </c>
      <c r="B70" s="7">
        <v>4045</v>
      </c>
      <c r="C70" s="24" t="s">
        <v>113</v>
      </c>
      <c r="D70" s="24" t="s">
        <v>180</v>
      </c>
      <c r="E70" s="15">
        <v>42615.477847222224</v>
      </c>
      <c r="F70" s="15">
        <v>42615.487141203703</v>
      </c>
      <c r="G70" s="7">
        <v>2</v>
      </c>
      <c r="H70" s="15" t="s">
        <v>289</v>
      </c>
      <c r="I70" s="15">
        <v>42615.5155787037</v>
      </c>
      <c r="J70" s="7">
        <v>1</v>
      </c>
      <c r="K70" s="132" t="str">
        <f t="shared" si="0"/>
        <v>4045/4046</v>
      </c>
      <c r="L70" s="24" t="str">
        <f>VLOOKUP(A70,'Trips&amp;Operators'!$C$1:$E$10000,3,FALSE)</f>
        <v>ARVIDSON</v>
      </c>
      <c r="M70" s="6">
        <f t="shared" si="1"/>
        <v>2.8437499997380655E-2</v>
      </c>
      <c r="N70" s="7">
        <f t="shared" si="30"/>
        <v>40.949999996228144</v>
      </c>
      <c r="O70" s="7"/>
      <c r="P70" s="7"/>
      <c r="Q70" s="25"/>
      <c r="R70" s="25"/>
      <c r="S70" s="37">
        <f t="shared" si="2"/>
        <v>1</v>
      </c>
      <c r="T70" s="52" t="str">
        <f t="shared" si="3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10:28:06-0600',mode:absolute,to:'2016-09-02 13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70" s="54" t="str">
        <f t="shared" si="5"/>
        <v>N</v>
      </c>
      <c r="X70" s="120">
        <f t="shared" si="31"/>
        <v>1</v>
      </c>
      <c r="Y70" s="69">
        <f t="shared" si="7"/>
        <v>23.2989</v>
      </c>
      <c r="Z70" s="69">
        <f t="shared" si="8"/>
        <v>1.6899999999999998E-2</v>
      </c>
      <c r="AA70" s="69">
        <f t="shared" si="9"/>
        <v>23.282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10"/>
        <v>0158-02</v>
      </c>
      <c r="AE70" s="99" t="str">
        <f t="shared" si="11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70" s="96" t="str">
        <f t="shared" si="12"/>
        <v>"C:\Program Files (x86)\AstroGrep\AstroGrep.exe" /spath="%USERPROFILE%\AppData\Local\Temp\OnboardLogs" /stypes="*4045*20160902*"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6"/>
        <v>"%USERPROFILE%\Documents\GitHub\eaglep3\Utilities\RefineRTDCRunTimes.py" --tripid 158-02 --locoid 4045 --swversion DE.1.0.7.0 --startMP 204:232989 --initTime 2016-09-02T11:28:06 --startdatetime 2016-09-02T11:41:29 --delay 2 --endMP 204:169 --enddatetime 2016-09-02T12:22:26 --enforcementcount 1 &gt;&gt;C:\Users\stu\Documents\GitHub\eaglep3-reporting\EC\2016-09-02-refined-times.txt</v>
      </c>
      <c r="AI7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{"issue":{"subject":"","project_id":79,"tracker_id":40,"status_id":1,"priority_id":2,"assigned_to_id":23,"start_date":"2016-09-02","description":"","custom_fields":[{"id":1,"name":"Subdivision","value":"EC"},{"id":4,"name":"Milepost","value":"23.282"},{"id":17,"name":"Train ID","value":"158-02"},{"id":16,"name":"Locomotive ID","value":"4045"},{"id":130,"name":"Impact","value":""},{"id":150,"name":"Time of Event (Mountain Time)","value":"12:22:26"},{"id":151,"name":"Denver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448</v>
      </c>
      <c r="B71" s="7">
        <v>4016</v>
      </c>
      <c r="C71" s="24" t="s">
        <v>113</v>
      </c>
      <c r="D71" s="24" t="s">
        <v>430</v>
      </c>
      <c r="E71" s="15">
        <v>42615.456111111111</v>
      </c>
      <c r="F71" s="15">
        <v>42615.459594907406</v>
      </c>
      <c r="G71" s="7">
        <v>2</v>
      </c>
      <c r="H71" s="15" t="s">
        <v>257</v>
      </c>
      <c r="I71" s="15">
        <v>42615.488067129627</v>
      </c>
      <c r="J71" s="7">
        <v>1</v>
      </c>
      <c r="K71" s="132" t="str">
        <f t="shared" si="0"/>
        <v>4015/4016</v>
      </c>
      <c r="L71" s="24" t="str">
        <f>VLOOKUP(A71,'Trips&amp;Operators'!$C$1:$E$10000,3,FALSE)</f>
        <v>STEWART</v>
      </c>
      <c r="M71" s="6">
        <f t="shared" si="1"/>
        <v>2.8472222220443655E-2</v>
      </c>
      <c r="N71" s="7">
        <f t="shared" si="30"/>
        <v>40.999999997438863</v>
      </c>
      <c r="O71" s="7"/>
      <c r="P71" s="7"/>
      <c r="Q71" s="25"/>
      <c r="R71" s="25"/>
      <c r="S71" s="37">
        <f t="shared" si="2"/>
        <v>1</v>
      </c>
      <c r="T71" s="52" t="str">
        <f t="shared" si="3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09:56:48-0600',mode:absolute,to:'2016-09-02 12:42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71" s="54" t="str">
        <f t="shared" si="5"/>
        <v>N</v>
      </c>
      <c r="X71" s="120">
        <f t="shared" si="31"/>
        <v>1</v>
      </c>
      <c r="Y71" s="69">
        <f t="shared" si="7"/>
        <v>4.6399999999999997E-2</v>
      </c>
      <c r="Z71" s="69">
        <f t="shared" si="8"/>
        <v>23.330300000000001</v>
      </c>
      <c r="AA71" s="69">
        <f t="shared" si="9"/>
        <v>23.283900000000003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10"/>
        <v>0159-02</v>
      </c>
      <c r="AE71" s="99" t="str">
        <f t="shared" si="11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71" s="96" t="str">
        <f t="shared" si="12"/>
        <v>"C:\Program Files (x86)\AstroGrep\AstroGrep.exe" /spath="%USERPROFILE%\AppData\Local\Temp\OnboardLogs" /stypes="*4016*20160902*"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6"/>
        <v>"%USERPROFILE%\Documents\GitHub\eaglep3\Utilities\RefineRTDCRunTimes.py" --tripid 159-02 --locoid 4016 --swversion DE.1.0.7.0 --startMP 204:464 --initTime 2016-09-02T10:56:48 --startdatetime 2016-09-02T11:01:49 --delay 2 --endMP 204:233303 --enddatetime 2016-09-02T11:42:49 --enforcementcount 1 &gt;&gt;C:\Users\stu\Documents\GitHub\eaglep3-reporting\EC\2016-09-02-refined-times.txt</v>
      </c>
      <c r="AI71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{"issue":{"subject":"","project_id":79,"tracker_id":40,"status_id":1,"priority_id":2,"assigned_to_id":23,"start_date":"2016-09-02","description":"","custom_fields":[{"id":1,"name":"Subdivision","value":"EC"},{"id":4,"name":"Milepost","value":"23.2839"},{"id":17,"name":"Train ID","value":"159-02"},{"id":16,"name":"Locomotive ID","value":"4016"},{"id":130,"name":"Impact","value":""},{"id":150,"name":"Time of Event (Mountain Time)","value":"11:42:49"},{"id":151,"name":"Denver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449</v>
      </c>
      <c r="B72" s="7">
        <v>4015</v>
      </c>
      <c r="C72" s="24" t="s">
        <v>113</v>
      </c>
      <c r="D72" s="24" t="s">
        <v>256</v>
      </c>
      <c r="E72" s="15">
        <v>42615.495532407411</v>
      </c>
      <c r="F72" s="15">
        <v>42615.497719907406</v>
      </c>
      <c r="G72" s="7">
        <v>1</v>
      </c>
      <c r="H72" s="15" t="s">
        <v>131</v>
      </c>
      <c r="I72" s="15">
        <v>42615.525706018518</v>
      </c>
      <c r="J72" s="7">
        <v>1</v>
      </c>
      <c r="K72" s="132" t="str">
        <f t="shared" si="0"/>
        <v>4015/4016</v>
      </c>
      <c r="L72" s="24" t="str">
        <f>VLOOKUP(A72,'Trips&amp;Operators'!$C$1:$E$10000,3,FALSE)</f>
        <v>STEWART</v>
      </c>
      <c r="M72" s="6">
        <f t="shared" si="1"/>
        <v>2.7986111112113576E-2</v>
      </c>
      <c r="N72" s="7">
        <f t="shared" si="30"/>
        <v>40.30000000144355</v>
      </c>
      <c r="O72" s="7"/>
      <c r="P72" s="7"/>
      <c r="Q72" s="25"/>
      <c r="R72" s="25"/>
      <c r="S72" s="37">
        <f t="shared" si="2"/>
        <v>1</v>
      </c>
      <c r="T72" s="52" t="str">
        <f t="shared" si="3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72" s="54" t="str">
        <f t="shared" si="5"/>
        <v>N</v>
      </c>
      <c r="X72" s="120">
        <f t="shared" si="31"/>
        <v>1</v>
      </c>
      <c r="Y72" s="69">
        <f t="shared" si="7"/>
        <v>23.297499999999999</v>
      </c>
      <c r="Z72" s="69">
        <f t="shared" si="8"/>
        <v>1.5800000000000002E-2</v>
      </c>
      <c r="AA72" s="69">
        <f t="shared" si="9"/>
        <v>23.281700000000001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0"/>
        <v>0160-02</v>
      </c>
      <c r="AE72" s="99" t="str">
        <f t="shared" si="11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72" s="96" t="str">
        <f t="shared" si="12"/>
        <v>"C:\Program Files (x86)\AstroGrep\AstroGrep.exe" /spath="%USERPROFILE%\AppData\Local\Temp\OnboardLogs" /stypes="*4015*20160902*"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6"/>
        <v>"%USERPROFILE%\Documents\GitHub\eaglep3\Utilities\RefineRTDCRunTimes.py" --tripid 160-02 --locoid 4015 --swversion DE.1.0.7.0 --startMP 204:232975 --initTime 2016-09-02T11:53:34 --startdatetime 2016-09-02T11:56:43 --delay 1 --endMP 204:158 --enddatetime 2016-09-02T12:37:01 --enforcementcount 1 &gt;&gt;C:\Users\stu\Documents\GitHub\eaglep3-reporting\EC\2016-09-02-refined-times.txt</v>
      </c>
      <c r="AI72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{"issue":{"subject":"","project_id":79,"tracker_id":40,"status_id":1,"priority_id":2,"assigned_to_id":23,"start_date":"2016-09-02","description":"","custom_fields":[{"id":1,"name":"Subdivision","value":"EC"},{"id":4,"name":"Milepost","value":"23.2817"},{"id":17,"name":"Train ID","value":"160-02"},{"id":16,"name":"Locomotive ID","value":"4015"},{"id":130,"name":"Impact","value":""},{"id":150,"name":"Time of Event (Mountain Time)","value":"12:37:01"},{"id":151,"name":"Denver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450</v>
      </c>
      <c r="B73" s="7">
        <v>4009</v>
      </c>
      <c r="C73" s="24" t="s">
        <v>113</v>
      </c>
      <c r="D73" s="24" t="s">
        <v>451</v>
      </c>
      <c r="E73" s="15">
        <v>42615.464224537034</v>
      </c>
      <c r="F73" s="15">
        <v>42615.468981481485</v>
      </c>
      <c r="G73" s="7">
        <v>1</v>
      </c>
      <c r="H73" s="15" t="s">
        <v>452</v>
      </c>
      <c r="I73" s="15">
        <v>42615.495034722226</v>
      </c>
      <c r="J73" s="7">
        <v>1</v>
      </c>
      <c r="K73" s="132" t="str">
        <f t="shared" si="0"/>
        <v>4009/4010</v>
      </c>
      <c r="L73" s="24" t="str">
        <f>VLOOKUP(A73,'Trips&amp;Operators'!$C$1:$E$10000,3,FALSE)</f>
        <v>CLARK</v>
      </c>
      <c r="M73" s="6">
        <f t="shared" si="1"/>
        <v>2.6053240741021E-2</v>
      </c>
      <c r="N73" s="7">
        <f t="shared" si="30"/>
        <v>37.51666666707024</v>
      </c>
      <c r="O73" s="7"/>
      <c r="P73" s="7"/>
      <c r="Q73" s="25"/>
      <c r="R73" s="25"/>
      <c r="S73" s="37">
        <f t="shared" si="2"/>
        <v>1</v>
      </c>
      <c r="T73" s="52" t="str">
        <f t="shared" si="3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3" s="54" t="str">
        <f t="shared" si="5"/>
        <v>N</v>
      </c>
      <c r="X73" s="120">
        <f t="shared" si="31"/>
        <v>1</v>
      </c>
      <c r="Y73" s="69">
        <f t="shared" si="7"/>
        <v>4.7800000000000002E-2</v>
      </c>
      <c r="Z73" s="69">
        <f t="shared" si="8"/>
        <v>23.322299999999998</v>
      </c>
      <c r="AA73" s="69">
        <f t="shared" si="9"/>
        <v>23.2745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0"/>
        <v>0161-02</v>
      </c>
      <c r="AE73" s="99" t="str">
        <f t="shared" si="11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73" s="96" t="str">
        <f t="shared" si="12"/>
        <v>"C:\Program Files (x86)\AstroGrep\AstroGrep.exe" /spath="%USERPROFILE%\AppData\Local\Temp\OnboardLogs" /stypes="*4009*20160902*"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6"/>
        <v>"%USERPROFILE%\Documents\GitHub\eaglep3\Utilities\RefineRTDCRunTimes.py" --tripid 161-02 --locoid 4009 --swversion DE.1.0.7.0 --startMP 204:478 --initTime 2016-09-02T11:08:29 --startdatetime 2016-09-02T11:15:20 --delay 1 --endMP 204:233223 --enddatetime 2016-09-02T11:52:51 --enforcementcount 1 &gt;&gt;C:\Users\stu\Documents\GitHub\eaglep3-reporting\EC\2016-09-02-refined-times.txt</v>
      </c>
      <c r="AI73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{"issue":{"subject":"","project_id":79,"tracker_id":40,"status_id":1,"priority_id":2,"assigned_to_id":23,"start_date":"2016-09-02","description":"","custom_fields":[{"id":1,"name":"Subdivision","value":"EC"},{"id":4,"name":"Milepost","value":"23.2745"},{"id":17,"name":"Train ID","value":"161-02"},{"id":16,"name":"Locomotive ID","value":"4009"},{"id":130,"name":"Impact","value":""},{"id":150,"name":"Time of Event (Mountain Time)","value":"11:52:51"},{"id":151,"name":"Denver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453</v>
      </c>
      <c r="B74" s="7">
        <v>4010</v>
      </c>
      <c r="C74" s="24" t="s">
        <v>113</v>
      </c>
      <c r="D74" s="24" t="s">
        <v>454</v>
      </c>
      <c r="E74" s="15">
        <v>42615.502106481479</v>
      </c>
      <c r="F74" s="15">
        <v>42615.507974537039</v>
      </c>
      <c r="G74" s="7">
        <v>1</v>
      </c>
      <c r="H74" s="15" t="s">
        <v>280</v>
      </c>
      <c r="I74" s="15">
        <v>42615.53702546296</v>
      </c>
      <c r="J74" s="7">
        <v>1</v>
      </c>
      <c r="K74" s="132" t="str">
        <f t="shared" si="0"/>
        <v>4009/4010</v>
      </c>
      <c r="L74" s="24" t="str">
        <f>VLOOKUP(A74,'Trips&amp;Operators'!$C$1:$E$10000,3,FALSE)</f>
        <v>CLARK</v>
      </c>
      <c r="M74" s="6">
        <f t="shared" si="1"/>
        <v>2.9050925921183079E-2</v>
      </c>
      <c r="N74" s="7">
        <f t="shared" si="30"/>
        <v>41.833333326503634</v>
      </c>
      <c r="O74" s="7"/>
      <c r="P74" s="7"/>
      <c r="Q74" s="25"/>
      <c r="R74" s="25"/>
      <c r="S74" s="37">
        <f t="shared" si="2"/>
        <v>1</v>
      </c>
      <c r="T74" s="52" t="str">
        <f t="shared" si="3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11:03:02-0600',mode:absolute,to:'2016-09-02 13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4" s="54" t="str">
        <f t="shared" si="5"/>
        <v>N</v>
      </c>
      <c r="X74" s="120">
        <f t="shared" si="31"/>
        <v>1</v>
      </c>
      <c r="Y74" s="69">
        <f t="shared" si="7"/>
        <v>23.291699999999999</v>
      </c>
      <c r="Z74" s="69">
        <f t="shared" si="8"/>
        <v>1.41E-2</v>
      </c>
      <c r="AA74" s="69">
        <f t="shared" si="9"/>
        <v>23.2776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0"/>
        <v>0162-02</v>
      </c>
      <c r="AE74" s="99" t="str">
        <f t="shared" si="11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74" s="96" t="str">
        <f t="shared" si="12"/>
        <v>"C:\Program Files (x86)\AstroGrep\AstroGrep.exe" /spath="%USERPROFILE%\AppData\Local\Temp\OnboardLogs" /stypes="*4010*20160902*"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6"/>
        <v>"%USERPROFILE%\Documents\GitHub\eaglep3\Utilities\RefineRTDCRunTimes.py" --tripid 162-02 --locoid 4010 --swversion DE.1.0.7.0 --startMP 204:232917 --initTime 2016-09-02T12:03:02 --startdatetime 2016-09-02T12:11:29 --delay 1 --endMP 204:141 --enddatetime 2016-09-02T12:53:19 --enforcementcount 1 &gt;&gt;C:\Users\stu\Documents\GitHub\eaglep3-reporting\EC\2016-09-02-refined-times.txt</v>
      </c>
      <c r="AI74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{"issue":{"subject":"","project_id":79,"tracker_id":40,"status_id":1,"priority_id":2,"assigned_to_id":23,"start_date":"2016-09-02","description":"","custom_fields":[{"id":1,"name":"Subdivision","value":"EC"},{"id":4,"name":"Milepost","value":"23.2776"},{"id":17,"name":"Train ID","value":"162-02"},{"id":16,"name":"Locomotive ID","value":"4010"},{"id":130,"name":"Impact","value":""},{"id":150,"name":"Time of Event (Mountain Time)","value":"12:53:19"},{"id":151,"name":"Denver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455</v>
      </c>
      <c r="B75" s="7">
        <v>4044</v>
      </c>
      <c r="C75" s="24" t="s">
        <v>113</v>
      </c>
      <c r="D75" s="24" t="s">
        <v>133</v>
      </c>
      <c r="E75" s="15">
        <v>42615.474293981482</v>
      </c>
      <c r="F75" s="15">
        <v>42615.479502314818</v>
      </c>
      <c r="G75" s="7">
        <v>1</v>
      </c>
      <c r="H75" s="15" t="s">
        <v>316</v>
      </c>
      <c r="I75" s="15">
        <v>42615.505173611113</v>
      </c>
      <c r="J75" s="7">
        <v>1</v>
      </c>
      <c r="K75" s="132" t="str">
        <f t="shared" si="0"/>
        <v>4043/4044</v>
      </c>
      <c r="L75" s="24" t="str">
        <f>VLOOKUP(A75,'Trips&amp;Operators'!$C$1:$E$10000,3,FALSE)</f>
        <v>BONDS</v>
      </c>
      <c r="M75" s="6">
        <f t="shared" si="1"/>
        <v>2.5671296294603962E-2</v>
      </c>
      <c r="N75" s="7">
        <f t="shared" si="30"/>
        <v>36.966666664229706</v>
      </c>
      <c r="O75" s="7"/>
      <c r="P75" s="7"/>
      <c r="Q75" s="25"/>
      <c r="R75" s="25"/>
      <c r="S75" s="37">
        <f t="shared" si="2"/>
        <v>1</v>
      </c>
      <c r="T75" s="52" t="str">
        <f t="shared" si="3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10:22:59-0600',mode:absolute,to:'2016-09-02 13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5" s="54" t="str">
        <f t="shared" si="5"/>
        <v>N</v>
      </c>
      <c r="X75" s="120">
        <f t="shared" si="31"/>
        <v>1</v>
      </c>
      <c r="Y75" s="69">
        <f t="shared" si="7"/>
        <v>4.53E-2</v>
      </c>
      <c r="Z75" s="69">
        <f t="shared" si="8"/>
        <v>23.331199999999999</v>
      </c>
      <c r="AA75" s="69">
        <f t="shared" si="9"/>
        <v>23.285899999999998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0"/>
        <v>0163-02</v>
      </c>
      <c r="AE75" s="99" t="str">
        <f t="shared" si="11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75" s="96" t="str">
        <f t="shared" si="12"/>
        <v>"C:\Program Files (x86)\AstroGrep\AstroGrep.exe" /spath="%USERPROFILE%\AppData\Local\Temp\OnboardLogs" /stypes="*4044*20160902*"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6"/>
        <v>"%USERPROFILE%\Documents\GitHub\eaglep3\Utilities\RefineRTDCRunTimes.py" --tripid 163-02 --locoid 4044 --swversion DE.1.0.7.0 --startMP 204:453 --initTime 2016-09-02T11:22:59 --startdatetime 2016-09-02T11:30:29 --delay 1 --endMP 204:233312 --enddatetime 2016-09-02T12:07:27 --enforcementcount 1 &gt;&gt;C:\Users\stu\Documents\GitHub\eaglep3-reporting\EC\2016-09-02-refined-times.txt</v>
      </c>
      <c r="AI75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{"issue":{"subject":"","project_id":79,"tracker_id":40,"status_id":1,"priority_id":2,"assigned_to_id":23,"start_date":"2016-09-02","description":"","custom_fields":[{"id":1,"name":"Subdivision","value":"EC"},{"id":4,"name":"Milepost","value":"23.2859"},{"id":17,"name":"Train ID","value":"163-02"},{"id":16,"name":"Locomotive ID","value":"4044"},{"id":130,"name":"Impact","value":""},{"id":150,"name":"Time of Event (Mountain Time)","value":"12:07:27"},{"id":151,"name":"Denver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456</v>
      </c>
      <c r="B76" s="7">
        <v>4043</v>
      </c>
      <c r="C76" s="24" t="s">
        <v>113</v>
      </c>
      <c r="D76" s="24" t="s">
        <v>261</v>
      </c>
      <c r="E76" s="15">
        <v>42615.513159722221</v>
      </c>
      <c r="F76" s="15">
        <v>42615.518206018518</v>
      </c>
      <c r="G76" s="7">
        <v>1</v>
      </c>
      <c r="H76" s="15" t="s">
        <v>280</v>
      </c>
      <c r="I76" s="15">
        <v>42615.544351851851</v>
      </c>
      <c r="J76" s="7">
        <v>1</v>
      </c>
      <c r="K76" s="132" t="str">
        <f t="shared" si="0"/>
        <v>4043/4044</v>
      </c>
      <c r="L76" s="24" t="str">
        <f>VLOOKUP(A76,'Trips&amp;Operators'!$C$1:$E$10000,3,FALSE)</f>
        <v>BONDS</v>
      </c>
      <c r="M76" s="6">
        <f t="shared" si="1"/>
        <v>2.6145833333430346E-2</v>
      </c>
      <c r="N76" s="7">
        <f t="shared" si="30"/>
        <v>37.650000000139698</v>
      </c>
      <c r="O76" s="7"/>
      <c r="P76" s="7"/>
      <c r="Q76" s="25"/>
      <c r="R76" s="25"/>
      <c r="S76" s="37">
        <f t="shared" si="2"/>
        <v>1</v>
      </c>
      <c r="T76" s="52" t="str">
        <f t="shared" si="3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https://search-rtdc-monitor-bjffxe2xuh6vdkpspy63sjmuny.us-east-1.es.amazonaws.com/_plugin/kibana/#/discover/Steve-Slow-Train-Analysis-(2080s-and-2083s)?_g=(refreshInterval:(display:Off,section:0,value:0),time:(from:'2016-09-02 11:18:57-0600',mode:absolute,to:'2016-09-02 14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6" s="54" t="str">
        <f t="shared" si="5"/>
        <v>N</v>
      </c>
      <c r="X76" s="120">
        <f t="shared" si="31"/>
        <v>1</v>
      </c>
      <c r="Y76" s="69">
        <f t="shared" si="7"/>
        <v>23.3001</v>
      </c>
      <c r="Z76" s="69">
        <f t="shared" si="8"/>
        <v>1.41E-2</v>
      </c>
      <c r="AA76" s="69">
        <f t="shared" si="9"/>
        <v>23.286000000000001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10"/>
        <v>0164-02</v>
      </c>
      <c r="AE76" s="99" t="str">
        <f t="shared" si="11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76" s="96" t="str">
        <f t="shared" si="12"/>
        <v>"C:\Program Files (x86)\AstroGrep\AstroGrep.exe" /spath="%USERPROFILE%\AppData\Local\Temp\OnboardLogs" /stypes="*4043*20160902*"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si="16"/>
        <v>"%USERPROFILE%\Documents\GitHub\eaglep3\Utilities\RefineRTDCRunTimes.py" --tripid 164-02 --locoid 4043 --swversion DE.1.0.7.0 --startMP 204:233001 --initTime 2016-09-02T12:18:57 --startdatetime 2016-09-02T12:26:13 --delay 1 --endMP 204:141 --enddatetime 2016-09-02T13:03:52 --enforcementcount 1 &gt;&gt;C:\Users\stu\Documents\GitHub\eaglep3-reporting\EC\2016-09-02-refined-times.txt</v>
      </c>
      <c r="AI76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{"issue":{"subject":"","project_id":79,"tracker_id":40,"status_id":1,"priority_id":2,"assigned_to_id":23,"start_date":"2016-09-02","description":"","custom_fields":[{"id":1,"name":"Subdivision","value":"EC"},{"id":4,"name":"Milepost","value":"23.286"},{"id":17,"name":"Train ID","value":"164-02"},{"id":16,"name":"Locomotive ID","value":"4043"},{"id":130,"name":"Impact","value":""},{"id":150,"name":"Time of Event (Mountain Time)","value":"13:03:52"},{"id":151,"name":"Denver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457</v>
      </c>
      <c r="B77" s="7">
        <v>4031</v>
      </c>
      <c r="C77" s="24" t="s">
        <v>113</v>
      </c>
      <c r="D77" s="24" t="s">
        <v>139</v>
      </c>
      <c r="E77" s="15">
        <v>42615.487581018519</v>
      </c>
      <c r="F77" s="15">
        <v>42615.489965277775</v>
      </c>
      <c r="G77" s="7">
        <v>2</v>
      </c>
      <c r="H77" s="15" t="s">
        <v>458</v>
      </c>
      <c r="I77" s="15">
        <v>42615.516840277778</v>
      </c>
      <c r="J77" s="7">
        <v>1</v>
      </c>
      <c r="K77" s="132" t="str">
        <f t="shared" ref="K77:K140" si="32">IF(ISEVEN(B77),(B77-1)&amp;"/"&amp;B77,B77&amp;"/"&amp;(B77+1))</f>
        <v>4031/4032</v>
      </c>
      <c r="L77" s="24" t="str">
        <f>VLOOKUP(A77,'Trips&amp;Operators'!$C$1:$E$10000,3,FALSE)</f>
        <v>MOSES</v>
      </c>
      <c r="M77" s="6">
        <f t="shared" ref="M77:M140" si="33">I77-F77</f>
        <v>2.6875000003201421E-2</v>
      </c>
      <c r="N77" s="7">
        <f t="shared" si="30"/>
        <v>38.700000004610047</v>
      </c>
      <c r="O77" s="7"/>
      <c r="P77" s="7"/>
      <c r="Q77" s="25"/>
      <c r="R77" s="25"/>
      <c r="S77" s="37">
        <f t="shared" ref="S77:S140" si="34">SUM(U77:U77)/IF(AG77="EC",12,1)</f>
        <v>1</v>
      </c>
      <c r="T77" s="52" t="str">
        <f t="shared" ref="T77:T140" si="35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https://search-rtdc-monitor-bjffxe2xuh6vdkpspy63sjmuny.us-east-1.es.amazonaws.com/_plugin/kibana/#/discover/Steve-Slow-Train-Analysis-(2080s-and-2083s)?_g=(refreshInterval:(display:Off,section:0,value:0),time:(from:'2016-09-02 10:42:07-0600',mode:absolute,to:'2016-09-02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7" s="54" t="str">
        <f t="shared" ref="W77:W140" si="37">IF(AA77&lt;IF(AG77="EC",23,5.65),"Y","N")</f>
        <v>N</v>
      </c>
      <c r="X77" s="120">
        <f t="shared" si="31"/>
        <v>1</v>
      </c>
      <c r="Y77" s="69">
        <f t="shared" ref="Y77:Y140" si="38">RIGHT(D77,LEN(D77)-4)/10000</f>
        <v>4.5699999999999998E-2</v>
      </c>
      <c r="Z77" s="69">
        <f t="shared" ref="Z77:Z140" si="39">RIGHT(H77,LEN(H77)-4)/10000</f>
        <v>23.332699999999999</v>
      </c>
      <c r="AA77" s="69">
        <f t="shared" ref="AA77:AA140" si="40">ABS(Z77-Y77)</f>
        <v>23.286999999999999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41">IF(LEN(A77)=6,"0"&amp;A77,A77)</f>
        <v>0165-02</v>
      </c>
      <c r="AE77" s="99" t="str">
        <f t="shared" ref="AE77:AE140" si="42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77" s="96" t="str">
        <f t="shared" ref="AF77:AF140" si="43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/stypes="*4031*20160902*" /stext=" 18:.+((SYSTEM_STATE.+slice.+state.+changed )|(ment ac)|(system.+state.+changed )|(\|lc)|(penalty)|(\[timeout)|(PRM\|1\|D)|(kpr)|(kdp))" /e /r /s</v>
      </c>
      <c r="AG77" s="1" t="str">
        <f t="shared" ref="AG77:AG140" si="44">IFERROR(IF(VALUE(LEFT(AD77,2))&lt;=2,"EC",IF(OR(VALUE(LEFT(AD77,2))=8,VALUE(LEFT(AD77,2))=18),"NW","Other")),"Other")</f>
        <v>EC</v>
      </c>
      <c r="AH77" s="100" t="str">
        <f t="shared" si="16"/>
        <v>"%USERPROFILE%\Documents\GitHub\eaglep3\Utilities\RefineRTDCRunTimes.py" --tripid 165-02 --locoid 4031 --swversion DE.1.0.7.0 --startMP 204:457 --initTime 2016-09-02T11:42:07 --startdatetime 2016-09-02T11:45:33 --delay 2 --endMP 204:233327 --enddatetime 2016-09-02T12:24:15 --enforcementcount 1 &gt;&gt;C:\Users\stu\Documents\GitHub\eaglep3-reporting\EC\2016-09-02-refined-times.txt</v>
      </c>
      <c r="AI77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{"issue":{"subject":"","project_id":79,"tracker_id":40,"status_id":1,"priority_id":2,"assigned_to_id":23,"start_date":"2016-09-02","description":"","custom_fields":[{"id":1,"name":"Subdivision","value":"EC"},{"id":4,"name":"Milepost","value":"23.287"},{"id":17,"name":"Train ID","value":"165-02"},{"id":16,"name":"Locomotive ID","value":"4031"},{"id":130,"name":"Impact","value":""},{"id":150,"name":"Time of Event (Mountain Time)","value":"12:24:15"},{"id":151,"name":"Denver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459</v>
      </c>
      <c r="B78" s="7">
        <v>4032</v>
      </c>
      <c r="C78" s="24" t="s">
        <v>113</v>
      </c>
      <c r="D78" s="24" t="s">
        <v>460</v>
      </c>
      <c r="E78" s="15">
        <v>42615.523414351854</v>
      </c>
      <c r="F78" s="15">
        <v>42615.528761574074</v>
      </c>
      <c r="G78" s="7">
        <v>2</v>
      </c>
      <c r="H78" s="15" t="s">
        <v>178</v>
      </c>
      <c r="I78" s="15">
        <v>42615.556759259256</v>
      </c>
      <c r="J78" s="7">
        <v>1</v>
      </c>
      <c r="K78" s="132" t="str">
        <f t="shared" si="32"/>
        <v>4031/4032</v>
      </c>
      <c r="L78" s="24" t="str">
        <f>VLOOKUP(A78,'Trips&amp;Operators'!$C$1:$E$10000,3,FALSE)</f>
        <v>MOSES</v>
      </c>
      <c r="M78" s="6">
        <f t="shared" si="33"/>
        <v>2.7997685181617271E-2</v>
      </c>
      <c r="N78" s="7">
        <f t="shared" si="30"/>
        <v>40.31666666152887</v>
      </c>
      <c r="O78" s="7"/>
      <c r="P78" s="7"/>
      <c r="Q78" s="25"/>
      <c r="R78" s="25"/>
      <c r="S78" s="37">
        <f t="shared" si="34"/>
        <v>1</v>
      </c>
      <c r="T78" s="52" t="str">
        <f t="shared" si="35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8" s="54" t="str">
        <f t="shared" si="37"/>
        <v>N</v>
      </c>
      <c r="X78" s="120">
        <f t="shared" si="31"/>
        <v>1</v>
      </c>
      <c r="Y78" s="69">
        <f t="shared" si="38"/>
        <v>23.3</v>
      </c>
      <c r="Z78" s="69">
        <f t="shared" si="39"/>
        <v>1.3899999999999999E-2</v>
      </c>
      <c r="AA78" s="69">
        <f t="shared" si="40"/>
        <v>23.286100000000001</v>
      </c>
      <c r="AB78" s="66">
        <f>VLOOKUP(A78,Enforcements!$C$7:$J$21,8,0)</f>
        <v>191723</v>
      </c>
      <c r="AC78" s="62" t="str">
        <f>VLOOKUP(A78,Enforcements!$C$7:$E$21,3,0)</f>
        <v>SIGNAL</v>
      </c>
      <c r="AD78" s="63" t="str">
        <f t="shared" si="41"/>
        <v>0166-02</v>
      </c>
      <c r="AE78" s="99" t="str">
        <f t="shared" si="42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78" s="96" t="str">
        <f t="shared" si="43"/>
        <v>"C:\Program Files (x86)\AstroGrep\AstroGrep.exe" /spath="%USERPROFILE%\AppData\Local\Temp\OnboardLogs" /stypes="*4032*20160902*" /stext=" 19:.+((SYSTEM_STATE.+slice.+state.+changed )|(ment ac)|(system.+state.+changed )|(\|lc)|(penalty)|(\[timeout)|(PRM\|1\|D)|(kpr)|(kdp))" /e /r /s</v>
      </c>
      <c r="AG78" s="1" t="str">
        <f t="shared" si="44"/>
        <v>EC</v>
      </c>
      <c r="AH78" s="100" t="str">
        <f t="shared" si="16"/>
        <v>"%USERPROFILE%\Documents\GitHub\eaglep3\Utilities\RefineRTDCRunTimes.py" --tripid 166-02 --locoid 4032 --swversion DE.1.0.7.0 --startMP 204:233000 --initTime 2016-09-02T12:33:43 --startdatetime 2016-09-02T12:41:25 --delay 2 --endMP 204:139 --enddatetime 2016-09-02T13:21:44 --enforcementcount 1 &gt;&gt;C:\Users\stu\Documents\GitHub\eaglep3-reporting\EC\2016-09-02-refined-times.txt</v>
      </c>
      <c r="AI78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{"issue":{"subject":"","project_id":79,"tracker_id":40,"status_id":1,"priority_id":2,"assigned_to_id":23,"start_date":"2016-09-02","description":"","custom_fields":[{"id":1,"name":"Subdivision","value":"EC"},{"id":4,"name":"Milepost","value":"23.2861"},{"id":17,"name":"Train ID","value":"166-02"},{"id":16,"name":"Locomotive ID","value":"4032"},{"id":130,"name":"Impact","value":""},{"id":150,"name":"Time of Event (Mountain Time)","value":"13:21:44"},{"id":151,"name":"Denver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461</v>
      </c>
      <c r="B79" s="7">
        <v>4053</v>
      </c>
      <c r="C79" s="24" t="s">
        <v>113</v>
      </c>
      <c r="D79" s="24" t="s">
        <v>133</v>
      </c>
      <c r="E79" s="15">
        <v>42615.495532407411</v>
      </c>
      <c r="F79" s="15">
        <v>42615.500173611108</v>
      </c>
      <c r="G79" s="7">
        <v>1</v>
      </c>
      <c r="H79" s="15" t="s">
        <v>150</v>
      </c>
      <c r="I79" s="15">
        <v>42615.525439814817</v>
      </c>
      <c r="J79" s="7">
        <v>1</v>
      </c>
      <c r="K79" s="132" t="str">
        <f t="shared" si="32"/>
        <v>4053/4054</v>
      </c>
      <c r="L79" s="24" t="str">
        <f>VLOOKUP(A79,'Trips&amp;Operators'!$C$1:$E$10000,3,FALSE)</f>
        <v>ISHMAEL</v>
      </c>
      <c r="M79" s="6">
        <f t="shared" si="33"/>
        <v>2.5266203709179536E-2</v>
      </c>
      <c r="N79" s="7">
        <f t="shared" si="30"/>
        <v>36.383333341218531</v>
      </c>
      <c r="O79" s="7"/>
      <c r="P79" s="7"/>
      <c r="Q79" s="25"/>
      <c r="R79" s="25"/>
      <c r="S79" s="37">
        <f t="shared" si="34"/>
        <v>1</v>
      </c>
      <c r="T79" s="52" t="str">
        <f t="shared" si="35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79" s="54" t="str">
        <f t="shared" si="37"/>
        <v>N</v>
      </c>
      <c r="X79" s="120">
        <f t="shared" si="31"/>
        <v>1</v>
      </c>
      <c r="Y79" s="69">
        <f t="shared" si="38"/>
        <v>4.53E-2</v>
      </c>
      <c r="Z79" s="69">
        <f t="shared" si="39"/>
        <v>23.3291</v>
      </c>
      <c r="AA79" s="69">
        <f t="shared" si="40"/>
        <v>23.283799999999999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1"/>
        <v>0167-02</v>
      </c>
      <c r="AE79" s="99" t="str">
        <f t="shared" si="42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79" s="96" t="str">
        <f t="shared" si="43"/>
        <v>"C:\Program Files (x86)\AstroGrep\AstroGrep.exe" /spath="%USERPROFILE%\AppData\Local\Temp\OnboardLogs" /stypes="*4053*20160902*" /stext=" 18:.+((SYSTEM_STATE.+slice.+state.+changed )|(ment ac)|(system.+state.+changed )|(\|lc)|(penalty)|(\[timeout)|(PRM\|1\|D)|(kpr)|(kdp))" /e /r /s</v>
      </c>
      <c r="AG79" s="1" t="str">
        <f t="shared" si="44"/>
        <v>EC</v>
      </c>
      <c r="AH79" s="100" t="str">
        <f t="shared" si="16"/>
        <v>"%USERPROFILE%\Documents\GitHub\eaglep3\Utilities\RefineRTDCRunTimes.py" --tripid 167-02 --locoid 4053 --swversion DE.1.0.7.0 --startMP 204:453 --initTime 2016-09-02T11:53:34 --startdatetime 2016-09-02T12:00:15 --delay 1 --endMP 204:233291 --enddatetime 2016-09-02T12:36:38 --enforcementcount 1 &gt;&gt;C:\Users\stu\Documents\GitHub\eaglep3-reporting\EC\2016-09-02-refined-times.txt</v>
      </c>
      <c r="AI79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ID","value":"167-02"},{"id":16,"name":"Locomotive ID","value":"4053"},{"id":130,"name":"Impact","value":""},{"id":150,"name":"Time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462</v>
      </c>
      <c r="B80" s="7">
        <v>4054</v>
      </c>
      <c r="C80" s="24" t="s">
        <v>113</v>
      </c>
      <c r="D80" s="24" t="s">
        <v>218</v>
      </c>
      <c r="E80" s="15">
        <v>42615.532002314816</v>
      </c>
      <c r="F80" s="15">
        <v>42615.539085648146</v>
      </c>
      <c r="G80" s="7">
        <v>1</v>
      </c>
      <c r="H80" s="15" t="s">
        <v>281</v>
      </c>
      <c r="I80" s="15">
        <v>42615.566712962966</v>
      </c>
      <c r="J80" s="7">
        <v>1</v>
      </c>
      <c r="K80" s="132" t="str">
        <f t="shared" si="32"/>
        <v>4053/4054</v>
      </c>
      <c r="L80" s="24" t="str">
        <f>VLOOKUP(A80,'Trips&amp;Operators'!$C$1:$E$10000,3,FALSE)</f>
        <v>ISHMAEL</v>
      </c>
      <c r="M80" s="6">
        <f t="shared" si="33"/>
        <v>2.7627314819255844E-2</v>
      </c>
      <c r="N80" s="7">
        <f t="shared" si="30"/>
        <v>39.783333339728415</v>
      </c>
      <c r="O80" s="7"/>
      <c r="P80" s="7"/>
      <c r="Q80" s="25"/>
      <c r="R80" s="25"/>
      <c r="S80" s="37">
        <f t="shared" si="34"/>
        <v>1</v>
      </c>
      <c r="T80" s="52" t="str">
        <f t="shared" si="35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11:46:05-0600',mode:absolute,to:'2016-09-02 14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80" s="54" t="str">
        <f t="shared" si="37"/>
        <v>N</v>
      </c>
      <c r="X80" s="120">
        <f t="shared" si="31"/>
        <v>1</v>
      </c>
      <c r="Y80" s="69">
        <f t="shared" si="38"/>
        <v>23.297699999999999</v>
      </c>
      <c r="Z80" s="69">
        <f t="shared" si="39"/>
        <v>1.4999999999999999E-2</v>
      </c>
      <c r="AA80" s="69">
        <f t="shared" si="40"/>
        <v>23.282699999999998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1"/>
        <v>0168-02</v>
      </c>
      <c r="AE80" s="99" t="str">
        <f t="shared" si="42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80" s="96" t="str">
        <f t="shared" si="43"/>
        <v>"C:\Program Files (x86)\AstroGrep\AstroGrep.exe" /spath="%USERPROFILE%\AppData\Local\Temp\OnboardLogs" /stypes="*4054*20160902*" /stext=" 19:.+((SYSTEM_STATE.+slice.+state.+changed )|(ment ac)|(system.+state.+changed )|(\|lc)|(penalty)|(\[timeout)|(PRM\|1\|D)|(kpr)|(kdp))" /e /r /s</v>
      </c>
      <c r="AG80" s="1" t="str">
        <f t="shared" si="44"/>
        <v>EC</v>
      </c>
      <c r="AH80" s="100" t="str">
        <f t="shared" si="16"/>
        <v>"%USERPROFILE%\Documents\GitHub\eaglep3\Utilities\RefineRTDCRunTimes.py" --tripid 168-02 --locoid 4054 --swversion DE.1.0.7.0 --startMP 204:232977 --initTime 2016-09-02T12:46:05 --startdatetime 2016-09-02T12:56:17 --delay 1 --endMP 204:150 --enddatetime 2016-09-02T13:36:04 --enforcementcount 1 &gt;&gt;C:\Users\stu\Documents\GitHub\eaglep3-reporting\EC\2016-09-02-refined-times.txt</v>
      </c>
      <c r="AI80" s="149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{"issue":{"subject":"","project_id":79,"tracker_id":40,"status_id":1,"priority_id":2,"assigned_to_id":23,"start_date":"2016-09-02","description":"","custom_fields":[{"id":1,"name":"Subdivision","value":"EC"},{"id":4,"name":"Milepost","value":"23.2827"},{"id":17,"name":"Train ID","value":"168-02"},{"id":16,"name":"Locomotive ID","value":"4054"},{"id":130,"name":"Impact","value":""},{"id":150,"name":"Time of Event (Mountain Time)","value":"13:36:04"},{"id":151,"name":"Denver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463</v>
      </c>
      <c r="B81" s="7">
        <v>4029</v>
      </c>
      <c r="C81" s="24" t="s">
        <v>113</v>
      </c>
      <c r="D81" s="24" t="s">
        <v>288</v>
      </c>
      <c r="E81" s="15">
        <v>42615.508159722223</v>
      </c>
      <c r="F81" s="15">
        <v>42615.510567129626</v>
      </c>
      <c r="G81" s="7">
        <v>1</v>
      </c>
      <c r="H81" s="15" t="s">
        <v>464</v>
      </c>
      <c r="I81" s="15">
        <v>42615.536793981482</v>
      </c>
      <c r="J81" s="7">
        <v>1</v>
      </c>
      <c r="K81" s="132" t="str">
        <f t="shared" si="32"/>
        <v>4029/4030</v>
      </c>
      <c r="L81" s="24" t="str">
        <f>VLOOKUP(A81,'Trips&amp;Operators'!$C$1:$E$10000,3,FALSE)</f>
        <v>SHOOK</v>
      </c>
      <c r="M81" s="6">
        <f t="shared" si="33"/>
        <v>2.6226851856335998E-2</v>
      </c>
      <c r="N81" s="7">
        <f t="shared" si="30"/>
        <v>37.766666673123837</v>
      </c>
      <c r="O81" s="7"/>
      <c r="P81" s="7"/>
      <c r="Q81" s="25"/>
      <c r="R81" s="25"/>
      <c r="S81" s="37">
        <f t="shared" si="34"/>
        <v>1</v>
      </c>
      <c r="T81" s="52" t="str">
        <f t="shared" si="35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11:11:45-0600',mode:absolute,to:'2016-09-02 13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1" s="54" t="str">
        <f t="shared" si="37"/>
        <v>N</v>
      </c>
      <c r="X81" s="120">
        <f t="shared" si="31"/>
        <v>1</v>
      </c>
      <c r="Y81" s="69">
        <f t="shared" si="38"/>
        <v>4.6899999999999997E-2</v>
      </c>
      <c r="Z81" s="69">
        <f t="shared" si="39"/>
        <v>23.3383</v>
      </c>
      <c r="AA81" s="69">
        <f t="shared" si="40"/>
        <v>23.291399999999999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1"/>
        <v>0169-02</v>
      </c>
      <c r="AE81" s="99" t="str">
        <f t="shared" si="42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81" s="96" t="str">
        <f t="shared" si="43"/>
        <v>"C:\Program Files (x86)\AstroGrep\AstroGrep.exe" /spath="%USERPROFILE%\AppData\Local\Temp\OnboardLogs" /stypes="*4029*20160902*" /stext=" 18:.+((SYSTEM_STATE.+slice.+state.+changed )|(ment ac)|(system.+state.+changed )|(\|lc)|(penalty)|(\[timeout)|(PRM\|1\|D)|(kpr)|(kdp))" /e /r /s</v>
      </c>
      <c r="AG81" s="1" t="str">
        <f t="shared" si="44"/>
        <v>EC</v>
      </c>
      <c r="AH81" s="100" t="str">
        <f t="shared" ref="AH81:AH145" si="45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169-02 --locoid 4029 --swversion DE.1.0.7.0 --startMP 204:469 --initTime 2016-09-02T12:11:45 --startdatetime 2016-09-02T12:15:13 --delay 1 --endMP 204:233383 --enddatetime 2016-09-02T12:52:59 --enforcementcount 1 &gt;&gt;C:\Users\stu\Documents\GitHub\eaglep3-reporting\EC\2016-09-02-refined-times.txt</v>
      </c>
      <c r="AI81" s="149" t="str">
        <f t="shared" ref="AI81:AI145" si="46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AA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{"issue":{"subject":"","project_id":79,"tracker_id":40,"status_id":1,"priority_id":2,"assigned_to_id":23,"start_date":"2016-09-02","description":"","custom_fields":[{"id":1,"name":"Subdivision","value":"EC"},{"id":4,"name":"Milepost","value":"23.2914"},{"id":17,"name":"Train ID","value":"169-02"},{"id":16,"name":"Locomotive ID","value":"4029"},{"id":130,"name":"Impact","value":""},{"id":150,"name":"Time of Event (Mountain Time)","value":"12:52:59"},{"id":151,"name":"Denver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465</v>
      </c>
      <c r="B82" s="7">
        <v>4030</v>
      </c>
      <c r="C82" s="24" t="s">
        <v>113</v>
      </c>
      <c r="D82" s="24" t="s">
        <v>314</v>
      </c>
      <c r="E82" s="15">
        <v>42615.543599537035</v>
      </c>
      <c r="F82" s="15">
        <v>42615.549479166664</v>
      </c>
      <c r="G82" s="7">
        <v>1</v>
      </c>
      <c r="H82" s="15" t="s">
        <v>178</v>
      </c>
      <c r="I82" s="15">
        <v>42615.576979166668</v>
      </c>
      <c r="J82" s="7">
        <v>1</v>
      </c>
      <c r="K82" s="132" t="str">
        <f t="shared" si="32"/>
        <v>4029/4030</v>
      </c>
      <c r="L82" s="24" t="str">
        <f>VLOOKUP(A82,'Trips&amp;Operators'!$C$1:$E$10000,3,FALSE)</f>
        <v>SHOOK</v>
      </c>
      <c r="M82" s="6">
        <f t="shared" si="33"/>
        <v>2.7500000003783498E-2</v>
      </c>
      <c r="N82" s="7">
        <f t="shared" si="30"/>
        <v>39.600000005448237</v>
      </c>
      <c r="O82" s="7"/>
      <c r="P82" s="7"/>
      <c r="Q82" s="25"/>
      <c r="R82" s="25"/>
      <c r="S82" s="37">
        <f t="shared" si="34"/>
        <v>1</v>
      </c>
      <c r="T82" s="52" t="str">
        <f t="shared" si="35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12:02:47-0600',mode:absolute,to:'2016-09-02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2" s="54" t="str">
        <f t="shared" si="37"/>
        <v>N</v>
      </c>
      <c r="X82" s="120">
        <f t="shared" si="31"/>
        <v>1</v>
      </c>
      <c r="Y82" s="69">
        <f t="shared" si="38"/>
        <v>23.303599999999999</v>
      </c>
      <c r="Z82" s="69">
        <f t="shared" si="39"/>
        <v>1.3899999999999999E-2</v>
      </c>
      <c r="AA82" s="69">
        <f t="shared" si="40"/>
        <v>23.2897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1"/>
        <v>0170-02</v>
      </c>
      <c r="AE82" s="99" t="str">
        <f t="shared" si="42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82" s="96" t="str">
        <f t="shared" si="43"/>
        <v>"C:\Program Files (x86)\AstroGrep\AstroGrep.exe" /spath="%USERPROFILE%\AppData\Local\Temp\OnboardLogs" /stypes="*4030*20160902*" /stext=" 19:.+((SYSTEM_STATE.+slice.+state.+changed )|(ment ac)|(system.+state.+changed )|(\|lc)|(penalty)|(\[timeout)|(PRM\|1\|D)|(kpr)|(kdp))" /e /r /s</v>
      </c>
      <c r="AG82" s="1" t="str">
        <f t="shared" si="44"/>
        <v>EC</v>
      </c>
      <c r="AH82" s="100" t="str">
        <f t="shared" si="45"/>
        <v>"%USERPROFILE%\Documents\GitHub\eaglep3\Utilities\RefineRTDCRunTimes.py" --tripid 170-02 --locoid 4030 --swversion DE.1.0.7.0 --startMP 204:233036 --initTime 2016-09-02T13:02:47 --startdatetime 2016-09-02T13:11:15 --delay 1 --endMP 204:139 --enddatetime 2016-09-02T13:50:51 --enforcementcount 1 &gt;&gt;C:\Users\stu\Documents\GitHub\eaglep3-reporting\EC\2016-09-02-refined-times.txt</v>
      </c>
      <c r="AI8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{"issue":{"subject":"","project_id":79,"tracker_id":40,"status_id":1,"priority_id":2,"assigned_to_id":23,"start_date":"2016-09-02","description":"","custom_fields":[{"id":1,"name":"Subdivision","value":"EC"},{"id":4,"name":"Milepost","value":"23.2897"},{"id":17,"name":"Train ID","value":"170-02"},{"id":16,"name":"Locomotive ID","value":"4030"},{"id":130,"name":"Impact","value":""},{"id":150,"name":"Time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466</v>
      </c>
      <c r="B83" s="7">
        <v>4046</v>
      </c>
      <c r="C83" s="24" t="s">
        <v>113</v>
      </c>
      <c r="D83" s="24" t="s">
        <v>317</v>
      </c>
      <c r="E83" s="15">
        <v>42615.51840277778</v>
      </c>
      <c r="F83" s="15">
        <v>42615.521724537037</v>
      </c>
      <c r="G83" s="7">
        <v>1</v>
      </c>
      <c r="H83" s="15" t="s">
        <v>319</v>
      </c>
      <c r="I83" s="15">
        <v>42615.547430555554</v>
      </c>
      <c r="J83" s="7">
        <v>1</v>
      </c>
      <c r="K83" s="132" t="str">
        <f t="shared" si="32"/>
        <v>4045/4046</v>
      </c>
      <c r="L83" s="24" t="str">
        <f>VLOOKUP(A83,'Trips&amp;Operators'!$C$1:$E$10000,3,FALSE)</f>
        <v>WEBSTER</v>
      </c>
      <c r="M83" s="6">
        <f t="shared" si="33"/>
        <v>2.5706018517666962E-2</v>
      </c>
      <c r="N83" s="7">
        <f t="shared" si="30"/>
        <v>37.016666665440425</v>
      </c>
      <c r="O83" s="7"/>
      <c r="P83" s="7"/>
      <c r="Q83" s="25"/>
      <c r="R83" s="25"/>
      <c r="S83" s="37">
        <f t="shared" si="34"/>
        <v>1</v>
      </c>
      <c r="T83" s="52" t="str">
        <f t="shared" si="35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11:26:30-0600',mode:absolute,to:'2016-09-02 14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83" s="54" t="str">
        <f t="shared" si="37"/>
        <v>N</v>
      </c>
      <c r="X83" s="120">
        <f t="shared" si="31"/>
        <v>1</v>
      </c>
      <c r="Y83" s="69">
        <f t="shared" si="38"/>
        <v>4.82E-2</v>
      </c>
      <c r="Z83" s="69">
        <f t="shared" si="39"/>
        <v>23.333600000000001</v>
      </c>
      <c r="AA83" s="69">
        <f t="shared" si="40"/>
        <v>23.285399999999999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1"/>
        <v>0171-02</v>
      </c>
      <c r="AE83" s="99" t="str">
        <f t="shared" si="42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83" s="96" t="str">
        <f t="shared" si="43"/>
        <v>"C:\Program Files (x86)\AstroGrep\AstroGrep.exe" /spath="%USERPROFILE%\AppData\Local\Temp\OnboardLogs" /stypes="*4046*20160902*" /stext=" 19:.+((SYSTEM_STATE.+slice.+state.+changed )|(ment ac)|(system.+state.+changed )|(\|lc)|(penalty)|(\[timeout)|(PRM\|1\|D)|(kpr)|(kdp))" /e /r /s</v>
      </c>
      <c r="AG83" s="1" t="str">
        <f t="shared" si="44"/>
        <v>EC</v>
      </c>
      <c r="AH83" s="100" t="str">
        <f t="shared" si="45"/>
        <v>"%USERPROFILE%\Documents\GitHub\eaglep3\Utilities\RefineRTDCRunTimes.py" --tripid 171-02 --locoid 4046 --swversion DE.1.0.7.0 --startMP 204:482 --initTime 2016-09-02T12:26:30 --startdatetime 2016-09-02T12:31:17 --delay 1 --endMP 204:233336 --enddatetime 2016-09-02T13:08:18 --enforcementcount 1 &gt;&gt;C:\Users\stu\Documents\GitHub\eaglep3-reporting\EC\2016-09-02-refined-times.txt</v>
      </c>
      <c r="AI8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{"issue":{"subject":"","project_id":79,"tracker_id":40,"status_id":1,"priority_id":2,"assigned_to_id":23,"start_date":"2016-09-02","description":"","custom_fields":[{"id":1,"name":"Subdivision","value":"EC"},{"id":4,"name":"Milepost","value":"23.2854"},{"id":17,"name":"Train ID","value":"171-02"},{"id":16,"name":"Locomotive ID","value":"4046"},{"id":130,"name":"Impact","value":""},{"id":150,"name":"Time of Event (Mountain Time)","value":"13:08:18"},{"id":151,"name":"Denver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467</v>
      </c>
      <c r="B84" s="7">
        <v>4045</v>
      </c>
      <c r="C84" s="24" t="s">
        <v>113</v>
      </c>
      <c r="D84" s="24" t="s">
        <v>309</v>
      </c>
      <c r="E84" s="15">
        <v>42615.556273148148</v>
      </c>
      <c r="F84" s="15">
        <v>42615.559942129628</v>
      </c>
      <c r="G84" s="7">
        <v>1</v>
      </c>
      <c r="H84" s="15" t="s">
        <v>166</v>
      </c>
      <c r="I84" s="15">
        <v>42615.588472222225</v>
      </c>
      <c r="J84" s="7">
        <v>1</v>
      </c>
      <c r="K84" s="132" t="str">
        <f t="shared" si="32"/>
        <v>4045/4046</v>
      </c>
      <c r="L84" s="24" t="str">
        <f>VLOOKUP(A84,'Trips&amp;Operators'!$C$1:$E$10000,3,FALSE)</f>
        <v>WEBSTER</v>
      </c>
      <c r="M84" s="6">
        <f t="shared" si="33"/>
        <v>2.8530092597065959E-2</v>
      </c>
      <c r="N84" s="7">
        <f t="shared" si="30"/>
        <v>41.083333339774981</v>
      </c>
      <c r="O84" s="7"/>
      <c r="P84" s="7"/>
      <c r="Q84" s="25"/>
      <c r="R84" s="25"/>
      <c r="S84" s="37">
        <f t="shared" si="34"/>
        <v>1</v>
      </c>
      <c r="T84" s="52" t="str">
        <f t="shared" si="35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12:21:02-0600',mode:absolute,to:'2016-09-02 15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84" s="54" t="str">
        <f t="shared" si="37"/>
        <v>N</v>
      </c>
      <c r="X84" s="120">
        <f t="shared" si="31"/>
        <v>1</v>
      </c>
      <c r="Y84" s="69">
        <f t="shared" si="38"/>
        <v>23.3005</v>
      </c>
      <c r="Z84" s="69">
        <f t="shared" si="39"/>
        <v>1.52E-2</v>
      </c>
      <c r="AA84" s="69">
        <f t="shared" si="40"/>
        <v>23.285299999999999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1"/>
        <v>0172-02</v>
      </c>
      <c r="AE84" s="99" t="str">
        <f t="shared" si="42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84" s="96" t="str">
        <f t="shared" si="43"/>
        <v>"C:\Program Files (x86)\AstroGrep\AstroGrep.exe" /spath="%USERPROFILE%\AppData\Local\Temp\OnboardLogs" /stypes="*4045*20160902*" /stext=" 20:.+((SYSTEM_STATE.+slice.+state.+changed )|(ment ac)|(system.+state.+changed )|(\|lc)|(penalty)|(\[timeout)|(PRM\|1\|D)|(kpr)|(kdp))" /e /r /s</v>
      </c>
      <c r="AG84" s="1" t="str">
        <f t="shared" si="44"/>
        <v>EC</v>
      </c>
      <c r="AH84" s="100" t="str">
        <f t="shared" si="45"/>
        <v>"%USERPROFILE%\Documents\GitHub\eaglep3\Utilities\RefineRTDCRunTimes.py" --tripid 172-02 --locoid 4045 --swversion DE.1.0.7.0 --startMP 204:233005 --initTime 2016-09-02T13:21:02 --startdatetime 2016-09-02T13:26:19 --delay 1 --endMP 204:152 --enddatetime 2016-09-02T14:07:24 --enforcementcount 1 &gt;&gt;C:\Users\stu\Documents\GitHub\eaglep3-reporting\EC\2016-09-02-refined-times.txt</v>
      </c>
      <c r="AI8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{"issue":{"subject":"","project_id":79,"tracker_id":40,"status_id":1,"priority_id":2,"assigned_to_id":23,"start_date":"2016-09-02","description":"","custom_fields":[{"id":1,"name":"Subdivision","value":"EC"},{"id":4,"name":"Milepost","value":"23.2853"},{"id":17,"name":"Train ID","value":"172-02"},{"id":16,"name":"Locomotive ID","value":"4045"},{"id":130,"name":"Impact","value":""},{"id":150,"name":"Time of Event (Mountain Time)","value":"14:07:24"},{"id":151,"name":"Denver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468</v>
      </c>
      <c r="B85" s="7">
        <v>4016</v>
      </c>
      <c r="C85" s="24" t="s">
        <v>113</v>
      </c>
      <c r="D85" s="24" t="s">
        <v>284</v>
      </c>
      <c r="E85" s="15">
        <v>42615.528564814813</v>
      </c>
      <c r="F85" s="15">
        <v>42615.531504629631</v>
      </c>
      <c r="G85" s="7">
        <v>1</v>
      </c>
      <c r="H85" s="15" t="s">
        <v>245</v>
      </c>
      <c r="I85" s="15">
        <v>42615.557071759256</v>
      </c>
      <c r="J85" s="7">
        <v>1</v>
      </c>
      <c r="K85" s="132" t="str">
        <f t="shared" si="32"/>
        <v>4015/4016</v>
      </c>
      <c r="L85" s="24" t="str">
        <f>VLOOKUP(A85,'Trips&amp;Operators'!$C$1:$E$10000,3,FALSE)</f>
        <v>STEWART</v>
      </c>
      <c r="M85" s="6">
        <f t="shared" si="33"/>
        <v>2.5567129625414964E-2</v>
      </c>
      <c r="N85" s="7">
        <f t="shared" si="30"/>
        <v>36.816666660597548</v>
      </c>
      <c r="O85" s="7"/>
      <c r="P85" s="7"/>
      <c r="Q85" s="25"/>
      <c r="R85" s="25"/>
      <c r="S85" s="37">
        <f t="shared" si="34"/>
        <v>1</v>
      </c>
      <c r="T85" s="52" t="str">
        <f t="shared" si="35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11:41:08-0600',mode:absolute,to:'2016-09-02 14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85" s="54" t="str">
        <f t="shared" si="37"/>
        <v>N</v>
      </c>
      <c r="X85" s="120">
        <f t="shared" si="31"/>
        <v>1</v>
      </c>
      <c r="Y85" s="69">
        <f t="shared" si="38"/>
        <v>4.4400000000000002E-2</v>
      </c>
      <c r="Z85" s="69">
        <f t="shared" si="39"/>
        <v>23.3308</v>
      </c>
      <c r="AA85" s="69">
        <f t="shared" si="40"/>
        <v>23.2864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1"/>
        <v>0173-02</v>
      </c>
      <c r="AE85" s="99" t="str">
        <f t="shared" si="42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85" s="96" t="str">
        <f t="shared" si="43"/>
        <v>"C:\Program Files (x86)\AstroGrep\AstroGrep.exe" /spath="%USERPROFILE%\AppData\Local\Temp\OnboardLogs" /stypes="*4016*20160902*" /stext=" 19:.+((SYSTEM_STATE.+slice.+state.+changed )|(ment ac)|(system.+state.+changed )|(\|lc)|(penalty)|(\[timeout)|(PRM\|1\|D)|(kpr)|(kdp))" /e /r /s</v>
      </c>
      <c r="AG85" s="1" t="str">
        <f t="shared" si="44"/>
        <v>EC</v>
      </c>
      <c r="AH85" s="100" t="str">
        <f t="shared" si="45"/>
        <v>"%USERPROFILE%\Documents\GitHub\eaglep3\Utilities\RefineRTDCRunTimes.py" --tripid 173-02 --locoid 4016 --swversion DE.1.0.7.0 --startMP 204:444 --initTime 2016-09-02T12:41:08 --startdatetime 2016-09-02T12:45:22 --delay 1 --endMP 204:233308 --enddatetime 2016-09-02T13:22:11 --enforcementcount 1 &gt;&gt;C:\Users\stu\Documents\GitHub\eaglep3-reporting\EC\2016-09-02-refined-times.txt</v>
      </c>
      <c r="AI8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{"issue":{"subject":"","project_id":79,"tracker_id":40,"status_id":1,"priority_id":2,"assigned_to_id":23,"start_date":"2016-09-02","description":"","custom_fields":[{"id":1,"name":"Subdivision","value":"EC"},{"id":4,"name":"Milepost","value":"23.2864"},{"id":17,"name":"Train ID","value":"173-02"},{"id":16,"name":"Locomotive ID","value":"4016"},{"id":130,"name":"Impact","value":""},{"id":150,"name":"Time of Event (Mountain Time)","value":"13:22:11"},{"id":151,"name":"Denver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469</v>
      </c>
      <c r="B86" s="7">
        <v>4015</v>
      </c>
      <c r="C86" s="24" t="s">
        <v>113</v>
      </c>
      <c r="D86" s="24" t="s">
        <v>236</v>
      </c>
      <c r="E86" s="15">
        <v>42615.567129629628</v>
      </c>
      <c r="F86" s="15">
        <v>42615.570462962962</v>
      </c>
      <c r="G86" s="7">
        <v>1</v>
      </c>
      <c r="H86" s="15" t="s">
        <v>175</v>
      </c>
      <c r="I86" s="15">
        <v>42615.599039351851</v>
      </c>
      <c r="J86" s="7">
        <v>1</v>
      </c>
      <c r="K86" s="132" t="str">
        <f t="shared" si="32"/>
        <v>4015/4016</v>
      </c>
      <c r="L86" s="24" t="str">
        <f>VLOOKUP(A86,'Trips&amp;Operators'!$C$1:$E$10000,3,FALSE)</f>
        <v>STEWART</v>
      </c>
      <c r="M86" s="6">
        <f t="shared" si="33"/>
        <v>2.8576388889632653E-2</v>
      </c>
      <c r="N86" s="7">
        <f t="shared" si="30"/>
        <v>41.150000001071021</v>
      </c>
      <c r="O86" s="7"/>
      <c r="P86" s="7"/>
      <c r="Q86" s="25"/>
      <c r="R86" s="25"/>
      <c r="S86" s="37">
        <f t="shared" si="34"/>
        <v>1</v>
      </c>
      <c r="T86" s="52" t="str">
        <f t="shared" si="35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86" s="54" t="str">
        <f t="shared" si="37"/>
        <v>N</v>
      </c>
      <c r="X86" s="120">
        <f t="shared" si="31"/>
        <v>1</v>
      </c>
      <c r="Y86" s="69">
        <f t="shared" si="38"/>
        <v>23.298500000000001</v>
      </c>
      <c r="Z86" s="69">
        <f t="shared" si="39"/>
        <v>1.6E-2</v>
      </c>
      <c r="AA86" s="69">
        <f t="shared" si="40"/>
        <v>23.282500000000002</v>
      </c>
      <c r="AB86" s="66">
        <f>VLOOKUP(A86,Enforcements!$C$7:$J$21,8,0)</f>
        <v>149700</v>
      </c>
      <c r="AC86" s="62" t="str">
        <f>VLOOKUP(A86,Enforcements!$C$7:$E$21,3,0)</f>
        <v>SIGNAL</v>
      </c>
      <c r="AD86" s="63" t="str">
        <f t="shared" si="41"/>
        <v>0174-02</v>
      </c>
      <c r="AE86" s="99" t="str">
        <f t="shared" si="42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86" s="96" t="str">
        <f t="shared" si="43"/>
        <v>"C:\Program Files (x86)\AstroGrep\AstroGrep.exe" /spath="%USERPROFILE%\AppData\Local\Temp\OnboardLogs" /stypes="*4015*20160902*" /stext=" 20:.+((SYSTEM_STATE.+slice.+state.+changed )|(ment ac)|(system.+state.+changed )|(\|lc)|(penalty)|(\[timeout)|(PRM\|1\|D)|(kpr)|(kdp))" /e /r /s</v>
      </c>
      <c r="AG86" s="1" t="str">
        <f t="shared" si="44"/>
        <v>EC</v>
      </c>
      <c r="AH86" s="100" t="str">
        <f t="shared" si="45"/>
        <v>"%USERPROFILE%\Documents\GitHub\eaglep3\Utilities\RefineRTDCRunTimes.py" --tripid 174-02 --locoid 4015 --swversion DE.1.0.7.0 --startMP 204:232985 --initTime 2016-09-02T13:36:40 --startdatetime 2016-09-02T13:41:28 --delay 1 --endMP 204:160 --enddatetime 2016-09-02T14:22:37 --enforcementcount 1 &gt;&gt;C:\Users\stu\Documents\GitHub\eaglep3-reporting\EC\2016-09-02-refined-times.txt</v>
      </c>
      <c r="AI8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{"issue":{"subject":"","project_id":79,"tracker_id":40,"status_id":1,"priority_id":2,"assigned_to_id":23,"start_date":"2016-09-02","description":"","custom_fields":[{"id":1,"name":"Subdivision","value":"EC"},{"id":4,"name":"Milepost","value":"23.2825"},{"id":17,"name":"Train ID","value":"174-02"},{"id":16,"name":"Locomotive ID","value":"4015"},{"id":130,"name":"Impact","value":""},{"id":150,"name":"Time of Event (Mountain Time)","value":"14:22:37"},{"id":151,"name":"Denver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470</v>
      </c>
      <c r="B87" s="7">
        <v>4009</v>
      </c>
      <c r="C87" s="24" t="s">
        <v>113</v>
      </c>
      <c r="D87" s="24" t="s">
        <v>397</v>
      </c>
      <c r="E87" s="15">
        <v>42615.538576388892</v>
      </c>
      <c r="F87" s="15">
        <v>42615.541886574072</v>
      </c>
      <c r="G87" s="7">
        <v>1</v>
      </c>
      <c r="H87" s="15" t="s">
        <v>238</v>
      </c>
      <c r="I87" s="15">
        <v>42615.568668981483</v>
      </c>
      <c r="J87" s="7">
        <v>1</v>
      </c>
      <c r="K87" s="132" t="str">
        <f t="shared" si="32"/>
        <v>4009/4010</v>
      </c>
      <c r="L87" s="24" t="str">
        <f>VLOOKUP(A87,'Trips&amp;Operators'!$C$1:$E$10000,3,FALSE)</f>
        <v>CLARK</v>
      </c>
      <c r="M87" s="6">
        <f t="shared" si="33"/>
        <v>2.6782407410792075E-2</v>
      </c>
      <c r="N87" s="7">
        <f t="shared" si="30"/>
        <v>38.566666671540588</v>
      </c>
      <c r="O87" s="7"/>
      <c r="P87" s="7"/>
      <c r="Q87" s="25"/>
      <c r="R87" s="25"/>
      <c r="S87" s="37">
        <f t="shared" si="34"/>
        <v>1</v>
      </c>
      <c r="T87" s="52" t="str">
        <f t="shared" si="35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11:55:33-0600',mode:absolute,to:'2016-09-02 14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7" s="54" t="str">
        <f t="shared" si="37"/>
        <v>N</v>
      </c>
      <c r="X87" s="120">
        <f t="shared" si="31"/>
        <v>1</v>
      </c>
      <c r="Y87" s="69">
        <f t="shared" si="38"/>
        <v>4.3099999999999999E-2</v>
      </c>
      <c r="Z87" s="69">
        <f t="shared" si="39"/>
        <v>23.329699999999999</v>
      </c>
      <c r="AA87" s="69">
        <f t="shared" si="40"/>
        <v>23.2866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1"/>
        <v>0175-02</v>
      </c>
      <c r="AE87" s="99" t="str">
        <f t="shared" si="42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87" s="96" t="str">
        <f t="shared" si="43"/>
        <v>"C:\Program Files (x86)\AstroGrep\AstroGrep.exe" /spath="%USERPROFILE%\AppData\Local\Temp\OnboardLogs" /stypes="*4009*20160902*" /stext=" 19:.+((SYSTEM_STATE.+slice.+state.+changed )|(ment ac)|(system.+state.+changed )|(\|lc)|(penalty)|(\[timeout)|(PRM\|1\|D)|(kpr)|(kdp))" /e /r /s</v>
      </c>
      <c r="AG87" s="1" t="str">
        <f t="shared" si="44"/>
        <v>EC</v>
      </c>
      <c r="AH87" s="100" t="str">
        <f t="shared" si="45"/>
        <v>"%USERPROFILE%\Documents\GitHub\eaglep3\Utilities\RefineRTDCRunTimes.py" --tripid 175-02 --locoid 4009 --swversion DE.1.0.7.0 --startMP 204:431 --initTime 2016-09-02T12:55:33 --startdatetime 2016-09-02T13:00:19 --delay 1 --endMP 204:233297 --enddatetime 2016-09-02T13:38:53 --enforcementcount 1 &gt;&gt;C:\Users\stu\Documents\GitHub\eaglep3-reporting\EC\2016-09-02-refined-times.txt</v>
      </c>
      <c r="AI8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{"issue":{"subject":"","project_id":79,"tracker_id":40,"status_id":1,"priority_id":2,"assigned_to_id":23,"start_date":"2016-09-02","description":"","custom_fields":[{"id":1,"name":"Subdivision","value":"EC"},{"id":4,"name":"Milepost","value":"23.2866"},{"id":17,"name":"Train ID","value":"175-02"},{"id":16,"name":"Locomotive ID","value":"4009"},{"id":130,"name":"Impact","value":""},{"id":150,"name":"Time of Event (Mountain Time)","value":"13:38:53"},{"id":151,"name":"Denver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471</v>
      </c>
      <c r="B88" s="7">
        <v>4010</v>
      </c>
      <c r="C88" s="24" t="s">
        <v>113</v>
      </c>
      <c r="D88" s="24" t="s">
        <v>242</v>
      </c>
      <c r="E88" s="15">
        <v>42615.576203703706</v>
      </c>
      <c r="F88" s="15">
        <v>42615.580717592595</v>
      </c>
      <c r="G88" s="7">
        <v>1</v>
      </c>
      <c r="H88" s="15" t="s">
        <v>89</v>
      </c>
      <c r="I88" s="15">
        <v>42615.610381944447</v>
      </c>
      <c r="J88" s="7">
        <v>1</v>
      </c>
      <c r="K88" s="132" t="str">
        <f t="shared" si="32"/>
        <v>4009/4010</v>
      </c>
      <c r="L88" s="24" t="str">
        <f>VLOOKUP(A88,'Trips&amp;Operators'!$C$1:$E$10000,3,FALSE)</f>
        <v>CLARK</v>
      </c>
      <c r="M88" s="6">
        <f t="shared" si="33"/>
        <v>2.9664351852261461E-2</v>
      </c>
      <c r="N88" s="7">
        <f t="shared" si="30"/>
        <v>42.716666667256504</v>
      </c>
      <c r="O88" s="7"/>
      <c r="P88" s="7"/>
      <c r="Q88" s="25"/>
      <c r="R88" s="25"/>
      <c r="S88" s="37">
        <f t="shared" si="34"/>
        <v>1</v>
      </c>
      <c r="T88" s="52" t="str">
        <f t="shared" si="35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12:49:44-0600',mode:absolute,to:'2016-09-02 15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8" s="54" t="str">
        <f t="shared" si="37"/>
        <v>N</v>
      </c>
      <c r="X88" s="120">
        <f t="shared" si="31"/>
        <v>1</v>
      </c>
      <c r="Y88" s="69">
        <f t="shared" si="38"/>
        <v>23.298999999999999</v>
      </c>
      <c r="Z88" s="69">
        <f t="shared" si="39"/>
        <v>1.43E-2</v>
      </c>
      <c r="AA88" s="69">
        <f t="shared" si="40"/>
        <v>23.284700000000001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1"/>
        <v>0176-02</v>
      </c>
      <c r="AE88" s="99" t="str">
        <f t="shared" si="42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88" s="96" t="str">
        <f t="shared" si="43"/>
        <v>"C:\Program Files (x86)\AstroGrep\AstroGrep.exe" /spath="%USERPROFILE%\AppData\Local\Temp\OnboardLogs" /stypes="*4010*20160902*" /stext=" 20:.+((SYSTEM_STATE.+slice.+state.+changed )|(ment ac)|(system.+state.+changed )|(\|lc)|(penalty)|(\[timeout)|(PRM\|1\|D)|(kpr)|(kdp))" /e /r /s</v>
      </c>
      <c r="AG88" s="1" t="str">
        <f t="shared" si="44"/>
        <v>EC</v>
      </c>
      <c r="AH88" s="100" t="str">
        <f t="shared" si="45"/>
        <v>"%USERPROFILE%\Documents\GitHub\eaglep3\Utilities\RefineRTDCRunTimes.py" --tripid 176-02 --locoid 4010 --swversion DE.1.0.7.0 --startMP 204:232990 --initTime 2016-09-02T13:49:44 --startdatetime 2016-09-02T13:56:14 --delay 1 --endMP 204:143 --enddatetime 2016-09-02T14:38:57 --enforcementcount 1 &gt;&gt;C:\Users\stu\Documents\GitHub\eaglep3-reporting\EC\2016-09-02-refined-times.txt</v>
      </c>
      <c r="AI8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{"issue":{"subject":"","project_id":79,"tracker_id":40,"status_id":1,"priority_id":2,"assigned_to_id":23,"start_date":"2016-09-02","description":"","custom_fields":[{"id":1,"name":"Subdivision","value":"EC"},{"id":4,"name":"Milepost","value":"23.2847"},{"id":17,"name":"Train ID","value":"176-02"},{"id":16,"name":"Locomotive ID","value":"4010"},{"id":130,"name":"Impact","value":""},{"id":150,"name":"Time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472</v>
      </c>
      <c r="B89" s="7">
        <v>4044</v>
      </c>
      <c r="C89" s="24" t="s">
        <v>113</v>
      </c>
      <c r="D89" s="24" t="s">
        <v>149</v>
      </c>
      <c r="E89" s="15">
        <v>42615.546342592592</v>
      </c>
      <c r="F89" s="15">
        <v>42615.552407407406</v>
      </c>
      <c r="G89" s="7">
        <v>1</v>
      </c>
      <c r="H89" s="15" t="s">
        <v>313</v>
      </c>
      <c r="I89" s="15">
        <v>42615.577627314815</v>
      </c>
      <c r="J89" s="7">
        <v>1</v>
      </c>
      <c r="K89" s="132" t="str">
        <f t="shared" si="32"/>
        <v>4043/4044</v>
      </c>
      <c r="L89" s="24" t="str">
        <f>VLOOKUP(A89,'Trips&amp;Operators'!$C$1:$E$10000,3,FALSE)</f>
        <v>BONDS</v>
      </c>
      <c r="M89" s="6">
        <f t="shared" si="33"/>
        <v>2.5219907409336884E-2</v>
      </c>
      <c r="N89" s="7">
        <f t="shared" si="30"/>
        <v>36.316666669445112</v>
      </c>
      <c r="O89" s="7"/>
      <c r="P89" s="7"/>
      <c r="Q89" s="25"/>
      <c r="R89" s="25"/>
      <c r="S89" s="37">
        <f t="shared" si="34"/>
        <v>1</v>
      </c>
      <c r="T89" s="52" t="str">
        <f t="shared" si="35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12:06:44-0600',mode:absolute,to:'2016-09-02 14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9" s="54" t="str">
        <f t="shared" si="37"/>
        <v>N</v>
      </c>
      <c r="X89" s="120">
        <f t="shared" si="31"/>
        <v>1</v>
      </c>
      <c r="Y89" s="69">
        <f t="shared" si="38"/>
        <v>4.5100000000000001E-2</v>
      </c>
      <c r="Z89" s="69">
        <f t="shared" si="39"/>
        <v>23.331499999999998</v>
      </c>
      <c r="AA89" s="69">
        <f t="shared" si="40"/>
        <v>23.286399999999997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1"/>
        <v>0177-02</v>
      </c>
      <c r="AE89" s="99" t="str">
        <f t="shared" si="42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89" s="96" t="str">
        <f t="shared" si="43"/>
        <v>"C:\Program Files (x86)\AstroGrep\AstroGrep.exe" /spath="%USERPROFILE%\AppData\Local\Temp\OnboardLogs" /stypes="*4044*20160902*" /stext=" 19:.+((SYSTEM_STATE.+slice.+state.+changed )|(ment ac)|(system.+state.+changed )|(\|lc)|(penalty)|(\[timeout)|(PRM\|1\|D)|(kpr)|(kdp))" /e /r /s</v>
      </c>
      <c r="AG89" s="1" t="str">
        <f t="shared" si="44"/>
        <v>EC</v>
      </c>
      <c r="AH89" s="100" t="str">
        <f t="shared" si="45"/>
        <v>"%USERPROFILE%\Documents\GitHub\eaglep3\Utilities\RefineRTDCRunTimes.py" --tripid 177-02 --locoid 4044 --swversion DE.1.0.7.0 --startMP 204:451 --initTime 2016-09-02T13:06:44 --startdatetime 2016-09-02T13:15:28 --delay 1 --endMP 204:233315 --enddatetime 2016-09-02T13:51:47 --enforcementcount 1 &gt;&gt;C:\Users\stu\Documents\GitHub\eaglep3-reporting\EC\2016-09-02-refined-times.txt</v>
      </c>
      <c r="AI8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{"issue":{"subject":"","project_id":79,"tracker_id":40,"status_id":1,"priority_id":2,"assigned_to_id":23,"start_date":"2016-09-02","description":"","custom_fields":[{"id":1,"name":"Subdivision","value":"EC"},{"id":4,"name":"Milepost","value":"23.2864"},{"id":17,"name":"Train ID","value":"177-02"},{"id":16,"name":"Locomotive ID","value":"4044"},{"id":130,"name":"Impact","value":""},{"id":150,"name":"Time of Event (Mountain Time)","value":"13:51:47"},{"id":151,"name":"Denver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473</v>
      </c>
      <c r="B90" s="7">
        <v>4043</v>
      </c>
      <c r="C90" s="24" t="s">
        <v>113</v>
      </c>
      <c r="D90" s="24" t="s">
        <v>218</v>
      </c>
      <c r="E90" s="15">
        <v>42615.58525462963</v>
      </c>
      <c r="F90" s="15">
        <v>42615.591134259259</v>
      </c>
      <c r="G90" s="7">
        <v>1</v>
      </c>
      <c r="H90" s="15" t="s">
        <v>178</v>
      </c>
      <c r="I90" s="15">
        <v>42615.617581018516</v>
      </c>
      <c r="J90" s="7">
        <v>1</v>
      </c>
      <c r="K90" s="132" t="str">
        <f t="shared" si="32"/>
        <v>4043/4044</v>
      </c>
      <c r="L90" s="24" t="str">
        <f>VLOOKUP(A90,'Trips&amp;Operators'!$C$1:$E$10000,3,FALSE)</f>
        <v>BONDS</v>
      </c>
      <c r="M90" s="6">
        <f t="shared" si="33"/>
        <v>2.6446759256941732E-2</v>
      </c>
      <c r="N90" s="7">
        <f t="shared" si="30"/>
        <v>38.083333329996094</v>
      </c>
      <c r="O90" s="7"/>
      <c r="P90" s="7"/>
      <c r="Q90" s="25"/>
      <c r="R90" s="25"/>
      <c r="S90" s="37">
        <f t="shared" si="34"/>
        <v>1</v>
      </c>
      <c r="T90" s="52" t="str">
        <f t="shared" si="35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13:02:46-0600',mode:absolute,to:'2016-09-02 15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0" s="54" t="str">
        <f t="shared" si="37"/>
        <v>N</v>
      </c>
      <c r="X90" s="120">
        <f t="shared" si="31"/>
        <v>1</v>
      </c>
      <c r="Y90" s="69">
        <f t="shared" si="38"/>
        <v>23.297699999999999</v>
      </c>
      <c r="Z90" s="69">
        <f t="shared" si="39"/>
        <v>1.3899999999999999E-2</v>
      </c>
      <c r="AA90" s="69">
        <f t="shared" si="40"/>
        <v>23.283799999999999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1"/>
        <v>0178-02</v>
      </c>
      <c r="AE90" s="99" t="str">
        <f t="shared" si="42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90" s="96" t="str">
        <f t="shared" si="43"/>
        <v>"C:\Program Files (x86)\AstroGrep\AstroGrep.exe" /spath="%USERPROFILE%\AppData\Local\Temp\OnboardLogs" /stypes="*4043*20160902*" /stext=" 20:.+((SYSTEM_STATE.+slice.+state.+changed )|(ment ac)|(system.+state.+changed )|(\|lc)|(penalty)|(\[timeout)|(PRM\|1\|D)|(kpr)|(kdp))" /e /r /s</v>
      </c>
      <c r="AG90" s="1" t="str">
        <f t="shared" si="44"/>
        <v>EC</v>
      </c>
      <c r="AH90" s="100" t="str">
        <f t="shared" si="45"/>
        <v>"%USERPROFILE%\Documents\GitHub\eaglep3\Utilities\RefineRTDCRunTimes.py" --tripid 178-02 --locoid 4043 --swversion DE.1.0.7.0 --startMP 204:232977 --initTime 2016-09-02T14:02:46 --startdatetime 2016-09-02T14:11:14 --delay 1 --endMP 204:139 --enddatetime 2016-09-02T14:49:19 --enforcementcount 1 &gt;&gt;C:\Users\stu\Documents\GitHub\eaglep3-reporting\EC\2016-09-02-refined-times.txt</v>
      </c>
      <c r="AI90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ID","value":"178-02"},{"id":16,"name":"Locomotive ID","value":"4043"},{"id":130,"name":"Impact","value":""},{"id":150,"name":"Time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474</v>
      </c>
      <c r="B91" s="7">
        <v>4031</v>
      </c>
      <c r="C91" s="24" t="s">
        <v>113</v>
      </c>
      <c r="D91" s="24" t="s">
        <v>284</v>
      </c>
      <c r="E91" s="15">
        <v>42615.55914351852</v>
      </c>
      <c r="F91" s="15">
        <v>42615.5627662037</v>
      </c>
      <c r="G91" s="7">
        <v>2</v>
      </c>
      <c r="H91" s="15" t="s">
        <v>276</v>
      </c>
      <c r="I91" s="15">
        <v>42615.589895833335</v>
      </c>
      <c r="J91" s="7">
        <v>1</v>
      </c>
      <c r="K91" s="132" t="str">
        <f t="shared" si="32"/>
        <v>4031/4032</v>
      </c>
      <c r="L91" s="24" t="str">
        <f>VLOOKUP(A91,'Trips&amp;Operators'!$C$1:$E$10000,3,FALSE)</f>
        <v>MOSES</v>
      </c>
      <c r="M91" s="6">
        <f t="shared" si="33"/>
        <v>2.7129629634146113E-2</v>
      </c>
      <c r="N91" s="7">
        <f t="shared" si="30"/>
        <v>39.066666673170403</v>
      </c>
      <c r="O91" s="7"/>
      <c r="P91" s="7"/>
      <c r="Q91" s="25"/>
      <c r="R91" s="25"/>
      <c r="S91" s="37">
        <f t="shared" si="34"/>
        <v>1</v>
      </c>
      <c r="T91" s="52" t="str">
        <f t="shared" si="35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1" s="54" t="str">
        <f t="shared" si="37"/>
        <v>N</v>
      </c>
      <c r="X91" s="120">
        <f t="shared" si="31"/>
        <v>1</v>
      </c>
      <c r="Y91" s="69">
        <f t="shared" si="38"/>
        <v>4.4400000000000002E-2</v>
      </c>
      <c r="Z91" s="69">
        <f t="shared" si="39"/>
        <v>23.330500000000001</v>
      </c>
      <c r="AA91" s="69">
        <f t="shared" si="40"/>
        <v>23.286100000000001</v>
      </c>
      <c r="AB91" s="66">
        <f>VLOOKUP(A91,Enforcements!$C$7:$J$21,8,0)</f>
        <v>126585</v>
      </c>
      <c r="AC91" s="62" t="str">
        <f>VLOOKUP(A91,Enforcements!$C$7:$E$21,3,0)</f>
        <v>SIGNAL</v>
      </c>
      <c r="AD91" s="63" t="str">
        <f t="shared" si="41"/>
        <v>0179-02</v>
      </c>
      <c r="AE91" s="99" t="str">
        <f t="shared" si="42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91" s="96" t="str">
        <f t="shared" si="43"/>
        <v>"C:\Program Files (x86)\AstroGrep\AstroGrep.exe" /spath="%USERPROFILE%\AppData\Local\Temp\OnboardLogs" /stypes="*4031*20160902*" /stext=" 20:.+((SYSTEM_STATE.+slice.+state.+changed )|(ment ac)|(system.+state.+changed )|(\|lc)|(penalty)|(\[timeout)|(PRM\|1\|D)|(kpr)|(kdp))" /e /r /s</v>
      </c>
      <c r="AG91" s="1" t="str">
        <f t="shared" si="44"/>
        <v>EC</v>
      </c>
      <c r="AH91" s="100" t="str">
        <f t="shared" si="45"/>
        <v>"%USERPROFILE%\Documents\GitHub\eaglep3\Utilities\RefineRTDCRunTimes.py" --tripid 179-02 --locoid 4031 --swversion DE.1.0.7.0 --startMP 204:444 --initTime 2016-09-02T13:25:10 --startdatetime 2016-09-02T13:30:23 --delay 2 --endMP 204:233305 --enddatetime 2016-09-02T14:09:27 --enforcementcount 1 &gt;&gt;C:\Users\stu\Documents\GitHub\eaglep3-reporting\EC\2016-09-02-refined-times.txt</v>
      </c>
      <c r="AI9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{"issue":{"subject":"","project_id":79,"tracker_id":40,"status_id":1,"priority_id":2,"assigned_to_id":23,"start_date":"2016-09-02","description":"","custom_fields":[{"id":1,"name":"Subdivision","value":"EC"},{"id":4,"name":"Milepost","value":"23.2861"},{"id":17,"name":"Train ID","value":"179-02"},{"id":16,"name":"Locomotive ID","value":"4031"},{"id":130,"name":"Impact","value":""},{"id":150,"name":"Time of Event (Mountain Time)","value":"14:09:27"},{"id":151,"name":"Denver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475</v>
      </c>
      <c r="B92" s="7">
        <v>4032</v>
      </c>
      <c r="C92" s="24" t="s">
        <v>113</v>
      </c>
      <c r="D92" s="24" t="s">
        <v>258</v>
      </c>
      <c r="E92" s="15">
        <v>42615.597719907404</v>
      </c>
      <c r="F92" s="15">
        <v>42615.601597222223</v>
      </c>
      <c r="G92" s="7">
        <v>1</v>
      </c>
      <c r="H92" s="15" t="s">
        <v>280</v>
      </c>
      <c r="I92" s="15">
        <v>42615.629189814812</v>
      </c>
      <c r="J92" s="7">
        <v>1</v>
      </c>
      <c r="K92" s="132" t="str">
        <f t="shared" si="32"/>
        <v>4031/4032</v>
      </c>
      <c r="L92" s="24" t="str">
        <f>VLOOKUP(A92,'Trips&amp;Operators'!$C$1:$E$10000,3,FALSE)</f>
        <v>MOSES</v>
      </c>
      <c r="M92" s="6">
        <f t="shared" si="33"/>
        <v>2.7592592588916887E-2</v>
      </c>
      <c r="N92" s="7">
        <f t="shared" si="30"/>
        <v>39.733333328040317</v>
      </c>
      <c r="O92" s="7"/>
      <c r="P92" s="7"/>
      <c r="Q92" s="25"/>
      <c r="R92" s="25"/>
      <c r="S92" s="37">
        <f t="shared" si="34"/>
        <v>1</v>
      </c>
      <c r="T92" s="52" t="str">
        <f t="shared" si="35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13:20:43-0600',mode:absolute,to:'2016-09-02 16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2" s="54" t="str">
        <f t="shared" si="37"/>
        <v>N</v>
      </c>
      <c r="X92" s="120">
        <f t="shared" si="31"/>
        <v>1</v>
      </c>
      <c r="Y92" s="69">
        <f t="shared" si="38"/>
        <v>23.299600000000002</v>
      </c>
      <c r="Z92" s="69">
        <f t="shared" si="39"/>
        <v>1.41E-2</v>
      </c>
      <c r="AA92" s="69">
        <f t="shared" si="40"/>
        <v>23.285500000000003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1"/>
        <v>0180-02</v>
      </c>
      <c r="AE92" s="99" t="str">
        <f t="shared" si="42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92" s="96" t="str">
        <f t="shared" si="43"/>
        <v>"C:\Program Files (x86)\AstroGrep\AstroGrep.exe" /spath="%USERPROFILE%\AppData\Local\Temp\OnboardLogs" /stypes="*4032*20160902*" /stext=" 21:.+((SYSTEM_STATE.+slice.+state.+changed )|(ment ac)|(system.+state.+changed )|(\|lc)|(penalty)|(\[timeout)|(PRM\|1\|D)|(kpr)|(kdp))" /e /r /s</v>
      </c>
      <c r="AG92" s="1" t="str">
        <f t="shared" si="44"/>
        <v>EC</v>
      </c>
      <c r="AH92" s="100" t="str">
        <f t="shared" si="45"/>
        <v>"%USERPROFILE%\Documents\GitHub\eaglep3\Utilities\RefineRTDCRunTimes.py" --tripid 180-02 --locoid 4032 --swversion DE.1.0.7.0 --startMP 204:232996 --initTime 2016-09-02T14:20:43 --startdatetime 2016-09-02T14:26:18 --delay 1 --endMP 204:141 --enddatetime 2016-09-02T15:06:02 --enforcementcount 1 &gt;&gt;C:\Users\stu\Documents\GitHub\eaglep3-reporting\EC\2016-09-02-refined-times.txt</v>
      </c>
      <c r="AI9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{"issue":{"subject":"","project_id":79,"tracker_id":40,"status_id":1,"priority_id":2,"assigned_to_id":23,"start_date":"2016-09-02","description":"","custom_fields":[{"id":1,"name":"Subdivision","value":"EC"},{"id":4,"name":"Milepost","value":"23.2855"},{"id":17,"name":"Train ID","value":"180-02"},{"id":16,"name":"Locomotive ID","value":"4032"},{"id":130,"name":"Impact","value":""},{"id":150,"name":"Time of Event (Mountain Time)","value":"15:06:02"},{"id":151,"name":"Denver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476</v>
      </c>
      <c r="B93" s="7">
        <v>4053</v>
      </c>
      <c r="C93" s="24" t="s">
        <v>113</v>
      </c>
      <c r="D93" s="24" t="s">
        <v>220</v>
      </c>
      <c r="E93" s="15">
        <v>42615.569004629629</v>
      </c>
      <c r="F93" s="15">
        <v>42615.573113425926</v>
      </c>
      <c r="G93" s="7">
        <v>1</v>
      </c>
      <c r="H93" s="15" t="s">
        <v>271</v>
      </c>
      <c r="I93" s="15">
        <v>42615.598854166667</v>
      </c>
      <c r="J93" s="7">
        <v>1</v>
      </c>
      <c r="K93" s="132" t="str">
        <f t="shared" si="32"/>
        <v>4053/4054</v>
      </c>
      <c r="L93" s="24" t="str">
        <f>VLOOKUP(A93,'Trips&amp;Operators'!$C$1:$E$10000,3,FALSE)</f>
        <v>ISHMAEL</v>
      </c>
      <c r="M93" s="6">
        <f t="shared" si="33"/>
        <v>2.5740740740729962E-2</v>
      </c>
      <c r="N93" s="7">
        <f t="shared" si="30"/>
        <v>37.066666666651145</v>
      </c>
      <c r="O93" s="7"/>
      <c r="P93" s="7"/>
      <c r="Q93" s="25"/>
      <c r="R93" s="25"/>
      <c r="S93" s="37">
        <f t="shared" si="34"/>
        <v>1</v>
      </c>
      <c r="T93" s="52" t="str">
        <f t="shared" si="35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12:39:22-0600',mode:absolute,to:'2016-09-02 15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93" s="54" t="str">
        <f t="shared" si="37"/>
        <v>N</v>
      </c>
      <c r="X93" s="120">
        <f t="shared" si="31"/>
        <v>1</v>
      </c>
      <c r="Y93" s="69">
        <f t="shared" si="38"/>
        <v>4.3799999999999999E-2</v>
      </c>
      <c r="Z93" s="69">
        <f t="shared" si="39"/>
        <v>23.330200000000001</v>
      </c>
      <c r="AA93" s="69">
        <f t="shared" si="40"/>
        <v>23.2864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1"/>
        <v>0181-02</v>
      </c>
      <c r="AE93" s="99" t="str">
        <f t="shared" si="42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93" s="96" t="str">
        <f t="shared" si="43"/>
        <v>"C:\Program Files (x86)\AstroGrep\AstroGrep.exe" /spath="%USERPROFILE%\AppData\Local\Temp\OnboardLogs" /stypes="*4053*20160902*" /stext=" 20:.+((SYSTEM_STATE.+slice.+state.+changed )|(ment ac)|(system.+state.+changed )|(\|lc)|(penalty)|(\[timeout)|(PRM\|1\|D)|(kpr)|(kdp))" /e /r /s</v>
      </c>
      <c r="AG93" s="1" t="str">
        <f t="shared" si="44"/>
        <v>EC</v>
      </c>
      <c r="AH93" s="100" t="str">
        <f t="shared" si="45"/>
        <v>"%USERPROFILE%\Documents\GitHub\eaglep3\Utilities\RefineRTDCRunTimes.py" --tripid 181-02 --locoid 4053 --swversion DE.1.0.7.0 --startMP 204:438 --initTime 2016-09-02T13:39:22 --startdatetime 2016-09-02T13:45:17 --delay 1 --endMP 204:233302 --enddatetime 2016-09-02T14:22:21 --enforcementcount 1 &gt;&gt;C:\Users\stu\Documents\GitHub\eaglep3-reporting\EC\2016-09-02-refined-times.txt</v>
      </c>
      <c r="AI9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{"issue":{"subject":"","project_id":79,"tracker_id":40,"status_id":1,"priority_id":2,"assigned_to_id":23,"start_date":"2016-09-02","description":"","custom_fields":[{"id":1,"name":"Subdivision","value":"EC"},{"id":4,"name":"Milepost","value":"23.2864"},{"id":17,"name":"Train ID","value":"181-02"},{"id":16,"name":"Locomotive ID","value":"4053"},{"id":130,"name":"Impact","value":""},{"id":150,"name":"Time of Event (Mountain Time)","value":"14:22:21"},{"id":151,"name":"Denver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477</v>
      </c>
      <c r="B94" s="7">
        <v>4054</v>
      </c>
      <c r="C94" s="24" t="s">
        <v>113</v>
      </c>
      <c r="D94" s="24" t="s">
        <v>460</v>
      </c>
      <c r="E94" s="15">
        <v>42615.60633101852</v>
      </c>
      <c r="F94" s="15">
        <v>42615.612384259257</v>
      </c>
      <c r="G94" s="7">
        <v>1</v>
      </c>
      <c r="H94" s="15" t="s">
        <v>89</v>
      </c>
      <c r="I94" s="15">
        <v>42615.639733796299</v>
      </c>
      <c r="J94" s="7">
        <v>1</v>
      </c>
      <c r="K94" s="132" t="str">
        <f t="shared" si="32"/>
        <v>4053/4054</v>
      </c>
      <c r="L94" s="24" t="str">
        <f>VLOOKUP(A94,'Trips&amp;Operators'!$C$1:$E$10000,3,FALSE)</f>
        <v>ISHMAEL</v>
      </c>
      <c r="M94" s="6">
        <f t="shared" si="33"/>
        <v>2.7349537042027805E-2</v>
      </c>
      <c r="N94" s="7">
        <f t="shared" si="30"/>
        <v>39.383333340520039</v>
      </c>
      <c r="O94" s="7"/>
      <c r="P94" s="7"/>
      <c r="Q94" s="25"/>
      <c r="R94" s="25"/>
      <c r="S94" s="37">
        <f t="shared" si="34"/>
        <v>1</v>
      </c>
      <c r="T94" s="52" t="str">
        <f t="shared" si="35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13:33:07-0600',mode:absolute,to:'2016-09-02 16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94" s="54" t="str">
        <f t="shared" si="37"/>
        <v>N</v>
      </c>
      <c r="X94" s="120">
        <f t="shared" si="31"/>
        <v>1</v>
      </c>
      <c r="Y94" s="69">
        <f t="shared" si="38"/>
        <v>23.3</v>
      </c>
      <c r="Z94" s="69">
        <f t="shared" si="39"/>
        <v>1.43E-2</v>
      </c>
      <c r="AA94" s="69">
        <f t="shared" si="40"/>
        <v>23.285700000000002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1"/>
        <v>0182-02</v>
      </c>
      <c r="AE94" s="99" t="str">
        <f t="shared" si="42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94" s="96" t="str">
        <f t="shared" si="43"/>
        <v>"C:\Program Files (x86)\AstroGrep\AstroGrep.exe" /spath="%USERPROFILE%\AppData\Local\Temp\OnboardLogs" /stypes="*4054*20160902*" /stext=" 21:.+((SYSTEM_STATE.+slice.+state.+changed )|(ment ac)|(system.+state.+changed )|(\|lc)|(penalty)|(\[timeout)|(PRM\|1\|D)|(kpr)|(kdp))" /e /r /s</v>
      </c>
      <c r="AG94" s="1" t="str">
        <f t="shared" si="44"/>
        <v>EC</v>
      </c>
      <c r="AH94" s="100" t="str">
        <f t="shared" si="45"/>
        <v>"%USERPROFILE%\Documents\GitHub\eaglep3\Utilities\RefineRTDCRunTimes.py" --tripid 182-02 --locoid 4054 --swversion DE.1.0.7.0 --startMP 204:233000 --initTime 2016-09-02T14:33:07 --startdatetime 2016-09-02T14:41:50 --delay 1 --endMP 204:143 --enddatetime 2016-09-02T15:21:13 --enforcementcount 1 &gt;&gt;C:\Users\stu\Documents\GitHub\eaglep3-reporting\EC\2016-09-02-refined-times.txt</v>
      </c>
      <c r="AI9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{"issue":{"subject":"","project_id":79,"tracker_id":40,"status_id":1,"priority_id":2,"assigned_to_id":23,"start_date":"2016-09-02","description":"","custom_fields":[{"id":1,"name":"Subdivision","value":"EC"},{"id":4,"name":"Milepost","value":"23.2857"},{"id":17,"name":"Train ID","value":"182-02"},{"id":16,"name":"Locomotive ID","value":"4054"},{"id":130,"name":"Impact","value":""},{"id":150,"name":"Time of Event (Mountain Time)","value":"15:21:13"},{"id":151,"name":"Denver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478</v>
      </c>
      <c r="B95" s="7">
        <v>4029</v>
      </c>
      <c r="C95" s="24" t="s">
        <v>113</v>
      </c>
      <c r="D95" s="24" t="s">
        <v>288</v>
      </c>
      <c r="E95" s="15">
        <v>42615.578553240739</v>
      </c>
      <c r="F95" s="15">
        <v>42615.58353009259</v>
      </c>
      <c r="G95" s="7">
        <v>1</v>
      </c>
      <c r="H95" s="15" t="s">
        <v>479</v>
      </c>
      <c r="I95" s="15">
        <v>42615.609085648146</v>
      </c>
      <c r="J95" s="7">
        <v>1</v>
      </c>
      <c r="K95" s="132" t="str">
        <f t="shared" si="32"/>
        <v>4029/4030</v>
      </c>
      <c r="L95" s="24" t="str">
        <f>VLOOKUP(A95,'Trips&amp;Operators'!$C$1:$E$10000,3,FALSE)</f>
        <v>SHOOK</v>
      </c>
      <c r="M95" s="6">
        <f t="shared" si="33"/>
        <v>2.5555555555911269E-2</v>
      </c>
      <c r="N95" s="7">
        <f t="shared" si="30"/>
        <v>36.800000000512227</v>
      </c>
      <c r="O95" s="7"/>
      <c r="P95" s="7"/>
      <c r="Q95" s="25"/>
      <c r="R95" s="25"/>
      <c r="S95" s="37">
        <f t="shared" si="34"/>
        <v>1</v>
      </c>
      <c r="T95" s="52" t="str">
        <f t="shared" si="35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12:53:07-0600',mode:absolute,to:'2016-09-02 15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5" s="54" t="str">
        <f t="shared" si="37"/>
        <v>N</v>
      </c>
      <c r="X95" s="120">
        <f t="shared" si="31"/>
        <v>1</v>
      </c>
      <c r="Y95" s="69">
        <f t="shared" si="38"/>
        <v>4.6899999999999997E-2</v>
      </c>
      <c r="Z95" s="69">
        <f t="shared" si="39"/>
        <v>23.339700000000001</v>
      </c>
      <c r="AA95" s="69">
        <f t="shared" si="40"/>
        <v>23.2928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1"/>
        <v>0183-02</v>
      </c>
      <c r="AE95" s="99" t="str">
        <f t="shared" si="42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95" s="96" t="str">
        <f t="shared" si="43"/>
        <v>"C:\Program Files (x86)\AstroGrep\AstroGrep.exe" /spath="%USERPROFILE%\AppData\Local\Temp\OnboardLogs" /stypes="*4029*20160902*" /stext=" 20:.+((SYSTEM_STATE.+slice.+state.+changed )|(ment ac)|(system.+state.+changed )|(\|lc)|(penalty)|(\[timeout)|(PRM\|1\|D)|(kpr)|(kdp))" /e /r /s</v>
      </c>
      <c r="AG95" s="1" t="str">
        <f t="shared" si="44"/>
        <v>EC</v>
      </c>
      <c r="AH95" s="100" t="str">
        <f t="shared" si="45"/>
        <v>"%USERPROFILE%\Documents\GitHub\eaglep3\Utilities\RefineRTDCRunTimes.py" --tripid 183-02 --locoid 4029 --swversion DE.1.0.7.0 --startMP 204:469 --initTime 2016-09-02T13:53:07 --startdatetime 2016-09-02T14:00:17 --delay 1 --endMP 204:233397 --enddatetime 2016-09-02T14:37:05 --enforcementcount 1 &gt;&gt;C:\Users\stu\Documents\GitHub\eaglep3-reporting\EC\2016-09-02-refined-times.txt</v>
      </c>
      <c r="AI9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{"issue":{"subject":"","project_id":79,"tracker_id":40,"status_id":1,"priority_id":2,"assigned_to_id":23,"start_date":"2016-09-02","description":"","custom_fields":[{"id":1,"name":"Subdivision","value":"EC"},{"id":4,"name":"Milepost","value":"23.2928"},{"id":17,"name":"Train ID","value":"183-02"},{"id":16,"name":"Locomotive ID","value":"4029"},{"id":130,"name":"Impact","value":""},{"id":150,"name":"Time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480</v>
      </c>
      <c r="B96" s="7">
        <v>4030</v>
      </c>
      <c r="C96" s="24" t="s">
        <v>113</v>
      </c>
      <c r="D96" s="24" t="s">
        <v>481</v>
      </c>
      <c r="E96" s="15">
        <v>42615.617986111109</v>
      </c>
      <c r="F96" s="15">
        <v>42615.622361111113</v>
      </c>
      <c r="G96" s="7">
        <v>1</v>
      </c>
      <c r="H96" s="15" t="s">
        <v>286</v>
      </c>
      <c r="I96" s="15">
        <v>42615.64947916667</v>
      </c>
      <c r="J96" s="7">
        <v>1</v>
      </c>
      <c r="K96" s="132" t="str">
        <f t="shared" si="32"/>
        <v>4029/4030</v>
      </c>
      <c r="L96" s="24" t="str">
        <f>VLOOKUP(A96,'Trips&amp;Operators'!$C$1:$E$10000,3,FALSE)</f>
        <v>SHOOK</v>
      </c>
      <c r="M96" s="6">
        <f t="shared" si="33"/>
        <v>2.7118055557366461E-2</v>
      </c>
      <c r="N96" s="7">
        <f t="shared" si="30"/>
        <v>39.050000002607703</v>
      </c>
      <c r="O96" s="7"/>
      <c r="P96" s="7"/>
      <c r="Q96" s="25"/>
      <c r="R96" s="25"/>
      <c r="S96" s="37">
        <f t="shared" si="34"/>
        <v>1</v>
      </c>
      <c r="T96" s="52" t="str">
        <f t="shared" si="35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13:49:54-0600',mode:absolute,to:'2016-09-02 16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6" s="54" t="str">
        <f t="shared" si="37"/>
        <v>N</v>
      </c>
      <c r="X96" s="120">
        <f t="shared" si="31"/>
        <v>1</v>
      </c>
      <c r="Y96" s="69">
        <f t="shared" si="38"/>
        <v>23.3049</v>
      </c>
      <c r="Z96" s="69">
        <f t="shared" si="39"/>
        <v>1.6500000000000001E-2</v>
      </c>
      <c r="AA96" s="69">
        <f t="shared" si="40"/>
        <v>23.288399999999999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1"/>
        <v>0184-02</v>
      </c>
      <c r="AE96" s="99" t="str">
        <f t="shared" si="42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96" s="96" t="str">
        <f t="shared" si="43"/>
        <v>"C:\Program Files (x86)\AstroGrep\AstroGrep.exe" /spath="%USERPROFILE%\AppData\Local\Temp\OnboardLogs" /stypes="*4030*20160902*" /stext=" 21:.+((SYSTEM_STATE.+slice.+state.+changed )|(ment ac)|(system.+state.+changed )|(\|lc)|(penalty)|(\[timeout)|(PRM\|1\|D)|(kpr)|(kdp))" /e /r /s</v>
      </c>
      <c r="AG96" s="1" t="str">
        <f t="shared" si="44"/>
        <v>EC</v>
      </c>
      <c r="AH96" s="100" t="str">
        <f t="shared" si="45"/>
        <v>"%USERPROFILE%\Documents\GitHub\eaglep3\Utilities\RefineRTDCRunTimes.py" --tripid 184-02 --locoid 4030 --swversion DE.1.0.7.0 --startMP 204:233049 --initTime 2016-09-02T14:49:54 --startdatetime 2016-09-02T14:56:12 --delay 1 --endMP 204:165 --enddatetime 2016-09-02T15:35:15 --enforcementcount 1 &gt;&gt;C:\Users\stu\Documents\GitHub\eaglep3-reporting\EC\2016-09-02-refined-times.txt</v>
      </c>
      <c r="AI9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{"issue":{"subject":"","project_id":79,"tracker_id":40,"status_id":1,"priority_id":2,"assigned_to_id":23,"start_date":"2016-09-02","description":"","custom_fields":[{"id":1,"name":"Subdivision","value":"EC"},{"id":4,"name":"Milepost","value":"23.2884"},{"id":17,"name":"Train ID","value":"184-02"},{"id":16,"name":"Locomotive ID","value":"4030"},{"id":130,"name":"Impact","value":""},{"id":150,"name":"Time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482</v>
      </c>
      <c r="B97" s="7">
        <v>4046</v>
      </c>
      <c r="C97" s="24" t="s">
        <v>113</v>
      </c>
      <c r="D97" s="24" t="s">
        <v>483</v>
      </c>
      <c r="E97" s="15">
        <v>42615.589907407404</v>
      </c>
      <c r="F97" s="15">
        <v>42615.594039351854</v>
      </c>
      <c r="G97" s="7">
        <v>1</v>
      </c>
      <c r="H97" s="15" t="s">
        <v>458</v>
      </c>
      <c r="I97" s="15">
        <v>42615.619490740741</v>
      </c>
      <c r="J97" s="7">
        <v>1</v>
      </c>
      <c r="K97" s="132" t="str">
        <f t="shared" si="32"/>
        <v>4045/4046</v>
      </c>
      <c r="L97" s="24" t="str">
        <f>VLOOKUP(A97,'Trips&amp;Operators'!$C$1:$E$10000,3,FALSE)</f>
        <v>WEBSTER</v>
      </c>
      <c r="M97" s="6">
        <f t="shared" si="33"/>
        <v>2.545138888672227E-2</v>
      </c>
      <c r="N97" s="7">
        <f t="shared" ref="N97:N129" si="47">24*60*SUM($M97:$M97)</f>
        <v>36.649999996880069</v>
      </c>
      <c r="O97" s="7"/>
      <c r="P97" s="7"/>
      <c r="Q97" s="25"/>
      <c r="R97" s="25"/>
      <c r="S97" s="37">
        <f t="shared" si="34"/>
        <v>1</v>
      </c>
      <c r="T97" s="52" t="str">
        <f t="shared" si="35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13:09:28-0600',mode:absolute,to:'2016-09-02 15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97" s="54" t="str">
        <f t="shared" si="37"/>
        <v>N</v>
      </c>
      <c r="X97" s="120">
        <f t="shared" si="31"/>
        <v>1</v>
      </c>
      <c r="Y97" s="69">
        <f t="shared" si="38"/>
        <v>4.24E-2</v>
      </c>
      <c r="Z97" s="69">
        <f t="shared" si="39"/>
        <v>23.332699999999999</v>
      </c>
      <c r="AA97" s="69">
        <f t="shared" si="40"/>
        <v>23.290299999999998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1"/>
        <v>0185-02</v>
      </c>
      <c r="AE97" s="99" t="str">
        <f t="shared" si="42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97" s="96" t="str">
        <f t="shared" si="43"/>
        <v>"C:\Program Files (x86)\AstroGrep\AstroGrep.exe" /spath="%USERPROFILE%\AppData\Local\Temp\OnboardLogs" /stypes="*4046*20160902*" /stext=" 20:.+((SYSTEM_STATE.+slice.+state.+changed )|(ment ac)|(system.+state.+changed )|(\|lc)|(penalty)|(\[timeout)|(PRM\|1\|D)|(kpr)|(kdp))" /e /r /s</v>
      </c>
      <c r="AG97" s="1" t="str">
        <f t="shared" si="44"/>
        <v>EC</v>
      </c>
      <c r="AH97" s="100" t="str">
        <f t="shared" si="45"/>
        <v>"%USERPROFILE%\Documents\GitHub\eaglep3\Utilities\RefineRTDCRunTimes.py" --tripid 185-02 --locoid 4046 --swversion DE.1.0.7.0 --startMP 204:424 --initTime 2016-09-02T14:09:28 --startdatetime 2016-09-02T14:15:25 --delay 1 --endMP 204:233327 --enddatetime 2016-09-02T14:52:04 --enforcementcount 1 &gt;&gt;C:\Users\stu\Documents\GitHub\eaglep3-reporting\EC\2016-09-02-refined-times.txt</v>
      </c>
      <c r="AI9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{"issue":{"subject":"","project_id":79,"tracker_id":40,"status_id":1,"priority_id":2,"assigned_to_id":23,"start_date":"2016-09-02","description":"","custom_fields":[{"id":1,"name":"Subdivision","value":"EC"},{"id":4,"name":"Milepost","value":"23.2903"},{"id":17,"name":"Train ID","value":"185-02"},{"id":16,"name":"Locomotive ID","value":"4046"},{"id":130,"name":"Impact","value":""},{"id":150,"name":"Time of Event (Mountain Time)","value":"14:52:04"},{"id":151,"name":"Denver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484</v>
      </c>
      <c r="B98" s="7">
        <v>4045</v>
      </c>
      <c r="C98" s="24" t="s">
        <v>113</v>
      </c>
      <c r="D98" s="24" t="s">
        <v>283</v>
      </c>
      <c r="E98" s="15">
        <v>42615.628449074073</v>
      </c>
      <c r="F98" s="15">
        <v>42615.632893518516</v>
      </c>
      <c r="G98" s="7">
        <v>1</v>
      </c>
      <c r="H98" s="15" t="s">
        <v>400</v>
      </c>
      <c r="I98" s="15">
        <v>42615.661203703705</v>
      </c>
      <c r="J98" s="7">
        <v>1</v>
      </c>
      <c r="K98" s="132" t="str">
        <f t="shared" si="32"/>
        <v>4045/4046</v>
      </c>
      <c r="L98" s="24" t="str">
        <f>VLOOKUP(A98,'Trips&amp;Operators'!$C$1:$E$10000,3,FALSE)</f>
        <v>WEBSTER</v>
      </c>
      <c r="M98" s="6">
        <f t="shared" si="33"/>
        <v>2.8310185189184267E-2</v>
      </c>
      <c r="N98" s="7">
        <f t="shared" si="47"/>
        <v>40.766666672425345</v>
      </c>
      <c r="O98" s="7"/>
      <c r="P98" s="7"/>
      <c r="Q98" s="25"/>
      <c r="R98" s="25"/>
      <c r="S98" s="37">
        <f t="shared" si="34"/>
        <v>1</v>
      </c>
      <c r="T98" s="52" t="str">
        <f t="shared" si="35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14:04:58-0600',mode:absolute,to:'2016-09-02 16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98" s="54" t="str">
        <f t="shared" si="37"/>
        <v>N</v>
      </c>
      <c r="X98" s="120">
        <f t="shared" si="31"/>
        <v>1</v>
      </c>
      <c r="Y98" s="69">
        <f t="shared" si="38"/>
        <v>23.3004</v>
      </c>
      <c r="Z98" s="69">
        <f t="shared" si="39"/>
        <v>1.3599999999999999E-2</v>
      </c>
      <c r="AA98" s="69">
        <f t="shared" si="40"/>
        <v>23.286799999999999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1"/>
        <v>0186-02</v>
      </c>
      <c r="AE98" s="99" t="str">
        <f t="shared" si="42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98" s="96" t="str">
        <f t="shared" si="43"/>
        <v>"C:\Program Files (x86)\AstroGrep\AstroGrep.exe" /spath="%USERPROFILE%\AppData\Local\Temp\OnboardLogs" /stypes="*4045*20160902*" /stext=" 21:.+((SYSTEM_STATE.+slice.+state.+changed )|(ment ac)|(system.+state.+changed )|(\|lc)|(penalty)|(\[timeout)|(PRM\|1\|D)|(kpr)|(kdp))" /e /r /s</v>
      </c>
      <c r="AG98" s="1" t="str">
        <f t="shared" si="44"/>
        <v>EC</v>
      </c>
      <c r="AH98" s="100" t="str">
        <f t="shared" si="45"/>
        <v>"%USERPROFILE%\Documents\GitHub\eaglep3\Utilities\RefineRTDCRunTimes.py" --tripid 186-02 --locoid 4045 --swversion DE.1.0.7.0 --startMP 204:233004 --initTime 2016-09-02T15:04:58 --startdatetime 2016-09-02T15:11:22 --delay 1 --endMP 204:136 --enddatetime 2016-09-02T15:52:08 --enforcementcount 1 &gt;&gt;C:\Users\stu\Documents\GitHub\eaglep3-reporting\EC\2016-09-02-refined-times.txt</v>
      </c>
      <c r="AI9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{"issue":{"subject":"","project_id":79,"tracker_id":40,"status_id":1,"priority_id":2,"assigned_to_id":23,"start_date":"2016-09-02","description":"","custom_fields":[{"id":1,"name":"Subdivision","value":"EC"},{"id":4,"name":"Milepost","value":"23.2868"},{"id":17,"name":"Train ID","value":"186-02"},{"id":16,"name":"Locomotive ID","value":"4045"},{"id":130,"name":"Impact","value":""},{"id":150,"name":"Time of Event (Mountain Time)","value":"15:52:08"},{"id":151,"name":"Denver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485</v>
      </c>
      <c r="B99" s="7">
        <v>4016</v>
      </c>
      <c r="C99" s="24" t="s">
        <v>113</v>
      </c>
      <c r="D99" s="24" t="s">
        <v>237</v>
      </c>
      <c r="E99" s="15">
        <v>42615.601643518516</v>
      </c>
      <c r="F99" s="15">
        <v>42615.604513888888</v>
      </c>
      <c r="G99" s="7">
        <v>1</v>
      </c>
      <c r="H99" s="15" t="s">
        <v>260</v>
      </c>
      <c r="I99" s="15">
        <v>42615.629907407405</v>
      </c>
      <c r="J99" s="7">
        <v>1</v>
      </c>
      <c r="K99" s="132" t="str">
        <f t="shared" si="32"/>
        <v>4015/4016</v>
      </c>
      <c r="L99" s="24" t="str">
        <f>VLOOKUP(A99,'Trips&amp;Operators'!$C$1:$E$10000,3,FALSE)</f>
        <v>STEWART</v>
      </c>
      <c r="M99" s="6">
        <f t="shared" si="33"/>
        <v>2.5393518517375924E-2</v>
      </c>
      <c r="N99" s="7">
        <f t="shared" si="47"/>
        <v>36.56666666502133</v>
      </c>
      <c r="O99" s="7"/>
      <c r="P99" s="7"/>
      <c r="Q99" s="25"/>
      <c r="R99" s="25"/>
      <c r="S99" s="37">
        <f t="shared" si="34"/>
        <v>1</v>
      </c>
      <c r="T99" s="52" t="str">
        <f t="shared" si="35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13:26:22-0600',mode:absolute,to:'2016-09-02 16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99" s="54" t="str">
        <f t="shared" si="37"/>
        <v>N</v>
      </c>
      <c r="X99" s="120">
        <f t="shared" si="31"/>
        <v>1</v>
      </c>
      <c r="Y99" s="69">
        <f t="shared" si="38"/>
        <v>4.6600000000000003E-2</v>
      </c>
      <c r="Z99" s="69">
        <f t="shared" si="39"/>
        <v>23.3307</v>
      </c>
      <c r="AA99" s="69">
        <f t="shared" si="40"/>
        <v>23.284099999999999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1"/>
        <v>0187-02</v>
      </c>
      <c r="AE99" s="99" t="str">
        <f t="shared" si="42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99" s="96" t="str">
        <f t="shared" si="43"/>
        <v>"C:\Program Files (x86)\AstroGrep\AstroGrep.exe" /spath="%USERPROFILE%\AppData\Local\Temp\OnboardLogs" /stypes="*4016*20160902*" /stext=" 21:.+((SYSTEM_STATE.+slice.+state.+changed )|(ment ac)|(system.+state.+changed )|(\|lc)|(penalty)|(\[timeout)|(PRM\|1\|D)|(kpr)|(kdp))" /e /r /s</v>
      </c>
      <c r="AG99" s="1" t="str">
        <f t="shared" si="44"/>
        <v>EC</v>
      </c>
      <c r="AH99" s="100" t="str">
        <f t="shared" si="45"/>
        <v>"%USERPROFILE%\Documents\GitHub\eaglep3\Utilities\RefineRTDCRunTimes.py" --tripid 187-02 --locoid 4016 --swversion DE.1.0.7.0 --startMP 204:466 --initTime 2016-09-02T14:26:22 --startdatetime 2016-09-02T14:30:30 --delay 1 --endMP 204:233307 --enddatetime 2016-09-02T15:07:04 --enforcementcount 1 &gt;&gt;C:\Users\stu\Documents\GitHub\eaglep3-reporting\EC\2016-09-02-refined-times.txt</v>
      </c>
      <c r="AI9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{"issue":{"subject":"","project_id":79,"tracker_id":40,"status_id":1,"priority_id":2,"assigned_to_id":23,"start_date":"2016-09-02","description":"","custom_fields":[{"id":1,"name":"Subdivision","value":"EC"},{"id":4,"name":"Milepost","value":"23.2841"},{"id":17,"name":"Train ID","value":"187-02"},{"id":16,"name":"Locomotive ID","value":"4016"},{"id":130,"name":"Impact","value":""},{"id":150,"name":"Time of Event (Mountain Time)","value":"15:07:04"},{"id":151,"name":"Denver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486</v>
      </c>
      <c r="B100" s="7">
        <v>4015</v>
      </c>
      <c r="C100" s="24" t="s">
        <v>113</v>
      </c>
      <c r="D100" s="24" t="s">
        <v>217</v>
      </c>
      <c r="E100" s="15">
        <v>42615.639270833337</v>
      </c>
      <c r="F100" s="15">
        <v>42615.643333333333</v>
      </c>
      <c r="G100" s="7">
        <v>1</v>
      </c>
      <c r="H100" s="15" t="s">
        <v>286</v>
      </c>
      <c r="I100" s="15">
        <v>42615.671678240738</v>
      </c>
      <c r="J100" s="7">
        <v>1</v>
      </c>
      <c r="K100" s="132" t="str">
        <f t="shared" si="32"/>
        <v>4015/4016</v>
      </c>
      <c r="L100" s="24" t="str">
        <f>VLOOKUP(A100,'Trips&amp;Operators'!$C$1:$E$10000,3,FALSE)</f>
        <v>STEWART</v>
      </c>
      <c r="M100" s="6">
        <f t="shared" si="33"/>
        <v>2.8344907404971309E-2</v>
      </c>
      <c r="N100" s="7">
        <f t="shared" si="47"/>
        <v>40.816666663158685</v>
      </c>
      <c r="O100" s="7"/>
      <c r="P100" s="7"/>
      <c r="Q100" s="25"/>
      <c r="R100" s="25"/>
      <c r="S100" s="37">
        <f t="shared" si="34"/>
        <v>1</v>
      </c>
      <c r="T100" s="52" t="str">
        <f t="shared" si="35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14:20:33-0600',mode:absolute,to:'2016-09-02 17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00" s="54" t="str">
        <f t="shared" si="37"/>
        <v>N</v>
      </c>
      <c r="X100" s="120">
        <f t="shared" ref="X100:X130" si="48">VALUE(LEFT(AD100,4))-VALUE(LEFT(AD99,4))</f>
        <v>1</v>
      </c>
      <c r="Y100" s="69">
        <f t="shared" si="38"/>
        <v>23.297999999999998</v>
      </c>
      <c r="Z100" s="69">
        <f t="shared" si="39"/>
        <v>1.6500000000000001E-2</v>
      </c>
      <c r="AA100" s="69">
        <f t="shared" si="40"/>
        <v>23.281499999999998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1"/>
        <v>0188-02</v>
      </c>
      <c r="AE100" s="99" t="str">
        <f t="shared" si="42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100" s="96" t="str">
        <f t="shared" si="43"/>
        <v>"C:\Program Files (x86)\AstroGrep\AstroGrep.exe" /spath="%USERPROFILE%\AppData\Local\Temp\OnboardLogs" /stypes="*4015*20160902*" /stext=" 22:.+((SYSTEM_STATE.+slice.+state.+changed )|(ment ac)|(system.+state.+changed )|(\|lc)|(penalty)|(\[timeout)|(PRM\|1\|D)|(kpr)|(kdp))" /e /r /s</v>
      </c>
      <c r="AG100" s="1" t="str">
        <f t="shared" si="44"/>
        <v>EC</v>
      </c>
      <c r="AH100" s="100" t="str">
        <f t="shared" si="45"/>
        <v>"%USERPROFILE%\Documents\GitHub\eaglep3\Utilities\RefineRTDCRunTimes.py" --tripid 188-02 --locoid 4015 --swversion DE.1.0.7.0 --startMP 204:232980 --initTime 2016-09-02T15:20:33 --startdatetime 2016-09-02T15:26:24 --delay 1 --endMP 204:165 --enddatetime 2016-09-02T16:07:13 --enforcementcount 1 &gt;&gt;C:\Users\stu\Documents\GitHub\eaglep3-reporting\EC\2016-09-02-refined-times.txt</v>
      </c>
      <c r="AI100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{"issue":{"subject":"","project_id":79,"tracker_id":40,"status_id":1,"priority_id":2,"assigned_to_id":23,"start_date":"2016-09-02","description":"","custom_fields":[{"id":1,"name":"Subdivision","value":"EC"},{"id":4,"name":"Milepost","value":"23.2815"},{"id":17,"name":"Train ID","value":"188-02"},{"id":16,"name":"Locomotive ID","value":"4015"},{"id":130,"name":"Impact","value":""},{"id":150,"name":"Time of Event (Mountain Time)","value":"16:07:13"},{"id":151,"name":"Denver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487</v>
      </c>
      <c r="B101" s="7">
        <v>4009</v>
      </c>
      <c r="C101" s="24" t="s">
        <v>113</v>
      </c>
      <c r="D101" s="24" t="s">
        <v>397</v>
      </c>
      <c r="E101" s="15">
        <v>42615.611608796295</v>
      </c>
      <c r="F101" s="15">
        <v>42615.615057870367</v>
      </c>
      <c r="G101" s="7">
        <v>1</v>
      </c>
      <c r="H101" s="15" t="s">
        <v>382</v>
      </c>
      <c r="I101" s="15">
        <v>42615.641238425924</v>
      </c>
      <c r="J101" s="7">
        <v>1</v>
      </c>
      <c r="K101" s="132" t="str">
        <f t="shared" si="32"/>
        <v>4009/4010</v>
      </c>
      <c r="L101" s="24" t="str">
        <f>VLOOKUP(A101,'Trips&amp;Operators'!$C$1:$E$10000,3,FALSE)</f>
        <v>CLARK</v>
      </c>
      <c r="M101" s="6">
        <f t="shared" si="33"/>
        <v>2.6180555556493346E-2</v>
      </c>
      <c r="N101" s="7">
        <f t="shared" si="47"/>
        <v>37.700000001350418</v>
      </c>
      <c r="O101" s="7"/>
      <c r="P101" s="7"/>
      <c r="Q101" s="25"/>
      <c r="R101" s="25"/>
      <c r="S101" s="37">
        <f t="shared" si="34"/>
        <v>1</v>
      </c>
      <c r="T101" s="52" t="str">
        <f t="shared" si="35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13:40:43-0600',mode:absolute,to:'2016-09-02 16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1" s="54" t="str">
        <f t="shared" si="37"/>
        <v>N</v>
      </c>
      <c r="X101" s="120">
        <f t="shared" si="48"/>
        <v>1</v>
      </c>
      <c r="Y101" s="69">
        <f t="shared" si="38"/>
        <v>4.3099999999999999E-2</v>
      </c>
      <c r="Z101" s="69">
        <f t="shared" si="39"/>
        <v>23.332100000000001</v>
      </c>
      <c r="AA101" s="69">
        <f t="shared" si="40"/>
        <v>23.289000000000001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1"/>
        <v>0189-02</v>
      </c>
      <c r="AE101" s="99" t="str">
        <f t="shared" si="42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101" s="96" t="str">
        <f t="shared" si="43"/>
        <v>"C:\Program Files (x86)\AstroGrep\AstroGrep.exe" /spath="%USERPROFILE%\AppData\Local\Temp\OnboardLogs" /stypes="*4009*20160902*" /stext=" 21:.+((SYSTEM_STATE.+slice.+state.+changed )|(ment ac)|(system.+state.+changed )|(\|lc)|(penalty)|(\[timeout)|(PRM\|1\|D)|(kpr)|(kdp))" /e /r /s</v>
      </c>
      <c r="AG101" s="1" t="str">
        <f t="shared" si="44"/>
        <v>EC</v>
      </c>
      <c r="AH101" s="100" t="str">
        <f t="shared" si="45"/>
        <v>"%USERPROFILE%\Documents\GitHub\eaglep3\Utilities\RefineRTDCRunTimes.py" --tripid 189-02 --locoid 4009 --swversion DE.1.0.7.0 --startMP 204:431 --initTime 2016-09-02T14:40:43 --startdatetime 2016-09-02T14:45:41 --delay 1 --endMP 204:233321 --enddatetime 2016-09-02T15:23:23 --enforcementcount 1 &gt;&gt;C:\Users\stu\Documents\GitHub\eaglep3-reporting\EC\2016-09-02-refined-times.txt</v>
      </c>
      <c r="AI10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{"issue":{"subject":"","project_id":79,"tracker_id":40,"status_id":1,"priority_id":2,"assigned_to_id":23,"start_date":"2016-09-02","description":"","custom_fields":[{"id":1,"name":"Subdivision","value":"EC"},{"id":4,"name":"Milepost","value":"23.289"},{"id":17,"name":"Train ID","value":"189-02"},{"id":16,"name":"Locomotive ID","value":"4009"},{"id":130,"name":"Impact","value":""},{"id":150,"name":"Time of Event (Mountain Time)","value":"15:23:23"},{"id":151,"name":"Denver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488</v>
      </c>
      <c r="B102" s="7">
        <v>4010</v>
      </c>
      <c r="C102" s="24" t="s">
        <v>113</v>
      </c>
      <c r="D102" s="24" t="s">
        <v>460</v>
      </c>
      <c r="E102" s="15">
        <v>42615.647534722222</v>
      </c>
      <c r="F102" s="15">
        <v>42615.653634259259</v>
      </c>
      <c r="G102" s="7">
        <v>1</v>
      </c>
      <c r="H102" s="15" t="s">
        <v>175</v>
      </c>
      <c r="I102" s="15">
        <v>42615.684537037036</v>
      </c>
      <c r="J102" s="7">
        <v>1</v>
      </c>
      <c r="K102" s="132" t="str">
        <f t="shared" si="32"/>
        <v>4009/4010</v>
      </c>
      <c r="L102" s="24" t="str">
        <f>VLOOKUP(A102,'Trips&amp;Operators'!$C$1:$E$10000,3,FALSE)</f>
        <v>CLARK</v>
      </c>
      <c r="M102" s="6">
        <f t="shared" si="33"/>
        <v>3.0902777776645962E-2</v>
      </c>
      <c r="N102" s="7">
        <f t="shared" si="47"/>
        <v>44.499999998370185</v>
      </c>
      <c r="O102" s="7"/>
      <c r="P102" s="7"/>
      <c r="Q102" s="25"/>
      <c r="R102" s="25"/>
      <c r="S102" s="37">
        <f t="shared" si="34"/>
        <v>1</v>
      </c>
      <c r="T102" s="52" t="str">
        <f t="shared" si="35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14:32:27-0600',mode:absolute,to:'2016-09-02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2" s="54" t="str">
        <f t="shared" si="37"/>
        <v>N</v>
      </c>
      <c r="X102" s="120">
        <f t="shared" si="48"/>
        <v>1</v>
      </c>
      <c r="Y102" s="69">
        <f t="shared" si="38"/>
        <v>23.3</v>
      </c>
      <c r="Z102" s="69">
        <f t="shared" si="39"/>
        <v>1.6E-2</v>
      </c>
      <c r="AA102" s="69">
        <f t="shared" si="40"/>
        <v>23.284000000000002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41"/>
        <v>0190-02</v>
      </c>
      <c r="AE102" s="99" t="str">
        <f t="shared" si="42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102" s="96" t="str">
        <f t="shared" si="43"/>
        <v>"C:\Program Files (x86)\AstroGrep\AstroGrep.exe" /spath="%USERPROFILE%\AppData\Local\Temp\OnboardLogs" /stypes="*4010*20160902*" /stext=" 22:.+((SYSTEM_STATE.+slice.+state.+changed )|(ment ac)|(system.+state.+changed )|(\|lc)|(penalty)|(\[timeout)|(PRM\|1\|D)|(kpr)|(kdp))" /e /r /s</v>
      </c>
      <c r="AG102" s="1" t="str">
        <f t="shared" si="44"/>
        <v>EC</v>
      </c>
      <c r="AH102" s="100" t="str">
        <f t="shared" si="45"/>
        <v>"%USERPROFILE%\Documents\GitHub\eaglep3\Utilities\RefineRTDCRunTimes.py" --tripid 190-02 --locoid 4010 --swversion DE.1.0.7.0 --startMP 204:233000 --initTime 2016-09-02T15:32:27 --startdatetime 2016-09-02T15:41:14 --delay 1 --endMP 204:160 --enddatetime 2016-09-02T16:25:44 --enforcementcount 1 &gt;&gt;C:\Users\stu\Documents\GitHub\eaglep3-reporting\EC\2016-09-02-refined-times.txt</v>
      </c>
      <c r="AI10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{"issue":{"subject":"","project_id":79,"tracker_id":40,"status_id":1,"priority_id":2,"assigned_to_id":23,"start_date":"2016-09-02","description":"","custom_fields":[{"id":1,"name":"Subdivision","value":"EC"},{"id":4,"name":"Milepost","value":"23.284"},{"id":17,"name":"Train ID","value":"190-02"},{"id":16,"name":"Locomotive ID","value":"4010"},{"id":130,"name":"Impact","value":""},{"id":150,"name":"Time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489</v>
      </c>
      <c r="B103" s="7">
        <v>4044</v>
      </c>
      <c r="C103" s="24" t="s">
        <v>113</v>
      </c>
      <c r="D103" s="24" t="s">
        <v>246</v>
      </c>
      <c r="E103" s="15">
        <v>42615.619513888887</v>
      </c>
      <c r="F103" s="15">
        <v>42615.625335648147</v>
      </c>
      <c r="G103" s="7">
        <v>1</v>
      </c>
      <c r="H103" s="15" t="s">
        <v>273</v>
      </c>
      <c r="I103" s="15">
        <v>42615.650856481479</v>
      </c>
      <c r="J103" s="7">
        <v>1</v>
      </c>
      <c r="K103" s="132" t="str">
        <f t="shared" si="32"/>
        <v>4043/4044</v>
      </c>
      <c r="L103" s="24" t="str">
        <f>VLOOKUP(A103,'Trips&amp;Operators'!$C$1:$E$10000,3,FALSE)</f>
        <v>BONDS</v>
      </c>
      <c r="M103" s="6">
        <f t="shared" si="33"/>
        <v>2.5520833332848269E-2</v>
      </c>
      <c r="N103" s="7">
        <f t="shared" si="47"/>
        <v>36.749999999301508</v>
      </c>
      <c r="O103" s="7"/>
      <c r="P103" s="7"/>
      <c r="Q103" s="25"/>
      <c r="R103" s="25"/>
      <c r="S103" s="37">
        <f t="shared" si="34"/>
        <v>1</v>
      </c>
      <c r="T103" s="52" t="str">
        <f t="shared" si="35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13:52:06-0600',mode:absolute,to:'2016-09-02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3" s="54" t="str">
        <f t="shared" si="37"/>
        <v>N</v>
      </c>
      <c r="X103" s="120">
        <f t="shared" si="48"/>
        <v>1</v>
      </c>
      <c r="Y103" s="69">
        <f t="shared" si="38"/>
        <v>4.4200000000000003E-2</v>
      </c>
      <c r="Z103" s="69">
        <f t="shared" si="39"/>
        <v>23.3309</v>
      </c>
      <c r="AA103" s="69">
        <f t="shared" si="40"/>
        <v>23.2867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1"/>
        <v>0191-02</v>
      </c>
      <c r="AE103" s="99" t="str">
        <f t="shared" si="42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03" s="96" t="str">
        <f t="shared" si="43"/>
        <v>"C:\Program Files (x86)\AstroGrep\AstroGrep.exe" /spath="%USERPROFILE%\AppData\Local\Temp\OnboardLogs" /stypes="*4044*20160902*" /stext=" 21:.+((SYSTEM_STATE.+slice.+state.+changed )|(ment ac)|(system.+state.+changed )|(\|lc)|(penalty)|(\[timeout)|(PRM\|1\|D)|(kpr)|(kdp))" /e /r /s</v>
      </c>
      <c r="AG103" s="1" t="str">
        <f t="shared" si="44"/>
        <v>EC</v>
      </c>
      <c r="AH103" s="100" t="str">
        <f t="shared" si="45"/>
        <v>"%USERPROFILE%\Documents\GitHub\eaglep3\Utilities\RefineRTDCRunTimes.py" --tripid 191-02 --locoid 4044 --swversion DE.1.0.7.0 --startMP 204:442 --initTime 2016-09-02T14:52:06 --startdatetime 2016-09-02T15:00:29 --delay 1 --endMP 204:233309 --enddatetime 2016-09-02T15:37:14 --enforcementcount 1 &gt;&gt;C:\Users\stu\Documents\GitHub\eaglep3-reporting\EC\2016-09-02-refined-times.txt</v>
      </c>
      <c r="AI10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{"issue":{"subject":"","project_id":79,"tracker_id":40,"status_id":1,"priority_id":2,"assigned_to_id":23,"start_date":"2016-09-02","description":"","custom_fields":[{"id":1,"name":"Subdivision","value":"EC"},{"id":4,"name":"Milepost","value":"23.2867"},{"id":17,"name":"Train ID","value":"191-02"},{"id":16,"name":"Locomotive ID","value":"4044"},{"id":130,"name":"Impact","value":""},{"id":150,"name":"Time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490</v>
      </c>
      <c r="B104" s="7">
        <v>4043</v>
      </c>
      <c r="C104" s="24" t="s">
        <v>113</v>
      </c>
      <c r="D104" s="24" t="s">
        <v>312</v>
      </c>
      <c r="E104" s="15">
        <v>42615.653067129628</v>
      </c>
      <c r="F104" s="15">
        <v>42615.6641087963</v>
      </c>
      <c r="G104" s="7">
        <v>1</v>
      </c>
      <c r="H104" s="15" t="s">
        <v>400</v>
      </c>
      <c r="I104" s="15">
        <v>42615.692326388889</v>
      </c>
      <c r="J104" s="7">
        <v>1</v>
      </c>
      <c r="K104" s="132" t="str">
        <f t="shared" si="32"/>
        <v>4043/4044</v>
      </c>
      <c r="L104" s="24" t="str">
        <f>VLOOKUP(A104,'Trips&amp;Operators'!$C$1:$E$10000,3,FALSE)</f>
        <v>BONDS</v>
      </c>
      <c r="M104" s="6">
        <f t="shared" si="33"/>
        <v>2.8217592589498963E-2</v>
      </c>
      <c r="N104" s="7">
        <f t="shared" si="47"/>
        <v>40.633333328878507</v>
      </c>
      <c r="O104" s="7"/>
      <c r="P104" s="7"/>
      <c r="Q104" s="25"/>
      <c r="R104" s="25"/>
      <c r="S104" s="37">
        <f t="shared" si="34"/>
        <v>1</v>
      </c>
      <c r="T104" s="52" t="str">
        <f t="shared" si="35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14:40:25-0600',mode:absolute,to:'2016-09-02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4" s="54" t="str">
        <f t="shared" si="37"/>
        <v>N</v>
      </c>
      <c r="X104" s="120">
        <f t="shared" si="48"/>
        <v>1</v>
      </c>
      <c r="Y104" s="69">
        <f t="shared" si="38"/>
        <v>23.298400000000001</v>
      </c>
      <c r="Z104" s="69">
        <f t="shared" si="39"/>
        <v>1.3599999999999999E-2</v>
      </c>
      <c r="AA104" s="69">
        <f t="shared" si="40"/>
        <v>23.284800000000001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1"/>
        <v>0192-02</v>
      </c>
      <c r="AE104" s="99" t="str">
        <f t="shared" si="42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104" s="96" t="str">
        <f t="shared" si="43"/>
        <v>"C:\Program Files (x86)\AstroGrep\AstroGrep.exe" /spath="%USERPROFILE%\AppData\Local\Temp\OnboardLogs" /stypes="*4043*20160902*" /stext=" 22:.+((SYSTEM_STATE.+slice.+state.+changed )|(ment ac)|(system.+state.+changed )|(\|lc)|(penalty)|(\[timeout)|(PRM\|1\|D)|(kpr)|(kdp))" /e /r /s</v>
      </c>
      <c r="AG104" s="1" t="str">
        <f t="shared" si="44"/>
        <v>EC</v>
      </c>
      <c r="AH104" s="100" t="str">
        <f t="shared" si="45"/>
        <v>"%USERPROFILE%\Documents\GitHub\eaglep3\Utilities\RefineRTDCRunTimes.py" --tripid 192-02 --locoid 4043 --swversion DE.1.0.7.0 --startMP 204:232984 --initTime 2016-09-02T15:40:25 --startdatetime 2016-09-02T15:56:19 --delay 1 --endMP 204:136 --enddatetime 2016-09-02T16:36:57 --enforcementcount 1 &gt;&gt;C:\Users\stu\Documents\GitHub\eaglep3-reporting\EC\2016-09-02-refined-times.txt</v>
      </c>
      <c r="AI10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{"issue":{"subject":"","project_id":79,"tracker_id":40,"status_id":1,"priority_id":2,"assigned_to_id":23,"start_date":"2016-09-02","description":"","custom_fields":[{"id":1,"name":"Subdivision","value":"EC"},{"id":4,"name":"Milepost","value":"23.2848"},{"id":17,"name":"Train ID","value":"192-02"},{"id":16,"name":"Locomotive ID","value":"4043"},{"id":130,"name":"Impact","value":""},{"id":150,"name":"Time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491</v>
      </c>
      <c r="B105" s="7">
        <v>4031</v>
      </c>
      <c r="C105" s="24" t="s">
        <v>113</v>
      </c>
      <c r="D105" s="24" t="s">
        <v>492</v>
      </c>
      <c r="E105" s="15">
        <v>42615.632893518516</v>
      </c>
      <c r="F105" s="15">
        <v>42615.635636574072</v>
      </c>
      <c r="G105" s="7">
        <v>1</v>
      </c>
      <c r="H105" s="15" t="s">
        <v>245</v>
      </c>
      <c r="I105" s="15">
        <v>42615.662314814814</v>
      </c>
      <c r="J105" s="7">
        <v>1</v>
      </c>
      <c r="K105" s="132" t="str">
        <f t="shared" si="32"/>
        <v>4031/4032</v>
      </c>
      <c r="L105" s="24" t="str">
        <f>VLOOKUP(A105,'Trips&amp;Operators'!$C$1:$E$10000,3,FALSE)</f>
        <v>MOSES</v>
      </c>
      <c r="M105" s="6">
        <f t="shared" si="33"/>
        <v>2.6678240741603076E-2</v>
      </c>
      <c r="N105" s="7">
        <f t="shared" si="47"/>
        <v>38.41666666790843</v>
      </c>
      <c r="O105" s="7"/>
      <c r="P105" s="7"/>
      <c r="Q105" s="25"/>
      <c r="R105" s="25"/>
      <c r="S105" s="37">
        <f t="shared" si="34"/>
        <v>1</v>
      </c>
      <c r="T105" s="52" t="str">
        <f t="shared" si="35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14:11:22-0600',mode:absolute,to:'2016-09-02 16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5" s="54" t="str">
        <f t="shared" si="37"/>
        <v>N</v>
      </c>
      <c r="X105" s="120">
        <f t="shared" si="48"/>
        <v>1</v>
      </c>
      <c r="Y105" s="69">
        <f t="shared" si="38"/>
        <v>4.3999999999999997E-2</v>
      </c>
      <c r="Z105" s="69">
        <f t="shared" si="39"/>
        <v>23.3308</v>
      </c>
      <c r="AA105" s="69">
        <f t="shared" si="40"/>
        <v>23.286799999999999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1"/>
        <v>0193-02</v>
      </c>
      <c r="AE105" s="99" t="str">
        <f t="shared" si="42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105" s="96" t="str">
        <f t="shared" si="43"/>
        <v>"C:\Program Files (x86)\AstroGrep\AstroGrep.exe" /spath="%USERPROFILE%\AppData\Local\Temp\OnboardLogs" /stypes="*4031*20160902*" /stext=" 21:.+((SYSTEM_STATE.+slice.+state.+changed )|(ment ac)|(system.+state.+changed )|(\|lc)|(penalty)|(\[timeout)|(PRM\|1\|D)|(kpr)|(kdp))" /e /r /s</v>
      </c>
      <c r="AG105" s="1" t="str">
        <f t="shared" si="44"/>
        <v>EC</v>
      </c>
      <c r="AH105" s="100" t="str">
        <f t="shared" si="45"/>
        <v>"%USERPROFILE%\Documents\GitHub\eaglep3\Utilities\RefineRTDCRunTimes.py" --tripid 193-02 --locoid 4031 --swversion DE.1.0.7.0 --startMP 204:440 --initTime 2016-09-02T15:11:22 --startdatetime 2016-09-02T15:15:19 --delay 1 --endMP 204:233308 --enddatetime 2016-09-02T15:53:44 --enforcementcount 1 &gt;&gt;C:\Users\stu\Documents\GitHub\eaglep3-reporting\EC\2016-09-02-refined-times.txt</v>
      </c>
      <c r="AI10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{"issue":{"subject":"","project_id":79,"tracker_id":40,"status_id":1,"priority_id":2,"assigned_to_id":23,"start_date":"2016-09-02","description":"","custom_fields":[{"id":1,"name":"Subdivision","value":"EC"},{"id":4,"name":"Milepost","value":"23.2868"},{"id":17,"name":"Train ID","value":"193-02"},{"id":16,"name":"Locomotive ID","value":"4031"},{"id":130,"name":"Impact","value":""},{"id":150,"name":"Time of Event (Mountain Time)","value":"15:53:44"},{"id":151,"name":"Denver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493</v>
      </c>
      <c r="B106" s="7">
        <v>4032</v>
      </c>
      <c r="C106" s="24" t="s">
        <v>113</v>
      </c>
      <c r="D106" s="24" t="s">
        <v>318</v>
      </c>
      <c r="E106" s="15">
        <v>42615.671400462961</v>
      </c>
      <c r="F106" s="15">
        <v>42615.67459490741</v>
      </c>
      <c r="G106" s="7">
        <v>1</v>
      </c>
      <c r="H106" s="15" t="s">
        <v>277</v>
      </c>
      <c r="I106" s="15">
        <v>42615.701967592591</v>
      </c>
      <c r="J106" s="7">
        <v>1</v>
      </c>
      <c r="K106" s="132" t="str">
        <f t="shared" si="32"/>
        <v>4031/4032</v>
      </c>
      <c r="L106" s="24" t="str">
        <f>VLOOKUP(A106,'Trips&amp;Operators'!$C$1:$E$10000,3,FALSE)</f>
        <v>MOSES</v>
      </c>
      <c r="M106" s="6">
        <f t="shared" si="33"/>
        <v>2.7372685181035195E-2</v>
      </c>
      <c r="N106" s="7">
        <f t="shared" si="47"/>
        <v>39.41666666069068</v>
      </c>
      <c r="O106" s="7"/>
      <c r="P106" s="7"/>
      <c r="Q106" s="25"/>
      <c r="R106" s="25"/>
      <c r="S106" s="37">
        <f t="shared" si="34"/>
        <v>1</v>
      </c>
      <c r="T106" s="52" t="str">
        <f t="shared" si="35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15:06:49-0600',mode:absolute,to:'2016-09-02 17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6" s="54" t="str">
        <f t="shared" si="37"/>
        <v>N</v>
      </c>
      <c r="X106" s="120">
        <f t="shared" si="48"/>
        <v>1</v>
      </c>
      <c r="Y106" s="69">
        <f t="shared" si="38"/>
        <v>23.299800000000001</v>
      </c>
      <c r="Z106" s="69">
        <f t="shared" si="39"/>
        <v>1.38E-2</v>
      </c>
      <c r="AA106" s="69">
        <f t="shared" si="40"/>
        <v>23.286000000000001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1"/>
        <v>0194-02</v>
      </c>
      <c r="AE106" s="99" t="str">
        <f t="shared" si="42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106" s="96" t="str">
        <f t="shared" si="43"/>
        <v>"C:\Program Files (x86)\AstroGrep\AstroGrep.exe" /spath="%USERPROFILE%\AppData\Local\Temp\OnboardLogs" /stypes="*4032*20160902*" /stext=" 22:.+((SYSTEM_STATE.+slice.+state.+changed )|(ment ac)|(system.+state.+changed )|(\|lc)|(penalty)|(\[timeout)|(PRM\|1\|D)|(kpr)|(kdp))" /e /r /s</v>
      </c>
      <c r="AG106" s="1" t="str">
        <f t="shared" si="44"/>
        <v>EC</v>
      </c>
      <c r="AH106" s="100" t="str">
        <f t="shared" si="45"/>
        <v>"%USERPROFILE%\Documents\GitHub\eaglep3\Utilities\RefineRTDCRunTimes.py" --tripid 194-02 --locoid 4032 --swversion DE.1.0.7.0 --startMP 204:232998 --initTime 2016-09-02T16:06:49 --startdatetime 2016-09-02T16:11:25 --delay 1 --endMP 204:138 --enddatetime 2016-09-02T16:50:50 --enforcementcount 1 &gt;&gt;C:\Users\stu\Documents\GitHub\eaglep3-reporting\EC\2016-09-02-refined-times.txt</v>
      </c>
      <c r="AI10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{"issue":{"subject":"","project_id":79,"tracker_id":40,"status_id":1,"priority_id":2,"assigned_to_id":23,"start_date":"2016-09-02","description":"","custom_fields":[{"id":1,"name":"Subdivision","value":"EC"},{"id":4,"name":"Milepost","value":"23.286"},{"id":17,"name":"Train ID","value":"194-02"},{"id":16,"name":"Locomotive ID","value":"4032"},{"id":130,"name":"Impact","value":""},{"id":150,"name":"Time of Event (Mountain Time)","value":"16:50:50"},{"id":151,"name":"Denver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494</v>
      </c>
      <c r="B107" s="7">
        <v>4053</v>
      </c>
      <c r="C107" s="24" t="s">
        <v>113</v>
      </c>
      <c r="D107" s="24" t="s">
        <v>149</v>
      </c>
      <c r="E107" s="15">
        <v>42615.642777777779</v>
      </c>
      <c r="F107" s="15">
        <v>42615.649456018517</v>
      </c>
      <c r="G107" s="7">
        <v>1</v>
      </c>
      <c r="H107" s="15" t="s">
        <v>495</v>
      </c>
      <c r="I107" s="15">
        <v>42615.67732638889</v>
      </c>
      <c r="J107" s="7">
        <v>1</v>
      </c>
      <c r="K107" s="132" t="str">
        <f t="shared" si="32"/>
        <v>4053/4054</v>
      </c>
      <c r="L107" s="24" t="str">
        <f>VLOOKUP(A107,'Trips&amp;Operators'!$C$1:$E$10000,3,FALSE)</f>
        <v>ISHMAEL</v>
      </c>
      <c r="M107" s="6">
        <f t="shared" si="33"/>
        <v>2.7870370373420883E-2</v>
      </c>
      <c r="N107" s="7">
        <f t="shared" si="47"/>
        <v>40.133333337726071</v>
      </c>
      <c r="O107" s="7"/>
      <c r="P107" s="7"/>
      <c r="Q107" s="25"/>
      <c r="R107" s="25"/>
      <c r="S107" s="37">
        <f t="shared" si="34"/>
        <v>1</v>
      </c>
      <c r="T107" s="52" t="str">
        <f t="shared" si="35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14:25:36-0600',mode:absolute,to:'2016-09-02 17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107" s="54" t="str">
        <f t="shared" si="37"/>
        <v>N</v>
      </c>
      <c r="X107" s="120">
        <f t="shared" si="48"/>
        <v>1</v>
      </c>
      <c r="Y107" s="69">
        <f t="shared" si="38"/>
        <v>4.5100000000000001E-2</v>
      </c>
      <c r="Z107" s="69">
        <f t="shared" si="39"/>
        <v>23.3261</v>
      </c>
      <c r="AA107" s="69">
        <f t="shared" si="40"/>
        <v>23.280999999999999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1"/>
        <v>0195-02</v>
      </c>
      <c r="AE107" s="99" t="str">
        <f t="shared" si="42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107" s="96" t="str">
        <f t="shared" si="43"/>
        <v>"C:\Program Files (x86)\AstroGrep\AstroGrep.exe" /spath="%USERPROFILE%\AppData\Local\Temp\OnboardLogs" /stypes="*4053*20160902*" /stext=" 22:.+((SYSTEM_STATE.+slice.+state.+changed )|(ment ac)|(system.+state.+changed )|(\|lc)|(penalty)|(\[timeout)|(PRM\|1\|D)|(kpr)|(kdp))" /e /r /s</v>
      </c>
      <c r="AG107" s="1" t="str">
        <f t="shared" si="44"/>
        <v>EC</v>
      </c>
      <c r="AH107" s="100" t="str">
        <f t="shared" si="45"/>
        <v>"%USERPROFILE%\Documents\GitHub\eaglep3\Utilities\RefineRTDCRunTimes.py" --tripid 195-02 --locoid 4053 --swversion DE.1.0.7.0 --startMP 204:451 --initTime 2016-09-02T15:25:36 --startdatetime 2016-09-02T15:35:13 --delay 1 --endMP 204:233261 --enddatetime 2016-09-02T16:15:21 --enforcementcount 1 &gt;&gt;C:\Users\stu\Documents\GitHub\eaglep3-reporting\EC\2016-09-02-refined-times.txt</v>
      </c>
      <c r="AI10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{"issue":{"subject":"","project_id":79,"tracker_id":40,"status_id":1,"priority_id":2,"assigned_to_id":23,"start_date":"2016-09-02","description":"","custom_fields":[{"id":1,"name":"Subdivision","value":"EC"},{"id":4,"name":"Milepost","value":"23.281"},{"id":17,"name":"Train ID","value":"195-02"},{"id":16,"name":"Locomotive ID","value":"4053"},{"id":130,"name":"Impact","value":""},{"id":150,"name":"Time of Event (Mountain Time)","value":"16:15:21"},{"id":151,"name":"Denver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496</v>
      </c>
      <c r="B108" s="7">
        <v>4054</v>
      </c>
      <c r="C108" s="24" t="s">
        <v>113</v>
      </c>
      <c r="D108" s="24" t="s">
        <v>416</v>
      </c>
      <c r="E108" s="15">
        <v>42615.678877314815</v>
      </c>
      <c r="F108" s="15">
        <v>42615.68513888889</v>
      </c>
      <c r="G108" s="7">
        <v>1</v>
      </c>
      <c r="H108" s="15" t="s">
        <v>166</v>
      </c>
      <c r="I108" s="15">
        <v>42615.712384259263</v>
      </c>
      <c r="J108" s="7">
        <v>1</v>
      </c>
      <c r="K108" s="132" t="str">
        <f t="shared" si="32"/>
        <v>4053/4054</v>
      </c>
      <c r="L108" s="24" t="str">
        <f>VLOOKUP(A108,'Trips&amp;Operators'!$C$1:$E$10000,3,FALSE)</f>
        <v>ISHMAEL</v>
      </c>
      <c r="M108" s="6">
        <f t="shared" si="33"/>
        <v>2.7245370372838806E-2</v>
      </c>
      <c r="N108" s="7">
        <f t="shared" si="47"/>
        <v>39.233333336887881</v>
      </c>
      <c r="O108" s="7"/>
      <c r="P108" s="7"/>
      <c r="Q108" s="25"/>
      <c r="R108" s="25"/>
      <c r="S108" s="37">
        <f t="shared" si="34"/>
        <v>1</v>
      </c>
      <c r="T108" s="52" t="str">
        <f t="shared" si="35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15:17:35-0600',mode:absolute,to:'2016-09-02 18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108" s="54" t="str">
        <f t="shared" si="37"/>
        <v>N</v>
      </c>
      <c r="X108" s="120">
        <f t="shared" si="48"/>
        <v>1</v>
      </c>
      <c r="Y108" s="69">
        <f t="shared" si="38"/>
        <v>23.2973</v>
      </c>
      <c r="Z108" s="69">
        <f t="shared" si="39"/>
        <v>1.52E-2</v>
      </c>
      <c r="AA108" s="69">
        <f t="shared" si="40"/>
        <v>23.2821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1"/>
        <v>0196-02</v>
      </c>
      <c r="AE108" s="99" t="str">
        <f t="shared" si="42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108" s="96" t="str">
        <f t="shared" si="43"/>
        <v>"C:\Program Files (x86)\AstroGrep\AstroGrep.exe" /spath="%USERPROFILE%\AppData\Local\Temp\OnboardLogs" /stypes="*4054*20160902*" /stext=" 23:.+((SYSTEM_STATE.+slice.+state.+changed )|(ment ac)|(system.+state.+changed )|(\|lc)|(penalty)|(\[timeout)|(PRM\|1\|D)|(kpr)|(kdp))" /e /r /s</v>
      </c>
      <c r="AG108" s="1" t="str">
        <f t="shared" si="44"/>
        <v>EC</v>
      </c>
      <c r="AH108" s="100" t="str">
        <f t="shared" si="45"/>
        <v>"%USERPROFILE%\Documents\GitHub\eaglep3\Utilities\RefineRTDCRunTimes.py" --tripid 196-02 --locoid 4054 --swversion DE.1.0.7.0 --startMP 204:232973 --initTime 2016-09-02T16:17:35 --startdatetime 2016-09-02T16:26:36 --delay 1 --endMP 204:152 --enddatetime 2016-09-02T17:05:50 --enforcementcount 1 &gt;&gt;C:\Users\stu\Documents\GitHub\eaglep3-reporting\EC\2016-09-02-refined-times.txt</v>
      </c>
      <c r="AI10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{"issue":{"subject":"","project_id":79,"tracker_id":40,"status_id":1,"priority_id":2,"assigned_to_id":23,"start_date":"2016-09-02","description":"","custom_fields":[{"id":1,"name":"Subdivision","value":"EC"},{"id":4,"name":"Milepost","value":"23.2821"},{"id":17,"name":"Train ID","value":"196-02"},{"id":16,"name":"Locomotive ID","value":"4054"},{"id":130,"name":"Impact","value":""},{"id":150,"name":"Time of Event (Mountain Time)","value":"17:05:50"},{"id":151,"name":"Denver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497</v>
      </c>
      <c r="B109" s="7">
        <v>4029</v>
      </c>
      <c r="C109" s="24" t="s">
        <v>113</v>
      </c>
      <c r="D109" s="24" t="s">
        <v>430</v>
      </c>
      <c r="E109" s="15">
        <v>42615.652453703704</v>
      </c>
      <c r="F109" s="15">
        <v>42615.656423611108</v>
      </c>
      <c r="G109" s="7">
        <v>1</v>
      </c>
      <c r="H109" s="15" t="s">
        <v>319</v>
      </c>
      <c r="I109" s="15">
        <v>42615.682025462964</v>
      </c>
      <c r="J109" s="7">
        <v>1</v>
      </c>
      <c r="K109" s="132" t="str">
        <f t="shared" si="32"/>
        <v>4029/4030</v>
      </c>
      <c r="L109" s="24" t="str">
        <f>VLOOKUP(A109,'Trips&amp;Operators'!$C$1:$E$10000,3,FALSE)</f>
        <v>SHOOK</v>
      </c>
      <c r="M109" s="6">
        <f t="shared" si="33"/>
        <v>2.5601851855753921E-2</v>
      </c>
      <c r="N109" s="7">
        <f t="shared" si="47"/>
        <v>36.866666672285646</v>
      </c>
      <c r="O109" s="7"/>
      <c r="P109" s="7"/>
      <c r="Q109" s="25"/>
      <c r="R109" s="25"/>
      <c r="S109" s="37">
        <f t="shared" si="34"/>
        <v>1</v>
      </c>
      <c r="T109" s="52" t="str">
        <f t="shared" si="35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14:39:32-0600',mode:absolute,to:'2016-09-02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09" s="54" t="str">
        <f t="shared" si="37"/>
        <v>N</v>
      </c>
      <c r="X109" s="120">
        <f t="shared" si="48"/>
        <v>1</v>
      </c>
      <c r="Y109" s="69">
        <f t="shared" si="38"/>
        <v>4.6399999999999997E-2</v>
      </c>
      <c r="Z109" s="69">
        <f t="shared" si="39"/>
        <v>23.333600000000001</v>
      </c>
      <c r="AA109" s="69">
        <f t="shared" si="40"/>
        <v>23.287200000000002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41"/>
        <v>0197-02</v>
      </c>
      <c r="AE109" s="99" t="str">
        <f t="shared" si="42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109" s="96" t="str">
        <f t="shared" si="43"/>
        <v>"C:\Program Files (x86)\AstroGrep\AstroGrep.exe" /spath="%USERPROFILE%\AppData\Local\Temp\OnboardLogs" /stypes="*4029*20160902*" /stext=" 22:.+((SYSTEM_STATE.+slice.+state.+changed )|(ment ac)|(system.+state.+changed )|(\|lc)|(penalty)|(\[timeout)|(PRM\|1\|D)|(kpr)|(kdp))" /e /r /s</v>
      </c>
      <c r="AG109" s="1" t="str">
        <f t="shared" si="44"/>
        <v>EC</v>
      </c>
      <c r="AH109" s="100" t="str">
        <f t="shared" si="45"/>
        <v>"%USERPROFILE%\Documents\GitHub\eaglep3\Utilities\RefineRTDCRunTimes.py" --tripid 197-02 --locoid 4029 --swversion DE.1.0.7.0 --startMP 204:464 --initTime 2016-09-02T15:39:32 --startdatetime 2016-09-02T15:45:15 --delay 1 --endMP 204:233336 --enddatetime 2016-09-02T16:22:07 --enforcementcount 1 &gt;&gt;C:\Users\stu\Documents\GitHub\eaglep3-reporting\EC\2016-09-02-refined-times.txt</v>
      </c>
      <c r="AI10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{"issue":{"subject":"","project_id":79,"tracker_id":40,"status_id":1,"priority_id":2,"assigned_to_id":23,"start_date":"2016-09-02","description":"","custom_fields":[{"id":1,"name":"Subdivision","value":"EC"},{"id":4,"name":"Milepost","value":"23.2872"},{"id":17,"name":"Train ID","value":"197-02"},{"id":16,"name":"Locomotive ID","value":"4029"},{"id":130,"name":"Impact","value":""},{"id":150,"name":"Time of Event (Mountain Time)","value":"16:22:07"},{"id":151,"name":"Denver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498</v>
      </c>
      <c r="B110" s="7">
        <v>4030</v>
      </c>
      <c r="C110" s="24" t="s">
        <v>113</v>
      </c>
      <c r="D110" s="24" t="s">
        <v>499</v>
      </c>
      <c r="E110" s="15">
        <v>42615.688692129632</v>
      </c>
      <c r="F110" s="15">
        <v>42615.695335648146</v>
      </c>
      <c r="G110" s="7">
        <v>1</v>
      </c>
      <c r="H110" s="15" t="s">
        <v>255</v>
      </c>
      <c r="I110" s="15">
        <v>42615.722488425927</v>
      </c>
      <c r="J110" s="7">
        <v>1</v>
      </c>
      <c r="K110" s="132" t="str">
        <f t="shared" si="32"/>
        <v>4029/4030</v>
      </c>
      <c r="L110" s="24" t="str">
        <f>VLOOKUP(A110,'Trips&amp;Operators'!$C$1:$E$10000,3,FALSE)</f>
        <v>SHOOK</v>
      </c>
      <c r="M110" s="6">
        <f t="shared" si="33"/>
        <v>2.715277778042946E-2</v>
      </c>
      <c r="N110" s="7">
        <f t="shared" si="47"/>
        <v>39.100000003818423</v>
      </c>
      <c r="O110" s="7"/>
      <c r="P110" s="7"/>
      <c r="Q110" s="25"/>
      <c r="R110" s="25"/>
      <c r="S110" s="37">
        <f t="shared" si="34"/>
        <v>1</v>
      </c>
      <c r="T110" s="52" t="str">
        <f t="shared" si="35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15:31:43-0600',mode:absolute,to:'2016-09-02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0" s="54" t="str">
        <f t="shared" si="37"/>
        <v>N</v>
      </c>
      <c r="X110" s="120">
        <f t="shared" si="48"/>
        <v>1</v>
      </c>
      <c r="Y110" s="69">
        <f t="shared" si="38"/>
        <v>23.304500000000001</v>
      </c>
      <c r="Z110" s="69">
        <f t="shared" si="39"/>
        <v>1.6299999999999999E-2</v>
      </c>
      <c r="AA110" s="69">
        <f t="shared" si="40"/>
        <v>23.2882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41"/>
        <v>0198-02</v>
      </c>
      <c r="AE110" s="99" t="str">
        <f t="shared" si="42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110" s="96" t="str">
        <f t="shared" si="43"/>
        <v>"C:\Program Files (x86)\AstroGrep\AstroGrep.exe" /spath="%USERPROFILE%\AppData\Local\Temp\OnboardLogs" /stypes="*4030*20160902*" /stext=" 23:.+((SYSTEM_STATE.+slice.+state.+changed )|(ment ac)|(system.+state.+changed )|(\|lc)|(penalty)|(\[timeout)|(PRM\|1\|D)|(kpr)|(kdp))" /e /r /s</v>
      </c>
      <c r="AG110" s="1" t="str">
        <f t="shared" si="44"/>
        <v>EC</v>
      </c>
      <c r="AH110" s="100" t="str">
        <f t="shared" si="45"/>
        <v>"%USERPROFILE%\Documents\GitHub\eaglep3\Utilities\RefineRTDCRunTimes.py" --tripid 198-02 --locoid 4030 --swversion DE.1.0.7.0 --startMP 204:233045 --initTime 2016-09-02T16:31:43 --startdatetime 2016-09-02T16:41:17 --delay 1 --endMP 204:163 --enddatetime 2016-09-02T17:20:23 --enforcementcount 1 &gt;&gt;C:\Users\stu\Documents\GitHub\eaglep3-reporting\EC\2016-09-02-refined-times.txt</v>
      </c>
      <c r="AI110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{"issue":{"subject":"","project_id":79,"tracker_id":40,"status_id":1,"priority_id":2,"assigned_to_id":23,"start_date":"2016-09-02","description":"","custom_fields":[{"id":1,"name":"Subdivision","value":"EC"},{"id":4,"name":"Milepost","value":"23.2882"},{"id":17,"name":"Train ID","value":"198-02"},{"id":16,"name":"Locomotive ID","value":"4030"},{"id":130,"name":"Impact","value":""},{"id":150,"name":"Time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500</v>
      </c>
      <c r="B111" s="7">
        <v>4046</v>
      </c>
      <c r="C111" s="24" t="s">
        <v>113</v>
      </c>
      <c r="D111" s="24" t="s">
        <v>501</v>
      </c>
      <c r="E111" s="15">
        <v>42615.662604166668</v>
      </c>
      <c r="F111" s="15">
        <v>42615.667245370372</v>
      </c>
      <c r="G111" s="7">
        <v>1</v>
      </c>
      <c r="H111" s="15" t="s">
        <v>260</v>
      </c>
      <c r="I111" s="15">
        <v>42615.692384259259</v>
      </c>
      <c r="J111" s="7">
        <v>1</v>
      </c>
      <c r="K111" s="132" t="str">
        <f t="shared" si="32"/>
        <v>4045/4046</v>
      </c>
      <c r="L111" s="24" t="str">
        <f>VLOOKUP(A111,'Trips&amp;Operators'!$C$1:$E$10000,3,FALSE)</f>
        <v>WEBSTER</v>
      </c>
      <c r="M111" s="6">
        <f t="shared" si="33"/>
        <v>2.5138888886431232E-2</v>
      </c>
      <c r="N111" s="7">
        <f t="shared" si="47"/>
        <v>36.199999996460974</v>
      </c>
      <c r="O111" s="7"/>
      <c r="P111" s="7"/>
      <c r="Q111" s="25"/>
      <c r="R111" s="25"/>
      <c r="S111" s="37">
        <f t="shared" si="34"/>
        <v>1</v>
      </c>
      <c r="T111" s="52" t="str">
        <f t="shared" si="35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14:54:09-0600',mode:absolute,to:'2016-09-02 17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11" s="54" t="str">
        <f t="shared" si="37"/>
        <v>N</v>
      </c>
      <c r="X111" s="120">
        <f t="shared" si="48"/>
        <v>1</v>
      </c>
      <c r="Y111" s="69">
        <f t="shared" si="38"/>
        <v>4.2900000000000001E-2</v>
      </c>
      <c r="Z111" s="69">
        <f t="shared" si="39"/>
        <v>23.3307</v>
      </c>
      <c r="AA111" s="69">
        <f t="shared" si="40"/>
        <v>23.287800000000001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41"/>
        <v>0199-02</v>
      </c>
      <c r="AE111" s="99" t="str">
        <f t="shared" si="42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11" s="96" t="str">
        <f t="shared" si="43"/>
        <v>"C:\Program Files (x86)\AstroGrep\AstroGrep.exe" /spath="%USERPROFILE%\AppData\Local\Temp\OnboardLogs" /stypes="*4046*20160902*" /stext=" 22:.+((SYSTEM_STATE.+slice.+state.+changed )|(ment ac)|(system.+state.+changed )|(\|lc)|(penalty)|(\[timeout)|(PRM\|1\|D)|(kpr)|(kdp))" /e /r /s</v>
      </c>
      <c r="AG111" s="1" t="str">
        <f t="shared" si="44"/>
        <v>EC</v>
      </c>
      <c r="AH111" s="100" t="str">
        <f t="shared" si="45"/>
        <v>"%USERPROFILE%\Documents\GitHub\eaglep3\Utilities\RefineRTDCRunTimes.py" --tripid 199-02 --locoid 4046 --swversion DE.1.0.7.0 --startMP 204:429 --initTime 2016-09-02T15:54:09 --startdatetime 2016-09-02T16:00:50 --delay 1 --endMP 204:233307 --enddatetime 2016-09-02T16:37:02 --enforcementcount 1 &gt;&gt;C:\Users\stu\Documents\GitHub\eaglep3-reporting\EC\2016-09-02-refined-times.txt</v>
      </c>
      <c r="AI11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{"issue":{"subject":"","project_id":79,"tracker_id":40,"status_id":1,"priority_id":2,"assigned_to_id":23,"start_date":"2016-09-02","description":"","custom_fields":[{"id":1,"name":"Subdivision","value":"EC"},{"id":4,"name":"Milepost","value":"23.2878"},{"id":17,"name":"Train ID","value":"199-02"},{"id":16,"name":"Locomotive ID","value":"4046"},{"id":130,"name":"Impact","value":""},{"id":150,"name":"Time of Event (Mountain Time)","value":"16:37:02"},{"id":151,"name":"Denver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502</v>
      </c>
      <c r="B112" s="7">
        <v>4045</v>
      </c>
      <c r="C112" s="24" t="s">
        <v>113</v>
      </c>
      <c r="D112" s="24" t="s">
        <v>258</v>
      </c>
      <c r="E112" s="15">
        <v>42615.702627314815</v>
      </c>
      <c r="F112" s="15">
        <v>42615.705937500003</v>
      </c>
      <c r="G112" s="7">
        <v>1</v>
      </c>
      <c r="H112" s="15" t="s">
        <v>321</v>
      </c>
      <c r="I112" s="15">
        <v>42615.733437499999</v>
      </c>
      <c r="J112" s="7">
        <v>1</v>
      </c>
      <c r="K112" s="132" t="str">
        <f t="shared" si="32"/>
        <v>4045/4046</v>
      </c>
      <c r="L112" s="24" t="str">
        <f>VLOOKUP(A112,'Trips&amp;Operators'!$C$1:$E$10000,3,FALSE)</f>
        <v>WEBSTER</v>
      </c>
      <c r="M112" s="6">
        <f t="shared" si="33"/>
        <v>2.749999999650754E-2</v>
      </c>
      <c r="N112" s="7">
        <f t="shared" si="47"/>
        <v>39.599999994970858</v>
      </c>
      <c r="O112" s="7"/>
      <c r="P112" s="7"/>
      <c r="Q112" s="25"/>
      <c r="R112" s="25"/>
      <c r="S112" s="37">
        <f t="shared" si="34"/>
        <v>1</v>
      </c>
      <c r="T112" s="52" t="str">
        <f t="shared" si="35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15:51:47-0600',mode:absolute,to:'2016-09-02 18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12" s="54" t="str">
        <f t="shared" si="37"/>
        <v>N</v>
      </c>
      <c r="X112" s="120">
        <f t="shared" si="48"/>
        <v>1</v>
      </c>
      <c r="Y112" s="69">
        <f t="shared" si="38"/>
        <v>23.299600000000002</v>
      </c>
      <c r="Z112" s="69">
        <f t="shared" si="39"/>
        <v>1.34E-2</v>
      </c>
      <c r="AA112" s="69">
        <f t="shared" si="40"/>
        <v>23.286200000000001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41"/>
        <v>0200-02</v>
      </c>
      <c r="AE112" s="99" t="str">
        <f t="shared" si="42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112" s="96" t="str">
        <f t="shared" si="43"/>
        <v>"C:\Program Files (x86)\AstroGrep\AstroGrep.exe" /spath="%USERPROFILE%\AppData\Local\Temp\OnboardLogs" /stypes="*4045*20160902*" /stext=" 23:.+((SYSTEM_STATE.+slice.+state.+changed )|(ment ac)|(system.+state.+changed )|(\|lc)|(penalty)|(\[timeout)|(PRM\|1\|D)|(kpr)|(kdp))" /e /r /s</v>
      </c>
      <c r="AG112" s="1" t="str">
        <f t="shared" si="44"/>
        <v>EC</v>
      </c>
      <c r="AH112" s="100" t="str">
        <f t="shared" si="45"/>
        <v>"%USERPROFILE%\Documents\GitHub\eaglep3\Utilities\RefineRTDCRunTimes.py" --tripid 200-02 --locoid 4045 --swversion DE.1.0.7.0 --startMP 204:232996 --initTime 2016-09-02T16:51:47 --startdatetime 2016-09-02T16:56:33 --delay 1 --endMP 204:134 --enddatetime 2016-09-02T17:36:09 --enforcementcount 1 &gt;&gt;C:\Users\stu\Documents\GitHub\eaglep3-reporting\EC\2016-09-02-refined-times.txt</v>
      </c>
      <c r="AI11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{"issue":{"subject":"","project_id":79,"tracker_id":40,"status_id":1,"priority_id":2,"assigned_to_id":23,"start_date":"2016-09-02","description":"","custom_fields":[{"id":1,"name":"Subdivision","value":"EC"},{"id":4,"name":"Milepost","value":"23.2862"},{"id":17,"name":"Train ID","value":"200-02"},{"id":16,"name":"Locomotive ID","value":"4045"},{"id":130,"name":"Impact","value":""},{"id":150,"name":"Time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503</v>
      </c>
      <c r="B113" s="7">
        <v>4016</v>
      </c>
      <c r="C113" s="24" t="s">
        <v>113</v>
      </c>
      <c r="D113" s="24" t="s">
        <v>308</v>
      </c>
      <c r="E113" s="15">
        <v>42615.674629629626</v>
      </c>
      <c r="F113" s="15">
        <v>42615.677418981482</v>
      </c>
      <c r="G113" s="7">
        <v>1</v>
      </c>
      <c r="H113" s="15" t="s">
        <v>270</v>
      </c>
      <c r="I113" s="15">
        <v>42615.703125</v>
      </c>
      <c r="J113" s="7">
        <v>1</v>
      </c>
      <c r="K113" s="132" t="str">
        <f t="shared" si="32"/>
        <v>4015/4016</v>
      </c>
      <c r="L113" s="24" t="str">
        <f>VLOOKUP(A113,'Trips&amp;Operators'!$C$1:$E$10000,3,FALSE)</f>
        <v>STEWART</v>
      </c>
      <c r="M113" s="6">
        <f t="shared" si="33"/>
        <v>2.5706018517666962E-2</v>
      </c>
      <c r="N113" s="7">
        <f t="shared" si="47"/>
        <v>37.016666665440425</v>
      </c>
      <c r="O113" s="7"/>
      <c r="P113" s="7"/>
      <c r="Q113" s="25"/>
      <c r="R113" s="25"/>
      <c r="S113" s="37">
        <f t="shared" si="34"/>
        <v>1</v>
      </c>
      <c r="T113" s="52" t="str">
        <f t="shared" si="35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15:11:28-0600',mode:absolute,to:'2016-09-02 17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13" s="54" t="str">
        <f t="shared" si="37"/>
        <v>N</v>
      </c>
      <c r="X113" s="120">
        <f t="shared" si="48"/>
        <v>1</v>
      </c>
      <c r="Y113" s="69">
        <f t="shared" si="38"/>
        <v>4.7300000000000002E-2</v>
      </c>
      <c r="Z113" s="69">
        <f t="shared" si="39"/>
        <v>23.331900000000001</v>
      </c>
      <c r="AA113" s="69">
        <f t="shared" si="40"/>
        <v>23.284600000000001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41"/>
        <v>0201-02</v>
      </c>
      <c r="AE113" s="99" t="str">
        <f t="shared" si="42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113" s="96" t="str">
        <f t="shared" si="43"/>
        <v>"C:\Program Files (x86)\AstroGrep\AstroGrep.exe" /spath="%USERPROFILE%\AppData\Local\Temp\OnboardLogs" /stypes="*4016*20160902*" /stext=" 22:.+((SYSTEM_STATE.+slice.+state.+changed )|(ment ac)|(system.+state.+changed )|(\|lc)|(penalty)|(\[timeout)|(PRM\|1\|D)|(kpr)|(kdp))" /e /r /s</v>
      </c>
      <c r="AG113" s="1" t="str">
        <f t="shared" si="44"/>
        <v>EC</v>
      </c>
      <c r="AH113" s="100" t="str">
        <f t="shared" si="45"/>
        <v>"%USERPROFILE%\Documents\GitHub\eaglep3\Utilities\RefineRTDCRunTimes.py" --tripid 201-02 --locoid 4016 --swversion DE.1.0.7.0 --startMP 204:473 --initTime 2016-09-02T16:11:28 --startdatetime 2016-09-02T16:15:29 --delay 1 --endMP 204:233319 --enddatetime 2016-09-02T16:52:30 --enforcementcount 1 &gt;&gt;C:\Users\stu\Documents\GitHub\eaglep3-reporting\EC\2016-09-02-refined-times.txt</v>
      </c>
      <c r="AI11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{"issue":{"subject":"","project_id":79,"tracker_id":40,"status_id":1,"priority_id":2,"assigned_to_id":23,"start_date":"2016-09-02","description":"","custom_fields":[{"id":1,"name":"Subdivision","value":"EC"},{"id":4,"name":"Milepost","value":"23.2846"},{"id":17,"name":"Train ID","value":"201-02"},{"id":16,"name":"Locomotive ID","value":"4016"},{"id":130,"name":"Impact","value":""},{"id":150,"name":"Time of Event (Mountain Time)","value":"16:52:30"},{"id":151,"name":"Denver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504</v>
      </c>
      <c r="B114" s="7">
        <v>4015</v>
      </c>
      <c r="C114" s="24" t="s">
        <v>113</v>
      </c>
      <c r="D114" s="24" t="s">
        <v>505</v>
      </c>
      <c r="E114" s="15">
        <v>42615.713425925926</v>
      </c>
      <c r="F114" s="15">
        <v>42615.716319444444</v>
      </c>
      <c r="G114" s="7">
        <v>1</v>
      </c>
      <c r="H114" s="15" t="s">
        <v>281</v>
      </c>
      <c r="I114" s="15">
        <v>42615.743981481479</v>
      </c>
      <c r="J114" s="7">
        <v>1</v>
      </c>
      <c r="K114" s="132" t="str">
        <f t="shared" si="32"/>
        <v>4015/4016</v>
      </c>
      <c r="L114" s="24" t="str">
        <f>VLOOKUP(A114,'Trips&amp;Operators'!$C$1:$E$10000,3,FALSE)</f>
        <v>STEWART</v>
      </c>
      <c r="M114" s="6">
        <f t="shared" si="33"/>
        <v>2.7662037035042886E-2</v>
      </c>
      <c r="N114" s="7">
        <f t="shared" si="47"/>
        <v>39.833333330461755</v>
      </c>
      <c r="O114" s="7"/>
      <c r="P114" s="7"/>
      <c r="Q114" s="25"/>
      <c r="R114" s="25"/>
      <c r="S114" s="37">
        <f t="shared" si="34"/>
        <v>1</v>
      </c>
      <c r="T114" s="52" t="str">
        <f t="shared" si="35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16:07:20-0600',mode:absolute,to:'2016-09-02 18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14" s="54" t="str">
        <f t="shared" si="37"/>
        <v>N</v>
      </c>
      <c r="X114" s="120">
        <f t="shared" si="48"/>
        <v>1</v>
      </c>
      <c r="Y114" s="69">
        <f t="shared" si="38"/>
        <v>23.3002</v>
      </c>
      <c r="Z114" s="69">
        <f t="shared" si="39"/>
        <v>1.4999999999999999E-2</v>
      </c>
      <c r="AA114" s="69">
        <f t="shared" si="40"/>
        <v>23.2852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41"/>
        <v>0202-02</v>
      </c>
      <c r="AE114" s="99" t="str">
        <f t="shared" si="42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114" s="96" t="str">
        <f t="shared" si="43"/>
        <v>"C:\Program Files (x86)\AstroGrep\AstroGrep.exe" /spath="%USERPROFILE%\AppData\Local\Temp\OnboardLogs" /stypes="*4015*20160902*" /stext=" 23:.+((SYSTEM_STATE.+slice.+state.+changed )|(ment ac)|(system.+state.+changed )|(\|lc)|(penalty)|(\[timeout)|(PRM\|1\|D)|(kpr)|(kdp))" /e /r /s</v>
      </c>
      <c r="AG114" s="1" t="str">
        <f t="shared" si="44"/>
        <v>EC</v>
      </c>
      <c r="AH114" s="100" t="str">
        <f t="shared" si="45"/>
        <v>"%USERPROFILE%\Documents\GitHub\eaglep3\Utilities\RefineRTDCRunTimes.py" --tripid 202-02 --locoid 4015 --swversion DE.1.0.7.0 --startMP 204:233002 --initTime 2016-09-02T17:07:20 --startdatetime 2016-09-02T17:11:30 --delay 1 --endMP 204:150 --enddatetime 2016-09-02T17:51:20 --enforcementcount 1 &gt;&gt;C:\Users\stu\Documents\GitHub\eaglep3-reporting\EC\2016-09-02-refined-times.txt</v>
      </c>
      <c r="AI11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{"issue":{"subject":"","project_id":79,"tracker_id":40,"status_id":1,"priority_id":2,"assigned_to_id":23,"start_date":"2016-09-02","description":"","custom_fields":[{"id":1,"name":"Subdivision","value":"EC"},{"id":4,"name":"Milepost","value":"23.2852"},{"id":17,"name":"Train ID","value":"202-02"},{"id":16,"name":"Locomotive ID","value":"4015"},{"id":130,"name":"Impact","value":""},{"id":150,"name":"Time of Event (Mountain Time)","value":"17:51:20"},{"id":151,"name":"Denver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506</v>
      </c>
      <c r="B115" s="7">
        <v>4009</v>
      </c>
      <c r="C115" s="24" t="s">
        <v>113</v>
      </c>
      <c r="D115" s="24" t="s">
        <v>430</v>
      </c>
      <c r="E115" s="15">
        <v>42615.686284722222</v>
      </c>
      <c r="F115" s="15">
        <v>42615.688113425924</v>
      </c>
      <c r="G115" s="7">
        <v>1</v>
      </c>
      <c r="H115" s="15" t="s">
        <v>507</v>
      </c>
      <c r="I115" s="15">
        <v>42615.713530092595</v>
      </c>
      <c r="J115" s="7">
        <v>1</v>
      </c>
      <c r="K115" s="132" t="str">
        <f t="shared" si="32"/>
        <v>4009/4010</v>
      </c>
      <c r="L115" s="24" t="str">
        <f>VLOOKUP(A115,'Trips&amp;Operators'!$C$1:$E$10000,3,FALSE)</f>
        <v>CLARK</v>
      </c>
      <c r="M115" s="6">
        <f t="shared" si="33"/>
        <v>2.5416666670935228E-2</v>
      </c>
      <c r="N115" s="7">
        <f t="shared" si="47"/>
        <v>36.600000006146729</v>
      </c>
      <c r="O115" s="7"/>
      <c r="P115" s="7"/>
      <c r="Q115" s="25"/>
      <c r="R115" s="25"/>
      <c r="S115" s="37">
        <f t="shared" si="34"/>
        <v>1</v>
      </c>
      <c r="T115" s="52" t="str">
        <f t="shared" si="35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5" s="54" t="str">
        <f t="shared" si="37"/>
        <v>N</v>
      </c>
      <c r="X115" s="120">
        <f t="shared" si="48"/>
        <v>1</v>
      </c>
      <c r="Y115" s="69">
        <f t="shared" si="38"/>
        <v>4.6399999999999997E-2</v>
      </c>
      <c r="Z115" s="69">
        <f t="shared" si="39"/>
        <v>23.3157</v>
      </c>
      <c r="AA115" s="69">
        <f t="shared" si="40"/>
        <v>23.269300000000001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41"/>
        <v>0203-02</v>
      </c>
      <c r="AE115" s="99" t="str">
        <f t="shared" si="42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115" s="96" t="str">
        <f t="shared" si="43"/>
        <v>"C:\Program Files (x86)\AstroGrep\AstroGrep.exe" /spath="%USERPROFILE%\AppData\Local\Temp\OnboardLogs" /stypes="*4009*20160902*" /stext=" 23:.+((SYSTEM_STATE.+slice.+state.+changed )|(ment ac)|(system.+state.+changed )|(\|lc)|(penalty)|(\[timeout)|(PRM\|1\|D)|(kpr)|(kdp))" /e /r /s</v>
      </c>
      <c r="AG115" s="1" t="str">
        <f t="shared" si="44"/>
        <v>EC</v>
      </c>
      <c r="AH115" s="100" t="str">
        <f t="shared" si="45"/>
        <v>"%USERPROFILE%\Documents\GitHub\eaglep3\Utilities\RefineRTDCRunTimes.py" --tripid 203-02 --locoid 4009 --swversion DE.1.0.7.0 --startMP 204:464 --initTime 2016-09-02T16:28:15 --startdatetime 2016-09-02T16:30:53 --delay 1 --endMP 204:233157 --enddatetime 2016-09-02T17:07:29 --enforcementcount 1 &gt;&gt;C:\Users\stu\Documents\GitHub\eaglep3-reporting\EC\2016-09-02-refined-times.txt</v>
      </c>
      <c r="AI11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{"issue":{"subject":"","project_id":79,"tracker_id":40,"status_id":1,"priority_id":2,"assigned_to_id":23,"start_date":"2016-09-02","description":"","custom_fields":[{"id":1,"name":"Subdivision","value":"EC"},{"id":4,"name":"Milepost","value":"23.2693"},{"id":17,"name":"Train ID","value":"203-02"},{"id":16,"name":"Locomotive ID","value":"4009"},{"id":130,"name":"Impact","value":""},{"id":150,"name":"Time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508</v>
      </c>
      <c r="B116" s="7">
        <v>4010</v>
      </c>
      <c r="C116" s="24" t="s">
        <v>113</v>
      </c>
      <c r="D116" s="24" t="s">
        <v>509</v>
      </c>
      <c r="E116" s="15">
        <v>42615.721909722219</v>
      </c>
      <c r="F116" s="15">
        <v>42615.726550925923</v>
      </c>
      <c r="G116" s="7">
        <v>1</v>
      </c>
      <c r="H116" s="15" t="s">
        <v>281</v>
      </c>
      <c r="I116" s="15">
        <v>42615.759212962963</v>
      </c>
      <c r="J116" s="7">
        <v>1</v>
      </c>
      <c r="K116" s="132" t="str">
        <f t="shared" si="32"/>
        <v>4009/4010</v>
      </c>
      <c r="L116" s="24" t="str">
        <f>VLOOKUP(A116,'Trips&amp;Operators'!$C$1:$E$10000,3,FALSE)</f>
        <v>CLARK</v>
      </c>
      <c r="M116" s="6">
        <f t="shared" si="33"/>
        <v>3.2662037039699499E-2</v>
      </c>
      <c r="N116" s="7">
        <f t="shared" si="47"/>
        <v>47.033333337167278</v>
      </c>
      <c r="O116" s="7"/>
      <c r="P116" s="7"/>
      <c r="Q116" s="25"/>
      <c r="R116" s="25"/>
      <c r="S116" s="37">
        <f t="shared" si="34"/>
        <v>1</v>
      </c>
      <c r="T116" s="52" t="str">
        <f t="shared" si="35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6" s="54" t="str">
        <f t="shared" si="37"/>
        <v>N</v>
      </c>
      <c r="X116" s="120">
        <f t="shared" si="48"/>
        <v>1</v>
      </c>
      <c r="Y116" s="69">
        <f t="shared" si="38"/>
        <v>23.284800000000001</v>
      </c>
      <c r="Z116" s="69">
        <f t="shared" si="39"/>
        <v>1.4999999999999999E-2</v>
      </c>
      <c r="AA116" s="69">
        <f t="shared" si="40"/>
        <v>23.2698</v>
      </c>
      <c r="AB116" s="66">
        <f>VLOOKUP(A116,Enforcements!$C$7:$J$21,8,0)</f>
        <v>42961</v>
      </c>
      <c r="AC116" s="62" t="str">
        <f>VLOOKUP(A116,Enforcements!$C$7:$E$21,3,0)</f>
        <v>GRADE CROSSING</v>
      </c>
      <c r="AD116" s="63" t="str">
        <f t="shared" si="41"/>
        <v>0204-02</v>
      </c>
      <c r="AE116" s="99" t="str">
        <f t="shared" si="42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116" s="96" t="str">
        <f t="shared" si="43"/>
        <v>"C:\Program Files (x86)\AstroGrep\AstroGrep.exe" /spath="%USERPROFILE%\AppData\Local\Temp\OnboardLogs" /stypes="*4010*20160903*" /stext=" 00:.+((SYSTEM_STATE.+slice.+state.+changed )|(ment ac)|(system.+state.+changed )|(\|lc)|(penalty)|(\[timeout)|(PRM\|1\|D)|(kpr)|(kdp))" /e /r /s</v>
      </c>
      <c r="AG116" s="1" t="str">
        <f t="shared" si="44"/>
        <v>EC</v>
      </c>
      <c r="AH116" s="100" t="str">
        <f t="shared" si="45"/>
        <v>"%USERPROFILE%\Documents\GitHub\eaglep3\Utilities\RefineRTDCRunTimes.py" --tripid 204-02 --locoid 4010 --swversion DE.1.0.7.0 --startMP 204:232848 --initTime 2016-09-02T17:19:33 --startdatetime 2016-09-02T17:26:14 --delay 1 --endMP 204:150 --enddatetime 2016-09-02T18:13:16 --enforcementcount 1 &gt;&gt;C:\Users\stu\Documents\GitHub\eaglep3-reporting\EC\2016-09-02-refined-times.txt</v>
      </c>
      <c r="AI11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{"issue":{"subject":"","project_id":79,"tracker_id":40,"status_id":1,"priority_id":2,"assigned_to_id":23,"start_date":"2016-09-02","description":"","custom_fields":[{"id":1,"name":"Subdivision","value":"EC"},{"id":4,"name":"Milepost","value":"23.2698"},{"id":17,"name":"Train ID","value":"204-02"},{"id":16,"name":"Locomotive ID","value":"4010"},{"id":130,"name":"Impact","value":""},{"id":150,"name":"Time of Event (Mountain Time)","value":"18:13:16"},{"id":151,"name":"Denver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510</v>
      </c>
      <c r="B117" s="7">
        <v>4044</v>
      </c>
      <c r="C117" s="24" t="s">
        <v>113</v>
      </c>
      <c r="D117" s="24" t="s">
        <v>511</v>
      </c>
      <c r="E117" s="15">
        <v>42615.693726851852</v>
      </c>
      <c r="F117" s="15">
        <v>42615.698125000003</v>
      </c>
      <c r="G117" s="7">
        <v>1</v>
      </c>
      <c r="H117" s="15" t="s">
        <v>316</v>
      </c>
      <c r="I117" s="15">
        <v>42615.723981481482</v>
      </c>
      <c r="J117" s="7">
        <v>1</v>
      </c>
      <c r="K117" s="132" t="str">
        <f t="shared" si="32"/>
        <v>4043/4044</v>
      </c>
      <c r="L117" s="24" t="str">
        <f>VLOOKUP(A117,'Trips&amp;Operators'!$C$1:$E$10000,3,FALSE)</f>
        <v>BONDS</v>
      </c>
      <c r="M117" s="6">
        <f t="shared" si="33"/>
        <v>2.5856481479422655E-2</v>
      </c>
      <c r="N117" s="7">
        <f t="shared" si="47"/>
        <v>37.233333330368623</v>
      </c>
      <c r="O117" s="7"/>
      <c r="P117" s="7"/>
      <c r="Q117" s="25"/>
      <c r="R117" s="25"/>
      <c r="S117" s="37">
        <f t="shared" si="34"/>
        <v>1</v>
      </c>
      <c r="T117" s="52" t="str">
        <f t="shared" si="35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7" s="54" t="str">
        <f t="shared" si="37"/>
        <v>N</v>
      </c>
      <c r="X117" s="120">
        <f t="shared" si="48"/>
        <v>1</v>
      </c>
      <c r="Y117" s="69">
        <f t="shared" si="38"/>
        <v>4.3499999999999997E-2</v>
      </c>
      <c r="Z117" s="69">
        <f t="shared" si="39"/>
        <v>23.331199999999999</v>
      </c>
      <c r="AA117" s="69">
        <f t="shared" si="40"/>
        <v>23.287699999999997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41"/>
        <v>0205-02</v>
      </c>
      <c r="AE117" s="99" t="str">
        <f t="shared" si="42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17" s="96" t="str">
        <f t="shared" si="43"/>
        <v>"C:\Program Files (x86)\AstroGrep\AstroGrep.exe" /spath="%USERPROFILE%\AppData\Local\Temp\OnboardLogs" /stypes="*4044*20160902*" /stext=" 23:.+((SYSTEM_STATE.+slice.+state.+changed )|(ment ac)|(system.+state.+changed )|(\|lc)|(penalty)|(\[timeout)|(PRM\|1\|D)|(kpr)|(kdp))" /e /r /s</v>
      </c>
      <c r="AG117" s="1" t="str">
        <f t="shared" si="44"/>
        <v>EC</v>
      </c>
      <c r="AH117" s="100" t="str">
        <f t="shared" si="45"/>
        <v>"%USERPROFILE%\Documents\GitHub\eaglep3\Utilities\RefineRTDCRunTimes.py" --tripid 205-02 --locoid 4044 --swversion DE.1.0.7.0 --startMP 204:435 --initTime 2016-09-02T16:38:58 --startdatetime 2016-09-02T16:45:18 --delay 1 --endMP 204:233312 --enddatetime 2016-09-02T17:22:32 --enforcementcount 1 &gt;&gt;C:\Users\stu\Documents\GitHub\eaglep3-reporting\EC\2016-09-02-refined-times.txt</v>
      </c>
      <c r="AI11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{"issue":{"subject":"","project_id":79,"tracker_id":40,"status_id":1,"priority_id":2,"assigned_to_id":23,"start_date":"2016-09-02","description":"","custom_fields":[{"id":1,"name":"Subdivision","value":"EC"},{"id":4,"name":"Milepost","value":"23.2877"},{"id":17,"name":"Train ID","value":"205-02"},{"id":16,"name":"Locomotive ID","value":"4044"},{"id":130,"name":"Impact","value":""},{"id":150,"name":"Time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512</v>
      </c>
      <c r="B118" s="7">
        <v>4043</v>
      </c>
      <c r="C118" s="24" t="s">
        <v>113</v>
      </c>
      <c r="D118" s="24" t="s">
        <v>247</v>
      </c>
      <c r="E118" s="15">
        <v>42615.725752314815</v>
      </c>
      <c r="F118" s="15">
        <v>42615.736967592595</v>
      </c>
      <c r="G118" s="7">
        <v>10</v>
      </c>
      <c r="H118" s="15" t="s">
        <v>173</v>
      </c>
      <c r="I118" s="15">
        <v>42615.770428240743</v>
      </c>
      <c r="J118" s="7">
        <v>1</v>
      </c>
      <c r="K118" s="132" t="str">
        <f t="shared" si="32"/>
        <v>4043/4044</v>
      </c>
      <c r="L118" s="24" t="str">
        <f>VLOOKUP(A118,'Trips&amp;Operators'!$C$1:$E$10000,3,FALSE)</f>
        <v>BONDS</v>
      </c>
      <c r="M118" s="6">
        <f t="shared" si="33"/>
        <v>3.3460648148320615E-2</v>
      </c>
      <c r="N118" s="7">
        <f t="shared" si="47"/>
        <v>48.183333333581686</v>
      </c>
      <c r="O118" s="7"/>
      <c r="P118" s="7"/>
      <c r="Q118" s="25"/>
      <c r="R118" s="25"/>
      <c r="S118" s="37">
        <f t="shared" si="34"/>
        <v>1</v>
      </c>
      <c r="T118" s="52" t="str">
        <f t="shared" si="35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16:25:05-0600',mode:absolute,to:'2016-09-02 19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8" s="54" t="str">
        <f t="shared" si="37"/>
        <v>N</v>
      </c>
      <c r="X118" s="120">
        <f t="shared" si="48"/>
        <v>1</v>
      </c>
      <c r="Y118" s="69">
        <f t="shared" si="38"/>
        <v>23.300799999999999</v>
      </c>
      <c r="Z118" s="69">
        <f t="shared" si="39"/>
        <v>1.4500000000000001E-2</v>
      </c>
      <c r="AA118" s="69">
        <f t="shared" si="40"/>
        <v>23.286299999999997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41"/>
        <v>0206-02</v>
      </c>
      <c r="AE118" s="99" t="str">
        <f t="shared" si="42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118" s="96" t="str">
        <f t="shared" si="43"/>
        <v>"C:\Program Files (x86)\AstroGrep\AstroGrep.exe" /spath="%USERPROFILE%\AppData\Local\Temp\OnboardLogs" /stypes="*4043*20160903*" /stext=" 00:.+((SYSTEM_STATE.+slice.+state.+changed )|(ment ac)|(system.+state.+changed )|(\|lc)|(penalty)|(\[timeout)|(PRM\|1\|D)|(kpr)|(kdp))" /e /r /s</v>
      </c>
      <c r="AG118" s="1" t="str">
        <f t="shared" si="44"/>
        <v>EC</v>
      </c>
      <c r="AH118" s="100" t="str">
        <f t="shared" si="45"/>
        <v>"%USERPROFILE%\Documents\GitHub\eaglep3\Utilities\RefineRTDCRunTimes.py" --tripid 206-02 --locoid 4043 --swversion DE.1.0.7.0 --startMP 204:233008 --initTime 2016-09-02T17:25:05 --startdatetime 2016-09-02T17:41:14 --delay 10 --endMP 204:145 --enddatetime 2016-09-02T18:29:25 --enforcementcount 1 &gt;&gt;C:\Users\stu\Documents\GitHub\eaglep3-reporting\EC\2016-09-02-refined-times.txt</v>
      </c>
      <c r="AI11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{"issue":{"subject":"","project_id":79,"tracker_id":40,"status_id":1,"priority_id":2,"assigned_to_id":23,"start_date":"2016-09-02","description":"","custom_fields":[{"id":1,"name":"Subdivision","value":"EC"},{"id":4,"name":"Milepost","value":"23.2863"},{"id":17,"name":"Train ID","value":"206-02"},{"id":16,"name":"Locomotive ID","value":"4043"},{"id":130,"name":"Impact","value":""},{"id":150,"name":"Time of Event (Mountain Time)","value":"18:29:25"},{"id":151,"name":"Denver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513</v>
      </c>
      <c r="B119" s="7">
        <v>4031</v>
      </c>
      <c r="C119" s="24" t="s">
        <v>113</v>
      </c>
      <c r="D119" s="24" t="s">
        <v>133</v>
      </c>
      <c r="E119" s="15">
        <v>42615.704745370371</v>
      </c>
      <c r="F119" s="15">
        <v>42615.708622685182</v>
      </c>
      <c r="G119" s="7">
        <v>2</v>
      </c>
      <c r="H119" s="15" t="s">
        <v>316</v>
      </c>
      <c r="I119" s="15">
        <v>42615.734236111108</v>
      </c>
      <c r="J119" s="7">
        <v>1</v>
      </c>
      <c r="K119" s="132" t="str">
        <f t="shared" si="32"/>
        <v>4031/4032</v>
      </c>
      <c r="L119" s="24" t="str">
        <f>VLOOKUP(A119,'Trips&amp;Operators'!$C$1:$E$10000,3,FALSE)</f>
        <v>MOSES</v>
      </c>
      <c r="M119" s="6">
        <f t="shared" si="33"/>
        <v>2.5613425925257616E-2</v>
      </c>
      <c r="N119" s="7">
        <f t="shared" si="47"/>
        <v>36.883333332370967</v>
      </c>
      <c r="O119" s="7"/>
      <c r="P119" s="7"/>
      <c r="Q119" s="25"/>
      <c r="R119" s="25"/>
      <c r="S119" s="37">
        <f t="shared" si="34"/>
        <v>1</v>
      </c>
      <c r="T119" s="52" t="str">
        <f t="shared" si="35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15:54:50-0600',mode:absolute,to:'2016-09-02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9" s="54" t="str">
        <f t="shared" si="37"/>
        <v>N</v>
      </c>
      <c r="X119" s="120">
        <f t="shared" si="48"/>
        <v>1</v>
      </c>
      <c r="Y119" s="69">
        <f t="shared" si="38"/>
        <v>4.53E-2</v>
      </c>
      <c r="Z119" s="69">
        <f t="shared" si="39"/>
        <v>23.331199999999999</v>
      </c>
      <c r="AA119" s="69">
        <f t="shared" si="40"/>
        <v>23.285899999999998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41"/>
        <v>0207-02</v>
      </c>
      <c r="AE119" s="99" t="str">
        <f t="shared" si="42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119" s="96" t="str">
        <f t="shared" si="43"/>
        <v>"C:\Program Files (x86)\AstroGrep\AstroGrep.exe" /spath="%USERPROFILE%\AppData\Local\Temp\OnboardLogs" /stypes="*4031*20160902*" /stext=" 23:.+((SYSTEM_STATE.+slice.+state.+changed )|(ment ac)|(system.+state.+changed )|(\|lc)|(penalty)|(\[timeout)|(PRM\|1\|D)|(kpr)|(kdp))" /e /r /s</v>
      </c>
      <c r="AG119" s="1" t="str">
        <f t="shared" si="44"/>
        <v>EC</v>
      </c>
      <c r="AH119" s="100" t="str">
        <f t="shared" si="45"/>
        <v>"%USERPROFILE%\Documents\GitHub\eaglep3\Utilities\RefineRTDCRunTimes.py" --tripid 207-02 --locoid 4031 --swversion DE.1.0.7.0 --startMP 204:453 --initTime 2016-09-02T16:54:50 --startdatetime 2016-09-02T17:00:25 --delay 2 --endMP 204:233312 --enddatetime 2016-09-02T17:37:18 --enforcementcount 1 &gt;&gt;C:\Users\stu\Documents\GitHub\eaglep3-reporting\EC\2016-09-02-refined-times.txt</v>
      </c>
      <c r="AI11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{"issue":{"subject":"","project_id":79,"tracker_id":40,"status_id":1,"priority_id":2,"assigned_to_id":23,"start_date":"2016-09-02","description":"","custom_fields":[{"id":1,"name":"Subdivision","value":"EC"},{"id":4,"name":"Milepost","value":"23.2859"},{"id":17,"name":"Train ID","value":"207-02"},{"id":16,"name":"Locomotive ID","value":"4031"},{"id":130,"name":"Impact","value":""},{"id":150,"name":"Time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514</v>
      </c>
      <c r="B120" s="7">
        <v>4032</v>
      </c>
      <c r="C120" s="24" t="s">
        <v>113</v>
      </c>
      <c r="D120" s="24" t="s">
        <v>322</v>
      </c>
      <c r="E120" s="15">
        <v>42615.745879629627</v>
      </c>
      <c r="F120" s="15">
        <v>42615.748113425929</v>
      </c>
      <c r="G120" s="7">
        <v>2</v>
      </c>
      <c r="H120" s="15" t="s">
        <v>136</v>
      </c>
      <c r="I120" s="15">
        <v>42615.778877314813</v>
      </c>
      <c r="J120" s="7">
        <v>1</v>
      </c>
      <c r="K120" s="132" t="str">
        <f t="shared" si="32"/>
        <v>4031/4032</v>
      </c>
      <c r="L120" s="24" t="str">
        <f>VLOOKUP(A120,'Trips&amp;Operators'!$C$1:$E$10000,3,FALSE)</f>
        <v>MOSES</v>
      </c>
      <c r="M120" s="6">
        <f t="shared" si="33"/>
        <v>3.0763888884393964E-2</v>
      </c>
      <c r="N120" s="7">
        <f t="shared" si="47"/>
        <v>44.299999993527308</v>
      </c>
      <c r="O120" s="7"/>
      <c r="P120" s="7"/>
      <c r="Q120" s="25"/>
      <c r="R120" s="25"/>
      <c r="S120" s="37">
        <f t="shared" si="34"/>
        <v>1</v>
      </c>
      <c r="T120" s="52" t="str">
        <f t="shared" si="35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16:54:04-0600',mode:absolute,to:'2016-09-02 19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0" s="54" t="str">
        <f t="shared" si="37"/>
        <v>N</v>
      </c>
      <c r="X120" s="120">
        <f t="shared" si="48"/>
        <v>1</v>
      </c>
      <c r="Y120" s="69">
        <f t="shared" si="38"/>
        <v>23.300899999999999</v>
      </c>
      <c r="Z120" s="69">
        <f t="shared" si="39"/>
        <v>1.49E-2</v>
      </c>
      <c r="AA120" s="69">
        <f t="shared" si="40"/>
        <v>23.285999999999998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41"/>
        <v>0208-02</v>
      </c>
      <c r="AE120" s="99" t="str">
        <f t="shared" si="42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120" s="96" t="str">
        <f t="shared" si="43"/>
        <v>"C:\Program Files (x86)\AstroGrep\AstroGrep.exe" /spath="%USERPROFILE%\AppData\Local\Temp\OnboardLogs" /stypes="*4032*20160903*" /stext=" 00:.+((SYSTEM_STATE.+slice.+state.+changed )|(ment ac)|(system.+state.+changed )|(\|lc)|(penalty)|(\[timeout)|(PRM\|1\|D)|(kpr)|(kdp))" /e /r /s</v>
      </c>
      <c r="AG120" s="1" t="str">
        <f t="shared" si="44"/>
        <v>EC</v>
      </c>
      <c r="AH120" s="100" t="str">
        <f t="shared" si="45"/>
        <v>"%USERPROFILE%\Documents\GitHub\eaglep3\Utilities\RefineRTDCRunTimes.py" --tripid 208-02 --locoid 4032 --swversion DE.1.0.7.0 --startMP 204:233009 --initTime 2016-09-02T17:54:04 --startdatetime 2016-09-02T17:57:17 --delay 2 --endMP 204:149 --enddatetime 2016-09-02T18:41:35 --enforcementcount 1 &gt;&gt;C:\Users\stu\Documents\GitHub\eaglep3-reporting\EC\2016-09-02-refined-times.txt</v>
      </c>
      <c r="AI120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{"issue":{"subject":"","project_id":79,"tracker_id":40,"status_id":1,"priority_id":2,"assigned_to_id":23,"start_date":"2016-09-02","description":"","custom_fields":[{"id":1,"name":"Subdivision","value":"EC"},{"id":4,"name":"Milepost","value":"23.286"},{"id":17,"name":"Train ID","value":"208-02"},{"id":16,"name":"Locomotive ID","value":"4032"},{"id":130,"name":"Impact","value":""},{"id":150,"name":"Time of Event (Mountain Time)","value":"18:41:35"},{"id":151,"name":"Denver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515</v>
      </c>
      <c r="B121" s="7">
        <v>4053</v>
      </c>
      <c r="C121" s="24" t="s">
        <v>113</v>
      </c>
      <c r="D121" s="24" t="s">
        <v>135</v>
      </c>
      <c r="E121" s="15">
        <v>42615.715046296296</v>
      </c>
      <c r="F121" s="15">
        <v>42615.718900462962</v>
      </c>
      <c r="G121" s="7">
        <v>1</v>
      </c>
      <c r="H121" s="15" t="s">
        <v>316</v>
      </c>
      <c r="I121" s="15">
        <v>42615.744016203702</v>
      </c>
      <c r="J121" s="7">
        <v>1</v>
      </c>
      <c r="K121" s="132" t="str">
        <f t="shared" si="32"/>
        <v>4053/4054</v>
      </c>
      <c r="L121" s="24" t="str">
        <f>VLOOKUP(A121,'Trips&amp;Operators'!$C$1:$E$10000,3,FALSE)</f>
        <v>ISHMAEL</v>
      </c>
      <c r="M121" s="6">
        <f t="shared" si="33"/>
        <v>2.5115740740147885E-2</v>
      </c>
      <c r="N121" s="7">
        <f t="shared" si="47"/>
        <v>36.166666665812954</v>
      </c>
      <c r="O121" s="7"/>
      <c r="P121" s="7"/>
      <c r="Q121" s="25"/>
      <c r="R121" s="25"/>
      <c r="S121" s="37">
        <f t="shared" si="34"/>
        <v>1</v>
      </c>
      <c r="T121" s="52" t="str">
        <f t="shared" si="35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16:09:40-0600',mode:absolute,to:'2016-09-02 18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121" s="54" t="str">
        <f t="shared" si="37"/>
        <v>N</v>
      </c>
      <c r="X121" s="120">
        <f t="shared" si="48"/>
        <v>1</v>
      </c>
      <c r="Y121" s="69">
        <f t="shared" si="38"/>
        <v>4.4900000000000002E-2</v>
      </c>
      <c r="Z121" s="69">
        <f t="shared" si="39"/>
        <v>23.331199999999999</v>
      </c>
      <c r="AA121" s="69">
        <f t="shared" si="40"/>
        <v>23.286300000000001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41"/>
        <v>0209-02</v>
      </c>
      <c r="AE121" s="99" t="str">
        <f t="shared" si="42"/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AF121" s="96" t="str">
        <f t="shared" si="43"/>
        <v>"C:\Program Files (x86)\AstroGrep\AstroGrep.exe" /spath="%USERPROFILE%\AppData\Local\Temp\OnboardLogs" /stypes="*4053*20160902*" /stext=" 23:.+((SYSTEM_STATE.+slice.+state.+changed )|(ment ac)|(system.+state.+changed )|(\|lc)|(penalty)|(\[timeout)|(PRM\|1\|D)|(kpr)|(kdp))" /e /r /s</v>
      </c>
      <c r="AG121" s="1" t="str">
        <f t="shared" si="44"/>
        <v>EC</v>
      </c>
      <c r="AH121" s="100" t="str">
        <f t="shared" si="45"/>
        <v>"%USERPROFILE%\Documents\GitHub\eaglep3\Utilities\RefineRTDCRunTimes.py" --tripid 209-02 --locoid 4053 --swversion DE.1.0.7.0 --startMP 204:449 --initTime 2016-09-02T17:09:40 --startdatetime 2016-09-02T17:15:13 --delay 1 --endMP 204:233312 --enddatetime 2016-09-02T17:51:23 --enforcementcount 1 &gt;&gt;C:\Users\stu\Documents\GitHub\eaglep3-reporting\EC\2016-09-02-refined-times.txt</v>
      </c>
      <c r="AI12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{"issue":{"subject":"","project_id":79,"tracker_id":40,"status_id":1,"priority_id":2,"assigned_to_id":23,"start_date":"2016-09-02","description":"","custom_fields":[{"id":1,"name":"Subdivision","value":"EC"},{"id":4,"name":"Milepost","value":"23.2863"},{"id":17,"name":"Train ID","value":"209-02"},{"id":16,"name":"Locomotive ID","value":"4053"},{"id":130,"name":"Impact","value":""},{"id":150,"name":"Time of Event (Mountain Time)","value":"17:51:23"},{"id":151,"name":"Denver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516</v>
      </c>
      <c r="B122" s="7">
        <v>4054</v>
      </c>
      <c r="C122" s="24" t="s">
        <v>113</v>
      </c>
      <c r="D122" s="24" t="s">
        <v>460</v>
      </c>
      <c r="E122" s="15">
        <v>42615.751875000002</v>
      </c>
      <c r="F122" s="15">
        <v>42615.758229166669</v>
      </c>
      <c r="G122" s="7">
        <v>1</v>
      </c>
      <c r="H122" s="15" t="s">
        <v>281</v>
      </c>
      <c r="I122" s="15">
        <v>42615.789363425924</v>
      </c>
      <c r="J122" s="7">
        <v>1</v>
      </c>
      <c r="K122" s="132" t="str">
        <f t="shared" si="32"/>
        <v>4053/4054</v>
      </c>
      <c r="L122" s="24" t="str">
        <f>VLOOKUP(A122,'Trips&amp;Operators'!$C$1:$E$10000,3,FALSE)</f>
        <v>ISHMAEL</v>
      </c>
      <c r="M122" s="6">
        <f t="shared" si="33"/>
        <v>3.1134259254031349E-2</v>
      </c>
      <c r="N122" s="7">
        <f t="shared" si="47"/>
        <v>44.833333325805143</v>
      </c>
      <c r="O122" s="7"/>
      <c r="P122" s="7"/>
      <c r="Q122" s="25"/>
      <c r="R122" s="25"/>
      <c r="S122" s="37">
        <f t="shared" si="34"/>
        <v>1</v>
      </c>
      <c r="T122" s="52" t="str">
        <f t="shared" si="35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122" s="54" t="str">
        <f t="shared" si="37"/>
        <v>N</v>
      </c>
      <c r="X122" s="120">
        <f t="shared" si="48"/>
        <v>1</v>
      </c>
      <c r="Y122" s="69">
        <f t="shared" si="38"/>
        <v>23.3</v>
      </c>
      <c r="Z122" s="69">
        <f t="shared" si="39"/>
        <v>1.4999999999999999E-2</v>
      </c>
      <c r="AA122" s="69">
        <f t="shared" si="40"/>
        <v>23.285</v>
      </c>
      <c r="AB122" s="66">
        <f>VLOOKUP(A122,Enforcements!$C$7:$J$21,8,0)</f>
        <v>190834</v>
      </c>
      <c r="AC122" s="62" t="str">
        <f>VLOOKUP(A122,Enforcements!$C$7:$E$21,3,0)</f>
        <v>PERMANENT SPEED RESTRICTION</v>
      </c>
      <c r="AD122" s="63" t="str">
        <f t="shared" si="41"/>
        <v>0210-02</v>
      </c>
      <c r="AE122" s="99" t="str">
        <f t="shared" si="42"/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AF122" s="96" t="str">
        <f t="shared" si="43"/>
        <v>"C:\Program Files (x86)\AstroGrep\AstroGrep.exe" /spath="%USERPROFILE%\AppData\Local\Temp\OnboardLogs" /stypes="*4054*20160903*" /stext=" 00:.+((SYSTEM_STATE.+slice.+state.+changed )|(ment ac)|(system.+state.+changed )|(\|lc)|(penalty)|(\[timeout)|(PRM\|1\|D)|(kpr)|(kdp))" /e /r /s</v>
      </c>
      <c r="AG122" s="1" t="str">
        <f t="shared" si="44"/>
        <v>EC</v>
      </c>
      <c r="AH122" s="100" t="str">
        <f t="shared" si="45"/>
        <v>"%USERPROFILE%\Documents\GitHub\eaglep3\Utilities\RefineRTDCRunTimes.py" --tripid 210-02 --locoid 4054 --swversion DE.1.0.7.0 --startMP 204:233000 --initTime 2016-09-02T18:02:42 --startdatetime 2016-09-02T18:11:51 --delay 1 --endMP 204:150 --enddatetime 2016-09-02T18:56:41 --enforcementcount 1 &gt;&gt;C:\Users\stu\Documents\GitHub\eaglep3-reporting\EC\2016-09-02-refined-times.txt</v>
      </c>
      <c r="AI12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{"issue":{"subject":"","project_id":79,"tracker_id":40,"status_id":1,"priority_id":2,"assigned_to_id":23,"start_date":"2016-09-02","description":"","custom_fields":[{"id":1,"name":"Subdivision","value":"EC"},{"id":4,"name":"Milepost","value":"23.285"},{"id":17,"name":"Train ID","value":"210-02"},{"id":16,"name":"Locomotive ID","value":"4054"},{"id":130,"name":"Impact","value":""},{"id":150,"name":"Time of Event (Mountain Time)","value":"18:56:41"},{"id":151,"name":"Denver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517</v>
      </c>
      <c r="B123" s="7">
        <v>4029</v>
      </c>
      <c r="C123" s="24" t="s">
        <v>113</v>
      </c>
      <c r="D123" s="24" t="s">
        <v>288</v>
      </c>
      <c r="E123" s="15">
        <v>42615.723969907405</v>
      </c>
      <c r="F123" s="15">
        <v>42615.729444444441</v>
      </c>
      <c r="G123" s="7">
        <v>1</v>
      </c>
      <c r="H123" s="15" t="s">
        <v>254</v>
      </c>
      <c r="I123" s="15">
        <v>42615.762152777781</v>
      </c>
      <c r="J123" s="7">
        <v>1</v>
      </c>
      <c r="K123" s="132" t="str">
        <f t="shared" si="32"/>
        <v>4029/4030</v>
      </c>
      <c r="L123" s="24" t="str">
        <f>VLOOKUP(A123,'Trips&amp;Operators'!$C$1:$E$10000,3,FALSE)</f>
        <v>SHOOK</v>
      </c>
      <c r="M123" s="6">
        <f t="shared" si="33"/>
        <v>3.270833333954215E-2</v>
      </c>
      <c r="N123" s="7">
        <f t="shared" si="47"/>
        <v>47.100000008940697</v>
      </c>
      <c r="O123" s="7"/>
      <c r="P123" s="7"/>
      <c r="Q123" s="25"/>
      <c r="R123" s="25"/>
      <c r="S123" s="37">
        <f t="shared" si="34"/>
        <v>1</v>
      </c>
      <c r="T123" s="52" t="str">
        <f t="shared" si="35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16:22:31-0600',mode:absolute,to:'2016-09-02 19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3" s="54" t="str">
        <f t="shared" si="37"/>
        <v>N</v>
      </c>
      <c r="X123" s="120">
        <f t="shared" si="48"/>
        <v>1</v>
      </c>
      <c r="Y123" s="69">
        <f t="shared" si="38"/>
        <v>4.6899999999999997E-2</v>
      </c>
      <c r="Z123" s="69">
        <f t="shared" si="39"/>
        <v>23.331399999999999</v>
      </c>
      <c r="AA123" s="69">
        <f t="shared" si="40"/>
        <v>23.284499999999998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41"/>
        <v>0211-02</v>
      </c>
      <c r="AE123" s="99" t="str">
        <f t="shared" si="42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123" s="96" t="str">
        <f t="shared" si="43"/>
        <v>"C:\Program Files (x86)\AstroGrep\AstroGrep.exe" /spath="%USERPROFILE%\AppData\Local\Temp\OnboardLogs" /stypes="*4029*20160903*" /stext=" 00:.+((SYSTEM_STATE.+slice.+state.+changed )|(ment ac)|(system.+state.+changed )|(\|lc)|(penalty)|(\[timeout)|(PRM\|1\|D)|(kpr)|(kdp))" /e /r /s</v>
      </c>
      <c r="AG123" s="1" t="str">
        <f t="shared" si="44"/>
        <v>EC</v>
      </c>
      <c r="AH123" s="100" t="str">
        <f t="shared" si="45"/>
        <v>"%USERPROFILE%\Documents\GitHub\eaglep3\Utilities\RefineRTDCRunTimes.py" --tripid 211-02 --locoid 4029 --swversion DE.1.0.7.0 --startMP 204:469 --initTime 2016-09-02T17:22:31 --startdatetime 2016-09-02T17:30:24 --delay 1 --endMP 204:233314 --enddatetime 2016-09-02T18:17:30 --enforcementcount 1 &gt;&gt;C:\Users\stu\Documents\GitHub\eaglep3-reporting\EC\2016-09-02-refined-times.txt</v>
      </c>
      <c r="AI12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{"issue":{"subject":"","project_id":79,"tracker_id":40,"status_id":1,"priority_id":2,"assigned_to_id":23,"start_date":"2016-09-02","description":"","custom_fields":[{"id":1,"name":"Subdivision","value":"EC"},{"id":4,"name":"Milepost","value":"23.2845"},{"id":17,"name":"Train ID","value":"211-02"},{"id":16,"name":"Locomotive ID","value":"4029"},{"id":130,"name":"Impact","value":""},{"id":150,"name":"Time of Event (Mountain Time)","value":"18:17:30"},{"id":151,"name":"Denver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518</v>
      </c>
      <c r="B124" s="7">
        <v>4030</v>
      </c>
      <c r="C124" s="24" t="s">
        <v>113</v>
      </c>
      <c r="D124" s="24" t="s">
        <v>318</v>
      </c>
      <c r="E124" s="15">
        <v>42615.765104166669</v>
      </c>
      <c r="F124" s="15">
        <v>42615.768206018518</v>
      </c>
      <c r="G124" s="7">
        <v>1</v>
      </c>
      <c r="H124" s="15" t="s">
        <v>519</v>
      </c>
      <c r="I124" s="15">
        <v>42615.799791666665</v>
      </c>
      <c r="J124" s="7">
        <v>0</v>
      </c>
      <c r="K124" s="132" t="str">
        <f t="shared" si="32"/>
        <v>4029/4030</v>
      </c>
      <c r="L124" s="24" t="str">
        <f>VLOOKUP(A124,'Trips&amp;Operators'!$C$1:$E$10000,3,FALSE)</f>
        <v>SHOOK</v>
      </c>
      <c r="M124" s="6">
        <f t="shared" si="33"/>
        <v>3.1585648146574385E-2</v>
      </c>
      <c r="N124" s="7">
        <f t="shared" si="47"/>
        <v>45.483333331067115</v>
      </c>
      <c r="O124" s="7"/>
      <c r="P124" s="7"/>
      <c r="Q124" s="25"/>
      <c r="R124" s="25"/>
      <c r="S124" s="37">
        <f t="shared" si="34"/>
        <v>1</v>
      </c>
      <c r="T124" s="52" t="str">
        <f t="shared" si="35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17:21:45-0600',mode:absolute,to:'2016-09-02 20:11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4" s="54" t="str">
        <f t="shared" si="37"/>
        <v>N</v>
      </c>
      <c r="X124" s="120">
        <f t="shared" si="48"/>
        <v>1</v>
      </c>
      <c r="Y124" s="69">
        <f t="shared" si="38"/>
        <v>23.299800000000001</v>
      </c>
      <c r="Z124" s="69">
        <f t="shared" si="39"/>
        <v>0.1326</v>
      </c>
      <c r="AA124" s="69">
        <f t="shared" si="40"/>
        <v>23.167200000000001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41"/>
        <v>0212-02</v>
      </c>
      <c r="AE124" s="99" t="str">
        <f t="shared" si="42"/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AF124" s="96" t="str">
        <f t="shared" si="43"/>
        <v>"C:\Program Files (x86)\AstroGrep\AstroGrep.exe" /spath="%USERPROFILE%\AppData\Local\Temp\OnboardLogs" /stypes="*4030*20160903*" /stext=" 01:.+((SYSTEM_STATE.+slice.+state.+changed )|(ment ac)|(system.+state.+changed )|(\|lc)|(penalty)|(\[timeout)|(PRM\|1\|D)|(kpr)|(kdp))" /e /r /s</v>
      </c>
      <c r="AG124" s="1" t="str">
        <f t="shared" si="44"/>
        <v>EC</v>
      </c>
      <c r="AH124" s="100" t="str">
        <f t="shared" si="45"/>
        <v>"%USERPROFILE%\Documents\GitHub\eaglep3\Utilities\RefineRTDCRunTimes.py" --tripid 212-02 --locoid 4030 --swversion DE.1.0.7.0 --startMP 204:232998 --initTime 2016-09-02T18:21:45 --startdatetime 2016-09-02T18:26:13 --delay 1 --endMP 204:1326 --enddatetime 2016-09-02T19:11:42 --enforcementcount 0 &gt;&gt;C:\Users\stu\Documents\GitHub\eaglep3-reporting\EC\2016-09-02-refined-times.txt</v>
      </c>
      <c r="AI12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{"issue":{"subject":"","project_id":79,"tracker_id":40,"status_id":1,"priority_id":2,"assigned_to_id":23,"start_date":"2016-09-02","description":"","custom_fields":[{"id":1,"name":"Subdivision","value":"EC"},{"id":4,"name":"Milepost","value":"23.1672"},{"id":17,"name":"Train ID","value":"212-02"},{"id":16,"name":"Locomotive ID","value":"4030"},{"id":130,"name":"Impact","value":""},{"id":150,"name":"Time of Event (Mountain Time)","value":"19:11:42"},{"id":151,"name":"Denver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520</v>
      </c>
      <c r="B125" s="7">
        <v>4046</v>
      </c>
      <c r="C125" s="24" t="s">
        <v>113</v>
      </c>
      <c r="D125" s="24" t="s">
        <v>170</v>
      </c>
      <c r="E125" s="15">
        <v>42615.735578703701</v>
      </c>
      <c r="F125" s="15">
        <v>42615.74009259259</v>
      </c>
      <c r="G125" s="7">
        <v>1</v>
      </c>
      <c r="H125" s="15" t="s">
        <v>150</v>
      </c>
      <c r="I125" s="15">
        <v>42615.766377314816</v>
      </c>
      <c r="J125" s="7">
        <v>1</v>
      </c>
      <c r="K125" s="132" t="str">
        <f t="shared" si="32"/>
        <v>4045/4046</v>
      </c>
      <c r="L125" s="24" t="str">
        <f>VLOOKUP(A125,'Trips&amp;Operators'!$C$1:$E$10000,3,FALSE)</f>
        <v>YANAI</v>
      </c>
      <c r="M125" s="6">
        <f t="shared" si="33"/>
        <v>2.6284722225682344E-2</v>
      </c>
      <c r="N125" s="7">
        <f t="shared" si="47"/>
        <v>37.850000004982576</v>
      </c>
      <c r="O125" s="7"/>
      <c r="P125" s="7"/>
      <c r="Q125" s="25"/>
      <c r="R125" s="25"/>
      <c r="S125" s="37">
        <f t="shared" si="34"/>
        <v>1</v>
      </c>
      <c r="T125" s="52" t="str">
        <f t="shared" si="35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16:39:14-0600',mode:absolute,to:'2016-09-02 19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25" s="54" t="str">
        <f t="shared" si="37"/>
        <v>N</v>
      </c>
      <c r="X125" s="120">
        <f t="shared" si="48"/>
        <v>1</v>
      </c>
      <c r="Y125" s="69">
        <f t="shared" si="38"/>
        <v>4.7100000000000003E-2</v>
      </c>
      <c r="Z125" s="69">
        <f t="shared" si="39"/>
        <v>23.3291</v>
      </c>
      <c r="AA125" s="69">
        <f t="shared" si="40"/>
        <v>23.282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41"/>
        <v>0213-02</v>
      </c>
      <c r="AE125" s="99" t="str">
        <f t="shared" si="42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25" s="96" t="str">
        <f t="shared" si="43"/>
        <v>"C:\Program Files (x86)\AstroGrep\AstroGrep.exe" /spath="%USERPROFILE%\AppData\Local\Temp\OnboardLogs" /stypes="*4046*20160903*" /stext=" 00:.+((SYSTEM_STATE.+slice.+state.+changed )|(ment ac)|(system.+state.+changed )|(\|lc)|(penalty)|(\[timeout)|(PRM\|1\|D)|(kpr)|(kdp))" /e /r /s</v>
      </c>
      <c r="AG125" s="1" t="str">
        <f t="shared" si="44"/>
        <v>EC</v>
      </c>
      <c r="AH125" s="100" t="str">
        <f t="shared" si="45"/>
        <v>"%USERPROFILE%\Documents\GitHub\eaglep3\Utilities\RefineRTDCRunTimes.py" --tripid 213-02 --locoid 4046 --swversion DE.1.0.7.0 --startMP 204:471 --initTime 2016-09-02T17:39:14 --startdatetime 2016-09-02T17:45:44 --delay 1 --endMP 204:233291 --enddatetime 2016-09-02T18:23:35 --enforcementcount 1 &gt;&gt;C:\Users\stu\Documents\GitHub\eaglep3-reporting\EC\2016-09-02-refined-times.txt</v>
      </c>
      <c r="AI12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{"issue":{"subject":"","project_id":79,"tracker_id":40,"status_id":1,"priority_id":2,"assigned_to_id":23,"start_date":"2016-09-02","description":"","custom_fields":[{"id":1,"name":"Subdivision","value":"EC"},{"id":4,"name":"Milepost","value":"23.282"},{"id":17,"name":"Train ID","value":"213-02"},{"id":16,"name":"Locomotive ID","value":"4046"},{"id":130,"name":"Impact","value":""},{"id":150,"name":"Time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521</v>
      </c>
      <c r="B126" s="7">
        <v>4045</v>
      </c>
      <c r="C126" s="24" t="s">
        <v>113</v>
      </c>
      <c r="D126" s="24" t="s">
        <v>180</v>
      </c>
      <c r="E126" s="15">
        <v>42615.773865740739</v>
      </c>
      <c r="F126" s="15">
        <v>42615.778865740744</v>
      </c>
      <c r="G126" s="7">
        <v>6</v>
      </c>
      <c r="H126" s="15" t="s">
        <v>166</v>
      </c>
      <c r="I126" s="15">
        <v>42615.805902777778</v>
      </c>
      <c r="J126" s="7">
        <v>1</v>
      </c>
      <c r="K126" s="132" t="str">
        <f t="shared" si="32"/>
        <v>4045/4046</v>
      </c>
      <c r="L126" s="24" t="str">
        <f>VLOOKUP(A126,'Trips&amp;Operators'!$C$1:$E$10000,3,FALSE)</f>
        <v>YANAI</v>
      </c>
      <c r="M126" s="6">
        <f t="shared" si="33"/>
        <v>2.7037037034460809E-2</v>
      </c>
      <c r="N126" s="7">
        <f t="shared" si="47"/>
        <v>38.933333329623565</v>
      </c>
      <c r="O126" s="7"/>
      <c r="P126" s="7"/>
      <c r="Q126" s="25"/>
      <c r="R126" s="25"/>
      <c r="S126" s="37">
        <f t="shared" si="34"/>
        <v>1</v>
      </c>
      <c r="T126" s="52" t="str">
        <f t="shared" si="35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17:34:22-0600',mode:absolute,to:'2016-09-02 20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26" s="54" t="str">
        <f t="shared" si="37"/>
        <v>N</v>
      </c>
      <c r="X126" s="120">
        <f t="shared" si="48"/>
        <v>1</v>
      </c>
      <c r="Y126" s="69">
        <f t="shared" si="38"/>
        <v>23.2989</v>
      </c>
      <c r="Z126" s="69">
        <f t="shared" si="39"/>
        <v>1.52E-2</v>
      </c>
      <c r="AA126" s="69">
        <f t="shared" si="40"/>
        <v>23.2837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41"/>
        <v>0214-02</v>
      </c>
      <c r="AE126" s="99" t="str">
        <f t="shared" si="42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126" s="96" t="str">
        <f t="shared" si="43"/>
        <v>"C:\Program Files (x86)\AstroGrep\AstroGrep.exe" /spath="%USERPROFILE%\AppData\Local\Temp\OnboardLogs" /stypes="*4045*20160903*" /stext=" 01:.+((SYSTEM_STATE.+slice.+state.+changed )|(ment ac)|(system.+state.+changed )|(\|lc)|(penalty)|(\[timeout)|(PRM\|1\|D)|(kpr)|(kdp))" /e /r /s</v>
      </c>
      <c r="AG126" s="1" t="str">
        <f t="shared" si="44"/>
        <v>EC</v>
      </c>
      <c r="AH126" s="100" t="str">
        <f t="shared" si="45"/>
        <v>"%USERPROFILE%\Documents\GitHub\eaglep3\Utilities\RefineRTDCRunTimes.py" --tripid 214-02 --locoid 4045 --swversion DE.1.0.7.0 --startMP 204:232989 --initTime 2016-09-02T18:34:22 --startdatetime 2016-09-02T18:41:34 --delay 6 --endMP 204:152 --enddatetime 2016-09-02T19:20:30 --enforcementcount 1 &gt;&gt;C:\Users\stu\Documents\GitHub\eaglep3-reporting\EC\2016-09-02-refined-times.txt</v>
      </c>
      <c r="AI12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{"issue":{"subject":"","project_id":79,"tracker_id":40,"status_id":1,"priority_id":2,"assigned_to_id":23,"start_date":"2016-09-02","description":"","custom_fields":[{"id":1,"name":"Subdivision","value":"EC"},{"id":4,"name":"Milepost","value":"23.2837"},{"id":17,"name":"Train ID","value":"214-02"},{"id":16,"name":"Locomotive ID","value":"4045"},{"id":130,"name":"Impact","value":""},{"id":150,"name":"Time of Event (Mountain Time)","value":"19:20:30"},{"id":151,"name":"Denver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522</v>
      </c>
      <c r="B127" s="7">
        <v>4016</v>
      </c>
      <c r="C127" s="24" t="s">
        <v>113</v>
      </c>
      <c r="D127" s="24" t="s">
        <v>239</v>
      </c>
      <c r="E127" s="15">
        <v>42615.746620370373</v>
      </c>
      <c r="F127" s="15">
        <v>42615.75037037037</v>
      </c>
      <c r="G127" s="7">
        <v>2</v>
      </c>
      <c r="H127" s="15" t="s">
        <v>444</v>
      </c>
      <c r="I127" s="15">
        <v>42615.776979166665</v>
      </c>
      <c r="J127" s="7">
        <v>1</v>
      </c>
      <c r="K127" s="132" t="str">
        <f t="shared" si="32"/>
        <v>4015/4016</v>
      </c>
      <c r="L127" s="24" t="str">
        <f>VLOOKUP(A127,'Trips&amp;Operators'!$C$1:$E$10000,3,FALSE)</f>
        <v>WEBSTER</v>
      </c>
      <c r="M127" s="6">
        <f t="shared" si="33"/>
        <v>2.6608796295477077E-2</v>
      </c>
      <c r="N127" s="7">
        <f t="shared" si="47"/>
        <v>38.316666665486991</v>
      </c>
      <c r="O127" s="7"/>
      <c r="P127" s="7"/>
      <c r="Q127" s="25"/>
      <c r="R127" s="25"/>
      <c r="S127" s="37">
        <f t="shared" si="34"/>
        <v>1</v>
      </c>
      <c r="T127" s="52" t="str">
        <f t="shared" si="35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27" s="54" t="str">
        <f t="shared" si="37"/>
        <v>N</v>
      </c>
      <c r="X127" s="120">
        <f t="shared" si="48"/>
        <v>1</v>
      </c>
      <c r="Y127" s="69">
        <f t="shared" si="38"/>
        <v>4.7500000000000001E-2</v>
      </c>
      <c r="Z127" s="69">
        <f t="shared" si="39"/>
        <v>23.327200000000001</v>
      </c>
      <c r="AA127" s="69">
        <f t="shared" si="40"/>
        <v>23.279700000000002</v>
      </c>
      <c r="AB127" s="66">
        <f>VLOOKUP(A127,Enforcements!$C$7:$J$21,8,0)</f>
        <v>1692</v>
      </c>
      <c r="AC127" s="62" t="str">
        <f>VLOOKUP(A127,Enforcements!$C$7:$E$21,3,0)</f>
        <v>SWITCH UNKNOWN</v>
      </c>
      <c r="AD127" s="63" t="str">
        <f t="shared" si="41"/>
        <v>0215-02</v>
      </c>
      <c r="AE127" s="99" t="str">
        <f t="shared" si="42"/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AF127" s="96" t="str">
        <f t="shared" si="43"/>
        <v>"C:\Program Files (x86)\AstroGrep\AstroGrep.exe" /spath="%USERPROFILE%\AppData\Local\Temp\OnboardLogs" /stypes="*4016*20160903*" /stext=" 00:.+((SYSTEM_STATE.+slice.+state.+changed )|(ment ac)|(system.+state.+changed )|(\|lc)|(penalty)|(\[timeout)|(PRM\|1\|D)|(kpr)|(kdp))" /e /r /s</v>
      </c>
      <c r="AG127" s="1" t="str">
        <f t="shared" si="44"/>
        <v>EC</v>
      </c>
      <c r="AH127" s="100" t="str">
        <f t="shared" si="45"/>
        <v>"%USERPROFILE%\Documents\GitHub\eaglep3\Utilities\RefineRTDCRunTimes.py" --tripid 215-02 --locoid 4016 --swversion DE.1.0.7.0 --startMP 204:475 --initTime 2016-09-02T17:55:08 --startdatetime 2016-09-02T18:00:32 --delay 2 --endMP 204:233272 --enddatetime 2016-09-02T18:38:51 --enforcementcount 1 &gt;&gt;C:\Users\stu\Documents\GitHub\eaglep3-reporting\EC\2016-09-02-refined-times.txt</v>
      </c>
      <c r="AI12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{"issue":{"subject":"","project_id":79,"tracker_id":40,"status_id":1,"priority_id":2,"assigned_to_id":23,"start_date":"2016-09-02","description":"","custom_fields":[{"id":1,"name":"Subdivision","value":"EC"},{"id":4,"name":"Milepost","value":"23.2797"},{"id":17,"name":"Train ID","value":"215-02"},{"id":16,"name":"Locomotive ID","value":"4016"},{"id":130,"name":"Impact","value":""},{"id":150,"name":"Time of Event (Mountain Time)","value":"18:38:51"},{"id":151,"name":"Denver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523</v>
      </c>
      <c r="B128" s="7">
        <v>4015</v>
      </c>
      <c r="C128" s="24" t="s">
        <v>113</v>
      </c>
      <c r="D128" s="24" t="s">
        <v>524</v>
      </c>
      <c r="E128" s="15">
        <v>42615.786666666667</v>
      </c>
      <c r="F128" s="15">
        <v>42615.789351851854</v>
      </c>
      <c r="G128" s="7">
        <v>1</v>
      </c>
      <c r="H128" s="15" t="s">
        <v>525</v>
      </c>
      <c r="I128" s="15">
        <v>42615.818414351852</v>
      </c>
      <c r="J128" s="7">
        <v>1</v>
      </c>
      <c r="K128" s="132" t="str">
        <f t="shared" si="32"/>
        <v>4015/4016</v>
      </c>
      <c r="L128" s="24" t="str">
        <f>VLOOKUP(A128,'Trips&amp;Operators'!$C$1:$E$10000,3,FALSE)</f>
        <v>WEBSTER</v>
      </c>
      <c r="M128" s="6">
        <f t="shared" si="33"/>
        <v>2.9062499997962732E-2</v>
      </c>
      <c r="N128" s="7">
        <f t="shared" si="47"/>
        <v>41.849999997066334</v>
      </c>
      <c r="O128" s="7"/>
      <c r="P128" s="7"/>
      <c r="Q128" s="25"/>
      <c r="R128" s="25"/>
      <c r="S128" s="37">
        <f t="shared" si="34"/>
        <v>1</v>
      </c>
      <c r="T128" s="52" t="str">
        <f t="shared" si="35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28" s="54" t="str">
        <f t="shared" si="37"/>
        <v>N</v>
      </c>
      <c r="X128" s="120">
        <f t="shared" si="48"/>
        <v>1</v>
      </c>
      <c r="Y128" s="69">
        <f t="shared" si="38"/>
        <v>23.2986</v>
      </c>
      <c r="Z128" s="69">
        <f t="shared" si="39"/>
        <v>9.6000000000000002E-2</v>
      </c>
      <c r="AA128" s="69">
        <f t="shared" si="40"/>
        <v>23.2026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41"/>
        <v>0216-02</v>
      </c>
      <c r="AE128" s="99" t="str">
        <f t="shared" si="42"/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AF128" s="96" t="str">
        <f t="shared" si="43"/>
        <v>"C:\Program Files (x86)\AstroGrep\AstroGrep.exe" /spath="%USERPROFILE%\AppData\Local\Temp\OnboardLogs" /stypes="*4015*20160903*" /stext=" 01:.+((SYSTEM_STATE.+slice.+state.+changed )|(ment ac)|(system.+state.+changed )|(\|lc)|(penalty)|(\[timeout)|(PRM\|1\|D)|(kpr)|(kdp))" /e /r /s</v>
      </c>
      <c r="AG128" s="1" t="str">
        <f t="shared" si="44"/>
        <v>EC</v>
      </c>
      <c r="AH128" s="100" t="str">
        <f t="shared" si="45"/>
        <v>"%USERPROFILE%\Documents\GitHub\eaglep3\Utilities\RefineRTDCRunTimes.py" --tripid 216-02 --locoid 4015 --swversion DE.1.0.7.0 --startMP 204:232986 --initTime 2016-09-02T18:52:48 --startdatetime 2016-09-02T18:56:40 --delay 1 --endMP 204:960 --enddatetime 2016-09-02T19:38:31 --enforcementcount 1 &gt;&gt;C:\Users\stu\Documents\GitHub\eaglep3-reporting\EC\2016-09-02-refined-times.txt</v>
      </c>
      <c r="AI12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{"issue":{"subject":"","project_id":79,"tracker_id":40,"status_id":1,"priority_id":2,"assigned_to_id":23,"start_date":"2016-09-02","description":"","custom_fields":[{"id":1,"name":"Subdivision","value":"EC"},{"id":4,"name":"Milepost","value":"23.2026"},{"id":17,"name":"Train ID","value":"216-02"},{"id":16,"name":"Locomotive ID","value":"4015"},{"id":130,"name":"Impact","value":""},{"id":150,"name":"Time of Event (Mountain Time)","value":"19:38:31"},{"id":151,"name":"Denver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526</v>
      </c>
      <c r="B129" s="7">
        <v>4009</v>
      </c>
      <c r="C129" s="24" t="s">
        <v>113</v>
      </c>
      <c r="D129" s="24" t="s">
        <v>320</v>
      </c>
      <c r="E129" s="15">
        <v>42615.764606481483</v>
      </c>
      <c r="F129" s="15">
        <v>42615.767199074071</v>
      </c>
      <c r="G129" s="7">
        <v>3</v>
      </c>
      <c r="H129" s="15" t="s">
        <v>241</v>
      </c>
      <c r="I129" s="15">
        <v>42615.794351851851</v>
      </c>
      <c r="J129" s="7">
        <v>1</v>
      </c>
      <c r="K129" s="132" t="str">
        <f t="shared" si="32"/>
        <v>4009/4010</v>
      </c>
      <c r="L129" s="24" t="str">
        <f>VLOOKUP(A129,'Trips&amp;Operators'!$C$1:$E$10000,3,FALSE)</f>
        <v>CHANDLER</v>
      </c>
      <c r="M129" s="6">
        <f t="shared" si="33"/>
        <v>2.715277778042946E-2</v>
      </c>
      <c r="N129" s="7">
        <f t="shared" si="47"/>
        <v>39.100000003818423</v>
      </c>
      <c r="O129" s="7"/>
      <c r="P129" s="7"/>
      <c r="Q129" s="25"/>
      <c r="R129" s="25"/>
      <c r="S129" s="37">
        <f t="shared" si="34"/>
        <v>1</v>
      </c>
      <c r="T129" s="52" t="str">
        <f t="shared" si="35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9" s="54" t="str">
        <f t="shared" si="37"/>
        <v>N</v>
      </c>
      <c r="X129" s="120">
        <f t="shared" si="48"/>
        <v>1</v>
      </c>
      <c r="Y129" s="69">
        <f t="shared" si="38"/>
        <v>5.2600000000000001E-2</v>
      </c>
      <c r="Z129" s="69">
        <f t="shared" si="39"/>
        <v>23.328800000000001</v>
      </c>
      <c r="AA129" s="69">
        <f t="shared" si="40"/>
        <v>23.276199999999999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41"/>
        <v>0217-02</v>
      </c>
      <c r="AE129" s="99" t="str">
        <f t="shared" si="42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129" s="96" t="str">
        <f t="shared" si="43"/>
        <v>"C:\Program Files (x86)\AstroGrep\AstroGrep.exe" /spath="%USERPROFILE%\AppData\Local\Temp\OnboardLogs" /stypes="*4009*20160903*" /stext=" 01:.+((SYSTEM_STATE.+slice.+state.+changed )|(ment ac)|(system.+state.+changed )|(\|lc)|(penalty)|(\[timeout)|(PRM\|1\|D)|(kpr)|(kdp))" /e /r /s</v>
      </c>
      <c r="AG129" s="1" t="str">
        <f t="shared" si="44"/>
        <v>EC</v>
      </c>
      <c r="AH129" s="100" t="str">
        <f t="shared" si="45"/>
        <v>"%USERPROFILE%\Documents\GitHub\eaglep3\Utilities\RefineRTDCRunTimes.py" --tripid 217-02 --locoid 4009 --swversion DE.1.0.7.0 --startMP 204:526 --initTime 2016-09-02T18:21:02 --startdatetime 2016-09-02T18:24:46 --delay 3 --endMP 204:233288 --enddatetime 2016-09-02T19:03:52 --enforcementcount 1 &gt;&gt;C:\Users\stu\Documents\GitHub\eaglep3-reporting\EC\2016-09-02-refined-times.txt</v>
      </c>
      <c r="AI12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{"issue":{"subject":"","project_id":79,"tracker_id":40,"status_id":1,"priority_id":2,"assigned_to_id":23,"start_date":"2016-09-02","description":"","custom_fields":[{"id":1,"name":"Subdivision","value":"EC"},{"id":4,"name":"Milepost","value":"23.2762"},{"id":17,"name":"Train ID","value":"217-02"},{"id":16,"name":"Locomotive ID","value":"4009"},{"id":130,"name":"Impact","value":""},{"id":150,"name":"Time of Event (Mountain Time)","value":"19:03:52"},{"id":151,"name":"Denver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726</v>
      </c>
      <c r="B130" s="7">
        <v>4010</v>
      </c>
      <c r="C130" s="24" t="s">
        <v>113</v>
      </c>
      <c r="D130" s="24" t="s">
        <v>320</v>
      </c>
      <c r="E130" s="15">
        <v>42615.764606481483</v>
      </c>
      <c r="F130" s="15">
        <v>42615.799131944441</v>
      </c>
      <c r="G130" s="7">
        <v>3</v>
      </c>
      <c r="H130" s="15" t="s">
        <v>241</v>
      </c>
      <c r="I130" s="15">
        <v>42615.800821759258</v>
      </c>
      <c r="J130" s="7">
        <v>1</v>
      </c>
      <c r="K130" s="132" t="str">
        <f t="shared" si="32"/>
        <v>4009/4010</v>
      </c>
      <c r="L130" s="24" t="str">
        <f>VLOOKUP(A130,'Trips&amp;Operators'!$C$1:$E$10000,3,FALSE)</f>
        <v>CHANDLER</v>
      </c>
      <c r="M130" s="6">
        <f t="shared" si="33"/>
        <v>1.6898148169275373E-3</v>
      </c>
      <c r="N130" s="7"/>
      <c r="O130" s="7"/>
      <c r="P130" s="7">
        <f>24*60*SUM($M130:$M130)</f>
        <v>2.4333333363756537</v>
      </c>
      <c r="Q130" s="25"/>
      <c r="R130" s="25" t="s">
        <v>729</v>
      </c>
      <c r="S130" s="37">
        <f t="shared" si="34"/>
        <v>0</v>
      </c>
      <c r="T130" s="52" t="str">
        <f t="shared" si="35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0" s="54" t="str">
        <f t="shared" si="37"/>
        <v>N</v>
      </c>
      <c r="X130" s="120">
        <f t="shared" si="48"/>
        <v>1</v>
      </c>
      <c r="Y130" s="69">
        <f t="shared" si="38"/>
        <v>5.2600000000000001E-2</v>
      </c>
      <c r="Z130" s="69">
        <f t="shared" si="39"/>
        <v>23.328800000000001</v>
      </c>
      <c r="AA130" s="69">
        <f t="shared" si="40"/>
        <v>23.276199999999999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41"/>
        <v>0218-02</v>
      </c>
      <c r="AE130" s="99" t="str">
        <f t="shared" si="42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130" s="96" t="str">
        <f t="shared" si="43"/>
        <v>"C:\Program Files (x86)\AstroGrep\AstroGrep.exe" /spath="%USERPROFILE%\AppData\Local\Temp\OnboardLogs" /stypes="*4010*20160903*" /stext=" 01:.+((SYSTEM_STATE.+slice.+state.+changed )|(ment ac)|(system.+state.+changed )|(\|lc)|(penalty)|(\[timeout)|(PRM\|1\|D)|(kpr)|(kdp))" /e /r /s</v>
      </c>
      <c r="AG130" s="1" t="str">
        <f t="shared" si="44"/>
        <v>EC</v>
      </c>
      <c r="AH130" s="100" t="str">
        <f t="shared" ref="AH130" si="49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218-02 --locoid 4010 --swversion DE.1.0.7.0 --startMP 204:526 --initTime 2016-09-02T18:21:02 --startdatetime 2016-09-02T19:10:45 --delay 3 --endMP 204:233288 --enddatetime 2016-09-02T19:13:11 --enforcementcount 1 &gt;&gt;C:\Users\stu\Documents\GitHub\eaglep3-reporting\EC\2016-09-02-refined-times.txt</v>
      </c>
      <c r="AI130" s="149" t="str">
        <f t="shared" ref="AI130" si="50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AA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failure","project_id":79,"tracker_id":40,"status_id":1,"priority_id":2,"assigned_to_id":23,"start_date":"2016-09-02","description":"","custom_fields":[{"id":1,"name":"Subdivision","value":"EC"},{"id":4,"name":"Milepost","value":"23.2762"},{"id":17,"name":"Train ID","value":"218-02"},{"id":16,"name":"Locomotive ID","value":"4010"},{"id":130,"name":"Impact","value":""},{"id":150,"name":"Time of Event (Mountain Time)","value":"19:13:11"},{"id":151,"name":"Denver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527</v>
      </c>
      <c r="B131" s="7">
        <v>4044</v>
      </c>
      <c r="C131" s="24" t="s">
        <v>113</v>
      </c>
      <c r="D131" s="24" t="s">
        <v>528</v>
      </c>
      <c r="E131" s="15">
        <v>42615.77853009259</v>
      </c>
      <c r="F131" s="15">
        <v>42615.780324074076</v>
      </c>
      <c r="G131" s="7">
        <v>1</v>
      </c>
      <c r="H131" s="15" t="s">
        <v>238</v>
      </c>
      <c r="I131" s="15">
        <v>42615.809398148151</v>
      </c>
      <c r="J131" s="7">
        <v>1</v>
      </c>
      <c r="K131" s="132" t="str">
        <f t="shared" si="32"/>
        <v>4043/4044</v>
      </c>
      <c r="L131" s="24" t="str">
        <f>VLOOKUP(A131,'Trips&amp;Operators'!$C$1:$E$10000,3,FALSE)</f>
        <v>HILLS</v>
      </c>
      <c r="M131" s="6">
        <f t="shared" si="33"/>
        <v>2.9074074074742384E-2</v>
      </c>
      <c r="N131" s="7">
        <f t="shared" ref="N131:N156" si="51">24*60*SUM($M131:$M131)</f>
        <v>41.866666667629033</v>
      </c>
      <c r="O131" s="7"/>
      <c r="P131" s="7"/>
      <c r="Q131" s="25"/>
      <c r="R131" s="25"/>
      <c r="S131" s="37">
        <f t="shared" si="34"/>
        <v>1</v>
      </c>
      <c r="T131" s="52" t="str">
        <f t="shared" si="35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17:41:05-0600',mode:absolute,to:'2016-09-02 20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1" s="54" t="str">
        <f t="shared" si="37"/>
        <v>N</v>
      </c>
      <c r="X131" s="120">
        <f t="shared" ref="X131:X132" si="52">VALUE(LEFT(AD131,4))-VALUE(LEFT(AD130,4))</f>
        <v>1</v>
      </c>
      <c r="Y131" s="69">
        <f t="shared" si="38"/>
        <v>4.2700000000000002E-2</v>
      </c>
      <c r="Z131" s="69">
        <f t="shared" si="39"/>
        <v>23.329699999999999</v>
      </c>
      <c r="AA131" s="69">
        <f t="shared" si="40"/>
        <v>23.286999999999999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41"/>
        <v>0219-02</v>
      </c>
      <c r="AE131" s="99" t="str">
        <f t="shared" si="42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31" s="96" t="str">
        <f t="shared" si="43"/>
        <v>"C:\Program Files (x86)\AstroGrep\AstroGrep.exe" /spath="%USERPROFILE%\AppData\Local\Temp\OnboardLogs" /stypes="*4044*20160903*" /stext=" 01:.+((SYSTEM_STATE.+slice.+state.+changed )|(ment ac)|(system.+state.+changed )|(\|lc)|(penalty)|(\[timeout)|(PRM\|1\|D)|(kpr)|(kdp))" /e /r /s</v>
      </c>
      <c r="AG131" s="1" t="str">
        <f t="shared" si="44"/>
        <v>EC</v>
      </c>
      <c r="AH131" s="100" t="str">
        <f t="shared" si="45"/>
        <v>"%USERPROFILE%\Documents\GitHub\eaglep3\Utilities\RefineRTDCRunTimes.py" --tripid 219-02 --locoid 4044 --swversion DE.1.0.7.0 --startMP 204:427 --initTime 2016-09-02T18:41:05 --startdatetime 2016-09-02T18:43:40 --delay 1 --endMP 204:233297 --enddatetime 2016-09-02T19:25:32 --enforcementcount 1 &gt;&gt;C:\Users\stu\Documents\GitHub\eaglep3-reporting\EC\2016-09-02-refined-times.txt</v>
      </c>
      <c r="AI13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{"issue":{"subject":"","project_id":79,"tracker_id":40,"status_id":1,"priority_id":2,"assigned_to_id":23,"start_date":"2016-09-02","description":"","custom_fields":[{"id":1,"name":"Subdivision","value":"EC"},{"id":4,"name":"Milepost","value":"23.287"},{"id":17,"name":"Train ID","value":"219-02"},{"id":16,"name":"Locomotive ID","value":"4044"},{"id":130,"name":"Impact","value":""},{"id":150,"name":"Time of Event (Mountain Time)","value":"19:25:32"},{"id":151,"name":"Denver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529</v>
      </c>
      <c r="B132" s="7">
        <v>4043</v>
      </c>
      <c r="C132" s="24" t="s">
        <v>113</v>
      </c>
      <c r="D132" s="24" t="s">
        <v>530</v>
      </c>
      <c r="E132" s="15">
        <v>42615.811018518521</v>
      </c>
      <c r="F132" s="15">
        <v>42615.818645833337</v>
      </c>
      <c r="G132" s="7">
        <v>1</v>
      </c>
      <c r="H132" s="15" t="s">
        <v>132</v>
      </c>
      <c r="I132" s="15">
        <v>42615.847673611112</v>
      </c>
      <c r="J132" s="7">
        <v>1</v>
      </c>
      <c r="K132" s="132" t="str">
        <f t="shared" si="32"/>
        <v>4043/4044</v>
      </c>
      <c r="L132" s="24" t="str">
        <f>VLOOKUP(A132,'Trips&amp;Operators'!$C$1:$E$10000,3,FALSE)</f>
        <v>HILLS</v>
      </c>
      <c r="M132" s="6">
        <f t="shared" si="33"/>
        <v>2.9027777774899732E-2</v>
      </c>
      <c r="N132" s="7">
        <f t="shared" si="51"/>
        <v>41.799999995855615</v>
      </c>
      <c r="O132" s="7"/>
      <c r="P132" s="7"/>
      <c r="Q132" s="25"/>
      <c r="R132" s="25"/>
      <c r="S132" s="37">
        <f t="shared" si="34"/>
        <v>1</v>
      </c>
      <c r="T132" s="52" t="str">
        <f t="shared" si="35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18:27:52-0600',mode:absolute,to:'2016-09-02 21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32" s="54" t="str">
        <f t="shared" si="37"/>
        <v>N</v>
      </c>
      <c r="X132" s="120">
        <f t="shared" si="52"/>
        <v>1</v>
      </c>
      <c r="Y132" s="69">
        <f t="shared" si="38"/>
        <v>23.2988</v>
      </c>
      <c r="Z132" s="69">
        <f t="shared" si="39"/>
        <v>1.47E-2</v>
      </c>
      <c r="AA132" s="69">
        <f t="shared" si="40"/>
        <v>23.284099999999999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41"/>
        <v>0220-02</v>
      </c>
      <c r="AE132" s="99" t="str">
        <f t="shared" si="42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132" s="96" t="str">
        <f t="shared" si="43"/>
        <v>"C:\Program Files (x86)\AstroGrep\AstroGrep.exe" /spath="%USERPROFILE%\AppData\Local\Temp\OnboardLogs" /stypes="*4043*20160903*" /stext=" 02:.+((SYSTEM_STATE.+slice.+state.+changed )|(ment ac)|(system.+state.+changed )|(\|lc)|(penalty)|(\[timeout)|(PRM\|1\|D)|(kpr)|(kdp))" /e /r /s</v>
      </c>
      <c r="AG132" s="1" t="str">
        <f t="shared" si="44"/>
        <v>EC</v>
      </c>
      <c r="AH132" s="100" t="str">
        <f t="shared" si="45"/>
        <v>"%USERPROFILE%\Documents\GitHub\eaglep3\Utilities\RefineRTDCRunTimes.py" --tripid 220-02 --locoid 4043 --swversion DE.1.0.7.0 --startMP 204:232988 --initTime 2016-09-02T19:27:52 --startdatetime 2016-09-02T19:38:51 --delay 1 --endMP 204:147 --enddatetime 2016-09-02T20:20:39 --enforcementcount 1 &gt;&gt;C:\Users\stu\Documents\GitHub\eaglep3-reporting\EC\2016-09-02-refined-times.txt</v>
      </c>
      <c r="AI13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{"issue":{"subject":"","project_id":79,"tracker_id":40,"status_id":1,"priority_id":2,"assigned_to_id":23,"start_date":"2016-09-02","description":"","custom_fields":[{"id":1,"name":"Subdivision","value":"EC"},{"id":4,"name":"Milepost","value":"23.2841"},{"id":17,"name":"Train ID","value":"220-02"},{"id":16,"name":"Locomotive ID","value":"4043"},{"id":130,"name":"Impact","value":""},{"id":150,"name":"Time of Event (Mountain Time)","value":"20:20:39"},{"id":151,"name":"Denver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531</v>
      </c>
      <c r="B133" s="7">
        <v>4031</v>
      </c>
      <c r="C133" s="24" t="s">
        <v>113</v>
      </c>
      <c r="D133" s="24" t="s">
        <v>237</v>
      </c>
      <c r="E133" s="15">
        <v>42615.787152777775</v>
      </c>
      <c r="F133" s="15">
        <v>42615.79278935185</v>
      </c>
      <c r="G133" s="7">
        <v>1</v>
      </c>
      <c r="H133" s="15" t="s">
        <v>254</v>
      </c>
      <c r="I133" s="15">
        <v>42615.823425925926</v>
      </c>
      <c r="J133" s="7">
        <v>1</v>
      </c>
      <c r="K133" s="132" t="str">
        <f t="shared" si="32"/>
        <v>4031/4032</v>
      </c>
      <c r="L133" s="24" t="str">
        <f>VLOOKUP(A133,'Trips&amp;Operators'!$C$1:$E$10000,3,FALSE)</f>
        <v>HAITHCOX</v>
      </c>
      <c r="M133" s="6">
        <f t="shared" si="33"/>
        <v>3.0636574076197576E-2</v>
      </c>
      <c r="N133" s="7">
        <f t="shared" si="51"/>
        <v>44.116666669724509</v>
      </c>
      <c r="O133" s="7"/>
      <c r="P133" s="7"/>
      <c r="Q133" s="25"/>
      <c r="R133" s="25"/>
      <c r="S133" s="37">
        <f t="shared" si="34"/>
        <v>1</v>
      </c>
      <c r="T133" s="52" t="str">
        <f t="shared" si="35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3" s="54" t="str">
        <f t="shared" si="37"/>
        <v>N</v>
      </c>
      <c r="X133" s="120">
        <f t="shared" ref="X133:X170" si="53">VALUE(LEFT(AD133,4))-VALUE(LEFT(AD132,4))</f>
        <v>1</v>
      </c>
      <c r="Y133" s="69">
        <f t="shared" si="38"/>
        <v>4.6600000000000003E-2</v>
      </c>
      <c r="Z133" s="69">
        <f t="shared" si="39"/>
        <v>23.331399999999999</v>
      </c>
      <c r="AA133" s="69">
        <f t="shared" si="40"/>
        <v>23.284799999999997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41"/>
        <v>0221-02</v>
      </c>
      <c r="AE133" s="99" t="str">
        <f t="shared" si="42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133" s="96" t="str">
        <f t="shared" si="43"/>
        <v>"C:\Program Files (x86)\AstroGrep\AstroGrep.exe" /spath="%USERPROFILE%\AppData\Local\Temp\OnboardLogs" /stypes="*4031*20160903*" /stext=" 01:.+((SYSTEM_STATE.+slice.+state.+changed )|(ment ac)|(system.+state.+changed )|(\|lc)|(penalty)|(\[timeout)|(PRM\|1\|D)|(kpr)|(kdp))" /e /r /s</v>
      </c>
      <c r="AG133" s="1" t="str">
        <f t="shared" si="44"/>
        <v>EC</v>
      </c>
      <c r="AH133" s="100" t="str">
        <f t="shared" si="45"/>
        <v>"%USERPROFILE%\Documents\GitHub\eaglep3\Utilities\RefineRTDCRunTimes.py" --tripid 221-02 --locoid 4031 --swversion DE.1.0.7.0 --startMP 204:466 --initTime 2016-09-02T18:53:30 --startdatetime 2016-09-02T19:01:37 --delay 1 --endMP 204:233314 --enddatetime 2016-09-02T19:45:44 --enforcementcount 1 &gt;&gt;C:\Users\stu\Documents\GitHub\eaglep3-reporting\EC\2016-09-02-refined-times.txt</v>
      </c>
      <c r="AI13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{"issue":{"subject":"","project_id":79,"tracker_id":40,"status_id":1,"priority_id":2,"assigned_to_id":23,"start_date":"2016-09-02","description":"","custom_fields":[{"id":1,"name":"Subdivision","value":"EC"},{"id":4,"name":"Milepost","value":"23.2848"},{"id":17,"name":"Train ID","value":"221-02"},{"id":16,"name":"Locomotive ID","value":"4031"},{"id":130,"name":"Impact","value":""},{"id":150,"name":"Time of Event (Mountain Time)","value":"19:45:44"},{"id":151,"name":"Denver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532</v>
      </c>
      <c r="B134" s="7">
        <v>4032</v>
      </c>
      <c r="C134" s="24" t="s">
        <v>113</v>
      </c>
      <c r="D134" s="24" t="s">
        <v>318</v>
      </c>
      <c r="E134" s="15">
        <v>42615.828472222223</v>
      </c>
      <c r="F134" s="15">
        <v>42615.83090277778</v>
      </c>
      <c r="G134" s="7">
        <v>1</v>
      </c>
      <c r="H134" s="15" t="s">
        <v>132</v>
      </c>
      <c r="I134" s="15">
        <v>42615.8596875</v>
      </c>
      <c r="J134" s="7">
        <v>1</v>
      </c>
      <c r="K134" s="132" t="str">
        <f t="shared" si="32"/>
        <v>4031/4032</v>
      </c>
      <c r="L134" s="24" t="str">
        <f>VLOOKUP(A134,'Trips&amp;Operators'!$C$1:$E$10000,3,FALSE)</f>
        <v>HAITHCOX</v>
      </c>
      <c r="M134" s="6">
        <f t="shared" si="33"/>
        <v>2.8784722220734693E-2</v>
      </c>
      <c r="N134" s="7">
        <f t="shared" si="51"/>
        <v>41.449999997857958</v>
      </c>
      <c r="O134" s="7"/>
      <c r="P134" s="7"/>
      <c r="Q134" s="25"/>
      <c r="R134" s="25"/>
      <c r="S134" s="37">
        <f t="shared" si="34"/>
        <v>1</v>
      </c>
      <c r="T134" s="52" t="str">
        <f t="shared" si="35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18:53:00-0600',mode:absolute,to:'2016-09-02 21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4" s="54" t="str">
        <f t="shared" si="37"/>
        <v>N</v>
      </c>
      <c r="X134" s="120">
        <f t="shared" si="53"/>
        <v>1</v>
      </c>
      <c r="Y134" s="69">
        <f t="shared" si="38"/>
        <v>23.299800000000001</v>
      </c>
      <c r="Z134" s="69">
        <f t="shared" si="39"/>
        <v>1.47E-2</v>
      </c>
      <c r="AA134" s="69">
        <f t="shared" si="40"/>
        <v>23.2851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41"/>
        <v>0222-02</v>
      </c>
      <c r="AE134" s="99" t="str">
        <f t="shared" si="42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134" s="96" t="str">
        <f t="shared" si="43"/>
        <v>"C:\Program Files (x86)\AstroGrep\AstroGrep.exe" /spath="%USERPROFILE%\AppData\Local\Temp\OnboardLogs" /stypes="*4032*20160903*" /stext=" 02:.+((SYSTEM_STATE.+slice.+state.+changed )|(ment ac)|(system.+state.+changed )|(\|lc)|(penalty)|(\[timeout)|(PRM\|1\|D)|(kpr)|(kdp))" /e /r /s</v>
      </c>
      <c r="AG134" s="1" t="str">
        <f t="shared" si="44"/>
        <v>EC</v>
      </c>
      <c r="AH134" s="100" t="str">
        <f t="shared" si="45"/>
        <v>"%USERPROFILE%\Documents\GitHub\eaglep3\Utilities\RefineRTDCRunTimes.py" --tripid 222-02 --locoid 4032 --swversion DE.1.0.7.0 --startMP 204:232998 --initTime 2016-09-02T19:53:00 --startdatetime 2016-09-02T19:56:30 --delay 1 --endMP 204:147 --enddatetime 2016-09-02T20:37:57 --enforcementcount 1 &gt;&gt;C:\Users\stu\Documents\GitHub\eaglep3-reporting\EC\2016-09-02-refined-times.txt</v>
      </c>
      <c r="AI13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{"issue":{"subject":"","project_id":79,"tracker_id":40,"status_id":1,"priority_id":2,"assigned_to_id":23,"start_date":"2016-09-02","description":"","custom_fields":[{"id":1,"name":"Subdivision","value":"EC"},{"id":4,"name":"Milepost","value":"23.2851"},{"id":17,"name":"Train ID","value":"222-02"},{"id":16,"name":"Locomotive ID","value":"4032"},{"id":130,"name":"Impact","value":""},{"id":150,"name":"Time of Event (Mountain Time)","value":"20:37:57"},{"id":151,"name":"Denver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533</v>
      </c>
      <c r="B135" s="7">
        <v>4046</v>
      </c>
      <c r="C135" s="24" t="s">
        <v>113</v>
      </c>
      <c r="D135" s="24" t="s">
        <v>284</v>
      </c>
      <c r="E135" s="15">
        <v>42615.808749999997</v>
      </c>
      <c r="F135" s="15">
        <v>42615.813067129631</v>
      </c>
      <c r="G135" s="7">
        <v>2</v>
      </c>
      <c r="H135" s="15" t="s">
        <v>534</v>
      </c>
      <c r="I135" s="15">
        <v>42615.837962962964</v>
      </c>
      <c r="J135" s="7">
        <v>1</v>
      </c>
      <c r="K135" s="132" t="str">
        <f t="shared" si="32"/>
        <v>4045/4046</v>
      </c>
      <c r="L135" s="24" t="str">
        <f>VLOOKUP(A135,'Trips&amp;Operators'!$C$1:$E$10000,3,FALSE)</f>
        <v>YANAI</v>
      </c>
      <c r="M135" s="6">
        <f t="shared" si="33"/>
        <v>2.4895833332266193E-2</v>
      </c>
      <c r="N135" s="7">
        <f t="shared" si="51"/>
        <v>35.849999998463318</v>
      </c>
      <c r="O135" s="7"/>
      <c r="P135" s="7"/>
      <c r="Q135" s="25"/>
      <c r="R135" s="25"/>
      <c r="S135" s="37">
        <f t="shared" si="34"/>
        <v>1</v>
      </c>
      <c r="T135" s="52" t="str">
        <f t="shared" si="35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18:24:36-0600',mode:absolute,to:'2016-09-02 21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35" s="54" t="str">
        <f t="shared" si="37"/>
        <v>N</v>
      </c>
      <c r="X135" s="120">
        <f t="shared" si="53"/>
        <v>1</v>
      </c>
      <c r="Y135" s="69">
        <f t="shared" si="38"/>
        <v>4.4400000000000002E-2</v>
      </c>
      <c r="Z135" s="69">
        <f t="shared" si="39"/>
        <v>23.335699999999999</v>
      </c>
      <c r="AA135" s="69">
        <f t="shared" si="40"/>
        <v>23.2913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41"/>
        <v>0223-02</v>
      </c>
      <c r="AE135" s="99" t="str">
        <f t="shared" si="42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35" s="96" t="str">
        <f t="shared" si="43"/>
        <v>"C:\Program Files (x86)\AstroGrep\AstroGrep.exe" /spath="%USERPROFILE%\AppData\Local\Temp\OnboardLogs" /stypes="*4046*20160903*" /stext=" 02:.+((SYSTEM_STATE.+slice.+state.+changed )|(ment ac)|(system.+state.+changed )|(\|lc)|(penalty)|(\[timeout)|(PRM\|1\|D)|(kpr)|(kdp))" /e /r /s</v>
      </c>
      <c r="AG135" s="1" t="str">
        <f t="shared" si="44"/>
        <v>EC</v>
      </c>
      <c r="AH135" s="100" t="str">
        <f t="shared" si="45"/>
        <v>"%USERPROFILE%\Documents\GitHub\eaglep3\Utilities\RefineRTDCRunTimes.py" --tripid 223-02 --locoid 4046 --swversion DE.1.0.7.0 --startMP 204:444 --initTime 2016-09-02T19:24:36 --startdatetime 2016-09-02T19:30:49 --delay 2 --endMP 204:233357 --enddatetime 2016-09-02T20:06:40 --enforcementcount 1 &gt;&gt;C:\Users\stu\Documents\GitHub\eaglep3-reporting\EC\2016-09-02-refined-times.txt</v>
      </c>
      <c r="AI13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{"issue":{"subject":"","project_id":79,"tracker_id":40,"status_id":1,"priority_id":2,"assigned_to_id":23,"start_date":"2016-09-02","description":"","custom_fields":[{"id":1,"name":"Subdivision","value":"EC"},{"id":4,"name":"Milepost","value":"23.2913"},{"id":17,"name":"Train ID","value":"223-02"},{"id":16,"name":"Locomotive ID","value":"4046"},{"id":130,"name":"Impact","value":""},{"id":150,"name":"Time of Event (Mountain Time)","value":"20:06:40"},{"id":151,"name":"Denver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535</v>
      </c>
      <c r="B136" s="7">
        <v>4045</v>
      </c>
      <c r="C136" s="24" t="s">
        <v>113</v>
      </c>
      <c r="D136" s="24" t="s">
        <v>428</v>
      </c>
      <c r="E136" s="15">
        <v>42615.848796296297</v>
      </c>
      <c r="F136" s="15">
        <v>42615.8515625</v>
      </c>
      <c r="G136" s="7">
        <v>1</v>
      </c>
      <c r="H136" s="15" t="s">
        <v>286</v>
      </c>
      <c r="I136" s="15">
        <v>42615.877870370372</v>
      </c>
      <c r="J136" s="7">
        <v>1</v>
      </c>
      <c r="K136" s="132" t="str">
        <f t="shared" si="32"/>
        <v>4045/4046</v>
      </c>
      <c r="L136" s="24" t="str">
        <f>VLOOKUP(A136,'Trips&amp;Operators'!$C$1:$E$10000,3,FALSE)</f>
        <v>YANAI</v>
      </c>
      <c r="M136" s="6">
        <f t="shared" si="33"/>
        <v>2.6307870371965691E-2</v>
      </c>
      <c r="N136" s="7">
        <f t="shared" si="51"/>
        <v>37.883333335630596</v>
      </c>
      <c r="O136" s="7"/>
      <c r="P136" s="7"/>
      <c r="Q136" s="25"/>
      <c r="R136" s="25"/>
      <c r="S136" s="37">
        <f t="shared" si="34"/>
        <v>1</v>
      </c>
      <c r="T136" s="52" t="str">
        <f t="shared" si="35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19:22:16-0600',mode:absolute,to:'2016-09-02 22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36" s="54" t="str">
        <f t="shared" si="37"/>
        <v>N</v>
      </c>
      <c r="X136" s="120">
        <f t="shared" si="53"/>
        <v>1</v>
      </c>
      <c r="Y136" s="69">
        <f t="shared" si="38"/>
        <v>23.296299999999999</v>
      </c>
      <c r="Z136" s="69">
        <f t="shared" si="39"/>
        <v>1.6500000000000001E-2</v>
      </c>
      <c r="AA136" s="69">
        <f t="shared" si="40"/>
        <v>23.279799999999998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41"/>
        <v>0224-02</v>
      </c>
      <c r="AE136" s="99" t="str">
        <f t="shared" si="42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136" s="96" t="str">
        <f t="shared" si="43"/>
        <v>"C:\Program Files (x86)\AstroGrep\AstroGrep.exe" /spath="%USERPROFILE%\AppData\Local\Temp\OnboardLogs" /stypes="*4045*20160903*" /stext=" 03:.+((SYSTEM_STATE.+slice.+state.+changed )|(ment ac)|(system.+state.+changed )|(\|lc)|(penalty)|(\[timeout)|(PRM\|1\|D)|(kpr)|(kdp))" /e /r /s</v>
      </c>
      <c r="AG136" s="1" t="str">
        <f t="shared" si="44"/>
        <v>EC</v>
      </c>
      <c r="AH136" s="100" t="str">
        <f t="shared" si="45"/>
        <v>"%USERPROFILE%\Documents\GitHub\eaglep3\Utilities\RefineRTDCRunTimes.py" --tripid 224-02 --locoid 4045 --swversion DE.1.0.7.0 --startMP 204:232963 --initTime 2016-09-02T20:22:16 --startdatetime 2016-09-02T20:26:15 --delay 1 --endMP 204:165 --enddatetime 2016-09-02T21:04:08 --enforcementcount 1 &gt;&gt;C:\Users\stu\Documents\GitHub\eaglep3-reporting\EC\2016-09-02-refined-times.txt</v>
      </c>
      <c r="AI136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{"issue":{"subject":"","project_id":79,"tracker_id":40,"status_id":1,"priority_id":2,"assigned_to_id":23,"start_date":"2016-09-02","description":"","custom_fields":[{"id":1,"name":"Subdivision","value":"EC"},{"id":4,"name":"Milepost","value":"23.2798"},{"id":17,"name":"Train ID","value":"224-02"},{"id":16,"name":"Locomotive ID","value":"4045"},{"id":130,"name":"Impact","value":""},{"id":150,"name":"Time of Event (Mountain Time)","value":"21:04:08"},{"id":151,"name":"Denver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536</v>
      </c>
      <c r="B137" s="7">
        <v>4038</v>
      </c>
      <c r="C137" s="24" t="s">
        <v>113</v>
      </c>
      <c r="D137" s="24" t="s">
        <v>125</v>
      </c>
      <c r="E137" s="15">
        <v>42615.824062500003</v>
      </c>
      <c r="F137" s="15">
        <v>42615.833738425928</v>
      </c>
      <c r="G137" s="7">
        <v>1</v>
      </c>
      <c r="H137" s="15" t="s">
        <v>313</v>
      </c>
      <c r="I137" s="15">
        <v>42615.858749999999</v>
      </c>
      <c r="J137" s="7">
        <v>1</v>
      </c>
      <c r="K137" s="132" t="str">
        <f t="shared" si="32"/>
        <v>4037/4038</v>
      </c>
      <c r="L137" s="24" t="str">
        <f>VLOOKUP(A137,'Trips&amp;Operators'!$C$1:$E$10000,3,FALSE)</f>
        <v>OUN</v>
      </c>
      <c r="M137" s="6">
        <f t="shared" si="33"/>
        <v>2.5011574070958886E-2</v>
      </c>
      <c r="N137" s="7">
        <f t="shared" si="51"/>
        <v>36.016666662180796</v>
      </c>
      <c r="O137" s="7"/>
      <c r="P137" s="7"/>
      <c r="Q137" s="25"/>
      <c r="R137" s="25"/>
      <c r="S137" s="37">
        <f t="shared" si="34"/>
        <v>1</v>
      </c>
      <c r="T137" s="52" t="str">
        <f t="shared" si="35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18:46:39-0600',mode:absolute,to:'2016-09-02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7" s="54" t="str">
        <f t="shared" si="37"/>
        <v>N</v>
      </c>
      <c r="X137" s="120">
        <f t="shared" si="53"/>
        <v>1</v>
      </c>
      <c r="Y137" s="69">
        <f t="shared" si="38"/>
        <v>4.5499999999999999E-2</v>
      </c>
      <c r="Z137" s="69">
        <f t="shared" si="39"/>
        <v>23.331499999999998</v>
      </c>
      <c r="AA137" s="69">
        <f t="shared" si="40"/>
        <v>23.285999999999998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41"/>
        <v>0225-02</v>
      </c>
      <c r="AE137" s="99" t="str">
        <f t="shared" si="42"/>
        <v>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 &amp; aws s3 cp s3://rtdc.mdm.uploadarchive/RTDC4038/2016-09-03/ "%USERPROFILE%\AppData\Local\Temp\OnboardLogs"\RTDC4038\2016-09-03 --recursive &amp; "%USERPROFILE%\Documents\GitHub\mrs-test-scripts\Headless Mode &amp; Sideloading\WalkAndUnGZ.bat" "%USERPROFILE%\AppData\Local\Temp\OnboardLogs"\RTDC4038\2016-09-03</v>
      </c>
      <c r="AF137" s="96" t="str">
        <f t="shared" si="43"/>
        <v>"C:\Program Files (x86)\AstroGrep\AstroGrep.exe" /spath="%USERPROFILE%\AppData\Local\Temp\OnboardLogs" /stypes="*4038*20160903*" /stext=" 02:.+((SYSTEM_STATE.+slice.+state.+changed )|(ment ac)|(system.+state.+changed )|(\|lc)|(penalty)|(\[timeout)|(PRM\|1\|D)|(kpr)|(kdp))" /e /r /s</v>
      </c>
      <c r="AG137" s="1" t="str">
        <f t="shared" si="44"/>
        <v>EC</v>
      </c>
      <c r="AH137" s="100" t="str">
        <f t="shared" si="45"/>
        <v>"%USERPROFILE%\Documents\GitHub\eaglep3\Utilities\RefineRTDCRunTimes.py" --tripid 225-02 --locoid 4038 --swversion DE.1.0.7.0 --startMP 204:455 --initTime 2016-09-02T19:46:39 --startdatetime 2016-09-02T20:00:35 --delay 1 --endMP 204:233315 --enddatetime 2016-09-02T20:36:36 --enforcementcount 1 &gt;&gt;C:\Users\stu\Documents\GitHub\eaglep3-reporting\EC\2016-09-02-refined-times.txt</v>
      </c>
      <c r="AI137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{"issue":{"subject":"","project_id":79,"tracker_id":40,"status_id":1,"priority_id":2,"assigned_to_id":23,"start_date":"2016-09-02","description":"","custom_fields":[{"id":1,"name":"Subdivision","value":"EC"},{"id":4,"name":"Milepost","value":"23.286"},{"id":17,"name":"Train ID","value":"225-02"},{"id":16,"name":"Locomotive ID","value":"4038"},{"id":130,"name":"Impact","value":""},{"id":150,"name":"Time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537</v>
      </c>
      <c r="B138" s="7">
        <v>4037</v>
      </c>
      <c r="C138" s="24" t="s">
        <v>113</v>
      </c>
      <c r="D138" s="24" t="s">
        <v>180</v>
      </c>
      <c r="E138" s="15">
        <v>42615.867384259262</v>
      </c>
      <c r="F138" s="15">
        <v>42615.872662037036</v>
      </c>
      <c r="G138" s="7">
        <v>1</v>
      </c>
      <c r="H138" s="15" t="s">
        <v>538</v>
      </c>
      <c r="I138" s="15">
        <v>42615.899756944447</v>
      </c>
      <c r="J138" s="7">
        <v>1</v>
      </c>
      <c r="K138" s="132" t="str">
        <f t="shared" si="32"/>
        <v>4037/4038</v>
      </c>
      <c r="L138" s="24" t="str">
        <f>VLOOKUP(A138,'Trips&amp;Operators'!$C$1:$E$10000,3,FALSE)</f>
        <v>OUN</v>
      </c>
      <c r="M138" s="6">
        <f t="shared" si="33"/>
        <v>2.7094907411083113E-2</v>
      </c>
      <c r="N138" s="7">
        <f t="shared" si="51"/>
        <v>39.016666671959683</v>
      </c>
      <c r="O138" s="7"/>
      <c r="P138" s="7"/>
      <c r="Q138" s="25"/>
      <c r="R138" s="25"/>
      <c r="S138" s="37">
        <f t="shared" si="34"/>
        <v>1</v>
      </c>
      <c r="T138" s="52" t="str">
        <f t="shared" si="35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8" s="54" t="str">
        <f t="shared" si="37"/>
        <v>N</v>
      </c>
      <c r="X138" s="120">
        <f t="shared" si="53"/>
        <v>1</v>
      </c>
      <c r="Y138" s="69">
        <f t="shared" si="38"/>
        <v>23.2989</v>
      </c>
      <c r="Z138" s="69">
        <f t="shared" si="39"/>
        <v>9.3299999999999994E-2</v>
      </c>
      <c r="AA138" s="69">
        <f t="shared" si="40"/>
        <v>23.2056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41"/>
        <v>0226-02</v>
      </c>
      <c r="AE138" s="99" t="str">
        <f t="shared" si="42"/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AF138" s="96" t="str">
        <f t="shared" si="43"/>
        <v>"C:\Program Files (x86)\AstroGrep\AstroGrep.exe" /spath="%USERPROFILE%\AppData\Local\Temp\OnboardLogs" /stypes="*4037*20160903*" /stext=" 03:.+((SYSTEM_STATE.+slice.+state.+changed )|(ment ac)|(system.+state.+changed )|(\|lc)|(penalty)|(\[timeout)|(PRM\|1\|D)|(kpr)|(kdp))" /e /r /s</v>
      </c>
      <c r="AG138" s="1" t="str">
        <f t="shared" si="44"/>
        <v>EC</v>
      </c>
      <c r="AH138" s="100" t="str">
        <f t="shared" si="45"/>
        <v>"%USERPROFILE%\Documents\GitHub\eaglep3\Utilities\RefineRTDCRunTimes.py" --tripid 226-02 --locoid 4037 --swversion DE.1.0.7.0 --startMP 204:232989 --initTime 2016-09-02T20:49:02 --startdatetime 2016-09-02T20:56:38 --delay 1 --endMP 204:933 --enddatetime 2016-09-02T21:35:39 --enforcementcount 1 &gt;&gt;C:\Users\stu\Documents\GitHub\eaglep3-reporting\EC\2016-09-02-refined-times.txt</v>
      </c>
      <c r="AI138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{"issue":{"subject":"","project_id":79,"tracker_id":40,"status_id":1,"priority_id":2,"assigned_to_id":23,"start_date":"2016-09-02","description":"","custom_fields":[{"id":1,"name":"Subdivision","value":"EC"},{"id":4,"name":"Milepost","value":"23.2056"},{"id":17,"name":"Train ID","value":"226-02"},{"id":16,"name":"Locomotive ID","value":"4037"},{"id":130,"name":"Impact","value":""},{"id":150,"name":"Time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539</v>
      </c>
      <c r="B139" s="7">
        <v>4044</v>
      </c>
      <c r="C139" s="24" t="s">
        <v>113</v>
      </c>
      <c r="D139" s="24" t="s">
        <v>135</v>
      </c>
      <c r="E139" s="15">
        <v>42615.850243055553</v>
      </c>
      <c r="F139" s="15">
        <v>42615.854467592595</v>
      </c>
      <c r="G139" s="7">
        <v>1</v>
      </c>
      <c r="H139" s="15" t="s">
        <v>245</v>
      </c>
      <c r="I139" s="15">
        <v>42615.880069444444</v>
      </c>
      <c r="J139" s="7">
        <v>1</v>
      </c>
      <c r="K139" s="132" t="str">
        <f t="shared" si="32"/>
        <v>4043/4044</v>
      </c>
      <c r="L139" s="24" t="str">
        <f>VLOOKUP(A139,'Trips&amp;Operators'!$C$1:$E$10000,3,FALSE)</f>
        <v>HILLS</v>
      </c>
      <c r="M139" s="6">
        <f t="shared" si="33"/>
        <v>2.5601851848477963E-2</v>
      </c>
      <c r="N139" s="7">
        <f t="shared" si="51"/>
        <v>36.866666661808267</v>
      </c>
      <c r="O139" s="7"/>
      <c r="P139" s="7"/>
      <c r="Q139" s="25"/>
      <c r="R139" s="25"/>
      <c r="S139" s="37">
        <f t="shared" si="34"/>
        <v>1</v>
      </c>
      <c r="T139" s="52" t="str">
        <f t="shared" si="35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19:24:21-0600',mode:absolute,to:'2016-09-02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9" s="54" t="str">
        <f t="shared" si="37"/>
        <v>N</v>
      </c>
      <c r="X139" s="120">
        <f t="shared" si="53"/>
        <v>1</v>
      </c>
      <c r="Y139" s="69">
        <f t="shared" si="38"/>
        <v>4.4900000000000002E-2</v>
      </c>
      <c r="Z139" s="69">
        <f t="shared" si="39"/>
        <v>23.3308</v>
      </c>
      <c r="AA139" s="69">
        <f t="shared" si="40"/>
        <v>23.285900000000002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41"/>
        <v>0227-02</v>
      </c>
      <c r="AE139" s="99" t="str">
        <f t="shared" si="42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39" s="96" t="str">
        <f t="shared" si="43"/>
        <v>"C:\Program Files (x86)\AstroGrep\AstroGrep.exe" /spath="%USERPROFILE%\AppData\Local\Temp\OnboardLogs" /stypes="*4044*20160903*" /stext=" 03:.+((SYSTEM_STATE.+slice.+state.+changed )|(ment ac)|(system.+state.+changed )|(\|lc)|(penalty)|(\[timeout)|(PRM\|1\|D)|(kpr)|(kdp))" /e /r /s</v>
      </c>
      <c r="AG139" s="1" t="str">
        <f t="shared" si="44"/>
        <v>EC</v>
      </c>
      <c r="AH139" s="100" t="str">
        <f t="shared" si="45"/>
        <v>"%USERPROFILE%\Documents\GitHub\eaglep3\Utilities\RefineRTDCRunTimes.py" --tripid 227-02 --locoid 4044 --swversion DE.1.0.7.0 --startMP 204:449 --initTime 2016-09-02T20:24:21 --startdatetime 2016-09-02T20:30:26 --delay 1 --endMP 204:233308 --enddatetime 2016-09-02T21:07:18 --enforcementcount 1 &gt;&gt;C:\Users\stu\Documents\GitHub\eaglep3-reporting\EC\2016-09-02-refined-times.txt</v>
      </c>
      <c r="AI139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{"issue":{"subject":"","project_id":79,"tracker_id":40,"status_id":1,"priority_id":2,"assigned_to_id":23,"start_date":"2016-09-02","description":"","custom_fields":[{"id":1,"name":"Subdivision","value":"EC"},{"id":4,"name":"Milepost","value":"23.2859"},{"id":17,"name":"Train ID","value":"227-02"},{"id":16,"name":"Locomotive ID","value":"4044"},{"id":130,"name":"Impact","value":""},{"id":150,"name":"Time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540</v>
      </c>
      <c r="B140" s="7">
        <v>4043</v>
      </c>
      <c r="C140" s="24" t="s">
        <v>113</v>
      </c>
      <c r="D140" s="24" t="s">
        <v>258</v>
      </c>
      <c r="E140" s="15">
        <v>42615.88863425926</v>
      </c>
      <c r="F140" s="15">
        <v>42615.893495370372</v>
      </c>
      <c r="G140" s="7">
        <v>1</v>
      </c>
      <c r="H140" s="15" t="s">
        <v>541</v>
      </c>
      <c r="I140" s="15">
        <v>42615.922650462962</v>
      </c>
      <c r="J140" s="7">
        <v>1</v>
      </c>
      <c r="K140" s="132" t="str">
        <f t="shared" si="32"/>
        <v>4043/4044</v>
      </c>
      <c r="L140" s="24" t="str">
        <f>VLOOKUP(A140,'Trips&amp;Operators'!$C$1:$E$10000,3,FALSE)</f>
        <v>HILLS</v>
      </c>
      <c r="M140" s="6">
        <f t="shared" si="33"/>
        <v>2.9155092590372078E-2</v>
      </c>
      <c r="N140" s="7">
        <f t="shared" si="51"/>
        <v>41.983333330135792</v>
      </c>
      <c r="O140" s="7"/>
      <c r="P140" s="7"/>
      <c r="Q140" s="25"/>
      <c r="R140" s="25"/>
      <c r="S140" s="37">
        <f t="shared" si="34"/>
        <v>1</v>
      </c>
      <c r="T140" s="52" t="str">
        <f t="shared" si="35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https://search-rtdc-monitor-bjffxe2xuh6vdkpspy63sjmuny.us-east-1.es.amazonaws.com/_plugin/kibana/#/discover/Steve-Slow-Train-Analysis-(2080s-and-2083s)?_g=(refreshInterval:(display:Off,section:0,value:0),time:(from:'2016-09-02 20:19:38-0600',mode:absolute,to:'2016-09-02 23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0" s="54" t="str">
        <f t="shared" si="37"/>
        <v>N</v>
      </c>
      <c r="X140" s="120">
        <f t="shared" si="53"/>
        <v>1</v>
      </c>
      <c r="Y140" s="69">
        <f t="shared" si="38"/>
        <v>23.299600000000002</v>
      </c>
      <c r="Z140" s="69">
        <f t="shared" si="39"/>
        <v>1.67E-2</v>
      </c>
      <c r="AA140" s="69">
        <f t="shared" si="40"/>
        <v>23.282900000000001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41"/>
        <v>0228-02</v>
      </c>
      <c r="AE140" s="99" t="str">
        <f t="shared" si="42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140" s="96" t="str">
        <f t="shared" si="43"/>
        <v>"C:\Program Files (x86)\AstroGrep\AstroGrep.exe" /spath="%USERPROFILE%\AppData\Local\Temp\OnboardLogs" /stypes="*4043*20160903*" /stext=" 04:.+((SYSTEM_STATE.+slice.+state.+changed )|(ment ac)|(system.+state.+changed )|(\|lc)|(penalty)|(\[timeout)|(PRM\|1\|D)|(kpr)|(kdp))" /e /r /s</v>
      </c>
      <c r="AG140" s="1" t="str">
        <f t="shared" si="44"/>
        <v>EC</v>
      </c>
      <c r="AH140" s="100" t="str">
        <f t="shared" si="45"/>
        <v>"%USERPROFILE%\Documents\GitHub\eaglep3\Utilities\RefineRTDCRunTimes.py" --tripid 228-02 --locoid 4043 --swversion DE.1.0.7.0 --startMP 204:232996 --initTime 2016-09-02T21:19:38 --startdatetime 2016-09-02T21:26:38 --delay 1 --endMP 204:167 --enddatetime 2016-09-02T22:08:37 --enforcementcount 1 &gt;&gt;C:\Users\stu\Documents\GitHub\eaglep3-reporting\EC\2016-09-02-refined-times.txt</v>
      </c>
      <c r="AI140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{"issue":{"subject":"","project_id":79,"tracker_id":40,"status_id":1,"priority_id":2,"assigned_to_id":23,"start_date":"2016-09-02","description":"","custom_fields":[{"id":1,"name":"Subdivision","value":"EC"},{"id":4,"name":"Milepost","value":"23.2829"},{"id":17,"name":"Train ID","value":"228-02"},{"id":16,"name":"Locomotive ID","value":"4043"},{"id":130,"name":"Impact","value":""},{"id":150,"name":"Time of Event (Mountain Time)","value":"22:08:37"},{"id":151,"name":"Denver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542</v>
      </c>
      <c r="B141" s="7">
        <v>4031</v>
      </c>
      <c r="C141" s="24" t="s">
        <v>113</v>
      </c>
      <c r="D141" s="24" t="s">
        <v>177</v>
      </c>
      <c r="E141" s="15">
        <v>42615.870520833334</v>
      </c>
      <c r="F141" s="15">
        <v>42615.875324074077</v>
      </c>
      <c r="G141" s="7">
        <v>6</v>
      </c>
      <c r="H141" s="15" t="s">
        <v>290</v>
      </c>
      <c r="I141" s="15">
        <v>42615.90116898148</v>
      </c>
      <c r="J141" s="7">
        <v>1</v>
      </c>
      <c r="K141" s="132" t="str">
        <f t="shared" ref="K141:K204" si="54">IF(ISEVEN(B141),(B141-1)&amp;"/"&amp;B141,B141&amp;"/"&amp;(B141+1))</f>
        <v>4031/4032</v>
      </c>
      <c r="L141" s="24" t="str">
        <f>VLOOKUP(A141,'Trips&amp;Operators'!$C$1:$E$10000,3,FALSE)</f>
        <v>HAITHCOX</v>
      </c>
      <c r="M141" s="6">
        <f t="shared" ref="M141:M204" si="55">I141-F141</f>
        <v>2.5844907402643003E-2</v>
      </c>
      <c r="N141" s="7">
        <f t="shared" si="51"/>
        <v>37.216666659805924</v>
      </c>
      <c r="O141" s="7"/>
      <c r="P141" s="7"/>
      <c r="Q141" s="25"/>
      <c r="R141" s="25"/>
      <c r="S141" s="37">
        <f t="shared" ref="S141:S204" si="56">SUM(U141:U141)/IF(AG141="EC",12,1)</f>
        <v>1</v>
      </c>
      <c r="T141" s="52" t="str">
        <f t="shared" ref="T141:T204" si="57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https://search-rtdc-monitor-bjffxe2xuh6vdkpspy63sjmuny.us-east-1.es.amazonaws.com/_plugin/kibana/#/discover/Steve-Slow-Train-Analysis-(2080s-and-2083s)?_g=(refreshInterval:(display:Off,section:0,value:0),time:(from:'2016-09-02 19:53:33-0600',mode:absolute,to:'2016-09-02 22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ref="W141:W204" si="59">IF(AA141&lt;IF(AG141="EC",23,5.65),"Y","N")</f>
        <v>N</v>
      </c>
      <c r="X141" s="120">
        <f t="shared" si="53"/>
        <v>1</v>
      </c>
      <c r="Y141" s="69">
        <f t="shared" ref="Y141:Y204" si="60">RIGHT(D141,LEN(D141)-4)/10000</f>
        <v>4.5999999999999999E-2</v>
      </c>
      <c r="Z141" s="69">
        <f t="shared" ref="Z141:Z204" si="61">RIGHT(H141,LEN(H141)-4)/10000</f>
        <v>23.331700000000001</v>
      </c>
      <c r="AA141" s="69">
        <f t="shared" ref="AA141:AA204" si="62">ABS(Z141-Y141)</f>
        <v>23.285700000000002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63">IF(LEN(A141)=6,"0"&amp;A141,A141)</f>
        <v>0229-02</v>
      </c>
      <c r="AE141" s="99" t="str">
        <f t="shared" ref="AE141:AE204" si="64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141" s="96" t="str">
        <f t="shared" ref="AF141:AF204" si="65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/stypes="*4031*20160903*" /stext=" 03:.+((SYSTEM_STATE.+slice.+state.+changed )|(ment ac)|(system.+state.+changed )|(\|lc)|(penalty)|(\[timeout)|(PRM\|1\|D)|(kpr)|(kdp))" /e /r /s</v>
      </c>
      <c r="AG141" s="1" t="str">
        <f t="shared" ref="AG141:AG204" si="66">IFERROR(IF(VALUE(LEFT(AD141,2))&lt;=2,"EC",IF(OR(VALUE(LEFT(AD141,2))=8,VALUE(LEFT(AD141,2))=18),"NW","Other")),"Other")</f>
        <v>EC</v>
      </c>
      <c r="AH141" s="100" t="str">
        <f t="shared" si="45"/>
        <v>"%USERPROFILE%\Documents\GitHub\eaglep3\Utilities\RefineRTDCRunTimes.py" --tripid 229-02 --locoid 4031 --swversion DE.1.0.7.0 --startMP 204:460 --initTime 2016-09-02T20:53:33 --startdatetime 2016-09-02T21:00:28 --delay 6 --endMP 204:233317 --enddatetime 2016-09-02T21:37:41 --enforcementcount 1 &gt;&gt;C:\Users\stu\Documents\GitHub\eaglep3-reporting\EC\2016-09-02-refined-times.txt</v>
      </c>
      <c r="AI141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{"issue":{"subject":"","project_id":79,"tracker_id":40,"status_id":1,"priority_id":2,"assigned_to_id":23,"start_date":"2016-09-02","description":"","custom_fields":[{"id":1,"name":"Subdivision","value":"EC"},{"id":4,"name":"Milepost","value":"23.2857"},{"id":17,"name":"Train ID","value":"229-02"},{"id":16,"name":"Locomotive ID","value":"4031"},{"id":130,"name":"Impact","value":""},{"id":150,"name":"Time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543</v>
      </c>
      <c r="B142" s="7">
        <v>4032</v>
      </c>
      <c r="C142" s="24" t="s">
        <v>113</v>
      </c>
      <c r="D142" s="24" t="s">
        <v>180</v>
      </c>
      <c r="E142" s="15">
        <v>42615.909953703704</v>
      </c>
      <c r="F142" s="15">
        <v>42615.9141087963</v>
      </c>
      <c r="G142" s="7">
        <v>4</v>
      </c>
      <c r="H142" s="15" t="s">
        <v>132</v>
      </c>
      <c r="I142" s="15">
        <v>42615.941655092596</v>
      </c>
      <c r="J142" s="7">
        <v>1</v>
      </c>
      <c r="K142" s="132" t="str">
        <f t="shared" si="54"/>
        <v>4031/4032</v>
      </c>
      <c r="L142" s="24" t="str">
        <f>VLOOKUP(A142,'Trips&amp;Operators'!$C$1:$E$10000,3,FALSE)</f>
        <v>HAITHCOX</v>
      </c>
      <c r="M142" s="6">
        <f t="shared" si="55"/>
        <v>2.7546296296350192E-2</v>
      </c>
      <c r="N142" s="7">
        <f t="shared" si="51"/>
        <v>39.666666666744277</v>
      </c>
      <c r="O142" s="7"/>
      <c r="P142" s="7"/>
      <c r="Q142" s="25"/>
      <c r="R142" s="25"/>
      <c r="S142" s="37">
        <f t="shared" si="56"/>
        <v>1</v>
      </c>
      <c r="T142" s="52" t="str">
        <f t="shared" si="57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20:50:20-0600',mode:absolute,to:'2016-09-02 23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59"/>
        <v>N</v>
      </c>
      <c r="X142" s="120">
        <f t="shared" si="53"/>
        <v>1</v>
      </c>
      <c r="Y142" s="69">
        <f t="shared" si="60"/>
        <v>23.2989</v>
      </c>
      <c r="Z142" s="69">
        <f t="shared" si="61"/>
        <v>1.47E-2</v>
      </c>
      <c r="AA142" s="69">
        <f t="shared" si="62"/>
        <v>23.284199999999998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63"/>
        <v>0230-02</v>
      </c>
      <c r="AE142" s="99" t="str">
        <f t="shared" si="64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142" s="96" t="str">
        <f t="shared" si="65"/>
        <v>"C:\Program Files (x86)\AstroGrep\AstroGrep.exe" /spath="%USERPROFILE%\AppData\Local\Temp\OnboardLogs" /stypes="*4032*20160903*" /stext=" 04:.+((SYSTEM_STATE.+slice.+state.+changed )|(ment ac)|(system.+state.+changed )|(\|lc)|(penalty)|(\[timeout)|(PRM\|1\|D)|(kpr)|(kdp))" /e /r /s</v>
      </c>
      <c r="AG142" s="1" t="str">
        <f t="shared" si="66"/>
        <v>EC</v>
      </c>
      <c r="AH142" s="100" t="str">
        <f t="shared" si="45"/>
        <v>"%USERPROFILE%\Documents\GitHub\eaglep3\Utilities\RefineRTDCRunTimes.py" --tripid 230-02 --locoid 4032 --swversion DE.1.0.7.0 --startMP 204:232989 --initTime 2016-09-02T21:50:20 --startdatetime 2016-09-02T21:56:19 --delay 4 --endMP 204:147 --enddatetime 2016-09-02T22:35:59 --enforcementcount 1 &gt;&gt;C:\Users\stu\Documents\GitHub\eaglep3-reporting\EC\2016-09-02-refined-times.txt</v>
      </c>
      <c r="AI142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{"issue":{"subject":"","project_id":79,"tracker_id":40,"status_id":1,"priority_id":2,"assigned_to_id":23,"start_date":"2016-09-02","description":"","custom_fields":[{"id":1,"name":"Subdivision","value":"EC"},{"id":4,"name":"Milepost","value":"23.2842"},{"id":17,"name":"Train ID","value":"230-02"},{"id":16,"name":"Locomotive ID","value":"4032"},{"id":130,"name":"Impact","value":""},{"id":150,"name":"Time of Event (Mountain Time)","value":"22:35:59"},{"id":151,"name":"Denver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544</v>
      </c>
      <c r="B143" s="7">
        <v>4046</v>
      </c>
      <c r="C143" s="24" t="s">
        <v>113</v>
      </c>
      <c r="D143" s="24" t="s">
        <v>248</v>
      </c>
      <c r="E143" s="15">
        <v>42615.892997685187</v>
      </c>
      <c r="F143" s="15">
        <v>42615.896099537036</v>
      </c>
      <c r="G143" s="7">
        <v>1</v>
      </c>
      <c r="H143" s="15" t="s">
        <v>545</v>
      </c>
      <c r="I143" s="15">
        <v>42615.921377314815</v>
      </c>
      <c r="J143" s="7">
        <v>1</v>
      </c>
      <c r="K143" s="132" t="str">
        <f t="shared" si="54"/>
        <v>4045/4046</v>
      </c>
      <c r="L143" s="24" t="str">
        <f>VLOOKUP(A143,'Trips&amp;Operators'!$C$1:$E$10000,3,FALSE)</f>
        <v>YANAI</v>
      </c>
      <c r="M143" s="6">
        <f t="shared" si="55"/>
        <v>2.527777777868323E-2</v>
      </c>
      <c r="N143" s="7">
        <f t="shared" si="51"/>
        <v>36.400000001303852</v>
      </c>
      <c r="O143" s="7"/>
      <c r="P143" s="7"/>
      <c r="Q143" s="25"/>
      <c r="R143" s="25"/>
      <c r="S143" s="37">
        <f t="shared" si="56"/>
        <v>1</v>
      </c>
      <c r="T143" s="52" t="str">
        <f t="shared" si="57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20:25:55-0600',mode:absolute,to:'2016-09-02 23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43" s="54" t="str">
        <f t="shared" si="59"/>
        <v>N</v>
      </c>
      <c r="X143" s="120">
        <f t="shared" si="53"/>
        <v>1</v>
      </c>
      <c r="Y143" s="69">
        <f t="shared" si="60"/>
        <v>4.4600000000000001E-2</v>
      </c>
      <c r="Z143" s="69">
        <f t="shared" si="61"/>
        <v>23.329799999999999</v>
      </c>
      <c r="AA143" s="69">
        <f t="shared" si="62"/>
        <v>23.2852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63"/>
        <v>0231-02</v>
      </c>
      <c r="AE143" s="99" t="str">
        <f t="shared" si="64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43" s="96" t="str">
        <f t="shared" si="65"/>
        <v>"C:\Program Files (x86)\AstroGrep\AstroGrep.exe" /spath="%USERPROFILE%\AppData\Local\Temp\OnboardLogs" /stypes="*4046*20160903*" /stext=" 04:.+((SYSTEM_STATE.+slice.+state.+changed )|(ment ac)|(system.+state.+changed )|(\|lc)|(penalty)|(\[timeout)|(PRM\|1\|D)|(kpr)|(kdp))" /e /r /s</v>
      </c>
      <c r="AG143" s="1" t="str">
        <f t="shared" si="66"/>
        <v>EC</v>
      </c>
      <c r="AH143" s="100" t="str">
        <f t="shared" si="45"/>
        <v>"%USERPROFILE%\Documents\GitHub\eaglep3\Utilities\RefineRTDCRunTimes.py" --tripid 231-02 --locoid 4046 --swversion DE.1.0.7.0 --startMP 204:446 --initTime 2016-09-02T21:25:55 --startdatetime 2016-09-02T21:30:23 --delay 1 --endMP 204:233298 --enddatetime 2016-09-02T22:06:47 --enforcementcount 1 &gt;&gt;C:\Users\stu\Documents\GitHub\eaglep3-reporting\EC\2016-09-02-refined-times.txt</v>
      </c>
      <c r="AI143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{"issue":{"subject":"","project_id":79,"tracker_id":40,"status_id":1,"priority_id":2,"assigned_to_id":23,"start_date":"2016-09-02","description":"","custom_fields":[{"id":1,"name":"Subdivision","value":"EC"},{"id":4,"name":"Milepost","value":"23.2852"},{"id":17,"name":"Train ID","value":"231-02"},{"id":16,"name":"Locomotive ID","value":"4046"},{"id":130,"name":"Impact","value":""},{"id":150,"name":"Time of Event (Mountain Time)","value":"22:06:47"},{"id":151,"name":"Denver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546</v>
      </c>
      <c r="B144" s="7">
        <v>4045</v>
      </c>
      <c r="C144" s="24" t="s">
        <v>113</v>
      </c>
      <c r="D144" s="24" t="s">
        <v>547</v>
      </c>
      <c r="E144" s="15">
        <v>42615.931238425925</v>
      </c>
      <c r="F144" s="15">
        <v>42615.934918981482</v>
      </c>
      <c r="G144" s="7">
        <v>1</v>
      </c>
      <c r="H144" s="15" t="s">
        <v>89</v>
      </c>
      <c r="I144" s="15">
        <v>42615.961921296293</v>
      </c>
      <c r="J144" s="7">
        <v>1</v>
      </c>
      <c r="K144" s="132" t="str">
        <f t="shared" si="54"/>
        <v>4045/4046</v>
      </c>
      <c r="L144" s="24" t="str">
        <f>VLOOKUP(A144,'Trips&amp;Operators'!$C$1:$E$10000,3,FALSE)</f>
        <v>YANAI</v>
      </c>
      <c r="M144" s="6">
        <f t="shared" si="55"/>
        <v>2.700231481139781E-2</v>
      </c>
      <c r="N144" s="7">
        <f t="shared" si="51"/>
        <v>38.883333328412846</v>
      </c>
      <c r="O144" s="7"/>
      <c r="P144" s="7"/>
      <c r="Q144" s="25"/>
      <c r="R144" s="25"/>
      <c r="S144" s="37">
        <f t="shared" si="56"/>
        <v>1</v>
      </c>
      <c r="T144" s="52" t="str">
        <f t="shared" si="57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21:20:59-0600',mode:absolute,to:'2016-09-03 00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44" s="54" t="str">
        <f t="shared" si="59"/>
        <v>N</v>
      </c>
      <c r="X144" s="120">
        <f t="shared" si="53"/>
        <v>1</v>
      </c>
      <c r="Y144" s="69">
        <f t="shared" si="60"/>
        <v>23.296800000000001</v>
      </c>
      <c r="Z144" s="69">
        <f t="shared" si="61"/>
        <v>1.43E-2</v>
      </c>
      <c r="AA144" s="69">
        <f t="shared" si="62"/>
        <v>23.282500000000002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63"/>
        <v>0232-02</v>
      </c>
      <c r="AE144" s="99" t="str">
        <f t="shared" si="64"/>
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</c>
      <c r="AF144" s="96" t="str">
        <f t="shared" si="65"/>
        <v>"C:\Program Files (x86)\AstroGrep\AstroGrep.exe" /spath="%USERPROFILE%\AppData\Local\Temp\OnboardLogs" /stypes="*4045*20160903*" /stext=" 05:.+((SYSTEM_STATE.+slice.+state.+changed )|(ment ac)|(system.+state.+changed )|(\|lc)|(penalty)|(\[timeout)|(PRM\|1\|D)|(kpr)|(kdp))" /e /r /s</v>
      </c>
      <c r="AG144" s="1" t="str">
        <f t="shared" si="66"/>
        <v>EC</v>
      </c>
      <c r="AH144" s="100" t="str">
        <f t="shared" si="45"/>
        <v>"%USERPROFILE%\Documents\GitHub\eaglep3\Utilities\RefineRTDCRunTimes.py" --tripid 232-02 --locoid 4045 --swversion DE.1.0.7.0 --startMP 204:232968 --initTime 2016-09-02T22:20:59 --startdatetime 2016-09-02T22:26:17 --delay 1 --endMP 204:143 --enddatetime 2016-09-02T23:05:10 --enforcementcount 1 &gt;&gt;C:\Users\stu\Documents\GitHub\eaglep3-reporting\EC\2016-09-02-refined-times.txt</v>
      </c>
      <c r="AI144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{"issue":{"subject":"","project_id":79,"tracker_id":40,"status_id":1,"priority_id":2,"assigned_to_id":23,"start_date":"2016-09-02","description":"","custom_fields":[{"id":1,"name":"Subdivision","value":"EC"},{"id":4,"name":"Milepost","value":"23.2825"},{"id":17,"name":"Train ID","value":"232-02"},{"id":16,"name":"Locomotive ID","value":"4045"},{"id":130,"name":"Impact","value":""},{"id":150,"name":"Time of Event (Mountain Time)","value":"23:05:10"},{"id":151,"name":"Denver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548</v>
      </c>
      <c r="B145" s="7">
        <v>4009</v>
      </c>
      <c r="C145" s="24" t="s">
        <v>113</v>
      </c>
      <c r="D145" s="24" t="s">
        <v>549</v>
      </c>
      <c r="E145" s="15">
        <v>42615.912141203706</v>
      </c>
      <c r="F145" s="15">
        <v>42615.916967592595</v>
      </c>
      <c r="G145" s="7">
        <v>1</v>
      </c>
      <c r="H145" s="15" t="s">
        <v>495</v>
      </c>
      <c r="I145" s="15">
        <v>42615.943576388891</v>
      </c>
      <c r="J145" s="7">
        <v>1</v>
      </c>
      <c r="K145" s="132" t="str">
        <f t="shared" si="54"/>
        <v>4009/4010</v>
      </c>
      <c r="L145" s="24" t="str">
        <f>VLOOKUP(A145,'Trips&amp;Operators'!$C$1:$E$10000,3,FALSE)</f>
        <v>CHANDLER</v>
      </c>
      <c r="M145" s="6">
        <f t="shared" si="55"/>
        <v>2.6608796295477077E-2</v>
      </c>
      <c r="N145" s="7">
        <f t="shared" si="51"/>
        <v>38.316666665486991</v>
      </c>
      <c r="O145" s="7"/>
      <c r="P145" s="7"/>
      <c r="Q145" s="25"/>
      <c r="R145" s="25"/>
      <c r="S145" s="37">
        <f t="shared" si="56"/>
        <v>1</v>
      </c>
      <c r="T145" s="52" t="str">
        <f t="shared" si="57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20:53:29-0600',mode:absolute,to:'2016-09-02 23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5" s="54" t="str">
        <f t="shared" si="59"/>
        <v>N</v>
      </c>
      <c r="X145" s="120">
        <f t="shared" si="53"/>
        <v>1</v>
      </c>
      <c r="Y145" s="69">
        <f t="shared" si="60"/>
        <v>4.9299999999999997E-2</v>
      </c>
      <c r="Z145" s="69">
        <f t="shared" si="61"/>
        <v>23.3261</v>
      </c>
      <c r="AA145" s="69">
        <f t="shared" si="62"/>
        <v>23.276800000000001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63"/>
        <v>0233-02</v>
      </c>
      <c r="AE145" s="99" t="str">
        <f t="shared" si="64"/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AF145" s="96" t="str">
        <f t="shared" si="65"/>
        <v>"C:\Program Files (x86)\AstroGrep\AstroGrep.exe" /spath="%USERPROFILE%\AppData\Local\Temp\OnboardLogs" /stypes="*4009*20160903*" /stext=" 04:.+((SYSTEM_STATE.+slice.+state.+changed )|(ment ac)|(system.+state.+changed )|(\|lc)|(penalty)|(\[timeout)|(PRM\|1\|D)|(kpr)|(kdp))" /e /r /s</v>
      </c>
      <c r="AG145" s="1" t="str">
        <f t="shared" si="66"/>
        <v>EC</v>
      </c>
      <c r="AH145" s="100" t="str">
        <f t="shared" si="45"/>
        <v>"%USERPROFILE%\Documents\GitHub\eaglep3\Utilities\RefineRTDCRunTimes.py" --tripid 233-02 --locoid 4009 --swversion DE.1.0.7.0 --startMP 204:493 --initTime 2016-09-02T21:53:29 --startdatetime 2016-09-02T22:00:26 --delay 1 --endMP 204:233261 --enddatetime 2016-09-02T22:38:45 --enforcementcount 1 &gt;&gt;C:\Users\stu\Documents\GitHub\eaglep3-reporting\EC\2016-09-02-refined-times.txt</v>
      </c>
      <c r="AI145" s="149" t="str">
        <f t="shared" si="46"/>
        <v>echo {"issue":{"subject":"","project_id":79,"tracker_id":40,"status_id":1,"priority_id":2,"assigned_to_id":23,"start_date":"2016-09-02","description":"","custom_fields":[{"id":1,"name":"Subdivision","value":"EC"},{"id":4,"name":"Milepost","value":"23.2768"},{"id":17,"name":"Train ID","value":"233-02"},{"id":16,"name":"Locomotive ID","value":"4009"},{"id":130,"name":"Impact","value":""},{"id":150,"name":"Time of Event (Mountain Time)","value":"22:38:45"},{"id":151,"name":"Denver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550</v>
      </c>
      <c r="B146" s="7">
        <v>4010</v>
      </c>
      <c r="C146" s="24" t="s">
        <v>113</v>
      </c>
      <c r="D146" s="24" t="s">
        <v>551</v>
      </c>
      <c r="E146" s="15">
        <v>42615.955011574071</v>
      </c>
      <c r="F146" s="15">
        <v>42615.95616898148</v>
      </c>
      <c r="G146" s="7">
        <v>1</v>
      </c>
      <c r="H146" s="15" t="s">
        <v>274</v>
      </c>
      <c r="I146" s="15">
        <v>42615.984976851854</v>
      </c>
      <c r="J146" s="7">
        <v>1</v>
      </c>
      <c r="K146" s="132" t="str">
        <f t="shared" si="54"/>
        <v>4009/4010</v>
      </c>
      <c r="L146" s="24" t="str">
        <f>VLOOKUP(A146,'Trips&amp;Operators'!$C$1:$E$10000,3,FALSE)</f>
        <v>CHANDLER</v>
      </c>
      <c r="M146" s="6">
        <f t="shared" si="55"/>
        <v>2.8807870374293998E-2</v>
      </c>
      <c r="N146" s="7">
        <f t="shared" si="51"/>
        <v>41.483333338983357</v>
      </c>
      <c r="O146" s="7"/>
      <c r="P146" s="7"/>
      <c r="Q146" s="25"/>
      <c r="R146" s="25"/>
      <c r="S146" s="37">
        <f t="shared" si="56"/>
        <v>1</v>
      </c>
      <c r="T146" s="52" t="str">
        <f t="shared" si="57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21:55:13-0600',mode:absolute,to:'2016-09-03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6" s="54" t="str">
        <f t="shared" si="59"/>
        <v>N</v>
      </c>
      <c r="X146" s="120">
        <f t="shared" si="53"/>
        <v>1</v>
      </c>
      <c r="Y146" s="69">
        <f t="shared" si="60"/>
        <v>23.2959</v>
      </c>
      <c r="Z146" s="69">
        <f t="shared" si="61"/>
        <v>1.61E-2</v>
      </c>
      <c r="AA146" s="69">
        <f t="shared" si="62"/>
        <v>23.279799999999998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63"/>
        <v>0234-02</v>
      </c>
      <c r="AE146" s="99" t="str">
        <f t="shared" si="64"/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AF146" s="96" t="str">
        <f t="shared" si="65"/>
        <v>"C:\Program Files (x86)\AstroGrep\AstroGrep.exe" /spath="%USERPROFILE%\AppData\Local\Temp\OnboardLogs" /stypes="*4010*20160903*" /stext=" 05:.+((SYSTEM_STATE.+slice.+state.+changed )|(ment ac)|(system.+state.+changed )|(\|lc)|(penalty)|(\[timeout)|(PRM\|1\|D)|(kpr)|(kdp))" /e /r /s</v>
      </c>
      <c r="AG146" s="1" t="str">
        <f t="shared" si="66"/>
        <v>EC</v>
      </c>
      <c r="AH146" s="100" t="str">
        <f t="shared" ref="AH146:AH208" si="67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234-02 --locoid 4010 --swversion DE.1.0.7.0 --startMP 204:232959 --initTime 2016-09-02T22:55:13 --startdatetime 2016-09-02T22:56:53 --delay 1 --endMP 204:161 --enddatetime 2016-09-02T23:38:22 --enforcementcount 1 &gt;&gt;C:\Users\stu\Documents\GitHub\eaglep3-reporting\EC\2016-09-02-refined-times.txt</v>
      </c>
      <c r="AI146" s="149" t="str">
        <f t="shared" ref="AI146:AI208" si="68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AA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{"issue":{"subject":"","project_id":79,"tracker_id":40,"status_id":1,"priority_id":2,"assigned_to_id":23,"start_date":"2016-09-02","description":"","custom_fields":[{"id":1,"name":"Subdivision","value":"EC"},{"id":4,"name":"Milepost","value":"23.2798"},{"id":17,"name":"Train ID","value":"234-02"},{"id":16,"name":"Locomotive ID","value":"4010"},{"id":130,"name":"Impact","value":""},{"id":150,"name":"Time of Event (Mountain Time)","value":"23:38:22"},{"id":151,"name":"Denver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552</v>
      </c>
      <c r="B147" s="7">
        <v>4044</v>
      </c>
      <c r="C147" s="24" t="s">
        <v>113</v>
      </c>
      <c r="D147" s="24" t="s">
        <v>237</v>
      </c>
      <c r="E147" s="15">
        <v>42615.931215277778</v>
      </c>
      <c r="F147" s="15">
        <v>42615.937719907408</v>
      </c>
      <c r="G147" s="7">
        <v>5</v>
      </c>
      <c r="H147" s="15" t="s">
        <v>553</v>
      </c>
      <c r="I147" s="15">
        <v>42615.964317129627</v>
      </c>
      <c r="J147" s="7">
        <v>1</v>
      </c>
      <c r="K147" s="132" t="str">
        <f t="shared" si="54"/>
        <v>4043/4044</v>
      </c>
      <c r="L147" s="24" t="str">
        <f>VLOOKUP(A147,'Trips&amp;Operators'!$C$1:$E$10000,3,FALSE)</f>
        <v>HILLS</v>
      </c>
      <c r="M147" s="6">
        <f t="shared" si="55"/>
        <v>2.6597222218697425E-2</v>
      </c>
      <c r="N147" s="7">
        <f t="shared" si="51"/>
        <v>38.299999994924292</v>
      </c>
      <c r="O147" s="7"/>
      <c r="P147" s="7"/>
      <c r="Q147" s="25"/>
      <c r="R147" s="25"/>
      <c r="S147" s="37">
        <f t="shared" si="56"/>
        <v>1</v>
      </c>
      <c r="T147" s="52" t="str">
        <f t="shared" si="57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21:20:57-0600',mode:absolute,to:'2016-09-03 00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7" s="54" t="str">
        <f t="shared" si="59"/>
        <v>N</v>
      </c>
      <c r="X147" s="120">
        <f t="shared" si="53"/>
        <v>1</v>
      </c>
      <c r="Y147" s="69">
        <f t="shared" si="60"/>
        <v>4.6600000000000003E-2</v>
      </c>
      <c r="Z147" s="69">
        <f t="shared" si="61"/>
        <v>23.328199999999999</v>
      </c>
      <c r="AA147" s="69">
        <f t="shared" si="62"/>
        <v>23.281599999999997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63"/>
        <v>0235-02</v>
      </c>
      <c r="AE147" s="99" t="str">
        <f t="shared" si="64"/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AF147" s="96" t="str">
        <f t="shared" si="65"/>
        <v>"C:\Program Files (x86)\AstroGrep\AstroGrep.exe" /spath="%USERPROFILE%\AppData\Local\Temp\OnboardLogs" /stypes="*4044*20160903*" /stext=" 05:.+((SYSTEM_STATE.+slice.+state.+changed )|(ment ac)|(system.+state.+changed )|(\|lc)|(penalty)|(\[timeout)|(PRM\|1\|D)|(kpr)|(kdp))" /e /r /s</v>
      </c>
      <c r="AG147" s="1" t="str">
        <f t="shared" si="66"/>
        <v>EC</v>
      </c>
      <c r="AH147" s="100" t="str">
        <f t="shared" si="67"/>
        <v>"%USERPROFILE%\Documents\GitHub\eaglep3\Utilities\RefineRTDCRunTimes.py" --tripid 235-02 --locoid 4044 --swversion DE.1.0.7.0 --startMP 204:466 --initTime 2016-09-02T22:20:57 --startdatetime 2016-09-02T22:30:19 --delay 5 --endMP 204:233282 --enddatetime 2016-09-02T23:08:37 --enforcementcount 1 &gt;&gt;C:\Users\stu\Documents\GitHub\eaglep3-reporting\EC\2016-09-02-refined-times.txt</v>
      </c>
      <c r="AI147" s="149" t="str">
        <f t="shared" si="68"/>
        <v>echo {"issue":{"subject":"","project_id":79,"tracker_id":40,"status_id":1,"priority_id":2,"assigned_to_id":23,"start_date":"2016-09-02","description":"","custom_fields":[{"id":1,"name":"Subdivision","value":"EC"},{"id":4,"name":"Milepost","value":"23.2816"},{"id":17,"name":"Train ID","value":"235-02"},{"id":16,"name":"Locomotive ID","value":"4044"},{"id":130,"name":"Impact","value":""},{"id":150,"name":"Time of Event (Mountain Time)","value":"23:08:37"},{"id":151,"name":"Denver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554</v>
      </c>
      <c r="B148" s="7">
        <v>4043</v>
      </c>
      <c r="C148" s="24" t="s">
        <v>113</v>
      </c>
      <c r="D148" s="24" t="s">
        <v>555</v>
      </c>
      <c r="E148" s="15">
        <v>42615.971898148149</v>
      </c>
      <c r="F148" s="15">
        <v>42615.976689814815</v>
      </c>
      <c r="G148" s="7">
        <v>1</v>
      </c>
      <c r="H148" s="15" t="s">
        <v>556</v>
      </c>
      <c r="I148" s="15">
        <v>42616.004699074074</v>
      </c>
      <c r="J148" s="7">
        <v>1</v>
      </c>
      <c r="K148" s="132" t="str">
        <f t="shared" si="54"/>
        <v>4043/4044</v>
      </c>
      <c r="L148" s="24" t="str">
        <f>VLOOKUP(A148,'Trips&amp;Operators'!$C$1:$E$10000,3,FALSE)</f>
        <v>HILLS</v>
      </c>
      <c r="M148" s="6">
        <f t="shared" si="55"/>
        <v>2.8009259258396924E-2</v>
      </c>
      <c r="N148" s="7">
        <f t="shared" si="51"/>
        <v>40.33333333209157</v>
      </c>
      <c r="O148" s="7"/>
      <c r="P148" s="7"/>
      <c r="Q148" s="25"/>
      <c r="R148" s="25"/>
      <c r="S148" s="37">
        <f t="shared" si="56"/>
        <v>1</v>
      </c>
      <c r="T148" s="52" t="str">
        <f t="shared" si="57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22:19:32-0600',mode:absolute,to:'2016-09-03 01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8" s="54" t="str">
        <f t="shared" si="59"/>
        <v>N</v>
      </c>
      <c r="X148" s="120">
        <f t="shared" si="53"/>
        <v>1</v>
      </c>
      <c r="Y148" s="69">
        <f t="shared" si="60"/>
        <v>23.296900000000001</v>
      </c>
      <c r="Z148" s="69">
        <f t="shared" si="61"/>
        <v>1.7000000000000001E-2</v>
      </c>
      <c r="AA148" s="69">
        <f t="shared" si="62"/>
        <v>23.279900000000001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63"/>
        <v>0236-02</v>
      </c>
      <c r="AE148" s="99" t="str">
        <f t="shared" si="64"/>
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</c>
      <c r="AF148" s="96" t="str">
        <f t="shared" si="65"/>
        <v>"C:\Program Files (x86)\AstroGrep\AstroGrep.exe" /spath="%USERPROFILE%\AppData\Local\Temp\OnboardLogs" /stypes="*4043*20160903*" /stext=" 06:.+((SYSTEM_STATE.+slice.+state.+changed )|(ment ac)|(system.+state.+changed )|(\|lc)|(penalty)|(\[timeout)|(PRM\|1\|D)|(kpr)|(kdp))" /e /r /s</v>
      </c>
      <c r="AG148" s="1" t="str">
        <f t="shared" si="66"/>
        <v>EC</v>
      </c>
      <c r="AH148" s="100" t="str">
        <f t="shared" si="67"/>
        <v>"%USERPROFILE%\Documents\GitHub\eaglep3\Utilities\RefineRTDCRunTimes.py" --tripid 236-02 --locoid 4043 --swversion DE.1.0.7.0 --startMP 204:232969 --initTime 2016-09-02T23:19:32 --startdatetime 2016-09-02T23:26:26 --delay 1 --endMP 204:170 --enddatetime 2016-09-03T00:06:46 --enforcementcount 1 &gt;&gt;C:\Users\stu\Documents\GitHub\eaglep3-reporting\EC\2016-09-02-refined-times.txt</v>
      </c>
      <c r="AI148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{"issue":{"subject":"","project_id":79,"tracker_id":40,"status_id":1,"priority_id":2,"assigned_to_id":23,"start_date":"2016-09-03","description":"","custom_fields":[{"id":1,"name":"Subdivision","value":"EC"},{"id":4,"name":"Milepost","value":"23.2799"},{"id":17,"name":"Train ID","value":"236-02"},{"id":16,"name":"Locomotive ID","value":"4043"},{"id":130,"name":"Impact","value":""},{"id":150,"name":"Time of Event (Mountain Time)","value":"00:06:46"},{"id":151,"name":"Denver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557</v>
      </c>
      <c r="B149" s="7">
        <v>4031</v>
      </c>
      <c r="C149" s="24" t="s">
        <v>113</v>
      </c>
      <c r="D149" s="24" t="s">
        <v>397</v>
      </c>
      <c r="E149" s="15">
        <v>42615.95585648148</v>
      </c>
      <c r="F149" s="15">
        <v>42615.958761574075</v>
      </c>
      <c r="G149" s="7">
        <v>1</v>
      </c>
      <c r="H149" s="15" t="s">
        <v>260</v>
      </c>
      <c r="I149" s="15">
        <v>42615.984675925924</v>
      </c>
      <c r="J149" s="7">
        <v>1</v>
      </c>
      <c r="K149" s="132" t="str">
        <f t="shared" si="54"/>
        <v>4031/4032</v>
      </c>
      <c r="L149" s="24" t="str">
        <f>VLOOKUP(A149,'Trips&amp;Operators'!$C$1:$E$10000,3,FALSE)</f>
        <v>HAITHCOX</v>
      </c>
      <c r="M149" s="6">
        <f t="shared" si="55"/>
        <v>2.5914351848769002E-2</v>
      </c>
      <c r="N149" s="7">
        <f t="shared" si="51"/>
        <v>37.316666662227362</v>
      </c>
      <c r="O149" s="7"/>
      <c r="P149" s="7"/>
      <c r="Q149" s="25"/>
      <c r="R149" s="25"/>
      <c r="S149" s="37">
        <f t="shared" si="56"/>
        <v>1</v>
      </c>
      <c r="T149" s="52" t="str">
        <f t="shared" si="57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21:56:26-0600',mode:absolute,to:'2016-09-03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59"/>
        <v>N</v>
      </c>
      <c r="X149" s="120">
        <f t="shared" si="53"/>
        <v>1</v>
      </c>
      <c r="Y149" s="69">
        <f t="shared" si="60"/>
        <v>4.3099999999999999E-2</v>
      </c>
      <c r="Z149" s="69">
        <f t="shared" si="61"/>
        <v>23.3307</v>
      </c>
      <c r="AA149" s="69">
        <f t="shared" si="62"/>
        <v>23.287600000000001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63"/>
        <v>0237-02</v>
      </c>
      <c r="AE149" s="99" t="str">
        <f t="shared" si="64"/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AF149" s="96" t="str">
        <f t="shared" si="65"/>
        <v>"C:\Program Files (x86)\AstroGrep\AstroGrep.exe" /spath="%USERPROFILE%\AppData\Local\Temp\OnboardLogs" /stypes="*4031*20160903*" /stext=" 05:.+((SYSTEM_STATE.+slice.+state.+changed )|(ment ac)|(system.+state.+changed )|(\|lc)|(penalty)|(\[timeout)|(PRM\|1\|D)|(kpr)|(kdp))" /e /r /s</v>
      </c>
      <c r="AG149" s="1" t="str">
        <f t="shared" si="66"/>
        <v>EC</v>
      </c>
      <c r="AH149" s="100" t="str">
        <f t="shared" si="67"/>
        <v>"%USERPROFILE%\Documents\GitHub\eaglep3\Utilities\RefineRTDCRunTimes.py" --tripid 237-02 --locoid 4031 --swversion DE.1.0.7.0 --startMP 204:431 --initTime 2016-09-02T22:56:26 --startdatetime 2016-09-02T23:00:37 --delay 1 --endMP 204:233307 --enddatetime 2016-09-02T23:37:56 --enforcementcount 1 &gt;&gt;C:\Users\stu\Documents\GitHub\eaglep3-reporting\EC\2016-09-02-refined-times.txt</v>
      </c>
      <c r="AI149" s="149" t="str">
        <f t="shared" si="68"/>
        <v>echo {"issue":{"subject":"","project_id":79,"tracker_id":40,"status_id":1,"priority_id":2,"assigned_to_id":23,"start_date":"2016-09-02","description":"","custom_fields":[{"id":1,"name":"Subdivision","value":"EC"},{"id":4,"name":"Milepost","value":"23.2876"},{"id":17,"name":"Train ID","value":"237-02"},{"id":16,"name":"Locomotive ID","value":"4031"},{"id":130,"name":"Impact","value":""},{"id":150,"name":"Time of Event (Mountain Time)","value":"23:37:56"},{"id":151,"name":"Denver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558</v>
      </c>
      <c r="B150" s="7">
        <v>4032</v>
      </c>
      <c r="C150" s="24" t="s">
        <v>113</v>
      </c>
      <c r="D150" s="24" t="s">
        <v>312</v>
      </c>
      <c r="E150" s="15">
        <v>42615.993645833332</v>
      </c>
      <c r="F150" s="15">
        <v>42615.997557870367</v>
      </c>
      <c r="G150" s="7">
        <v>1</v>
      </c>
      <c r="H150" s="15" t="s">
        <v>132</v>
      </c>
      <c r="I150" s="15">
        <v>42616.027719907404</v>
      </c>
      <c r="J150" s="7">
        <v>1</v>
      </c>
      <c r="K150" s="132" t="str">
        <f t="shared" si="54"/>
        <v>4031/4032</v>
      </c>
      <c r="L150" s="24" t="str">
        <f>VLOOKUP(A150,'Trips&amp;Operators'!$C$1:$E$10000,3,FALSE)</f>
        <v>HAITHCOX</v>
      </c>
      <c r="M150" s="6">
        <f t="shared" si="55"/>
        <v>3.0162037037371192E-2</v>
      </c>
      <c r="N150" s="7">
        <f t="shared" si="51"/>
        <v>43.433333333814517</v>
      </c>
      <c r="O150" s="7"/>
      <c r="P150" s="7"/>
      <c r="Q150" s="25"/>
      <c r="R150" s="25"/>
      <c r="S150" s="37">
        <f t="shared" si="56"/>
        <v>1</v>
      </c>
      <c r="T150" s="52" t="str">
        <f t="shared" si="57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22:50:51-0600',mode:absolute,to:'2016-09-03 01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59"/>
        <v>N</v>
      </c>
      <c r="X150" s="120">
        <f t="shared" si="53"/>
        <v>1</v>
      </c>
      <c r="Y150" s="69">
        <f t="shared" si="60"/>
        <v>23.298400000000001</v>
      </c>
      <c r="Z150" s="69">
        <f t="shared" si="61"/>
        <v>1.47E-2</v>
      </c>
      <c r="AA150" s="69">
        <f t="shared" si="62"/>
        <v>23.2837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63"/>
        <v>0238-02</v>
      </c>
      <c r="AE150" s="99" t="str">
        <f t="shared" si="64"/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AF150" s="96" t="str">
        <f t="shared" si="65"/>
        <v>"C:\Program Files (x86)\AstroGrep\AstroGrep.exe" /spath="%USERPROFILE%\AppData\Local\Temp\OnboardLogs" /stypes="*4032*20160903*" /stext=" 06:.+((SYSTEM_STATE.+slice.+state.+changed )|(ment ac)|(system.+state.+changed )|(\|lc)|(penalty)|(\[timeout)|(PRM\|1\|D)|(kpr)|(kdp))" /e /r /s</v>
      </c>
      <c r="AG150" s="1" t="str">
        <f t="shared" si="66"/>
        <v>EC</v>
      </c>
      <c r="AH150" s="100" t="str">
        <f t="shared" si="67"/>
        <v>"%USERPROFILE%\Documents\GitHub\eaglep3\Utilities\RefineRTDCRunTimes.py" --tripid 238-02 --locoid 4032 --swversion DE.1.0.7.0 --startMP 204:232984 --initTime 2016-09-02T23:50:51 --startdatetime 2016-09-02T23:56:29 --delay 1 --endMP 204:147 --enddatetime 2016-09-03T00:39:55 --enforcementcount 1 &gt;&gt;C:\Users\stu\Documents\GitHub\eaglep3-reporting\EC\2016-09-02-refined-times.txt</v>
      </c>
      <c r="AI150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{"issue":{"subject":"","project_id":79,"tracker_id":40,"status_id":1,"priority_id":2,"assigned_to_id":23,"start_date":"2016-09-03","description":"","custom_fields":[{"id":1,"name":"Subdivision","value":"EC"},{"id":4,"name":"Milepost","value":"23.2837"},{"id":17,"name":"Train ID","value":"238-02"},{"id":16,"name":"Locomotive ID","value":"4032"},{"id":130,"name":"Impact","value":""},{"id":150,"name":"Time of Event (Mountain Time)","value":"00:39:55"},{"id":151,"name":"Denver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559</v>
      </c>
      <c r="B151" s="7">
        <v>4046</v>
      </c>
      <c r="C151" s="24" t="s">
        <v>113</v>
      </c>
      <c r="D151" s="24" t="s">
        <v>139</v>
      </c>
      <c r="E151" s="15">
        <v>42615.973923611113</v>
      </c>
      <c r="F151" s="15">
        <v>42615.979328703703</v>
      </c>
      <c r="G151" s="7">
        <v>1</v>
      </c>
      <c r="H151" s="15" t="s">
        <v>276</v>
      </c>
      <c r="I151" s="15">
        <v>42616.005543981482</v>
      </c>
      <c r="J151" s="7">
        <v>1</v>
      </c>
      <c r="K151" s="132" t="str">
        <f t="shared" si="54"/>
        <v>4045/4046</v>
      </c>
      <c r="L151" s="24" t="str">
        <f>VLOOKUP(A151,'Trips&amp;Operators'!$C$1:$E$10000,3,FALSE)</f>
        <v>YANAI</v>
      </c>
      <c r="M151" s="6">
        <f t="shared" si="55"/>
        <v>2.6215277779556345E-2</v>
      </c>
      <c r="N151" s="7">
        <f t="shared" si="51"/>
        <v>37.750000002561137</v>
      </c>
      <c r="O151" s="7"/>
      <c r="P151" s="7"/>
      <c r="Q151" s="25"/>
      <c r="R151" s="25"/>
      <c r="S151" s="37">
        <f t="shared" si="56"/>
        <v>1</v>
      </c>
      <c r="T151" s="52" t="str">
        <f t="shared" si="57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22:22:27-0600',mode:absolute,to:'2016-09-03 01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51" s="54" t="str">
        <f t="shared" si="59"/>
        <v>N</v>
      </c>
      <c r="X151" s="120">
        <f t="shared" si="53"/>
        <v>1</v>
      </c>
      <c r="Y151" s="69">
        <f t="shared" si="60"/>
        <v>4.5699999999999998E-2</v>
      </c>
      <c r="Z151" s="69">
        <f t="shared" si="61"/>
        <v>23.330500000000001</v>
      </c>
      <c r="AA151" s="69">
        <f t="shared" si="62"/>
        <v>23.284800000000001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63"/>
        <v>0239-02</v>
      </c>
      <c r="AE151" s="99" t="str">
        <f t="shared" si="64"/>
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</c>
      <c r="AF151" s="96" t="str">
        <f t="shared" si="65"/>
        <v>"C:\Program Files (x86)\AstroGrep\AstroGrep.exe" /spath="%USERPROFILE%\AppData\Local\Temp\OnboardLogs" /stypes="*4046*20160903*" /stext=" 06:.+((SYSTEM_STATE.+slice.+state.+changed )|(ment ac)|(system.+state.+changed )|(\|lc)|(penalty)|(\[timeout)|(PRM\|1\|D)|(kpr)|(kdp))" /e /r /s</v>
      </c>
      <c r="AG151" s="1" t="str">
        <f t="shared" si="66"/>
        <v>EC</v>
      </c>
      <c r="AH151" s="100" t="str">
        <f t="shared" si="67"/>
        <v>"%USERPROFILE%\Documents\GitHub\eaglep3\Utilities\RefineRTDCRunTimes.py" --tripid 239-02 --locoid 4046 --swversion DE.1.0.7.0 --startMP 204:457 --initTime 2016-09-02T23:22:27 --startdatetime 2016-09-02T23:30:14 --delay 1 --endMP 204:233305 --enddatetime 2016-09-03T00:07:59 --enforcementcount 1 &gt;&gt;C:\Users\stu\Documents\GitHub\eaglep3-reporting\EC\2016-09-02-refined-times.txt</v>
      </c>
      <c r="AI151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{"issue":{"subject":"","project_id":79,"tracker_id":40,"status_id":1,"priority_id":2,"assigned_to_id":23,"start_date":"2016-09-03","description":"","custom_fields":[{"id":1,"name":"Subdivision","value":"EC"},{"id":4,"name":"Milepost","value":"23.2848"},{"id":17,"name":"Train ID","value":"239-02"},{"id":16,"name":"Locomotive ID","value":"4046"},{"id":130,"name":"Impact","value":""},{"id":150,"name":"Time of Event (Mountain Time)","value":"00:07:59"},{"id":151,"name":"Denver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560</v>
      </c>
      <c r="B152" s="7">
        <v>4045</v>
      </c>
      <c r="C152" s="24" t="s">
        <v>113</v>
      </c>
      <c r="D152" s="24" t="s">
        <v>416</v>
      </c>
      <c r="E152" s="15">
        <v>42616.01458333333</v>
      </c>
      <c r="F152" s="15">
        <v>42616.018217592595</v>
      </c>
      <c r="G152" s="7">
        <v>1</v>
      </c>
      <c r="H152" s="15" t="s">
        <v>175</v>
      </c>
      <c r="I152" s="15">
        <v>42616.044259259259</v>
      </c>
      <c r="J152" s="7">
        <v>1</v>
      </c>
      <c r="K152" s="132" t="str">
        <f t="shared" si="54"/>
        <v>4045/4046</v>
      </c>
      <c r="L152" s="24" t="str">
        <f>VLOOKUP(A152,'Trips&amp;Operators'!$C$1:$E$10000,3,FALSE)</f>
        <v>YANAI</v>
      </c>
      <c r="M152" s="6">
        <f t="shared" si="55"/>
        <v>2.6041666664241347E-2</v>
      </c>
      <c r="N152" s="7">
        <f t="shared" si="51"/>
        <v>37.49999999650754</v>
      </c>
      <c r="O152" s="7"/>
      <c r="P152" s="7"/>
      <c r="Q152" s="25"/>
      <c r="R152" s="25"/>
      <c r="S152" s="37">
        <f t="shared" si="56"/>
        <v>1</v>
      </c>
      <c r="T152" s="52" t="str">
        <f t="shared" si="57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23:21:00-0600',mode:absolute,to:'2016-09-03 02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52" s="54" t="str">
        <f t="shared" si="59"/>
        <v>N</v>
      </c>
      <c r="X152" s="120">
        <f t="shared" si="53"/>
        <v>1</v>
      </c>
      <c r="Y152" s="69">
        <f t="shared" si="60"/>
        <v>23.2973</v>
      </c>
      <c r="Z152" s="69">
        <f t="shared" si="61"/>
        <v>1.6E-2</v>
      </c>
      <c r="AA152" s="69">
        <f t="shared" si="62"/>
        <v>23.281300000000002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63"/>
        <v>0240-02</v>
      </c>
      <c r="AE152" s="99" t="str">
        <f t="shared" si="64"/>
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</c>
      <c r="AF152" s="96" t="str">
        <f t="shared" si="65"/>
        <v>"C:\Program Files (x86)\AstroGrep\AstroGrep.exe" /spath="%USERPROFILE%\AppData\Local\Temp\OnboardLogs" /stypes="*4045*20160903*" /stext=" 07:.+((SYSTEM_STATE.+slice.+state.+changed )|(ment ac)|(system.+state.+changed )|(\|lc)|(penalty)|(\[timeout)|(PRM\|1\|D)|(kpr)|(kdp))" /e /r /s</v>
      </c>
      <c r="AG152" s="1" t="str">
        <f t="shared" si="66"/>
        <v>EC</v>
      </c>
      <c r="AH152" s="100" t="str">
        <f t="shared" si="67"/>
        <v>"%USERPROFILE%\Documents\GitHub\eaglep3\Utilities\RefineRTDCRunTimes.py" --tripid 240-02 --locoid 4045 --swversion DE.1.0.7.0 --startMP 204:232973 --initTime 2016-09-03T00:21:00 --startdatetime 2016-09-03T00:26:14 --delay 1 --endMP 204:160 --enddatetime 2016-09-03T01:03:44 --enforcementcount 1 &gt;&gt;C:\Users\stu\Documents\GitHub\eaglep3-reporting\EC\2016-09-02-refined-times.txt</v>
      </c>
      <c r="AI152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{"issue":{"subject":"","project_id":79,"tracker_id":40,"status_id":1,"priority_id":2,"assigned_to_id":23,"start_date":"2016-09-03","description":"","custom_fields":[{"id":1,"name":"Subdivision","value":"EC"},{"id":4,"name":"Milepost","value":"23.2813"},{"id":17,"name":"Train ID","value":"240-02"},{"id":16,"name":"Locomotive ID","value":"4045"},{"id":130,"name":"Impact","value":""},{"id":150,"name":"Time of Event (Mountain Time)","value":"01:03:44"},{"id":151,"name":"Denver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561</v>
      </c>
      <c r="B153" s="7">
        <v>4009</v>
      </c>
      <c r="C153" s="24" t="s">
        <v>113</v>
      </c>
      <c r="D153" s="24" t="s">
        <v>562</v>
      </c>
      <c r="E153" s="15">
        <v>42615.997916666667</v>
      </c>
      <c r="F153" s="15">
        <v>42616.000358796293</v>
      </c>
      <c r="G153" s="7">
        <v>1</v>
      </c>
      <c r="H153" s="15" t="s">
        <v>323</v>
      </c>
      <c r="I153" s="15">
        <v>42616.025578703702</v>
      </c>
      <c r="J153" s="7">
        <v>1</v>
      </c>
      <c r="K153" s="132" t="str">
        <f t="shared" si="54"/>
        <v>4009/4010</v>
      </c>
      <c r="L153" s="24" t="str">
        <f>VLOOKUP(A153,'Trips&amp;Operators'!$C$1:$E$10000,3,FALSE)</f>
        <v>CHANDLER</v>
      </c>
      <c r="M153" s="6">
        <f t="shared" si="55"/>
        <v>2.5219907409336884E-2</v>
      </c>
      <c r="N153" s="7">
        <f t="shared" si="51"/>
        <v>36.316666669445112</v>
      </c>
      <c r="O153" s="7"/>
      <c r="P153" s="7"/>
      <c r="Q153" s="25"/>
      <c r="R153" s="25"/>
      <c r="S153" s="37">
        <f t="shared" si="56"/>
        <v>1</v>
      </c>
      <c r="T153" s="52" t="str">
        <f t="shared" si="57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22:57:00-0600',mode:absolute,to:'2016-09-03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3" s="54" t="str">
        <f t="shared" si="59"/>
        <v>N</v>
      </c>
      <c r="X153" s="120">
        <f t="shared" si="53"/>
        <v>1</v>
      </c>
      <c r="Y153" s="69">
        <f t="shared" si="60"/>
        <v>4.7699999999999999E-2</v>
      </c>
      <c r="Z153" s="69">
        <f t="shared" si="61"/>
        <v>23.328399999999998</v>
      </c>
      <c r="AA153" s="69">
        <f t="shared" si="62"/>
        <v>23.2807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63"/>
        <v>0241-02</v>
      </c>
      <c r="AE153" s="99" t="str">
        <f t="shared" si="64"/>
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</c>
      <c r="AF153" s="96" t="str">
        <f t="shared" si="65"/>
        <v>"C:\Program Files (x86)\AstroGrep\AstroGrep.exe" /spath="%USERPROFILE%\AppData\Local\Temp\OnboardLogs" /stypes="*4009*20160903*" /stext=" 06:.+((SYSTEM_STATE.+slice.+state.+changed )|(ment ac)|(system.+state.+changed )|(\|lc)|(penalty)|(\[timeout)|(PRM\|1\|D)|(kpr)|(kdp))" /e /r /s</v>
      </c>
      <c r="AG153" s="1" t="str">
        <f t="shared" si="66"/>
        <v>EC</v>
      </c>
      <c r="AH153" s="100" t="str">
        <f t="shared" si="67"/>
        <v>"%USERPROFILE%\Documents\GitHub\eaglep3\Utilities\RefineRTDCRunTimes.py" --tripid 241-02 --locoid 4009 --swversion DE.1.0.7.0 --startMP 204:477 --initTime 2016-09-02T23:57:00 --startdatetime 2016-09-03T00:00:31 --delay 1 --endMP 204:233284 --enddatetime 2016-09-03T00:36:50 --enforcementcount 1 &gt;&gt;C:\Users\stu\Documents\GitHub\eaglep3-reporting\EC\2016-09-02-refined-times.txt</v>
      </c>
      <c r="AI153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{"issue":{"subject":"","project_id":79,"tracker_id":40,"status_id":1,"priority_id":2,"assigned_to_id":23,"start_date":"2016-09-03","description":"","custom_fields":[{"id":1,"name":"Subdivision","value":"EC"},{"id":4,"name":"Milepost","value":"23.2807"},{"id":17,"name":"Train ID","value":"241-02"},{"id":16,"name":"Locomotive ID","value":"4009"},{"id":130,"name":"Impact","value":""},{"id":150,"name":"Time of Event (Mountain Time)","value":"00:36:50"},{"id":151,"name":"Denver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563</v>
      </c>
      <c r="B154" s="7">
        <v>4010</v>
      </c>
      <c r="C154" s="24" t="s">
        <v>113</v>
      </c>
      <c r="D154" s="24" t="s">
        <v>416</v>
      </c>
      <c r="E154" s="15">
        <v>42616.037615740737</v>
      </c>
      <c r="F154" s="15">
        <v>42616.039120370369</v>
      </c>
      <c r="G154" s="7">
        <v>1</v>
      </c>
      <c r="H154" s="15" t="s">
        <v>311</v>
      </c>
      <c r="I154" s="15">
        <v>42616.066631944443</v>
      </c>
      <c r="J154" s="7">
        <v>1</v>
      </c>
      <c r="K154" s="132" t="str">
        <f t="shared" si="54"/>
        <v>4009/4010</v>
      </c>
      <c r="L154" s="24" t="str">
        <f>VLOOKUP(A154,'Trips&amp;Operators'!$C$1:$E$10000,3,FALSE)</f>
        <v>CHANDLER</v>
      </c>
      <c r="M154" s="6">
        <f t="shared" si="55"/>
        <v>2.7511574073287193E-2</v>
      </c>
      <c r="N154" s="7">
        <f t="shared" si="51"/>
        <v>39.616666665533558</v>
      </c>
      <c r="O154" s="7"/>
      <c r="P154" s="7"/>
      <c r="Q154" s="25"/>
      <c r="R154" s="25"/>
      <c r="S154" s="37">
        <f t="shared" si="56"/>
        <v>1</v>
      </c>
      <c r="T154" s="52" t="str">
        <f t="shared" si="57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23:54:10-0600',mode:absolute,to:'2016-09-03 02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4" s="54" t="str">
        <f t="shared" si="59"/>
        <v>N</v>
      </c>
      <c r="X154" s="120">
        <f t="shared" si="53"/>
        <v>1</v>
      </c>
      <c r="Y154" s="69">
        <f t="shared" si="60"/>
        <v>23.2973</v>
      </c>
      <c r="Z154" s="69">
        <f t="shared" si="61"/>
        <v>2.2100000000000002E-2</v>
      </c>
      <c r="AA154" s="69">
        <f t="shared" si="62"/>
        <v>23.275200000000002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63"/>
        <v>0242-02</v>
      </c>
      <c r="AE154" s="99" t="str">
        <f t="shared" si="64"/>
        <v>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 &amp; 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</v>
      </c>
      <c r="AF154" s="96" t="str">
        <f t="shared" si="65"/>
        <v>"C:\Program Files (x86)\AstroGrep\AstroGrep.exe" /spath="%USERPROFILE%\AppData\Local\Temp\OnboardLogs" /stypes="*4010*20160903*" /stext=" 07:.+((SYSTEM_STATE.+slice.+state.+changed )|(ment ac)|(system.+state.+changed )|(\|lc)|(penalty)|(\[timeout)|(PRM\|1\|D)|(kpr)|(kdp))" /e /r /s</v>
      </c>
      <c r="AG154" s="1" t="str">
        <f t="shared" si="66"/>
        <v>EC</v>
      </c>
      <c r="AH154" s="100" t="str">
        <f t="shared" si="67"/>
        <v>"%USERPROFILE%\Documents\GitHub\eaglep3\Utilities\RefineRTDCRunTimes.py" --tripid 242-02 --locoid 4010 --swversion DE.1.0.7.0 --startMP 204:232973 --initTime 2016-09-03T00:54:10 --startdatetime 2016-09-03T00:56:20 --delay 1 --endMP 204:221 --enddatetime 2016-09-03T01:35:57 --enforcementcount 1 &gt;&gt;C:\Users\stu\Documents\GitHub\eaglep3-reporting\EC\2016-09-02-refined-times.txt</v>
      </c>
      <c r="AI154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{"issue":{"subject":"","project_id":79,"tracker_id":40,"status_id":1,"priority_id":2,"assigned_to_id":23,"start_date":"2016-09-03","description":"","custom_fields":[{"id":1,"name":"Subdivision","value":"EC"},{"id":4,"name":"Milepost","value":"23.2752"},{"id":17,"name":"Train ID","value":"242-02"},{"id":16,"name":"Locomotive ID","value":"4010"},{"id":130,"name":"Impact","value":""},{"id":150,"name":"Time of Event (Mountain Time)","value":"01:35:57"},{"id":151,"name":"Denver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564</v>
      </c>
      <c r="B155" s="7">
        <v>4044</v>
      </c>
      <c r="C155" s="24" t="s">
        <v>113</v>
      </c>
      <c r="D155" s="24" t="s">
        <v>139</v>
      </c>
      <c r="E155" s="15">
        <v>42616.014791666668</v>
      </c>
      <c r="F155" s="15">
        <v>42616.021331018521</v>
      </c>
      <c r="G155" s="7">
        <v>1</v>
      </c>
      <c r="H155" s="15" t="s">
        <v>565</v>
      </c>
      <c r="I155" s="15">
        <v>42616.046435185184</v>
      </c>
      <c r="J155" s="7">
        <v>1</v>
      </c>
      <c r="K155" s="132" t="str">
        <f t="shared" si="54"/>
        <v>4043/4044</v>
      </c>
      <c r="L155" s="24" t="str">
        <f>VLOOKUP(A155,'Trips&amp;Operators'!$C$1:$E$10000,3,FALSE)</f>
        <v>HILLS</v>
      </c>
      <c r="M155" s="6">
        <f t="shared" si="55"/>
        <v>2.5104166663368233E-2</v>
      </c>
      <c r="N155" s="7">
        <f t="shared" si="51"/>
        <v>36.149999995250255</v>
      </c>
      <c r="O155" s="7"/>
      <c r="P155" s="7"/>
      <c r="Q155" s="25"/>
      <c r="R155" s="25"/>
      <c r="S155" s="37">
        <f t="shared" si="56"/>
        <v>1</v>
      </c>
      <c r="T155" s="52" t="str">
        <f t="shared" si="57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23:21:18-0600',mode:absolute,to:'2016-09-03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5" s="54" t="str">
        <f t="shared" si="59"/>
        <v>N</v>
      </c>
      <c r="X155" s="120">
        <f t="shared" si="53"/>
        <v>1</v>
      </c>
      <c r="Y155" s="69">
        <f t="shared" si="60"/>
        <v>4.5699999999999998E-2</v>
      </c>
      <c r="Z155" s="69">
        <f t="shared" si="61"/>
        <v>23.331600000000002</v>
      </c>
      <c r="AA155" s="69">
        <f t="shared" si="62"/>
        <v>23.285900000000002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63"/>
        <v>0243-02</v>
      </c>
      <c r="AE155" s="99" t="str">
        <f t="shared" si="64"/>
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</c>
      <c r="AF155" s="96" t="str">
        <f t="shared" si="65"/>
        <v>"C:\Program Files (x86)\AstroGrep\AstroGrep.exe" /spath="%USERPROFILE%\AppData\Local\Temp\OnboardLogs" /stypes="*4044*20160903*" /stext=" 07:.+((SYSTEM_STATE.+slice.+state.+changed )|(ment ac)|(system.+state.+changed )|(\|lc)|(penalty)|(\[timeout)|(PRM\|1\|D)|(kpr)|(kdp))" /e /r /s</v>
      </c>
      <c r="AG155" s="1" t="str">
        <f t="shared" si="66"/>
        <v>EC</v>
      </c>
      <c r="AH155" s="100" t="str">
        <f t="shared" si="67"/>
        <v>"%USERPROFILE%\Documents\GitHub\eaglep3\Utilities\RefineRTDCRunTimes.py" --tripid 243-02 --locoid 4044 --swversion DE.1.0.7.0 --startMP 204:457 --initTime 2016-09-03T00:21:18 --startdatetime 2016-09-03T00:30:43 --delay 1 --endMP 204:233316 --enddatetime 2016-09-03T01:06:52 --enforcementcount 1 &gt;&gt;C:\Users\stu\Documents\GitHub\eaglep3-reporting\EC\2016-09-02-refined-times.txt</v>
      </c>
      <c r="AI155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{"issue":{"subject":"","project_id":79,"tracker_id":40,"status_id":1,"priority_id":2,"assigned_to_id":23,"start_date":"2016-09-03","description":"","custom_fields":[{"id":1,"name":"Subdivision","value":"EC"},{"id":4,"name":"Milepost","value":"23.2859"},{"id":17,"name":"Train ID","value":"243-02"},{"id":16,"name":"Locomotive ID","value":"4044"},{"id":130,"name":"Impact","value":""},{"id":150,"name":"Time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566</v>
      </c>
      <c r="B156" s="7">
        <v>4043</v>
      </c>
      <c r="C156" s="24" t="s">
        <v>113</v>
      </c>
      <c r="D156" s="24" t="s">
        <v>324</v>
      </c>
      <c r="E156" s="15">
        <v>42616.054409722223</v>
      </c>
      <c r="F156" s="15">
        <v>42616.059918981482</v>
      </c>
      <c r="G156" s="7">
        <v>1</v>
      </c>
      <c r="H156" s="15" t="s">
        <v>556</v>
      </c>
      <c r="I156" s="15">
        <v>42616.090937499997</v>
      </c>
      <c r="J156" s="7">
        <v>1</v>
      </c>
      <c r="K156" s="132" t="str">
        <f t="shared" si="54"/>
        <v>4043/4044</v>
      </c>
      <c r="L156" s="24" t="str">
        <f>VLOOKUP(A156,'Trips&amp;Operators'!$C$1:$E$10000,3,FALSE)</f>
        <v>HILLS</v>
      </c>
      <c r="M156" s="6">
        <f t="shared" si="55"/>
        <v>3.1018518515338656E-2</v>
      </c>
      <c r="N156" s="7">
        <f t="shared" si="51"/>
        <v>44.666666662087664</v>
      </c>
      <c r="O156" s="7"/>
      <c r="P156" s="7"/>
      <c r="Q156" s="25"/>
      <c r="R156" s="25"/>
      <c r="S156" s="37">
        <f t="shared" si="56"/>
        <v>1</v>
      </c>
      <c r="T156" s="52" t="str">
        <f t="shared" si="57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https://search-rtdc-monitor-bjffxe2xuh6vdkpspy63sjmuny.us-east-1.es.amazonaws.com/_plugin/kibana/#/discover/Steve-Slow-Train-Analysis-(2080s-and-2083s)?_g=(refreshInterval:(display:Off,section:0,value:0),time:(from:'2016-09-03 00:18:21-0600',mode:absolute,to:'2016-09-03 03:10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6" s="54" t="str">
        <f t="shared" si="59"/>
        <v>N</v>
      </c>
      <c r="X156" s="120">
        <f t="shared" si="53"/>
        <v>1</v>
      </c>
      <c r="Y156" s="69">
        <f t="shared" si="60"/>
        <v>23.299199999999999</v>
      </c>
      <c r="Z156" s="69">
        <f t="shared" si="61"/>
        <v>1.7000000000000001E-2</v>
      </c>
      <c r="AA156" s="69">
        <f t="shared" si="62"/>
        <v>23.2822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63"/>
        <v>0244-02</v>
      </c>
      <c r="AE156" s="99" t="str">
        <f t="shared" si="64"/>
        <v>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 &amp; 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</v>
      </c>
      <c r="AF156" s="96" t="str">
        <f t="shared" si="65"/>
        <v>"C:\Program Files (x86)\AstroGrep\AstroGrep.exe" /spath="%USERPROFILE%\AppData\Local\Temp\OnboardLogs" /stypes="*4043*20160903*" /stext=" 08:.+((SYSTEM_STATE.+slice.+state.+changed )|(ment ac)|(system.+state.+changed )|(\|lc)|(penalty)|(\[timeout)|(PRM\|1\|D)|(kpr)|(kdp))" /e /r /s</v>
      </c>
      <c r="AG156" s="1" t="str">
        <f t="shared" si="66"/>
        <v>EC</v>
      </c>
      <c r="AH156" s="100" t="str">
        <f t="shared" si="67"/>
        <v>"%USERPROFILE%\Documents\GitHub\eaglep3\Utilities\RefineRTDCRunTimes.py" --tripid 244-02 --locoid 4043 --swversion DE.1.0.7.0 --startMP 204:232992 --initTime 2016-09-03T01:18:21 --startdatetime 2016-09-03T01:26:17 --delay 1 --endMP 204:170 --enddatetime 2016-09-03T02:10:57 --enforcementcount 1 &gt;&gt;C:\Users\stu\Documents\GitHub\eaglep3-reporting\EC\2016-09-02-refined-times.txt</v>
      </c>
      <c r="AI156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{"issue":{"subject":"","project_id":79,"tracker_id":40,"status_id":1,"priority_id":2,"assigned_to_id":23,"start_date":"2016-09-03","description":"","custom_fields":[{"id":1,"name":"Subdivision","value":"EC"},{"id":4,"name":"Milepost","value":"23.2822"},{"id":17,"name":"Train ID","value":"244-02"},{"id":16,"name":"Locomotive ID","value":"4043"},{"id":130,"name":"Impact","value":""},{"id":150,"name":"Time of Event (Mountain Time)","value":"02:10:57"},{"id":151,"name":"Denver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567</v>
      </c>
      <c r="B157" s="7">
        <v>4031</v>
      </c>
      <c r="C157" s="24" t="s">
        <v>113</v>
      </c>
      <c r="D157" s="24" t="s">
        <v>288</v>
      </c>
      <c r="E157" s="15">
        <v>42616.038321759261</v>
      </c>
      <c r="F157" s="15">
        <v>42616.042037037034</v>
      </c>
      <c r="G157" s="7">
        <v>1</v>
      </c>
      <c r="H157" s="15" t="s">
        <v>568</v>
      </c>
      <c r="I157" s="15">
        <v>42616.052754629629</v>
      </c>
      <c r="J157" s="7">
        <v>1</v>
      </c>
      <c r="K157" s="132" t="str">
        <f t="shared" si="54"/>
        <v>4031/4032</v>
      </c>
      <c r="L157" s="24" t="str">
        <f>VLOOKUP(A157,'Trips&amp;Operators'!$C$1:$E$10000,3,FALSE)</f>
        <v>HAITHCOX</v>
      </c>
      <c r="M157" s="6">
        <f t="shared" si="55"/>
        <v>1.0717592595028691E-2</v>
      </c>
      <c r="N157" s="7"/>
      <c r="O157" s="7"/>
      <c r="P157" s="7">
        <f>24*60*SUM($M157:$M157)</f>
        <v>15.433333336841315</v>
      </c>
      <c r="Q157" s="25"/>
      <c r="R157" s="25" t="s">
        <v>735</v>
      </c>
      <c r="S157" s="37">
        <f t="shared" si="56"/>
        <v>0.75</v>
      </c>
      <c r="T157" s="52" t="str">
        <f t="shared" si="57"/>
        <v>NorthBound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9</v>
      </c>
      <c r="V15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23:55:11-0600',mode:absolute,to:'2016-09-03 02:15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7" s="54" t="str">
        <f t="shared" si="59"/>
        <v>Y</v>
      </c>
      <c r="X157" s="120">
        <f t="shared" si="53"/>
        <v>1</v>
      </c>
      <c r="Y157" s="69">
        <f t="shared" si="60"/>
        <v>4.6899999999999997E-2</v>
      </c>
      <c r="Z157" s="69">
        <f t="shared" si="61"/>
        <v>6.6384999999999996</v>
      </c>
      <c r="AA157" s="69">
        <f t="shared" si="62"/>
        <v>6.5915999999999997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63"/>
        <v>0245-02</v>
      </c>
      <c r="AE157" s="99" t="str">
        <f t="shared" si="64"/>
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</c>
      <c r="AF157" s="96" t="str">
        <f t="shared" si="65"/>
        <v>"C:\Program Files (x86)\AstroGrep\AstroGrep.exe" /spath="%USERPROFILE%\AppData\Local\Temp\OnboardLogs" /stypes="*4031*20160903*" /stext=" 07:.+((SYSTEM_STATE.+slice.+state.+changed )|(ment ac)|(system.+state.+changed )|(\|lc)|(penalty)|(\[timeout)|(PRM\|1\|D)|(kpr)|(kdp))" /e /r /s</v>
      </c>
      <c r="AG157" s="1" t="str">
        <f t="shared" si="66"/>
        <v>EC</v>
      </c>
      <c r="AH157" s="100" t="str">
        <f t="shared" si="67"/>
        <v>"%USERPROFILE%\Documents\GitHub\eaglep3\Utilities\RefineRTDCRunTimes.py" --tripid 245-02 --locoid 4031 --swversion DE.1.0.7.0 --startMP 204:469 --initTime 2016-09-03T00:55:11 --startdatetime 2016-09-03T01:00:32 --delay 1 --endMP 204:66385 --enddatetime 2016-09-03T01:15:58 --enforcementcount 1 &gt;&gt;C:\Users\stu\Documents\GitHub\eaglep3-reporting\EC\2016-09-02-refined-times.txt</v>
      </c>
      <c r="AI157" s="149" t="str">
        <f t="shared" si="68"/>
        <v>echo {"issue":{"subject":"Track maintenance?","project_id":79,"tracker_id":40,"status_id":1,"priority_id":2,"assigned_to_id":23,"start_date":"2016-09-03","description":"","custom_fields":[{"id":1,"name":"Subdivision","value":"EC"},{"id":4,"name":"Milepost","value":"6.5916"},{"id":17,"name":"Train ID","value":"245-02"},{"id":16,"name":"Locomotive ID","value":"4031"},{"id":130,"name":"Impact","value":""},{"id":150,"name":"Time of Event (Mountain Time)","value":"01:15:58"},{"id":151,"name":"Denver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569</v>
      </c>
      <c r="B158" s="7">
        <v>4032</v>
      </c>
      <c r="C158" s="24" t="s">
        <v>113</v>
      </c>
      <c r="D158" s="24" t="s">
        <v>530</v>
      </c>
      <c r="E158" s="15">
        <v>42616.076284722221</v>
      </c>
      <c r="F158" s="15">
        <v>42616.08090277778</v>
      </c>
      <c r="G158" s="7">
        <v>1</v>
      </c>
      <c r="H158" s="15" t="s">
        <v>175</v>
      </c>
      <c r="I158" s="15">
        <v>42616.11105324074</v>
      </c>
      <c r="J158" s="7">
        <v>1</v>
      </c>
      <c r="K158" s="132" t="str">
        <f t="shared" si="54"/>
        <v>4031/4032</v>
      </c>
      <c r="L158" s="24" t="str">
        <f>VLOOKUP(A158,'Trips&amp;Operators'!$C$1:$E$10000,3,FALSE)</f>
        <v>HAITHCOX</v>
      </c>
      <c r="M158" s="6">
        <f t="shared" si="55"/>
        <v>3.015046296059154E-2</v>
      </c>
      <c r="N158" s="7">
        <f t="shared" ref="N158:N164" si="69">24*60*SUM($M158:$M158)</f>
        <v>43.416666663251817</v>
      </c>
      <c r="O158" s="7"/>
      <c r="P158" s="7"/>
      <c r="Q158" s="25"/>
      <c r="R158" s="25"/>
      <c r="S158" s="37">
        <f t="shared" si="56"/>
        <v>1</v>
      </c>
      <c r="T158" s="52" t="str">
        <f t="shared" si="57"/>
        <v>Southbound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https://search-rtdc-monitor-bjffxe2xuh6vdkpspy63sjmuny.us-east-1.es.amazonaws.com/_plugin/kibana/#/discover/Steve-Slow-Train-Analysis-(2080s-and-2083s)?_g=(refreshInterval:(display:Off,section:0,value:0),time:(from:'2016-09-03 00:49:51-0600',mode:absolute,to:'2016-09-03 03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8" s="54" t="str">
        <f t="shared" si="59"/>
        <v>N</v>
      </c>
      <c r="X158" s="120">
        <f t="shared" si="53"/>
        <v>1</v>
      </c>
      <c r="Y158" s="69">
        <f t="shared" si="60"/>
        <v>23.2988</v>
      </c>
      <c r="Z158" s="69">
        <f t="shared" si="61"/>
        <v>1.6E-2</v>
      </c>
      <c r="AA158" s="69">
        <f t="shared" si="62"/>
        <v>23.282800000000002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63"/>
        <v>0246-02</v>
      </c>
      <c r="AE158" s="99" t="str">
        <f t="shared" si="64"/>
        <v>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 &amp; 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</v>
      </c>
      <c r="AF158" s="96" t="str">
        <f t="shared" si="65"/>
        <v>"C:\Program Files (x86)\AstroGrep\AstroGrep.exe" /spath="%USERPROFILE%\AppData\Local\Temp\OnboardLogs" /stypes="*4032*20160903*" /stext=" 08:.+((SYSTEM_STATE.+slice.+state.+changed )|(ment ac)|(system.+state.+changed )|(\|lc)|(penalty)|(\[timeout)|(PRM\|1\|D)|(kpr)|(kdp))" /e /r /s</v>
      </c>
      <c r="AG158" s="1" t="str">
        <f t="shared" si="66"/>
        <v>EC</v>
      </c>
      <c r="AH158" s="100" t="str">
        <f t="shared" si="67"/>
        <v>"%USERPROFILE%\Documents\GitHub\eaglep3\Utilities\RefineRTDCRunTimes.py" --tripid 246-02 --locoid 4032 --swversion DE.1.0.7.0 --startMP 204:232988 --initTime 2016-09-03T01:49:51 --startdatetime 2016-09-03T01:56:30 --delay 1 --endMP 204:160 --enddatetime 2016-09-03T02:39:55 --enforcementcount 1 &gt;&gt;C:\Users\stu\Documents\GitHub\eaglep3-reporting\EC\2016-09-02-refined-times.txt</v>
      </c>
      <c r="AI158" s="149" t="str">
        <f t="shared" si="68"/>
        <v>echo {"issue":{"subject":"","project_id":79,"tracker_id":40,"status_id":1,"priority_id":2,"assigned_to_id":23,"start_date":"2016-09-03","description":"","custom_fields":[{"id":1,"name":"Subdivision","value":"EC"},{"id":4,"name":"Milepost","value":"23.2828"},{"id":17,"name":"Train ID","value":"246-02"},{"id":16,"name":"Locomotive ID","value":"4032"},{"id":130,"name":"Impact","value":""},{"id":150,"name":"Time of Event (Mountain Time)","value":"02:39:55"},{"id":151,"name":"Denver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598</v>
      </c>
      <c r="B159" s="7">
        <v>4008</v>
      </c>
      <c r="C159" s="24" t="s">
        <v>113</v>
      </c>
      <c r="D159" s="24" t="s">
        <v>339</v>
      </c>
      <c r="E159" s="15">
        <v>42615.203506944446</v>
      </c>
      <c r="F159" s="15">
        <v>42615.205462962964</v>
      </c>
      <c r="G159" s="7">
        <v>1</v>
      </c>
      <c r="H159" s="15" t="s">
        <v>599</v>
      </c>
      <c r="I159" s="15">
        <v>42615.22693287037</v>
      </c>
      <c r="J159" s="7">
        <v>1</v>
      </c>
      <c r="K159" s="132" t="str">
        <f t="shared" si="54"/>
        <v>4007/4008</v>
      </c>
      <c r="L159" s="24" t="str">
        <f>VLOOKUP(A159,'Trips&amp;Operators'!$C$1:$E$10000,3,FALSE)</f>
        <v>STRICKLAND</v>
      </c>
      <c r="M159" s="6">
        <f t="shared" si="55"/>
        <v>2.1469907405844424E-2</v>
      </c>
      <c r="N159" s="7">
        <f t="shared" si="69"/>
        <v>30.91666666441597</v>
      </c>
      <c r="O159" s="7"/>
      <c r="P159" s="7"/>
      <c r="Q159" s="25"/>
      <c r="R159" s="25"/>
      <c r="S159" s="37">
        <f t="shared" si="56"/>
        <v>1</v>
      </c>
      <c r="T159" s="52" t="str">
        <f t="shared" si="57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9" s="54" t="str">
        <f t="shared" si="59"/>
        <v>N</v>
      </c>
      <c r="X159" s="120">
        <f t="shared" si="53"/>
        <v>554</v>
      </c>
      <c r="Y159" s="69">
        <f t="shared" si="60"/>
        <v>5.8624000000000001</v>
      </c>
      <c r="Z159" s="69">
        <f t="shared" si="61"/>
        <v>6.9099999999999995E-2</v>
      </c>
      <c r="AA159" s="69">
        <f t="shared" si="62"/>
        <v>5.7933000000000003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63"/>
        <v>0800-02</v>
      </c>
      <c r="AE159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59" s="96" t="str">
        <f t="shared" si="65"/>
        <v>"C:\Program Files (x86)\AstroGrep\AstroGrep.exe" /spath="%USERPROFILE%\AppData\Local\Temp\OnboardLogs" /stypes="*4008*20160902*" /stext=" 11:.+((SYSTEM_STATE.+slice.+state.+changed )|(ment ac)|(system.+state.+changed )|(\|lc)|(penalty)|(\[timeout)|(PRM\|1\|D)|(kpr)|(kdp))" /e /r /s</v>
      </c>
      <c r="AG159" s="1" t="str">
        <f t="shared" si="66"/>
        <v>NW</v>
      </c>
      <c r="AH159" s="100" t="str">
        <f t="shared" si="67"/>
        <v>"%USERPROFILE%\Documents\GitHub\eaglep3\Utilities\RefineRTDCRunTimes.py" --tripid 800-02 --locoid 4008 --swversion DE.1.0.7.0 --startMP 300:58624 --initTime 2016-09-02T04:53:03 --startdatetime 2016-09-02T04:55:52 --delay 1 --endMP 204:691 --enddatetime 2016-09-02T05:26:47 --enforcementcount 1 &gt;&gt;C:\Users\stu\Documents\GitHub\eaglep3-reporting\EC\2016-09-02-refined-times.txt</v>
      </c>
      <c r="AI159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{"issue":{"subject":"","project_id":79,"tracker_id":40,"status_id":1,"priority_id":2,"assigned_to_id":23,"start_date":"2016-09-02","description":"","custom_fields":[{"id":1,"name":"Subdivision","value":"NW"},{"id":4,"name":"Milepost","value":"5.7933"},{"id":17,"name":"Train ID","value":"800-02"},{"id":16,"name":"Locomotive ID","value":"4008"},{"id":130,"name":"Impact","value":""},{"id":150,"name":"Time of Event (Mountain Time)","value":"05:26:47"},{"id":151,"name":"Denver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600</v>
      </c>
      <c r="B160" s="7">
        <v>4007</v>
      </c>
      <c r="C160" s="24" t="s">
        <v>113</v>
      </c>
      <c r="D160" s="24" t="s">
        <v>601</v>
      </c>
      <c r="E160" s="15">
        <v>42615.237650462965</v>
      </c>
      <c r="F160" s="15">
        <v>42615.243946759256</v>
      </c>
      <c r="G160" s="7">
        <v>3</v>
      </c>
      <c r="H160" s="15" t="s">
        <v>602</v>
      </c>
      <c r="I160" s="15">
        <v>42615.253738425927</v>
      </c>
      <c r="J160" s="7">
        <v>1</v>
      </c>
      <c r="K160" s="132" t="str">
        <f t="shared" si="54"/>
        <v>4007/4008</v>
      </c>
      <c r="L160" s="24" t="str">
        <f>VLOOKUP(A160,'Trips&amp;Operators'!$C$1:$E$10000,3,FALSE)</f>
        <v>STRICKLAND</v>
      </c>
      <c r="M160" s="6">
        <f t="shared" si="55"/>
        <v>9.7916666709352285E-3</v>
      </c>
      <c r="N160" s="7">
        <f t="shared" si="69"/>
        <v>14.100000006146729</v>
      </c>
      <c r="O160" s="7"/>
      <c r="P160" s="7"/>
      <c r="Q160" s="25"/>
      <c r="R160" s="25"/>
      <c r="S160" s="37">
        <f t="shared" si="56"/>
        <v>1</v>
      </c>
      <c r="T160" s="52" t="str">
        <f t="shared" si="57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0" s="54" t="str">
        <f t="shared" si="59"/>
        <v>N</v>
      </c>
      <c r="X160" s="120">
        <f t="shared" si="53"/>
        <v>1</v>
      </c>
      <c r="Y160" s="69">
        <f t="shared" si="60"/>
        <v>9.7600000000000006E-2</v>
      </c>
      <c r="Z160" s="69">
        <f t="shared" si="61"/>
        <v>5.8502000000000001</v>
      </c>
      <c r="AA160" s="69">
        <f t="shared" si="62"/>
        <v>5.7526000000000002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63"/>
        <v>0801-02</v>
      </c>
      <c r="AE160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60" s="96" t="str">
        <f t="shared" si="65"/>
        <v>"C:\Program Files (x86)\AstroGrep\AstroGrep.exe" /spath="%USERPROFILE%\AppData\Local\Temp\OnboardLogs" /stypes="*4007*20160902*" /stext=" 12:.+((SYSTEM_STATE.+slice.+state.+changed )|(ment ac)|(system.+state.+changed )|(\|lc)|(penalty)|(\[timeout)|(PRM\|1\|D)|(kpr)|(kdp))" /e /r /s</v>
      </c>
      <c r="AG160" s="1" t="str">
        <f t="shared" si="66"/>
        <v>NW</v>
      </c>
      <c r="AH160" s="100" t="str">
        <f t="shared" si="67"/>
        <v>"%USERPROFILE%\Documents\GitHub\eaglep3\Utilities\RefineRTDCRunTimes.py" --tripid 801-02 --locoid 4007 --swversion DE.1.0.7.0 --startMP 204:976 --initTime 2016-09-02T05:42:13 --startdatetime 2016-09-02T05:51:17 --delay 3 --endMP 300:58502 --enddatetime 2016-09-02T06:05:23 --enforcementcount 1 &gt;&gt;C:\Users\stu\Documents\GitHub\eaglep3-reporting\EC\2016-09-02-refined-times.txt</v>
      </c>
      <c r="AI160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{"issue":{"subject":"","project_id":79,"tracker_id":40,"status_id":1,"priority_id":2,"assigned_to_id":23,"start_date":"2016-09-02","description":"","custom_fields":[{"id":1,"name":"Subdivision","value":"NW"},{"id":4,"name":"Milepost","value":"5.7526"},{"id":17,"name":"Train ID","value":"801-02"},{"id":16,"name":"Locomotive ID","value":"4007"},{"id":130,"name":"Impact","value":""},{"id":150,"name":"Time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603</v>
      </c>
      <c r="B161" s="7">
        <v>4008</v>
      </c>
      <c r="C161" s="24" t="s">
        <v>113</v>
      </c>
      <c r="D161" s="24" t="s">
        <v>604</v>
      </c>
      <c r="E161" s="15">
        <v>42615.255543981482</v>
      </c>
      <c r="F161" s="15">
        <v>42615.257604166669</v>
      </c>
      <c r="G161" s="7">
        <v>1</v>
      </c>
      <c r="H161" s="15" t="s">
        <v>605</v>
      </c>
      <c r="I161" s="15">
        <v>42615.270474537036</v>
      </c>
      <c r="J161" s="7">
        <v>1</v>
      </c>
      <c r="K161" s="132" t="str">
        <f t="shared" si="54"/>
        <v>4007/4008</v>
      </c>
      <c r="L161" s="24" t="str">
        <f>VLOOKUP(A161,'Trips&amp;Operators'!$C$1:$E$10000,3,FALSE)</f>
        <v>STRICKLAND</v>
      </c>
      <c r="M161" s="6">
        <f t="shared" si="55"/>
        <v>1.2870370366727002E-2</v>
      </c>
      <c r="N161" s="7">
        <f t="shared" si="69"/>
        <v>18.533333328086883</v>
      </c>
      <c r="O161" s="7"/>
      <c r="P161" s="7"/>
      <c r="Q161" s="25"/>
      <c r="R161" s="25"/>
      <c r="S161" s="37">
        <f t="shared" si="56"/>
        <v>1</v>
      </c>
      <c r="T161" s="52" t="str">
        <f t="shared" si="57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05:07:59-0600',mode:absolute,to:'2016-09-02 07:29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1" s="54" t="str">
        <f t="shared" si="59"/>
        <v>N</v>
      </c>
      <c r="X161" s="120">
        <f t="shared" si="53"/>
        <v>1</v>
      </c>
      <c r="Y161" s="69">
        <f t="shared" si="60"/>
        <v>5.8628</v>
      </c>
      <c r="Z161" s="69">
        <f t="shared" si="61"/>
        <v>6.9400000000000003E-2</v>
      </c>
      <c r="AA161" s="69">
        <f t="shared" si="62"/>
        <v>5.7934000000000001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63"/>
        <v>0802-02</v>
      </c>
      <c r="AE161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61" s="96" t="str">
        <f t="shared" si="65"/>
        <v>"C:\Program Files (x86)\AstroGrep\AstroGrep.exe" /spath="%USERPROFILE%\AppData\Local\Temp\OnboardLogs" /stypes="*4008*20160902*" /stext=" 12:.+((SYSTEM_STATE.+slice.+state.+changed )|(ment ac)|(system.+state.+changed )|(\|lc)|(penalty)|(\[timeout)|(PRM\|1\|D)|(kpr)|(kdp))" /e /r /s</v>
      </c>
      <c r="AG161" s="1" t="str">
        <f t="shared" si="66"/>
        <v>NW</v>
      </c>
      <c r="AH161" s="100" t="str">
        <f t="shared" si="67"/>
        <v>"%USERPROFILE%\Documents\GitHub\eaglep3\Utilities\RefineRTDCRunTimes.py" --tripid 802-02 --locoid 4008 --swversion DE.1.0.7.0 --startMP 300:58628 --initTime 2016-09-02T06:07:59 --startdatetime 2016-09-02T06:10:57 --delay 1 --endMP 204:694 --enddatetime 2016-09-02T06:29:29 --enforcementcount 1 &gt;&gt;C:\Users\stu\Documents\GitHub\eaglep3-reporting\EC\2016-09-02-refined-times.txt</v>
      </c>
      <c r="AI161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{"issue":{"subject":"","project_id":79,"tracker_id":40,"status_id":1,"priority_id":2,"assigned_to_id":23,"start_date":"2016-09-02","description":"","custom_fields":[{"id":1,"name":"Subdivision","value":"NW"},{"id":4,"name":"Milepost","value":"5.7934"},{"id":17,"name":"Train ID","value":"802-02"},{"id":16,"name":"Locomotive ID","value":"4008"},{"id":130,"name":"Impact","value":""},{"id":150,"name":"Time of Event (Mountain Time)","value":"06:29:29"},{"id":151,"name":"Denver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606</v>
      </c>
      <c r="B162" s="7">
        <v>4025</v>
      </c>
      <c r="C162" s="24" t="s">
        <v>113</v>
      </c>
      <c r="D162" s="24" t="s">
        <v>607</v>
      </c>
      <c r="E162" s="15">
        <v>42615.254432870373</v>
      </c>
      <c r="F162" s="15">
        <v>42615.265081018515</v>
      </c>
      <c r="G162" s="7">
        <v>1</v>
      </c>
      <c r="H162" s="15" t="s">
        <v>608</v>
      </c>
      <c r="I162" s="15">
        <v>42615.274027777778</v>
      </c>
      <c r="J162" s="7">
        <v>1</v>
      </c>
      <c r="K162" s="132" t="str">
        <f t="shared" si="54"/>
        <v>4025/4026</v>
      </c>
      <c r="L162" s="24" t="str">
        <f>VLOOKUP(A162,'Trips&amp;Operators'!$C$1:$E$10000,3,FALSE)</f>
        <v>YORK</v>
      </c>
      <c r="M162" s="6">
        <f t="shared" si="55"/>
        <v>8.9467592624714598E-3</v>
      </c>
      <c r="N162" s="7">
        <f t="shared" si="69"/>
        <v>12.883333337958902</v>
      </c>
      <c r="O162" s="7"/>
      <c r="P162" s="7"/>
      <c r="Q162" s="25"/>
      <c r="R162" s="25"/>
      <c r="S162" s="37">
        <f t="shared" si="56"/>
        <v>1</v>
      </c>
      <c r="T162" s="52" t="str">
        <f t="shared" si="57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05:06:23-0600',mode:absolute,to:'2016-09-02 07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2" s="54" t="str">
        <f t="shared" si="59"/>
        <v>N</v>
      </c>
      <c r="X162" s="120">
        <f t="shared" si="53"/>
        <v>1</v>
      </c>
      <c r="Y162" s="69">
        <f t="shared" si="60"/>
        <v>0.1114</v>
      </c>
      <c r="Z162" s="69">
        <f t="shared" si="61"/>
        <v>5.8954000000000004</v>
      </c>
      <c r="AA162" s="69">
        <f t="shared" si="62"/>
        <v>5.7840000000000007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63"/>
        <v>0803-02</v>
      </c>
      <c r="AE162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62" s="96" t="str">
        <f t="shared" si="65"/>
        <v>"C:\Program Files (x86)\AstroGrep\AstroGrep.exe" /spath="%USERPROFILE%\AppData\Local\Temp\OnboardLogs" /stypes="*4025*20160902*" /stext=" 12:.+((SYSTEM_STATE.+slice.+state.+changed )|(ment ac)|(system.+state.+changed )|(\|lc)|(penalty)|(\[timeout)|(PRM\|1\|D)|(kpr)|(kdp))" /e /r /s</v>
      </c>
      <c r="AG162" s="1" t="str">
        <f t="shared" si="66"/>
        <v>NW</v>
      </c>
      <c r="AH162" s="100" t="str">
        <f t="shared" si="67"/>
        <v>"%USERPROFILE%\Documents\GitHub\eaglep3\Utilities\RefineRTDCRunTimes.py" --tripid 803-02 --locoid 4025 --swversion DE.1.0.7.0 --startMP 204:1114 --initTime 2016-09-02T06:06:23 --startdatetime 2016-09-02T06:21:43 --delay 1 --endMP 300:58954 --enddatetime 2016-09-02T06:34:36 --enforcementcount 1 &gt;&gt;C:\Users\stu\Documents\GitHub\eaglep3-reporting\EC\2016-09-02-refined-times.txt</v>
      </c>
      <c r="AI162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{"issue":{"subject":"","project_id":79,"tracker_id":40,"status_id":1,"priority_id":2,"assigned_to_id":23,"start_date":"2016-09-02","description":"","custom_fields":[{"id":1,"name":"Subdivision","value":"NW"},{"id":4,"name":"Milepost","value":"5.784"},{"id":17,"name":"Train ID","value":"803-02"},{"id":16,"name":"Locomotive ID","value":"4025"},{"id":130,"name":"Impact","value":""},{"id":150,"name":"Time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609</v>
      </c>
      <c r="B163" s="7">
        <v>4026</v>
      </c>
      <c r="C163" s="24" t="s">
        <v>113</v>
      </c>
      <c r="D163" s="24" t="s">
        <v>340</v>
      </c>
      <c r="E163" s="15">
        <v>42615.274965277778</v>
      </c>
      <c r="F163" s="15">
        <v>42615.278587962966</v>
      </c>
      <c r="G163" s="7">
        <v>1</v>
      </c>
      <c r="H163" s="15" t="s">
        <v>610</v>
      </c>
      <c r="I163" s="15">
        <v>42615.28837962963</v>
      </c>
      <c r="J163" s="7">
        <v>1</v>
      </c>
      <c r="K163" s="132" t="str">
        <f t="shared" si="54"/>
        <v>4025/4026</v>
      </c>
      <c r="L163" s="24" t="str">
        <f>VLOOKUP(A163,'Trips&amp;Operators'!$C$1:$E$10000,3,FALSE)</f>
        <v>YORK</v>
      </c>
      <c r="M163" s="6">
        <f t="shared" si="55"/>
        <v>9.7916666636592709E-3</v>
      </c>
      <c r="N163" s="7">
        <f t="shared" si="69"/>
        <v>14.09999999566935</v>
      </c>
      <c r="O163" s="7"/>
      <c r="P163" s="7"/>
      <c r="Q163" s="25"/>
      <c r="R163" s="25"/>
      <c r="S163" s="37">
        <f t="shared" si="56"/>
        <v>1</v>
      </c>
      <c r="T163" s="52" t="str">
        <f t="shared" si="57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05:35:57-0600',mode:absolute,to:'2016-09-02 07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3" s="54" t="str">
        <f t="shared" si="59"/>
        <v>N</v>
      </c>
      <c r="X163" s="120">
        <f t="shared" si="53"/>
        <v>1</v>
      </c>
      <c r="Y163" s="69">
        <f t="shared" si="60"/>
        <v>5.8623000000000003</v>
      </c>
      <c r="Z163" s="69">
        <f t="shared" si="61"/>
        <v>8.2699999999999996E-2</v>
      </c>
      <c r="AA163" s="69">
        <f t="shared" si="62"/>
        <v>5.7796000000000003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63"/>
        <v>0804-02</v>
      </c>
      <c r="AE163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63" s="96" t="str">
        <f t="shared" si="65"/>
        <v>"C:\Program Files (x86)\AstroGrep\AstroGrep.exe" /spath="%USERPROFILE%\AppData\Local\Temp\OnboardLogs" /stypes="*4026*20160902*" /stext=" 12:.+((SYSTEM_STATE.+slice.+state.+changed )|(ment ac)|(system.+state.+changed )|(\|lc)|(penalty)|(\[timeout)|(PRM\|1\|D)|(kpr)|(kdp))" /e /r /s</v>
      </c>
      <c r="AG163" s="1" t="str">
        <f t="shared" si="66"/>
        <v>NW</v>
      </c>
      <c r="AH163" s="100" t="str">
        <f t="shared" si="67"/>
        <v>"%USERPROFILE%\Documents\GitHub\eaglep3\Utilities\RefineRTDCRunTimes.py" --tripid 804-02 --locoid 4026 --swversion DE.1.0.7.0 --startMP 300:58623 --initTime 2016-09-02T06:35:57 --startdatetime 2016-09-02T06:41:10 --delay 1 --endMP 204:827 --enddatetime 2016-09-02T06:55:16 --enforcementcount 1 &gt;&gt;C:\Users\stu\Documents\GitHub\eaglep3-reporting\EC\2016-09-02-refined-times.txt</v>
      </c>
      <c r="AI163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{"issue":{"subject":"","project_id":79,"tracker_id":40,"status_id":1,"priority_id":2,"assigned_to_id":23,"start_date":"2016-09-02","description":"","custom_fields":[{"id":1,"name":"Subdivision","value":"NW"},{"id":4,"name":"Milepost","value":"5.7796"},{"id":17,"name":"Train ID","value":"804-02"},{"id":16,"name":"Locomotive ID","value":"4026"},{"id":130,"name":"Impact","value":""},{"id":150,"name":"Time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611</v>
      </c>
      <c r="B164" s="7">
        <v>4007</v>
      </c>
      <c r="C164" s="24" t="s">
        <v>113</v>
      </c>
      <c r="D164" s="24" t="s">
        <v>341</v>
      </c>
      <c r="E164" s="15">
        <v>42615.278969907406</v>
      </c>
      <c r="F164" s="15">
        <v>42615.285636574074</v>
      </c>
      <c r="G164" s="7">
        <v>1</v>
      </c>
      <c r="H164" s="15" t="s">
        <v>612</v>
      </c>
      <c r="I164" s="15">
        <v>42615.29550925926</v>
      </c>
      <c r="J164" s="7">
        <v>1</v>
      </c>
      <c r="K164" s="132" t="str">
        <f t="shared" si="54"/>
        <v>4007/4008</v>
      </c>
      <c r="L164" s="24" t="str">
        <f>VLOOKUP(A164,'Trips&amp;Operators'!$C$1:$E$10000,3,FALSE)</f>
        <v>STRICKLAND</v>
      </c>
      <c r="M164" s="6">
        <f t="shared" si="55"/>
        <v>9.8726851865649223E-3</v>
      </c>
      <c r="N164" s="7">
        <f t="shared" si="69"/>
        <v>14.216666668653488</v>
      </c>
      <c r="O164" s="7"/>
      <c r="P164" s="7"/>
      <c r="Q164" s="25"/>
      <c r="R164" s="25"/>
      <c r="S164" s="37">
        <f t="shared" si="56"/>
        <v>1</v>
      </c>
      <c r="T164" s="52" t="str">
        <f t="shared" si="57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4" s="54" t="str">
        <f t="shared" si="59"/>
        <v>N</v>
      </c>
      <c r="X164" s="120">
        <f t="shared" si="53"/>
        <v>1</v>
      </c>
      <c r="Y164" s="69">
        <f t="shared" si="60"/>
        <v>9.8100000000000007E-2</v>
      </c>
      <c r="Z164" s="69">
        <f t="shared" si="61"/>
        <v>5.8876999999999997</v>
      </c>
      <c r="AA164" s="69">
        <f t="shared" si="62"/>
        <v>5.7896000000000001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63"/>
        <v>0805-02</v>
      </c>
      <c r="AE164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64" s="96" t="str">
        <f t="shared" si="65"/>
        <v>"C:\Program Files (x86)\AstroGrep\AstroGrep.exe" /spath="%USERPROFILE%\AppData\Local\Temp\OnboardLogs" /stypes="*4007*20160902*" /stext=" 13:.+((SYSTEM_STATE.+slice.+state.+changed )|(ment ac)|(system.+state.+changed )|(\|lc)|(penalty)|(\[timeout)|(PRM\|1\|D)|(kpr)|(kdp))" /e /r /s</v>
      </c>
      <c r="AG164" s="1" t="str">
        <f t="shared" si="66"/>
        <v>NW</v>
      </c>
      <c r="AH164" s="100" t="str">
        <f t="shared" si="67"/>
        <v>"%USERPROFILE%\Documents\GitHub\eaglep3\Utilities\RefineRTDCRunTimes.py" --tripid 805-02 --locoid 4007 --swversion DE.1.0.7.0 --startMP 204:981 --initTime 2016-09-02T06:41:43 --startdatetime 2016-09-02T06:51:19 --delay 1 --endMP 300:58877 --enddatetime 2016-09-02T07:05:32 --enforcementcount 1 &gt;&gt;C:\Users\stu\Documents\GitHub\eaglep3-reporting\EC\2016-09-02-refined-times.txt</v>
      </c>
      <c r="AI164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{"issue":{"subject":"","project_id":79,"tracker_id":40,"status_id":1,"priority_id":2,"assigned_to_id":23,"start_date":"2016-09-02","description":"","custom_fields":[{"id":1,"name":"Subdivision","value":"NW"},{"id":4,"name":"Milepost","value":"5.7896"},{"id":17,"name":"Train ID","value":"805-02"},{"id":16,"name":"Locomotive ID","value":"4007"},{"id":130,"name":"Impact","value":""},{"id":150,"name":"Time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613</v>
      </c>
      <c r="B165" s="7">
        <v>4008</v>
      </c>
      <c r="C165" s="24" t="s">
        <v>113</v>
      </c>
      <c r="D165" s="24" t="s">
        <v>355</v>
      </c>
      <c r="E165" s="15">
        <v>42615.296701388892</v>
      </c>
      <c r="F165" s="15">
        <v>42615.300034722219</v>
      </c>
      <c r="G165" s="7">
        <v>1</v>
      </c>
      <c r="H165" s="15" t="s">
        <v>614</v>
      </c>
      <c r="I165" s="15">
        <v>42615.301354166666</v>
      </c>
      <c r="J165" s="7">
        <v>1</v>
      </c>
      <c r="K165" s="132" t="str">
        <f t="shared" si="54"/>
        <v>4007/4008</v>
      </c>
      <c r="L165" s="24" t="str">
        <f>VLOOKUP(A165,'Trips&amp;Operators'!$C$1:$E$10000,3,FALSE)</f>
        <v>STRICKLAND</v>
      </c>
      <c r="M165" s="6">
        <f t="shared" si="55"/>
        <v>1.3194444472901523E-3</v>
      </c>
      <c r="N165" s="7"/>
      <c r="O165" s="7"/>
      <c r="P165" s="7">
        <f>24*60*SUM($M165:$M165)</f>
        <v>1.9000000040978193</v>
      </c>
      <c r="Q165" s="25"/>
      <c r="R165" s="25" t="s">
        <v>729</v>
      </c>
      <c r="S165" s="37">
        <f t="shared" si="56"/>
        <v>0</v>
      </c>
      <c r="T165" s="52" t="str">
        <f t="shared" si="57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5" s="54" t="str">
        <f t="shared" si="59"/>
        <v>Y</v>
      </c>
      <c r="X165" s="120">
        <f t="shared" si="53"/>
        <v>1</v>
      </c>
      <c r="Y165" s="69">
        <f t="shared" si="60"/>
        <v>5.8611000000000004</v>
      </c>
      <c r="Z165" s="69">
        <f t="shared" si="61"/>
        <v>5.7346000000000004</v>
      </c>
      <c r="AA165" s="69">
        <f t="shared" si="62"/>
        <v>0.12650000000000006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63"/>
        <v>0806-02</v>
      </c>
      <c r="AE165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65" s="96" t="str">
        <f t="shared" si="65"/>
        <v>"C:\Program Files (x86)\AstroGrep\AstroGrep.exe" /spath="%USERPROFILE%\AppData\Local\Temp\OnboardLogs" /stypes="*4008*20160902*" /stext=" 13:.+((SYSTEM_STATE.+slice.+state.+changed )|(ment ac)|(system.+state.+changed )|(\|lc)|(penalty)|(\[timeout)|(PRM\|1\|D)|(kpr)|(kdp))" /e /r /s</v>
      </c>
      <c r="AG165" s="1" t="str">
        <f t="shared" si="66"/>
        <v>NW</v>
      </c>
      <c r="AH165" s="100" t="str">
        <f t="shared" si="67"/>
        <v>"%USERPROFILE%\Documents\GitHub\eaglep3\Utilities\RefineRTDCRunTimes.py" --tripid 806-02 --locoid 4008 --swversion DE.1.0.7.0 --startMP 300:58611 --initTime 2016-09-02T07:07:15 --startdatetime 2016-09-02T07:12:03 --delay 1 --endMP 300:57346 --enddatetime 2016-09-02T07:13:57 --enforcementcount 1 &gt;&gt;C:\Users\stu\Documents\GitHub\eaglep3-reporting\EC\2016-09-02-refined-times.txt</v>
      </c>
      <c r="AI165" s="149" t="str">
        <f t="shared" si="68"/>
        <v>echo {"issue":{"subject":"Onboard in-route failure","project_id":79,"tracker_id":40,"status_id":1,"priority_id":2,"assigned_to_id":23,"start_date":"2016-09-02","description":"","custom_fields":[{"id":1,"name":"Subdivision","value":"NW"},{"id":4,"name":"Milepost","value":"0.1265"},{"id":17,"name":"Train ID","value":"806-02"},{"id":16,"name":"Locomotive ID","value":"4008"},{"id":130,"name":"Impact","value":""},{"id":150,"name":"Time of Event (Mountain Time)","value":"07:13:57"},{"id":151,"name":"Denver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615</v>
      </c>
      <c r="B166" s="7">
        <v>4025</v>
      </c>
      <c r="C166" s="24" t="s">
        <v>113</v>
      </c>
      <c r="D166" s="24" t="s">
        <v>607</v>
      </c>
      <c r="E166" s="15">
        <v>42615.303900462961</v>
      </c>
      <c r="F166" s="15">
        <v>42615.306423611109</v>
      </c>
      <c r="G166" s="7">
        <v>1</v>
      </c>
      <c r="H166" s="15" t="s">
        <v>352</v>
      </c>
      <c r="I166" s="15">
        <v>42615.315208333333</v>
      </c>
      <c r="J166" s="7">
        <v>1</v>
      </c>
      <c r="K166" s="132" t="str">
        <f t="shared" si="54"/>
        <v>4025/4026</v>
      </c>
      <c r="L166" s="24" t="str">
        <f>VLOOKUP(A166,'Trips&amp;Operators'!$C$1:$E$10000,3,FALSE)</f>
        <v>YORK</v>
      </c>
      <c r="M166" s="6">
        <f t="shared" si="55"/>
        <v>8.7847222239361145E-3</v>
      </c>
      <c r="N166" s="7">
        <f t="shared" ref="N166:N197" si="70">24*60*SUM($M166:$M166)</f>
        <v>12.650000002468005</v>
      </c>
      <c r="O166" s="7"/>
      <c r="P166" s="7"/>
      <c r="Q166" s="25"/>
      <c r="R166" s="25"/>
      <c r="S166" s="37">
        <f t="shared" si="56"/>
        <v>1</v>
      </c>
      <c r="T166" s="52" t="str">
        <f t="shared" si="57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06:17:37-0600',mode:absolute,to:'2016-09-02 08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6" s="54" t="str">
        <f t="shared" si="59"/>
        <v>N</v>
      </c>
      <c r="X166" s="120">
        <f t="shared" si="53"/>
        <v>1</v>
      </c>
      <c r="Y166" s="69">
        <f t="shared" si="60"/>
        <v>0.1114</v>
      </c>
      <c r="Z166" s="69">
        <f t="shared" si="61"/>
        <v>5.8935000000000004</v>
      </c>
      <c r="AA166" s="69">
        <f t="shared" si="62"/>
        <v>5.7821000000000007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63"/>
        <v>0807-02</v>
      </c>
      <c r="AE166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66" s="96" t="str">
        <f t="shared" si="65"/>
        <v>"C:\Program Files (x86)\AstroGrep\AstroGrep.exe" /spath="%USERPROFILE%\AppData\Local\Temp\OnboardLogs" /stypes="*4025*20160902*" /stext=" 13:.+((SYSTEM_STATE.+slice.+state.+changed )|(ment ac)|(system.+state.+changed )|(\|lc)|(penalty)|(\[timeout)|(PRM\|1\|D)|(kpr)|(kdp))" /e /r /s</v>
      </c>
      <c r="AG166" s="1" t="str">
        <f t="shared" si="66"/>
        <v>NW</v>
      </c>
      <c r="AH166" s="100" t="str">
        <f t="shared" si="67"/>
        <v>"%USERPROFILE%\Documents\GitHub\eaglep3\Utilities\RefineRTDCRunTimes.py" --tripid 807-02 --locoid 4025 --swversion DE.1.0.7.0 --startMP 204:1114 --initTime 2016-09-02T07:17:37 --startdatetime 2016-09-02T07:21:15 --delay 1 --endMP 300:58935 --enddatetime 2016-09-02T07:33:54 --enforcementcount 1 &gt;&gt;C:\Users\stu\Documents\GitHub\eaglep3-reporting\EC\2016-09-02-refined-times.txt</v>
      </c>
      <c r="AI166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{"issue":{"subject":"","project_id":79,"tracker_id":40,"status_id":1,"priority_id":2,"assigned_to_id":23,"start_date":"2016-09-02","description":"","custom_fields":[{"id":1,"name":"Subdivision","value":"NW"},{"id":4,"name":"Milepost","value":"5.7821"},{"id":17,"name":"Train ID","value":"807-02"},{"id":16,"name":"Locomotive ID","value":"4025"},{"id":130,"name":"Impact","value":""},{"id":150,"name":"Time of Event (Mountain Time)","value":"07:33:54"},{"id":151,"name":"Denver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616</v>
      </c>
      <c r="B167" s="7">
        <v>4026</v>
      </c>
      <c r="C167" s="24" t="s">
        <v>113</v>
      </c>
      <c r="D167" s="24" t="s">
        <v>348</v>
      </c>
      <c r="E167" s="15">
        <v>42615.31659722222</v>
      </c>
      <c r="F167" s="15">
        <v>42615.318113425928</v>
      </c>
      <c r="G167" s="7">
        <v>1</v>
      </c>
      <c r="H167" s="15" t="s">
        <v>342</v>
      </c>
      <c r="I167" s="15">
        <v>42615.330081018517</v>
      </c>
      <c r="J167" s="7">
        <v>1</v>
      </c>
      <c r="K167" s="132" t="str">
        <f t="shared" si="54"/>
        <v>4025/4026</v>
      </c>
      <c r="L167" s="24" t="str">
        <f>VLOOKUP(A167,'Trips&amp;Operators'!$C$1:$E$10000,3,FALSE)</f>
        <v>YORK</v>
      </c>
      <c r="M167" s="6">
        <f t="shared" si="55"/>
        <v>1.1967592588916887E-2</v>
      </c>
      <c r="N167" s="7">
        <f t="shared" si="70"/>
        <v>17.233333328040317</v>
      </c>
      <c r="O167" s="7"/>
      <c r="P167" s="7"/>
      <c r="Q167" s="25"/>
      <c r="R167" s="25"/>
      <c r="S167" s="37">
        <f t="shared" si="56"/>
        <v>1</v>
      </c>
      <c r="T167" s="52" t="str">
        <f t="shared" si="57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06:35:54-0600',mode:absolute,to:'2016-09-02 08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7" s="54" t="str">
        <f t="shared" si="59"/>
        <v>N</v>
      </c>
      <c r="X167" s="120">
        <f t="shared" si="53"/>
        <v>1</v>
      </c>
      <c r="Y167" s="69">
        <f t="shared" si="60"/>
        <v>5.8620999999999999</v>
      </c>
      <c r="Z167" s="69">
        <f t="shared" si="61"/>
        <v>7.8899999999999998E-2</v>
      </c>
      <c r="AA167" s="69">
        <f t="shared" si="62"/>
        <v>5.7831999999999999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63"/>
        <v>0808-02</v>
      </c>
      <c r="AE167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67" s="96" t="str">
        <f t="shared" si="65"/>
        <v>"C:\Program Files (x86)\AstroGrep\AstroGrep.exe" /spath="%USERPROFILE%\AppData\Local\Temp\OnboardLogs" /stypes="*4026*20160902*" /stext=" 13:.+((SYSTEM_STATE.+slice.+state.+changed )|(ment ac)|(system.+state.+changed )|(\|lc)|(penalty)|(\[timeout)|(PRM\|1\|D)|(kpr)|(kdp))" /e /r /s</v>
      </c>
      <c r="AG167" s="1" t="str">
        <f t="shared" si="66"/>
        <v>NW</v>
      </c>
      <c r="AH167" s="100" t="str">
        <f t="shared" si="67"/>
        <v>"%USERPROFILE%\Documents\GitHub\eaglep3\Utilities\RefineRTDCRunTimes.py" --tripid 808-02 --locoid 4026 --swversion DE.1.0.7.0 --startMP 300:58621 --initTime 2016-09-02T07:35:54 --startdatetime 2016-09-02T07:38:05 --delay 1 --endMP 204:789 --enddatetime 2016-09-02T07:55:19 --enforcementcount 1 &gt;&gt;C:\Users\stu\Documents\GitHub\eaglep3-reporting\EC\2016-09-02-refined-times.txt</v>
      </c>
      <c r="AI167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{"issue":{"subject":"","project_id":79,"tracker_id":40,"status_id":1,"priority_id":2,"assigned_to_id":23,"start_date":"2016-09-02","description":"","custom_fields":[{"id":1,"name":"Subdivision","value":"NW"},{"id":4,"name":"Milepost","value":"5.7832"},{"id":17,"name":"Train ID","value":"808-02"},{"id":16,"name":"Locomotive ID","value":"4026"},{"id":130,"name":"Impact","value":""},{"id":150,"name":"Time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617</v>
      </c>
      <c r="B168" s="7">
        <v>4007</v>
      </c>
      <c r="C168" s="24" t="s">
        <v>113</v>
      </c>
      <c r="D168" s="24" t="s">
        <v>618</v>
      </c>
      <c r="E168" s="15">
        <v>42615.322118055556</v>
      </c>
      <c r="F168" s="15">
        <v>42615.327453703707</v>
      </c>
      <c r="G168" s="7">
        <v>1</v>
      </c>
      <c r="H168" s="15" t="s">
        <v>619</v>
      </c>
      <c r="I168" s="15">
        <v>42615.339050925926</v>
      </c>
      <c r="J168" s="7">
        <v>1</v>
      </c>
      <c r="K168" s="132" t="str">
        <f t="shared" si="54"/>
        <v>4007/4008</v>
      </c>
      <c r="L168" s="24" t="str">
        <f>VLOOKUP(A168,'Trips&amp;Operators'!$C$1:$E$10000,3,FALSE)</f>
        <v>STRICKLAND</v>
      </c>
      <c r="M168" s="6">
        <f t="shared" si="55"/>
        <v>1.1597222219279502E-2</v>
      </c>
      <c r="N168" s="7">
        <f t="shared" si="70"/>
        <v>16.699999995762482</v>
      </c>
      <c r="O168" s="7"/>
      <c r="P168" s="7"/>
      <c r="Q168" s="25"/>
      <c r="R168" s="25"/>
      <c r="S168" s="37">
        <f t="shared" si="56"/>
        <v>1</v>
      </c>
      <c r="T168" s="52" t="str">
        <f t="shared" si="57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8" s="54" t="str">
        <f t="shared" si="59"/>
        <v>N</v>
      </c>
      <c r="X168" s="120">
        <f t="shared" si="53"/>
        <v>1</v>
      </c>
      <c r="Y168" s="69">
        <f t="shared" si="60"/>
        <v>0.1056</v>
      </c>
      <c r="Z168" s="69">
        <f t="shared" si="61"/>
        <v>5.8960999999999997</v>
      </c>
      <c r="AA168" s="69">
        <f t="shared" si="62"/>
        <v>5.7904999999999998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63"/>
        <v>0809-02</v>
      </c>
      <c r="AE168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68" s="96" t="str">
        <f t="shared" si="65"/>
        <v>"C:\Program Files (x86)\AstroGrep\AstroGrep.exe" /spath="%USERPROFILE%\AppData\Local\Temp\OnboardLogs" /stypes="*4007*20160902*" /stext=" 14:.+((SYSTEM_STATE.+slice.+state.+changed )|(ment ac)|(system.+state.+changed )|(\|lc)|(penalty)|(\[timeout)|(PRM\|1\|D)|(kpr)|(kdp))" /e /r /s</v>
      </c>
      <c r="AG168" s="1" t="str">
        <f t="shared" si="66"/>
        <v>NW</v>
      </c>
      <c r="AH168" s="100" t="str">
        <f t="shared" si="67"/>
        <v>"%USERPROFILE%\Documents\GitHub\eaglep3\Utilities\RefineRTDCRunTimes.py" --tripid 809-02 --locoid 4007 --swversion DE.1.0.7.0 --startMP 204:1056 --initTime 2016-09-02T07:43:51 --startdatetime 2016-09-02T07:51:32 --delay 1 --endMP 300:58961 --enddatetime 2016-09-02T08:08:14 --enforcementcount 1 &gt;&gt;C:\Users\stu\Documents\GitHub\eaglep3-reporting\EC\2016-09-02-refined-times.txt</v>
      </c>
      <c r="AI168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{"issue":{"subject":"","project_id":79,"tracker_id":40,"status_id":1,"priority_id":2,"assigned_to_id":23,"start_date":"2016-09-02","description":"","custom_fields":[{"id":1,"name":"Subdivision","value":"NW"},{"id":4,"name":"Milepost","value":"5.7905"},{"id":17,"name":"Train ID","value":"809-02"},{"id":16,"name":"Locomotive ID","value":"4007"},{"id":130,"name":"Impact","value":""},{"id":150,"name":"Time of Event (Mountain Time)","value":"08:08:14"},{"id":151,"name":"Denver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620</v>
      </c>
      <c r="B169" s="7">
        <v>4008</v>
      </c>
      <c r="C169" s="24" t="s">
        <v>113</v>
      </c>
      <c r="D169" s="24" t="s">
        <v>353</v>
      </c>
      <c r="E169" s="15">
        <v>42615.340358796297</v>
      </c>
      <c r="F169" s="15">
        <v>42615.341481481482</v>
      </c>
      <c r="G169" s="7">
        <v>1</v>
      </c>
      <c r="H169" s="15" t="s">
        <v>346</v>
      </c>
      <c r="I169" s="15">
        <v>42615.3518287037</v>
      </c>
      <c r="J169" s="7">
        <v>1</v>
      </c>
      <c r="K169" s="132" t="str">
        <f t="shared" si="54"/>
        <v>4007/4008</v>
      </c>
      <c r="L169" s="24" t="str">
        <f>VLOOKUP(A169,'Trips&amp;Operators'!$C$1:$E$10000,3,FALSE)</f>
        <v>STRICKLAND</v>
      </c>
      <c r="M169" s="6">
        <f t="shared" si="55"/>
        <v>1.0347222218115348E-2</v>
      </c>
      <c r="N169" s="7">
        <f t="shared" si="70"/>
        <v>14.899999994086102</v>
      </c>
      <c r="O169" s="7"/>
      <c r="P169" s="7"/>
      <c r="Q169" s="25"/>
      <c r="R169" s="25"/>
      <c r="S169" s="37">
        <f t="shared" si="56"/>
        <v>1</v>
      </c>
      <c r="T169" s="52" t="str">
        <f t="shared" si="57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07:10:07-0600',mode:absolute,to:'2016-09-02 09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9" s="54" t="str">
        <f t="shared" si="59"/>
        <v>N</v>
      </c>
      <c r="X169" s="120">
        <f t="shared" si="53"/>
        <v>1</v>
      </c>
      <c r="Y169" s="69">
        <f t="shared" si="60"/>
        <v>5.8640999999999996</v>
      </c>
      <c r="Z169" s="69">
        <f t="shared" si="61"/>
        <v>6.9900000000000004E-2</v>
      </c>
      <c r="AA169" s="69">
        <f t="shared" si="62"/>
        <v>5.7942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63"/>
        <v>0810-02</v>
      </c>
      <c r="AE169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69" s="96" t="str">
        <f t="shared" si="65"/>
        <v>"C:\Program Files (x86)\AstroGrep\AstroGrep.exe" /spath="%USERPROFILE%\AppData\Local\Temp\OnboardLogs" /stypes="*4008*20160902*" /stext=" 14:.+((SYSTEM_STATE.+slice.+state.+changed )|(ment ac)|(system.+state.+changed )|(\|lc)|(penalty)|(\[timeout)|(PRM\|1\|D)|(kpr)|(kdp))" /e /r /s</v>
      </c>
      <c r="AG169" s="1" t="str">
        <f t="shared" si="66"/>
        <v>NW</v>
      </c>
      <c r="AH169" s="100" t="str">
        <f t="shared" si="67"/>
        <v>"%USERPROFILE%\Documents\GitHub\eaglep3\Utilities\RefineRTDCRunTimes.py" --tripid 810-02 --locoid 4008 --swversion DE.1.0.7.0 --startMP 300:58641 --initTime 2016-09-02T08:10:07 --startdatetime 2016-09-02T08:11:44 --delay 1 --endMP 204:699 --enddatetime 2016-09-02T08:26:38 --enforcementcount 1 &gt;&gt;C:\Users\stu\Documents\GitHub\eaglep3-reporting\EC\2016-09-02-refined-times.txt</v>
      </c>
      <c r="AI169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{"issue":{"subject":"","project_id":79,"tracker_id":40,"status_id":1,"priority_id":2,"assigned_to_id":23,"start_date":"2016-09-02","description":"","custom_fields":[{"id":1,"name":"Subdivision","value":"NW"},{"id":4,"name":"Milepost","value":"5.7942"},{"id":17,"name":"Train ID","value":"810-02"},{"id":16,"name":"Locomotive ID","value":"4008"},{"id":130,"name":"Impact","value":""},{"id":150,"name":"Time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621</v>
      </c>
      <c r="B170" s="7">
        <v>4025</v>
      </c>
      <c r="C170" s="24" t="s">
        <v>113</v>
      </c>
      <c r="D170" s="24" t="s">
        <v>622</v>
      </c>
      <c r="E170" s="15">
        <v>42615.331331018519</v>
      </c>
      <c r="F170" s="15">
        <v>42615.348645833335</v>
      </c>
      <c r="G170" s="7">
        <v>1</v>
      </c>
      <c r="H170" s="15" t="s">
        <v>623</v>
      </c>
      <c r="I170" s="15">
        <v>42615.357604166667</v>
      </c>
      <c r="J170" s="7">
        <v>1</v>
      </c>
      <c r="K170" s="132" t="str">
        <f t="shared" si="54"/>
        <v>4025/4026</v>
      </c>
      <c r="L170" s="24" t="str">
        <f>VLOOKUP(A170,'Trips&amp;Operators'!$C$1:$E$10000,3,FALSE)</f>
        <v>YORK</v>
      </c>
      <c r="M170" s="6">
        <f t="shared" si="55"/>
        <v>8.9583333319751546E-3</v>
      </c>
      <c r="N170" s="7">
        <f t="shared" si="70"/>
        <v>12.899999998044223</v>
      </c>
      <c r="O170" s="7"/>
      <c r="P170" s="7"/>
      <c r="Q170" s="25"/>
      <c r="R170" s="25"/>
      <c r="S170" s="37">
        <f t="shared" si="56"/>
        <v>1</v>
      </c>
      <c r="T170" s="52" t="str">
        <f t="shared" si="57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06:57:07-0600',mode:absolute,to:'2016-09-02 09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0" s="54" t="str">
        <f t="shared" si="59"/>
        <v>N</v>
      </c>
      <c r="X170" s="120">
        <f t="shared" si="53"/>
        <v>1</v>
      </c>
      <c r="Y170" s="69">
        <f t="shared" si="60"/>
        <v>0.1077</v>
      </c>
      <c r="Z170" s="69">
        <f t="shared" si="61"/>
        <v>5.8956</v>
      </c>
      <c r="AA170" s="69">
        <f t="shared" si="62"/>
        <v>5.7878999999999996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63"/>
        <v>0811-02</v>
      </c>
      <c r="AE170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70" s="96" t="str">
        <f t="shared" si="65"/>
        <v>"C:\Program Files (x86)\AstroGrep\AstroGrep.exe" /spath="%USERPROFILE%\AppData\Local\Temp\OnboardLogs" /stypes="*4025*20160902*" /stext=" 14:.+((SYSTEM_STATE.+slice.+state.+changed )|(ment ac)|(system.+state.+changed )|(\|lc)|(penalty)|(\[timeout)|(PRM\|1\|D)|(kpr)|(kdp))" /e /r /s</v>
      </c>
      <c r="AG170" s="1" t="str">
        <f t="shared" si="66"/>
        <v>NW</v>
      </c>
      <c r="AH170" s="100" t="str">
        <f t="shared" si="67"/>
        <v>"%USERPROFILE%\Documents\GitHub\eaglep3\Utilities\RefineRTDCRunTimes.py" --tripid 811-02 --locoid 4025 --swversion DE.1.0.7.0 --startMP 204:1077 --initTime 2016-09-02T07:57:07 --startdatetime 2016-09-02T08:22:03 --delay 1 --endMP 300:58956 --enddatetime 2016-09-02T08:34:57 --enforcementcount 1 &gt;&gt;C:\Users\stu\Documents\GitHub\eaglep3-reporting\EC\2016-09-02-refined-times.txt</v>
      </c>
      <c r="AI170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{"issue":{"subject":"","project_id":79,"tracker_id":40,"status_id":1,"priority_id":2,"assigned_to_id":23,"start_date":"2016-09-02","description":"","custom_fields":[{"id":1,"name":"Subdivision","value":"NW"},{"id":4,"name":"Milepost","value":"5.7879"},{"id":17,"name":"Train ID","value":"811-02"},{"id":16,"name":"Locomotive ID","value":"4025"},{"id":130,"name":"Impact","value":""},{"id":150,"name":"Time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624</v>
      </c>
      <c r="B171" s="7">
        <v>4026</v>
      </c>
      <c r="C171" s="24" t="s">
        <v>113</v>
      </c>
      <c r="D171" s="24" t="s">
        <v>625</v>
      </c>
      <c r="E171" s="15">
        <v>42615.360590277778</v>
      </c>
      <c r="F171" s="15">
        <v>42615.361666666664</v>
      </c>
      <c r="G171" s="7">
        <v>1</v>
      </c>
      <c r="H171" s="15" t="s">
        <v>626</v>
      </c>
      <c r="I171" s="15">
        <v>42615.370879629627</v>
      </c>
      <c r="J171" s="7">
        <v>1</v>
      </c>
      <c r="K171" s="132" t="str">
        <f t="shared" si="54"/>
        <v>4025/4026</v>
      </c>
      <c r="L171" s="24" t="str">
        <f>VLOOKUP(A171,'Trips&amp;Operators'!$C$1:$E$10000,3,FALSE)</f>
        <v>YORK</v>
      </c>
      <c r="M171" s="6">
        <f t="shared" si="55"/>
        <v>9.2129629629198462E-3</v>
      </c>
      <c r="N171" s="7">
        <f t="shared" si="70"/>
        <v>13.266666666604578</v>
      </c>
      <c r="O171" s="7"/>
      <c r="P171" s="7"/>
      <c r="Q171" s="25"/>
      <c r="R171" s="25"/>
      <c r="S171" s="37">
        <f t="shared" si="56"/>
        <v>1</v>
      </c>
      <c r="T171" s="52" t="str">
        <f t="shared" si="57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07:39:15-0600',mode:absolute,to:'2016-09-02 09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1" s="54" t="str">
        <f t="shared" si="59"/>
        <v>N</v>
      </c>
      <c r="X171" s="120">
        <f t="shared" ref="X171:X175" si="71">VALUE(LEFT(AD171,4))-VALUE(LEFT(AD170,4))</f>
        <v>1</v>
      </c>
      <c r="Y171" s="69">
        <f t="shared" si="60"/>
        <v>5.8634000000000004</v>
      </c>
      <c r="Z171" s="69">
        <f t="shared" si="61"/>
        <v>8.1500000000000003E-2</v>
      </c>
      <c r="AA171" s="69">
        <f t="shared" si="62"/>
        <v>5.7819000000000003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63"/>
        <v>0812-02</v>
      </c>
      <c r="AE171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71" s="96" t="str">
        <f t="shared" si="65"/>
        <v>"C:\Program Files (x86)\AstroGrep\AstroGrep.exe" /spath="%USERPROFILE%\AppData\Local\Temp\OnboardLogs" /stypes="*4026*20160902*" /stext=" 14:.+((SYSTEM_STATE.+slice.+state.+changed )|(ment ac)|(system.+state.+changed )|(\|lc)|(penalty)|(\[timeout)|(PRM\|1\|D)|(kpr)|(kdp))" /e /r /s</v>
      </c>
      <c r="AG171" s="1" t="str">
        <f t="shared" si="66"/>
        <v>NW</v>
      </c>
      <c r="AH171" s="100" t="str">
        <f t="shared" si="67"/>
        <v>"%USERPROFILE%\Documents\GitHub\eaglep3\Utilities\RefineRTDCRunTimes.py" --tripid 812-02 --locoid 4026 --swversion DE.1.0.7.0 --startMP 300:58634 --initTime 2016-09-02T08:39:15 --startdatetime 2016-09-02T08:40:48 --delay 1 --endMP 204:815 --enddatetime 2016-09-02T08:54:04 --enforcementcount 1 &gt;&gt;C:\Users\stu\Documents\GitHub\eaglep3-reporting\EC\2016-09-02-refined-times.txt</v>
      </c>
      <c r="AI171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{"issue":{"subject":"","project_id":79,"tracker_id":40,"status_id":1,"priority_id":2,"assigned_to_id":23,"start_date":"2016-09-02","description":"","custom_fields":[{"id":1,"name":"Subdivision","value":"NW"},{"id":4,"name":"Milepost","value":"5.7819"},{"id":17,"name":"Train ID","value":"812-02"},{"id":16,"name":"Locomotive ID","value":"4026"},{"id":130,"name":"Impact","value":""},{"id":150,"name":"Time of Event (Mountain Time)","value":"08:54:04"},{"id":151,"name":"Denver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627</v>
      </c>
      <c r="B172" s="7">
        <v>4025</v>
      </c>
      <c r="C172" s="24" t="s">
        <v>113</v>
      </c>
      <c r="D172" s="24" t="s">
        <v>628</v>
      </c>
      <c r="E172" s="15">
        <v>42615.373217592591</v>
      </c>
      <c r="F172" s="15">
        <v>42615.38994212963</v>
      </c>
      <c r="G172" s="7">
        <v>1</v>
      </c>
      <c r="H172" s="15" t="s">
        <v>357</v>
      </c>
      <c r="I172" s="15">
        <v>42615.398865740739</v>
      </c>
      <c r="J172" s="7">
        <v>1</v>
      </c>
      <c r="K172" s="132" t="str">
        <f t="shared" si="54"/>
        <v>4025/4026</v>
      </c>
      <c r="L172" s="24" t="str">
        <f>VLOOKUP(A172,'Trips&amp;Operators'!$C$1:$E$10000,3,FALSE)</f>
        <v>YORK</v>
      </c>
      <c r="M172" s="6">
        <f t="shared" si="55"/>
        <v>8.923611108912155E-3</v>
      </c>
      <c r="N172" s="7">
        <f t="shared" si="70"/>
        <v>12.849999996833503</v>
      </c>
      <c r="O172" s="7"/>
      <c r="P172" s="7"/>
      <c r="Q172" s="25"/>
      <c r="R172" s="25"/>
      <c r="S172" s="37">
        <f t="shared" si="56"/>
        <v>1</v>
      </c>
      <c r="T172" s="52" t="str">
        <f t="shared" si="57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07:57:26-0600',mode:absolute,to:'2016-09-02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2" s="54" t="str">
        <f t="shared" si="59"/>
        <v>N</v>
      </c>
      <c r="X172" s="120">
        <f t="shared" si="71"/>
        <v>1</v>
      </c>
      <c r="Y172" s="69">
        <f t="shared" si="60"/>
        <v>0.11119999999999999</v>
      </c>
      <c r="Z172" s="69">
        <f t="shared" si="61"/>
        <v>5.8936999999999999</v>
      </c>
      <c r="AA172" s="69">
        <f t="shared" si="62"/>
        <v>5.7824999999999998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63"/>
        <v>0813-02</v>
      </c>
      <c r="AE172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72" s="96" t="str">
        <f t="shared" si="65"/>
        <v>"C:\Program Files (x86)\AstroGrep\AstroGrep.exe" /spath="%USERPROFILE%\AppData\Local\Temp\OnboardLogs" /stypes="*4025*20160902*" /stext=" 15:.+((SYSTEM_STATE.+slice.+state.+changed )|(ment ac)|(system.+state.+changed )|(\|lc)|(penalty)|(\[timeout)|(PRM\|1\|D)|(kpr)|(kdp))" /e /r /s</v>
      </c>
      <c r="AG172" s="1" t="str">
        <f t="shared" si="66"/>
        <v>NW</v>
      </c>
      <c r="AH172" s="100" t="str">
        <f t="shared" si="67"/>
        <v>"%USERPROFILE%\Documents\GitHub\eaglep3\Utilities\RefineRTDCRunTimes.py" --tripid 813-02 --locoid 4025 --swversion DE.1.0.7.0 --startMP 204:1112 --initTime 2016-09-02T08:57:26 --startdatetime 2016-09-02T09:21:31 --delay 1 --endMP 300:58937 --enddatetime 2016-09-02T09:34:22 --enforcementcount 1 &gt;&gt;C:\Users\stu\Documents\GitHub\eaglep3-reporting\EC\2016-09-02-refined-times.txt</v>
      </c>
      <c r="AI172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{"issue":{"subject":"","project_id":79,"tracker_id":40,"status_id":1,"priority_id":2,"assigned_to_id":23,"start_date":"2016-09-02","description":"","custom_fields":[{"id":1,"name":"Subdivision","value":"NW"},{"id":4,"name":"Milepost","value":"5.7825"},{"id":17,"name":"Train ID","value":"813-02"},{"id":16,"name":"Locomotive ID","value":"4025"},{"id":130,"name":"Impact","value":""},{"id":150,"name":"Time of Event (Mountain Time)","value":"09:34:22"},{"id":151,"name":"Denver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629</v>
      </c>
      <c r="B173" s="7">
        <v>4026</v>
      </c>
      <c r="C173" s="24" t="s">
        <v>113</v>
      </c>
      <c r="D173" s="24" t="s">
        <v>340</v>
      </c>
      <c r="E173" s="15">
        <v>42615.400127314817</v>
      </c>
      <c r="F173" s="15">
        <v>42615.401458333334</v>
      </c>
      <c r="G173" s="7">
        <v>1</v>
      </c>
      <c r="H173" s="15" t="s">
        <v>626</v>
      </c>
      <c r="I173" s="15">
        <v>42615.412430555552</v>
      </c>
      <c r="J173" s="7">
        <v>1</v>
      </c>
      <c r="K173" s="132" t="str">
        <f t="shared" si="54"/>
        <v>4025/4026</v>
      </c>
      <c r="L173" s="24" t="str">
        <f>VLOOKUP(A173,'Trips&amp;Operators'!$C$1:$E$10000,3,FALSE)</f>
        <v>YORK</v>
      </c>
      <c r="M173" s="6">
        <f t="shared" si="55"/>
        <v>1.0972222218697425E-2</v>
      </c>
      <c r="N173" s="7">
        <f t="shared" si="70"/>
        <v>15.799999994924292</v>
      </c>
      <c r="O173" s="7"/>
      <c r="P173" s="7"/>
      <c r="Q173" s="25"/>
      <c r="R173" s="25"/>
      <c r="S173" s="37">
        <f t="shared" si="56"/>
        <v>1</v>
      </c>
      <c r="T173" s="52" t="str">
        <f t="shared" si="57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08:36:11-0600',mode:absolute,to:'2016-09-02 10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3" s="54" t="str">
        <f t="shared" si="59"/>
        <v>N</v>
      </c>
      <c r="X173" s="120">
        <f t="shared" si="71"/>
        <v>1</v>
      </c>
      <c r="Y173" s="69">
        <f t="shared" si="60"/>
        <v>5.8623000000000003</v>
      </c>
      <c r="Z173" s="69">
        <f t="shared" si="61"/>
        <v>8.1500000000000003E-2</v>
      </c>
      <c r="AA173" s="69">
        <f t="shared" si="62"/>
        <v>5.7808000000000002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63"/>
        <v>0814-02</v>
      </c>
      <c r="AE173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73" s="96" t="str">
        <f t="shared" si="65"/>
        <v>"C:\Program Files (x86)\AstroGrep\AstroGrep.exe" /spath="%USERPROFILE%\AppData\Local\Temp\OnboardLogs" /stypes="*4026*20160902*" /stext=" 15:.+((SYSTEM_STATE.+slice.+state.+changed )|(ment ac)|(system.+state.+changed )|(\|lc)|(penalty)|(\[timeout)|(PRM\|1\|D)|(kpr)|(kdp))" /e /r /s</v>
      </c>
      <c r="AG173" s="1" t="str">
        <f t="shared" si="66"/>
        <v>NW</v>
      </c>
      <c r="AH173" s="100" t="str">
        <f t="shared" si="67"/>
        <v>"%USERPROFILE%\Documents\GitHub\eaglep3\Utilities\RefineRTDCRunTimes.py" --tripid 814-02 --locoid 4026 --swversion DE.1.0.7.0 --startMP 300:58623 --initTime 2016-09-02T09:36:11 --startdatetime 2016-09-02T09:38:06 --delay 1 --endMP 204:815 --enddatetime 2016-09-02T09:53:54 --enforcementcount 1 &gt;&gt;C:\Users\stu\Documents\GitHub\eaglep3-reporting\EC\2016-09-02-refined-times.txt</v>
      </c>
      <c r="AI173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{"issue":{"subject":"","project_id":79,"tracker_id":40,"status_id":1,"priority_id":2,"assigned_to_id":23,"start_date":"2016-09-02","description":"","custom_fields":[{"id":1,"name":"Subdivision","value":"NW"},{"id":4,"name":"Milepost","value":"5.7808"},{"id":17,"name":"Train ID","value":"814-02"},{"id":16,"name":"Locomotive ID","value":"4026"},{"id":130,"name":"Impact","value":""},{"id":150,"name":"Time of Event (Mountain Time)","value":"09:53:54"},{"id":151,"name":"Denver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630</v>
      </c>
      <c r="B174" s="7">
        <v>4025</v>
      </c>
      <c r="C174" s="24" t="s">
        <v>113</v>
      </c>
      <c r="D174" s="24" t="s">
        <v>631</v>
      </c>
      <c r="E174" s="15">
        <v>42615.420497685183</v>
      </c>
      <c r="F174" s="15">
        <v>42615.431516203702</v>
      </c>
      <c r="G174" s="7">
        <v>1</v>
      </c>
      <c r="H174" s="15" t="s">
        <v>344</v>
      </c>
      <c r="I174" s="15">
        <v>42615.440115740741</v>
      </c>
      <c r="J174" s="7">
        <v>1</v>
      </c>
      <c r="K174" s="132" t="str">
        <f t="shared" si="54"/>
        <v>4025/4026</v>
      </c>
      <c r="L174" s="24" t="str">
        <f>VLOOKUP(A174,'Trips&amp;Operators'!$C$1:$E$10000,3,FALSE)</f>
        <v>YORK</v>
      </c>
      <c r="M174" s="6">
        <f t="shared" si="55"/>
        <v>8.599537039117422E-3</v>
      </c>
      <c r="N174" s="7">
        <f t="shared" si="70"/>
        <v>12.383333336329088</v>
      </c>
      <c r="O174" s="7"/>
      <c r="P174" s="7"/>
      <c r="Q174" s="25"/>
      <c r="R174" s="25"/>
      <c r="S174" s="37">
        <f t="shared" si="56"/>
        <v>1</v>
      </c>
      <c r="T174" s="52" t="str">
        <f t="shared" si="57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09:05:31-0600',mode:absolute,to:'2016-09-02 11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4" s="54" t="str">
        <f t="shared" si="59"/>
        <v>N</v>
      </c>
      <c r="X174" s="120">
        <f t="shared" si="71"/>
        <v>1</v>
      </c>
      <c r="Y174" s="69">
        <f t="shared" si="60"/>
        <v>0.10970000000000001</v>
      </c>
      <c r="Z174" s="69">
        <f t="shared" si="61"/>
        <v>5.8944000000000001</v>
      </c>
      <c r="AA174" s="69">
        <f t="shared" si="62"/>
        <v>5.7847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63"/>
        <v>0815-02</v>
      </c>
      <c r="AE174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74" s="96" t="str">
        <f t="shared" si="65"/>
        <v>"C:\Program Files (x86)\AstroGrep\AstroGrep.exe" /spath="%USERPROFILE%\AppData\Local\Temp\OnboardLogs" /stypes="*4025*20160902*" /stext=" 16:.+((SYSTEM_STATE.+slice.+state.+changed )|(ment ac)|(system.+state.+changed )|(\|lc)|(penalty)|(\[timeout)|(PRM\|1\|D)|(kpr)|(kdp))" /e /r /s</v>
      </c>
      <c r="AG174" s="1" t="str">
        <f t="shared" si="66"/>
        <v>NW</v>
      </c>
      <c r="AH174" s="100" t="str">
        <f t="shared" si="67"/>
        <v>"%USERPROFILE%\Documents\GitHub\eaglep3\Utilities\RefineRTDCRunTimes.py" --tripid 815-02 --locoid 4025 --swversion DE.1.0.7.0 --startMP 204:1097 --initTime 2016-09-02T10:05:31 --startdatetime 2016-09-02T10:21:23 --delay 1 --endMP 300:58944 --enddatetime 2016-09-02T10:33:46 --enforcementcount 1 &gt;&gt;C:\Users\stu\Documents\GitHub\eaglep3-reporting\EC\2016-09-02-refined-times.txt</v>
      </c>
      <c r="AI174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{"issue":{"subject":"","project_id":79,"tracker_id":40,"status_id":1,"priority_id":2,"assigned_to_id":23,"start_date":"2016-09-02","description":"","custom_fields":[{"id":1,"name":"Subdivision","value":"NW"},{"id":4,"name":"Milepost","value":"5.7847"},{"id":17,"name":"Train ID","value":"815-02"},{"id":16,"name":"Locomotive ID","value":"4025"},{"id":130,"name":"Impact","value":""},{"id":150,"name":"Time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632</v>
      </c>
      <c r="B175" s="7">
        <v>4026</v>
      </c>
      <c r="C175" s="24" t="s">
        <v>113</v>
      </c>
      <c r="D175" s="24" t="s">
        <v>350</v>
      </c>
      <c r="E175" s="15">
        <v>42615.441319444442</v>
      </c>
      <c r="F175" s="15">
        <v>42615.443020833336</v>
      </c>
      <c r="G175" s="7">
        <v>1</v>
      </c>
      <c r="H175" s="15" t="s">
        <v>633</v>
      </c>
      <c r="I175" s="15">
        <v>42615.454143518517</v>
      </c>
      <c r="J175" s="7">
        <v>1</v>
      </c>
      <c r="K175" s="132" t="str">
        <f t="shared" si="54"/>
        <v>4025/4026</v>
      </c>
      <c r="L175" s="24" t="str">
        <f>VLOOKUP(A175,'Trips&amp;Operators'!$C$1:$E$10000,3,FALSE)</f>
        <v>YORK</v>
      </c>
      <c r="M175" s="6">
        <f t="shared" si="55"/>
        <v>1.1122685180453118E-2</v>
      </c>
      <c r="N175" s="7">
        <f t="shared" si="70"/>
        <v>16.01666665985249</v>
      </c>
      <c r="O175" s="7"/>
      <c r="P175" s="7"/>
      <c r="Q175" s="25"/>
      <c r="R175" s="25"/>
      <c r="S175" s="37">
        <f t="shared" si="56"/>
        <v>1</v>
      </c>
      <c r="T175" s="52" t="str">
        <f t="shared" si="57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09:35:30-0600',mode:absolute,to:'2016-09-02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5" s="54" t="str">
        <f t="shared" si="59"/>
        <v>N</v>
      </c>
      <c r="X175" s="120">
        <f t="shared" si="71"/>
        <v>1</v>
      </c>
      <c r="Y175" s="69">
        <f t="shared" si="60"/>
        <v>5.8632</v>
      </c>
      <c r="Z175" s="69">
        <f t="shared" si="61"/>
        <v>8.2400000000000001E-2</v>
      </c>
      <c r="AA175" s="69">
        <f t="shared" si="62"/>
        <v>5.7808000000000002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63"/>
        <v>0816-02</v>
      </c>
      <c r="AE175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75" s="96" t="str">
        <f t="shared" si="65"/>
        <v>"C:\Program Files (x86)\AstroGrep\AstroGrep.exe" /spath="%USERPROFILE%\AppData\Local\Temp\OnboardLogs" /stypes="*4026*20160902*" /stext=" 16:.+((SYSTEM_STATE.+slice.+state.+changed )|(ment ac)|(system.+state.+changed )|(\|lc)|(penalty)|(\[timeout)|(PRM\|1\|D)|(kpr)|(kdp))" /e /r /s</v>
      </c>
      <c r="AG175" s="1" t="str">
        <f t="shared" si="66"/>
        <v>NW</v>
      </c>
      <c r="AH175" s="100" t="str">
        <f t="shared" si="67"/>
        <v>"%USERPROFILE%\Documents\GitHub\eaglep3\Utilities\RefineRTDCRunTimes.py" --tripid 816-02 --locoid 4026 --swversion DE.1.0.7.0 --startMP 300:58632 --initTime 2016-09-02T10:35:30 --startdatetime 2016-09-02T10:37:57 --delay 1 --endMP 204:824 --enddatetime 2016-09-02T10:53:58 --enforcementcount 1 &gt;&gt;C:\Users\stu\Documents\GitHub\eaglep3-reporting\EC\2016-09-02-refined-times.txt</v>
      </c>
      <c r="AI175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{"issue":{"subject":"","project_id":79,"tracker_id":40,"status_id":1,"priority_id":2,"assigned_to_id":23,"start_date":"2016-09-02","description":"","custom_fields":[{"id":1,"name":"Subdivision","value":"NW"},{"id":4,"name":"Milepost","value":"5.7808"},{"id":17,"name":"Train ID","value":"816-02"},{"id":16,"name":"Locomotive ID","value":"4026"},{"id":130,"name":"Impact","value":""},{"id":150,"name":"Time of Event (Mountain Time)","value":"10:53:58"},{"id":151,"name":"Denver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634</v>
      </c>
      <c r="B176" s="7">
        <v>4025</v>
      </c>
      <c r="C176" s="24" t="s">
        <v>113</v>
      </c>
      <c r="D176" s="24" t="s">
        <v>343</v>
      </c>
      <c r="E176" s="15">
        <v>42615.472083333334</v>
      </c>
      <c r="F176" s="15">
        <v>42615.474224537036</v>
      </c>
      <c r="G176" s="7">
        <v>2</v>
      </c>
      <c r="H176" s="15" t="s">
        <v>635</v>
      </c>
      <c r="I176" s="15">
        <v>42615.483634259261</v>
      </c>
      <c r="J176" s="7">
        <v>1</v>
      </c>
      <c r="K176" s="132" t="str">
        <f t="shared" si="54"/>
        <v>4025/4026</v>
      </c>
      <c r="L176" s="24" t="str">
        <f>VLOOKUP(A176,'Trips&amp;Operators'!$C$1:$E$10000,3,FALSE)</f>
        <v>ROBINSON</v>
      </c>
      <c r="M176" s="6">
        <f t="shared" si="55"/>
        <v>9.4097222245181911E-3</v>
      </c>
      <c r="N176" s="7">
        <f t="shared" si="70"/>
        <v>13.550000003306195</v>
      </c>
      <c r="O176" s="7"/>
      <c r="P176" s="7"/>
      <c r="Q176" s="25"/>
      <c r="R176" s="25"/>
      <c r="S176" s="37">
        <f t="shared" si="56"/>
        <v>1</v>
      </c>
      <c r="T176" s="52" t="str">
        <f t="shared" si="57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6" s="54" t="str">
        <f t="shared" si="59"/>
        <v>N</v>
      </c>
      <c r="X176" s="120">
        <f t="shared" ref="X176:X207" si="72">VALUE(LEFT(AD176,4))-VALUE(LEFT(AD175,4))</f>
        <v>1</v>
      </c>
      <c r="Y176" s="69">
        <f t="shared" si="60"/>
        <v>0.1123</v>
      </c>
      <c r="Z176" s="69">
        <f t="shared" si="61"/>
        <v>5.8924000000000003</v>
      </c>
      <c r="AA176" s="69">
        <f t="shared" si="62"/>
        <v>5.7801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63"/>
        <v>0817-02</v>
      </c>
      <c r="AE176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76" s="96" t="str">
        <f t="shared" si="65"/>
        <v>"C:\Program Files (x86)\AstroGrep\AstroGrep.exe" /spath="%USERPROFILE%\AppData\Local\Temp\OnboardLogs" /stypes="*4025*20160902*" /stext=" 17:.+((SYSTEM_STATE.+slice.+state.+changed )|(ment ac)|(system.+state.+changed )|(\|lc)|(penalty)|(\[timeout)|(PRM\|1\|D)|(kpr)|(kdp))" /e /r /s</v>
      </c>
      <c r="AG176" s="1" t="str">
        <f t="shared" si="66"/>
        <v>NW</v>
      </c>
      <c r="AH176" s="100" t="str">
        <f t="shared" si="67"/>
        <v>"%USERPROFILE%\Documents\GitHub\eaglep3\Utilities\RefineRTDCRunTimes.py" --tripid 817-02 --locoid 4025 --swversion DE.1.0.7.0 --startMP 204:1123 --initTime 2016-09-02T11:19:48 --startdatetime 2016-09-02T11:22:53 --delay 2 --endMP 300:58924 --enddatetime 2016-09-02T11:36:26 --enforcementcount 1 &gt;&gt;C:\Users\stu\Documents\GitHub\eaglep3-reporting\EC\2016-09-02-refined-times.txt</v>
      </c>
      <c r="AI176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{"issue":{"subject":"","project_id":79,"tracker_id":40,"status_id":1,"priority_id":2,"assigned_to_id":23,"start_date":"2016-09-02","description":"","custom_fields":[{"id":1,"name":"Subdivision","value":"NW"},{"id":4,"name":"Milepost","value":"5.7801"},{"id":17,"name":"Train ID","value":"817-02"},{"id":16,"name":"Locomotive ID","value":"4025"},{"id":130,"name":"Impact","value":""},{"id":150,"name":"Time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636</v>
      </c>
      <c r="B177" s="7">
        <v>4026</v>
      </c>
      <c r="C177" s="24" t="s">
        <v>113</v>
      </c>
      <c r="D177" s="24" t="s">
        <v>294</v>
      </c>
      <c r="E177" s="15">
        <v>42615.48541666667</v>
      </c>
      <c r="F177" s="15">
        <v>42615.486701388887</v>
      </c>
      <c r="G177" s="7">
        <v>1</v>
      </c>
      <c r="H177" s="15" t="s">
        <v>356</v>
      </c>
      <c r="I177" s="15">
        <v>42615.496828703705</v>
      </c>
      <c r="J177" s="7">
        <v>1</v>
      </c>
      <c r="K177" s="132" t="str">
        <f t="shared" si="54"/>
        <v>4025/4026</v>
      </c>
      <c r="L177" s="24" t="str">
        <f>VLOOKUP(A177,'Trips&amp;Operators'!$C$1:$E$10000,3,FALSE)</f>
        <v>YORK</v>
      </c>
      <c r="M177" s="6">
        <f t="shared" si="55"/>
        <v>1.0127314817509614E-2</v>
      </c>
      <c r="N177" s="7">
        <f t="shared" si="70"/>
        <v>14.583333337213844</v>
      </c>
      <c r="O177" s="7"/>
      <c r="P177" s="7"/>
      <c r="Q177" s="25"/>
      <c r="R177" s="25"/>
      <c r="S177" s="37">
        <f t="shared" si="56"/>
        <v>1</v>
      </c>
      <c r="T177" s="52" t="str">
        <f t="shared" si="57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10:39:00-0600',mode:absolute,to:'2016-09-02 12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7" s="54" t="str">
        <f t="shared" si="59"/>
        <v>N</v>
      </c>
      <c r="X177" s="120">
        <f t="shared" si="72"/>
        <v>1</v>
      </c>
      <c r="Y177" s="69">
        <f t="shared" si="60"/>
        <v>5.8616999999999999</v>
      </c>
      <c r="Z177" s="69">
        <f t="shared" si="61"/>
        <v>7.9699999999999993E-2</v>
      </c>
      <c r="AA177" s="69">
        <f t="shared" si="62"/>
        <v>5.782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63"/>
        <v>0818-02</v>
      </c>
      <c r="AE177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77" s="96" t="str">
        <f t="shared" si="65"/>
        <v>"C:\Program Files (x86)\AstroGrep\AstroGrep.exe" /spath="%USERPROFILE%\AppData\Local\Temp\OnboardLogs" /stypes="*4026*20160902*" /stext=" 17:.+((SYSTEM_STATE.+slice.+state.+changed )|(ment ac)|(system.+state.+changed )|(\|lc)|(penalty)|(\[timeout)|(PRM\|1\|D)|(kpr)|(kdp))" /e /r /s</v>
      </c>
      <c r="AG177" s="1" t="str">
        <f t="shared" si="66"/>
        <v>NW</v>
      </c>
      <c r="AH177" s="100" t="str">
        <f t="shared" si="67"/>
        <v>"%USERPROFILE%\Documents\GitHub\eaglep3\Utilities\RefineRTDCRunTimes.py" --tripid 818-02 --locoid 4026 --swversion DE.1.0.7.0 --startMP 300:58617 --initTime 2016-09-02T11:39:00 --startdatetime 2016-09-02T11:40:51 --delay 1 --endMP 204:797 --enddatetime 2016-09-02T11:55:26 --enforcementcount 1 &gt;&gt;C:\Users\stu\Documents\GitHub\eaglep3-reporting\EC\2016-09-02-refined-times.txt</v>
      </c>
      <c r="AI177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{"issue":{"subject":"","project_id":79,"tracker_id":40,"status_id":1,"priority_id":2,"assigned_to_id":23,"start_date":"2016-09-02","description":"","custom_fields":[{"id":1,"name":"Subdivision","value":"NW"},{"id":4,"name":"Milepost","value":"5.782"},{"id":17,"name":"Train ID","value":"818-02"},{"id":16,"name":"Locomotive ID","value":"4026"},{"id":130,"name":"Impact","value":""},{"id":150,"name":"Time of Event (Mountain Time)","value":"11:55:26"},{"id":151,"name":"Denver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637</v>
      </c>
      <c r="B178" s="7">
        <v>4025</v>
      </c>
      <c r="C178" s="24" t="s">
        <v>113</v>
      </c>
      <c r="D178" s="24" t="s">
        <v>638</v>
      </c>
      <c r="E178" s="15">
        <v>42615.500833333332</v>
      </c>
      <c r="F178" s="15">
        <v>42615.514756944445</v>
      </c>
      <c r="G178" s="7">
        <v>1</v>
      </c>
      <c r="H178" s="15" t="s">
        <v>639</v>
      </c>
      <c r="I178" s="15">
        <v>42615.523495370369</v>
      </c>
      <c r="J178" s="7">
        <v>1</v>
      </c>
      <c r="K178" s="132" t="str">
        <f t="shared" si="54"/>
        <v>4025/4026</v>
      </c>
      <c r="L178" s="24" t="str">
        <f>VLOOKUP(A178,'Trips&amp;Operators'!$C$1:$E$10000,3,FALSE)</f>
        <v>YORK</v>
      </c>
      <c r="M178" s="6">
        <f t="shared" si="55"/>
        <v>8.7384259240934625E-3</v>
      </c>
      <c r="N178" s="7">
        <f t="shared" si="70"/>
        <v>12.583333330694586</v>
      </c>
      <c r="O178" s="7"/>
      <c r="P178" s="7"/>
      <c r="Q178" s="25"/>
      <c r="R178" s="25"/>
      <c r="S178" s="37">
        <f t="shared" si="56"/>
        <v>1</v>
      </c>
      <c r="T178" s="52" t="str">
        <f t="shared" si="57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11:01:12-0600',mode:absolute,to:'2016-09-02 13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8" s="54" t="str">
        <f t="shared" si="59"/>
        <v>N</v>
      </c>
      <c r="X178" s="120">
        <f t="shared" si="72"/>
        <v>1</v>
      </c>
      <c r="Y178" s="69">
        <f t="shared" si="60"/>
        <v>0.1105</v>
      </c>
      <c r="Z178" s="69">
        <f t="shared" si="61"/>
        <v>5.8929</v>
      </c>
      <c r="AA178" s="69">
        <f t="shared" si="62"/>
        <v>5.7824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63"/>
        <v>0819-02</v>
      </c>
      <c r="AE178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78" s="96" t="str">
        <f t="shared" si="65"/>
        <v>"C:\Program Files (x86)\AstroGrep\AstroGrep.exe" /spath="%USERPROFILE%\AppData\Local\Temp\OnboardLogs" /stypes="*4025*20160902*" /stext=" 18:.+((SYSTEM_STATE.+slice.+state.+changed )|(ment ac)|(system.+state.+changed )|(\|lc)|(penalty)|(\[timeout)|(PRM\|1\|D)|(kpr)|(kdp))" /e /r /s</v>
      </c>
      <c r="AG178" s="1" t="str">
        <f t="shared" si="66"/>
        <v>NW</v>
      </c>
      <c r="AH178" s="100" t="str">
        <f t="shared" si="67"/>
        <v>"%USERPROFILE%\Documents\GitHub\eaglep3\Utilities\RefineRTDCRunTimes.py" --tripid 819-02 --locoid 4025 --swversion DE.1.0.7.0 --startMP 204:1105 --initTime 2016-09-02T12:01:12 --startdatetime 2016-09-02T12:21:15 --delay 1 --endMP 300:58929 --enddatetime 2016-09-02T12:33:50 --enforcementcount 1 &gt;&gt;C:\Users\stu\Documents\GitHub\eaglep3-reporting\EC\2016-09-02-refined-times.txt</v>
      </c>
      <c r="AI178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{"issue":{"subject":"","project_id":79,"tracker_id":40,"status_id":1,"priority_id":2,"assigned_to_id":23,"start_date":"2016-09-02","description":"","custom_fields":[{"id":1,"name":"Subdivision","value":"NW"},{"id":4,"name":"Milepost","value":"5.7824"},{"id":17,"name":"Train ID","value":"819-02"},{"id":16,"name":"Locomotive ID","value":"4025"},{"id":130,"name":"Impact","value":""},{"id":150,"name":"Time of Event (Mountain Time)","value":"12:33:50"},{"id":151,"name":"Denver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640</v>
      </c>
      <c r="B179" s="7">
        <v>4026</v>
      </c>
      <c r="C179" s="24" t="s">
        <v>113</v>
      </c>
      <c r="D179" s="24" t="s">
        <v>338</v>
      </c>
      <c r="E179" s="15">
        <v>42615.524375000001</v>
      </c>
      <c r="F179" s="15">
        <v>42615.526562500003</v>
      </c>
      <c r="G179" s="7">
        <v>1</v>
      </c>
      <c r="H179" s="15" t="s">
        <v>641</v>
      </c>
      <c r="I179" s="15">
        <v>42615.537349537037</v>
      </c>
      <c r="J179" s="7">
        <v>1</v>
      </c>
      <c r="K179" s="132" t="str">
        <f t="shared" si="54"/>
        <v>4025/4026</v>
      </c>
      <c r="L179" s="24" t="str">
        <f>VLOOKUP(A179,'Trips&amp;Operators'!$C$1:$E$10000,3,FALSE)</f>
        <v>YORK</v>
      </c>
      <c r="M179" s="6">
        <f t="shared" si="55"/>
        <v>1.0787037033878732E-2</v>
      </c>
      <c r="N179" s="7">
        <f t="shared" si="70"/>
        <v>15.533333328785375</v>
      </c>
      <c r="O179" s="7"/>
      <c r="P179" s="7"/>
      <c r="Q179" s="25"/>
      <c r="R179" s="25"/>
      <c r="S179" s="37">
        <f t="shared" si="56"/>
        <v>1</v>
      </c>
      <c r="T179" s="52" t="str">
        <f t="shared" si="57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11:35:06-0600',mode:absolute,to:'2016-09-02 13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9" s="54" t="str">
        <f t="shared" si="59"/>
        <v>N</v>
      </c>
      <c r="X179" s="120">
        <f t="shared" si="72"/>
        <v>1</v>
      </c>
      <c r="Y179" s="69">
        <f t="shared" si="60"/>
        <v>5.8625999999999996</v>
      </c>
      <c r="Z179" s="69">
        <f t="shared" si="61"/>
        <v>8.3599999999999994E-2</v>
      </c>
      <c r="AA179" s="69">
        <f t="shared" si="62"/>
        <v>5.7789999999999999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63"/>
        <v>0820-02</v>
      </c>
      <c r="AE179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79" s="96" t="str">
        <f t="shared" si="65"/>
        <v>"C:\Program Files (x86)\AstroGrep\AstroGrep.exe" /spath="%USERPROFILE%\AppData\Local\Temp\OnboardLogs" /stypes="*4026*20160902*" /stext=" 18:.+((SYSTEM_STATE.+slice.+state.+changed )|(ment ac)|(system.+state.+changed )|(\|lc)|(penalty)|(\[timeout)|(PRM\|1\|D)|(kpr)|(kdp))" /e /r /s</v>
      </c>
      <c r="AG179" s="1" t="str">
        <f t="shared" si="66"/>
        <v>NW</v>
      </c>
      <c r="AH179" s="100" t="str">
        <f t="shared" si="67"/>
        <v>"%USERPROFILE%\Documents\GitHub\eaglep3\Utilities\RefineRTDCRunTimes.py" --tripid 820-02 --locoid 4026 --swversion DE.1.0.7.0 --startMP 300:58626 --initTime 2016-09-02T12:35:06 --startdatetime 2016-09-02T12:38:15 --delay 1 --endMP 204:836 --enddatetime 2016-09-02T12:53:47 --enforcementcount 1 &gt;&gt;C:\Users\stu\Documents\GitHub\eaglep3-reporting\EC\2016-09-02-refined-times.txt</v>
      </c>
      <c r="AI179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{"issue":{"subject":"","project_id":79,"tracker_id":40,"status_id":1,"priority_id":2,"assigned_to_id":23,"start_date":"2016-09-02","description":"","custom_fields":[{"id":1,"name":"Subdivision","value":"NW"},{"id":4,"name":"Milepost","value":"5.779"},{"id":17,"name":"Train ID","value":"820-02"},{"id":16,"name":"Locomotive ID","value":"4026"},{"id":130,"name":"Impact","value":""},{"id":150,"name":"Time of Event (Mountain Time)","value":"12:53:47"},{"id":151,"name":"Denver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642</v>
      </c>
      <c r="B180" s="7">
        <v>4025</v>
      </c>
      <c r="C180" s="24" t="s">
        <v>113</v>
      </c>
      <c r="D180" s="24" t="s">
        <v>643</v>
      </c>
      <c r="E180" s="15">
        <v>42615.553495370368</v>
      </c>
      <c r="F180" s="15">
        <v>42615.556550925925</v>
      </c>
      <c r="G180" s="7">
        <v>1</v>
      </c>
      <c r="H180" s="15" t="s">
        <v>293</v>
      </c>
      <c r="I180" s="15">
        <v>42615.566874999997</v>
      </c>
      <c r="J180" s="7">
        <v>1</v>
      </c>
      <c r="K180" s="132" t="str">
        <f t="shared" si="54"/>
        <v>4025/4026</v>
      </c>
      <c r="L180" s="24" t="str">
        <f>VLOOKUP(A180,'Trips&amp;Operators'!$C$1:$E$10000,3,FALSE)</f>
        <v>MAHAN</v>
      </c>
      <c r="M180" s="6">
        <f t="shared" si="55"/>
        <v>1.0324074071832001E-2</v>
      </c>
      <c r="N180" s="7">
        <f t="shared" si="70"/>
        <v>14.866666663438082</v>
      </c>
      <c r="O180" s="7"/>
      <c r="P180" s="7"/>
      <c r="Q180" s="25"/>
      <c r="R180" s="25"/>
      <c r="S180" s="37">
        <f t="shared" si="56"/>
        <v>1</v>
      </c>
      <c r="T180" s="52" t="str">
        <f t="shared" si="57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0" s="54" t="str">
        <f t="shared" si="59"/>
        <v>N</v>
      </c>
      <c r="X180" s="120">
        <f t="shared" si="72"/>
        <v>1</v>
      </c>
      <c r="Y180" s="69">
        <f t="shared" si="60"/>
        <v>0.11260000000000001</v>
      </c>
      <c r="Z180" s="69">
        <f t="shared" si="61"/>
        <v>5.8930999999999996</v>
      </c>
      <c r="AA180" s="69">
        <f t="shared" si="62"/>
        <v>5.7805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63"/>
        <v>0821-02</v>
      </c>
      <c r="AE180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80" s="96" t="str">
        <f t="shared" si="65"/>
        <v>"C:\Program Files (x86)\AstroGrep\AstroGrep.exe" /spath="%USERPROFILE%\AppData\Local\Temp\OnboardLogs" /stypes="*4025*20160902*" /stext=" 19:.+((SYSTEM_STATE.+slice.+state.+changed )|(ment ac)|(system.+state.+changed )|(\|lc)|(penalty)|(\[timeout)|(PRM\|1\|D)|(kpr)|(kdp))" /e /r /s</v>
      </c>
      <c r="AG180" s="1" t="str">
        <f t="shared" si="66"/>
        <v>NW</v>
      </c>
      <c r="AH180" s="100" t="str">
        <f t="shared" si="67"/>
        <v>"%USERPROFILE%\Documents\GitHub\eaglep3\Utilities\RefineRTDCRunTimes.py" --tripid 821-02 --locoid 4025 --swversion DE.1.0.7.0 --startMP 204:1126 --initTime 2016-09-02T13:17:02 --startdatetime 2016-09-02T13:21:26 --delay 1 --endMP 300:58931 --enddatetime 2016-09-02T13:36:18 --enforcementcount 1 &gt;&gt;C:\Users\stu\Documents\GitHub\eaglep3-reporting\EC\2016-09-02-refined-times.txt</v>
      </c>
      <c r="AI180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{"issue":{"subject":"","project_id":79,"tracker_id":40,"status_id":1,"priority_id":2,"assigned_to_id":23,"start_date":"2016-09-02","description":"","custom_fields":[{"id":1,"name":"Subdivision","value":"NW"},{"id":4,"name":"Milepost","value":"5.7805"},{"id":17,"name":"Train ID","value":"821-02"},{"id":16,"name":"Locomotive ID","value":"4025"},{"id":130,"name":"Impact","value":""},{"id":150,"name":"Time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644</v>
      </c>
      <c r="B181" s="7">
        <v>4026</v>
      </c>
      <c r="C181" s="24" t="s">
        <v>113</v>
      </c>
      <c r="D181" s="24" t="s">
        <v>645</v>
      </c>
      <c r="E181" s="15">
        <v>42615.568611111114</v>
      </c>
      <c r="F181" s="15">
        <v>42615.570486111108</v>
      </c>
      <c r="G181" s="7">
        <v>1</v>
      </c>
      <c r="H181" s="15" t="s">
        <v>370</v>
      </c>
      <c r="I181" s="15">
        <v>42615.580937500003</v>
      </c>
      <c r="J181" s="7">
        <v>1</v>
      </c>
      <c r="K181" s="132" t="str">
        <f t="shared" si="54"/>
        <v>4025/4026</v>
      </c>
      <c r="L181" s="24" t="str">
        <f>VLOOKUP(A181,'Trips&amp;Operators'!$C$1:$E$10000,3,FALSE)</f>
        <v>MAHAN</v>
      </c>
      <c r="M181" s="6">
        <f t="shared" si="55"/>
        <v>1.0451388894580305E-2</v>
      </c>
      <c r="N181" s="7">
        <f t="shared" si="70"/>
        <v>15.050000008195639</v>
      </c>
      <c r="O181" s="7"/>
      <c r="P181" s="7"/>
      <c r="Q181" s="25"/>
      <c r="R181" s="25"/>
      <c r="S181" s="37">
        <f t="shared" si="56"/>
        <v>1</v>
      </c>
      <c r="T181" s="52" t="str">
        <f t="shared" si="57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12:38:48-0600',mode:absolute,to:'2016-09-02 14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1" s="54" t="str">
        <f t="shared" si="59"/>
        <v>N</v>
      </c>
      <c r="X181" s="120">
        <f t="shared" si="72"/>
        <v>1</v>
      </c>
      <c r="Y181" s="69">
        <f t="shared" si="60"/>
        <v>5.8615000000000004</v>
      </c>
      <c r="Z181" s="69">
        <f t="shared" si="61"/>
        <v>7.4300000000000005E-2</v>
      </c>
      <c r="AA181" s="69">
        <f t="shared" si="62"/>
        <v>5.7872000000000003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63"/>
        <v>0822-02</v>
      </c>
      <c r="AE181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81" s="96" t="str">
        <f t="shared" si="65"/>
        <v>"C:\Program Files (x86)\AstroGrep\AstroGrep.exe" /spath="%USERPROFILE%\AppData\Local\Temp\OnboardLogs" /stypes="*4026*20160902*" /stext=" 19:.+((SYSTEM_STATE.+slice.+state.+changed )|(ment ac)|(system.+state.+changed )|(\|lc)|(penalty)|(\[timeout)|(PRM\|1\|D)|(kpr)|(kdp))" /e /r /s</v>
      </c>
      <c r="AG181" s="1" t="str">
        <f t="shared" si="66"/>
        <v>NW</v>
      </c>
      <c r="AH181" s="100" t="str">
        <f t="shared" si="67"/>
        <v>"%USERPROFILE%\Documents\GitHub\eaglep3\Utilities\RefineRTDCRunTimes.py" --tripid 822-02 --locoid 4026 --swversion DE.1.0.7.0 --startMP 300:58615 --initTime 2016-09-02T13:38:48 --startdatetime 2016-09-02T13:41:30 --delay 1 --endMP 204:743 --enddatetime 2016-09-02T13:56:33 --enforcementcount 1 &gt;&gt;C:\Users\stu\Documents\GitHub\eaglep3-reporting\EC\2016-09-02-refined-times.txt</v>
      </c>
      <c r="AI181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{"issue":{"subject":"","project_id":79,"tracker_id":40,"status_id":1,"priority_id":2,"assigned_to_id":23,"start_date":"2016-09-02","description":"","custom_fields":[{"id":1,"name":"Subdivision","value":"NW"},{"id":4,"name":"Milepost","value":"5.7872"},{"id":17,"name":"Train ID","value":"822-02"},{"id":16,"name":"Locomotive ID","value":"4026"},{"id":130,"name":"Impact","value":""},{"id":150,"name":"Time of Event (Mountain Time)","value":"13:56:33"},{"id":151,"name":"Denver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646</v>
      </c>
      <c r="B182" s="7">
        <v>4025</v>
      </c>
      <c r="C182" s="24" t="s">
        <v>113</v>
      </c>
      <c r="D182" s="24" t="s">
        <v>647</v>
      </c>
      <c r="E182" s="15">
        <v>42615.594895833332</v>
      </c>
      <c r="F182" s="15">
        <v>42615.598449074074</v>
      </c>
      <c r="G182" s="7">
        <v>1</v>
      </c>
      <c r="H182" s="15" t="s">
        <v>352</v>
      </c>
      <c r="I182" s="15">
        <v>42615.608657407407</v>
      </c>
      <c r="J182" s="7">
        <v>1</v>
      </c>
      <c r="K182" s="132" t="str">
        <f t="shared" si="54"/>
        <v>4025/4026</v>
      </c>
      <c r="L182" s="24" t="str">
        <f>VLOOKUP(A182,'Trips&amp;Operators'!$C$1:$E$10000,3,FALSE)</f>
        <v>MAHAN</v>
      </c>
      <c r="M182" s="6">
        <f t="shared" si="55"/>
        <v>1.0208333333139308E-2</v>
      </c>
      <c r="N182" s="7">
        <f t="shared" si="70"/>
        <v>14.699999999720603</v>
      </c>
      <c r="O182" s="7"/>
      <c r="P182" s="7"/>
      <c r="Q182" s="25"/>
      <c r="R182" s="25"/>
      <c r="S182" s="37">
        <f t="shared" si="56"/>
        <v>1</v>
      </c>
      <c r="T182" s="52" t="str">
        <f t="shared" si="57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2" s="54" t="str">
        <f t="shared" si="59"/>
        <v>N</v>
      </c>
      <c r="X182" s="120">
        <f t="shared" si="72"/>
        <v>1</v>
      </c>
      <c r="Y182" s="69">
        <f t="shared" si="60"/>
        <v>0.10199999999999999</v>
      </c>
      <c r="Z182" s="69">
        <f t="shared" si="61"/>
        <v>5.8935000000000004</v>
      </c>
      <c r="AA182" s="69">
        <f t="shared" si="62"/>
        <v>5.7915000000000001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63"/>
        <v>0823-02</v>
      </c>
      <c r="AE182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82" s="96" t="str">
        <f t="shared" si="65"/>
        <v>"C:\Program Files (x86)\AstroGrep\AstroGrep.exe" /spath="%USERPROFILE%\AppData\Local\Temp\OnboardLogs" /stypes="*4025*20160902*" /stext=" 20:.+((SYSTEM_STATE.+slice.+state.+changed )|(ment ac)|(system.+state.+changed )|(\|lc)|(penalty)|(\[timeout)|(PRM\|1\|D)|(kpr)|(kdp))" /e /r /s</v>
      </c>
      <c r="AG182" s="1" t="str">
        <f t="shared" si="66"/>
        <v>NW</v>
      </c>
      <c r="AH182" s="100" t="str">
        <f t="shared" si="67"/>
        <v>"%USERPROFILE%\Documents\GitHub\eaglep3\Utilities\RefineRTDCRunTimes.py" --tripid 823-02 --locoid 4025 --swversion DE.1.0.7.0 --startMP 204:1020 --initTime 2016-09-02T14:16:39 --startdatetime 2016-09-02T14:21:46 --delay 1 --endMP 300:58935 --enddatetime 2016-09-02T14:36:28 --enforcementcount 1 &gt;&gt;C:\Users\stu\Documents\GitHub\eaglep3-reporting\EC\2016-09-02-refined-times.txt</v>
      </c>
      <c r="AI182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{"issue":{"subject":"","project_id":79,"tracker_id":40,"status_id":1,"priority_id":2,"assigned_to_id":23,"start_date":"2016-09-02","description":"","custom_fields":[{"id":1,"name":"Subdivision","value":"NW"},{"id":4,"name":"Milepost","value":"5.7915"},{"id":17,"name":"Train ID","value":"823-02"},{"id":16,"name":"Locomotive ID","value":"4025"},{"id":130,"name":"Impact","value":""},{"id":150,"name":"Time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648</v>
      </c>
      <c r="B183" s="7">
        <v>4026</v>
      </c>
      <c r="C183" s="24" t="s">
        <v>113</v>
      </c>
      <c r="D183" s="24" t="s">
        <v>294</v>
      </c>
      <c r="E183" s="15">
        <v>42615.609803240739</v>
      </c>
      <c r="F183" s="15">
        <v>42615.611481481479</v>
      </c>
      <c r="G183" s="7">
        <v>1</v>
      </c>
      <c r="H183" s="15" t="s">
        <v>649</v>
      </c>
      <c r="I183" s="15">
        <v>42615.621944444443</v>
      </c>
      <c r="J183" s="7">
        <v>1</v>
      </c>
      <c r="K183" s="132" t="str">
        <f t="shared" si="54"/>
        <v>4025/4026</v>
      </c>
      <c r="L183" s="24" t="str">
        <f>VLOOKUP(A183,'Trips&amp;Operators'!$C$1:$E$10000,3,FALSE)</f>
        <v>MAHAN</v>
      </c>
      <c r="M183" s="6">
        <f t="shared" si="55"/>
        <v>1.0462962964083999E-2</v>
      </c>
      <c r="N183" s="7">
        <f t="shared" si="70"/>
        <v>15.066666668280959</v>
      </c>
      <c r="O183" s="7"/>
      <c r="P183" s="7"/>
      <c r="Q183" s="25"/>
      <c r="R183" s="25"/>
      <c r="S183" s="37">
        <f t="shared" si="56"/>
        <v>1</v>
      </c>
      <c r="T183" s="52" t="str">
        <f t="shared" si="57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13:38:07-0600',mode:absolute,to:'2016-09-02 15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3" s="54" t="str">
        <f t="shared" si="59"/>
        <v>N</v>
      </c>
      <c r="X183" s="120">
        <f t="shared" si="72"/>
        <v>1</v>
      </c>
      <c r="Y183" s="69">
        <f t="shared" si="60"/>
        <v>5.8616999999999999</v>
      </c>
      <c r="Z183" s="69">
        <f t="shared" si="61"/>
        <v>7.3300000000000004E-2</v>
      </c>
      <c r="AA183" s="69">
        <f t="shared" si="62"/>
        <v>5.7884000000000002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63"/>
        <v>0824-02</v>
      </c>
      <c r="AE183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83" s="96" t="str">
        <f t="shared" si="65"/>
        <v>"C:\Program Files (x86)\AstroGrep\AstroGrep.exe" /spath="%USERPROFILE%\AppData\Local\Temp\OnboardLogs" /stypes="*4026*20160902*" /stext=" 20:.+((SYSTEM_STATE.+slice.+state.+changed )|(ment ac)|(system.+state.+changed )|(\|lc)|(penalty)|(\[timeout)|(PRM\|1\|D)|(kpr)|(kdp))" /e /r /s</v>
      </c>
      <c r="AG183" s="1" t="str">
        <f t="shared" si="66"/>
        <v>NW</v>
      </c>
      <c r="AH183" s="100" t="str">
        <f t="shared" si="67"/>
        <v>"%USERPROFILE%\Documents\GitHub\eaglep3\Utilities\RefineRTDCRunTimes.py" --tripid 824-02 --locoid 4026 --swversion DE.1.0.7.0 --startMP 300:58617 --initTime 2016-09-02T14:38:07 --startdatetime 2016-09-02T14:40:32 --delay 1 --endMP 204:733 --enddatetime 2016-09-02T14:55:36 --enforcementcount 1 &gt;&gt;C:\Users\stu\Documents\GitHub\eaglep3-reporting\EC\2016-09-02-refined-times.txt</v>
      </c>
      <c r="AI183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{"issue":{"subject":"","project_id":79,"tracker_id":40,"status_id":1,"priority_id":2,"assigned_to_id":23,"start_date":"2016-09-02","description":"","custom_fields":[{"id":1,"name":"Subdivision","value":"NW"},{"id":4,"name":"Milepost","value":"5.7884"},{"id":17,"name":"Train ID","value":"824-02"},{"id":16,"name":"Locomotive ID","value":"4026"},{"id":130,"name":"Impact","value":""},{"id":150,"name":"Time of Event (Mountain Time)","value":"14:55:36"},{"id":151,"name":"Denver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650</v>
      </c>
      <c r="B184" s="7">
        <v>4025</v>
      </c>
      <c r="C184" s="24" t="s">
        <v>113</v>
      </c>
      <c r="D184" s="24" t="s">
        <v>651</v>
      </c>
      <c r="E184" s="15">
        <v>42615.635740740741</v>
      </c>
      <c r="F184" s="15">
        <v>42615.639745370368</v>
      </c>
      <c r="G184" s="7">
        <v>1</v>
      </c>
      <c r="H184" s="15" t="s">
        <v>352</v>
      </c>
      <c r="I184" s="15">
        <v>42615.649560185186</v>
      </c>
      <c r="J184" s="7">
        <v>1</v>
      </c>
      <c r="K184" s="132" t="str">
        <f t="shared" si="54"/>
        <v>4025/4026</v>
      </c>
      <c r="L184" s="24" t="str">
        <f>VLOOKUP(A184,'Trips&amp;Operators'!$C$1:$E$10000,3,FALSE)</f>
        <v>MAHAN</v>
      </c>
      <c r="M184" s="6">
        <f t="shared" si="55"/>
        <v>9.8148148172185756E-3</v>
      </c>
      <c r="N184" s="7">
        <f t="shared" si="70"/>
        <v>14.133333336794749</v>
      </c>
      <c r="O184" s="7"/>
      <c r="P184" s="7"/>
      <c r="Q184" s="25"/>
      <c r="R184" s="25"/>
      <c r="S184" s="37">
        <f t="shared" si="56"/>
        <v>1</v>
      </c>
      <c r="T184" s="52" t="str">
        <f t="shared" si="57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14:15:28-0600',mode:absolute,to:'2016-09-02 16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4" s="54" t="str">
        <f t="shared" si="59"/>
        <v>N</v>
      </c>
      <c r="X184" s="120">
        <f t="shared" si="72"/>
        <v>1</v>
      </c>
      <c r="Y184" s="69">
        <f t="shared" si="60"/>
        <v>0.1014</v>
      </c>
      <c r="Z184" s="69">
        <f t="shared" si="61"/>
        <v>5.8935000000000004</v>
      </c>
      <c r="AA184" s="69">
        <f t="shared" si="62"/>
        <v>5.7921000000000005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63"/>
        <v>0825-02</v>
      </c>
      <c r="AE184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84" s="96" t="str">
        <f t="shared" si="65"/>
        <v>"C:\Program Files (x86)\AstroGrep\AstroGrep.exe" /spath="%USERPROFILE%\AppData\Local\Temp\OnboardLogs" /stypes="*4025*20160902*" /stext=" 21:.+((SYSTEM_STATE.+slice.+state.+changed )|(ment ac)|(system.+state.+changed )|(\|lc)|(penalty)|(\[timeout)|(PRM\|1\|D)|(kpr)|(kdp))" /e /r /s</v>
      </c>
      <c r="AG184" s="1" t="str">
        <f t="shared" si="66"/>
        <v>NW</v>
      </c>
      <c r="AH184" s="100" t="str">
        <f t="shared" si="67"/>
        <v>"%USERPROFILE%\Documents\GitHub\eaglep3\Utilities\RefineRTDCRunTimes.py" --tripid 825-02 --locoid 4025 --swversion DE.1.0.7.0 --startMP 204:1014 --initTime 2016-09-02T15:15:28 --startdatetime 2016-09-02T15:21:14 --delay 1 --endMP 300:58935 --enddatetime 2016-09-02T15:35:22 --enforcementcount 1 &gt;&gt;C:\Users\stu\Documents\GitHub\eaglep3-reporting\EC\2016-09-02-refined-times.txt</v>
      </c>
      <c r="AI184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{"issue":{"subject":"","project_id":79,"tracker_id":40,"status_id":1,"priority_id":2,"assigned_to_id":23,"start_date":"2016-09-02","description":"","custom_fields":[{"id":1,"name":"Subdivision","value":"NW"},{"id":4,"name":"Milepost","value":"5.7921"},{"id":17,"name":"Train ID","value":"825-02"},{"id":16,"name":"Locomotive ID","value":"4025"},{"id":130,"name":"Impact","value":""},{"id":150,"name":"Time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652</v>
      </c>
      <c r="B185" s="7">
        <v>4026</v>
      </c>
      <c r="C185" s="24" t="s">
        <v>113</v>
      </c>
      <c r="D185" s="24" t="s">
        <v>653</v>
      </c>
      <c r="E185" s="15">
        <v>42615.650613425925</v>
      </c>
      <c r="F185" s="15">
        <v>42615.651863425926</v>
      </c>
      <c r="G185" s="7">
        <v>1</v>
      </c>
      <c r="H185" s="15" t="s">
        <v>654</v>
      </c>
      <c r="I185" s="15">
        <v>42615.664004629631</v>
      </c>
      <c r="J185" s="7">
        <v>1</v>
      </c>
      <c r="K185" s="132" t="str">
        <f t="shared" si="54"/>
        <v>4025/4026</v>
      </c>
      <c r="L185" s="24" t="str">
        <f>VLOOKUP(A185,'Trips&amp;Operators'!$C$1:$E$10000,3,FALSE)</f>
        <v>MAHAN</v>
      </c>
      <c r="M185" s="6">
        <f t="shared" si="55"/>
        <v>1.2141203704231884E-2</v>
      </c>
      <c r="N185" s="7">
        <f t="shared" si="70"/>
        <v>17.483333334093913</v>
      </c>
      <c r="O185" s="7"/>
      <c r="P185" s="7"/>
      <c r="Q185" s="25"/>
      <c r="R185" s="25"/>
      <c r="S185" s="37">
        <f t="shared" si="56"/>
        <v>1</v>
      </c>
      <c r="T185" s="52" t="str">
        <f t="shared" si="57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14:36:53-0600',mode:absolute,to:'2016-09-02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5" s="54" t="str">
        <f t="shared" si="59"/>
        <v>N</v>
      </c>
      <c r="X185" s="120">
        <f t="shared" si="72"/>
        <v>1</v>
      </c>
      <c r="Y185" s="69">
        <f t="shared" si="60"/>
        <v>5.8608000000000002</v>
      </c>
      <c r="Z185" s="69">
        <f t="shared" si="61"/>
        <v>7.5399999999999995E-2</v>
      </c>
      <c r="AA185" s="69">
        <f t="shared" si="62"/>
        <v>5.7854000000000001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63"/>
        <v>0826-02</v>
      </c>
      <c r="AE185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85" s="96" t="str">
        <f t="shared" si="65"/>
        <v>"C:\Program Files (x86)\AstroGrep\AstroGrep.exe" /spath="%USERPROFILE%\AppData\Local\Temp\OnboardLogs" /stypes="*4026*20160902*" /stext=" 21:.+((SYSTEM_STATE.+slice.+state.+changed )|(ment ac)|(system.+state.+changed )|(\|lc)|(penalty)|(\[timeout)|(PRM\|1\|D)|(kpr)|(kdp))" /e /r /s</v>
      </c>
      <c r="AG185" s="1" t="str">
        <f t="shared" si="66"/>
        <v>NW</v>
      </c>
      <c r="AH185" s="100" t="str">
        <f t="shared" si="67"/>
        <v>"%USERPROFILE%\Documents\GitHub\eaglep3\Utilities\RefineRTDCRunTimes.py" --tripid 826-02 --locoid 4026 --swversion DE.1.0.7.0 --startMP 300:58608 --initTime 2016-09-02T15:36:53 --startdatetime 2016-09-02T15:38:41 --delay 1 --endMP 204:754 --enddatetime 2016-09-02T15:56:10 --enforcementcount 1 &gt;&gt;C:\Users\stu\Documents\GitHub\eaglep3-reporting\EC\2016-09-02-refined-times.txt</v>
      </c>
      <c r="AI185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{"issue":{"subject":"","project_id":79,"tracker_id":40,"status_id":1,"priority_id":2,"assigned_to_id":23,"start_date":"2016-09-02","description":"","custom_fields":[{"id":1,"name":"Subdivision","value":"NW"},{"id":4,"name":"Milepost","value":"5.7854"},{"id":17,"name":"Train ID","value":"826-02"},{"id":16,"name":"Locomotive ID","value":"4026"},{"id":130,"name":"Impact","value":""},{"id":150,"name":"Time of Event (Mountain Time)","value":"15:56:10"},{"id":151,"name":"Denver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655</v>
      </c>
      <c r="B186" s="7">
        <v>4007</v>
      </c>
      <c r="C186" s="24" t="s">
        <v>113</v>
      </c>
      <c r="D186" s="24" t="s">
        <v>656</v>
      </c>
      <c r="E186" s="15">
        <v>42615.657129629632</v>
      </c>
      <c r="F186" s="15">
        <v>42615.660601851851</v>
      </c>
      <c r="G186" s="7">
        <v>1</v>
      </c>
      <c r="H186" s="15" t="s">
        <v>657</v>
      </c>
      <c r="I186" s="15">
        <v>42615.670659722222</v>
      </c>
      <c r="J186" s="7">
        <v>1</v>
      </c>
      <c r="K186" s="132" t="str">
        <f t="shared" si="54"/>
        <v>4007/4008</v>
      </c>
      <c r="L186" s="24" t="str">
        <f>VLOOKUP(A186,'Trips&amp;Operators'!$C$1:$E$10000,3,FALSE)</f>
        <v>BROWN</v>
      </c>
      <c r="M186" s="6">
        <f t="shared" si="55"/>
        <v>1.0057870371383615E-2</v>
      </c>
      <c r="N186" s="7">
        <f t="shared" si="70"/>
        <v>14.483333334792405</v>
      </c>
      <c r="O186" s="7"/>
      <c r="P186" s="7"/>
      <c r="Q186" s="25"/>
      <c r="R186" s="25"/>
      <c r="S186" s="37">
        <f t="shared" si="56"/>
        <v>1</v>
      </c>
      <c r="T186" s="52" t="str">
        <f t="shared" si="57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14:46:16-0600',mode:absolute,to:'2016-09-02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6" s="54" t="str">
        <f t="shared" si="59"/>
        <v>N</v>
      </c>
      <c r="X186" s="120">
        <f t="shared" si="72"/>
        <v>1</v>
      </c>
      <c r="Y186" s="69">
        <f t="shared" si="60"/>
        <v>9.1300000000000006E-2</v>
      </c>
      <c r="Z186" s="69">
        <f t="shared" si="61"/>
        <v>5.9005000000000001</v>
      </c>
      <c r="AA186" s="69">
        <f t="shared" si="62"/>
        <v>5.8091999999999997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63"/>
        <v>0827-02</v>
      </c>
      <c r="AE186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86" s="96" t="str">
        <f t="shared" si="65"/>
        <v>"C:\Program Files (x86)\AstroGrep\AstroGrep.exe" /spath="%USERPROFILE%\AppData\Local\Temp\OnboardLogs" /stypes="*4007*20160902*" /stext=" 22:.+((SYSTEM_STATE.+slice.+state.+changed )|(ment ac)|(system.+state.+changed )|(\|lc)|(penalty)|(\[timeout)|(PRM\|1\|D)|(kpr)|(kdp))" /e /r /s</v>
      </c>
      <c r="AG186" s="1" t="str">
        <f t="shared" si="66"/>
        <v>NW</v>
      </c>
      <c r="AH186" s="100" t="str">
        <f t="shared" si="67"/>
        <v>"%USERPROFILE%\Documents\GitHub\eaglep3\Utilities\RefineRTDCRunTimes.py" --tripid 827-02 --locoid 4007 --swversion DE.1.0.7.0 --startMP 204:913 --initTime 2016-09-02T15:46:16 --startdatetime 2016-09-02T15:51:16 --delay 1 --endMP 300:59005 --enddatetime 2016-09-02T16:05:45 --enforcementcount 1 &gt;&gt;C:\Users\stu\Documents\GitHub\eaglep3-reporting\EC\2016-09-02-refined-times.txt</v>
      </c>
      <c r="AI186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{"issue":{"subject":"","project_id":79,"tracker_id":40,"status_id":1,"priority_id":2,"assigned_to_id":23,"start_date":"2016-09-02","description":"","custom_fields":[{"id":1,"name":"Subdivision","value":"NW"},{"id":4,"name":"Milepost","value":"5.8092"},{"id":17,"name":"Train ID","value":"827-02"},{"id":16,"name":"Locomotive ID","value":"4007"},{"id":130,"name":"Impact","value":""},{"id":150,"name":"Time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658</v>
      </c>
      <c r="B187" s="7">
        <v>4008</v>
      </c>
      <c r="C187" s="24" t="s">
        <v>113</v>
      </c>
      <c r="D187" s="24" t="s">
        <v>345</v>
      </c>
      <c r="E187" s="15">
        <v>42615.671759259261</v>
      </c>
      <c r="F187" s="15">
        <v>42615.673125000001</v>
      </c>
      <c r="G187" s="7">
        <v>1</v>
      </c>
      <c r="H187" s="15" t="s">
        <v>659</v>
      </c>
      <c r="I187" s="15">
        <v>42615.684618055559</v>
      </c>
      <c r="J187" s="7">
        <v>1</v>
      </c>
      <c r="K187" s="132" t="str">
        <f t="shared" si="54"/>
        <v>4007/4008</v>
      </c>
      <c r="L187" s="24" t="str">
        <f>VLOOKUP(A187,'Trips&amp;Operators'!$C$1:$E$10000,3,FALSE)</f>
        <v>BROWN</v>
      </c>
      <c r="M187" s="6">
        <f t="shared" si="55"/>
        <v>1.1493055557366461E-2</v>
      </c>
      <c r="N187" s="7">
        <f t="shared" si="70"/>
        <v>16.550000002607703</v>
      </c>
      <c r="O187" s="7"/>
      <c r="P187" s="7"/>
      <c r="Q187" s="25"/>
      <c r="R187" s="25"/>
      <c r="S187" s="37">
        <f t="shared" si="56"/>
        <v>1</v>
      </c>
      <c r="T187" s="52" t="str">
        <f t="shared" si="57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7" s="54" t="str">
        <f t="shared" si="59"/>
        <v>N</v>
      </c>
      <c r="X187" s="120">
        <f t="shared" si="72"/>
        <v>1</v>
      </c>
      <c r="Y187" s="69">
        <f t="shared" si="60"/>
        <v>5.8686999999999996</v>
      </c>
      <c r="Z187" s="69">
        <f t="shared" si="61"/>
        <v>7.1999999999999995E-2</v>
      </c>
      <c r="AA187" s="69">
        <f t="shared" si="62"/>
        <v>5.7966999999999995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63"/>
        <v>0828-02</v>
      </c>
      <c r="AE187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87" s="96" t="str">
        <f t="shared" si="65"/>
        <v>"C:\Program Files (x86)\AstroGrep\AstroGrep.exe" /spath="%USERPROFILE%\AppData\Local\Temp\OnboardLogs" /stypes="*4008*20160902*" /stext=" 22:.+((SYSTEM_STATE.+slice.+state.+changed )|(ment ac)|(system.+state.+changed )|(\|lc)|(penalty)|(\[timeout)|(PRM\|1\|D)|(kpr)|(kdp))" /e /r /s</v>
      </c>
      <c r="AG187" s="1" t="str">
        <f t="shared" si="66"/>
        <v>NW</v>
      </c>
      <c r="AH187" s="100" t="str">
        <f t="shared" si="67"/>
        <v>"%USERPROFILE%\Documents\GitHub\eaglep3\Utilities\RefineRTDCRunTimes.py" --tripid 828-02 --locoid 4008 --swversion DE.1.0.7.0 --startMP 300:58687 --initTime 2016-09-02T16:07:20 --startdatetime 2016-09-02T16:09:18 --delay 1 --endMP 204:720 --enddatetime 2016-09-02T16:25:51 --enforcementcount 1 &gt;&gt;C:\Users\stu\Documents\GitHub\eaglep3-reporting\EC\2016-09-02-refined-times.txt</v>
      </c>
      <c r="AI187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{"issue":{"subject":"","project_id":79,"tracker_id":40,"status_id":1,"priority_id":2,"assigned_to_id":23,"start_date":"2016-09-02","description":"","custom_fields":[{"id":1,"name":"Subdivision","value":"NW"},{"id":4,"name":"Milepost","value":"5.7967"},{"id":17,"name":"Train ID","value":"828-02"},{"id":16,"name":"Locomotive ID","value":"4008"},{"id":130,"name":"Impact","value":""},{"id":150,"name":"Time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660</v>
      </c>
      <c r="B188" s="7">
        <v>4025</v>
      </c>
      <c r="C188" s="24" t="s">
        <v>113</v>
      </c>
      <c r="D188" s="24" t="s">
        <v>661</v>
      </c>
      <c r="E188" s="15">
        <v>42615.677986111114</v>
      </c>
      <c r="F188" s="15">
        <v>42615.681840277779</v>
      </c>
      <c r="G188" s="7">
        <v>1</v>
      </c>
      <c r="H188" s="15" t="s">
        <v>639</v>
      </c>
      <c r="I188" s="15">
        <v>42615.690925925926</v>
      </c>
      <c r="J188" s="7">
        <v>1</v>
      </c>
      <c r="K188" s="132" t="str">
        <f t="shared" si="54"/>
        <v>4025/4026</v>
      </c>
      <c r="L188" s="24" t="str">
        <f>VLOOKUP(A188,'Trips&amp;Operators'!$C$1:$E$10000,3,FALSE)</f>
        <v>MAHAN</v>
      </c>
      <c r="M188" s="6">
        <f t="shared" si="55"/>
        <v>9.0856481474475004E-3</v>
      </c>
      <c r="N188" s="7">
        <f t="shared" si="70"/>
        <v>13.083333332324401</v>
      </c>
      <c r="O188" s="7"/>
      <c r="P188" s="7"/>
      <c r="Q188" s="25"/>
      <c r="R188" s="25"/>
      <c r="S188" s="37">
        <f t="shared" si="56"/>
        <v>1</v>
      </c>
      <c r="T188" s="52" t="str">
        <f t="shared" si="57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8" s="54" t="str">
        <f t="shared" si="59"/>
        <v>N</v>
      </c>
      <c r="X188" s="120">
        <f t="shared" si="72"/>
        <v>1</v>
      </c>
      <c r="Y188" s="69">
        <f t="shared" si="60"/>
        <v>0.10580000000000001</v>
      </c>
      <c r="Z188" s="69">
        <f t="shared" si="61"/>
        <v>5.8929</v>
      </c>
      <c r="AA188" s="69">
        <f t="shared" si="62"/>
        <v>5.7870999999999997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63"/>
        <v>0829-02</v>
      </c>
      <c r="AE188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88" s="96" t="str">
        <f t="shared" si="65"/>
        <v>"C:\Program Files (x86)\AstroGrep\AstroGrep.exe" /spath="%USERPROFILE%\AppData\Local\Temp\OnboardLogs" /stypes="*4025*20160902*" /stext=" 22:.+((SYSTEM_STATE.+slice.+state.+changed )|(ment ac)|(system.+state.+changed )|(\|lc)|(penalty)|(\[timeout)|(PRM\|1\|D)|(kpr)|(kdp))" /e /r /s</v>
      </c>
      <c r="AG188" s="1" t="str">
        <f t="shared" si="66"/>
        <v>NW</v>
      </c>
      <c r="AH188" s="100" t="str">
        <f t="shared" si="67"/>
        <v>"%USERPROFILE%\Documents\GitHub\eaglep3\Utilities\RefineRTDCRunTimes.py" --tripid 829-02 --locoid 4025 --swversion DE.1.0.7.0 --startMP 204:1058 --initTime 2016-09-02T16:16:18 --startdatetime 2016-09-02T16:21:51 --delay 1 --endMP 300:58929 --enddatetime 2016-09-02T16:34:56 --enforcementcount 1 &gt;&gt;C:\Users\stu\Documents\GitHub\eaglep3-reporting\EC\2016-09-02-refined-times.txt</v>
      </c>
      <c r="AI188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{"issue":{"subject":"","project_id":79,"tracker_id":40,"status_id":1,"priority_id":2,"assigned_to_id":23,"start_date":"2016-09-02","description":"","custom_fields":[{"id":1,"name":"Subdivision","value":"NW"},{"id":4,"name":"Milepost","value":"5.7871"},{"id":17,"name":"Train ID","value":"829-02"},{"id":16,"name":"Locomotive ID","value":"4025"},{"id":130,"name":"Impact","value":""},{"id":150,"name":"Time of Event (Mountain Time)","value":"16:34:56"},{"id":151,"name":"Denver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662</v>
      </c>
      <c r="B189" s="7">
        <v>4026</v>
      </c>
      <c r="C189" s="24" t="s">
        <v>113</v>
      </c>
      <c r="D189" s="24" t="s">
        <v>294</v>
      </c>
      <c r="E189" s="15">
        <v>42615.691712962966</v>
      </c>
      <c r="F189" s="15">
        <v>42615.693055555559</v>
      </c>
      <c r="G189" s="7">
        <v>1</v>
      </c>
      <c r="H189" s="15" t="s">
        <v>663</v>
      </c>
      <c r="I189" s="15">
        <v>42615.706030092595</v>
      </c>
      <c r="J189" s="7">
        <v>1</v>
      </c>
      <c r="K189" s="132" t="str">
        <f t="shared" si="54"/>
        <v>4025/4026</v>
      </c>
      <c r="L189" s="24" t="str">
        <f>VLOOKUP(A189,'Trips&amp;Operators'!$C$1:$E$10000,3,FALSE)</f>
        <v>MAHAN</v>
      </c>
      <c r="M189" s="6">
        <f t="shared" si="55"/>
        <v>1.2974537035916001E-2</v>
      </c>
      <c r="N189" s="7">
        <f t="shared" si="70"/>
        <v>18.683333331719041</v>
      </c>
      <c r="O189" s="7"/>
      <c r="P189" s="7"/>
      <c r="Q189" s="25"/>
      <c r="R189" s="25"/>
      <c r="S189" s="37">
        <f t="shared" si="56"/>
        <v>1</v>
      </c>
      <c r="T189" s="52" t="str">
        <f t="shared" si="57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15:36:04-0600',mode:absolute,to:'2016-09-02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9" s="54" t="str">
        <f t="shared" si="59"/>
        <v>N</v>
      </c>
      <c r="X189" s="120">
        <f t="shared" si="72"/>
        <v>1</v>
      </c>
      <c r="Y189" s="69">
        <f t="shared" si="60"/>
        <v>5.8616999999999999</v>
      </c>
      <c r="Z189" s="69">
        <f t="shared" si="61"/>
        <v>7.4099999999999999E-2</v>
      </c>
      <c r="AA189" s="69">
        <f t="shared" si="62"/>
        <v>5.7876000000000003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63"/>
        <v>0830-02</v>
      </c>
      <c r="AE189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89" s="96" t="str">
        <f t="shared" si="65"/>
        <v>"C:\Program Files (x86)\AstroGrep\AstroGrep.exe" /spath="%USERPROFILE%\AppData\Local\Temp\OnboardLogs" /stypes="*4026*20160902*" /stext=" 22:.+((SYSTEM_STATE.+slice.+state.+changed )|(ment ac)|(system.+state.+changed )|(\|lc)|(penalty)|(\[timeout)|(PRM\|1\|D)|(kpr)|(kdp))" /e /r /s</v>
      </c>
      <c r="AG189" s="1" t="str">
        <f t="shared" si="66"/>
        <v>NW</v>
      </c>
      <c r="AH189" s="100" t="str">
        <f t="shared" si="67"/>
        <v>"%USERPROFILE%\Documents\GitHub\eaglep3\Utilities\RefineRTDCRunTimes.py" --tripid 830-02 --locoid 4026 --swversion DE.1.0.7.0 --startMP 300:58617 --initTime 2016-09-02T16:36:04 --startdatetime 2016-09-02T16:38:00 --delay 1 --endMP 204:741 --enddatetime 2016-09-02T16:56:41 --enforcementcount 1 &gt;&gt;C:\Users\stu\Documents\GitHub\eaglep3-reporting\EC\2016-09-02-refined-times.txt</v>
      </c>
      <c r="AI189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{"issue":{"subject":"","project_id":79,"tracker_id":40,"status_id":1,"priority_id":2,"assigned_to_id":23,"start_date":"2016-09-02","description":"","custom_fields":[{"id":1,"name":"Subdivision","value":"NW"},{"id":4,"name":"Milepost","value":"5.7876"},{"id":17,"name":"Train ID","value":"830-02"},{"id":16,"name":"Locomotive ID","value":"4026"},{"id":130,"name":"Impact","value":""},{"id":150,"name":"Time of Event (Mountain Time)","value":"16:56:41"},{"id":151,"name":"Denver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664</v>
      </c>
      <c r="B190" s="7">
        <v>4007</v>
      </c>
      <c r="C190" s="24" t="s">
        <v>113</v>
      </c>
      <c r="D190" s="24" t="s">
        <v>665</v>
      </c>
      <c r="E190" s="15">
        <v>42615.686273148145</v>
      </c>
      <c r="F190" s="15">
        <v>42615.702303240738</v>
      </c>
      <c r="G190" s="7">
        <v>1</v>
      </c>
      <c r="H190" s="15" t="s">
        <v>666</v>
      </c>
      <c r="I190" s="15">
        <v>42615.712013888886</v>
      </c>
      <c r="J190" s="7">
        <v>1</v>
      </c>
      <c r="K190" s="132" t="str">
        <f t="shared" si="54"/>
        <v>4007/4008</v>
      </c>
      <c r="L190" s="24" t="str">
        <f>VLOOKUP(A190,'Trips&amp;Operators'!$C$1:$E$10000,3,FALSE)</f>
        <v>BROWN</v>
      </c>
      <c r="M190" s="6">
        <f t="shared" si="55"/>
        <v>9.710648148029577E-3</v>
      </c>
      <c r="N190" s="7">
        <f t="shared" si="70"/>
        <v>13.983333333162591</v>
      </c>
      <c r="O190" s="7"/>
      <c r="P190" s="7"/>
      <c r="Q190" s="25"/>
      <c r="R190" s="25"/>
      <c r="S190" s="37">
        <f t="shared" si="56"/>
        <v>1</v>
      </c>
      <c r="T190" s="52" t="str">
        <f t="shared" si="57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15:28:14-0600',mode:absolute,to:'2016-09-02 18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0" s="54" t="str">
        <f t="shared" si="59"/>
        <v>N</v>
      </c>
      <c r="X190" s="120">
        <f t="shared" si="72"/>
        <v>1</v>
      </c>
      <c r="Y190" s="69">
        <f t="shared" si="60"/>
        <v>0.1013</v>
      </c>
      <c r="Z190" s="69">
        <f t="shared" si="61"/>
        <v>5.8939000000000004</v>
      </c>
      <c r="AA190" s="69">
        <f t="shared" si="62"/>
        <v>5.7926000000000002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63"/>
        <v>0831-02</v>
      </c>
      <c r="AE190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90" s="96" t="str">
        <f t="shared" si="65"/>
        <v>"C:\Program Files (x86)\AstroGrep\AstroGrep.exe" /spath="%USERPROFILE%\AppData\Local\Temp\OnboardLogs" /stypes="*4007*20160902*" /stext=" 23:.+((SYSTEM_STATE.+slice.+state.+changed )|(ment ac)|(system.+state.+changed )|(\|lc)|(penalty)|(\[timeout)|(PRM\|1\|D)|(kpr)|(kdp))" /e /r /s</v>
      </c>
      <c r="AG190" s="1" t="str">
        <f t="shared" si="66"/>
        <v>NW</v>
      </c>
      <c r="AH190" s="100" t="str">
        <f t="shared" si="67"/>
        <v>"%USERPROFILE%\Documents\GitHub\eaglep3\Utilities\RefineRTDCRunTimes.py" --tripid 831-02 --locoid 4007 --swversion DE.1.0.7.0 --startMP 204:1013 --initTime 2016-09-02T16:28:14 --startdatetime 2016-09-02T16:51:19 --delay 1 --endMP 300:58939 --enddatetime 2016-09-02T17:05:18 --enforcementcount 1 &gt;&gt;C:\Users\stu\Documents\GitHub\eaglep3-reporting\EC\2016-09-02-refined-times.txt</v>
      </c>
      <c r="AI190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{"issue":{"subject":"","project_id":79,"tracker_id":40,"status_id":1,"priority_id":2,"assigned_to_id":23,"start_date":"2016-09-02","description":"","custom_fields":[{"id":1,"name":"Subdivision","value":"NW"},{"id":4,"name":"Milepost","value":"5.7926"},{"id":17,"name":"Train ID","value":"831-02"},{"id":16,"name":"Locomotive ID","value":"4007"},{"id":130,"name":"Impact","value":""},{"id":150,"name":"Time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667</v>
      </c>
      <c r="B191" s="7">
        <v>4008</v>
      </c>
      <c r="C191" s="24" t="s">
        <v>113</v>
      </c>
      <c r="D191" s="24" t="s">
        <v>339</v>
      </c>
      <c r="E191" s="15">
        <v>42615.713125000002</v>
      </c>
      <c r="F191" s="15">
        <v>42615.714918981481</v>
      </c>
      <c r="G191" s="7">
        <v>2</v>
      </c>
      <c r="H191" s="15" t="s">
        <v>351</v>
      </c>
      <c r="I191" s="15">
        <v>42615.726736111108</v>
      </c>
      <c r="J191" s="7">
        <v>1</v>
      </c>
      <c r="K191" s="132" t="str">
        <f t="shared" si="54"/>
        <v>4007/4008</v>
      </c>
      <c r="L191" s="24" t="str">
        <f>VLOOKUP(A191,'Trips&amp;Operators'!$C$1:$E$10000,3,FALSE)</f>
        <v>BROWN</v>
      </c>
      <c r="M191" s="6">
        <f t="shared" si="55"/>
        <v>1.1817129627161194E-2</v>
      </c>
      <c r="N191" s="7">
        <f t="shared" si="70"/>
        <v>17.016666663112119</v>
      </c>
      <c r="O191" s="7"/>
      <c r="P191" s="7"/>
      <c r="Q191" s="25"/>
      <c r="R191" s="25"/>
      <c r="S191" s="37">
        <f t="shared" si="56"/>
        <v>1</v>
      </c>
      <c r="T191" s="52" t="str">
        <f t="shared" si="57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16:06:54-0600',mode:absolute,to:'2016-09-02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1" s="54" t="str">
        <f t="shared" si="59"/>
        <v>N</v>
      </c>
      <c r="X191" s="120">
        <f t="shared" si="72"/>
        <v>1</v>
      </c>
      <c r="Y191" s="69">
        <f t="shared" si="60"/>
        <v>5.8624000000000001</v>
      </c>
      <c r="Z191" s="69">
        <f t="shared" si="61"/>
        <v>6.5600000000000006E-2</v>
      </c>
      <c r="AA191" s="69">
        <f t="shared" si="62"/>
        <v>5.7968000000000002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63"/>
        <v>0832-02</v>
      </c>
      <c r="AE191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91" s="96" t="str">
        <f t="shared" si="65"/>
        <v>"C:\Program Files (x86)\AstroGrep\AstroGrep.exe" /spath="%USERPROFILE%\AppData\Local\Temp\OnboardLogs" /stypes="*4008*20160902*" /stext=" 23:.+((SYSTEM_STATE.+slice.+state.+changed )|(ment ac)|(system.+state.+changed )|(\|lc)|(penalty)|(\[timeout)|(PRM\|1\|D)|(kpr)|(kdp))" /e /r /s</v>
      </c>
      <c r="AG191" s="1" t="str">
        <f t="shared" si="66"/>
        <v>NW</v>
      </c>
      <c r="AH191" s="100" t="str">
        <f t="shared" si="67"/>
        <v>"%USERPROFILE%\Documents\GitHub\eaglep3\Utilities\RefineRTDCRunTimes.py" --tripid 832-02 --locoid 4008 --swversion DE.1.0.7.0 --startMP 300:58624 --initTime 2016-09-02T17:06:54 --startdatetime 2016-09-02T17:09:29 --delay 2 --endMP 204:656 --enddatetime 2016-09-02T17:26:30 --enforcementcount 1 &gt;&gt;C:\Users\stu\Documents\GitHub\eaglep3-reporting\EC\2016-09-02-refined-times.txt</v>
      </c>
      <c r="AI191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{"issue":{"subject":"","project_id":79,"tracker_id":40,"status_id":1,"priority_id":2,"assigned_to_id":23,"start_date":"2016-09-02","description":"","custom_fields":[{"id":1,"name":"Subdivision","value":"NW"},{"id":4,"name":"Milepost","value":"5.7968"},{"id":17,"name":"Train ID","value":"832-02"},{"id":16,"name":"Locomotive ID","value":"4008"},{"id":130,"name":"Impact","value":""},{"id":150,"name":"Time of Event (Mountain Time)","value":"17:26:30"},{"id":151,"name":"Denver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668</v>
      </c>
      <c r="B192" s="7">
        <v>4025</v>
      </c>
      <c r="C192" s="24" t="s">
        <v>113</v>
      </c>
      <c r="D192" s="24" t="s">
        <v>669</v>
      </c>
      <c r="E192" s="15">
        <v>42615.719548611109</v>
      </c>
      <c r="F192" s="15">
        <v>42615.723333333335</v>
      </c>
      <c r="G192" s="7">
        <v>1</v>
      </c>
      <c r="H192" s="15" t="s">
        <v>670</v>
      </c>
      <c r="I192" s="15">
        <v>42615.732916666668</v>
      </c>
      <c r="J192" s="7">
        <v>1</v>
      </c>
      <c r="K192" s="132" t="str">
        <f t="shared" si="54"/>
        <v>4025/4026</v>
      </c>
      <c r="L192" s="24" t="str">
        <f>VLOOKUP(A192,'Trips&amp;Operators'!$C$1:$E$10000,3,FALSE)</f>
        <v>MAHAN</v>
      </c>
      <c r="M192" s="6">
        <f t="shared" si="55"/>
        <v>9.5833333325572312E-3</v>
      </c>
      <c r="N192" s="7">
        <f t="shared" si="70"/>
        <v>13.799999998882413</v>
      </c>
      <c r="O192" s="7"/>
      <c r="P192" s="7"/>
      <c r="Q192" s="25"/>
      <c r="R192" s="25"/>
      <c r="S192" s="37">
        <f t="shared" si="56"/>
        <v>1</v>
      </c>
      <c r="T192" s="52" t="str">
        <f t="shared" si="57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16:16:09-0600',mode:absolute,to:'2016-09-02 18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2" s="54" t="str">
        <f t="shared" si="59"/>
        <v>N</v>
      </c>
      <c r="X192" s="120">
        <f t="shared" si="72"/>
        <v>1</v>
      </c>
      <c r="Y192" s="69">
        <f t="shared" si="60"/>
        <v>0.1037</v>
      </c>
      <c r="Z192" s="69">
        <f t="shared" si="61"/>
        <v>5.8967000000000001</v>
      </c>
      <c r="AA192" s="69">
        <f t="shared" si="62"/>
        <v>5.7930000000000001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63"/>
        <v>0833-02</v>
      </c>
      <c r="AE192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92" s="96" t="str">
        <f t="shared" si="65"/>
        <v>"C:\Program Files (x86)\AstroGrep\AstroGrep.exe" /spath="%USERPROFILE%\AppData\Local\Temp\OnboardLogs" /stypes="*4025*20160902*" /stext=" 23:.+((SYSTEM_STATE.+slice.+state.+changed )|(ment ac)|(system.+state.+changed )|(\|lc)|(penalty)|(\[timeout)|(PRM\|1\|D)|(kpr)|(kdp))" /e /r /s</v>
      </c>
      <c r="AG192" s="1" t="str">
        <f t="shared" si="66"/>
        <v>NW</v>
      </c>
      <c r="AH192" s="100" t="str">
        <f t="shared" si="67"/>
        <v>"%USERPROFILE%\Documents\GitHub\eaglep3\Utilities\RefineRTDCRunTimes.py" --tripid 833-02 --locoid 4025 --swversion DE.1.0.7.0 --startMP 204:1037 --initTime 2016-09-02T17:16:09 --startdatetime 2016-09-02T17:21:36 --delay 1 --endMP 300:58967 --enddatetime 2016-09-02T17:35:24 --enforcementcount 1 &gt;&gt;C:\Users\stu\Documents\GitHub\eaglep3-reporting\EC\2016-09-02-refined-times.txt</v>
      </c>
      <c r="AI192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{"issue":{"subject":"","project_id":79,"tracker_id":40,"status_id":1,"priority_id":2,"assigned_to_id":23,"start_date":"2016-09-02","description":"","custom_fields":[{"id":1,"name":"Subdivision","value":"NW"},{"id":4,"name":"Milepost","value":"5.793"},{"id":17,"name":"Train ID","value":"833-02"},{"id":16,"name":"Locomotive ID","value":"4025"},{"id":130,"name":"Impact","value":""},{"id":150,"name":"Time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671</v>
      </c>
      <c r="B193" s="7">
        <v>4026</v>
      </c>
      <c r="C193" s="24" t="s">
        <v>113</v>
      </c>
      <c r="D193" s="24" t="s">
        <v>672</v>
      </c>
      <c r="E193" s="15">
        <v>42615.734849537039</v>
      </c>
      <c r="F193" s="15">
        <v>42615.736226851855</v>
      </c>
      <c r="G193" s="7">
        <v>1</v>
      </c>
      <c r="H193" s="15" t="s">
        <v>347</v>
      </c>
      <c r="I193" s="15">
        <v>42615.748391203706</v>
      </c>
      <c r="J193" s="7">
        <v>1</v>
      </c>
      <c r="K193" s="132" t="str">
        <f t="shared" si="54"/>
        <v>4025/4026</v>
      </c>
      <c r="L193" s="24" t="str">
        <f>VLOOKUP(A193,'Trips&amp;Operators'!$C$1:$E$10000,3,FALSE)</f>
        <v>MAHAN</v>
      </c>
      <c r="M193" s="6">
        <f t="shared" si="55"/>
        <v>1.2164351850515231E-2</v>
      </c>
      <c r="N193" s="7">
        <f t="shared" si="70"/>
        <v>17.516666664741933</v>
      </c>
      <c r="O193" s="7"/>
      <c r="P193" s="7"/>
      <c r="Q193" s="25"/>
      <c r="R193" s="25"/>
      <c r="S193" s="37">
        <f t="shared" si="56"/>
        <v>1</v>
      </c>
      <c r="T193" s="52" t="str">
        <f t="shared" si="57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16:38:11-0600',mode:absolute,to:'2016-09-02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93" s="54" t="str">
        <f t="shared" si="59"/>
        <v>N</v>
      </c>
      <c r="X193" s="120">
        <f t="shared" si="72"/>
        <v>1</v>
      </c>
      <c r="Y193" s="69">
        <f t="shared" si="60"/>
        <v>5.8648999999999996</v>
      </c>
      <c r="Z193" s="69">
        <f t="shared" si="61"/>
        <v>7.4499999999999997E-2</v>
      </c>
      <c r="AA193" s="69">
        <f t="shared" si="62"/>
        <v>5.7904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63"/>
        <v>0834-02</v>
      </c>
      <c r="AE193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93" s="96" t="str">
        <f t="shared" si="65"/>
        <v>"C:\Program Files (x86)\AstroGrep\AstroGrep.exe" /spath="%USERPROFILE%\AppData\Local\Temp\OnboardLogs" /stypes="*4026*20160902*" /stext=" 23:.+((SYSTEM_STATE.+slice.+state.+changed )|(ment ac)|(system.+state.+changed )|(\|lc)|(penalty)|(\[timeout)|(PRM\|1\|D)|(kpr)|(kdp))" /e /r /s</v>
      </c>
      <c r="AG193" s="1" t="str">
        <f t="shared" si="66"/>
        <v>NW</v>
      </c>
      <c r="AH193" s="100" t="str">
        <f t="shared" si="67"/>
        <v>"%USERPROFILE%\Documents\GitHub\eaglep3\Utilities\RefineRTDCRunTimes.py" --tripid 834-02 --locoid 4026 --swversion DE.1.0.7.0 --startMP 300:58649 --initTime 2016-09-02T17:38:11 --startdatetime 2016-09-02T17:40:10 --delay 1 --endMP 204:745 --enddatetime 2016-09-02T17:57:41 --enforcementcount 1 &gt;&gt;C:\Users\stu\Documents\GitHub\eaglep3-reporting\EC\2016-09-02-refined-times.txt</v>
      </c>
      <c r="AI193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{"issue":{"subject":"","project_id":79,"tracker_id":40,"status_id":1,"priority_id":2,"assigned_to_id":23,"start_date":"2016-09-02","description":"","custom_fields":[{"id":1,"name":"Subdivision","value":"NW"},{"id":4,"name":"Milepost","value":"5.7904"},{"id":17,"name":"Train ID","value":"834-02"},{"id":16,"name":"Locomotive ID","value":"4026"},{"id":130,"name":"Impact","value":""},{"id":150,"name":"Time of Event (Mountain Time)","value":"17:57:41"},{"id":151,"name":"Denver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673</v>
      </c>
      <c r="B194" s="7">
        <v>4007</v>
      </c>
      <c r="C194" s="24" t="s">
        <v>113</v>
      </c>
      <c r="D194" s="24" t="s">
        <v>674</v>
      </c>
      <c r="E194" s="15">
        <v>42615.728437500002</v>
      </c>
      <c r="F194" s="15">
        <v>42615.744652777779</v>
      </c>
      <c r="G194" s="7">
        <v>1</v>
      </c>
      <c r="H194" s="15" t="s">
        <v>675</v>
      </c>
      <c r="I194" s="15">
        <v>42615.75408564815</v>
      </c>
      <c r="J194" s="7">
        <v>1</v>
      </c>
      <c r="K194" s="132" t="str">
        <f t="shared" si="54"/>
        <v>4007/4008</v>
      </c>
      <c r="L194" s="24" t="str">
        <f>VLOOKUP(A194,'Trips&amp;Operators'!$C$1:$E$10000,3,FALSE)</f>
        <v>BROWN</v>
      </c>
      <c r="M194" s="6">
        <f t="shared" si="55"/>
        <v>9.4328703708015382E-3</v>
      </c>
      <c r="N194" s="7">
        <f t="shared" si="70"/>
        <v>13.583333333954215</v>
      </c>
      <c r="O194" s="7"/>
      <c r="P194" s="7"/>
      <c r="Q194" s="25"/>
      <c r="R194" s="25"/>
      <c r="S194" s="37">
        <f t="shared" si="56"/>
        <v>1</v>
      </c>
      <c r="T194" s="52" t="str">
        <f t="shared" si="57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4" s="54" t="str">
        <f t="shared" si="59"/>
        <v>N</v>
      </c>
      <c r="X194" s="120">
        <f t="shared" si="72"/>
        <v>1</v>
      </c>
      <c r="Y194" s="69">
        <f t="shared" si="60"/>
        <v>9.5799999999999996E-2</v>
      </c>
      <c r="Z194" s="69">
        <f t="shared" si="61"/>
        <v>5.8998999999999997</v>
      </c>
      <c r="AA194" s="69">
        <f t="shared" si="62"/>
        <v>5.8041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63"/>
        <v>0835-02</v>
      </c>
      <c r="AE194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94" s="96" t="str">
        <f t="shared" si="65"/>
        <v>"C:\Program Files (x86)\AstroGrep\AstroGrep.exe" /spath="%USERPROFILE%\AppData\Local\Temp\OnboardLogs" /stypes="*4007*20160903*" /stext=" 00:.+((SYSTEM_STATE.+slice.+state.+changed )|(ment ac)|(system.+state.+changed )|(\|lc)|(penalty)|(\[timeout)|(PRM\|1\|D)|(kpr)|(kdp))" /e /r /s</v>
      </c>
      <c r="AG194" s="1" t="str">
        <f t="shared" si="66"/>
        <v>NW</v>
      </c>
      <c r="AH194" s="100" t="str">
        <f t="shared" si="67"/>
        <v>"%USERPROFILE%\Documents\GitHub\eaglep3\Utilities\RefineRTDCRunTimes.py" --tripid 835-02 --locoid 4007 --swversion DE.1.0.7.0 --startMP 204:958 --initTime 2016-09-02T17:28:57 --startdatetime 2016-09-02T17:52:18 --delay 1 --endMP 300:58999 --enddatetime 2016-09-02T18:05:53 --enforcementcount 1 &gt;&gt;C:\Users\stu\Documents\GitHub\eaglep3-reporting\EC\2016-09-02-refined-times.txt</v>
      </c>
      <c r="AI194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{"issue":{"subject":"","project_id":79,"tracker_id":40,"status_id":1,"priority_id":2,"assigned_to_id":23,"start_date":"2016-09-02","description":"","custom_fields":[{"id":1,"name":"Subdivision","value":"NW"},{"id":4,"name":"Milepost","value":"5.8041"},{"id":17,"name":"Train ID","value":"835-02"},{"id":16,"name":"Locomotive ID","value":"4007"},{"id":130,"name":"Impact","value":""},{"id":150,"name":"Time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676</v>
      </c>
      <c r="B195" s="7">
        <v>4008</v>
      </c>
      <c r="C195" s="24" t="s">
        <v>113</v>
      </c>
      <c r="D195" s="24" t="s">
        <v>677</v>
      </c>
      <c r="E195" s="15">
        <v>42615.754965277774</v>
      </c>
      <c r="F195" s="15">
        <v>42615.756354166668</v>
      </c>
      <c r="G195" s="7">
        <v>1</v>
      </c>
      <c r="H195" s="15" t="s">
        <v>678</v>
      </c>
      <c r="I195" s="15">
        <v>42615.768368055556</v>
      </c>
      <c r="J195" s="7">
        <v>1</v>
      </c>
      <c r="K195" s="132" t="str">
        <f t="shared" si="54"/>
        <v>4007/4008</v>
      </c>
      <c r="L195" s="24" t="str">
        <f>VLOOKUP(A195,'Trips&amp;Operators'!$C$1:$E$10000,3,FALSE)</f>
        <v>BROWN</v>
      </c>
      <c r="M195" s="6">
        <f t="shared" si="55"/>
        <v>1.2013888888759539E-2</v>
      </c>
      <c r="N195" s="7">
        <f t="shared" si="70"/>
        <v>17.299999999813735</v>
      </c>
      <c r="O195" s="7"/>
      <c r="P195" s="7"/>
      <c r="Q195" s="25"/>
      <c r="R195" s="25"/>
      <c r="S195" s="37">
        <f t="shared" si="56"/>
        <v>1</v>
      </c>
      <c r="T195" s="52" t="str">
        <f t="shared" si="57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5" s="54" t="str">
        <f t="shared" si="59"/>
        <v>N</v>
      </c>
      <c r="X195" s="120">
        <f t="shared" si="72"/>
        <v>1</v>
      </c>
      <c r="Y195" s="69">
        <f t="shared" si="60"/>
        <v>5.8696000000000002</v>
      </c>
      <c r="Z195" s="69">
        <f t="shared" si="61"/>
        <v>6.6600000000000006E-2</v>
      </c>
      <c r="AA195" s="69">
        <f t="shared" si="62"/>
        <v>5.8029999999999999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63"/>
        <v>0836-02</v>
      </c>
      <c r="AE195" s="99" t="str">
        <f t="shared" si="64"/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AF195" s="96" t="str">
        <f t="shared" si="65"/>
        <v>"C:\Program Files (x86)\AstroGrep\AstroGrep.exe" /spath="%USERPROFILE%\AppData\Local\Temp\OnboardLogs" /stypes="*4008*20160903*" /stext=" 00:.+((SYSTEM_STATE.+slice.+state.+changed )|(ment ac)|(system.+state.+changed )|(\|lc)|(penalty)|(\[timeout)|(PRM\|1\|D)|(kpr)|(kdp))" /e /r /s</v>
      </c>
      <c r="AG195" s="1" t="str">
        <f t="shared" si="66"/>
        <v>NW</v>
      </c>
      <c r="AH195" s="100" t="str">
        <f t="shared" si="67"/>
        <v>"%USERPROFILE%\Documents\GitHub\eaglep3\Utilities\RefineRTDCRunTimes.py" --tripid 836-02 --locoid 4008 --swversion DE.1.0.7.0 --startMP 300:58696 --initTime 2016-09-02T18:07:09 --startdatetime 2016-09-02T18:09:09 --delay 1 --endMP 204:666 --enddatetime 2016-09-02T18:26:27 --enforcementcount 1 &gt;&gt;C:\Users\stu\Documents\GitHub\eaglep3-reporting\EC\2016-09-02-refined-times.txt</v>
      </c>
      <c r="AI195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{"issue":{"subject":"","project_id":79,"tracker_id":40,"status_id":1,"priority_id":2,"assigned_to_id":23,"start_date":"2016-09-02","description":"","custom_fields":[{"id":1,"name":"Subdivision","value":"NW"},{"id":4,"name":"Milepost","value":"5.803"},{"id":17,"name":"Train ID","value":"836-02"},{"id":16,"name":"Locomotive ID","value":"4008"},{"id":130,"name":"Impact","value":""},{"id":150,"name":"Time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679</v>
      </c>
      <c r="B196" s="7">
        <v>4025</v>
      </c>
      <c r="C196" s="24" t="s">
        <v>113</v>
      </c>
      <c r="D196" s="24" t="s">
        <v>680</v>
      </c>
      <c r="E196" s="15">
        <v>42615.761446759258</v>
      </c>
      <c r="F196" s="15">
        <v>42615.765289351853</v>
      </c>
      <c r="G196" s="7">
        <v>1</v>
      </c>
      <c r="H196" s="15" t="s">
        <v>357</v>
      </c>
      <c r="I196" s="15">
        <v>42615.775127314817</v>
      </c>
      <c r="J196" s="7">
        <v>1</v>
      </c>
      <c r="K196" s="132" t="str">
        <f t="shared" si="54"/>
        <v>4025/4026</v>
      </c>
      <c r="L196" s="24" t="str">
        <f>VLOOKUP(A196,'Trips&amp;Operators'!$C$1:$E$10000,3,FALSE)</f>
        <v>MAHAN</v>
      </c>
      <c r="M196" s="6">
        <f t="shared" si="55"/>
        <v>9.8379629635019228E-3</v>
      </c>
      <c r="N196" s="7">
        <f t="shared" si="70"/>
        <v>14.166666667442769</v>
      </c>
      <c r="O196" s="7"/>
      <c r="P196" s="7"/>
      <c r="Q196" s="25"/>
      <c r="R196" s="25"/>
      <c r="S196" s="37">
        <f t="shared" si="56"/>
        <v>1</v>
      </c>
      <c r="T196" s="52" t="str">
        <f t="shared" si="57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17:16:29-0600',mode:absolute,to:'2016-09-02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6" s="54" t="str">
        <f t="shared" si="59"/>
        <v>N</v>
      </c>
      <c r="X196" s="120">
        <f t="shared" si="72"/>
        <v>1</v>
      </c>
      <c r="Y196" s="69">
        <f t="shared" si="60"/>
        <v>0.10340000000000001</v>
      </c>
      <c r="Z196" s="69">
        <f t="shared" si="61"/>
        <v>5.8936999999999999</v>
      </c>
      <c r="AA196" s="69">
        <f t="shared" si="62"/>
        <v>5.7903000000000002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63"/>
        <v>0837-02</v>
      </c>
      <c r="AE196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196" s="96" t="str">
        <f t="shared" si="65"/>
        <v>"C:\Program Files (x86)\AstroGrep\AstroGrep.exe" /spath="%USERPROFILE%\AppData\Local\Temp\OnboardLogs" /stypes="*4025*20160903*" /stext=" 00:.+((SYSTEM_STATE.+slice.+state.+changed )|(ment ac)|(system.+state.+changed )|(\|lc)|(penalty)|(\[timeout)|(PRM\|1\|D)|(kpr)|(kdp))" /e /r /s</v>
      </c>
      <c r="AG196" s="1" t="str">
        <f t="shared" si="66"/>
        <v>NW</v>
      </c>
      <c r="AH196" s="100" t="str">
        <f t="shared" si="67"/>
        <v>"%USERPROFILE%\Documents\GitHub\eaglep3\Utilities\RefineRTDCRunTimes.py" --tripid 837-02 --locoid 4025 --swversion DE.1.0.7.0 --startMP 204:1034 --initTime 2016-09-02T18:16:29 --startdatetime 2016-09-02T18:22:01 --delay 1 --endMP 300:58937 --enddatetime 2016-09-02T18:36:11 --enforcementcount 1 &gt;&gt;C:\Users\stu\Documents\GitHub\eaglep3-reporting\EC\2016-09-02-refined-times.txt</v>
      </c>
      <c r="AI196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{"issue":{"subject":"","project_id":79,"tracker_id":40,"status_id":1,"priority_id":2,"assigned_to_id":23,"start_date":"2016-09-02","description":"","custom_fields":[{"id":1,"name":"Subdivision","value":"NW"},{"id":4,"name":"Milepost","value":"5.7903"},{"id":17,"name":"Train ID","value":"837-02"},{"id":16,"name":"Locomotive ID","value":"4025"},{"id":130,"name":"Impact","value":""},{"id":150,"name":"Time of Event (Mountain Time)","value":"18:36:11"},{"id":151,"name":"Denver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681</v>
      </c>
      <c r="B197" s="7">
        <v>4026</v>
      </c>
      <c r="C197" s="24" t="s">
        <v>113</v>
      </c>
      <c r="D197" s="24" t="s">
        <v>340</v>
      </c>
      <c r="E197" s="15">
        <v>42615.776956018519</v>
      </c>
      <c r="F197" s="15">
        <v>42615.778611111113</v>
      </c>
      <c r="G197" s="7">
        <v>1</v>
      </c>
      <c r="H197" s="15" t="s">
        <v>682</v>
      </c>
      <c r="I197" s="15">
        <v>42615.7890162037</v>
      </c>
      <c r="J197" s="7">
        <v>1</v>
      </c>
      <c r="K197" s="132" t="str">
        <f t="shared" si="54"/>
        <v>4025/4026</v>
      </c>
      <c r="L197" s="24" t="str">
        <f>VLOOKUP(A197,'Trips&amp;Operators'!$C$1:$E$10000,3,FALSE)</f>
        <v>MAHAN</v>
      </c>
      <c r="M197" s="6">
        <f t="shared" si="55"/>
        <v>1.0405092587461695E-2</v>
      </c>
      <c r="N197" s="7">
        <f t="shared" si="70"/>
        <v>14.983333325944841</v>
      </c>
      <c r="O197" s="7"/>
      <c r="P197" s="7"/>
      <c r="Q197" s="25"/>
      <c r="R197" s="25"/>
      <c r="S197" s="37">
        <f t="shared" si="56"/>
        <v>1</v>
      </c>
      <c r="T197" s="52" t="str">
        <f t="shared" si="57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97" s="54" t="str">
        <f t="shared" si="59"/>
        <v>N</v>
      </c>
      <c r="X197" s="120">
        <f t="shared" si="72"/>
        <v>1</v>
      </c>
      <c r="Y197" s="69">
        <f t="shared" si="60"/>
        <v>5.8623000000000003</v>
      </c>
      <c r="Z197" s="69">
        <f t="shared" si="61"/>
        <v>7.2700000000000001E-2</v>
      </c>
      <c r="AA197" s="69">
        <f t="shared" si="62"/>
        <v>5.7896000000000001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63"/>
        <v>0838-02</v>
      </c>
      <c r="AE197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97" s="96" t="str">
        <f t="shared" si="65"/>
        <v>"C:\Program Files (x86)\AstroGrep\AstroGrep.exe" /spath="%USERPROFILE%\AppData\Local\Temp\OnboardLogs" /stypes="*4026*20160903*" /stext=" 00:.+((SYSTEM_STATE.+slice.+state.+changed )|(ment ac)|(system.+state.+changed )|(\|lc)|(penalty)|(\[timeout)|(PRM\|1\|D)|(kpr)|(kdp))" /e /r /s</v>
      </c>
      <c r="AG197" s="1" t="str">
        <f t="shared" si="66"/>
        <v>NW</v>
      </c>
      <c r="AH197" s="100" t="str">
        <f t="shared" si="67"/>
        <v>"%USERPROFILE%\Documents\GitHub\eaglep3\Utilities\RefineRTDCRunTimes.py" --tripid 838-02 --locoid 4026 --swversion DE.1.0.7.0 --startMP 300:58623 --initTime 2016-09-02T18:38:49 --startdatetime 2016-09-02T18:41:12 --delay 1 --endMP 204:727 --enddatetime 2016-09-02T18:56:11 --enforcementcount 1 &gt;&gt;C:\Users\stu\Documents\GitHub\eaglep3-reporting\EC\2016-09-02-refined-times.txt</v>
      </c>
      <c r="AI197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{"issue":{"subject":"","project_id":79,"tracker_id":40,"status_id":1,"priority_id":2,"assigned_to_id":23,"start_date":"2016-09-02","description":"","custom_fields":[{"id":1,"name":"Subdivision","value":"NW"},{"id":4,"name":"Milepost","value":"5.7896"},{"id":17,"name":"Train ID","value":"838-02"},{"id":16,"name":"Locomotive ID","value":"4026"},{"id":130,"name":"Impact","value":""},{"id":150,"name":"Time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683</v>
      </c>
      <c r="B198" s="7">
        <v>4007</v>
      </c>
      <c r="C198" s="24" t="s">
        <v>113</v>
      </c>
      <c r="D198" s="24" t="s">
        <v>601</v>
      </c>
      <c r="E198" s="15">
        <v>42615.770613425928</v>
      </c>
      <c r="F198" s="15">
        <v>42615.785601851851</v>
      </c>
      <c r="G198" s="7">
        <v>1</v>
      </c>
      <c r="H198" s="15" t="s">
        <v>684</v>
      </c>
      <c r="I198" s="15">
        <v>42615.795671296299</v>
      </c>
      <c r="J198" s="7">
        <v>1</v>
      </c>
      <c r="K198" s="132" t="str">
        <f t="shared" si="54"/>
        <v>4007/4008</v>
      </c>
      <c r="L198" s="24" t="str">
        <f>VLOOKUP(A198,'Trips&amp;Operators'!$C$1:$E$10000,3,FALSE)</f>
        <v>BROWN</v>
      </c>
      <c r="M198" s="6">
        <f t="shared" si="55"/>
        <v>1.0069444448163267E-2</v>
      </c>
      <c r="N198" s="7">
        <f t="shared" ref="N198:N224" si="73">24*60*SUM($M198:$M198)</f>
        <v>14.500000005355105</v>
      </c>
      <c r="O198" s="7"/>
      <c r="P198" s="7"/>
      <c r="Q198" s="25"/>
      <c r="R198" s="25"/>
      <c r="S198" s="37">
        <f t="shared" si="56"/>
        <v>1</v>
      </c>
      <c r="T198" s="52" t="str">
        <f t="shared" si="57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8" s="54" t="str">
        <f t="shared" si="59"/>
        <v>N</v>
      </c>
      <c r="X198" s="120">
        <f t="shared" si="72"/>
        <v>1</v>
      </c>
      <c r="Y198" s="69">
        <f t="shared" si="60"/>
        <v>9.7600000000000006E-2</v>
      </c>
      <c r="Z198" s="69">
        <f t="shared" si="61"/>
        <v>5.8087999999999997</v>
      </c>
      <c r="AA198" s="69">
        <f t="shared" si="62"/>
        <v>5.7111999999999998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63"/>
        <v>0839-02</v>
      </c>
      <c r="AE198" s="99" t="str">
        <f t="shared" si="6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198" s="96" t="str">
        <f t="shared" si="65"/>
        <v>"C:\Program Files (x86)\AstroGrep\AstroGrep.exe" /spath="%USERPROFILE%\AppData\Local\Temp\OnboardLogs" /stypes="*4007*20160903*" /stext=" 01:.+((SYSTEM_STATE.+slice.+state.+changed )|(ment ac)|(system.+state.+changed )|(\|lc)|(penalty)|(\[timeout)|(PRM\|1\|D)|(kpr)|(kdp))" /e /r /s</v>
      </c>
      <c r="AG198" s="1" t="str">
        <f t="shared" si="66"/>
        <v>NW</v>
      </c>
      <c r="AH198" s="100" t="str">
        <f t="shared" si="67"/>
        <v>"%USERPROFILE%\Documents\GitHub\eaglep3\Utilities\RefineRTDCRunTimes.py" --tripid 839-02 --locoid 4007 --swversion DE.1.0.7.0 --startMP 204:976 --initTime 2016-09-02T18:29:41 --startdatetime 2016-09-02T18:51:16 --delay 1 --endMP 300:58088 --enddatetime 2016-09-02T19:05:46 --enforcementcount 1 &gt;&gt;C:\Users\stu\Documents\GitHub\eaglep3-reporting\EC\2016-09-02-refined-times.txt</v>
      </c>
      <c r="AI198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{"issue":{"subject":"","project_id":79,"tracker_id":40,"status_id":1,"priority_id":2,"assigned_to_id":23,"start_date":"2016-09-02","description":"","custom_fields":[{"id":1,"name":"Subdivision","value":"NW"},{"id":4,"name":"Milepost","value":"5.7112"},{"id":17,"name":"Train ID","value":"839-02"},{"id":16,"name":"Locomotive ID","value":"4007"},{"id":130,"name":"Impact","value":""},{"id":150,"name":"Time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685</v>
      </c>
      <c r="B199" s="7">
        <v>4026</v>
      </c>
      <c r="C199" s="24" t="s">
        <v>113</v>
      </c>
      <c r="D199" s="24" t="s">
        <v>645</v>
      </c>
      <c r="E199" s="15">
        <v>42615.817743055559</v>
      </c>
      <c r="F199" s="15">
        <v>42615.819236111114</v>
      </c>
      <c r="G199" s="7">
        <v>1</v>
      </c>
      <c r="H199" s="15" t="s">
        <v>305</v>
      </c>
      <c r="I199" s="15">
        <v>42615.831747685188</v>
      </c>
      <c r="J199" s="7">
        <v>1</v>
      </c>
      <c r="K199" s="132" t="str">
        <f t="shared" si="54"/>
        <v>4025/4026</v>
      </c>
      <c r="L199" s="24" t="str">
        <f>VLOOKUP(A199,'Trips&amp;Operators'!$C$1:$E$10000,3,FALSE)</f>
        <v>MAHAN</v>
      </c>
      <c r="M199" s="6">
        <f t="shared" si="55"/>
        <v>1.2511574073869269E-2</v>
      </c>
      <c r="N199" s="7">
        <f t="shared" si="73"/>
        <v>18.016666666371748</v>
      </c>
      <c r="O199" s="7"/>
      <c r="P199" s="7"/>
      <c r="Q199" s="25"/>
      <c r="R199" s="25"/>
      <c r="S199" s="37">
        <f t="shared" si="56"/>
        <v>1</v>
      </c>
      <c r="T199" s="52" t="str">
        <f t="shared" si="57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18:37:33-0600',mode:absolute,to:'2016-09-02 20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99" s="54" t="str">
        <f t="shared" si="59"/>
        <v>N</v>
      </c>
      <c r="X199" s="120">
        <f t="shared" si="72"/>
        <v>1</v>
      </c>
      <c r="Y199" s="69">
        <f t="shared" si="60"/>
        <v>5.8615000000000004</v>
      </c>
      <c r="Z199" s="69">
        <f t="shared" si="61"/>
        <v>7.5200000000000003E-2</v>
      </c>
      <c r="AA199" s="69">
        <f t="shared" si="62"/>
        <v>5.7863000000000007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63"/>
        <v>0840-02</v>
      </c>
      <c r="AE199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199" s="96" t="str">
        <f t="shared" si="65"/>
        <v>"C:\Program Files (x86)\AstroGrep\AstroGrep.exe" /spath="%USERPROFILE%\AppData\Local\Temp\OnboardLogs" /stypes="*4026*20160903*" /stext=" 01:.+((SYSTEM_STATE.+slice.+state.+changed )|(ment ac)|(system.+state.+changed )|(\|lc)|(penalty)|(\[timeout)|(PRM\|1\|D)|(kpr)|(kdp))" /e /r /s</v>
      </c>
      <c r="AG199" s="1" t="str">
        <f t="shared" si="66"/>
        <v>NW</v>
      </c>
      <c r="AH199" s="100" t="str">
        <f t="shared" si="67"/>
        <v>"%USERPROFILE%\Documents\GitHub\eaglep3\Utilities\RefineRTDCRunTimes.py" --tripid 840-02 --locoid 4026 --swversion DE.1.0.7.0 --startMP 300:58615 --initTime 2016-09-02T19:37:33 --startdatetime 2016-09-02T19:39:42 --delay 1 --endMP 204:752 --enddatetime 2016-09-02T19:57:43 --enforcementcount 1 &gt;&gt;C:\Users\stu\Documents\GitHub\eaglep3-reporting\EC\2016-09-02-refined-times.txt</v>
      </c>
      <c r="AI199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{"issue":{"subject":"","project_id":79,"tracker_id":40,"status_id":1,"priority_id":2,"assigned_to_id":23,"start_date":"2016-09-02","description":"","custom_fields":[{"id":1,"name":"Subdivision","value":"NW"},{"id":4,"name":"Milepost","value":"5.7863"},{"id":17,"name":"Train ID","value":"840-02"},{"id":16,"name":"Locomotive ID","value":"4026"},{"id":130,"name":"Impact","value":""},{"id":150,"name":"Time of Event (Mountain Time)","value":"19:57:43"},{"id":151,"name":"Denver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686</v>
      </c>
      <c r="B200" s="7">
        <v>4025</v>
      </c>
      <c r="C200" s="24" t="s">
        <v>113</v>
      </c>
      <c r="D200" s="24" t="s">
        <v>665</v>
      </c>
      <c r="E200" s="15">
        <v>42615.80537037037</v>
      </c>
      <c r="F200" s="15">
        <v>42615.80678240741</v>
      </c>
      <c r="G200" s="7">
        <v>1</v>
      </c>
      <c r="H200" s="15" t="s">
        <v>352</v>
      </c>
      <c r="I200" s="15">
        <v>42615.816400462965</v>
      </c>
      <c r="J200" s="7">
        <v>1</v>
      </c>
      <c r="K200" s="132" t="str">
        <f t="shared" si="54"/>
        <v>4025/4026</v>
      </c>
      <c r="L200" s="24" t="str">
        <f>VLOOKUP(A200,'Trips&amp;Operators'!$C$1:$E$10000,3,FALSE)</f>
        <v>MAHAN</v>
      </c>
      <c r="M200" s="6">
        <f t="shared" si="55"/>
        <v>9.6180555556202307E-3</v>
      </c>
      <c r="N200" s="7">
        <f t="shared" si="73"/>
        <v>13.850000000093132</v>
      </c>
      <c r="O200" s="7"/>
      <c r="P200" s="7"/>
      <c r="Q200" s="25"/>
      <c r="R200" s="25"/>
      <c r="S200" s="37">
        <f t="shared" si="56"/>
        <v>1</v>
      </c>
      <c r="T200" s="52" t="str">
        <f t="shared" si="57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18:19:44-0600',mode:absolute,to:'2016-09-02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0" s="54" t="str">
        <f t="shared" si="59"/>
        <v>N</v>
      </c>
      <c r="X200" s="120">
        <f t="shared" si="72"/>
        <v>1</v>
      </c>
      <c r="Y200" s="69">
        <f t="shared" si="60"/>
        <v>0.1013</v>
      </c>
      <c r="Z200" s="69">
        <f t="shared" si="61"/>
        <v>5.8935000000000004</v>
      </c>
      <c r="AA200" s="69">
        <f t="shared" si="62"/>
        <v>5.7922000000000002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63"/>
        <v>0841-02</v>
      </c>
      <c r="AE200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200" s="96" t="str">
        <f t="shared" si="65"/>
        <v>"C:\Program Files (x86)\AstroGrep\AstroGrep.exe" /spath="%USERPROFILE%\AppData\Local\Temp\OnboardLogs" /stypes="*4025*20160903*" /stext=" 01:.+((SYSTEM_STATE.+slice.+state.+changed )|(ment ac)|(system.+state.+changed )|(\|lc)|(penalty)|(\[timeout)|(PRM\|1\|D)|(kpr)|(kdp))" /e /r /s</v>
      </c>
      <c r="AG200" s="1" t="str">
        <f t="shared" si="66"/>
        <v>NW</v>
      </c>
      <c r="AH200" s="100" t="str">
        <f t="shared" si="67"/>
        <v>"%USERPROFILE%\Documents\GitHub\eaglep3\Utilities\RefineRTDCRunTimes.py" --tripid 841-02 --locoid 4025 --swversion DE.1.0.7.0 --startMP 204:1013 --initTime 2016-09-02T19:19:44 --startdatetime 2016-09-02T19:21:46 --delay 1 --endMP 300:58935 --enddatetime 2016-09-02T19:35:37 --enforcementcount 1 &gt;&gt;C:\Users\stu\Documents\GitHub\eaglep3-reporting\EC\2016-09-02-refined-times.txt</v>
      </c>
      <c r="AI200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{"issue":{"subject":"","project_id":79,"tracker_id":40,"status_id":1,"priority_id":2,"assigned_to_id":23,"start_date":"2016-09-02","description":"","custom_fields":[{"id":1,"name":"Subdivision","value":"NW"},{"id":4,"name":"Milepost","value":"5.7922"},{"id":17,"name":"Train ID","value":"841-02"},{"id":16,"name":"Locomotive ID","value":"4025"},{"id":130,"name":"Impact","value":""},{"id":150,"name":"Time of Event (Mountain Time)","value":"19:35:37"},{"id":151,"name":"Denver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687</v>
      </c>
      <c r="B201" s="7">
        <v>4026</v>
      </c>
      <c r="C201" s="24" t="s">
        <v>113</v>
      </c>
      <c r="D201" s="24" t="s">
        <v>604</v>
      </c>
      <c r="E201" s="15">
        <v>42615.859594907408</v>
      </c>
      <c r="F201" s="15">
        <v>42615.861134259256</v>
      </c>
      <c r="G201" s="7">
        <v>1</v>
      </c>
      <c r="H201" s="15" t="s">
        <v>347</v>
      </c>
      <c r="I201" s="15">
        <v>42615.871979166666</v>
      </c>
      <c r="J201" s="7">
        <v>1</v>
      </c>
      <c r="K201" s="132" t="str">
        <f t="shared" si="54"/>
        <v>4025/4026</v>
      </c>
      <c r="L201" s="24" t="str">
        <f>VLOOKUP(A201,'Trips&amp;Operators'!$C$1:$E$10000,3,FALSE)</f>
        <v>MAHAN</v>
      </c>
      <c r="M201" s="6">
        <f t="shared" si="55"/>
        <v>1.0844907410501037E-2</v>
      </c>
      <c r="N201" s="7">
        <f t="shared" si="73"/>
        <v>15.616666671121493</v>
      </c>
      <c r="O201" s="7"/>
      <c r="P201" s="7"/>
      <c r="Q201" s="25"/>
      <c r="R201" s="25"/>
      <c r="S201" s="37">
        <f t="shared" si="56"/>
        <v>1</v>
      </c>
      <c r="T201" s="52" t="str">
        <f t="shared" si="57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19:37:49-0600',mode:absolute,to:'2016-09-02 21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1" s="54" t="str">
        <f t="shared" si="59"/>
        <v>N</v>
      </c>
      <c r="X201" s="120">
        <f t="shared" si="72"/>
        <v>1</v>
      </c>
      <c r="Y201" s="69">
        <f t="shared" si="60"/>
        <v>5.8628</v>
      </c>
      <c r="Z201" s="69">
        <f t="shared" si="61"/>
        <v>7.4499999999999997E-2</v>
      </c>
      <c r="AA201" s="69">
        <f t="shared" si="62"/>
        <v>5.7883000000000004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63"/>
        <v>0842-02</v>
      </c>
      <c r="AE201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201" s="96" t="str">
        <f t="shared" si="65"/>
        <v>"C:\Program Files (x86)\AstroGrep\AstroGrep.exe" /spath="%USERPROFILE%\AppData\Local\Temp\OnboardLogs" /stypes="*4026*20160903*" /stext=" 02:.+((SYSTEM_STATE.+slice.+state.+changed )|(ment ac)|(system.+state.+changed )|(\|lc)|(penalty)|(\[timeout)|(PRM\|1\|D)|(kpr)|(kdp))" /e /r /s</v>
      </c>
      <c r="AG201" s="1" t="str">
        <f t="shared" si="66"/>
        <v>NW</v>
      </c>
      <c r="AH201" s="100" t="str">
        <f t="shared" si="67"/>
        <v>"%USERPROFILE%\Documents\GitHub\eaglep3\Utilities\RefineRTDCRunTimes.py" --tripid 842-02 --locoid 4026 --swversion DE.1.0.7.0 --startMP 300:58628 --initTime 2016-09-02T20:37:49 --startdatetime 2016-09-02T20:40:02 --delay 1 --endMP 204:745 --enddatetime 2016-09-02T20:55:39 --enforcementcount 1 &gt;&gt;C:\Users\stu\Documents\GitHub\eaglep3-reporting\EC\2016-09-02-refined-times.txt</v>
      </c>
      <c r="AI201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{"issue":{"subject":"","project_id":79,"tracker_id":40,"status_id":1,"priority_id":2,"assigned_to_id":23,"start_date":"2016-09-02","description":"","custom_fields":[{"id":1,"name":"Subdivision","value":"NW"},{"id":4,"name":"Milepost","value":"5.7883"},{"id":17,"name":"Train ID","value":"842-02"},{"id":16,"name":"Locomotive ID","value":"4026"},{"id":130,"name":"Impact","value":""},{"id":150,"name":"Time of Event (Mountain Time)","value":"20:55:39"},{"id":151,"name":"Denver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688</v>
      </c>
      <c r="B202" s="7">
        <v>4025</v>
      </c>
      <c r="C202" s="24" t="s">
        <v>113</v>
      </c>
      <c r="D202" s="24" t="s">
        <v>689</v>
      </c>
      <c r="E202" s="15">
        <v>42615.846643518518</v>
      </c>
      <c r="F202" s="15">
        <v>42615.848530092589</v>
      </c>
      <c r="G202" s="7">
        <v>1</v>
      </c>
      <c r="H202" s="15" t="s">
        <v>623</v>
      </c>
      <c r="I202" s="15">
        <v>42615.858391203707</v>
      </c>
      <c r="J202" s="7">
        <v>1</v>
      </c>
      <c r="K202" s="132" t="str">
        <f t="shared" si="54"/>
        <v>4025/4026</v>
      </c>
      <c r="L202" s="24" t="str">
        <f>VLOOKUP(A202,'Trips&amp;Operators'!$C$1:$E$10000,3,FALSE)</f>
        <v>MAHAN</v>
      </c>
      <c r="M202" s="6">
        <f t="shared" si="55"/>
        <v>9.8611111170612276E-3</v>
      </c>
      <c r="N202" s="7">
        <f t="shared" si="73"/>
        <v>14.200000008568168</v>
      </c>
      <c r="O202" s="7"/>
      <c r="P202" s="7"/>
      <c r="Q202" s="25"/>
      <c r="R202" s="25"/>
      <c r="S202" s="37">
        <f t="shared" si="56"/>
        <v>1</v>
      </c>
      <c r="T202" s="52" t="str">
        <f t="shared" si="57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19:19:10-0600',mode:absolute,to:'2016-09-02 21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2" s="54" t="str">
        <f t="shared" si="59"/>
        <v>N</v>
      </c>
      <c r="X202" s="120">
        <f t="shared" si="72"/>
        <v>1</v>
      </c>
      <c r="Y202" s="69">
        <f t="shared" si="60"/>
        <v>0.1048</v>
      </c>
      <c r="Z202" s="69">
        <f t="shared" si="61"/>
        <v>5.8956</v>
      </c>
      <c r="AA202" s="69">
        <f t="shared" si="62"/>
        <v>5.7907999999999999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63"/>
        <v>0843-02</v>
      </c>
      <c r="AE202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202" s="96" t="str">
        <f t="shared" si="65"/>
        <v>"C:\Program Files (x86)\AstroGrep\AstroGrep.exe" /spath="%USERPROFILE%\AppData\Local\Temp\OnboardLogs" /stypes="*4025*20160903*" /stext=" 02:.+((SYSTEM_STATE.+slice.+state.+changed )|(ment ac)|(system.+state.+changed )|(\|lc)|(penalty)|(\[timeout)|(PRM\|1\|D)|(kpr)|(kdp))" /e /r /s</v>
      </c>
      <c r="AG202" s="1" t="str">
        <f t="shared" si="66"/>
        <v>NW</v>
      </c>
      <c r="AH202" s="100" t="str">
        <f t="shared" si="67"/>
        <v>"%USERPROFILE%\Documents\GitHub\eaglep3\Utilities\RefineRTDCRunTimes.py" --tripid 843-02 --locoid 4025 --swversion DE.1.0.7.0 --startMP 204:1048 --initTime 2016-09-02T20:19:10 --startdatetime 2016-09-02T20:21:53 --delay 1 --endMP 300:58956 --enddatetime 2016-09-02T20:36:05 --enforcementcount 1 &gt;&gt;C:\Users\stu\Documents\GitHub\eaglep3-reporting\EC\2016-09-02-refined-times.txt</v>
      </c>
      <c r="AI202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{"issue":{"subject":"","project_id":79,"tracker_id":40,"status_id":1,"priority_id":2,"assigned_to_id":23,"start_date":"2016-09-02","description":"","custom_fields":[{"id":1,"name":"Subdivision","value":"NW"},{"id":4,"name":"Milepost","value":"5.7908"},{"id":17,"name":"Train ID","value":"843-02"},{"id":16,"name":"Locomotive ID","value":"4025"},{"id":130,"name":"Impact","value":""},{"id":150,"name":"Time of Event (Mountain Time)","value":"20:36:05"},{"id":151,"name":"Denver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690</v>
      </c>
      <c r="B203" s="7">
        <v>4026</v>
      </c>
      <c r="C203" s="24" t="s">
        <v>113</v>
      </c>
      <c r="D203" s="24" t="s">
        <v>691</v>
      </c>
      <c r="E203" s="15">
        <v>42615.900451388887</v>
      </c>
      <c r="F203" s="15">
        <v>42615.901909722219</v>
      </c>
      <c r="G203" s="7">
        <v>1</v>
      </c>
      <c r="H203" s="15" t="s">
        <v>692</v>
      </c>
      <c r="I203" s="15">
        <v>42615.913518518515</v>
      </c>
      <c r="J203" s="7">
        <v>1</v>
      </c>
      <c r="K203" s="132" t="str">
        <f t="shared" si="54"/>
        <v>4025/4026</v>
      </c>
      <c r="L203" s="24" t="str">
        <f>VLOOKUP(A203,'Trips&amp;Operators'!$C$1:$E$10000,3,FALSE)</f>
        <v>BROWN</v>
      </c>
      <c r="M203" s="6">
        <f t="shared" si="55"/>
        <v>1.1608796296059154E-2</v>
      </c>
      <c r="N203" s="7">
        <f t="shared" si="73"/>
        <v>16.716666666325182</v>
      </c>
      <c r="O203" s="7"/>
      <c r="P203" s="7"/>
      <c r="Q203" s="25"/>
      <c r="R203" s="25"/>
      <c r="S203" s="37">
        <f t="shared" si="56"/>
        <v>1</v>
      </c>
      <c r="T203" s="52" t="str">
        <f t="shared" si="57"/>
        <v>Southbound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20:36:39-0600',mode:absolute,to:'2016-09-02 22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3" s="54" t="str">
        <f t="shared" si="59"/>
        <v>N</v>
      </c>
      <c r="X203" s="120">
        <f t="shared" si="72"/>
        <v>1</v>
      </c>
      <c r="Y203" s="69">
        <f t="shared" si="60"/>
        <v>5.8663999999999996</v>
      </c>
      <c r="Z203" s="69">
        <f t="shared" si="61"/>
        <v>6.3600000000000004E-2</v>
      </c>
      <c r="AA203" s="69">
        <f t="shared" si="62"/>
        <v>5.8027999999999995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63"/>
        <v>0844-02</v>
      </c>
      <c r="AE203" s="99" t="str">
        <f t="shared" si="6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203" s="96" t="str">
        <f t="shared" si="65"/>
        <v>"C:\Program Files (x86)\AstroGrep\AstroGrep.exe" /spath="%USERPROFILE%\AppData\Local\Temp\OnboardLogs" /stypes="*4026*20160903*" /stext=" 03:.+((SYSTEM_STATE.+slice.+state.+changed )|(ment ac)|(system.+state.+changed )|(\|lc)|(penalty)|(\[timeout)|(PRM\|1\|D)|(kpr)|(kdp))" /e /r /s</v>
      </c>
      <c r="AG203" s="1" t="str">
        <f t="shared" si="66"/>
        <v>NW</v>
      </c>
      <c r="AH203" s="100" t="str">
        <f t="shared" si="67"/>
        <v>"%USERPROFILE%\Documents\GitHub\eaglep3\Utilities\RefineRTDCRunTimes.py" --tripid 844-02 --locoid 4026 --swversion DE.1.0.7.0 --startMP 300:58664 --initTime 2016-09-02T21:36:39 --startdatetime 2016-09-02T21:38:45 --delay 1 --endMP 204:636 --enddatetime 2016-09-02T21:55:28 --enforcementcount 1 &gt;&gt;C:\Users\stu\Documents\GitHub\eaglep3-reporting\EC\2016-09-02-refined-times.txt</v>
      </c>
      <c r="AI203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{"issue":{"subject":"","project_id":79,"tracker_id":40,"status_id":1,"priority_id":2,"assigned_to_id":23,"start_date":"2016-09-02","description":"","custom_fields":[{"id":1,"name":"Subdivision","value":"NW"},{"id":4,"name":"Milepost","value":"5.8028"},{"id":17,"name":"Train ID","value":"844-02"},{"id":16,"name":"Locomotive ID","value":"4026"},{"id":130,"name":"Impact","value":""},{"id":150,"name":"Time of Event (Mountain Time)","value":"21:55:28"},{"id":151,"name":"Denver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693</v>
      </c>
      <c r="B204" s="7">
        <v>4025</v>
      </c>
      <c r="C204" s="24" t="s">
        <v>113</v>
      </c>
      <c r="D204" s="24" t="s">
        <v>680</v>
      </c>
      <c r="E204" s="15">
        <v>42615.882800925923</v>
      </c>
      <c r="F204" s="15">
        <v>42615.889733796299</v>
      </c>
      <c r="G204" s="7">
        <v>1</v>
      </c>
      <c r="H204" s="15" t="s">
        <v>354</v>
      </c>
      <c r="I204" s="15">
        <v>42615.899444444447</v>
      </c>
      <c r="J204" s="7">
        <v>1</v>
      </c>
      <c r="K204" s="132" t="str">
        <f t="shared" si="54"/>
        <v>4025/4026</v>
      </c>
      <c r="L204" s="24" t="str">
        <f>VLOOKUP(A204,'Trips&amp;Operators'!$C$1:$E$10000,3,FALSE)</f>
        <v>BROWN</v>
      </c>
      <c r="M204" s="6">
        <f t="shared" si="55"/>
        <v>9.710648148029577E-3</v>
      </c>
      <c r="N204" s="7">
        <f t="shared" si="73"/>
        <v>13.983333333162591</v>
      </c>
      <c r="O204" s="7"/>
      <c r="P204" s="7"/>
      <c r="Q204" s="25"/>
      <c r="R204" s="25"/>
      <c r="S204" s="37">
        <f t="shared" si="56"/>
        <v>1</v>
      </c>
      <c r="T204" s="52" t="str">
        <f t="shared" si="57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4" s="54" t="str">
        <f t="shared" si="59"/>
        <v>N</v>
      </c>
      <c r="X204" s="120">
        <f t="shared" si="72"/>
        <v>1</v>
      </c>
      <c r="Y204" s="69">
        <f t="shared" si="60"/>
        <v>0.10340000000000001</v>
      </c>
      <c r="Z204" s="69">
        <f t="shared" si="61"/>
        <v>5.8975999999999997</v>
      </c>
      <c r="AA204" s="69">
        <f t="shared" si="62"/>
        <v>5.7942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63"/>
        <v>0845-02</v>
      </c>
      <c r="AE204" s="99" t="str">
        <f t="shared" si="64"/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204" s="96" t="str">
        <f t="shared" si="65"/>
        <v>"C:\Program Files (x86)\AstroGrep\AstroGrep.exe" /spath="%USERPROFILE%\AppData\Local\Temp\OnboardLogs" /stypes="*4025*20160903*" /stext=" 03:.+((SYSTEM_STATE.+slice.+state.+changed )|(ment ac)|(system.+state.+changed )|(\|lc)|(penalty)|(\[timeout)|(PRM\|1\|D)|(kpr)|(kdp))" /e /r /s</v>
      </c>
      <c r="AG204" s="1" t="str">
        <f t="shared" si="66"/>
        <v>NW</v>
      </c>
      <c r="AH204" s="100" t="str">
        <f t="shared" si="67"/>
        <v>"%USERPROFILE%\Documents\GitHub\eaglep3\Utilities\RefineRTDCRunTimes.py" --tripid 845-02 --locoid 4025 --swversion DE.1.0.7.0 --startMP 204:1034 --initTime 2016-09-02T21:11:14 --startdatetime 2016-09-02T21:21:13 --delay 1 --endMP 300:58976 --enddatetime 2016-09-02T21:35:12 --enforcementcount 1 &gt;&gt;C:\Users\stu\Documents\GitHub\eaglep3-reporting\EC\2016-09-02-refined-times.txt</v>
      </c>
      <c r="AI204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{"issue":{"subject":"","project_id":79,"tracker_id":40,"status_id":1,"priority_id":2,"assigned_to_id":23,"start_date":"2016-09-02","description":"","custom_fields":[{"id":1,"name":"Subdivision","value":"NW"},{"id":4,"name":"Milepost","value":"5.7942"},{"id":17,"name":"Train ID","value":"845-02"},{"id":16,"name":"Locomotive ID","value":"4025"},{"id":130,"name":"Impact","value":""},{"id":150,"name":"Time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694</v>
      </c>
      <c r="B205" s="7">
        <v>4025</v>
      </c>
      <c r="C205" s="24" t="s">
        <v>113</v>
      </c>
      <c r="D205" s="24" t="s">
        <v>695</v>
      </c>
      <c r="E205" s="15">
        <v>42615.918344907404</v>
      </c>
      <c r="F205" s="15">
        <v>42615.931481481479</v>
      </c>
      <c r="G205" s="7">
        <v>1</v>
      </c>
      <c r="H205" s="15" t="s">
        <v>349</v>
      </c>
      <c r="I205" s="15">
        <v>42615.942060185182</v>
      </c>
      <c r="J205" s="7">
        <v>1</v>
      </c>
      <c r="K205" s="132" t="str">
        <f t="shared" ref="K205:K224" si="74">IF(ISEVEN(B205),(B205-1)&amp;"/"&amp;B205,B205&amp;"/"&amp;(B205+1))</f>
        <v>4025/4026</v>
      </c>
      <c r="L205" s="24" t="str">
        <f>VLOOKUP(A205,'Trips&amp;Operators'!$C$1:$E$10000,3,FALSE)</f>
        <v>BROWN</v>
      </c>
      <c r="M205" s="6">
        <f t="shared" ref="M205:M224" si="75">I205-F205</f>
        <v>1.0578703702776693E-2</v>
      </c>
      <c r="N205" s="7">
        <f t="shared" si="73"/>
        <v>15.233333331998438</v>
      </c>
      <c r="O205" s="7"/>
      <c r="P205" s="7"/>
      <c r="Q205" s="25"/>
      <c r="R205" s="25"/>
      <c r="S205" s="37">
        <f t="shared" ref="S205:S224" si="76">SUM(U205:U205)/IF(AG205="EC",12,1)</f>
        <v>1</v>
      </c>
      <c r="T205" s="52" t="str">
        <f t="shared" ref="T205:T224" si="77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4" si="7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https://search-rtdc-monitor-bjffxe2xuh6vdkpspy63sjmuny.us-east-1.es.amazonaws.com/_plugin/kibana/#/discover/Steve-Slow-Train-Analysis-(2080s-and-2083s)?_g=(refreshInterval:(display:Off,section:0,value:0),time:(from:'2016-09-02 21:02:25-0600',mode:absolute,to:'2016-09-02 23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ref="W205:W224" si="79">IF(AA205&lt;IF(AG205="EC",23,5.65),"Y","N")</f>
        <v>N</v>
      </c>
      <c r="X205" s="120">
        <f t="shared" si="72"/>
        <v>2</v>
      </c>
      <c r="Y205" s="69">
        <f t="shared" ref="Y205:Y224" si="80">RIGHT(D205,LEN(D205)-4)/10000</f>
        <v>9.3899999999999997E-2</v>
      </c>
      <c r="Z205" s="69">
        <f t="shared" ref="Z205:Z224" si="81">RIGHT(H205,LEN(H205)-4)/10000</f>
        <v>5.8945999999999996</v>
      </c>
      <c r="AA205" s="69">
        <f t="shared" ref="AA205:AA268" si="82">ABS(Z205-Y205)</f>
        <v>5.8007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24" si="83">IF(LEN(A205)=6,"0"&amp;A205,A205)</f>
        <v>0847-02</v>
      </c>
      <c r="AE205" s="99" t="str">
        <f t="shared" ref="AE205:AE224" si="8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AF205" s="96" t="str">
        <f t="shared" ref="AF205:AF224" si="85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/stypes="*4025*20160903*" /stext=" 04:.+((SYSTEM_STATE.+slice.+state.+changed )|(ment ac)|(system.+state.+changed )|(\|lc)|(penalty)|(\[timeout)|(PRM\|1\|D)|(kpr)|(kdp))" /e /r /s</v>
      </c>
      <c r="AG205" s="1" t="str">
        <f t="shared" ref="AG205:AG224" si="86">IFERROR(IF(VALUE(LEFT(AD205,2))&lt;=2,"EC",IF(OR(VALUE(LEFT(AD205,2))=8,VALUE(LEFT(AD205,2))=18),"NW","Other")),"Other")</f>
        <v>NW</v>
      </c>
      <c r="AH205" s="100" t="str">
        <f t="shared" si="67"/>
        <v>"%USERPROFILE%\Documents\GitHub\eaglep3\Utilities\RefineRTDCRunTimes.py" --tripid 847-02 --locoid 4025 --swversion DE.1.0.7.0 --startMP 204:939 --initTime 2016-09-02T22:02:25 --startdatetime 2016-09-02T22:21:20 --delay 1 --endMP 300:58946 --enddatetime 2016-09-02T22:36:34 --enforcementcount 1 &gt;&gt;C:\Users\stu\Documents\GitHub\eaglep3-reporting\EC\2016-09-02-refined-times.txt</v>
      </c>
      <c r="AI205" s="149" t="str">
        <f t="shared" si="68"/>
        <v>echo {"issue":{"subject":"","project_id":79,"tracker_id":40,"status_id":1,"priority_id":2,"assigned_to_id":23,"start_date":"2016-09-02","description":"","custom_fields":[{"id":1,"name":"Subdivision","value":"NW"},{"id":4,"name":"Milepost","value":"5.8007"},{"id":17,"name":"Train ID","value":"847-02"},{"id":16,"name":"Locomotive ID","value":"4025"},{"id":130,"name":"Impact","value":""},{"id":150,"name":"Time of Event (Mountain Time)","value":"22:36:34"},{"id":151,"name":"Denver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570</v>
      </c>
      <c r="B206" s="7">
        <v>4029</v>
      </c>
      <c r="C206" s="24" t="s">
        <v>113</v>
      </c>
      <c r="D206" s="24" t="s">
        <v>571</v>
      </c>
      <c r="E206" s="15">
        <v>42615.806539351855</v>
      </c>
      <c r="F206" s="15">
        <v>42615.809942129628</v>
      </c>
      <c r="G206" s="7">
        <v>1</v>
      </c>
      <c r="H206" s="15" t="s">
        <v>292</v>
      </c>
      <c r="I206" s="15">
        <v>42615.819212962961</v>
      </c>
      <c r="J206" s="7">
        <v>1</v>
      </c>
      <c r="K206" s="132" t="str">
        <f t="shared" si="74"/>
        <v>4029/4030</v>
      </c>
      <c r="L206" s="24" t="str">
        <f>VLOOKUP(A206,'Trips&amp;Operators'!$C$1:$E$10000,3,FALSE)</f>
        <v>SHOOK</v>
      </c>
      <c r="M206" s="6">
        <f t="shared" si="75"/>
        <v>9.2708333322661929E-3</v>
      </c>
      <c r="N206" s="7">
        <f t="shared" si="73"/>
        <v>13.349999998463318</v>
      </c>
      <c r="O206" s="7"/>
      <c r="P206" s="7"/>
      <c r="Q206" s="25"/>
      <c r="R206" s="25"/>
      <c r="S206" s="37">
        <f t="shared" si="76"/>
        <v>1</v>
      </c>
      <c r="T206" s="52" t="str">
        <f t="shared" si="77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18:21:25-0600',mode:absolute,to:'2016-09-02 20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6" s="54" t="str">
        <f t="shared" si="79"/>
        <v>Y</v>
      </c>
      <c r="X206" s="120">
        <f t="shared" si="72"/>
        <v>-542</v>
      </c>
      <c r="Y206" s="69">
        <f t="shared" si="80"/>
        <v>7.2599999999999998E-2</v>
      </c>
      <c r="Z206" s="69">
        <f t="shared" si="81"/>
        <v>2.3311999999999999</v>
      </c>
      <c r="AA206" s="69">
        <f t="shared" si="82"/>
        <v>2.2585999999999999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83"/>
        <v>0305-02</v>
      </c>
      <c r="AE206" s="99" t="str">
        <f t="shared" si="84"/>
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</c>
      <c r="AF206" s="96" t="str">
        <f t="shared" si="85"/>
        <v>"C:\Program Files (x86)\AstroGrep\AstroGrep.exe" /spath="%USERPROFILE%\AppData\Local\Temp\OnboardLogs" /stypes="*4029*20160903*" /stext=" 01:.+((SYSTEM_STATE.+slice.+state.+changed )|(ment ac)|(system.+state.+changed )|(\|lc)|(penalty)|(\[timeout)|(PRM\|1\|D)|(kpr)|(kdp))" /e /r /s</v>
      </c>
      <c r="AG206" s="1" t="str">
        <f t="shared" si="86"/>
        <v>Other</v>
      </c>
      <c r="AH206" s="100" t="str">
        <f t="shared" si="67"/>
        <v>"%USERPROFILE%\Documents\GitHub\eaglep3\Utilities\RefineRTDCRunTimes.py" --tripid 305-02 --locoid 4029 --swversion DE.1.0.7.0 --startMP 204:726 --initTime 2016-09-02T19:21:25 --startdatetime 2016-09-02T19:26:19 --delay 1 --endMP 300:23312 --enddatetime 2016-09-02T19:39:40 --enforcementcount 1 &gt;&gt;C:\Users\stu\Documents\GitHub\eaglep3-reporting\EC\2016-09-02-refined-times.txt</v>
      </c>
      <c r="AI206" s="149" t="str">
        <f t="shared" si="68"/>
        <v>echo {"issue":{"subject":"","project_id":79,"tracker_id":40,"status_id":1,"priority_id":2,"assigned_to_id":23,"start_date":"2016-09-02","description":"","custom_fields":[{"id":1,"name":"Subdivision","value":"Other"},{"id":4,"name":"Milepost","value":"2.2586"},{"id":17,"name":"Train ID","value":"305-02"},{"id":16,"name":"Locomotive ID","value":"4029"},{"id":130,"name":"Impact","value":""},{"id":150,"name":"Time of Event (Mountain Time)","value":"19:39:40"},{"id":151,"name":"Denver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572</v>
      </c>
      <c r="B207" s="7">
        <v>4046</v>
      </c>
      <c r="C207" s="24" t="s">
        <v>113</v>
      </c>
      <c r="D207" s="24" t="s">
        <v>430</v>
      </c>
      <c r="E207" s="15">
        <v>42616.045902777776</v>
      </c>
      <c r="F207" s="15">
        <v>25568.958333333332</v>
      </c>
      <c r="G207" s="7">
        <v>1</v>
      </c>
      <c r="H207" s="15" t="s">
        <v>573</v>
      </c>
      <c r="I207" s="15">
        <v>25568.958333333332</v>
      </c>
      <c r="J207" s="7">
        <v>1</v>
      </c>
      <c r="K207" s="132" t="str">
        <f t="shared" si="74"/>
        <v>4045/4046</v>
      </c>
      <c r="L207" s="24" t="str">
        <f>VLOOKUP(A207,'Trips&amp;Operators'!$C$1:$E$10000,3,FALSE)</f>
        <v>YANAI</v>
      </c>
      <c r="M207" s="6">
        <f t="shared" si="75"/>
        <v>0</v>
      </c>
      <c r="N207" s="7">
        <f t="shared" si="73"/>
        <v>0</v>
      </c>
      <c r="O207" s="7"/>
      <c r="P207" s="7"/>
      <c r="Q207" s="25"/>
      <c r="R207" s="25"/>
      <c r="S207" s="37">
        <f t="shared" si="76"/>
        <v>1</v>
      </c>
      <c r="T207" s="52" t="str">
        <f t="shared" si="77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00:06:06-0600',mode:absolute,to:'1970-01-01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207" s="54" t="str">
        <f t="shared" si="79"/>
        <v>Y</v>
      </c>
      <c r="X207" s="120">
        <f t="shared" si="72"/>
        <v>4</v>
      </c>
      <c r="Y207" s="69">
        <f t="shared" si="80"/>
        <v>4.6399999999999997E-2</v>
      </c>
      <c r="Z207" s="69">
        <f t="shared" si="81"/>
        <v>2.3090999999999999</v>
      </c>
      <c r="AA207" s="69">
        <f t="shared" si="82"/>
        <v>2.2626999999999997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83"/>
        <v>0309-02</v>
      </c>
      <c r="AE207" s="99" t="str">
        <f t="shared" si="84"/>
        <v>aws s3 cp s3://rtdc.mdm.uploadarchive/RTDC4046/1969-12-31/ "%USERPROFILE%\AppData\Local\Temp\OnboardLogs"\RTDC4046\1969-12-31 --recursive &amp; "%USERPROFILE%\Documents\GitHub\mrs-test-scripts\Headless Mode &amp; Sideloading\WalkAndUnGZ.bat" "%USERPROFILE%\AppData\Local\Temp\OnboardLogs"\RTDC4046\1969-12-31 &amp; aws s3 cp s3://rtdc.mdm.uploadarchive/RTDC4046/1970-01-01/ "%USERPROFILE%\AppData\Local\Temp\OnboardLogs"\RTDC4046\1970-01-01 --recursive &amp; "%USERPROFILE%\Documents\GitHub\mrs-test-scripts\Headless Mode &amp; Sideloading\WalkAndUnGZ.bat" "%USERPROFILE%\AppData\Local\Temp\OnboardLogs"\RTDC4046\1970-01-01</v>
      </c>
      <c r="AF207" s="96" t="str">
        <f t="shared" si="85"/>
        <v>"C:\Program Files (x86)\AstroGrep\AstroGrep.exe" /spath="%USERPROFILE%\AppData\Local\Temp\OnboardLogs" /stypes="*4046*19700101*" /stext=" 05:.+((SYSTEM_STATE.+slice.+state.+changed )|(ment ac)|(system.+state.+changed )|(\|lc)|(penalty)|(\[timeout)|(PRM\|1\|D)|(kpr)|(kdp))" /e /r /s</v>
      </c>
      <c r="AG207" s="1" t="str">
        <f t="shared" si="86"/>
        <v>Other</v>
      </c>
      <c r="AH207" s="100" t="str">
        <f t="shared" si="67"/>
        <v>"%USERPROFILE%\Documents\GitHub\eaglep3\Utilities\RefineRTDCRunTimes.py" --tripid 309-02 --locoid 4046 --swversion DE.1.0.7.0 --startMP 204:464 --initTime 2016-09-03T01:06:06 --startdatetime 1969-12-31T23:00:00 --delay 1 --endMP 300:23091 --enddatetime 1969-12-31T23:00:00 --enforcementcount 1 &gt;&gt;C:\Users\stu\Documents\GitHub\eaglep3-reporting\EC\2016-09-02-refined-times.txt</v>
      </c>
      <c r="AI207" s="14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{"issue":{"subject":"","project_id":79,"tracker_id":40,"status_id":1,"priority_id":2,"assigned_to_id":23,"start_date":"1969-12-31","description":"","custom_fields":[{"id":1,"name":"Subdivision","value":"Other"},{"id":4,"name":"Milepost","value":"2.2627"},{"id":17,"name":"Train ID","value":"309-02"},{"id":16,"name":"Locomotive ID","value":"4046"},{"id":130,"name":"Impact","value":""},{"id":150,"name":"Time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574</v>
      </c>
      <c r="B208" s="7">
        <v>4009</v>
      </c>
      <c r="C208" s="24" t="s">
        <v>113</v>
      </c>
      <c r="D208" s="24" t="s">
        <v>320</v>
      </c>
      <c r="E208" s="15">
        <v>42616.070115740738</v>
      </c>
      <c r="F208" s="15">
        <v>42616.071574074071</v>
      </c>
      <c r="G208" s="7">
        <v>1</v>
      </c>
      <c r="H208" s="15" t="s">
        <v>575</v>
      </c>
      <c r="I208" s="15">
        <v>42616.077407407407</v>
      </c>
      <c r="J208" s="7">
        <v>1</v>
      </c>
      <c r="K208" s="132" t="str">
        <f t="shared" si="74"/>
        <v>4009/4010</v>
      </c>
      <c r="L208" s="24" t="str">
        <f>VLOOKUP(A208,'Trips&amp;Operators'!$C$1:$E$10000,3,FALSE)</f>
        <v>CHANDLER</v>
      </c>
      <c r="M208" s="6">
        <f t="shared" si="75"/>
        <v>5.8333333363407291E-3</v>
      </c>
      <c r="N208" s="7">
        <f t="shared" si="73"/>
        <v>8.40000000433065</v>
      </c>
      <c r="O208" s="7"/>
      <c r="P208" s="7"/>
      <c r="Q208" s="25"/>
      <c r="R208" s="25"/>
      <c r="S208" s="37">
        <f t="shared" si="76"/>
        <v>1</v>
      </c>
      <c r="T208" s="52" t="str">
        <f t="shared" si="77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00:40:58-0600',mode:absolute,to:'2016-09-03 02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8" s="54" t="str">
        <f t="shared" si="79"/>
        <v>Y</v>
      </c>
      <c r="X208" s="120">
        <f t="shared" ref="X208:X224" si="87">VALUE(LEFT(AD208,4))-VALUE(LEFT(AD207,4))</f>
        <v>2</v>
      </c>
      <c r="Y208" s="69">
        <f t="shared" si="80"/>
        <v>5.2600000000000001E-2</v>
      </c>
      <c r="Z208" s="69">
        <f t="shared" si="81"/>
        <v>2.2865000000000002</v>
      </c>
      <c r="AA208" s="69">
        <f t="shared" si="82"/>
        <v>2.2339000000000002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83"/>
        <v>0311-02</v>
      </c>
      <c r="AE208" s="99" t="str">
        <f t="shared" si="84"/>
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</c>
      <c r="AF208" s="96" t="str">
        <f t="shared" si="85"/>
        <v>"C:\Program Files (x86)\AstroGrep\AstroGrep.exe" /spath="%USERPROFILE%\AppData\Local\Temp\OnboardLogs" /stypes="*4009*20160903*" /stext=" 07:.+((SYSTEM_STATE.+slice.+state.+changed )|(ment ac)|(system.+state.+changed )|(\|lc)|(penalty)|(\[timeout)|(PRM\|1\|D)|(kpr)|(kdp))" /e /r /s</v>
      </c>
      <c r="AG208" s="1" t="str">
        <f t="shared" si="86"/>
        <v>Other</v>
      </c>
      <c r="AH208" s="100" t="str">
        <f t="shared" si="67"/>
        <v>"%USERPROFILE%\Documents\GitHub\eaglep3\Utilities\RefineRTDCRunTimes.py" --tripid 311-02 --locoid 4009 --swversion DE.1.0.7.0 --startMP 204:526 --initTime 2016-09-03T01:40:58 --startdatetime 2016-09-03T01:43:04 --delay 1 --endMP 300:22865 --enddatetime 2016-09-03T01:51:28 --enforcementcount 1 &gt;&gt;C:\Users\stu\Documents\GitHub\eaglep3-reporting\EC\2016-09-02-refined-times.txt</v>
      </c>
      <c r="AI208" s="149" t="str">
        <f t="shared" si="68"/>
        <v>echo {"issue":{"subject":"","project_id":79,"tracker_id":40,"status_id":1,"priority_id":2,"assigned_to_id":23,"start_date":"2016-09-03","description":"","custom_fields":[{"id":1,"name":"Subdivision","value":"Other"},{"id":4,"name":"Milepost","value":"2.2339"},{"id":17,"name":"Train ID","value":"311-02"},{"id":16,"name":"Locomotive ID","value":"4009"},{"id":130,"name":"Impact","value":""},{"id":150,"name":"Time of Event (Mountain Time)","value":"01:51:28"},{"id":151,"name":"Denver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576</v>
      </c>
      <c r="B209" s="7">
        <v>4044</v>
      </c>
      <c r="C209" s="24" t="s">
        <v>113</v>
      </c>
      <c r="D209" s="24" t="s">
        <v>237</v>
      </c>
      <c r="E209" s="15">
        <v>42616.092905092592</v>
      </c>
      <c r="F209" s="15">
        <v>42616.09474537037</v>
      </c>
      <c r="G209" s="7">
        <v>1</v>
      </c>
      <c r="H209" s="15" t="s">
        <v>292</v>
      </c>
      <c r="I209" s="15">
        <v>42616.100752314815</v>
      </c>
      <c r="J209" s="7">
        <v>1</v>
      </c>
      <c r="K209" s="132" t="str">
        <f t="shared" si="74"/>
        <v>4043/4044</v>
      </c>
      <c r="L209" s="24" t="str">
        <f>VLOOKUP(A209,'Trips&amp;Operators'!$C$1:$E$10000,3,FALSE)</f>
        <v>HILLS</v>
      </c>
      <c r="M209" s="6">
        <f t="shared" si="75"/>
        <v>6.0069444443797693E-3</v>
      </c>
      <c r="N209" s="7">
        <f t="shared" si="73"/>
        <v>8.6499999999068677</v>
      </c>
      <c r="O209" s="7"/>
      <c r="P209" s="7"/>
      <c r="Q209" s="25"/>
      <c r="R209" s="25"/>
      <c r="S209" s="37">
        <f t="shared" si="76"/>
        <v>1</v>
      </c>
      <c r="T209" s="52" t="str">
        <f t="shared" si="77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9" s="54" t="str">
        <f t="shared" si="79"/>
        <v>Y</v>
      </c>
      <c r="X209" s="120">
        <f t="shared" si="87"/>
        <v>2</v>
      </c>
      <c r="Y209" s="69">
        <f t="shared" si="80"/>
        <v>4.6600000000000003E-2</v>
      </c>
      <c r="Z209" s="69">
        <f t="shared" si="81"/>
        <v>2.3311999999999999</v>
      </c>
      <c r="AA209" s="69">
        <f t="shared" si="82"/>
        <v>2.2845999999999997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83"/>
        <v>0313-02</v>
      </c>
      <c r="AE209" s="99" t="str">
        <f t="shared" si="84"/>
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</c>
      <c r="AF209" s="96" t="str">
        <f t="shared" si="85"/>
        <v>"C:\Program Files (x86)\AstroGrep\AstroGrep.exe" /spath="%USERPROFILE%\AppData\Local\Temp\OnboardLogs" /stypes="*4044*20160903*" /stext=" 08:.+((SYSTEM_STATE.+slice.+state.+changed )|(ment ac)|(system.+state.+changed )|(\|lc)|(penalty)|(\[timeout)|(PRM\|1\|D)|(kpr)|(kdp))" /e /r /s</v>
      </c>
      <c r="AG209" s="1" t="str">
        <f t="shared" si="86"/>
        <v>Other</v>
      </c>
      <c r="AH209" s="100" t="str">
        <f t="shared" ref="AH209:AH224" si="88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313-02 --locoid 4044 --swversion DE.1.0.7.0 --startMP 204:466 --initTime 2016-09-03T02:13:47 --startdatetime 2016-09-03T02:16:26 --delay 1 --endMP 300:23312 --enddatetime 2016-09-03T02:25:05 --enforcementcount 1 &gt;&gt;C:\Users\stu\Documents\GitHub\eaglep3-reporting\EC\2016-09-02-refined-times.txt</v>
      </c>
      <c r="AI209" s="149" t="str">
        <f t="shared" ref="AI209:AI224" si="89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AA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{"issue":{"subject":"","project_id":79,"tracker_id":40,"status_id":1,"priority_id":2,"assigned_to_id":23,"start_date":"2016-09-03","description":"","custom_fields":[{"id":1,"name":"Subdivision","value":"Other"},{"id":4,"name":"Milepost","value":"2.2846"},{"id":17,"name":"Train ID","value":"313-02"},{"id":16,"name":"Locomotive ID","value":"4044"},{"id":130,"name":"Impact","value":""},{"id":150,"name":"Time of Event (Mountain Time)","value":"02:25:05"},{"id":151,"name":"Denver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329</v>
      </c>
      <c r="B210" s="7">
        <v>4020</v>
      </c>
      <c r="C210" s="24" t="s">
        <v>113</v>
      </c>
      <c r="D210" s="24" t="s">
        <v>139</v>
      </c>
      <c r="E210" s="15">
        <v>42615.088495370372</v>
      </c>
      <c r="F210" s="15">
        <v>25568.958333333332</v>
      </c>
      <c r="G210" s="7">
        <v>2</v>
      </c>
      <c r="H210" s="15" t="s">
        <v>330</v>
      </c>
      <c r="I210" s="15">
        <v>25568.958333333332</v>
      </c>
      <c r="J210" s="7">
        <v>1</v>
      </c>
      <c r="K210" s="132" t="str">
        <f t="shared" si="74"/>
        <v>4019/4020</v>
      </c>
      <c r="L210" s="24" t="str">
        <f>VLOOKUP(A210,'Trips&amp;Operators'!$C$1:$E$10000,3,FALSE)</f>
        <v>OUN</v>
      </c>
      <c r="M210" s="6">
        <f t="shared" si="75"/>
        <v>0</v>
      </c>
      <c r="N210" s="7">
        <f t="shared" si="73"/>
        <v>0</v>
      </c>
      <c r="O210" s="7"/>
      <c r="P210" s="7"/>
      <c r="Q210" s="25"/>
      <c r="R210" s="25"/>
      <c r="S210" s="37">
        <f t="shared" si="76"/>
        <v>1</v>
      </c>
      <c r="T210" s="52" t="str">
        <f t="shared" si="77"/>
        <v>NorthBound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0" s="54" t="str">
        <f t="shared" si="79"/>
        <v>Y</v>
      </c>
      <c r="X210" s="120">
        <f t="shared" si="87"/>
        <v>2</v>
      </c>
      <c r="Y210" s="69">
        <f t="shared" si="80"/>
        <v>4.5699999999999998E-2</v>
      </c>
      <c r="Z210" s="69">
        <f t="shared" si="81"/>
        <v>2.2275999999999998</v>
      </c>
      <c r="AA210" s="69">
        <f t="shared" si="82"/>
        <v>2.1818999999999997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83"/>
        <v>0315-01</v>
      </c>
      <c r="AE210" s="99" t="str">
        <f t="shared" si="84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10" s="96" t="str">
        <f t="shared" si="85"/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10" s="1" t="str">
        <f t="shared" si="86"/>
        <v>Other</v>
      </c>
      <c r="AH210" s="100" t="str">
        <f t="shared" si="88"/>
        <v>"%USERPROFILE%\Documents\GitHub\eaglep3\Utilities\RefineRTDCRunTimes.py" --tripid 315-01 --locoid 4020 --swversion DE.1.0.7.0 --startMP 204:457 --initTime 2016-09-02T02:07:26 --startdatetime 1969-12-31T23:00:00 --delay 2 --endMP 300:22276 --enddatetime 1969-12-31T23:00:00 --enforcementcount 1 &gt;&gt;C:\Users\stu\Documents\GitHub\eaglep3-reporting\EC\2016-09-02-refined-times.txt</v>
      </c>
      <c r="AI210" s="149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{"issue":{"subject":"","project_id":79,"tracker_id":40,"status_id":1,"priority_id":2,"assigned_to_id":23,"start_date":"1969-12-31","description":"","custom_fields":[{"id":1,"name":"Subdivision","value":"Other"},{"id":4,"name":"Milepost","value":"2.1819"},{"id":17,"name":"Train ID","value":"315-01"},{"id":16,"name":"Locomotive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577</v>
      </c>
      <c r="B211" s="7">
        <v>4031</v>
      </c>
      <c r="C211" s="24" t="s">
        <v>113</v>
      </c>
      <c r="D211" s="24" t="s">
        <v>239</v>
      </c>
      <c r="E211" s="15">
        <v>42616.112349537034</v>
      </c>
      <c r="F211" s="15">
        <v>42616.11383101852</v>
      </c>
      <c r="G211" s="7">
        <v>2</v>
      </c>
      <c r="H211" s="15" t="s">
        <v>278</v>
      </c>
      <c r="I211" s="15">
        <v>42616.118946759256</v>
      </c>
      <c r="J211" s="7">
        <v>1</v>
      </c>
      <c r="K211" s="132" t="str">
        <f t="shared" si="74"/>
        <v>4031/4032</v>
      </c>
      <c r="L211" s="24" t="str">
        <f>VLOOKUP(A211,'Trips&amp;Operators'!$C$1:$E$10000,3,FALSE)</f>
        <v>HAITHCOX</v>
      </c>
      <c r="M211" s="6">
        <f t="shared" si="75"/>
        <v>5.1157407360733487E-3</v>
      </c>
      <c r="N211" s="7">
        <f t="shared" si="73"/>
        <v>7.3666666599456221</v>
      </c>
      <c r="O211" s="7"/>
      <c r="P211" s="7"/>
      <c r="Q211" s="25"/>
      <c r="R211" s="25"/>
      <c r="S211" s="37">
        <f t="shared" si="76"/>
        <v>1</v>
      </c>
      <c r="T211" s="52" t="str">
        <f t="shared" si="77"/>
        <v>NorthBound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1" s="54" t="str">
        <f t="shared" si="79"/>
        <v>Y</v>
      </c>
      <c r="X211" s="120">
        <f t="shared" si="87"/>
        <v>0</v>
      </c>
      <c r="Y211" s="69">
        <f t="shared" si="80"/>
        <v>4.7500000000000001E-2</v>
      </c>
      <c r="Z211" s="69">
        <f t="shared" si="81"/>
        <v>2.3346</v>
      </c>
      <c r="AA211" s="69">
        <f t="shared" si="82"/>
        <v>2.2871000000000001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83"/>
        <v>0315-02</v>
      </c>
      <c r="AE211" s="99" t="str">
        <f t="shared" si="84"/>
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</c>
      <c r="AF211" s="96" t="str">
        <f t="shared" si="85"/>
        <v>"C:\Program Files (x86)\AstroGrep\AstroGrep.exe" /spath="%USERPROFILE%\AppData\Local\Temp\OnboardLogs" /stypes="*4031*20160903*" /stext=" 08:.+((SYSTEM_STATE.+slice.+state.+changed )|(ment ac)|(system.+state.+changed )|(\|lc)|(penalty)|(\[timeout)|(PRM\|1\|D)|(kpr)|(kdp))" /e /r /s</v>
      </c>
      <c r="AG211" s="1" t="str">
        <f t="shared" si="86"/>
        <v>Other</v>
      </c>
      <c r="AH211" s="100" t="str">
        <f t="shared" si="88"/>
        <v>"%USERPROFILE%\Documents\GitHub\eaglep3\Utilities\RefineRTDCRunTimes.py" --tripid 315-02 --locoid 4031 --swversion DE.1.0.7.0 --startMP 204:475 --initTime 2016-09-03T02:41:47 --startdatetime 2016-09-03T02:43:55 --delay 2 --endMP 300:23346 --enddatetime 2016-09-03T02:51:17 --enforcementcount 1 &gt;&gt;C:\Users\stu\Documents\GitHub\eaglep3-reporting\EC\2016-09-02-refined-times.txt</v>
      </c>
      <c r="AI211" s="149" t="str">
        <f t="shared" si="89"/>
        <v>echo {"issue":{"subject":"","project_id":79,"tracker_id":40,"status_id":1,"priority_id":2,"assigned_to_id":23,"start_date":"2016-09-03","description":"","custom_fields":[{"id":1,"name":"Subdivision","value":"Other"},{"id":4,"name":"Milepost","value":"2.2871"},{"id":17,"name":"Train ID","value":"315-02"},{"id":16,"name":"Locomotive ID","value":"4031"},{"id":130,"name":"Impact","value":""},{"id":150,"name":"Time of Event (Mountain Time)","value":"02:51:17"},{"id":151,"name":"Denver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696</v>
      </c>
      <c r="B212" s="7">
        <v>4007</v>
      </c>
      <c r="C212" s="24" t="s">
        <v>113</v>
      </c>
      <c r="D212" s="24" t="s">
        <v>697</v>
      </c>
      <c r="E212" s="15">
        <v>42615.353518518517</v>
      </c>
      <c r="F212" s="15">
        <v>42615.355243055557</v>
      </c>
      <c r="G212" s="7">
        <v>1</v>
      </c>
      <c r="H212" s="15" t="s">
        <v>698</v>
      </c>
      <c r="I212" s="15">
        <v>42615.362546296295</v>
      </c>
      <c r="J212" s="7">
        <v>1</v>
      </c>
      <c r="K212" s="132" t="str">
        <f t="shared" si="74"/>
        <v>4007/4008</v>
      </c>
      <c r="L212" s="24" t="str">
        <f>VLOOKUP(A212,'Trips&amp;Operators'!$C$1:$E$10000,3,FALSE)</f>
        <v>STRICKLAND</v>
      </c>
      <c r="M212" s="6">
        <f t="shared" si="75"/>
        <v>7.3032407381106168E-3</v>
      </c>
      <c r="N212" s="7">
        <f t="shared" si="73"/>
        <v>10.516666662879288</v>
      </c>
      <c r="O212" s="7"/>
      <c r="P212" s="7"/>
      <c r="Q212" s="25"/>
      <c r="R212" s="25"/>
      <c r="S212" s="37">
        <f t="shared" si="76"/>
        <v>1</v>
      </c>
      <c r="T212" s="52" t="str">
        <f t="shared" si="77"/>
        <v>NorthBound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2" s="54" t="str">
        <f t="shared" si="79"/>
        <v>Y</v>
      </c>
      <c r="X212" s="120">
        <f t="shared" si="87"/>
        <v>588</v>
      </c>
      <c r="Y212" s="69">
        <f t="shared" si="80"/>
        <v>9.8599999999999993E-2</v>
      </c>
      <c r="Z212" s="69">
        <f t="shared" si="81"/>
        <v>2.5465</v>
      </c>
      <c r="AA212" s="69">
        <f t="shared" si="82"/>
        <v>2.4479000000000002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83"/>
        <v>0903-02</v>
      </c>
      <c r="AE212" s="99" t="str">
        <f t="shared" si="84"/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AF212" s="96" t="str">
        <f t="shared" si="85"/>
        <v>"C:\Program Files (x86)\AstroGrep\AstroGrep.exe" /spath="%USERPROFILE%\AppData\Local\Temp\OnboardLogs" /stypes="*4007*20160902*" /stext=" 14:.+((SYSTEM_STATE.+slice.+state.+changed )|(ment ac)|(system.+state.+changed )|(\|lc)|(penalty)|(\[timeout)|(PRM\|1\|D)|(kpr)|(kdp))" /e /r /s</v>
      </c>
      <c r="AG212" s="1" t="str">
        <f t="shared" si="86"/>
        <v>Other</v>
      </c>
      <c r="AH212" s="100" t="str">
        <f t="shared" si="88"/>
        <v>"%USERPROFILE%\Documents\GitHub\eaglep3\Utilities\RefineRTDCRunTimes.py" --tripid 903-02 --locoid 4007 --swversion DE.1.0.7.0 --startMP 204:986 --initTime 2016-09-02T08:29:04 --startdatetime 2016-09-02T08:31:33 --delay 1 --endMP 300:25465 --enddatetime 2016-09-02T08:42:04 --enforcementcount 1 &gt;&gt;C:\Users\stu\Documents\GitHub\eaglep3-reporting\EC\2016-09-02-refined-times.txt</v>
      </c>
      <c r="AI212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{"issue":{"subject":"","project_id":79,"tracker_id":40,"status_id":1,"priority_id":2,"assigned_to_id":23,"start_date":"2016-09-02","description":"","custom_fields":[{"id":1,"name":"Subdivision","value":"Other"},{"id":4,"name":"Milepost","value":"2.4479"},{"id":17,"name":"Train ID","value":"903-02"},{"id":16,"name":"Locomotive ID","value":"4007"},{"id":130,"name":"Impact","value":""},{"id":150,"name":"Time of Event (Mountain Time)","value":"08:42:04"},{"id":151,"name":"Denver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699</v>
      </c>
      <c r="B213" s="7">
        <v>4008</v>
      </c>
      <c r="C213" s="24" t="s">
        <v>113</v>
      </c>
      <c r="D213" s="24" t="s">
        <v>700</v>
      </c>
      <c r="E213" s="15">
        <v>42615.796527777777</v>
      </c>
      <c r="F213" s="15">
        <v>25568.958333333332</v>
      </c>
      <c r="G213" s="7">
        <v>1</v>
      </c>
      <c r="H213" s="15" t="s">
        <v>701</v>
      </c>
      <c r="I213" s="15">
        <v>25568.958333333332</v>
      </c>
      <c r="J213" s="7">
        <v>1</v>
      </c>
      <c r="K213" s="132" t="str">
        <f t="shared" si="74"/>
        <v>4007/4008</v>
      </c>
      <c r="L213" s="24" t="str">
        <f>VLOOKUP(A213,'Trips&amp;Operators'!$C$1:$E$10000,3,FALSE)</f>
        <v>BROWN</v>
      </c>
      <c r="M213" s="6">
        <f t="shared" si="75"/>
        <v>0</v>
      </c>
      <c r="N213" s="7">
        <f t="shared" si="73"/>
        <v>0</v>
      </c>
      <c r="O213" s="7"/>
      <c r="P213" s="7"/>
      <c r="Q213" s="25"/>
      <c r="R213" s="25"/>
      <c r="S213" s="37">
        <f t="shared" si="76"/>
        <v>0</v>
      </c>
      <c r="T213" s="52" t="str">
        <f t="shared" si="77"/>
        <v>Southbound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18:07:00-0600',mode:absolute,to:'1970-01-01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13" s="54" t="str">
        <f t="shared" si="79"/>
        <v>Y</v>
      </c>
      <c r="X213" s="120">
        <f t="shared" si="87"/>
        <v>3</v>
      </c>
      <c r="Y213" s="69">
        <f t="shared" si="80"/>
        <v>5.8701999999999996</v>
      </c>
      <c r="Z213" s="69">
        <f t="shared" si="81"/>
        <v>2.8765000000000001</v>
      </c>
      <c r="AA213" s="69">
        <f t="shared" si="82"/>
        <v>2.9936999999999996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83"/>
        <v>0906-02</v>
      </c>
      <c r="AE213" s="99" t="str">
        <f t="shared" si="84"/>
        <v>aws s3 cp s3://rtdc.mdm.uploadarchive/RTDC4008/1969-12-31/ "%USERPROFILE%\AppData\Local\Temp\OnboardLogs"\RTDC4008\1969-12-31 --recursive &amp; "%USERPROFILE%\Documents\GitHub\mrs-test-scripts\Headless Mode &amp; Sideloading\WalkAndUnGZ.bat" "%USERPROFILE%\AppData\Local\Temp\OnboardLogs"\RTDC4008\1969-12-31 &amp; aws s3 cp s3://rtdc.mdm.uploadarchive/RTDC4008/1970-01-01/ "%USERPROFILE%\AppData\Local\Temp\OnboardLogs"\RTDC4008\1970-01-01 --recursive &amp; "%USERPROFILE%\Documents\GitHub\mrs-test-scripts\Headless Mode &amp; Sideloading\WalkAndUnGZ.bat" "%USERPROFILE%\AppData\Local\Temp\OnboardLogs"\RTDC4008\1970-01-01</v>
      </c>
      <c r="AF213" s="96" t="str">
        <f t="shared" si="85"/>
        <v>"C:\Program Files (x86)\AstroGrep\AstroGrep.exe" /spath="%USERPROFILE%\AppData\Local\Temp\OnboardLogs" /stypes="*4008*19700101*" /stext=" 05:.+((SYSTEM_STATE.+slice.+state.+changed )|(ment ac)|(system.+state.+changed )|(\|lc)|(penalty)|(\[timeout)|(PRM\|1\|D)|(kpr)|(kdp))" /e /r /s</v>
      </c>
      <c r="AG213" s="1" t="str">
        <f t="shared" si="86"/>
        <v>Other</v>
      </c>
      <c r="AH213" s="100" t="str">
        <f t="shared" si="88"/>
        <v>"%USERPROFILE%\Documents\GitHub\eaglep3\Utilities\RefineRTDCRunTimes.py" --tripid 906-02 --locoid 4008 --swversion DE.1.0.7.0 --startMP 300:58702 --initTime 2016-09-02T19:07:00 --startdatetime 1969-12-31T23:00:00 --delay 1 --endMP 300:28765 --enddatetime 1969-12-31T23:00:00 --enforcementcount 1 &gt;&gt;C:\Users\stu\Documents\GitHub\eaglep3-reporting\EC\2016-09-02-refined-times.txt</v>
      </c>
      <c r="AI213" s="149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{"issue":{"subject":"","project_id":79,"tracker_id":40,"status_id":1,"priority_id":2,"assigned_to_id":23,"start_date":"1969-12-31","description":"","custom_fields":[{"id":1,"name":"Subdivision","value":"Other"},{"id":4,"name":"Milepost","value":"2.9937"},{"id":17,"name":"Train ID","value":"906-02"},{"id":16,"name":"Locomotive ID","value":"4008"},{"id":130,"name":"Impact","value":""},{"id":150,"name":"Time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702</v>
      </c>
      <c r="B214" s="7">
        <v>4026</v>
      </c>
      <c r="C214" s="24" t="s">
        <v>113</v>
      </c>
      <c r="D214" s="24" t="s">
        <v>604</v>
      </c>
      <c r="E214" s="15">
        <v>42615.94363425926</v>
      </c>
      <c r="F214" s="15">
        <v>42615.945069444446</v>
      </c>
      <c r="G214" s="7">
        <v>1</v>
      </c>
      <c r="H214" s="15" t="s">
        <v>703</v>
      </c>
      <c r="I214" s="15">
        <v>42615.950219907405</v>
      </c>
      <c r="J214" s="7">
        <v>1</v>
      </c>
      <c r="K214" s="132" t="str">
        <f t="shared" si="74"/>
        <v>4025/4026</v>
      </c>
      <c r="L214" s="24" t="str">
        <f>VLOOKUP(A214,'Trips&amp;Operators'!$C$1:$E$10000,3,FALSE)</f>
        <v>BROWN</v>
      </c>
      <c r="M214" s="6">
        <f t="shared" si="75"/>
        <v>5.1504629591363482E-3</v>
      </c>
      <c r="N214" s="7">
        <f t="shared" si="73"/>
        <v>7.4166666611563414</v>
      </c>
      <c r="O214" s="7"/>
      <c r="P214" s="7"/>
      <c r="Q214" s="25"/>
      <c r="R214" s="25"/>
      <c r="S214" s="37">
        <f t="shared" si="76"/>
        <v>0</v>
      </c>
      <c r="T214" s="52" t="str">
        <f t="shared" si="77"/>
        <v>Southbound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21:38:50-0600',mode:absolute,to:'2016-09-02 23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14" s="54" t="str">
        <f t="shared" si="79"/>
        <v>Y</v>
      </c>
      <c r="X214" s="120">
        <f t="shared" si="87"/>
        <v>2</v>
      </c>
      <c r="Y214" s="69">
        <f t="shared" si="80"/>
        <v>5.8628</v>
      </c>
      <c r="Z214" s="69">
        <f t="shared" si="81"/>
        <v>2.1707999999999998</v>
      </c>
      <c r="AA214" s="69">
        <f t="shared" si="82"/>
        <v>3.6920000000000002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83"/>
        <v>0908-02</v>
      </c>
      <c r="AE214" s="99" t="str">
        <f t="shared" si="84"/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AF214" s="96" t="str">
        <f t="shared" si="85"/>
        <v>"C:\Program Files (x86)\AstroGrep\AstroGrep.exe" /spath="%USERPROFILE%\AppData\Local\Temp\OnboardLogs" /stypes="*4026*20160903*" /stext=" 04:.+((SYSTEM_STATE.+slice.+state.+changed )|(ment ac)|(system.+state.+changed )|(\|lc)|(penalty)|(\[timeout)|(PRM\|1\|D)|(kpr)|(kdp))" /e /r /s</v>
      </c>
      <c r="AG214" s="1" t="str">
        <f t="shared" si="86"/>
        <v>Other</v>
      </c>
      <c r="AH214" s="100" t="str">
        <f t="shared" si="88"/>
        <v>"%USERPROFILE%\Documents\GitHub\eaglep3\Utilities\RefineRTDCRunTimes.py" --tripid 908-02 --locoid 4026 --swversion DE.1.0.7.0 --startMP 300:58628 --initTime 2016-09-02T22:38:50 --startdatetime 2016-09-02T22:40:54 --delay 1 --endMP 300:21708 --enddatetime 2016-09-02T22:48:19 --enforcementcount 1 &gt;&gt;C:\Users\stu\Documents\GitHub\eaglep3-reporting\EC\2016-09-02-refined-times.txt</v>
      </c>
      <c r="AI214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{"issue":{"subject":"","project_id":79,"tracker_id":40,"status_id":1,"priority_id":2,"assigned_to_id":23,"start_date":"2016-09-02","description":"","custom_fields":[{"id":1,"name":"Subdivision","value":"Other"},{"id":4,"name":"Milepost","value":"3.692"},{"id":17,"name":"Train ID","value":"908-02"},{"id":16,"name":"Locomotive ID","value":"4026"},{"id":130,"name":"Impact","value":""},{"id":150,"name":"Time of Event (Mountain Time)","value":"22:48:19"},{"id":151,"name":"Denver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578</v>
      </c>
      <c r="B215" s="7">
        <v>4022</v>
      </c>
      <c r="C215" s="24" t="s">
        <v>113</v>
      </c>
      <c r="D215" s="24" t="s">
        <v>579</v>
      </c>
      <c r="E215" s="15">
        <v>42615.465196759258</v>
      </c>
      <c r="F215" s="15">
        <v>42615.469618055555</v>
      </c>
      <c r="G215" s="7">
        <v>1</v>
      </c>
      <c r="H215" s="15" t="s">
        <v>580</v>
      </c>
      <c r="I215" s="15">
        <v>42615.477025462962</v>
      </c>
      <c r="J215" s="7">
        <v>1</v>
      </c>
      <c r="K215" s="132" t="str">
        <f t="shared" si="74"/>
        <v>4021/4022</v>
      </c>
      <c r="L215" s="24" t="str">
        <f>VLOOKUP(A215,'Trips&amp;Operators'!$C$1:$E$10000,3,FALSE)</f>
        <v>DAVIS</v>
      </c>
      <c r="M215" s="6">
        <f t="shared" si="75"/>
        <v>7.4074074072996154E-3</v>
      </c>
      <c r="N215" s="7">
        <f t="shared" si="73"/>
        <v>10.666666666511446</v>
      </c>
      <c r="O215" s="7"/>
      <c r="P215" s="7"/>
      <c r="Q215" s="25"/>
      <c r="R215" s="25"/>
      <c r="S215" s="37">
        <f t="shared" si="76"/>
        <v>0</v>
      </c>
      <c r="T215" s="52" t="e">
        <f t="shared" si="77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5" s="54" t="str">
        <f t="shared" si="79"/>
        <v>Y</v>
      </c>
      <c r="X215" s="120" t="e">
        <f t="shared" si="87"/>
        <v>#VALUE!</v>
      </c>
      <c r="Y215" s="69">
        <f t="shared" si="80"/>
        <v>3.3399999999999999E-2</v>
      </c>
      <c r="Z215" s="69">
        <f t="shared" si="81"/>
        <v>2.4940000000000002</v>
      </c>
      <c r="AA215" s="69">
        <f t="shared" si="82"/>
        <v>2.4606000000000003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83"/>
        <v>51-02</v>
      </c>
      <c r="AE215" s="99" t="str">
        <f t="shared" si="84"/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AF215" s="96" t="str">
        <f t="shared" si="85"/>
        <v>"C:\Program Files (x86)\AstroGrep\AstroGrep.exe" /spath="%USERPROFILE%\AppData\Local\Temp\OnboardLogs" /stypes="*4022*20160902*" /stext=" 17:.+((SYSTEM_STATE.+slice.+state.+changed )|(ment ac)|(system.+state.+changed )|(\|lc)|(penalty)|(\[timeout)|(PRM\|1\|D)|(kpr)|(kdp))" /e /r /s</v>
      </c>
      <c r="AG215" s="1" t="str">
        <f t="shared" si="86"/>
        <v>Other</v>
      </c>
      <c r="AH215" s="100" t="str">
        <f t="shared" si="88"/>
        <v>"%USERPROFILE%\Documents\GitHub\eaglep3\Utilities\RefineRTDCRunTimes.py" --tripid 51-02 --locoid 4022 --swversion DE.1.0.7.0 --startMP 204:334 --initTime 2016-09-02T11:09:53 --startdatetime 2016-09-02T11:16:15 --delay 1 --endMP 300:24940 --enddatetime 2016-09-02T11:26:55 --enforcementcount 1 &gt;&gt;C:\Users\stu\Documents\GitHub\eaglep3-reporting\EC\2016-09-02-refined-times.txt</v>
      </c>
      <c r="AI215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{"issue":{"subject":"","project_id":79,"tracker_id":40,"status_id":1,"priority_id":2,"assigned_to_id":23,"start_date":"2016-09-02","description":"","custom_fields":[{"id":1,"name":"Subdivision","value":"Other"},{"id":4,"name":"Milepost","value":"2.4606"},{"id":17,"name":"Train ID","value":"51-02"},{"id":16,"name":"Locomotive ID","value":"4022"},{"id":130,"name":"Impact","value":""},{"id":150,"name":"Time of Event (Mountain Time)","value":"11:26:55"},{"id":151,"name":"Denver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578</v>
      </c>
      <c r="B216" s="7">
        <v>4022</v>
      </c>
      <c r="C216" s="24" t="s">
        <v>113</v>
      </c>
      <c r="D216" s="24" t="s">
        <v>581</v>
      </c>
      <c r="E216" s="15">
        <v>42615.465196759258</v>
      </c>
      <c r="F216" s="15">
        <v>42615.469618055555</v>
      </c>
      <c r="G216" s="7">
        <v>16</v>
      </c>
      <c r="H216" s="15" t="s">
        <v>580</v>
      </c>
      <c r="I216" s="15">
        <v>42615.477025462962</v>
      </c>
      <c r="J216" s="7">
        <v>1</v>
      </c>
      <c r="K216" s="132" t="str">
        <f t="shared" si="74"/>
        <v>4021/4022</v>
      </c>
      <c r="L216" s="24" t="str">
        <f>VLOOKUP(A216,'Trips&amp;Operators'!$C$1:$E$10000,3,FALSE)</f>
        <v>DAVIS</v>
      </c>
      <c r="M216" s="6">
        <f t="shared" si="75"/>
        <v>7.4074074072996154E-3</v>
      </c>
      <c r="N216" s="7">
        <f t="shared" si="73"/>
        <v>10.666666666511446</v>
      </c>
      <c r="O216" s="7"/>
      <c r="P216" s="7"/>
      <c r="Q216" s="25"/>
      <c r="R216" s="25"/>
      <c r="S216" s="37">
        <f t="shared" si="76"/>
        <v>0</v>
      </c>
      <c r="T216" s="52" t="e">
        <f t="shared" si="77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6" s="54" t="str">
        <f t="shared" si="79"/>
        <v>Y</v>
      </c>
      <c r="X216" s="120" t="e">
        <f t="shared" si="87"/>
        <v>#VALUE!</v>
      </c>
      <c r="Y216" s="69">
        <f t="shared" si="80"/>
        <v>2.4781</v>
      </c>
      <c r="Z216" s="69">
        <f t="shared" si="81"/>
        <v>2.4940000000000002</v>
      </c>
      <c r="AA216" s="69">
        <f t="shared" si="82"/>
        <v>1.5900000000000247E-2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83"/>
        <v>51-02</v>
      </c>
      <c r="AE216" s="99" t="str">
        <f t="shared" si="84"/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AF216" s="96" t="str">
        <f t="shared" si="85"/>
        <v>"C:\Program Files (x86)\AstroGrep\AstroGrep.exe" /spath="%USERPROFILE%\AppData\Local\Temp\OnboardLogs" /stypes="*4022*20160902*" /stext=" 17:.+((SYSTEM_STATE.+slice.+state.+changed )|(ment ac)|(system.+state.+changed )|(\|lc)|(penalty)|(\[timeout)|(PRM\|1\|D)|(kpr)|(kdp))" /e /r /s</v>
      </c>
      <c r="AG216" s="1" t="str">
        <f t="shared" si="86"/>
        <v>Other</v>
      </c>
      <c r="AH216" s="100" t="str">
        <f t="shared" si="88"/>
        <v>"%USERPROFILE%\Documents\GitHub\eaglep3\Utilities\RefineRTDCRunTimes.py" --tripid 51-02 --locoid 4022 --swversion DE.1.0.7.0 --startMP 300:24781 --initTime 2016-09-02T11:09:53 --startdatetime 2016-09-02T11:16:15 --delay 16 --endMP 300:24940 --enddatetime 2016-09-02T11:26:55 --enforcementcount 1 &gt;&gt;C:\Users\stu\Documents\GitHub\eaglep3-reporting\EC\2016-09-02-refined-times.txt</v>
      </c>
      <c r="AI216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0.0159000000000002"},{"id":17,"name":"Train ID","value":"51-02"},{"id":16,"name":"Locomotive ID","value":"4022"},{"id":130,"name":"Impact","value":""},{"id":150,"name":"Time of Event (Mountain Time)","value":"11:26:55"},{"id":151,"name":"Denver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582</v>
      </c>
      <c r="B217" s="7">
        <v>4005</v>
      </c>
      <c r="C217" s="24" t="s">
        <v>113</v>
      </c>
      <c r="D217" s="24" t="s">
        <v>583</v>
      </c>
      <c r="E217" s="15">
        <v>42615.458854166667</v>
      </c>
      <c r="F217" s="15">
        <v>42615.461585648147</v>
      </c>
      <c r="G217" s="7">
        <v>3</v>
      </c>
      <c r="H217" s="15" t="s">
        <v>584</v>
      </c>
      <c r="I217" s="15">
        <v>42615.461724537039</v>
      </c>
      <c r="J217" s="7">
        <v>1</v>
      </c>
      <c r="K217" s="132" t="str">
        <f t="shared" si="74"/>
        <v>4005/4006</v>
      </c>
      <c r="L217" s="24" t="str">
        <f>VLOOKUP(A217,'Trips&amp;Operators'!$C$1:$E$10000,3,FALSE)</f>
        <v>MOSES</v>
      </c>
      <c r="M217" s="6">
        <f t="shared" si="75"/>
        <v>1.3888889225199819E-4</v>
      </c>
      <c r="N217" s="7">
        <f t="shared" si="73"/>
        <v>0.20000000484287739</v>
      </c>
      <c r="O217" s="7"/>
      <c r="P217" s="7"/>
      <c r="Q217" s="25"/>
      <c r="R217" s="25"/>
      <c r="S217" s="37">
        <f t="shared" si="76"/>
        <v>0</v>
      </c>
      <c r="T217" s="52" t="e">
        <f t="shared" si="77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17" s="54" t="str">
        <f t="shared" si="79"/>
        <v>Y</v>
      </c>
      <c r="X217" s="120" t="e">
        <f t="shared" si="87"/>
        <v>#VALUE!</v>
      </c>
      <c r="Y217" s="69">
        <f t="shared" si="80"/>
        <v>2.4641000000000002</v>
      </c>
      <c r="Z217" s="69">
        <f t="shared" si="81"/>
        <v>2.4249999999999998</v>
      </c>
      <c r="AA217" s="69">
        <f t="shared" si="82"/>
        <v>3.9100000000000357E-2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83"/>
        <v>52-02</v>
      </c>
      <c r="AE217" s="99" t="str">
        <f t="shared" si="84"/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AF217" s="96" t="str">
        <f t="shared" si="85"/>
        <v>"C:\Program Files (x86)\AstroGrep\AstroGrep.exe" /spath="%USERPROFILE%\AppData\Local\Temp\OnboardLogs" /stypes="*4005*20160902*" /stext=" 17:.+((SYSTEM_STATE.+slice.+state.+changed )|(ment ac)|(system.+state.+changed )|(\|lc)|(penalty)|(\[timeout)|(PRM\|1\|D)|(kpr)|(kdp))" /e /r /s</v>
      </c>
      <c r="AG217" s="1" t="str">
        <f t="shared" si="86"/>
        <v>Other</v>
      </c>
      <c r="AH217" s="100" t="str">
        <f t="shared" si="88"/>
        <v>"%USERPROFILE%\Documents\GitHub\eaglep3\Utilities\RefineRTDCRunTimes.py" --tripid 52-02 --locoid 4005 --swversion DE.1.0.7.0 --startMP 300:24641 --initTime 2016-09-02T11:00:45 --startdatetime 2016-09-02T11:04:41 --delay 3 --endMP 300:24250 --enddatetime 2016-09-02T11:04:53 --enforcementcount 1 &gt;&gt;C:\Users\stu\Documents\GitHub\eaglep3-reporting\EC\2016-09-02-refined-times.txt</v>
      </c>
      <c r="AI217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0.0391000000000004"},{"id":17,"name":"Train ID","value":"52-02"},{"id":16,"name":"Locomotive ID","value":"4005"},{"id":130,"name":"Impact","value":""},{"id":150,"name":"Time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585</v>
      </c>
      <c r="B218" s="7">
        <v>4006</v>
      </c>
      <c r="C218" s="24" t="s">
        <v>113</v>
      </c>
      <c r="D218" s="24" t="s">
        <v>586</v>
      </c>
      <c r="E218" s="15">
        <v>42615.493993055556</v>
      </c>
      <c r="F218" s="15">
        <v>42615.498715277776</v>
      </c>
      <c r="G218" s="7">
        <v>6</v>
      </c>
      <c r="H218" s="15" t="s">
        <v>587</v>
      </c>
      <c r="I218" s="15">
        <v>42615.505902777775</v>
      </c>
      <c r="J218" s="7">
        <v>1</v>
      </c>
      <c r="K218" s="132" t="str">
        <f t="shared" si="74"/>
        <v>4005/4006</v>
      </c>
      <c r="L218" s="24" t="str">
        <f>VLOOKUP(A218,'Trips&amp;Operators'!$C$1:$E$10000,3,FALSE)</f>
        <v>SMITH</v>
      </c>
      <c r="M218" s="6">
        <f t="shared" si="75"/>
        <v>7.1874999994179234E-3</v>
      </c>
      <c r="N218" s="7">
        <f t="shared" si="73"/>
        <v>10.34999999916181</v>
      </c>
      <c r="O218" s="7"/>
      <c r="P218" s="7"/>
      <c r="Q218" s="25"/>
      <c r="R218" s="25"/>
      <c r="S218" s="37">
        <f t="shared" si="76"/>
        <v>0</v>
      </c>
      <c r="T218" s="52" t="e">
        <f t="shared" si="77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10:51:21-0600',mode:absolute,to:'2016-09-02 13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18" s="54" t="str">
        <f t="shared" si="79"/>
        <v>Y</v>
      </c>
      <c r="X218" s="120" t="e">
        <f t="shared" si="87"/>
        <v>#VALUE!</v>
      </c>
      <c r="Y218" s="69">
        <f t="shared" si="80"/>
        <v>0.1229</v>
      </c>
      <c r="Z218" s="69">
        <f t="shared" si="81"/>
        <v>2.4727999999999999</v>
      </c>
      <c r="AA218" s="69">
        <f t="shared" si="82"/>
        <v>2.3498999999999999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83"/>
        <v>53-02</v>
      </c>
      <c r="AE218" s="99" t="str">
        <f t="shared" si="84"/>
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</c>
      <c r="AF218" s="96" t="str">
        <f t="shared" si="85"/>
        <v>"C:\Program Files (x86)\AstroGrep\AstroGrep.exe" /spath="%USERPROFILE%\AppData\Local\Temp\OnboardLogs" /stypes="*4006*20160902*" /stext=" 18:.+((SYSTEM_STATE.+slice.+state.+changed )|(ment ac)|(system.+state.+changed )|(\|lc)|(penalty)|(\[timeout)|(PRM\|1\|D)|(kpr)|(kdp))" /e /r /s</v>
      </c>
      <c r="AG218" s="1" t="str">
        <f t="shared" si="86"/>
        <v>Other</v>
      </c>
      <c r="AH218" s="100" t="str">
        <f t="shared" si="88"/>
        <v>"%USERPROFILE%\Documents\GitHub\eaglep3\Utilities\RefineRTDCRunTimes.py" --tripid 53-02 --locoid 4006 --swversion DE.1.0.7.0 --startMP 204:1229 --initTime 2016-09-02T11:51:21 --startdatetime 2016-09-02T11:58:09 --delay 6 --endMP 300:24728 --enddatetime 2016-09-02T12:08:30 --enforcementcount 1 &gt;&gt;C:\Users\stu\Documents\GitHub\eaglep3-reporting\EC\2016-09-02-refined-times.txt</v>
      </c>
      <c r="AI218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{"issue":{"subject":"","project_id":79,"tracker_id":40,"status_id":1,"priority_id":2,"assigned_to_id":23,"start_date":"2016-09-02","description":"","custom_fields":[{"id":1,"name":"Subdivision","value":"Other"},{"id":4,"name":"Milepost","value":"2.3499"},{"id":17,"name":"Train ID","value":"53-02"},{"id":16,"name":"Locomotive ID","value":"4006"},{"id":130,"name":"Impact","value":""},{"id":150,"name":"Time of Event (Mountain Time)","value":"12:08:30"},{"id":151,"name":"Denver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331</v>
      </c>
      <c r="B219" s="7">
        <v>4051</v>
      </c>
      <c r="C219" s="24" t="s">
        <v>332</v>
      </c>
      <c r="D219" s="24" t="s">
        <v>333</v>
      </c>
      <c r="E219" s="15">
        <v>42615.103703703702</v>
      </c>
      <c r="F219" s="15">
        <v>42615.105092592596</v>
      </c>
      <c r="G219" s="7">
        <v>1</v>
      </c>
      <c r="H219" s="15" t="s">
        <v>334</v>
      </c>
      <c r="I219" s="15">
        <v>42615.123518518521</v>
      </c>
      <c r="J219" s="7">
        <v>1</v>
      </c>
      <c r="K219" s="132" t="str">
        <f t="shared" si="74"/>
        <v>4051/4052</v>
      </c>
      <c r="L219" s="24" t="str">
        <f>VLOOKUP(A219,'Trips&amp;Operators'!$C$1:$E$10000,3,FALSE)</f>
        <v>GOLIGHTLY</v>
      </c>
      <c r="M219" s="6">
        <f t="shared" si="75"/>
        <v>1.8425925925839692E-2</v>
      </c>
      <c r="N219" s="7">
        <f t="shared" si="73"/>
        <v>26.533333333209157</v>
      </c>
      <c r="O219" s="7"/>
      <c r="P219" s="7"/>
      <c r="Q219" s="25"/>
      <c r="R219" s="25"/>
      <c r="S219" s="37">
        <f t="shared" si="76"/>
        <v>0</v>
      </c>
      <c r="T219" s="52" t="e">
        <f t="shared" si="77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9" s="54" t="str">
        <f t="shared" si="79"/>
        <v>N</v>
      </c>
      <c r="X219" s="120" t="e">
        <f t="shared" si="87"/>
        <v>#VALUE!</v>
      </c>
      <c r="Y219" s="69">
        <f t="shared" si="80"/>
        <v>1.0067999999999999</v>
      </c>
      <c r="Z219" s="69">
        <f t="shared" si="81"/>
        <v>12.836600000000001</v>
      </c>
      <c r="AA219" s="69">
        <f t="shared" si="82"/>
        <v>11.829800000000001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83"/>
        <v>57-01</v>
      </c>
      <c r="AE219" s="99" t="str">
        <f t="shared" si="84"/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9" s="96" t="str">
        <f t="shared" si="85"/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9" s="1" t="str">
        <f t="shared" si="86"/>
        <v>Other</v>
      </c>
      <c r="AH219" s="100" t="str">
        <f t="shared" si="88"/>
        <v>"%USERPROFILE%\Documents\GitHub\eaglep3\Utilities\RefineRTDCRunTimes.py" --tripid 57-01 --locoid 4051 --swversion DE.1.0.8.0.ENG1 --startMP 204:10068 --initTime 2016-09-02T02:29:20 --startdatetime 2016-09-02T02:31:20 --delay 1 --endMP 204:128366 --enddatetime 2016-09-02T02:57:52 --enforcementcount 1 &gt;&gt;C:\Users\stu\Documents\GitHub\eaglep3-reporting\EC\2016-09-02-refined-times.txt</v>
      </c>
      <c r="AI219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{"issue":{"subject":"","project_id":79,"tracker_id":40,"status_id":1,"priority_id":2,"assigned_to_id":23,"start_date":"2016-09-02","description":"","custom_fields":[{"id":1,"name":"Subdivision","value":"Other"},{"id":4,"name":"Milepost","value":"11.8298"},{"id":17,"name":"Train ID","value":"57-01"},{"id":16,"name":"Locomotive ID","value":"4051"},{"id":130,"name":"Impact","value":""},{"id":150,"name":"Time of Event (Mountain Time)","value":"02:57:52"},{"id":151,"name":"Denver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588</v>
      </c>
      <c r="B220" s="7">
        <v>4006</v>
      </c>
      <c r="C220" s="24" t="s">
        <v>113</v>
      </c>
      <c r="D220" s="24" t="s">
        <v>589</v>
      </c>
      <c r="E220" s="15">
        <v>42615.798784722225</v>
      </c>
      <c r="F220" s="15">
        <v>42615.803182870368</v>
      </c>
      <c r="G220" s="7">
        <v>3</v>
      </c>
      <c r="H220" s="15" t="s">
        <v>590</v>
      </c>
      <c r="I220" s="15">
        <v>42615.811192129629</v>
      </c>
      <c r="J220" s="7">
        <v>1</v>
      </c>
      <c r="K220" s="132" t="str">
        <f t="shared" si="74"/>
        <v>4005/4006</v>
      </c>
      <c r="L220" s="24" t="str">
        <f>VLOOKUP(A220,'Trips&amp;Operators'!$C$1:$E$10000,3,FALSE)</f>
        <v>ISHMAEL</v>
      </c>
      <c r="M220" s="6">
        <f t="shared" si="75"/>
        <v>8.0092592615983449E-3</v>
      </c>
      <c r="N220" s="7">
        <f t="shared" si="73"/>
        <v>11.533333336701617</v>
      </c>
      <c r="O220" s="7"/>
      <c r="P220" s="7"/>
      <c r="Q220" s="25"/>
      <c r="R220" s="25"/>
      <c r="S220" s="37">
        <f t="shared" si="76"/>
        <v>0</v>
      </c>
      <c r="T220" s="52" t="e">
        <f t="shared" si="77"/>
        <v>#VALUE!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18:10:15-0600',mode:absolute,to:'2016-09-02 20:28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20" s="54" t="str">
        <f t="shared" si="79"/>
        <v>Y</v>
      </c>
      <c r="X220" s="120" t="e">
        <f t="shared" si="87"/>
        <v>#VALUE!</v>
      </c>
      <c r="Y220" s="69">
        <f t="shared" si="80"/>
        <v>3.2300000000000002E-2</v>
      </c>
      <c r="Z220" s="69">
        <f t="shared" si="81"/>
        <v>2.5327999999999999</v>
      </c>
      <c r="AA220" s="69">
        <f t="shared" si="82"/>
        <v>2.5004999999999997</v>
      </c>
      <c r="AB220" s="66" t="e">
        <f>VLOOKUP(A220,Enforcements!$C$7:$J$21,8,0)</f>
        <v>#N/A</v>
      </c>
      <c r="AC220" s="62" t="e">
        <f>VLOOKUP(A220,Enforcements!$C$7:$E$21,3,0)</f>
        <v>#N/A</v>
      </c>
      <c r="AD220" s="63" t="str">
        <f t="shared" si="83"/>
        <v>66-02</v>
      </c>
      <c r="AE220" s="99" t="str">
        <f t="shared" si="84"/>
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</c>
      <c r="AF220" s="96" t="str">
        <f t="shared" si="85"/>
        <v>"C:\Program Files (x86)\AstroGrep\AstroGrep.exe" /spath="%USERPROFILE%\AppData\Local\Temp\OnboardLogs" /stypes="*4006*20160903*" /stext=" 01:.+((SYSTEM_STATE.+slice.+state.+changed )|(ment ac)|(system.+state.+changed )|(\|lc)|(penalty)|(\[timeout)|(PRM\|1\|D)|(kpr)|(kdp))" /e /r /s</v>
      </c>
      <c r="AG220" s="1" t="str">
        <f t="shared" si="86"/>
        <v>Other</v>
      </c>
      <c r="AH220" s="100" t="str">
        <f t="shared" si="88"/>
        <v>"%USERPROFILE%\Documents\GitHub\eaglep3\Utilities\RefineRTDCRunTimes.py" --tripid 66-02 --locoid 4006 --swversion DE.1.0.7.0 --startMP 204:323 --initTime 2016-09-02T19:10:15 --startdatetime 2016-09-02T19:16:35 --delay 3 --endMP 300:25328 --enddatetime 2016-09-02T19:28:07 --enforcementcount 1 &gt;&gt;C:\Users\stu\Documents\GitHub\eaglep3-reporting\EC\2016-09-02-refined-times.txt</v>
      </c>
      <c r="AI220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{"issue":{"subject":"","project_id":79,"tracker_id":40,"status_id":1,"priority_id":2,"assigned_to_id":23,"start_date":"2016-09-02","description":"","custom_fields":[{"id":1,"name":"Subdivision","value":"Other"},{"id":4,"name":"Milepost","value":"2.5005"},{"id":17,"name":"Train ID","value":"66-02"},{"id":16,"name":"Locomotive ID","value":"4006"},{"id":130,"name":"Impact","value":""},{"id":150,"name":"Time of Event (Mountain Time)","value":"19:28:07"},{"id":151,"name":"Denver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335</v>
      </c>
      <c r="B221" s="7">
        <v>4052</v>
      </c>
      <c r="C221" s="24" t="s">
        <v>332</v>
      </c>
      <c r="D221" s="24" t="s">
        <v>591</v>
      </c>
      <c r="E221" s="15">
        <v>42615.125300925924</v>
      </c>
      <c r="F221" s="15">
        <v>42615.129305555558</v>
      </c>
      <c r="G221" s="7">
        <v>1</v>
      </c>
      <c r="H221" s="15" t="s">
        <v>291</v>
      </c>
      <c r="I221" s="15">
        <v>42615.157650462963</v>
      </c>
      <c r="J221" s="7">
        <v>1</v>
      </c>
      <c r="K221" s="132" t="str">
        <f t="shared" si="74"/>
        <v>4051/4052</v>
      </c>
      <c r="L221" s="24" t="str">
        <f>VLOOKUP(A221,'Trips&amp;Operators'!$C$1:$E$10000,3,FALSE)</f>
        <v>GOLIGHTLY</v>
      </c>
      <c r="M221" s="6">
        <f t="shared" si="75"/>
        <v>2.8344907404971309E-2</v>
      </c>
      <c r="N221" s="7">
        <f t="shared" si="73"/>
        <v>40.816666663158685</v>
      </c>
      <c r="O221" s="7"/>
      <c r="P221" s="7"/>
      <c r="Q221" s="25"/>
      <c r="R221" s="25"/>
      <c r="S221" s="37">
        <f t="shared" si="76"/>
        <v>0</v>
      </c>
      <c r="T221" s="52" t="e">
        <f t="shared" si="77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02:00:26-0600',mode:absolute,to:'2016-09-02 04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1" s="54" t="str">
        <f t="shared" si="79"/>
        <v>N</v>
      </c>
      <c r="X221" s="120" t="e">
        <f t="shared" si="87"/>
        <v>#VALUE!</v>
      </c>
      <c r="Y221" s="69">
        <f t="shared" si="80"/>
        <v>12.8101</v>
      </c>
      <c r="Z221" s="69">
        <f t="shared" si="81"/>
        <v>1.78E-2</v>
      </c>
      <c r="AA221" s="69">
        <f t="shared" si="82"/>
        <v>12.792300000000001</v>
      </c>
      <c r="AB221" s="66" t="e">
        <f>VLOOKUP(A221,Enforcements!$C$7:$J$21,8,0)</f>
        <v>#N/A</v>
      </c>
      <c r="AC221" s="62" t="e">
        <f>VLOOKUP(A221,Enforcements!$C$7:$E$21,3,0)</f>
        <v>#N/A</v>
      </c>
      <c r="AD221" s="63" t="str">
        <f t="shared" si="83"/>
        <v>67-01</v>
      </c>
      <c r="AE221" s="99" t="str">
        <f t="shared" si="84"/>
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</c>
      <c r="AF221" s="96" t="str">
        <f t="shared" si="85"/>
        <v>"C:\Program Files (x86)\AstroGrep\AstroGrep.exe" /spath="%USERPROFILE%\AppData\Local\Temp\OnboardLogs" /stypes="*4052*20160902*" /stext=" 09:.+((SYSTEM_STATE.+slice.+state.+changed )|(ment ac)|(system.+state.+changed )|(\|lc)|(penalty)|(\[timeout)|(PRM\|1\|D)|(kpr)|(kdp))" /e /r /s</v>
      </c>
      <c r="AG221" s="1" t="str">
        <f t="shared" si="86"/>
        <v>Other</v>
      </c>
      <c r="AH221" s="100" t="str">
        <f t="shared" si="88"/>
        <v>"%USERPROFILE%\Documents\GitHub\eaglep3\Utilities\RefineRTDCRunTimes.py" --tripid 67-01 --locoid 4052 --swversion DE.1.0.8.0.ENG1 --startMP 204:128101 --initTime 2016-09-02T03:00:26 --startdatetime 2016-09-02T03:06:12 --delay 1 --endMP 204:178 --enddatetime 2016-09-02T03:47:01 --enforcementcount 1 &gt;&gt;C:\Users\stu\Documents\GitHub\eaglep3-reporting\EC\2016-09-02-refined-times.txt</v>
      </c>
      <c r="AI221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{"issue":{"subject":"","project_id":79,"tracker_id":40,"status_id":1,"priority_id":2,"assigned_to_id":23,"start_date":"2016-09-02","description":"","custom_fields":[{"id":1,"name":"Subdivision","value":"Other"},{"id":4,"name":"Milepost","value":"12.7923"},{"id":17,"name":"Train ID","value":"67-01"},{"id":16,"name":"Locomotive ID","value":"4052"},{"id":130,"name":"Impact","value":""},{"id":150,"name":"Time of Event (Mountain Time)","value":"03:47:01"},{"id":151,"name":"Denver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335</v>
      </c>
      <c r="B222" s="7">
        <v>4052</v>
      </c>
      <c r="C222" s="24" t="s">
        <v>332</v>
      </c>
      <c r="D222" s="24" t="s">
        <v>336</v>
      </c>
      <c r="E222" s="15">
        <v>42615.083090277774</v>
      </c>
      <c r="F222" s="15">
        <v>42615.084826388891</v>
      </c>
      <c r="G222" s="7">
        <v>1</v>
      </c>
      <c r="H222" s="15" t="s">
        <v>337</v>
      </c>
      <c r="I222" s="15">
        <v>42615.101064814815</v>
      </c>
      <c r="J222" s="7">
        <v>1</v>
      </c>
      <c r="K222" s="132" t="str">
        <f t="shared" si="74"/>
        <v>4051/4052</v>
      </c>
      <c r="L222" s="24" t="str">
        <f>VLOOKUP(A222,'Trips&amp;Operators'!$C$1:$E$10000,3,FALSE)</f>
        <v>GOLIGHTLY</v>
      </c>
      <c r="M222" s="6">
        <f t="shared" si="75"/>
        <v>1.6238425923802424E-2</v>
      </c>
      <c r="N222" s="7">
        <f t="shared" si="73"/>
        <v>23.383333330275491</v>
      </c>
      <c r="O222" s="7"/>
      <c r="P222" s="7"/>
      <c r="Q222" s="25"/>
      <c r="R222" s="25"/>
      <c r="S222" s="37">
        <f t="shared" si="76"/>
        <v>0</v>
      </c>
      <c r="T222" s="52" t="e">
        <f t="shared" si="77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2" s="54" t="str">
        <f t="shared" si="79"/>
        <v>N</v>
      </c>
      <c r="X222" s="120" t="e">
        <f t="shared" si="87"/>
        <v>#VALUE!</v>
      </c>
      <c r="Y222" s="69">
        <f t="shared" si="80"/>
        <v>15.7705</v>
      </c>
      <c r="Z222" s="69">
        <f t="shared" si="81"/>
        <v>0.98099999999999998</v>
      </c>
      <c r="AA222" s="69">
        <f t="shared" si="82"/>
        <v>14.7895</v>
      </c>
      <c r="AB222" s="66" t="e">
        <f>VLOOKUP(A222,Enforcements!$C$7:$J$21,8,0)</f>
        <v>#N/A</v>
      </c>
      <c r="AC222" s="62" t="e">
        <f>VLOOKUP(A222,Enforcements!$C$7:$E$21,3,0)</f>
        <v>#N/A</v>
      </c>
      <c r="AD222" s="63" t="str">
        <f t="shared" si="83"/>
        <v>67-01</v>
      </c>
      <c r="AE222" s="99" t="str">
        <f t="shared" si="84"/>
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</c>
      <c r="AF222" s="96" t="str">
        <f t="shared" si="85"/>
        <v>"C:\Program Files (x86)\AstroGrep\AstroGrep.exe" /spath="%USERPROFILE%\AppData\Local\Temp\OnboardLogs" /stypes="*4052*20160902*" /stext=" 08:.+((SYSTEM_STATE.+slice.+state.+changed )|(ment ac)|(system.+state.+changed )|(\|lc)|(penalty)|(\[timeout)|(PRM\|1\|D)|(kpr)|(kdp))" /e /r /s</v>
      </c>
      <c r="AG222" s="1" t="str">
        <f t="shared" si="86"/>
        <v>Other</v>
      </c>
      <c r="AH222" s="100" t="str">
        <f t="shared" si="88"/>
        <v>"%USERPROFILE%\Documents\GitHub\eaglep3\Utilities\RefineRTDCRunTimes.py" --tripid 67-01 --locoid 4052 --swversion DE.1.0.8.0.ENG1 --startMP 204:157705 --initTime 2016-09-02T01:59:39 --startdatetime 2016-09-02T02:02:09 --delay 1 --endMP 204:9810 --enddatetime 2016-09-02T02:25:32 --enforcementcount 1 &gt;&gt;C:\Users\stu\Documents\GitHub\eaglep3-reporting\EC\2016-09-02-refined-times.txt</v>
      </c>
      <c r="AI222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{"issue":{"subject":"","project_id":79,"tracker_id":40,"status_id":1,"priority_id":2,"assigned_to_id":23,"start_date":"2016-09-02","description":"","custom_fields":[{"id":1,"name":"Subdivision","value":"Other"},{"id":4,"name":"Milepost","value":"14.7895"},{"id":17,"name":"Train ID","value":"67-01"},{"id":16,"name":"Locomotive ID","value":"4052"},{"id":130,"name":"Impact","value":""},{"id":150,"name":"Time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592</v>
      </c>
      <c r="B223" s="7">
        <v>4037</v>
      </c>
      <c r="C223" s="24" t="s">
        <v>113</v>
      </c>
      <c r="D223" s="24" t="s">
        <v>593</v>
      </c>
      <c r="E223" s="15">
        <v>42615.750277777777</v>
      </c>
      <c r="F223" s="15">
        <v>42615.754259259258</v>
      </c>
      <c r="G223" s="7">
        <v>5</v>
      </c>
      <c r="H223" s="15" t="s">
        <v>594</v>
      </c>
      <c r="I223" s="15">
        <v>42615.761006944442</v>
      </c>
      <c r="J223" s="7">
        <v>1</v>
      </c>
      <c r="K223" s="132" t="str">
        <f t="shared" si="74"/>
        <v>4037/4038</v>
      </c>
      <c r="L223" s="24" t="str">
        <f>VLOOKUP(A223,'Trips&amp;Operators'!$C$1:$E$10000,3,FALSE)</f>
        <v>STURGEON</v>
      </c>
      <c r="M223" s="6">
        <f t="shared" si="75"/>
        <v>6.7476851836545393E-3</v>
      </c>
      <c r="N223" s="7">
        <f t="shared" si="73"/>
        <v>9.7166666644625366</v>
      </c>
      <c r="O223" s="7"/>
      <c r="P223" s="7"/>
      <c r="Q223" s="25"/>
      <c r="R223" s="25"/>
      <c r="S223" s="37">
        <f t="shared" si="76"/>
        <v>0</v>
      </c>
      <c r="T223" s="52" t="e">
        <f t="shared" si="77"/>
        <v>#VALUE!</v>
      </c>
      <c r="U223" s="12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17:00:24-0600',mode:absolute,to:'2016-09-02 19:15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23" s="54" t="str">
        <f t="shared" si="79"/>
        <v>Y</v>
      </c>
      <c r="X223" s="120" t="e">
        <f t="shared" si="87"/>
        <v>#VALUE!</v>
      </c>
      <c r="Y223" s="69">
        <f t="shared" si="80"/>
        <v>2.2084999999999999</v>
      </c>
      <c r="Z223" s="69">
        <f t="shared" si="81"/>
        <v>9.06E-2</v>
      </c>
      <c r="AA223" s="69">
        <f t="shared" si="82"/>
        <v>2.1179000000000001</v>
      </c>
      <c r="AB223" s="66" t="e">
        <f>VLOOKUP(A223,Enforcements!$C$7:$J$21,8,0)</f>
        <v>#N/A</v>
      </c>
      <c r="AC223" s="62" t="e">
        <f>VLOOKUP(A223,Enforcements!$C$7:$E$21,3,0)</f>
        <v>#N/A</v>
      </c>
      <c r="AD223" s="63" t="str">
        <f t="shared" si="83"/>
        <v>68-02</v>
      </c>
      <c r="AE223" s="99" t="str">
        <f t="shared" si="84"/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AF223" s="96" t="str">
        <f t="shared" si="85"/>
        <v>"C:\Program Files (x86)\AstroGrep\AstroGrep.exe" /spath="%USERPROFILE%\AppData\Local\Temp\OnboardLogs" /stypes="*4037*20160903*" /stext=" 00:.+((SYSTEM_STATE.+slice.+state.+changed )|(ment ac)|(system.+state.+changed )|(\|lc)|(penalty)|(\[timeout)|(PRM\|1\|D)|(kpr)|(kdp))" /e /r /s</v>
      </c>
      <c r="AG223" s="1" t="str">
        <f t="shared" si="86"/>
        <v>Other</v>
      </c>
      <c r="AH223" s="100" t="str">
        <f t="shared" si="88"/>
        <v>"%USERPROFILE%\Documents\GitHub\eaglep3\Utilities\RefineRTDCRunTimes.py" --tripid 68-02 --locoid 4037 --swversion DE.1.0.7.0 --startMP 300:22085 --initTime 2016-09-02T18:00:24 --startdatetime 2016-09-02T18:06:08 --delay 5 --endMP 204:906 --enddatetime 2016-09-02T18:15:51 --enforcementcount 1 &gt;&gt;C:\Users\stu\Documents\GitHub\eaglep3-reporting\EC\2016-09-02-refined-times.txt</v>
      </c>
      <c r="AI223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{"issue":{"subject":"","project_id":79,"tracker_id":40,"status_id":1,"priority_id":2,"assigned_to_id":23,"start_date":"2016-09-02","description":"","custom_fields":[{"id":1,"name":"Subdivision","value":"Other"},{"id":4,"name":"Milepost","value":"2.1179"},{"id":17,"name":"Train ID","value":"68-02"},{"id":16,"name":"Locomotive ID","value":"4037"},{"id":130,"name":"Impact","value":""},{"id":150,"name":"Time of Event (Mountain Time)","value":"18:15:51"},{"id":151,"name":"Denver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595</v>
      </c>
      <c r="B224" s="7">
        <v>4005</v>
      </c>
      <c r="C224" s="24" t="s">
        <v>113</v>
      </c>
      <c r="D224" s="24" t="s">
        <v>596</v>
      </c>
      <c r="E224" s="15">
        <v>42615.766886574071</v>
      </c>
      <c r="F224" s="15">
        <v>42615.769259259258</v>
      </c>
      <c r="G224" s="7">
        <v>3</v>
      </c>
      <c r="H224" s="15" t="s">
        <v>597</v>
      </c>
      <c r="I224" s="15">
        <v>42615.769375000003</v>
      </c>
      <c r="J224" s="7">
        <v>1</v>
      </c>
      <c r="K224" s="132" t="str">
        <f t="shared" si="74"/>
        <v>4005/4006</v>
      </c>
      <c r="L224" s="24" t="str">
        <f>VLOOKUP(A224,'Trips&amp;Operators'!$C$1:$E$10000,3,FALSE)</f>
        <v>HAITHCOX</v>
      </c>
      <c r="M224" s="6">
        <f t="shared" si="75"/>
        <v>1.1574074596865103E-4</v>
      </c>
      <c r="N224" s="7">
        <f t="shared" si="73"/>
        <v>0.16666667419485748</v>
      </c>
      <c r="O224" s="7"/>
      <c r="P224" s="7"/>
      <c r="Q224" s="25"/>
      <c r="R224" s="25"/>
      <c r="S224" s="37">
        <f t="shared" si="76"/>
        <v>0</v>
      </c>
      <c r="T224" s="52" t="e">
        <f t="shared" si="77"/>
        <v>#VALUE!</v>
      </c>
      <c r="U224" s="12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24" s="54" t="str">
        <f t="shared" si="79"/>
        <v>Y</v>
      </c>
      <c r="X224" s="120" t="e">
        <f t="shared" si="87"/>
        <v>#VALUE!</v>
      </c>
      <c r="Y224" s="69">
        <f t="shared" si="80"/>
        <v>2.4443000000000001</v>
      </c>
      <c r="Z224" s="69">
        <f t="shared" si="81"/>
        <v>2.4316</v>
      </c>
      <c r="AA224" s="69">
        <f t="shared" si="82"/>
        <v>1.2700000000000156E-2</v>
      </c>
      <c r="AB224" s="66" t="e">
        <f>VLOOKUP(A224,Enforcements!$C$7:$J$21,8,0)</f>
        <v>#N/A</v>
      </c>
      <c r="AC224" s="62" t="e">
        <f>VLOOKUP(A224,Enforcements!$C$7:$E$21,3,0)</f>
        <v>#N/A</v>
      </c>
      <c r="AD224" s="63" t="str">
        <f t="shared" si="83"/>
        <v>70-02</v>
      </c>
      <c r="AE224" s="99" t="str">
        <f t="shared" si="84"/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AF224" s="96" t="str">
        <f t="shared" si="85"/>
        <v>"C:\Program Files (x86)\AstroGrep\AstroGrep.exe" /spath="%USERPROFILE%\AppData\Local\Temp\OnboardLogs" /stypes="*4005*20160903*" /stext=" 00:.+((SYSTEM_STATE.+slice.+state.+changed )|(ment ac)|(system.+state.+changed )|(\|lc)|(penalty)|(\[timeout)|(PRM\|1\|D)|(kpr)|(kdp))" /e /r /s</v>
      </c>
      <c r="AG224" s="1" t="str">
        <f t="shared" si="86"/>
        <v>Other</v>
      </c>
      <c r="AH224" s="100" t="str">
        <f t="shared" si="88"/>
        <v>"%USERPROFILE%\Documents\GitHub\eaglep3\Utilities\RefineRTDCRunTimes.py" --tripid 70-02 --locoid 4005 --swversion DE.1.0.7.0 --startMP 300:24443 --initTime 2016-09-02T18:24:19 --startdatetime 2016-09-02T18:27:44 --delay 3 --endMP 300:24316 --enddatetime 2016-09-02T18:27:54 --enforcementcount 1 &gt;&gt;C:\Users\stu\Documents\GitHub\eaglep3-reporting\EC\2016-09-02-refined-times.txt</v>
      </c>
      <c r="AI224" s="149" t="str">
        <f t="shared" si="89"/>
        <v>echo {"issue":{"subject":"","project_id":79,"tracker_id":40,"status_id":1,"priority_id":2,"assigned_to_id":23,"start_date":"2016-09-02","description":"","custom_fields":[{"id":1,"name":"Subdivision","value":"Other"},{"id":4,"name":"Milepost","value":"0.0127000000000002"},{"id":17,"name":"Train ID","value":"70-02"},{"id":16,"name":"Locomotive ID","value":"4005"},{"id":130,"name":"Impact","value":""},{"id":150,"name":"Time of Event (Mountain Time)","value":"18:27:54"},{"id":151,"name":"Denver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  <c r="AI235" s="14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  <c r="AI236" s="14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  <c r="AI237" s="14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32"/>
      <c r="L238" s="24"/>
      <c r="M238" s="6"/>
      <c r="N238" s="7"/>
      <c r="O238" s="7"/>
      <c r="P238" s="7"/>
      <c r="Q238" s="25"/>
      <c r="R238" s="25"/>
      <c r="S238" s="37"/>
      <c r="T238" s="52"/>
      <c r="U238" s="126"/>
      <c r="V238" s="106"/>
      <c r="W238" s="54"/>
      <c r="X238" s="120"/>
      <c r="Y238" s="69"/>
      <c r="Z238" s="69"/>
      <c r="AA238" s="69"/>
      <c r="AB238" s="66"/>
      <c r="AC238" s="62"/>
      <c r="AD238" s="63"/>
      <c r="AE238" s="99"/>
      <c r="AF238" s="96"/>
      <c r="AG238" s="1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32"/>
      <c r="L239" s="24"/>
      <c r="M239" s="6"/>
      <c r="N239" s="7"/>
      <c r="O239" s="7"/>
      <c r="P239" s="7"/>
      <c r="Q239" s="25"/>
      <c r="R239" s="25"/>
      <c r="S239" s="37"/>
      <c r="T239" s="52"/>
      <c r="U239" s="126"/>
      <c r="V239" s="106"/>
      <c r="W239" s="54"/>
      <c r="X239" s="120"/>
      <c r="Y239" s="69"/>
      <c r="Z239" s="69"/>
      <c r="AA239" s="69"/>
      <c r="AB239" s="66"/>
      <c r="AC239" s="62"/>
      <c r="AD239" s="63"/>
      <c r="AE239" s="99"/>
      <c r="AF239" s="96"/>
      <c r="AG239" s="1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32"/>
      <c r="L240" s="24"/>
      <c r="M240" s="6"/>
      <c r="N240" s="7"/>
      <c r="O240" s="7"/>
      <c r="P240" s="7"/>
      <c r="Q240" s="25"/>
      <c r="R240" s="25"/>
      <c r="S240" s="37"/>
      <c r="T240" s="52"/>
      <c r="U240" s="126"/>
      <c r="V240" s="106"/>
      <c r="W240" s="54"/>
      <c r="X240" s="120"/>
      <c r="Y240" s="69"/>
      <c r="Z240" s="69"/>
      <c r="AA240" s="69"/>
      <c r="AB240" s="66"/>
      <c r="AC240" s="62"/>
      <c r="AD240" s="63"/>
      <c r="AE240" s="99"/>
      <c r="AF240" s="96"/>
      <c r="AG240" s="1"/>
    </row>
  </sheetData>
  <autoFilter ref="A12:AG24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40">
    <cfRule type="expression" dxfId="5" priority="235">
      <formula>$O13&gt;0</formula>
    </cfRule>
  </conditionalFormatting>
  <conditionalFormatting sqref="A13:S240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Values'!$C$2:$C$13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3"/>
  <sheetViews>
    <sheetView tabSelected="1" topLeftCell="A2" workbookViewId="0">
      <selection activeCell="N13" sqref="A13:N1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COUNTIF($M$7:$M$402,"=Y")</f>
        <v>7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COUNTA($M$7:$M$402)-M2</f>
        <v>39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- 2016-09-02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214</v>
      </c>
      <c r="X6" s="161" t="s">
        <v>215</v>
      </c>
      <c r="Y6" s="161" t="s">
        <v>187</v>
      </c>
      <c r="Z6" s="161" t="s">
        <v>216</v>
      </c>
    </row>
    <row r="7" spans="1:26" s="1" customFormat="1" x14ac:dyDescent="0.25">
      <c r="A7" s="38">
        <v>42615.276643518519</v>
      </c>
      <c r="B7" s="33" t="s">
        <v>114</v>
      </c>
      <c r="C7" s="33" t="s">
        <v>401</v>
      </c>
      <c r="D7" s="33" t="s">
        <v>304</v>
      </c>
      <c r="E7" s="33" t="s">
        <v>233</v>
      </c>
      <c r="F7" s="49">
        <v>0</v>
      </c>
      <c r="G7" s="49">
        <v>284</v>
      </c>
      <c r="H7" s="49">
        <v>33189</v>
      </c>
      <c r="I7" s="33" t="s">
        <v>232</v>
      </c>
      <c r="J7" s="49">
        <v>33137</v>
      </c>
      <c r="K7" s="33" t="s">
        <v>52</v>
      </c>
      <c r="L7" s="92" t="str">
        <f>VLOOKUP(C7,'Trips&amp;Operators'!$C$1:$E$9999,3,0)</f>
        <v>GEBRETEKLE</v>
      </c>
      <c r="M7" s="131" t="s">
        <v>86</v>
      </c>
      <c r="N7" s="10" t="s">
        <v>250</v>
      </c>
      <c r="O7" s="33"/>
      <c r="P7" s="108" t="str">
        <f>VLOOKUP(C7,'Train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7" s="113" t="str">
        <f t="shared" ref="R7:R52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/stypes="*4031*201609021*" /stext=" 12:.+((SYSTEM_STATE.+slice.+state.+changed )|(ment ac)|(system.+state.+changed )|(\|lc)|(penalty)|(\[timeout)|(PRM\|1\|D)|(kpr)|(kdp))" /e /r /s</v>
      </c>
      <c r="S7" s="9" t="str">
        <f t="shared" ref="S7:S52" si="1">MID(B7,13,4)</f>
        <v>4031</v>
      </c>
      <c r="T7" s="38">
        <f t="shared" ref="T7:T52" si="2">A7+6/24</f>
        <v>42615.526643518519</v>
      </c>
      <c r="U7" s="52" t="str">
        <f t="shared" ref="U7:U52" si="3">IF(VALUE(LEFT(IF(LEN(C7)=6,"0"&amp;C7,C7),2))&lt;=2,"EC",IF(OR(VALUE(LEFT(IF(LEN(C7)=6,"0"&amp;C7,C7),2))=8,VALUE(LEFT(IF(LEN(C7)=6,"0"&amp;C7,C7),2))=18),"NW","Other"))</f>
        <v>EC</v>
      </c>
      <c r="V7" s="52" t="str">
        <f t="shared" ref="V7:V52" si="4">IF(AND(E7="TRACK WARRANT AUTHORITY",G7&lt;10),"OMIT","KEEP")</f>
        <v>KEEP</v>
      </c>
      <c r="W7" s="149" t="str">
        <f t="shared" ref="W7:W52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arrival","project_id":79,"tracker_id":40,"status_id":1,"priority_id":2,"assigned_to_id":23,"start_date":"2016-09-02","description":"","custom_fields":[{"id":1,"name":"Subdivision","value":"EC"},{"id":4,"name":"Milepost","value":"3.3137"},{"id":17,"name":"Train ID","value":"123-02"},{"id":16,"name":"Locomotive ID","value":"4031"},{"id":130,"name":"Impact","value":""},{"id":150,"name":"Time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42615.749884259261</v>
      </c>
      <c r="B8" s="33" t="s">
        <v>168</v>
      </c>
      <c r="C8" s="33" t="s">
        <v>508</v>
      </c>
      <c r="D8" s="33" t="s">
        <v>49</v>
      </c>
      <c r="E8" s="33" t="s">
        <v>233</v>
      </c>
      <c r="F8" s="49">
        <v>0</v>
      </c>
      <c r="G8" s="49">
        <v>118</v>
      </c>
      <c r="H8" s="49">
        <v>43558</v>
      </c>
      <c r="I8" s="33" t="s">
        <v>232</v>
      </c>
      <c r="J8" s="49">
        <v>42961</v>
      </c>
      <c r="K8" s="33" t="s">
        <v>53</v>
      </c>
      <c r="L8" s="92" t="str">
        <f>VLOOKUP(C8,'Trips&amp;Operators'!$C$1:$E$9999,3,0)</f>
        <v>CLARK</v>
      </c>
      <c r="M8" s="131" t="s">
        <v>86</v>
      </c>
      <c r="N8" s="10" t="s">
        <v>733</v>
      </c>
      <c r="O8" s="33"/>
      <c r="P8" s="108" t="str">
        <f>VLOOKUP(C8,'Train Runs'!$A$13:$AE$10015,31,0)</f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Q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" s="113" t="str">
        <f t="shared" si="0"/>
        <v>"C:\Program Files (x86)\AstroGrep\AstroGrep.exe" /spath="%USERPROFILE%\AppData\Local\Temp\OnboardLogs" /stypes="*4010*201609022*" /stext=" 23:.+((SYSTEM_STATE.+slice.+state.+changed )|(ment ac)|(system.+state.+changed )|(\|lc)|(penalty)|(\[timeout)|(PRM\|1\|D)|(kpr)|(kdp))" /e /r /s</v>
      </c>
      <c r="S8" s="9" t="str">
        <f t="shared" si="1"/>
        <v>4010</v>
      </c>
      <c r="T8" s="38">
        <f t="shared" si="2"/>
        <v>42615.999884259261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{"issue":{"subject":"Form C","project_id":79,"tracker_id":40,"status_id":1,"priority_id":2,"assigned_to_id":23,"start_date":"2016-09-02","description":"","custom_fields":[{"id":1,"name":"Subdivision","value":"EC"},{"id":4,"name":"Milepost","value":"4.2961"},{"id":17,"name":"Train ID","value":"204-02"},{"id":16,"name":"Locomotive ID","value":"4010"},{"id":130,"name":"Impact","value":""},{"id":150,"name":"Time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42615.332754629628</v>
      </c>
      <c r="B9" s="33" t="s">
        <v>706</v>
      </c>
      <c r="C9" s="33" t="s">
        <v>405</v>
      </c>
      <c r="D9" s="33" t="s">
        <v>49</v>
      </c>
      <c r="E9" s="33" t="s">
        <v>233</v>
      </c>
      <c r="F9" s="49">
        <v>0</v>
      </c>
      <c r="G9" s="49">
        <v>313</v>
      </c>
      <c r="H9" s="49">
        <v>109199</v>
      </c>
      <c r="I9" s="33" t="s">
        <v>232</v>
      </c>
      <c r="J9" s="49">
        <v>109135</v>
      </c>
      <c r="K9" s="33" t="s">
        <v>53</v>
      </c>
      <c r="L9" s="92" t="str">
        <f>VLOOKUP(C9,'Trips&amp;Operators'!$C$1:$E$9999,3,0)</f>
        <v>SPECTOR</v>
      </c>
      <c r="M9" s="131" t="s">
        <v>86</v>
      </c>
      <c r="N9" s="10" t="s">
        <v>250</v>
      </c>
      <c r="O9" s="33"/>
      <c r="P9" s="108" t="str">
        <f>VLOOKUP(C9,'Train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9" s="113" t="str">
        <f t="shared" si="0"/>
        <v>"C:\Program Files (x86)\AstroGrep\AstroGrep.exe" /spath="%USERPROFILE%\AppData\Local\Temp\OnboardLogs" /stypes="*4054*201609021*" /stext=" 13:.+((SYSTEM_STATE.+slice.+state.+changed )|(ment ac)|(system.+state.+changed )|(\|lc)|(penalty)|(\[timeout)|(PRM\|1\|D)|(kpr)|(kdp))" /e /r /s</v>
      </c>
      <c r="S9" s="9" t="str">
        <f t="shared" si="1"/>
        <v>4054</v>
      </c>
      <c r="T9" s="38">
        <f t="shared" si="2"/>
        <v>42615.582754629628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arrival","project_id":79,"tracker_id":40,"status_id":1,"priority_id":2,"assigned_to_id":23,"start_date":"2016-09-02","description":"","custom_fields":[{"id":1,"name":"Subdivision","value":"EC"},{"id":4,"name":"Milepost","value":"10.9135"},{"id":17,"name":"Train ID","value":"126-02"},{"id":16,"name":"Locomotive ID","value":"4054"},{"id":130,"name":"Impact","value":""},{"id":150,"name":"Time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42615.338750000003</v>
      </c>
      <c r="B10" s="33" t="s">
        <v>92</v>
      </c>
      <c r="C10" s="33" t="s">
        <v>407</v>
      </c>
      <c r="D10" s="33" t="s">
        <v>49</v>
      </c>
      <c r="E10" s="33" t="s">
        <v>56</v>
      </c>
      <c r="F10" s="49">
        <v>450</v>
      </c>
      <c r="G10" s="49">
        <v>625</v>
      </c>
      <c r="H10" s="49">
        <v>158798</v>
      </c>
      <c r="I10" s="33" t="s">
        <v>57</v>
      </c>
      <c r="J10" s="49">
        <v>156300</v>
      </c>
      <c r="K10" s="33" t="s">
        <v>53</v>
      </c>
      <c r="L10" s="92" t="str">
        <f>VLOOKUP(C10,'Trips&amp;Operators'!$C$1:$E$9999,3,0)</f>
        <v>MAELZER</v>
      </c>
      <c r="M10" s="131" t="s">
        <v>86</v>
      </c>
      <c r="N10" s="10"/>
      <c r="O10" s="33"/>
      <c r="P10" s="108" t="str">
        <f>VLOOKUP(C10,'Train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0" s="113" t="str">
        <f t="shared" si="0"/>
        <v>"C:\Program Files (x86)\AstroGrep\AstroGrep.exe" /spath="%USERPROFILE%\AppData\Local\Temp\OnboardLogs" /stypes="*4030*201609021*" /stext=" 14:.+((SYSTEM_STATE.+slice.+state.+changed )|(ment ac)|(system.+state.+changed )|(\|lc)|(penalty)|(\[timeout)|(PRM\|1\|D)|(kpr)|(kdp))" /e /r /s</v>
      </c>
      <c r="S10" s="9" t="str">
        <f t="shared" si="1"/>
        <v>4030</v>
      </c>
      <c r="T10" s="38">
        <f t="shared" si="2"/>
        <v>42615.588750000003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{"issue":{"subject":"","project_id":79,"tracker_id":40,"status_id":1,"priority_id":2,"assigned_to_id":23,"start_date":"2016-09-02","description":"","custom_fields":[{"id":1,"name":"Subdivision","value":"EC"},{"id":4,"name":"Milepost","value":"15.63"},{"id":17,"name":"Train ID","value":"128-02"},{"id":16,"name":"Locomotive ID","value":"4030"},{"id":130,"name":"Impact","value":""},{"id":150,"name":"Time of Event (Mountain Time)","value":"08:07:48"},{"id":151,"name":"Denver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42615.483900462961</v>
      </c>
      <c r="B11" s="33" t="s">
        <v>92</v>
      </c>
      <c r="C11" s="33" t="s">
        <v>445</v>
      </c>
      <c r="D11" s="33" t="s">
        <v>111</v>
      </c>
      <c r="E11" s="33" t="s">
        <v>56</v>
      </c>
      <c r="F11" s="49">
        <v>700</v>
      </c>
      <c r="G11" s="49">
        <v>750</v>
      </c>
      <c r="H11" s="49">
        <v>165170</v>
      </c>
      <c r="I11" s="33" t="s">
        <v>57</v>
      </c>
      <c r="J11" s="49">
        <v>183829</v>
      </c>
      <c r="K11" s="33" t="s">
        <v>53</v>
      </c>
      <c r="L11" s="92" t="str">
        <f>VLOOKUP(C11,'Trips&amp;Operators'!$C$1:$E$9999,3,0)</f>
        <v>STRICKLAND</v>
      </c>
      <c r="M11" s="131" t="s">
        <v>86</v>
      </c>
      <c r="N11" s="10"/>
      <c r="O11" s="33"/>
      <c r="P11" s="108" t="str">
        <f>VLOOKUP(C11,'Train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" s="113" t="str">
        <f t="shared" si="0"/>
        <v>"C:\Program Files (x86)\AstroGrep\AstroGrep.exe" /spath="%USERPROFILE%\AppData\Local\Temp\OnboardLogs" /stypes="*4030*201609021*" /stext=" 17:.+((SYSTEM_STATE.+slice.+state.+changed )|(ment ac)|(system.+state.+changed )|(\|lc)|(penalty)|(\[timeout)|(PRM\|1\|D)|(kpr)|(kdp))" /e /r /s</v>
      </c>
      <c r="S11" s="9" t="str">
        <f t="shared" si="1"/>
        <v>4030</v>
      </c>
      <c r="T11" s="38">
        <f t="shared" si="2"/>
        <v>42615.733900462961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{"issue":{"subject":"","project_id":79,"tracker_id":40,"status_id":1,"priority_id":2,"assigned_to_id":23,"start_date":"2016-09-02","description":"","custom_fields":[{"id":1,"name":"Subdivision","value":"EC"},{"id":4,"name":"Milepost","value":"18.3829"},{"id":17,"name":"Train ID","value":"156-02"},{"id":16,"name":"Locomotive ID","value":"4030"},{"id":130,"name":"Impact","value":""},{"id":150,"name":"Time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42615.764386574076</v>
      </c>
      <c r="B12" s="33" t="s">
        <v>706</v>
      </c>
      <c r="C12" s="33" t="s">
        <v>516</v>
      </c>
      <c r="D12" s="33" t="s">
        <v>111</v>
      </c>
      <c r="E12" s="33" t="s">
        <v>56</v>
      </c>
      <c r="F12" s="49">
        <v>600</v>
      </c>
      <c r="G12" s="49">
        <v>653</v>
      </c>
      <c r="H12" s="49">
        <v>184369</v>
      </c>
      <c r="I12" s="33" t="s">
        <v>57</v>
      </c>
      <c r="J12" s="49">
        <v>190834</v>
      </c>
      <c r="K12" s="33" t="s">
        <v>53</v>
      </c>
      <c r="L12" s="92" t="str">
        <f>VLOOKUP(C12,'Trips&amp;Operators'!$C$1:$E$9999,3,0)</f>
        <v>ISHMAEL</v>
      </c>
      <c r="M12" s="131" t="s">
        <v>86</v>
      </c>
      <c r="N12" s="10"/>
      <c r="O12" s="33"/>
      <c r="P12" s="108" t="str">
        <f>VLOOKUP(C12,'Train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" s="113" t="str">
        <f t="shared" si="0"/>
        <v>"C:\Program Files (x86)\AstroGrep\AstroGrep.exe" /spath="%USERPROFILE%\AppData\Local\Temp\OnboardLogs" /stypes="*4054*201609030*" /stext=" 00:.+((SYSTEM_STATE.+slice.+state.+changed )|(ment ac)|(system.+state.+changed )|(\|lc)|(penalty)|(\[timeout)|(PRM\|1\|D)|(kpr)|(kdp))" /e /r /s</v>
      </c>
      <c r="S12" s="9" t="str">
        <f t="shared" si="1"/>
        <v>4054</v>
      </c>
      <c r="T12" s="38">
        <f t="shared" si="2"/>
        <v>42616.014386574076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{"issue":{"subject":"","project_id":79,"tracker_id":40,"status_id":1,"priority_id":2,"assigned_to_id":23,"start_date":"2016-09-02","description":"","custom_fields":[{"id":1,"name":"Subdivision","value":"EC"},{"id":4,"name":"Milepost","value":"19.0834"},{"id":17,"name":"Train ID","value":"210-02"},{"id":16,"name":"Locomotive ID","value":"4054"},{"id":130,"name":"Impact","value":""},{"id":150,"name":"Time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42615.578402777777</v>
      </c>
      <c r="B13" s="33" t="s">
        <v>114</v>
      </c>
      <c r="C13" s="33" t="s">
        <v>474</v>
      </c>
      <c r="D13" s="33" t="s">
        <v>49</v>
      </c>
      <c r="E13" s="33" t="s">
        <v>54</v>
      </c>
      <c r="F13" s="49">
        <v>0</v>
      </c>
      <c r="G13" s="49">
        <v>553</v>
      </c>
      <c r="H13" s="49">
        <v>122021</v>
      </c>
      <c r="I13" s="33" t="s">
        <v>55</v>
      </c>
      <c r="J13" s="49">
        <v>126585</v>
      </c>
      <c r="K13" s="33" t="s">
        <v>52</v>
      </c>
      <c r="L13" s="92" t="str">
        <f>VLOOKUP(C13,'Trips&amp;Operators'!$C$1:$E$9999,3,0)</f>
        <v>MOSES</v>
      </c>
      <c r="M13" s="131" t="s">
        <v>716</v>
      </c>
      <c r="N13" s="10" t="s">
        <v>728</v>
      </c>
      <c r="O13" s="33"/>
      <c r="P13" s="108" t="str">
        <f>VLOOKUP(C13,'Train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3" s="113" t="str">
        <f t="shared" si="0"/>
        <v>"C:\Program Files (x86)\AstroGrep\AstroGrep.exe" /spath="%USERPROFILE%\AppData\Local\Temp\OnboardLogs" /stypes="*4031*201609021*" /stext=" 19:.+((SYSTEM_STATE.+slice.+state.+changed )|(ment ac)|(system.+state.+changed )|(\|lc)|(penalty)|(\[timeout)|(PRM\|1\|D)|(kpr)|(kdp))" /e /r /s</v>
      </c>
      <c r="S13" s="9" t="str">
        <f t="shared" si="1"/>
        <v>4031</v>
      </c>
      <c r="T13" s="38">
        <f t="shared" si="2"/>
        <v>42615.828402777777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outage","project_id":79,"tracker_id":40,"status_id":1,"priority_id":2,"assigned_to_id":23,"start_date":"2016-09-02","description":"","custom_fields":[{"id":1,"name":"Subdivision","value":"EC"},{"id":4,"name":"Milepost","value":"12.6585"},{"id":17,"name":"Train ID","value":"179-02"},{"id":16,"name":"Locomotive ID","value":"4031"},{"id":130,"name":"Impact","value":""},{"id":150,"name":"Time of Event (Mountain Time)","value":"13:52:54"},{"id":151,"name":"Denver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42615.578240740739</v>
      </c>
      <c r="B14" s="33" t="s">
        <v>262</v>
      </c>
      <c r="C14" s="33" t="s">
        <v>469</v>
      </c>
      <c r="D14" s="33" t="s">
        <v>49</v>
      </c>
      <c r="E14" s="33" t="s">
        <v>54</v>
      </c>
      <c r="F14" s="49">
        <v>0</v>
      </c>
      <c r="G14" s="49">
        <v>492</v>
      </c>
      <c r="H14" s="49">
        <v>150888</v>
      </c>
      <c r="I14" s="33" t="s">
        <v>55</v>
      </c>
      <c r="J14" s="49">
        <v>149700</v>
      </c>
      <c r="K14" s="33" t="s">
        <v>53</v>
      </c>
      <c r="L14" s="92" t="str">
        <f>VLOOKUP(C14,'Trips&amp;Operators'!$C$1:$E$9999,3,0)</f>
        <v>STEWART</v>
      </c>
      <c r="M14" s="131" t="s">
        <v>716</v>
      </c>
      <c r="N14" s="10" t="s">
        <v>728</v>
      </c>
      <c r="O14" s="33"/>
      <c r="P14" s="108" t="str">
        <f>VLOOKUP(C14,'Train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4" s="113" t="str">
        <f t="shared" si="0"/>
        <v>"C:\Program Files (x86)\AstroGrep\AstroGrep.exe" /spath="%USERPROFILE%\AppData\Local\Temp\OnboardLogs" /stypes="*4015*201609021*" /stext=" 19:.+((SYSTEM_STATE.+slice.+state.+changed )|(ment ac)|(system.+state.+changed )|(\|lc)|(penalty)|(\[timeout)|(PRM\|1\|D)|(kpr)|(kdp))" /e /r /s</v>
      </c>
      <c r="S14" s="9" t="str">
        <f t="shared" si="1"/>
        <v>4015</v>
      </c>
      <c r="T14" s="38">
        <f t="shared" si="2"/>
        <v>42615.828240740739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outage","project_id":79,"tracker_id":40,"status_id":1,"priority_id":2,"assigned_to_id":23,"start_date":"2016-09-02","description":"","custom_fields":[{"id":1,"name":"Subdivision","value":"EC"},{"id":4,"name":"Milepost","value":"14.97"},{"id":17,"name":"Train ID","value":"174-02"},{"id":16,"name":"Locomotive ID","value":"4015"},{"id":130,"name":"Impact","value":""},{"id":150,"name":"Time of Event (Mountain Time)","value":"13:52:40"},{"id":151,"name":"Denver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42615.224108796298</v>
      </c>
      <c r="B15" s="33" t="s">
        <v>296</v>
      </c>
      <c r="C15" s="33" t="s">
        <v>705</v>
      </c>
      <c r="D15" s="33" t="s">
        <v>49</v>
      </c>
      <c r="E15" s="33" t="s">
        <v>54</v>
      </c>
      <c r="F15" s="49">
        <v>0</v>
      </c>
      <c r="G15" s="49">
        <v>147</v>
      </c>
      <c r="H15" s="49">
        <v>157779</v>
      </c>
      <c r="I15" s="33" t="s">
        <v>55</v>
      </c>
      <c r="J15" s="49">
        <v>157300</v>
      </c>
      <c r="K15" s="33" t="s">
        <v>53</v>
      </c>
      <c r="L15" s="92" t="str">
        <f>VLOOKUP(C15,'Trips&amp;Operators'!$C$1:$E$9999,3,0)</f>
        <v>MALAVE</v>
      </c>
      <c r="M15" s="131" t="s">
        <v>716</v>
      </c>
      <c r="N15" s="10" t="s">
        <v>728</v>
      </c>
      <c r="O15" s="33"/>
      <c r="P15" s="108" t="str">
        <f>VLOOKUP(C15,'Train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5" s="113" t="str">
        <f t="shared" si="0"/>
        <v>"C:\Program Files (x86)\AstroGrep\AstroGrep.exe" /spath="%USERPROFILE%\AppData\Local\Temp\OnboardLogs" /stypes="*4001*201609021*" /stext=" 11:.+((SYSTEM_STATE.+slice.+state.+changed )|(ment ac)|(system.+state.+changed )|(\|lc)|(penalty)|(\[timeout)|(PRM\|1\|D)|(kpr)|(kdp))" /e /r /s</v>
      </c>
      <c r="S15" s="9" t="str">
        <f t="shared" si="1"/>
        <v>4001</v>
      </c>
      <c r="T15" s="38">
        <f t="shared" si="2"/>
        <v>42615.474108796298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outage","project_id":79,"tracker_id":40,"status_id":1,"priority_id":2,"assigned_to_id":23,"start_date":"2016-09-02","description":"","custom_fields":[{"id":1,"name":"Subdivision","value":"EC"},{"id":4,"name":"Milepost","value":"15.73"},{"id":17,"name":"Train ID","value":"106-02"},{"id":16,"name":"Locomotive ID","value":"4001"},{"id":130,"name":"Impact","value":""},{"id":150,"name":"Time of Event (Mountain Time)","value":"05:22:43"},{"id":151,"name":"Denver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42615.22252314815</v>
      </c>
      <c r="B16" s="33" t="s">
        <v>296</v>
      </c>
      <c r="C16" s="33" t="s">
        <v>705</v>
      </c>
      <c r="D16" s="33" t="s">
        <v>49</v>
      </c>
      <c r="E16" s="33" t="s">
        <v>54</v>
      </c>
      <c r="F16" s="49">
        <v>0</v>
      </c>
      <c r="G16" s="49">
        <v>683</v>
      </c>
      <c r="H16" s="49">
        <v>162765</v>
      </c>
      <c r="I16" s="33" t="s">
        <v>55</v>
      </c>
      <c r="J16" s="49">
        <v>162262</v>
      </c>
      <c r="K16" s="33" t="s">
        <v>53</v>
      </c>
      <c r="L16" s="92" t="str">
        <f>VLOOKUP(C16,'Trips&amp;Operators'!$C$1:$E$9999,3,0)</f>
        <v>MALAVE</v>
      </c>
      <c r="M16" s="131" t="s">
        <v>716</v>
      </c>
      <c r="N16" s="10" t="s">
        <v>728</v>
      </c>
      <c r="O16" s="33"/>
      <c r="P16" s="108" t="str">
        <f>VLOOKUP(C16,'Train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" s="113" t="str">
        <f t="shared" si="0"/>
        <v>"C:\Program Files (x86)\AstroGrep\AstroGrep.exe" /spath="%USERPROFILE%\AppData\Local\Temp\OnboardLogs" /stypes="*4001*201609021*" /stext=" 11:.+((SYSTEM_STATE.+slice.+state.+changed )|(ment ac)|(system.+state.+changed )|(\|lc)|(penalty)|(\[timeout)|(PRM\|1\|D)|(kpr)|(kdp))" /e /r /s</v>
      </c>
      <c r="S16" s="9" t="str">
        <f t="shared" si="1"/>
        <v>4001</v>
      </c>
      <c r="T16" s="38">
        <f t="shared" si="2"/>
        <v>42615.47252314815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outage","project_id":79,"tracker_id":40,"status_id":1,"priority_id":2,"assigned_to_id":23,"start_date":"2016-09-02","description":"","custom_fields":[{"id":1,"name":"Subdivision","value":"EC"},{"id":4,"name":"Milepost","value":"16.2262"},{"id":17,"name":"Train ID","value":"106-02"},{"id":16,"name":"Locomotive ID","value":"4001"},{"id":130,"name":"Impact","value":""},{"id":150,"name":"Time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42615.428067129629</v>
      </c>
      <c r="B17" s="33" t="s">
        <v>262</v>
      </c>
      <c r="C17" s="33" t="s">
        <v>431</v>
      </c>
      <c r="D17" s="33" t="s">
        <v>49</v>
      </c>
      <c r="E17" s="33" t="s">
        <v>54</v>
      </c>
      <c r="F17" s="49">
        <v>0</v>
      </c>
      <c r="G17" s="49">
        <v>407</v>
      </c>
      <c r="H17" s="49">
        <v>193897</v>
      </c>
      <c r="I17" s="33" t="s">
        <v>55</v>
      </c>
      <c r="J17" s="49">
        <v>191723</v>
      </c>
      <c r="K17" s="33" t="s">
        <v>53</v>
      </c>
      <c r="L17" s="92" t="str">
        <f>VLOOKUP(C17,'Trips&amp;Operators'!$C$1:$E$9999,3,0)</f>
        <v>DAVIS</v>
      </c>
      <c r="M17" s="131" t="s">
        <v>86</v>
      </c>
      <c r="N17" s="10" t="s">
        <v>279</v>
      </c>
      <c r="O17" s="33"/>
      <c r="P17" s="108" t="str">
        <f>VLOOKUP(C17,'Train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7" s="113" t="str">
        <f t="shared" si="0"/>
        <v>"C:\Program Files (x86)\AstroGrep\AstroGrep.exe" /spath="%USERPROFILE%\AppData\Local\Temp\OnboardLogs" /stypes="*4015*201609021*" /stext=" 16:.+((SYSTEM_STATE.+slice.+state.+changed )|(ment ac)|(system.+state.+changed )|(\|lc)|(penalty)|(\[timeout)|(PRM\|1\|D)|(kpr)|(kdp))" /e /r /s</v>
      </c>
      <c r="S17" s="9" t="str">
        <f t="shared" si="1"/>
        <v>4015</v>
      </c>
      <c r="T17" s="38">
        <f t="shared" si="2"/>
        <v>42615.678067129629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ID","value":"146-02"},{"id":16,"name":"Locomotive ID","value":"4015"},{"id":130,"name":"Impact","value":""},{"id":150,"name":"Time of Event (Mountain Time)","value":"10:16:25"},{"id":151,"name":"Denver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42615.532569444447</v>
      </c>
      <c r="B18" s="33" t="s">
        <v>115</v>
      </c>
      <c r="C18" s="33" t="s">
        <v>459</v>
      </c>
      <c r="D18" s="33" t="s">
        <v>49</v>
      </c>
      <c r="E18" s="33" t="s">
        <v>54</v>
      </c>
      <c r="F18" s="49">
        <v>0</v>
      </c>
      <c r="G18" s="49">
        <v>447</v>
      </c>
      <c r="H18" s="49">
        <v>194194</v>
      </c>
      <c r="I18" s="33" t="s">
        <v>55</v>
      </c>
      <c r="J18" s="49">
        <v>191723</v>
      </c>
      <c r="K18" s="33" t="s">
        <v>53</v>
      </c>
      <c r="L18" s="92" t="str">
        <f>VLOOKUP(C18,'Trips&amp;Operators'!$C$1:$E$9999,3,0)</f>
        <v>MOSES</v>
      </c>
      <c r="M18" s="131" t="s">
        <v>86</v>
      </c>
      <c r="N18" s="10" t="s">
        <v>279</v>
      </c>
      <c r="O18" s="33"/>
      <c r="P18" s="108" t="str">
        <f>VLOOKUP(C18,'Train Runs'!$A$13:$AE$10015,31,0)</f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Q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8" s="113" t="str">
        <f t="shared" si="0"/>
        <v>"C:\Program Files (x86)\AstroGrep\AstroGrep.exe" /spath="%USERPROFILE%\AppData\Local\Temp\OnboardLogs" /stypes="*4032*201609021*" /stext=" 18:.+((SYSTEM_STATE.+slice.+state.+changed )|(ment ac)|(system.+state.+changed )|(\|lc)|(penalty)|(\[timeout)|(PRM\|1\|D)|(kpr)|(kdp))" /e /r /s</v>
      </c>
      <c r="S18" s="9" t="str">
        <f t="shared" si="1"/>
        <v>4032</v>
      </c>
      <c r="T18" s="38">
        <f t="shared" si="2"/>
        <v>42615.782569444447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ID","value":"166-02"},{"id":16,"name":"Locomotive ID","value":"4032"},{"id":130,"name":"Impact","value":""},{"id":150,"name":"Time of Event (Mountain Time)","value":"12:46:54"},{"id":151,"name":"Denver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42615.750937500001</v>
      </c>
      <c r="B19" s="33" t="s">
        <v>268</v>
      </c>
      <c r="C19" s="33" t="s">
        <v>522</v>
      </c>
      <c r="D19" s="33" t="s">
        <v>111</v>
      </c>
      <c r="E19" s="33" t="s">
        <v>714</v>
      </c>
      <c r="F19" s="49">
        <v>0</v>
      </c>
      <c r="G19" s="49">
        <v>138</v>
      </c>
      <c r="H19" s="49">
        <v>2123</v>
      </c>
      <c r="I19" s="33" t="s">
        <v>709</v>
      </c>
      <c r="J19" s="49">
        <v>1692</v>
      </c>
      <c r="K19" s="33" t="s">
        <v>52</v>
      </c>
      <c r="L19" s="92" t="str">
        <f>VLOOKUP(C19,'Trips&amp;Operators'!$C$1:$E$9999,3,0)</f>
        <v>WEBSTER</v>
      </c>
      <c r="M19" s="131" t="s">
        <v>716</v>
      </c>
      <c r="N19" s="10" t="s">
        <v>728</v>
      </c>
      <c r="O19" s="33"/>
      <c r="P19" s="108" t="str">
        <f>VLOOKUP(C19,'Train Runs'!$A$13:$AE$10015,31,0)</f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Q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9" s="113" t="str">
        <f t="shared" si="0"/>
        <v>"C:\Program Files (x86)\AstroGrep\AstroGrep.exe" /spath="%USERPROFILE%\AppData\Local\Temp\OnboardLogs" /stypes="*4016*201609030*" /stext=" 00:.+((SYSTEM_STATE.+slice.+state.+changed )|(ment ac)|(system.+state.+changed )|(\|lc)|(penalty)|(\[timeout)|(PRM\|1\|D)|(kpr)|(kdp))" /e /r /s</v>
      </c>
      <c r="S19" s="9" t="str">
        <f t="shared" si="1"/>
        <v>4016</v>
      </c>
      <c r="T19" s="38">
        <f t="shared" si="2"/>
        <v>42616.000937500001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outage","project_id":79,"tracker_id":40,"status_id":1,"priority_id":2,"assigned_to_id":23,"start_date":"2016-09-02","description":"","custom_fields":[{"id":1,"name":"Subdivision","value":"EC"},{"id":4,"name":"Milepost","value":"0.1692"},{"id":17,"name":"Train ID","value":"215-02"},{"id":16,"name":"Locomotive ID","value":"4016"},{"id":130,"name":"Impact","value":""},{"id":150,"name":"Time of Event (Mountain Time)","value":"18:01:21"},{"id":151,"name":"Denver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42615.34815972222</v>
      </c>
      <c r="B20" s="33" t="s">
        <v>706</v>
      </c>
      <c r="C20" s="33" t="s">
        <v>405</v>
      </c>
      <c r="D20" s="33" t="s">
        <v>49</v>
      </c>
      <c r="E20" s="33" t="s">
        <v>50</v>
      </c>
      <c r="F20" s="49">
        <v>0</v>
      </c>
      <c r="G20" s="49">
        <v>33</v>
      </c>
      <c r="H20" s="49">
        <v>141</v>
      </c>
      <c r="I20" s="33" t="s">
        <v>51</v>
      </c>
      <c r="J20" s="49">
        <v>1</v>
      </c>
      <c r="K20" s="33" t="s">
        <v>53</v>
      </c>
      <c r="L20" s="92" t="str">
        <f>VLOOKUP(C20,'Trips&amp;Operators'!$C$1:$E$9999,3,0)</f>
        <v>SPECTOR</v>
      </c>
      <c r="M20" s="131" t="s">
        <v>86</v>
      </c>
      <c r="N20" s="10"/>
      <c r="O20" s="33"/>
      <c r="P20" s="108" t="str">
        <f>VLOOKUP(C20,'Train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20" s="113" t="str">
        <f t="shared" si="0"/>
        <v>"C:\Program Files (x86)\AstroGrep\AstroGrep.exe" /spath="%USERPROFILE%\AppData\Local\Temp\OnboardLogs" /stypes="*4054*201609021*" /stext=" 14:.+((SYSTEM_STATE.+slice.+state.+changed )|(ment ac)|(system.+state.+changed )|(\|lc)|(penalty)|(\[timeout)|(PRM\|1\|D)|(kpr)|(kdp))" /e /r /s</v>
      </c>
      <c r="S20" s="9" t="str">
        <f t="shared" si="1"/>
        <v>4054</v>
      </c>
      <c r="T20" s="38">
        <f t="shared" si="2"/>
        <v>42615.59815972222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ID","value":"126-02"},{"id":16,"name":"Locomotive ID","value":"4054"},{"id":130,"name":"Impact","value":""},{"id":150,"name":"Time of Event (Mountain Time)","value":"08:21:21"},{"id":151,"name":"Denver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42615.421747685185</v>
      </c>
      <c r="B21" s="33" t="s">
        <v>706</v>
      </c>
      <c r="C21" s="33" t="s">
        <v>421</v>
      </c>
      <c r="D21" s="33" t="s">
        <v>49</v>
      </c>
      <c r="E21" s="33" t="s">
        <v>50</v>
      </c>
      <c r="F21" s="49">
        <v>0</v>
      </c>
      <c r="G21" s="49">
        <v>55</v>
      </c>
      <c r="H21" s="49">
        <v>176</v>
      </c>
      <c r="I21" s="33" t="s">
        <v>51</v>
      </c>
      <c r="J21" s="49">
        <v>1</v>
      </c>
      <c r="K21" s="33" t="s">
        <v>53</v>
      </c>
      <c r="L21" s="92" t="str">
        <f>VLOOKUP(C21,'Trips&amp;Operators'!$C$1:$E$9999,3,0)</f>
        <v>SPECTOR</v>
      </c>
      <c r="M21" s="131" t="s">
        <v>86</v>
      </c>
      <c r="N21" s="10"/>
      <c r="O21" s="33"/>
      <c r="P21" s="108" t="str">
        <f>VLOOKUP(C21,'Train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21" s="113" t="str">
        <f t="shared" si="0"/>
        <v>"C:\Program Files (x86)\AstroGrep\AstroGrep.exe" /spath="%USERPROFILE%\AppData\Local\Temp\OnboardLogs" /stypes="*4054*201609021*" /stext=" 16:.+((SYSTEM_STATE.+slice.+state.+changed )|(ment ac)|(system.+state.+changed )|(\|lc)|(penalty)|(\[timeout)|(PRM\|1\|D)|(kpr)|(kdp))" /e /r /s</v>
      </c>
      <c r="S21" s="9" t="str">
        <f t="shared" si="1"/>
        <v>4054</v>
      </c>
      <c r="T21" s="38">
        <f t="shared" si="2"/>
        <v>42615.671747685185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ID","value":"140-02"},{"id":16,"name":"Locomotive ID","value":"4054"},{"id":130,"name":"Impact","value":""},{"id":150,"name":"Time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42615.493136574078</v>
      </c>
      <c r="B22" s="33" t="s">
        <v>706</v>
      </c>
      <c r="C22" s="33" t="s">
        <v>442</v>
      </c>
      <c r="D22" s="33" t="s">
        <v>49</v>
      </c>
      <c r="E22" s="33" t="s">
        <v>50</v>
      </c>
      <c r="F22" s="49">
        <v>0</v>
      </c>
      <c r="G22" s="49">
        <v>38</v>
      </c>
      <c r="H22" s="49">
        <v>130</v>
      </c>
      <c r="I22" s="33" t="s">
        <v>51</v>
      </c>
      <c r="J22" s="49">
        <v>1</v>
      </c>
      <c r="K22" s="33" t="s">
        <v>53</v>
      </c>
      <c r="L22" s="92" t="str">
        <f>VLOOKUP(C22,'Trips&amp;Operators'!$C$1:$E$9999,3,0)</f>
        <v>SPECTOR</v>
      </c>
      <c r="M22" s="131" t="s">
        <v>86</v>
      </c>
      <c r="N22" s="10"/>
      <c r="O22" s="33"/>
      <c r="P22" s="108" t="str">
        <f>VLOOKUP(C22,'Train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22" s="113" t="str">
        <f t="shared" si="0"/>
        <v>"C:\Program Files (x86)\AstroGrep\AstroGrep.exe" /spath="%USERPROFILE%\AppData\Local\Temp\OnboardLogs" /stypes="*4054*201609021*" /stext=" 17:.+((SYSTEM_STATE.+slice.+state.+changed )|(ment ac)|(system.+state.+changed )|(\|lc)|(penalty)|(\[timeout)|(PRM\|1\|D)|(kpr)|(kdp))" /e /r /s</v>
      </c>
      <c r="S22" s="9" t="str">
        <f t="shared" si="1"/>
        <v>4054</v>
      </c>
      <c r="T22" s="38">
        <f t="shared" si="2"/>
        <v>42615.743136574078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ID","value":"154-02"},{"id":16,"name":"Locomotive ID","value":"4054"},{"id":130,"name":"Impact","value":""},{"id":150,"name":"Time of Event (Mountain Time)","value":"11:50:07"},{"id":151,"name":"Denver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42615.818414351852</v>
      </c>
      <c r="B23" s="33" t="s">
        <v>262</v>
      </c>
      <c r="C23" s="33" t="s">
        <v>523</v>
      </c>
      <c r="D23" s="33" t="s">
        <v>49</v>
      </c>
      <c r="E23" s="33" t="s">
        <v>50</v>
      </c>
      <c r="F23" s="49">
        <v>0</v>
      </c>
      <c r="G23" s="49">
        <v>40</v>
      </c>
      <c r="H23" s="49">
        <v>956</v>
      </c>
      <c r="I23" s="33" t="s">
        <v>51</v>
      </c>
      <c r="J23" s="49">
        <v>839</v>
      </c>
      <c r="K23" s="33" t="s">
        <v>53</v>
      </c>
      <c r="L23" s="92" t="str">
        <f>VLOOKUP(C23,'Trips&amp;Operators'!$C$1:$E$9999,3,0)</f>
        <v>WEBSTER</v>
      </c>
      <c r="M23" s="131" t="s">
        <v>86</v>
      </c>
      <c r="N23" s="10"/>
      <c r="O23" s="33"/>
      <c r="P23" s="108" t="str">
        <f>VLOOKUP(C23,'Train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3" s="113" t="str">
        <f t="shared" si="0"/>
        <v>"C:\Program Files (x86)\AstroGrep\AstroGrep.exe" /spath="%USERPROFILE%\AppData\Local\Temp\OnboardLogs" /stypes="*4015*201609030*" /stext=" 01:.+((SYSTEM_STATE.+slice.+state.+changed )|(ment ac)|(system.+state.+changed )|(\|lc)|(penalty)|(\[timeout)|(PRM\|1\|D)|(kpr)|(kdp))" /e /r /s</v>
      </c>
      <c r="S23" s="9" t="str">
        <f t="shared" si="1"/>
        <v>4015</v>
      </c>
      <c r="T23" s="38">
        <f t="shared" si="2"/>
        <v>42616.068414351852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ID","value":"216-02"},{"id":16,"name":"Locomotive ID","value":"4015"},{"id":130,"name":"Impact","value":""},{"id":150,"name":"Time of Event (Mountain Time)","value":"19:38:31"},{"id":151,"name":"Denver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42615.899756944447</v>
      </c>
      <c r="B24" s="33" t="s">
        <v>141</v>
      </c>
      <c r="C24" s="33" t="s">
        <v>537</v>
      </c>
      <c r="D24" s="33" t="s">
        <v>49</v>
      </c>
      <c r="E24" s="33" t="s">
        <v>50</v>
      </c>
      <c r="F24" s="49">
        <v>0</v>
      </c>
      <c r="G24" s="49">
        <v>86</v>
      </c>
      <c r="H24" s="49">
        <v>1143</v>
      </c>
      <c r="I24" s="33" t="s">
        <v>51</v>
      </c>
      <c r="J24" s="49">
        <v>839</v>
      </c>
      <c r="K24" s="33" t="s">
        <v>53</v>
      </c>
      <c r="L24" s="92" t="str">
        <f>VLOOKUP(C24,'Trips&amp;Operators'!$C$1:$E$9999,3,0)</f>
        <v>OUN</v>
      </c>
      <c r="M24" s="131" t="s">
        <v>86</v>
      </c>
      <c r="N24" s="10"/>
      <c r="O24" s="33"/>
      <c r="P24" s="108" t="str">
        <f>VLOOKUP(C24,'Train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4" s="113" t="str">
        <f t="shared" si="0"/>
        <v>"C:\Program Files (x86)\AstroGrep\AstroGrep.exe" /spath="%USERPROFILE%\AppData\Local\Temp\OnboardLogs" /stypes="*4037*201609030*" /stext=" 03:.+((SYSTEM_STATE.+slice.+state.+changed )|(ment ac)|(system.+state.+changed )|(\|lc)|(penalty)|(\[timeout)|(PRM\|1\|D)|(kpr)|(kdp))" /e /r /s</v>
      </c>
      <c r="S24" s="9" t="str">
        <f t="shared" si="1"/>
        <v>4037</v>
      </c>
      <c r="T24" s="38">
        <f t="shared" si="2"/>
        <v>42616.149756944447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42615.900300925925</v>
      </c>
      <c r="B25" s="33" t="s">
        <v>141</v>
      </c>
      <c r="C25" s="33" t="s">
        <v>537</v>
      </c>
      <c r="D25" s="33" t="s">
        <v>49</v>
      </c>
      <c r="E25" s="33" t="s">
        <v>50</v>
      </c>
      <c r="F25" s="49">
        <v>0</v>
      </c>
      <c r="G25" s="49">
        <v>36</v>
      </c>
      <c r="H25" s="49">
        <v>930</v>
      </c>
      <c r="I25" s="33" t="s">
        <v>51</v>
      </c>
      <c r="J25" s="49">
        <v>839</v>
      </c>
      <c r="K25" s="33" t="s">
        <v>53</v>
      </c>
      <c r="L25" s="92" t="str">
        <f>VLOOKUP(C25,'Trips&amp;Operators'!$C$1:$E$9999,3,0)</f>
        <v>OUN</v>
      </c>
      <c r="M25" s="131" t="s">
        <v>86</v>
      </c>
      <c r="N25" s="10"/>
      <c r="O25" s="33"/>
      <c r="P25" s="108" t="str">
        <f>VLOOKUP(C25,'Train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5" s="113" t="str">
        <f t="shared" si="0"/>
        <v>"C:\Program Files (x86)\AstroGrep\AstroGrep.exe" /spath="%USERPROFILE%\AppData\Local\Temp\OnboardLogs" /stypes="*4037*201609030*" /stext=" 03:.+((SYSTEM_STATE.+slice.+state.+changed )|(ment ac)|(system.+state.+changed )|(\|lc)|(penalty)|(\[timeout)|(PRM\|1\|D)|(kpr)|(kdp))" /e /r /s</v>
      </c>
      <c r="S25" s="9" t="str">
        <f t="shared" si="1"/>
        <v>4037</v>
      </c>
      <c r="T25" s="38">
        <f t="shared" si="2"/>
        <v>42616.150300925925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42615.161782407406</v>
      </c>
      <c r="B26" s="33" t="s">
        <v>704</v>
      </c>
      <c r="C26" s="33" t="s">
        <v>369</v>
      </c>
      <c r="D26" s="33" t="s">
        <v>49</v>
      </c>
      <c r="E26" s="33" t="s">
        <v>50</v>
      </c>
      <c r="F26" s="49">
        <v>0</v>
      </c>
      <c r="G26" s="49">
        <v>146</v>
      </c>
      <c r="H26" s="49">
        <v>232879</v>
      </c>
      <c r="I26" s="33" t="s">
        <v>51</v>
      </c>
      <c r="J26" s="49">
        <v>233491</v>
      </c>
      <c r="K26" s="33" t="s">
        <v>52</v>
      </c>
      <c r="L26" s="92" t="str">
        <f>VLOOKUP(C26,'Trips&amp;Operators'!$C$1:$E$9999,3,0)</f>
        <v>MAELZER</v>
      </c>
      <c r="M26" s="131" t="s">
        <v>86</v>
      </c>
      <c r="N26" s="10"/>
      <c r="O26" s="33"/>
      <c r="P26" s="108" t="str">
        <f>VLOOKUP(C26,'Train Runs'!$A$13:$AE$10015,31,0)</f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Q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R26" s="113" t="str">
        <f t="shared" si="0"/>
        <v>"C:\Program Files (x86)\AstroGrep\AstroGrep.exe" /spath="%USERPROFILE%\AppData\Local\Temp\OnboardLogs" /stypes="*4053*201609020*" /stext=" 09:.+((SYSTEM_STATE.+slice.+state.+changed )|(ment ac)|(system.+state.+changed )|(\|lc)|(penalty)|(\[timeout)|(PRM\|1\|D)|(kpr)|(kdp))" /e /r /s</v>
      </c>
      <c r="S26" s="9" t="str">
        <f t="shared" si="1"/>
        <v>4053</v>
      </c>
      <c r="T26" s="38">
        <f t="shared" si="2"/>
        <v>42615.411782407406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ID","value":"101-02"},{"id":16,"name":"Locomotive ID","value":"4053"},{"id":130,"name":"Impact","value":""},{"id":150,"name":"Time of Event (Mountain Time)","value":"03:52:58"},{"id":151,"name":"Denver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42615.495034722226</v>
      </c>
      <c r="B27" s="33" t="s">
        <v>167</v>
      </c>
      <c r="C27" s="33" t="s">
        <v>450</v>
      </c>
      <c r="D27" s="33" t="s">
        <v>49</v>
      </c>
      <c r="E27" s="33" t="s">
        <v>50</v>
      </c>
      <c r="F27" s="49">
        <v>0</v>
      </c>
      <c r="G27" s="49">
        <v>73</v>
      </c>
      <c r="H27" s="49">
        <v>233200</v>
      </c>
      <c r="I27" s="33" t="s">
        <v>51</v>
      </c>
      <c r="J27" s="49">
        <v>233491</v>
      </c>
      <c r="K27" s="33" t="s">
        <v>52</v>
      </c>
      <c r="L27" s="92" t="str">
        <f>VLOOKUP(C27,'Trips&amp;Operators'!$C$1:$E$9999,3,0)</f>
        <v>CLARK</v>
      </c>
      <c r="M27" s="131" t="s">
        <v>86</v>
      </c>
      <c r="N27" s="10"/>
      <c r="O27" s="33"/>
      <c r="P27" s="108" t="str">
        <f>VLOOKUP(C27,'Train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7" s="113" t="str">
        <f t="shared" si="0"/>
        <v>"C:\Program Files (x86)\AstroGrep\AstroGrep.exe" /spath="%USERPROFILE%\AppData\Local\Temp\OnboardLogs" /stypes="*4009*201609021*" /stext=" 17:.+((SYSTEM_STATE.+slice.+state.+changed )|(ment ac)|(system.+state.+changed )|(\|lc)|(penalty)|(\[timeout)|(PRM\|1\|D)|(kpr)|(kdp))" /e /r /s</v>
      </c>
      <c r="S27" s="9" t="str">
        <f t="shared" si="1"/>
        <v>4009</v>
      </c>
      <c r="T27" s="38">
        <f t="shared" si="2"/>
        <v>42615.745034722226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ID","value":"161-02"},{"id":16,"name":"Locomotive ID","value":"4009"},{"id":130,"name":"Impact","value":""},{"id":150,"name":"Time of Event (Mountain Time)","value":"11:52:51"},{"id":151,"name":"Denver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42615.713530092595</v>
      </c>
      <c r="B28" s="33" t="s">
        <v>167</v>
      </c>
      <c r="C28" s="33" t="s">
        <v>506</v>
      </c>
      <c r="D28" s="33" t="s">
        <v>49</v>
      </c>
      <c r="E28" s="33" t="s">
        <v>50</v>
      </c>
      <c r="F28" s="49">
        <v>0</v>
      </c>
      <c r="G28" s="49">
        <v>92</v>
      </c>
      <c r="H28" s="49">
        <v>233086</v>
      </c>
      <c r="I28" s="33" t="s">
        <v>51</v>
      </c>
      <c r="J28" s="49">
        <v>233491</v>
      </c>
      <c r="K28" s="33" t="s">
        <v>52</v>
      </c>
      <c r="L28" s="92" t="str">
        <f>VLOOKUP(C28,'Trips&amp;Operators'!$C$1:$E$9999,3,0)</f>
        <v>CLARK</v>
      </c>
      <c r="M28" s="131" t="s">
        <v>86</v>
      </c>
      <c r="N28" s="10"/>
      <c r="O28" s="33"/>
      <c r="P28" s="108" t="str">
        <f>VLOOKUP(C28,'Train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8" s="113" t="str">
        <f t="shared" si="0"/>
        <v>"C:\Program Files (x86)\AstroGrep\AstroGrep.exe" /spath="%USERPROFILE%\AppData\Local\Temp\OnboardLogs" /stypes="*4009*201609022*" /stext=" 23:.+((SYSTEM_STATE.+slice.+state.+changed )|(ment ac)|(system.+state.+changed )|(\|lc)|(penalty)|(\[timeout)|(PRM\|1\|D)|(kpr)|(kdp))" /e /r /s</v>
      </c>
      <c r="S28" s="9" t="str">
        <f t="shared" si="1"/>
        <v>4009</v>
      </c>
      <c r="T28" s="38">
        <f t="shared" si="2"/>
        <v>42615.963530092595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ID","value":"203-02"},{"id":16,"name":"Locomotive ID","value":"4009"},{"id":130,"name":"Impact","value":""},{"id":150,"name":"Time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42615.723981481482</v>
      </c>
      <c r="B29" s="33" t="s">
        <v>297</v>
      </c>
      <c r="C29" s="33" t="s">
        <v>510</v>
      </c>
      <c r="D29" s="33" t="s">
        <v>49</v>
      </c>
      <c r="E29" s="33" t="s">
        <v>50</v>
      </c>
      <c r="F29" s="49">
        <v>0</v>
      </c>
      <c r="G29" s="49">
        <v>55</v>
      </c>
      <c r="H29" s="49">
        <v>233297</v>
      </c>
      <c r="I29" s="33" t="s">
        <v>51</v>
      </c>
      <c r="J29" s="49">
        <v>233491</v>
      </c>
      <c r="K29" s="33" t="s">
        <v>52</v>
      </c>
      <c r="L29" s="92" t="str">
        <f>VLOOKUP(C29,'Trips&amp;Operators'!$C$1:$E$9999,3,0)</f>
        <v>BONDS</v>
      </c>
      <c r="M29" s="131" t="s">
        <v>86</v>
      </c>
      <c r="N29" s="10"/>
      <c r="O29" s="33"/>
      <c r="P29" s="108" t="str">
        <f>VLOOKUP(C29,'Train Runs'!$A$13:$AE$10015,31,0)</f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Q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29" s="113" t="str">
        <f t="shared" si="0"/>
        <v>"C:\Program Files (x86)\AstroGrep\AstroGrep.exe" /spath="%USERPROFILE%\AppData\Local\Temp\OnboardLogs" /stypes="*4044*201609022*" /stext=" 23:.+((SYSTEM_STATE.+slice.+state.+changed )|(ment ac)|(system.+state.+changed )|(\|lc)|(penalty)|(\[timeout)|(PRM\|1\|D)|(kpr)|(kdp))" /e /r /s</v>
      </c>
      <c r="S29" s="9" t="str">
        <f t="shared" si="1"/>
        <v>4044</v>
      </c>
      <c r="T29" s="38">
        <f t="shared" si="2"/>
        <v>42615.973981481482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ID","value":"205-02"},{"id":16,"name":"Locomotive ID","value":"4044"},{"id":130,"name":"Impact","value":""},{"id":150,"name":"Time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42615.823425925926</v>
      </c>
      <c r="B30" s="33" t="s">
        <v>114</v>
      </c>
      <c r="C30" s="33" t="s">
        <v>531</v>
      </c>
      <c r="D30" s="33" t="s">
        <v>49</v>
      </c>
      <c r="E30" s="33" t="s">
        <v>50</v>
      </c>
      <c r="F30" s="49">
        <v>0</v>
      </c>
      <c r="G30" s="49">
        <v>56</v>
      </c>
      <c r="H30" s="49">
        <v>233291</v>
      </c>
      <c r="I30" s="33" t="s">
        <v>51</v>
      </c>
      <c r="J30" s="49">
        <v>233491</v>
      </c>
      <c r="K30" s="33" t="s">
        <v>52</v>
      </c>
      <c r="L30" s="92" t="str">
        <f>VLOOKUP(C30,'Trips&amp;Operators'!$C$1:$E$9999,3,0)</f>
        <v>HAITHCOX</v>
      </c>
      <c r="M30" s="131" t="s">
        <v>86</v>
      </c>
      <c r="N30" s="10"/>
      <c r="O30" s="33"/>
      <c r="P30" s="108" t="str">
        <f>VLOOKUP(C30,'Train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0" s="113" t="str">
        <f t="shared" si="0"/>
        <v>"C:\Program Files (x86)\AstroGrep\AstroGrep.exe" /spath="%USERPROFILE%\AppData\Local\Temp\OnboardLogs" /stypes="*4031*201609030*" /stext=" 01:.+((SYSTEM_STATE.+slice.+state.+changed )|(ment ac)|(system.+state.+changed )|(\|lc)|(penalty)|(\[timeout)|(PRM\|1\|D)|(kpr)|(kdp))" /e /r /s</v>
      </c>
      <c r="S30" s="9" t="str">
        <f t="shared" si="1"/>
        <v>4031</v>
      </c>
      <c r="T30" s="38">
        <f t="shared" si="2"/>
        <v>42616.073425925926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ID","value":"221-02"},{"id":16,"name":"Locomotive ID","value":"4031"},{"id":130,"name":"Impact","value":""},{"id":150,"name":"Time of Event (Mountain Time)","value":"19:45:44"},{"id":151,"name":"Denver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42615.328726851854</v>
      </c>
      <c r="B31" s="33" t="s">
        <v>299</v>
      </c>
      <c r="C31" s="33" t="s">
        <v>617</v>
      </c>
      <c r="D31" s="33" t="s">
        <v>111</v>
      </c>
      <c r="E31" s="33" t="s">
        <v>56</v>
      </c>
      <c r="F31" s="49">
        <v>150</v>
      </c>
      <c r="G31" s="49">
        <v>203</v>
      </c>
      <c r="H31" s="49">
        <v>5470</v>
      </c>
      <c r="I31" s="33" t="s">
        <v>57</v>
      </c>
      <c r="J31" s="49">
        <v>574</v>
      </c>
      <c r="K31" s="33" t="s">
        <v>52</v>
      </c>
      <c r="L31" s="92" t="str">
        <f>VLOOKUP(C31,'Trips&amp;Operators'!$C$1:$E$9999,3,0)</f>
        <v>STRICKLAND</v>
      </c>
      <c r="M31" s="131" t="s">
        <v>86</v>
      </c>
      <c r="N31" s="10"/>
      <c r="O31" s="33"/>
      <c r="P31" s="108" t="str">
        <f>VLOOKUP(C31,'Train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31" s="113" t="str">
        <f t="shared" si="0"/>
        <v>"C:\Program Files (x86)\AstroGrep\AstroGrep.exe" /spath="%USERPROFILE%\AppData\Local\Temp\OnboardLogs" /stypes="*4007*201609021*" /stext=" 13:.+((SYSTEM_STATE.+slice.+state.+changed )|(ment ac)|(system.+state.+changed )|(\|lc)|(penalty)|(\[timeout)|(PRM\|1\|D)|(kpr)|(kdp))" /e /r /s</v>
      </c>
      <c r="S31" s="9" t="str">
        <f t="shared" si="1"/>
        <v>4007</v>
      </c>
      <c r="T31" s="38">
        <f t="shared" si="2"/>
        <v>42615.578726851854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{"issue":{"subject":"","project_id":79,"tracker_id":40,"status_id":1,"priority_id":2,"assigned_to_id":23,"start_date":"2016-09-02","description":"","custom_fields":[{"id":1,"name":"Subdivision","value":"NW"},{"id":4,"name":"Milepost","value":"0.0574"},{"id":17,"name":"Train ID","value":"809-02"},{"id":16,"name":"Locomotive ID","value":"4007"},{"id":130,"name":"Impact","value":""},{"id":150,"name":"Time of Event (Mountain Time)","value":"07:53:22"},{"id":151,"name":"Denver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42615.3356712963</v>
      </c>
      <c r="B32" s="33" t="s">
        <v>299</v>
      </c>
      <c r="C32" s="33" t="s">
        <v>617</v>
      </c>
      <c r="D32" s="33" t="s">
        <v>111</v>
      </c>
      <c r="E32" s="33" t="s">
        <v>56</v>
      </c>
      <c r="F32" s="49">
        <v>300</v>
      </c>
      <c r="G32" s="49">
        <v>351</v>
      </c>
      <c r="H32" s="49">
        <v>41164</v>
      </c>
      <c r="I32" s="33" t="s">
        <v>57</v>
      </c>
      <c r="J32" s="49">
        <v>39716</v>
      </c>
      <c r="K32" s="33" t="s">
        <v>52</v>
      </c>
      <c r="L32" s="92" t="str">
        <f>VLOOKUP(C32,'Trips&amp;Operators'!$C$1:$E$9999,3,0)</f>
        <v>STRICKLAND</v>
      </c>
      <c r="M32" s="131" t="s">
        <v>86</v>
      </c>
      <c r="N32" s="10"/>
      <c r="O32" s="33"/>
      <c r="P32" s="108" t="str">
        <f>VLOOKUP(C32,'Train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32" s="113" t="str">
        <f t="shared" si="0"/>
        <v>"C:\Program Files (x86)\AstroGrep\AstroGrep.exe" /spath="%USERPROFILE%\AppData\Local\Temp\OnboardLogs" /stypes="*4007*201609021*" /stext=" 14:.+((SYSTEM_STATE.+slice.+state.+changed )|(ment ac)|(system.+state.+changed )|(\|lc)|(penalty)|(\[timeout)|(PRM\|1\|D)|(kpr)|(kdp))" /e /r /s</v>
      </c>
      <c r="S32" s="9" t="str">
        <f t="shared" si="1"/>
        <v>4007</v>
      </c>
      <c r="T32" s="38">
        <f t="shared" si="2"/>
        <v>42615.5856712963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{"issue":{"subject":"","project_id":79,"tracker_id":40,"status_id":1,"priority_id":2,"assigned_to_id":23,"start_date":"2016-09-02","description":"","custom_fields":[{"id":1,"name":"Subdivision","value":"NW"},{"id":4,"name":"Milepost","value":"3.9716"},{"id":17,"name":"Train ID","value":"809-02"},{"id":16,"name":"Locomotive ID","value":"4007"},{"id":130,"name":"Impact","value":""},{"id":150,"name":"Time of Event (Mountain Time)","value":"08:03:22"},{"id":151,"name":"Denver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42615.293715277781</v>
      </c>
      <c r="B33" s="33" t="s">
        <v>299</v>
      </c>
      <c r="C33" s="33" t="s">
        <v>611</v>
      </c>
      <c r="D33" s="33" t="s">
        <v>49</v>
      </c>
      <c r="E33" s="33" t="s">
        <v>56</v>
      </c>
      <c r="F33" s="49">
        <v>150</v>
      </c>
      <c r="G33" s="49">
        <v>304</v>
      </c>
      <c r="H33" s="49">
        <v>56270</v>
      </c>
      <c r="I33" s="33" t="s">
        <v>57</v>
      </c>
      <c r="J33" s="49">
        <v>57008</v>
      </c>
      <c r="K33" s="33" t="s">
        <v>52</v>
      </c>
      <c r="L33" s="92" t="str">
        <f>VLOOKUP(C33,'Trips&amp;Operators'!$C$1:$E$9999,3,0)</f>
        <v>STRICKLAND</v>
      </c>
      <c r="M33" s="131" t="s">
        <v>86</v>
      </c>
      <c r="N33" s="10"/>
      <c r="O33" s="33"/>
      <c r="P33" s="108" t="str">
        <f>VLOOKUP(C33,'Train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33" s="113" t="str">
        <f t="shared" si="0"/>
        <v>"C:\Program Files (x86)\AstroGrep\AstroGrep.exe" /spath="%USERPROFILE%\AppData\Local\Temp\OnboardLogs" /stypes="*4007*201609021*" /stext=" 13:.+((SYSTEM_STATE.+slice.+state.+changed )|(ment ac)|(system.+state.+changed )|(\|lc)|(penalty)|(\[timeout)|(PRM\|1\|D)|(kpr)|(kdp))" /e /r /s</v>
      </c>
      <c r="S33" s="9" t="str">
        <f t="shared" si="1"/>
        <v>4007</v>
      </c>
      <c r="T33" s="38">
        <f t="shared" si="2"/>
        <v>42615.543715277781</v>
      </c>
      <c r="U33" s="52" t="str">
        <f t="shared" si="3"/>
        <v>NW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ID","value":"805-02"},{"id":16,"name":"Locomotive ID","value":"4007"},{"id":130,"name":"Impact","value":""},{"id":150,"name":"Time of Event (Mountain Time)","value":"07:02:57"},{"id":151,"name":"Denver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42615.564282407409</v>
      </c>
      <c r="B34" s="33" t="s">
        <v>713</v>
      </c>
      <c r="C34" s="33" t="s">
        <v>642</v>
      </c>
      <c r="D34" s="33" t="s">
        <v>49</v>
      </c>
      <c r="E34" s="33" t="s">
        <v>56</v>
      </c>
      <c r="F34" s="49">
        <v>150</v>
      </c>
      <c r="G34" s="49">
        <v>405</v>
      </c>
      <c r="H34" s="49">
        <v>55642</v>
      </c>
      <c r="I34" s="33" t="s">
        <v>57</v>
      </c>
      <c r="J34" s="49">
        <v>57008</v>
      </c>
      <c r="K34" s="33" t="s">
        <v>52</v>
      </c>
      <c r="L34" s="92" t="str">
        <f>VLOOKUP(C34,'Trips&amp;Operators'!$C$1:$E$9999,3,0)</f>
        <v>MAHAN</v>
      </c>
      <c r="M34" s="131" t="s">
        <v>86</v>
      </c>
      <c r="N34" s="10"/>
      <c r="O34" s="33"/>
      <c r="P34" s="108" t="str">
        <f>VLOOKUP(C34,'Train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4" s="113" t="str">
        <f t="shared" si="0"/>
        <v>"C:\Program Files (x86)\AstroGrep\AstroGrep.exe" /spath="%USERPROFILE%\AppData\Local\Temp\OnboardLogs" /stypes="*4025*201609021*" /stext=" 19:.+((SYSTEM_STATE.+slice.+state.+changed )|(ment ac)|(system.+state.+changed )|(\|lc)|(penalty)|(\[timeout)|(PRM\|1\|D)|(kpr)|(kdp))" /e /r /s</v>
      </c>
      <c r="S34" s="9" t="str">
        <f t="shared" si="1"/>
        <v>4025</v>
      </c>
      <c r="T34" s="38">
        <f t="shared" si="2"/>
        <v>42615.814282407409</v>
      </c>
      <c r="U34" s="52" t="str">
        <f t="shared" si="3"/>
        <v>NW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ID","value":"821-02"},{"id":16,"name":"Locomotive ID","value":"4025"},{"id":130,"name":"Impact","value":""},{"id":150,"name":"Time of Event (Mountain Time)","value":"13:32:34"},{"id":151,"name":"Denver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42615.606388888889</v>
      </c>
      <c r="B35" s="33" t="s">
        <v>713</v>
      </c>
      <c r="C35" s="33" t="s">
        <v>646</v>
      </c>
      <c r="D35" s="33" t="s">
        <v>49</v>
      </c>
      <c r="E35" s="33" t="s">
        <v>56</v>
      </c>
      <c r="F35" s="49">
        <v>150</v>
      </c>
      <c r="G35" s="49">
        <v>445</v>
      </c>
      <c r="H35" s="49">
        <v>54990</v>
      </c>
      <c r="I35" s="33" t="s">
        <v>57</v>
      </c>
      <c r="J35" s="49">
        <v>57008</v>
      </c>
      <c r="K35" s="33" t="s">
        <v>52</v>
      </c>
      <c r="L35" s="92" t="str">
        <f>VLOOKUP(C35,'Trips&amp;Operators'!$C$1:$E$9999,3,0)</f>
        <v>MAHAN</v>
      </c>
      <c r="M35" s="131" t="s">
        <v>86</v>
      </c>
      <c r="N35" s="10"/>
      <c r="O35" s="33"/>
      <c r="P35" s="108" t="str">
        <f>VLOOKUP(C35,'Train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5" s="113" t="str">
        <f t="shared" si="0"/>
        <v>"C:\Program Files (x86)\AstroGrep\AstroGrep.exe" /spath="%USERPROFILE%\AppData\Local\Temp\OnboardLogs" /stypes="*4025*201609022*" /stext=" 20:.+((SYSTEM_STATE.+slice.+state.+changed )|(ment ac)|(system.+state.+changed )|(\|lc)|(penalty)|(\[timeout)|(PRM\|1\|D)|(kpr)|(kdp))" /e /r /s</v>
      </c>
      <c r="S35" s="9" t="str">
        <f t="shared" si="1"/>
        <v>4025</v>
      </c>
      <c r="T35" s="38">
        <f t="shared" si="2"/>
        <v>42615.856388888889</v>
      </c>
      <c r="U35" s="52" t="str">
        <f t="shared" si="3"/>
        <v>NW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ID","value":"823-02"},{"id":16,"name":"Locomotive ID","value":"4025"},{"id":130,"name":"Impact","value":""},{"id":150,"name":"Time of Event (Mountain Time)","value":"14:33:12"},{"id":151,"name":"Denver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42615.689375000002</v>
      </c>
      <c r="B36" s="33" t="s">
        <v>713</v>
      </c>
      <c r="C36" s="33" t="s">
        <v>660</v>
      </c>
      <c r="D36" s="33" t="s">
        <v>49</v>
      </c>
      <c r="E36" s="33" t="s">
        <v>56</v>
      </c>
      <c r="F36" s="49">
        <v>150</v>
      </c>
      <c r="G36" s="49">
        <v>218</v>
      </c>
      <c r="H36" s="49">
        <v>56896</v>
      </c>
      <c r="I36" s="33" t="s">
        <v>57</v>
      </c>
      <c r="J36" s="49">
        <v>57008</v>
      </c>
      <c r="K36" s="33" t="s">
        <v>52</v>
      </c>
      <c r="L36" s="92" t="str">
        <f>VLOOKUP(C36,'Trips&amp;Operators'!$C$1:$E$9999,3,0)</f>
        <v>MAHAN</v>
      </c>
      <c r="M36" s="131" t="s">
        <v>86</v>
      </c>
      <c r="N36" s="10"/>
      <c r="O36" s="33"/>
      <c r="P36" s="108" t="str">
        <f>VLOOKUP(C36,'Train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6" s="113" t="str">
        <f t="shared" si="0"/>
        <v>"C:\Program Files (x86)\AstroGrep\AstroGrep.exe" /spath="%USERPROFILE%\AppData\Local\Temp\OnboardLogs" /stypes="*4025*201609022*" /stext=" 22:.+((SYSTEM_STATE.+slice.+state.+changed )|(ment ac)|(system.+state.+changed )|(\|lc)|(penalty)|(\[timeout)|(PRM\|1\|D)|(kpr)|(kdp))" /e /r /s</v>
      </c>
      <c r="S36" s="9" t="str">
        <f t="shared" si="1"/>
        <v>4025</v>
      </c>
      <c r="T36" s="38">
        <f t="shared" si="2"/>
        <v>42615.939375000002</v>
      </c>
      <c r="U36" s="52" t="str">
        <f t="shared" si="3"/>
        <v>NW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ID","value":"829-02"},{"id":16,"name":"Locomotive ID","value":"4025"},{"id":130,"name":"Impact","value":""},{"id":150,"name":"Time of Event (Mountain Time)","value":"16:32:42"},{"id":151,"name":"Denver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42615.217905092592</v>
      </c>
      <c r="B37" s="33" t="s">
        <v>298</v>
      </c>
      <c r="C37" s="33" t="s">
        <v>598</v>
      </c>
      <c r="D37" s="33" t="s">
        <v>111</v>
      </c>
      <c r="E37" s="33" t="s">
        <v>56</v>
      </c>
      <c r="F37" s="49">
        <v>150</v>
      </c>
      <c r="G37" s="49">
        <v>201</v>
      </c>
      <c r="H37" s="49">
        <v>56646</v>
      </c>
      <c r="I37" s="33" t="s">
        <v>57</v>
      </c>
      <c r="J37" s="49">
        <v>59050</v>
      </c>
      <c r="K37" s="33" t="s">
        <v>53</v>
      </c>
      <c r="L37" s="92" t="str">
        <f>VLOOKUP(C37,'Trips&amp;Operators'!$C$1:$E$9999,3,0)</f>
        <v>STRICKLAND</v>
      </c>
      <c r="M37" s="131" t="s">
        <v>86</v>
      </c>
      <c r="N37" s="10"/>
      <c r="O37" s="33"/>
      <c r="P37" s="108" t="str">
        <f>VLOOKUP(C37,'Train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7" s="113" t="str">
        <f t="shared" si="0"/>
        <v>"C:\Program Files (x86)\AstroGrep\AstroGrep.exe" /spath="%USERPROFILE%\AppData\Local\Temp\OnboardLogs" /stypes="*4008*201609021*" /stext=" 11:.+((SYSTEM_STATE.+slice.+state.+changed )|(ment ac)|(system.+state.+changed )|(\|lc)|(penalty)|(\[timeout)|(PRM\|1\|D)|(kpr)|(kdp))" /e /r /s</v>
      </c>
      <c r="S37" s="9" t="str">
        <f t="shared" si="1"/>
        <v>4008</v>
      </c>
      <c r="T37" s="38">
        <f t="shared" si="2"/>
        <v>42615.467905092592</v>
      </c>
      <c r="U37" s="52" t="str">
        <f t="shared" si="3"/>
        <v>NW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{"issue":{"subject":"","project_id":79,"tracker_id":40,"status_id":1,"priority_id":2,"assigned_to_id":23,"start_date":"2016-09-02","description":"","custom_fields":[{"id":1,"name":"Subdivision","value":"NW"},{"id":4,"name":"Milepost","value":"5.905"},{"id":17,"name":"Train ID","value":"800-02"},{"id":16,"name":"Locomotive ID","value":"4008"},{"id":130,"name":"Impact","value":""},{"id":150,"name":"Time of Event (Mountain Time)","value":"05:13:47"},{"id":151,"name":"Denver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42615.767210648148</v>
      </c>
      <c r="B38" s="33" t="s">
        <v>298</v>
      </c>
      <c r="C38" s="33" t="s">
        <v>676</v>
      </c>
      <c r="D38" s="33" t="s">
        <v>49</v>
      </c>
      <c r="E38" s="33" t="s">
        <v>54</v>
      </c>
      <c r="F38" s="49">
        <v>0</v>
      </c>
      <c r="G38" s="49">
        <v>93</v>
      </c>
      <c r="H38" s="49">
        <v>5111</v>
      </c>
      <c r="I38" s="33" t="s">
        <v>55</v>
      </c>
      <c r="J38" s="49">
        <v>4790</v>
      </c>
      <c r="K38" s="33" t="s">
        <v>53</v>
      </c>
      <c r="L38" s="92" t="str">
        <f>VLOOKUP(C38,'Trips&amp;Operators'!$C$1:$E$9999,3,0)</f>
        <v>BROWN</v>
      </c>
      <c r="M38" s="131" t="s">
        <v>716</v>
      </c>
      <c r="N38" s="10" t="s">
        <v>728</v>
      </c>
      <c r="O38" s="33"/>
      <c r="P38" s="108" t="str">
        <f>VLOOKUP(C38,'Train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8" s="113" t="str">
        <f t="shared" si="0"/>
        <v>"C:\Program Files (x86)\AstroGrep\AstroGrep.exe" /spath="%USERPROFILE%\AppData\Local\Temp\OnboardLogs" /stypes="*4008*201609030*" /stext=" 00:.+((SYSTEM_STATE.+slice.+state.+changed )|(ment ac)|(system.+state.+changed )|(\|lc)|(penalty)|(\[timeout)|(PRM\|1\|D)|(kpr)|(kdp))" /e /r /s</v>
      </c>
      <c r="S38" s="9" t="str">
        <f t="shared" si="1"/>
        <v>4008</v>
      </c>
      <c r="T38" s="38">
        <f t="shared" si="2"/>
        <v>42616.017210648148</v>
      </c>
      <c r="U38" s="52" t="str">
        <f t="shared" si="3"/>
        <v>NW</v>
      </c>
      <c r="V38" s="52" t="str">
        <f t="shared" si="4"/>
        <v>KEEP</v>
      </c>
      <c r="W38" s="149" t="str">
        <f t="shared" si="5"/>
        <v>echo {"issue":{"subject":"Wi-MAX outage","project_id":79,"tracker_id":40,"status_id":1,"priority_id":2,"assigned_to_id":23,"start_date":"2016-09-02","description":"","custom_fields":[{"id":1,"name":"Subdivision","value":"NW"},{"id":4,"name":"Milepost","value":"0.479"},{"id":17,"name":"Train ID","value":"836-02"},{"id":16,"name":"Locomotive ID","value":"4008"},{"id":130,"name":"Impact","value":""},{"id":150,"name":"Time of Event (Mountain Time)","value":"18:24:47"},{"id":151,"name":"Denver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42615.786238425928</v>
      </c>
      <c r="B39" s="33" t="s">
        <v>715</v>
      </c>
      <c r="C39" s="33" t="s">
        <v>681</v>
      </c>
      <c r="D39" s="33" t="s">
        <v>111</v>
      </c>
      <c r="E39" s="33" t="s">
        <v>54</v>
      </c>
      <c r="F39" s="49">
        <v>200</v>
      </c>
      <c r="G39" s="49">
        <v>251</v>
      </c>
      <c r="H39" s="49">
        <v>9245</v>
      </c>
      <c r="I39" s="33" t="s">
        <v>55</v>
      </c>
      <c r="J39" s="49">
        <v>9680</v>
      </c>
      <c r="K39" s="33" t="s">
        <v>53</v>
      </c>
      <c r="L39" s="92" t="str">
        <f>VLOOKUP(C39,'Trips&amp;Operators'!$C$1:$E$9999,3,0)</f>
        <v>MAHAN</v>
      </c>
      <c r="M39" s="131" t="s">
        <v>86</v>
      </c>
      <c r="N39" s="10" t="s">
        <v>734</v>
      </c>
      <c r="O39" s="33"/>
      <c r="P39" s="108" t="str">
        <f>VLOOKUP(C39,'Train Runs'!$A$13:$AE$10015,31,0)</f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Q39" s="111" t="str">
        <f>VLOOKUP(C39,'Train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9" s="113" t="str">
        <f t="shared" si="0"/>
        <v>"C:\Program Files (x86)\AstroGrep\AstroGrep.exe" /spath="%USERPROFILE%\AppData\Local\Temp\OnboardLogs" /stypes="*4026*201609030*" /stext=" 00:.+((SYSTEM_STATE.+slice.+state.+changed )|(ment ac)|(system.+state.+changed )|(\|lc)|(penalty)|(\[timeout)|(PRM\|1\|D)|(kpr)|(kdp))" /e /r /s</v>
      </c>
      <c r="S39" s="9" t="str">
        <f t="shared" si="1"/>
        <v>4026</v>
      </c>
      <c r="T39" s="38">
        <f t="shared" si="2"/>
        <v>42616.036238425928</v>
      </c>
      <c r="U39" s="52" t="str">
        <f t="shared" si="3"/>
        <v>NW</v>
      </c>
      <c r="V39" s="52" t="str">
        <f t="shared" si="4"/>
        <v>KEEP</v>
      </c>
      <c r="W39" s="149" t="str">
        <f t="shared" si="5"/>
        <v>echo {"issue":{"subject":"Overspeed","project_id":79,"tracker_id":40,"status_id":1,"priority_id":2,"assigned_to_id":23,"start_date":"2016-09-02","description":"","custom_fields":[{"id":1,"name":"Subdivision","value":"NW"},{"id":4,"name":"Milepost","value":"0.968"},{"id":17,"name":"Train ID","value":"838-02"},{"id":16,"name":"Locomotive ID","value":"4026"},{"id":130,"name":"Impact","value":""},{"id":150,"name":"Time of Event (Mountain Time)","value":"18:52:11"},{"id":151,"name":"Denver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42615.300335648149</v>
      </c>
      <c r="B40" s="33" t="s">
        <v>298</v>
      </c>
      <c r="C40" s="33" t="s">
        <v>613</v>
      </c>
      <c r="D40" s="33" t="s">
        <v>49</v>
      </c>
      <c r="E40" s="33" t="s">
        <v>54</v>
      </c>
      <c r="F40" s="49">
        <v>0</v>
      </c>
      <c r="G40" s="49">
        <v>27</v>
      </c>
      <c r="H40" s="49">
        <v>58234</v>
      </c>
      <c r="I40" s="33" t="s">
        <v>55</v>
      </c>
      <c r="J40" s="49">
        <v>48773</v>
      </c>
      <c r="K40" s="33" t="s">
        <v>53</v>
      </c>
      <c r="L40" s="92" t="str">
        <f>VLOOKUP(C40,'Trips&amp;Operators'!$C$1:$E$9999,3,0)</f>
        <v>STRICKLAND</v>
      </c>
      <c r="M40" s="131" t="s">
        <v>716</v>
      </c>
      <c r="N40" s="10" t="s">
        <v>729</v>
      </c>
      <c r="O40" s="33"/>
      <c r="P40" s="108" t="str">
        <f>VLOOKUP(C40,'Train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40" s="111" t="str">
        <f>VLOOKUP(C40,'Train Runs'!$A$13:$AE$10015,22,0)</f>
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0" s="113" t="str">
        <f t="shared" si="0"/>
        <v>"C:\Program Files (x86)\AstroGrep\AstroGrep.exe" /spath="%USERPROFILE%\AppData\Local\Temp\OnboardLogs" /stypes="*4008*201609021*" /stext=" 13:.+((SYSTEM_STATE.+slice.+state.+changed )|(ment ac)|(system.+state.+changed )|(\|lc)|(penalty)|(\[timeout)|(PRM\|1\|D)|(kpr)|(kdp))" /e /r /s</v>
      </c>
      <c r="S40" s="9" t="str">
        <f t="shared" si="1"/>
        <v>4008</v>
      </c>
      <c r="T40" s="38">
        <f t="shared" si="2"/>
        <v>42615.550335648149</v>
      </c>
      <c r="U40" s="52" t="str">
        <f t="shared" si="3"/>
        <v>NW</v>
      </c>
      <c r="V40" s="52" t="str">
        <f t="shared" si="4"/>
        <v>KEEP</v>
      </c>
      <c r="W40" s="149" t="str">
        <f t="shared" si="5"/>
        <v>echo {"issue":{"subject":"Onboard in-route failure","project_id":79,"tracker_id":40,"status_id":1,"priority_id":2,"assigned_to_id":23,"start_date":"2016-09-02","description":"","custom_fields":[{"id":1,"name":"Subdivision","value":"NW"},{"id":4,"name":"Milepost","value":"4.8773"},{"id":17,"name":"Train ID","value":"806-02"},{"id":16,"name":"Locomotive ID","value":"4008"},{"id":130,"name":"Impact","value":""},{"id":150,"name":"Time of Event (Mountain Time)","value":"07:12:29"},{"id":151,"name":"Denver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42615.684618055559</v>
      </c>
      <c r="B41" s="33" t="s">
        <v>298</v>
      </c>
      <c r="C41" s="33" t="s">
        <v>658</v>
      </c>
      <c r="D41" s="33" t="s">
        <v>49</v>
      </c>
      <c r="E41" s="33" t="s">
        <v>50</v>
      </c>
      <c r="F41" s="49">
        <v>0</v>
      </c>
      <c r="G41" s="49">
        <v>55</v>
      </c>
      <c r="H41" s="49">
        <v>745</v>
      </c>
      <c r="I41" s="33" t="s">
        <v>51</v>
      </c>
      <c r="J41" s="49">
        <v>575</v>
      </c>
      <c r="K41" s="33" t="s">
        <v>53</v>
      </c>
      <c r="L41" s="92" t="str">
        <f>VLOOKUP(C41,'Trips&amp;Operators'!$C$1:$E$9999,3,0)</f>
        <v>BROWN</v>
      </c>
      <c r="M41" s="131" t="s">
        <v>86</v>
      </c>
      <c r="N41" s="10"/>
      <c r="O41" s="33"/>
      <c r="P41" s="108" t="str">
        <f>VLOOKUP(C41,'Train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41" s="111" t="str">
        <f>VLOOKUP(C41,'Train Runs'!$A$13:$AE$10015,22,0)</f>
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13" t="str">
        <f t="shared" si="0"/>
        <v>"C:\Program Files (x86)\AstroGrep\AstroGrep.exe" /spath="%USERPROFILE%\AppData\Local\Temp\OnboardLogs" /stypes="*4008*201609022*" /stext=" 22:.+((SYSTEM_STATE.+slice.+state.+changed )|(ment ac)|(system.+state.+changed )|(\|lc)|(penalty)|(\[timeout)|(PRM\|1\|D)|(kpr)|(kdp))" /e /r /s</v>
      </c>
      <c r="S41" s="9" t="str">
        <f t="shared" si="1"/>
        <v>4008</v>
      </c>
      <c r="T41" s="38">
        <f t="shared" si="2"/>
        <v>42615.934618055559</v>
      </c>
      <c r="U41" s="52" t="str">
        <f t="shared" si="3"/>
        <v>NW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{"issue":{"subject":"","project_id":79,"tracker_id":40,"status_id":1,"priority_id":2,"assigned_to_id":23,"start_date":"2016-09-02","description":"From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why?","custom_fields":[{"id":1,"name":"Subdivision","value":"NW"},{"id":4,"name":"Milepost","value":"0.0575"},{"id":17,"name":"Train ID","value":"828-02"},{"id":16,"name":"Locomotive ID","value":"4008"},{"id":130,"name":"Impact","value":"Enforcement"},{"id":150,"name":"Time of Event (Mountain Time)","value":"16:25:51"},{"id":151,"name":"Denver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41" s="55" t="s">
        <v>219</v>
      </c>
      <c r="Y41" s="55" t="s">
        <v>190</v>
      </c>
      <c r="Z41" s="55" t="s">
        <v>195</v>
      </c>
    </row>
    <row r="42" spans="1:26" x14ac:dyDescent="0.25">
      <c r="A42" s="38">
        <v>42615.253750000003</v>
      </c>
      <c r="B42" s="33" t="s">
        <v>299</v>
      </c>
      <c r="C42" s="33" t="s">
        <v>600</v>
      </c>
      <c r="D42" s="33" t="s">
        <v>49</v>
      </c>
      <c r="E42" s="33" t="s">
        <v>50</v>
      </c>
      <c r="F42" s="49">
        <v>0</v>
      </c>
      <c r="G42" s="49">
        <v>155</v>
      </c>
      <c r="H42" s="49">
        <v>58264</v>
      </c>
      <c r="I42" s="33" t="s">
        <v>51</v>
      </c>
      <c r="J42" s="49">
        <v>59048</v>
      </c>
      <c r="K42" s="33" t="s">
        <v>52</v>
      </c>
      <c r="L42" s="92" t="str">
        <f>VLOOKUP(C42,'Trips&amp;Operators'!$C$1:$E$9999,3,0)</f>
        <v>STRICKLAND</v>
      </c>
      <c r="M42" s="131" t="s">
        <v>86</v>
      </c>
      <c r="N42" s="10"/>
      <c r="O42" s="33"/>
      <c r="P42" s="108" t="str">
        <f>VLOOKUP(C42,'Train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42" s="111" t="str">
        <f>VLOOKUP(C42,'Train Runs'!$A$13:$AE$10015,22,0)</f>
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2" s="113" t="str">
        <f t="shared" si="0"/>
        <v>"C:\Program Files (x86)\AstroGrep\AstroGrep.exe" /spath="%USERPROFILE%\AppData\Local\Temp\OnboardLogs" /stypes="*4007*201609021*" /stext=" 12:.+((SYSTEM_STATE.+slice.+state.+changed )|(ment ac)|(system.+state.+changed )|(\|lc)|(penalty)|(\[timeout)|(PRM\|1\|D)|(kpr)|(kdp))" /e /r /s</v>
      </c>
      <c r="S42" s="9" t="str">
        <f t="shared" si="1"/>
        <v>4007</v>
      </c>
      <c r="T42" s="38">
        <f t="shared" si="2"/>
        <v>42615.503750000003</v>
      </c>
      <c r="U42" s="52" t="str">
        <f t="shared" si="3"/>
        <v>NW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ID","value":"801-02"},{"id":16,"name":"Locomotive ID","value":"4007"},{"id":130,"name":"Impact","value":""},{"id":150,"name":"Time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42615.295520833337</v>
      </c>
      <c r="B43" s="33" t="s">
        <v>299</v>
      </c>
      <c r="C43" s="33" t="s">
        <v>611</v>
      </c>
      <c r="D43" s="33" t="s">
        <v>49</v>
      </c>
      <c r="E43" s="33" t="s">
        <v>50</v>
      </c>
      <c r="F43" s="49">
        <v>0</v>
      </c>
      <c r="G43" s="49">
        <v>66</v>
      </c>
      <c r="H43" s="49">
        <v>58824</v>
      </c>
      <c r="I43" s="33" t="s">
        <v>51</v>
      </c>
      <c r="J43" s="49">
        <v>59048</v>
      </c>
      <c r="K43" s="33" t="s">
        <v>52</v>
      </c>
      <c r="L43" s="92" t="str">
        <f>VLOOKUP(C43,'Trips&amp;Operators'!$C$1:$E$9999,3,0)</f>
        <v>STRICKLAND</v>
      </c>
      <c r="M43" s="131" t="s">
        <v>86</v>
      </c>
      <c r="N43" s="10"/>
      <c r="O43" s="33"/>
      <c r="P43" s="108" t="str">
        <f>VLOOKUP(C43,'Train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43" s="111" t="str">
        <f>VLOOKUP(C43,'Train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3" s="113" t="str">
        <f t="shared" si="0"/>
        <v>"C:\Program Files (x86)\AstroGrep\AstroGrep.exe" /spath="%USERPROFILE%\AppData\Local\Temp\OnboardLogs" /stypes="*4007*201609021*" /stext=" 13:.+((SYSTEM_STATE.+slice.+state.+changed )|(ment ac)|(system.+state.+changed )|(\|lc)|(penalty)|(\[timeout)|(PRM\|1\|D)|(kpr)|(kdp))" /e /r /s</v>
      </c>
      <c r="S43" s="9" t="str">
        <f t="shared" si="1"/>
        <v>4007</v>
      </c>
      <c r="T43" s="38">
        <f t="shared" si="2"/>
        <v>42615.545520833337</v>
      </c>
      <c r="U43" s="52" t="str">
        <f t="shared" si="3"/>
        <v>NW</v>
      </c>
      <c r="V43" s="52" t="str">
        <f t="shared" si="4"/>
        <v>KEEP</v>
      </c>
      <c r="W43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ID","value":"805-02"},{"id":16,"name":"Locomotive ID","value":"4007"},{"id":130,"name":"Impact","value":""},{"id":150,"name":"Time of Event (Mountain Time)","value":"07:05:33"},{"id":151,"name":"Denver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42615.566203703704</v>
      </c>
      <c r="B44" s="33" t="s">
        <v>713</v>
      </c>
      <c r="C44" s="33" t="s">
        <v>642</v>
      </c>
      <c r="D44" s="33" t="s">
        <v>49</v>
      </c>
      <c r="E44" s="33" t="s">
        <v>50</v>
      </c>
      <c r="F44" s="49">
        <v>0</v>
      </c>
      <c r="G44" s="49">
        <v>101</v>
      </c>
      <c r="H44" s="49">
        <v>58655</v>
      </c>
      <c r="I44" s="33" t="s">
        <v>51</v>
      </c>
      <c r="J44" s="49">
        <v>59048</v>
      </c>
      <c r="K44" s="33" t="s">
        <v>52</v>
      </c>
      <c r="L44" s="92" t="str">
        <f>VLOOKUP(C44,'Trips&amp;Operators'!$C$1:$E$9999,3,0)</f>
        <v>MAHAN</v>
      </c>
      <c r="M44" s="131" t="s">
        <v>86</v>
      </c>
      <c r="N44" s="10"/>
      <c r="O44" s="33"/>
      <c r="P44" s="108" t="str">
        <f>VLOOKUP(C44,'Train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44" s="111" t="str">
        <f>VLOOKUP(C44,'Train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4" s="113" t="str">
        <f t="shared" si="0"/>
        <v>"C:\Program Files (x86)\AstroGrep\AstroGrep.exe" /spath="%USERPROFILE%\AppData\Local\Temp\OnboardLogs" /stypes="*4025*201609021*" /stext=" 19:.+((SYSTEM_STATE.+slice.+state.+changed )|(ment ac)|(system.+state.+changed )|(\|lc)|(penalty)|(\[timeout)|(PRM\|1\|D)|(kpr)|(kdp))" /e /r /s</v>
      </c>
      <c r="S44" s="9" t="str">
        <f t="shared" si="1"/>
        <v>4025</v>
      </c>
      <c r="T44" s="38">
        <f t="shared" si="2"/>
        <v>42615.816203703704</v>
      </c>
      <c r="U44" s="52" t="str">
        <f t="shared" si="3"/>
        <v>NW</v>
      </c>
      <c r="V44" s="52" t="str">
        <f t="shared" si="4"/>
        <v>KEEP</v>
      </c>
      <c r="W44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ID","value":"821-02"},{"id":16,"name":"Locomotive ID","value":"4025"},{"id":130,"name":"Impact","value":""},{"id":150,"name":"Time of Event (Mountain Time)","value":"13:35:20"},{"id":151,"name":"Denver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42615.75408564815</v>
      </c>
      <c r="B45" s="33" t="s">
        <v>299</v>
      </c>
      <c r="C45" s="33" t="s">
        <v>673</v>
      </c>
      <c r="D45" s="33" t="s">
        <v>49</v>
      </c>
      <c r="E45" s="33" t="s">
        <v>50</v>
      </c>
      <c r="F45" s="49">
        <v>0</v>
      </c>
      <c r="G45" s="49">
        <v>53</v>
      </c>
      <c r="H45" s="49">
        <v>58920</v>
      </c>
      <c r="I45" s="33" t="s">
        <v>51</v>
      </c>
      <c r="J45" s="49">
        <v>59048</v>
      </c>
      <c r="K45" s="33" t="s">
        <v>52</v>
      </c>
      <c r="L45" s="92" t="str">
        <f>VLOOKUP(C45,'Trips&amp;Operators'!$C$1:$E$9999,3,0)</f>
        <v>BROWN</v>
      </c>
      <c r="M45" s="131" t="s">
        <v>86</v>
      </c>
      <c r="N45" s="10"/>
      <c r="O45" s="33"/>
      <c r="P45" s="108" t="str">
        <f>VLOOKUP(C45,'Train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45" s="111" t="str">
        <f>VLOOKUP(C45,'Train Runs'!$A$13:$AE$10015,22,0)</f>
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5" s="113" t="str">
        <f t="shared" si="0"/>
        <v>"C:\Program Files (x86)\AstroGrep\AstroGrep.exe" /spath="%USERPROFILE%\AppData\Local\Temp\OnboardLogs" /stypes="*4007*201609030*" /stext=" 00:.+((SYSTEM_STATE.+slice.+state.+changed )|(ment ac)|(system.+state.+changed )|(\|lc)|(penalty)|(\[timeout)|(PRM\|1\|D)|(kpr)|(kdp))" /e /r /s</v>
      </c>
      <c r="S45" s="9" t="str">
        <f t="shared" si="1"/>
        <v>4007</v>
      </c>
      <c r="T45" s="38">
        <f t="shared" si="2"/>
        <v>42616.00408564815</v>
      </c>
      <c r="U45" s="52" t="str">
        <f t="shared" si="3"/>
        <v>NW</v>
      </c>
      <c r="V45" s="52" t="str">
        <f t="shared" si="4"/>
        <v>KEEP</v>
      </c>
      <c r="W45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ID","value":"835-02"},{"id":16,"name":"Locomotive ID","value":"4007"},{"id":130,"name":"Impact","value":""},{"id":150,"name":"Time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42615.795671296299</v>
      </c>
      <c r="B46" s="33" t="s">
        <v>299</v>
      </c>
      <c r="C46" s="33" t="s">
        <v>683</v>
      </c>
      <c r="D46" s="33" t="s">
        <v>111</v>
      </c>
      <c r="E46" s="33" t="s">
        <v>50</v>
      </c>
      <c r="F46" s="49">
        <v>0</v>
      </c>
      <c r="G46" s="49">
        <v>19</v>
      </c>
      <c r="H46" s="49">
        <v>59048</v>
      </c>
      <c r="I46" s="33" t="s">
        <v>51</v>
      </c>
      <c r="J46" s="49">
        <v>59048</v>
      </c>
      <c r="K46" s="33" t="s">
        <v>52</v>
      </c>
      <c r="L46" s="92" t="str">
        <f>VLOOKUP(C46,'Trips&amp;Operators'!$C$1:$E$9999,3,0)</f>
        <v>BROWN</v>
      </c>
      <c r="M46" s="131" t="s">
        <v>86</v>
      </c>
      <c r="N46" s="10"/>
      <c r="O46" s="33"/>
      <c r="P46" s="108" t="str">
        <f>VLOOKUP(C46,'Train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46" s="111" t="str">
        <f>VLOOKUP(C46,'Train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6" s="113" t="str">
        <f t="shared" si="0"/>
        <v>"C:\Program Files (x86)\AstroGrep\AstroGrep.exe" /spath="%USERPROFILE%\AppData\Local\Temp\OnboardLogs" /stypes="*4007*201609030*" /stext=" 01:.+((SYSTEM_STATE.+slice.+state.+changed )|(ment ac)|(system.+state.+changed )|(\|lc)|(penalty)|(\[timeout)|(PRM\|1\|D)|(kpr)|(kdp))" /e /r /s</v>
      </c>
      <c r="S46" s="9" t="str">
        <f t="shared" si="1"/>
        <v>4007</v>
      </c>
      <c r="T46" s="38">
        <f t="shared" si="2"/>
        <v>42616.045671296299</v>
      </c>
      <c r="U46" s="52" t="str">
        <f t="shared" si="3"/>
        <v>NW</v>
      </c>
      <c r="V46" s="52" t="str">
        <f t="shared" si="4"/>
        <v>KEEP</v>
      </c>
      <c r="W46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ID","value":"839-02"},{"id":16,"name":"Locomotive ID","value":"4007"},{"id":130,"name":"Impact","value":""},{"id":150,"name":"Time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42615.899444444447</v>
      </c>
      <c r="B47" s="33" t="s">
        <v>713</v>
      </c>
      <c r="C47" s="33" t="s">
        <v>693</v>
      </c>
      <c r="D47" s="33" t="s">
        <v>49</v>
      </c>
      <c r="E47" s="33" t="s">
        <v>50</v>
      </c>
      <c r="F47" s="49">
        <v>0</v>
      </c>
      <c r="G47" s="49">
        <v>33</v>
      </c>
      <c r="H47" s="49">
        <v>58993</v>
      </c>
      <c r="I47" s="33" t="s">
        <v>51</v>
      </c>
      <c r="J47" s="49">
        <v>59048</v>
      </c>
      <c r="K47" s="33" t="s">
        <v>52</v>
      </c>
      <c r="L47" s="92" t="str">
        <f>VLOOKUP(C47,'Trips&amp;Operators'!$C$1:$E$9999,3,0)</f>
        <v>BROWN</v>
      </c>
      <c r="M47" s="131" t="s">
        <v>86</v>
      </c>
      <c r="N47" s="10"/>
      <c r="O47" s="33"/>
      <c r="P47" s="108" t="str">
        <f>VLOOKUP(C47,'Train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47" s="111" t="str">
        <f>VLOOKUP(C47,'Train Runs'!$A$13:$AE$10015,22,0)</f>
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7" s="113" t="str">
        <f t="shared" si="0"/>
        <v>"C:\Program Files (x86)\AstroGrep\AstroGrep.exe" /spath="%USERPROFILE%\AppData\Local\Temp\OnboardLogs" /stypes="*4025*201609030*" /stext=" 03:.+((SYSTEM_STATE.+slice.+state.+changed )|(ment ac)|(system.+state.+changed )|(\|lc)|(penalty)|(\[timeout)|(PRM\|1\|D)|(kpr)|(kdp))" /e /r /s</v>
      </c>
      <c r="S47" s="9" t="str">
        <f t="shared" si="1"/>
        <v>4025</v>
      </c>
      <c r="T47" s="38">
        <f t="shared" si="2"/>
        <v>42616.149444444447</v>
      </c>
      <c r="U47" s="52" t="str">
        <f t="shared" si="3"/>
        <v>NW</v>
      </c>
      <c r="V47" s="52" t="str">
        <f t="shared" si="4"/>
        <v>KEEP</v>
      </c>
      <c r="W47" s="149" t="str">
        <f t="shared" si="5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ID","value":"845-02"},{"id":16,"name":"Locomotive ID","value":"4025"},{"id":130,"name":"Impact","value":""},{"id":150,"name":"Time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42615.461736111109</v>
      </c>
      <c r="B48" s="33" t="s">
        <v>707</v>
      </c>
      <c r="C48" s="33" t="s">
        <v>582</v>
      </c>
      <c r="D48" s="33" t="s">
        <v>49</v>
      </c>
      <c r="E48" s="33" t="s">
        <v>54</v>
      </c>
      <c r="F48" s="49">
        <v>0</v>
      </c>
      <c r="G48" s="49">
        <v>73</v>
      </c>
      <c r="H48" s="49">
        <v>24318</v>
      </c>
      <c r="I48" s="33" t="s">
        <v>55</v>
      </c>
      <c r="J48" s="49">
        <v>24235</v>
      </c>
      <c r="K48" s="33" t="s">
        <v>53</v>
      </c>
      <c r="L48" s="92" t="str">
        <f>VLOOKUP(C48,'Trips&amp;Operators'!$C$1:$E$9999,3,0)</f>
        <v>MOSES</v>
      </c>
      <c r="M48" s="131" t="s">
        <v>86</v>
      </c>
      <c r="N48" s="10"/>
      <c r="O48" s="33"/>
      <c r="P48" s="108" t="str">
        <f>VLOOKUP(C48,'Train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48" s="111" t="str">
        <f>VLOOKUP(C48,'Train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48" s="113" t="str">
        <f t="shared" si="0"/>
        <v>"C:\Program Files (x86)\AstroGrep\AstroGrep.exe" /spath="%USERPROFILE%\AppData\Local\Temp\OnboardLogs" /stypes="*4005*201609021*" /stext=" 17:.+((SYSTEM_STATE.+slice.+state.+changed )|(ment ac)|(system.+state.+changed )|(\|lc)|(penalty)|(\[timeout)|(PRM\|1\|D)|(kpr)|(kdp))" /e /r /s</v>
      </c>
      <c r="S48" s="9" t="str">
        <f t="shared" si="1"/>
        <v>4005</v>
      </c>
      <c r="T48" s="38">
        <f t="shared" si="2"/>
        <v>42615.711736111109</v>
      </c>
      <c r="U48" s="52" t="str">
        <f t="shared" si="3"/>
        <v>Other</v>
      </c>
      <c r="V48" s="52" t="str">
        <f t="shared" si="4"/>
        <v>KEEP</v>
      </c>
      <c r="W48" s="149" t="str">
        <f t="shared" si="5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ID","value":"52-02"},{"id":16,"name":"Locomotive ID","value":"4005"},{"id":130,"name":"Impact","value":""},{"id":150,"name":"Time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42615.769386574073</v>
      </c>
      <c r="B49" s="33" t="s">
        <v>707</v>
      </c>
      <c r="C49" s="33" t="s">
        <v>595</v>
      </c>
      <c r="D49" s="33" t="s">
        <v>49</v>
      </c>
      <c r="E49" s="33" t="s">
        <v>54</v>
      </c>
      <c r="F49" s="49">
        <v>0</v>
      </c>
      <c r="G49" s="49">
        <v>62</v>
      </c>
      <c r="H49" s="49">
        <v>24339</v>
      </c>
      <c r="I49" s="33" t="s">
        <v>55</v>
      </c>
      <c r="J49" s="49">
        <v>24235</v>
      </c>
      <c r="K49" s="33" t="s">
        <v>53</v>
      </c>
      <c r="L49" s="92" t="str">
        <f>VLOOKUP(C49,'Trips&amp;Operators'!$C$1:$E$9999,3,0)</f>
        <v>HAITHCOX</v>
      </c>
      <c r="M49" s="131" t="s">
        <v>86</v>
      </c>
      <c r="N49" s="10"/>
      <c r="O49" s="33"/>
      <c r="P49" s="108" t="str">
        <f>VLOOKUP(C49,'Train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49" s="111" t="str">
        <f>VLOOKUP(C49,'Train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49" s="113" t="str">
        <f t="shared" si="0"/>
        <v>"C:\Program Files (x86)\AstroGrep\AstroGrep.exe" /spath="%USERPROFILE%\AppData\Local\Temp\OnboardLogs" /stypes="*4005*201609030*" /stext=" 00:.+((SYSTEM_STATE.+slice.+state.+changed )|(ment ac)|(system.+state.+changed )|(\|lc)|(penalty)|(\[timeout)|(PRM\|1\|D)|(kpr)|(kdp))" /e /r /s</v>
      </c>
      <c r="S49" s="9" t="str">
        <f t="shared" si="1"/>
        <v>4005</v>
      </c>
      <c r="T49" s="38">
        <f t="shared" si="2"/>
        <v>42616.019386574073</v>
      </c>
      <c r="U49" s="52" t="str">
        <f t="shared" si="3"/>
        <v>Other</v>
      </c>
      <c r="V49" s="52" t="str">
        <f t="shared" si="4"/>
        <v>KEEP</v>
      </c>
      <c r="W49" s="149" t="str">
        <f t="shared" si="5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ID","value":"70-02"},{"id":16,"name":"Locomotive ID","value":"4005"},{"id":130,"name":"Impact","value":""},{"id":150,"name":"Time of Event (Mountain Time)","value":"18:27:55"},{"id":151,"name":"Denver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42615.362557870372</v>
      </c>
      <c r="B50" s="33" t="s">
        <v>299</v>
      </c>
      <c r="C50" s="33" t="s">
        <v>696</v>
      </c>
      <c r="D50" s="33" t="s">
        <v>49</v>
      </c>
      <c r="E50" s="33" t="s">
        <v>54</v>
      </c>
      <c r="F50" s="49">
        <v>0</v>
      </c>
      <c r="G50" s="49">
        <v>72</v>
      </c>
      <c r="H50" s="49">
        <v>25397</v>
      </c>
      <c r="I50" s="33" t="s">
        <v>55</v>
      </c>
      <c r="J50" s="49">
        <v>25696</v>
      </c>
      <c r="K50" s="33" t="s">
        <v>52</v>
      </c>
      <c r="L50" s="92" t="str">
        <f>VLOOKUP(C50,'Trips&amp;Operators'!$C$1:$E$9999,3,0)</f>
        <v>STRICKLAND</v>
      </c>
      <c r="M50" s="131" t="s">
        <v>86</v>
      </c>
      <c r="N50" s="10"/>
      <c r="O50" s="33"/>
      <c r="P50" s="108" t="str">
        <f>VLOOKUP(C50,'Train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50" s="111" t="str">
        <f>VLOOKUP(C50,'Train Runs'!$A$13:$AE$10015,22,0)</f>
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50" s="113" t="str">
        <f t="shared" si="0"/>
        <v>"C:\Program Files (x86)\AstroGrep\AstroGrep.exe" /spath="%USERPROFILE%\AppData\Local\Temp\OnboardLogs" /stypes="*4007*201609021*" /stext=" 14:.+((SYSTEM_STATE.+slice.+state.+changed )|(ment ac)|(system.+state.+changed )|(\|lc)|(penalty)|(\[timeout)|(PRM\|1\|D)|(kpr)|(kdp))" /e /r /s</v>
      </c>
      <c r="S50" s="9" t="str">
        <f t="shared" si="1"/>
        <v>4007</v>
      </c>
      <c r="T50" s="38">
        <f t="shared" si="2"/>
        <v>42615.612557870372</v>
      </c>
      <c r="U50" s="52" t="str">
        <f t="shared" si="3"/>
        <v>Other</v>
      </c>
      <c r="V50" s="52" t="str">
        <f t="shared" si="4"/>
        <v>KEEP</v>
      </c>
      <c r="W50" s="149" t="str">
        <f t="shared" si="5"/>
        <v>echo {"issue":{"subject":"","project_id":79,"tracker_id":40,"status_id":1,"priority_id":2,"assigned_to_id":23,"start_date":"2016-09-02","description":"","custom_fields":[{"id":1,"name":"Subdivision","value":"Other"},{"id":4,"name":"Milepost","value":"2.5696"},{"id":17,"name":"Train ID","value":"903-02"},{"id":16,"name":"Locomotive ID","value":"4007"},{"id":130,"name":"Impact","value":""},{"id":150,"name":"Time of Event (Mountain Time)","value":"08:42:05"},{"id":151,"name":"Denver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42615.477013888885</v>
      </c>
      <c r="B51" s="33" t="s">
        <v>363</v>
      </c>
      <c r="C51" s="33" t="s">
        <v>578</v>
      </c>
      <c r="D51" s="33" t="s">
        <v>49</v>
      </c>
      <c r="E51" s="33" t="s">
        <v>708</v>
      </c>
      <c r="F51" s="49">
        <v>0</v>
      </c>
      <c r="G51" s="49">
        <v>83</v>
      </c>
      <c r="H51" s="49">
        <v>24625</v>
      </c>
      <c r="I51" s="33" t="s">
        <v>709</v>
      </c>
      <c r="J51" s="49">
        <v>24235</v>
      </c>
      <c r="K51" s="33" t="s">
        <v>710</v>
      </c>
      <c r="L51" s="92" t="str">
        <f>VLOOKUP(C51,'Trips&amp;Operators'!$C$1:$E$9999,3,0)</f>
        <v>DAVIS</v>
      </c>
      <c r="M51" s="131" t="s">
        <v>86</v>
      </c>
      <c r="N51" s="10"/>
      <c r="O51" s="33"/>
      <c r="P51" s="108" t="str">
        <f>VLOOKUP(C51,'Train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51" s="111" t="str">
        <f>VLOOKUP(C51,'Train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51" s="113" t="str">
        <f t="shared" si="0"/>
        <v>"C:\Program Files (x86)\AstroGrep\AstroGrep.exe" /spath="%USERPROFILE%\AppData\Local\Temp\OnboardLogs" /stypes="*4022*201609021*" /stext=" 17:.+((SYSTEM_STATE.+slice.+state.+changed )|(ment ac)|(system.+state.+changed )|(\|lc)|(penalty)|(\[timeout)|(PRM\|1\|D)|(kpr)|(kdp))" /e /r /s</v>
      </c>
      <c r="S51" s="9" t="str">
        <f t="shared" si="1"/>
        <v>4022</v>
      </c>
      <c r="T51" s="38">
        <f t="shared" si="2"/>
        <v>42615.727013888885</v>
      </c>
      <c r="U51" s="52" t="str">
        <f t="shared" si="3"/>
        <v>Other</v>
      </c>
      <c r="V51" s="52" t="str">
        <f t="shared" si="4"/>
        <v>KEEP</v>
      </c>
      <c r="W51" s="149" t="str">
        <f t="shared" si="5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ID","value":"51-02"},{"id":16,"name":"Locomotive ID","value":"4022"},{"id":130,"name":"Impact","value":""},{"id":150,"name":"Time of Event (Mountain Time)","value":"11:26:54"},{"id":151,"name":"Denver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42615.477939814817</v>
      </c>
      <c r="B52" s="33" t="s">
        <v>363</v>
      </c>
      <c r="C52" s="33" t="s">
        <v>578</v>
      </c>
      <c r="D52" s="33" t="s">
        <v>304</v>
      </c>
      <c r="E52" s="33" t="s">
        <v>711</v>
      </c>
      <c r="F52" s="49">
        <v>0</v>
      </c>
      <c r="G52" s="49">
        <v>29</v>
      </c>
      <c r="H52" s="49">
        <v>25434</v>
      </c>
      <c r="I52" s="33" t="s">
        <v>712</v>
      </c>
      <c r="J52" s="49">
        <v>0</v>
      </c>
      <c r="K52" s="33" t="s">
        <v>52</v>
      </c>
      <c r="L52" s="92" t="str">
        <f>VLOOKUP(C52,'Trips&amp;Operators'!$C$1:$E$9999,3,0)</f>
        <v>DAVIS</v>
      </c>
      <c r="M52" s="131" t="s">
        <v>86</v>
      </c>
      <c r="N52" s="10"/>
      <c r="O52" s="33"/>
      <c r="P52" s="108" t="str">
        <f>VLOOKUP(C52,'Train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52" s="111" t="str">
        <f>VLOOKUP(C52,'Train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52" s="113" t="str">
        <f t="shared" si="0"/>
        <v>"C:\Program Files (x86)\AstroGrep\AstroGrep.exe" /spath="%USERPROFILE%\AppData\Local\Temp\OnboardLogs" /stypes="*4022*201609021*" /stext=" 17:.+((SYSTEM_STATE.+slice.+state.+changed )|(ment ac)|(system.+state.+changed )|(\|lc)|(penalty)|(\[timeout)|(PRM\|1\|D)|(kpr)|(kdp))" /e /r /s</v>
      </c>
      <c r="S52" s="9" t="str">
        <f t="shared" si="1"/>
        <v>4022</v>
      </c>
      <c r="T52" s="38">
        <f t="shared" si="2"/>
        <v>42615.727939814817</v>
      </c>
      <c r="U52" s="52" t="str">
        <f t="shared" si="3"/>
        <v>Other</v>
      </c>
      <c r="V52" s="52" t="str">
        <f t="shared" si="4"/>
        <v>KEEP</v>
      </c>
      <c r="W52" s="149" t="str">
        <f t="shared" si="5"/>
        <v>echo {"issue":{"subject":"","project_id":79,"tracker_id":40,"status_id":1,"priority_id":2,"assigned_to_id":23,"start_date":"2016-09-02","description":"","custom_fields":[{"id":1,"name":"Subdivision","value":"Other"},{"id":4,"name":"Milepost","value":"0"},{"id":17,"name":"Train ID","value":"51-02"},{"id":16,"name":"Locomotive ID","value":"4022"},{"id":130,"name":"Impact","value":""},{"id":150,"name":"Time of Event (Mountain Time)","value":"11:28:14"},{"id":151,"name":"Denver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B73" s="23"/>
      <c r="C73" s="23"/>
      <c r="D73" s="23"/>
      <c r="E73" s="23"/>
      <c r="I73" s="23"/>
      <c r="K73" s="23"/>
    </row>
  </sheetData>
  <autoFilter ref="A6:Z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2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selection activeCell="A3" sqref="A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2016-09-02</v>
      </c>
      <c r="C1" s="165"/>
      <c r="D1" s="165"/>
      <c r="E1" s="165"/>
      <c r="F1" s="165"/>
    </row>
    <row r="2" spans="1:11" s="26" customFormat="1" ht="45" x14ac:dyDescent="0.25">
      <c r="A2" s="163" t="s">
        <v>249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B3" s="2" t="str">
        <f>A3&amp;"-"&amp;IF(DAY(Variables!$A$2)&lt;10,0,"")&amp;DAY(Variables!$A$2)</f>
        <v>-02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-02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-02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-02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-02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-02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-02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-02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I72" s="23"/>
      <c r="J72" s="23"/>
      <c r="K7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42615.03534722222</v>
      </c>
      <c r="B1" s="23" t="s">
        <v>263</v>
      </c>
      <c r="C1" s="23" t="s">
        <v>325</v>
      </c>
      <c r="D1" s="23">
        <v>2000000</v>
      </c>
      <c r="E1" s="23" t="s">
        <v>140</v>
      </c>
      <c r="F1" s="23" t="str">
        <f>B1</f>
        <v>rtdc.l.rtdc.4012:itc</v>
      </c>
      <c r="G1" s="8">
        <f>A1</f>
        <v>42615.03534722222</v>
      </c>
    </row>
    <row r="2" spans="1:7" x14ac:dyDescent="0.25">
      <c r="A2" s="8">
        <v>42615.047013888892</v>
      </c>
      <c r="B2" s="23" t="s">
        <v>146</v>
      </c>
      <c r="C2" s="23" t="s">
        <v>327</v>
      </c>
      <c r="D2" s="23">
        <v>1290000</v>
      </c>
      <c r="E2" s="23" t="s">
        <v>243</v>
      </c>
      <c r="F2" s="23" t="str">
        <f t="shared" ref="F2:F65" si="0">B2</f>
        <v>rtdc.l.rtdc.4042:itc</v>
      </c>
      <c r="G2" s="8">
        <f t="shared" ref="G2:G65" si="1">A2</f>
        <v>42615.047013888892</v>
      </c>
    </row>
    <row r="3" spans="1:7" x14ac:dyDescent="0.25">
      <c r="A3" s="8">
        <v>42615.054201388892</v>
      </c>
      <c r="B3" s="23" t="s">
        <v>221</v>
      </c>
      <c r="C3" s="23" t="s">
        <v>326</v>
      </c>
      <c r="D3" s="23">
        <v>2110000</v>
      </c>
      <c r="E3" s="23" t="s">
        <v>366</v>
      </c>
      <c r="F3" s="23" t="str">
        <f t="shared" si="0"/>
        <v>rtdc.l.rtdc.4019:itc</v>
      </c>
      <c r="G3" s="8">
        <f t="shared" si="1"/>
        <v>42615.054201388892</v>
      </c>
    </row>
    <row r="4" spans="1:7" x14ac:dyDescent="0.25">
      <c r="A4" s="8">
        <v>42615.055636574078</v>
      </c>
      <c r="B4" s="23" t="s">
        <v>358</v>
      </c>
      <c r="C4" s="23" t="s">
        <v>331</v>
      </c>
      <c r="D4" s="23">
        <v>1410000</v>
      </c>
      <c r="E4" s="23" t="s">
        <v>367</v>
      </c>
      <c r="F4" s="23" t="str">
        <f t="shared" si="0"/>
        <v>rtdc.l.rtdc.4051:itc</v>
      </c>
      <c r="G4" s="8">
        <f t="shared" si="1"/>
        <v>42615.055636574078</v>
      </c>
    </row>
    <row r="5" spans="1:7" x14ac:dyDescent="0.25">
      <c r="A5" s="8">
        <v>42615.067175925928</v>
      </c>
      <c r="B5" s="23" t="s">
        <v>252</v>
      </c>
      <c r="C5" s="23" t="s">
        <v>328</v>
      </c>
      <c r="D5" s="23">
        <v>2000000</v>
      </c>
      <c r="E5" s="23" t="s">
        <v>140</v>
      </c>
      <c r="F5" s="23" t="str">
        <f t="shared" si="0"/>
        <v>rtdc.l.rtdc.4011:itc</v>
      </c>
      <c r="G5" s="8">
        <f t="shared" si="1"/>
        <v>42615.067175925928</v>
      </c>
    </row>
    <row r="6" spans="1:7" x14ac:dyDescent="0.25">
      <c r="A6" s="8">
        <v>42615.080740740741</v>
      </c>
      <c r="B6" s="23" t="s">
        <v>368</v>
      </c>
      <c r="C6" s="23" t="s">
        <v>331</v>
      </c>
      <c r="D6" s="23">
        <v>1410000</v>
      </c>
      <c r="E6" s="23" t="s">
        <v>367</v>
      </c>
      <c r="F6" s="23" t="str">
        <f t="shared" si="0"/>
        <v>rtdc.l.rtdc.4052:itc</v>
      </c>
      <c r="G6" s="8">
        <f t="shared" si="1"/>
        <v>42615.080740740741</v>
      </c>
    </row>
    <row r="7" spans="1:7" x14ac:dyDescent="0.25">
      <c r="A7" s="8">
        <v>42615.083506944444</v>
      </c>
      <c r="B7" s="23" t="s">
        <v>368</v>
      </c>
      <c r="C7" s="23" t="s">
        <v>335</v>
      </c>
      <c r="D7" s="23">
        <v>1410000</v>
      </c>
      <c r="E7" s="23" t="s">
        <v>367</v>
      </c>
      <c r="F7" s="23" t="str">
        <f t="shared" si="0"/>
        <v>rtdc.l.rtdc.4052:itc</v>
      </c>
      <c r="G7" s="8">
        <f t="shared" si="1"/>
        <v>42615.083506944444</v>
      </c>
    </row>
    <row r="8" spans="1:7" x14ac:dyDescent="0.25">
      <c r="A8" s="8">
        <v>42615.089606481481</v>
      </c>
      <c r="B8" s="23" t="s">
        <v>222</v>
      </c>
      <c r="C8" s="23" t="s">
        <v>329</v>
      </c>
      <c r="D8" s="23">
        <v>2110000</v>
      </c>
      <c r="E8" s="23" t="s">
        <v>366</v>
      </c>
      <c r="F8" s="23" t="str">
        <f t="shared" si="0"/>
        <v>rtdc.l.rtdc.4020:itc</v>
      </c>
      <c r="G8" s="8">
        <f t="shared" si="1"/>
        <v>42615.089606481481</v>
      </c>
    </row>
    <row r="9" spans="1:7" ht="15.75" thickBot="1" x14ac:dyDescent="0.3">
      <c r="A9" s="27">
        <v>42615.104004629633</v>
      </c>
      <c r="B9" s="23" t="s">
        <v>358</v>
      </c>
      <c r="C9" s="23" t="s">
        <v>331</v>
      </c>
      <c r="D9" s="23">
        <v>1410000</v>
      </c>
      <c r="E9" s="23" t="s">
        <v>367</v>
      </c>
      <c r="F9" s="23" t="str">
        <f t="shared" si="0"/>
        <v>rtdc.l.rtdc.4051:itc</v>
      </c>
      <c r="G9" s="8">
        <f t="shared" si="1"/>
        <v>42615.104004629633</v>
      </c>
    </row>
    <row r="10" spans="1:7" x14ac:dyDescent="0.25">
      <c r="A10" s="8">
        <v>42615.125636574077</v>
      </c>
      <c r="B10" s="23" t="s">
        <v>368</v>
      </c>
      <c r="C10" s="23" t="s">
        <v>335</v>
      </c>
      <c r="D10" s="23">
        <v>1410000</v>
      </c>
      <c r="E10" s="23" t="s">
        <v>367</v>
      </c>
      <c r="F10" s="23" t="str">
        <f t="shared" si="0"/>
        <v>rtdc.l.rtdc.4052:itc</v>
      </c>
      <c r="G10" s="8">
        <f t="shared" si="1"/>
        <v>42615.125636574077</v>
      </c>
    </row>
    <row r="11" spans="1:7" x14ac:dyDescent="0.25">
      <c r="A11" s="8">
        <v>42615.127812500003</v>
      </c>
      <c r="B11" s="23" t="s">
        <v>704</v>
      </c>
      <c r="C11" s="23" t="s">
        <v>369</v>
      </c>
      <c r="D11" s="23">
        <v>2010000</v>
      </c>
      <c r="E11" s="23" t="s">
        <v>300</v>
      </c>
      <c r="F11" s="23" t="str">
        <f t="shared" si="0"/>
        <v>rtdc.l.rtdc.4053:itc</v>
      </c>
      <c r="G11" s="8">
        <f t="shared" si="1"/>
        <v>42615.127812500003</v>
      </c>
    </row>
    <row r="12" spans="1:7" x14ac:dyDescent="0.25">
      <c r="A12" s="8">
        <v>42615.129074074073</v>
      </c>
      <c r="B12" s="23" t="s">
        <v>704</v>
      </c>
      <c r="C12" s="23" t="s">
        <v>369</v>
      </c>
      <c r="D12" s="23">
        <v>2010000</v>
      </c>
      <c r="E12" s="23" t="s">
        <v>300</v>
      </c>
      <c r="F12" s="23" t="str">
        <f t="shared" si="0"/>
        <v>rtdc.l.rtdc.4053:itc</v>
      </c>
      <c r="G12" s="8">
        <f t="shared" si="1"/>
        <v>42615.129074074073</v>
      </c>
    </row>
    <row r="13" spans="1:7" x14ac:dyDescent="0.25">
      <c r="A13" s="8">
        <v>42615.153645833336</v>
      </c>
      <c r="B13" s="23" t="s">
        <v>717</v>
      </c>
      <c r="C13" s="23" t="s">
        <v>374</v>
      </c>
      <c r="D13" s="23">
        <v>1990000</v>
      </c>
      <c r="E13" s="23" t="s">
        <v>718</v>
      </c>
      <c r="F13" s="23" t="str">
        <f t="shared" si="0"/>
        <v>rtdc.l.rtdc.4046:itc</v>
      </c>
      <c r="G13" s="8">
        <f t="shared" si="1"/>
        <v>42615.153645833336</v>
      </c>
    </row>
    <row r="14" spans="1:7" x14ac:dyDescent="0.25">
      <c r="A14" s="8">
        <v>42615.170787037037</v>
      </c>
      <c r="B14" s="23" t="s">
        <v>92</v>
      </c>
      <c r="C14" s="23" t="s">
        <v>372</v>
      </c>
      <c r="D14" s="23">
        <v>2010000</v>
      </c>
      <c r="E14" s="23" t="s">
        <v>300</v>
      </c>
      <c r="F14" s="23" t="str">
        <f t="shared" si="0"/>
        <v>rtdc.l.rtdc.4030:itc</v>
      </c>
      <c r="G14" s="8">
        <f t="shared" si="1"/>
        <v>42615.170787037037</v>
      </c>
    </row>
    <row r="15" spans="1:7" x14ac:dyDescent="0.25">
      <c r="A15" s="8">
        <v>42615.184548611112</v>
      </c>
      <c r="B15" s="23" t="s">
        <v>297</v>
      </c>
      <c r="C15" s="23" t="s">
        <v>379</v>
      </c>
      <c r="D15" s="23">
        <v>2230000</v>
      </c>
      <c r="E15" s="23" t="s">
        <v>264</v>
      </c>
      <c r="F15" s="23" t="str">
        <f t="shared" si="0"/>
        <v>rtdc.l.rtdc.4044:itc</v>
      </c>
      <c r="G15" s="8">
        <f t="shared" si="1"/>
        <v>42615.184548611112</v>
      </c>
    </row>
    <row r="16" spans="1:7" x14ac:dyDescent="0.25">
      <c r="A16" s="8">
        <v>42615.191284722219</v>
      </c>
      <c r="B16" s="23" t="s">
        <v>114</v>
      </c>
      <c r="C16" s="23" t="s">
        <v>381</v>
      </c>
      <c r="D16" s="23">
        <v>1100000</v>
      </c>
      <c r="E16" s="23" t="s">
        <v>265</v>
      </c>
      <c r="F16" s="23" t="str">
        <f t="shared" si="0"/>
        <v>rtdc.l.rtdc.4031:itc</v>
      </c>
      <c r="G16" s="8">
        <f t="shared" si="1"/>
        <v>42615.191284722219</v>
      </c>
    </row>
    <row r="17" spans="1:7" x14ac:dyDescent="0.25">
      <c r="A17" s="8">
        <v>42615.191608796296</v>
      </c>
      <c r="B17" s="23" t="s">
        <v>262</v>
      </c>
      <c r="C17" s="23" t="s">
        <v>377</v>
      </c>
      <c r="D17" s="23">
        <v>1990000</v>
      </c>
      <c r="E17" s="23" t="s">
        <v>718</v>
      </c>
      <c r="F17" s="23" t="str">
        <f t="shared" si="0"/>
        <v>rtdc.l.rtdc.4015:itc</v>
      </c>
      <c r="G17" s="8">
        <f t="shared" si="1"/>
        <v>42615.191608796296</v>
      </c>
    </row>
    <row r="18" spans="1:7" x14ac:dyDescent="0.25">
      <c r="A18" s="8">
        <v>42615.204201388886</v>
      </c>
      <c r="B18" s="23" t="s">
        <v>298</v>
      </c>
      <c r="C18" s="23" t="s">
        <v>598</v>
      </c>
      <c r="D18" s="23">
        <v>1760000</v>
      </c>
      <c r="E18" s="23" t="s">
        <v>301</v>
      </c>
      <c r="F18" s="23" t="str">
        <f t="shared" si="0"/>
        <v>rtdc.l.rtdc.4008:itc</v>
      </c>
      <c r="G18" s="8">
        <f t="shared" si="1"/>
        <v>42615.204201388886</v>
      </c>
    </row>
    <row r="19" spans="1:7" x14ac:dyDescent="0.25">
      <c r="A19" s="8">
        <v>42615.207997685182</v>
      </c>
      <c r="B19" s="23" t="s">
        <v>704</v>
      </c>
      <c r="C19" s="23" t="s">
        <v>384</v>
      </c>
      <c r="D19" s="23">
        <v>1090000</v>
      </c>
      <c r="E19" s="23" t="s">
        <v>251</v>
      </c>
      <c r="F19" s="23" t="str">
        <f t="shared" si="0"/>
        <v>rtdc.l.rtdc.4053:itc</v>
      </c>
      <c r="G19" s="8">
        <f t="shared" si="1"/>
        <v>42615.207997685182</v>
      </c>
    </row>
    <row r="20" spans="1:7" x14ac:dyDescent="0.25">
      <c r="A20" s="8">
        <v>42615.214687500003</v>
      </c>
      <c r="B20" s="23" t="s">
        <v>296</v>
      </c>
      <c r="C20" s="23" t="s">
        <v>705</v>
      </c>
      <c r="D20" s="23">
        <v>1310000</v>
      </c>
      <c r="E20" s="23" t="s">
        <v>359</v>
      </c>
      <c r="F20" s="23" t="str">
        <f t="shared" si="0"/>
        <v>rtdc.l.rtdc.4001:itc</v>
      </c>
      <c r="G20" s="8">
        <f t="shared" si="1"/>
        <v>42615.214687500003</v>
      </c>
    </row>
    <row r="21" spans="1:7" x14ac:dyDescent="0.25">
      <c r="A21" s="8">
        <v>42615.215775462966</v>
      </c>
      <c r="B21" s="23" t="s">
        <v>296</v>
      </c>
      <c r="C21" s="23" t="s">
        <v>705</v>
      </c>
      <c r="D21" s="23">
        <v>1310000</v>
      </c>
      <c r="E21" s="23" t="s">
        <v>359</v>
      </c>
      <c r="F21" s="23" t="str">
        <f t="shared" si="0"/>
        <v>rtdc.l.rtdc.4001:itc</v>
      </c>
      <c r="G21" s="8">
        <f t="shared" si="1"/>
        <v>42615.215775462966</v>
      </c>
    </row>
    <row r="22" spans="1:7" x14ac:dyDescent="0.25">
      <c r="A22" s="29">
        <v>42615.216145833336</v>
      </c>
      <c r="B22" s="23" t="s">
        <v>91</v>
      </c>
      <c r="C22" s="23" t="s">
        <v>388</v>
      </c>
      <c r="D22" s="23">
        <v>2010000</v>
      </c>
      <c r="E22" s="23" t="s">
        <v>300</v>
      </c>
      <c r="F22" s="23" t="str">
        <f t="shared" si="0"/>
        <v>rtdc.l.rtdc.4029:itc</v>
      </c>
      <c r="G22" s="8">
        <f t="shared" si="1"/>
        <v>42615.216145833336</v>
      </c>
    </row>
    <row r="23" spans="1:7" x14ac:dyDescent="0.25">
      <c r="A23" s="8">
        <v>42615.217094907406</v>
      </c>
      <c r="B23" s="23" t="s">
        <v>91</v>
      </c>
      <c r="C23" s="23" t="s">
        <v>388</v>
      </c>
      <c r="D23" s="23">
        <v>2010000</v>
      </c>
      <c r="E23" s="23" t="s">
        <v>300</v>
      </c>
      <c r="F23" s="23" t="str">
        <f t="shared" si="0"/>
        <v>rtdc.l.rtdc.4029:itc</v>
      </c>
      <c r="G23" s="8">
        <f t="shared" si="1"/>
        <v>42615.217094907406</v>
      </c>
    </row>
    <row r="24" spans="1:7" x14ac:dyDescent="0.25">
      <c r="A24" s="8">
        <v>42615.218425925923</v>
      </c>
      <c r="B24" s="23" t="s">
        <v>295</v>
      </c>
      <c r="C24" s="23" t="s">
        <v>380</v>
      </c>
      <c r="D24" s="23">
        <v>2230000</v>
      </c>
      <c r="E24" s="23" t="s">
        <v>264</v>
      </c>
      <c r="F24" s="23" t="str">
        <f t="shared" si="0"/>
        <v>rtdc.l.rtdc.4043:itc</v>
      </c>
      <c r="G24" s="8">
        <f t="shared" si="1"/>
        <v>42615.218425925923</v>
      </c>
    </row>
    <row r="25" spans="1:7" x14ac:dyDescent="0.25">
      <c r="A25" s="8">
        <v>42615.228750000002</v>
      </c>
      <c r="B25" s="23" t="s">
        <v>717</v>
      </c>
      <c r="C25" s="23" t="s">
        <v>390</v>
      </c>
      <c r="D25" s="23">
        <v>2260000</v>
      </c>
      <c r="E25" s="23" t="s">
        <v>182</v>
      </c>
      <c r="F25" s="23" t="str">
        <f t="shared" si="0"/>
        <v>rtdc.l.rtdc.4046:itc</v>
      </c>
      <c r="G25" s="8">
        <f t="shared" si="1"/>
        <v>42615.228750000002</v>
      </c>
    </row>
    <row r="26" spans="1:7" x14ac:dyDescent="0.25">
      <c r="A26" s="8">
        <v>42615.232453703706</v>
      </c>
      <c r="B26" s="23" t="s">
        <v>268</v>
      </c>
      <c r="C26" s="23" t="s">
        <v>392</v>
      </c>
      <c r="D26" s="23">
        <v>1990000</v>
      </c>
      <c r="E26" s="23" t="s">
        <v>718</v>
      </c>
      <c r="F26" s="23" t="str">
        <f t="shared" si="0"/>
        <v>rtdc.l.rtdc.4016:itc</v>
      </c>
      <c r="G26" s="8">
        <f t="shared" si="1"/>
        <v>42615.232453703706</v>
      </c>
    </row>
    <row r="27" spans="1:7" x14ac:dyDescent="0.25">
      <c r="A27" s="8">
        <v>42615.234629629631</v>
      </c>
      <c r="B27" s="23" t="s">
        <v>115</v>
      </c>
      <c r="C27" s="23" t="s">
        <v>383</v>
      </c>
      <c r="D27" s="23">
        <v>1100000</v>
      </c>
      <c r="E27" s="23" t="s">
        <v>265</v>
      </c>
      <c r="F27" s="23" t="str">
        <f t="shared" si="0"/>
        <v>rtdc.l.rtdc.4032:itc</v>
      </c>
      <c r="G27" s="8">
        <f t="shared" si="1"/>
        <v>42615.234629629631</v>
      </c>
    </row>
    <row r="28" spans="1:7" x14ac:dyDescent="0.25">
      <c r="A28" s="8">
        <v>42615.239722222221</v>
      </c>
      <c r="B28" s="23" t="s">
        <v>299</v>
      </c>
      <c r="C28" s="23" t="s">
        <v>600</v>
      </c>
      <c r="D28" s="23">
        <v>1760000</v>
      </c>
      <c r="E28" s="23" t="s">
        <v>301</v>
      </c>
      <c r="F28" s="23" t="str">
        <f t="shared" si="0"/>
        <v>rtdc.l.rtdc.4007:itc</v>
      </c>
      <c r="G28" s="8">
        <f t="shared" si="1"/>
        <v>42615.239722222221</v>
      </c>
    </row>
    <row r="29" spans="1:7" x14ac:dyDescent="0.25">
      <c r="A29" s="8">
        <v>42615.242708333331</v>
      </c>
      <c r="B29" s="23" t="s">
        <v>706</v>
      </c>
      <c r="C29" s="23" t="s">
        <v>386</v>
      </c>
      <c r="D29" s="23">
        <v>1090000</v>
      </c>
      <c r="E29" s="23" t="s">
        <v>251</v>
      </c>
      <c r="F29" s="23" t="str">
        <f t="shared" si="0"/>
        <v>rtdc.l.rtdc.4054:itc</v>
      </c>
      <c r="G29" s="8">
        <f t="shared" si="1"/>
        <v>42615.242708333331</v>
      </c>
    </row>
    <row r="30" spans="1:7" x14ac:dyDescent="0.25">
      <c r="A30" s="8">
        <v>42615.249710648146</v>
      </c>
      <c r="B30" s="23" t="s">
        <v>167</v>
      </c>
      <c r="C30" s="23" t="s">
        <v>394</v>
      </c>
      <c r="D30" s="23">
        <v>1310000</v>
      </c>
      <c r="E30" s="23" t="s">
        <v>359</v>
      </c>
      <c r="F30" s="23" t="str">
        <f t="shared" si="0"/>
        <v>rtdc.l.rtdc.4009:itc</v>
      </c>
      <c r="G30" s="8">
        <f t="shared" si="1"/>
        <v>42615.249710648146</v>
      </c>
    </row>
    <row r="31" spans="1:7" x14ac:dyDescent="0.25">
      <c r="A31" s="8">
        <v>42615.250706018516</v>
      </c>
      <c r="B31" s="23" t="s">
        <v>92</v>
      </c>
      <c r="C31" s="23" t="s">
        <v>389</v>
      </c>
      <c r="D31" s="23">
        <v>2010000</v>
      </c>
      <c r="E31" s="23" t="s">
        <v>300</v>
      </c>
      <c r="F31" s="23" t="str">
        <f t="shared" si="0"/>
        <v>rtdc.l.rtdc.4030:itc</v>
      </c>
      <c r="G31" s="8">
        <f t="shared" si="1"/>
        <v>42615.250706018516</v>
      </c>
    </row>
    <row r="32" spans="1:7" x14ac:dyDescent="0.25">
      <c r="A32" s="8">
        <v>42615.254861111112</v>
      </c>
      <c r="B32" s="23" t="s">
        <v>713</v>
      </c>
      <c r="C32" s="23" t="s">
        <v>606</v>
      </c>
      <c r="D32" s="23">
        <v>1830000</v>
      </c>
      <c r="E32" s="23" t="s">
        <v>360</v>
      </c>
      <c r="F32" s="23" t="str">
        <f t="shared" si="0"/>
        <v>rtdc.l.rtdc.4025:itc</v>
      </c>
      <c r="G32" s="8">
        <f t="shared" si="1"/>
        <v>42615.254861111112</v>
      </c>
    </row>
    <row r="33" spans="1:7" x14ac:dyDescent="0.25">
      <c r="A33" s="8">
        <v>42615.256412037037</v>
      </c>
      <c r="B33" s="23" t="s">
        <v>298</v>
      </c>
      <c r="C33" s="23" t="s">
        <v>603</v>
      </c>
      <c r="D33" s="23">
        <v>1760000</v>
      </c>
      <c r="E33" s="23" t="s">
        <v>301</v>
      </c>
      <c r="F33" s="23" t="str">
        <f t="shared" si="0"/>
        <v>rtdc.l.rtdc.4008:itc</v>
      </c>
      <c r="G33" s="8">
        <f t="shared" si="1"/>
        <v>42615.256412037037</v>
      </c>
    </row>
    <row r="34" spans="1:7" x14ac:dyDescent="0.25">
      <c r="A34" s="8">
        <v>42615.259039351855</v>
      </c>
      <c r="B34" s="23" t="s">
        <v>297</v>
      </c>
      <c r="C34" s="23" t="s">
        <v>396</v>
      </c>
      <c r="D34" s="23">
        <v>2230000</v>
      </c>
      <c r="E34" s="23" t="s">
        <v>264</v>
      </c>
      <c r="F34" s="23" t="str">
        <f t="shared" si="0"/>
        <v>rtdc.l.rtdc.4044:itc</v>
      </c>
      <c r="G34" s="8">
        <f t="shared" si="1"/>
        <v>42615.259039351855</v>
      </c>
    </row>
    <row r="35" spans="1:7" x14ac:dyDescent="0.25">
      <c r="A35" s="8">
        <v>42615.263553240744</v>
      </c>
      <c r="B35" s="23" t="s">
        <v>719</v>
      </c>
      <c r="C35" s="23" t="s">
        <v>391</v>
      </c>
      <c r="D35" s="23">
        <v>2260000</v>
      </c>
      <c r="E35" s="23" t="s">
        <v>182</v>
      </c>
      <c r="F35" s="23" t="str">
        <f t="shared" si="0"/>
        <v>rtdc.l.rtdc.4045:itc</v>
      </c>
      <c r="G35" s="8">
        <f t="shared" si="1"/>
        <v>42615.263553240744</v>
      </c>
    </row>
    <row r="36" spans="1:7" x14ac:dyDescent="0.25">
      <c r="A36" s="8">
        <v>42615.268761574072</v>
      </c>
      <c r="B36" s="23" t="s">
        <v>114</v>
      </c>
      <c r="C36" s="23" t="s">
        <v>401</v>
      </c>
      <c r="D36" s="23">
        <v>1100000</v>
      </c>
      <c r="E36" s="23" t="s">
        <v>265</v>
      </c>
      <c r="F36" s="23" t="str">
        <f t="shared" si="0"/>
        <v>rtdc.l.rtdc.4031:itc</v>
      </c>
      <c r="G36" s="8">
        <f t="shared" si="1"/>
        <v>42615.268761574072</v>
      </c>
    </row>
    <row r="37" spans="1:7" x14ac:dyDescent="0.25">
      <c r="A37" s="8">
        <v>42615.273831018516</v>
      </c>
      <c r="B37" s="23" t="s">
        <v>262</v>
      </c>
      <c r="C37" s="23" t="s">
        <v>393</v>
      </c>
      <c r="D37" s="23">
        <v>1990000</v>
      </c>
      <c r="E37" s="23" t="s">
        <v>718</v>
      </c>
      <c r="F37" s="23" t="str">
        <f t="shared" si="0"/>
        <v>rtdc.l.rtdc.4015:itc</v>
      </c>
      <c r="G37" s="8">
        <f t="shared" si="1"/>
        <v>42615.273831018516</v>
      </c>
    </row>
    <row r="38" spans="1:7" x14ac:dyDescent="0.25">
      <c r="A38" s="8">
        <v>42615.275393518517</v>
      </c>
      <c r="B38" s="23" t="s">
        <v>715</v>
      </c>
      <c r="C38" s="23" t="s">
        <v>609</v>
      </c>
      <c r="D38" s="23">
        <v>1830000</v>
      </c>
      <c r="E38" s="23" t="s">
        <v>360</v>
      </c>
      <c r="F38" s="23" t="str">
        <f t="shared" si="0"/>
        <v>rtdc.l.rtdc.4026:itc</v>
      </c>
      <c r="G38" s="8">
        <f t="shared" si="1"/>
        <v>42615.275393518517</v>
      </c>
    </row>
    <row r="39" spans="1:7" x14ac:dyDescent="0.25">
      <c r="A39" s="8">
        <v>42615.277858796297</v>
      </c>
      <c r="B39" s="23" t="s">
        <v>704</v>
      </c>
      <c r="C39" s="23" t="s">
        <v>404</v>
      </c>
      <c r="D39" s="23">
        <v>1090000</v>
      </c>
      <c r="E39" s="23" t="s">
        <v>251</v>
      </c>
      <c r="F39" s="23" t="str">
        <f t="shared" si="0"/>
        <v>rtdc.l.rtdc.4053:itc</v>
      </c>
      <c r="G39" s="8">
        <f t="shared" si="1"/>
        <v>42615.277858796297</v>
      </c>
    </row>
    <row r="40" spans="1:7" x14ac:dyDescent="0.25">
      <c r="A40" s="8">
        <v>42615.279687499999</v>
      </c>
      <c r="B40" s="28" t="s">
        <v>299</v>
      </c>
      <c r="C40" s="23" t="s">
        <v>611</v>
      </c>
      <c r="D40" s="23">
        <v>1760000</v>
      </c>
      <c r="E40" s="23" t="s">
        <v>301</v>
      </c>
      <c r="F40" s="23" t="str">
        <f t="shared" si="0"/>
        <v>rtdc.l.rtdc.4007:itc</v>
      </c>
      <c r="G40" s="8">
        <f t="shared" si="1"/>
        <v>42615.279687499999</v>
      </c>
    </row>
    <row r="41" spans="1:7" x14ac:dyDescent="0.25">
      <c r="A41" s="8">
        <v>42615.287905092591</v>
      </c>
      <c r="B41" s="23" t="s">
        <v>91</v>
      </c>
      <c r="C41" s="23" t="s">
        <v>406</v>
      </c>
      <c r="D41" s="23">
        <v>2010000</v>
      </c>
      <c r="E41" s="23" t="s">
        <v>300</v>
      </c>
      <c r="F41" s="23" t="str">
        <f t="shared" si="0"/>
        <v>rtdc.l.rtdc.4029:itc</v>
      </c>
      <c r="G41" s="8">
        <f t="shared" si="1"/>
        <v>42615.287905092591</v>
      </c>
    </row>
    <row r="42" spans="1:7" x14ac:dyDescent="0.25">
      <c r="A42" s="8">
        <v>42615.297303240739</v>
      </c>
      <c r="B42" s="23" t="s">
        <v>298</v>
      </c>
      <c r="C42" s="23" t="s">
        <v>613</v>
      </c>
      <c r="D42" s="23">
        <v>1760000</v>
      </c>
      <c r="E42" s="23" t="s">
        <v>301</v>
      </c>
      <c r="F42" s="23" t="str">
        <f t="shared" si="0"/>
        <v>rtdc.l.rtdc.4008:itc</v>
      </c>
      <c r="G42" s="8">
        <f t="shared" si="1"/>
        <v>42615.297303240739</v>
      </c>
    </row>
    <row r="43" spans="1:7" x14ac:dyDescent="0.25">
      <c r="A43" s="8">
        <v>42615.297384259262</v>
      </c>
      <c r="B43" s="23" t="s">
        <v>295</v>
      </c>
      <c r="C43" s="23" t="s">
        <v>399</v>
      </c>
      <c r="D43" s="23">
        <v>2230000</v>
      </c>
      <c r="E43" s="23" t="s">
        <v>264</v>
      </c>
      <c r="F43" s="23" t="str">
        <f t="shared" si="0"/>
        <v>rtdc.l.rtdc.4043:itc</v>
      </c>
      <c r="G43" s="8">
        <f t="shared" si="1"/>
        <v>42615.297384259262</v>
      </c>
    </row>
    <row r="44" spans="1:7" x14ac:dyDescent="0.25">
      <c r="A44" s="8">
        <v>42615.298356481479</v>
      </c>
      <c r="B44" s="23" t="s">
        <v>717</v>
      </c>
      <c r="C44" s="23" t="s">
        <v>408</v>
      </c>
      <c r="D44" s="23">
        <v>2260000</v>
      </c>
      <c r="E44" s="23" t="s">
        <v>182</v>
      </c>
      <c r="F44" s="23" t="str">
        <f t="shared" si="0"/>
        <v>rtdc.l.rtdc.4046:itc</v>
      </c>
      <c r="G44" s="8">
        <f t="shared" si="1"/>
        <v>42615.298356481479</v>
      </c>
    </row>
    <row r="45" spans="1:7" x14ac:dyDescent="0.25">
      <c r="A45" s="8">
        <v>42615.304236111115</v>
      </c>
      <c r="B45" s="23" t="s">
        <v>713</v>
      </c>
      <c r="C45" s="23" t="s">
        <v>615</v>
      </c>
      <c r="D45" s="23">
        <v>1830000</v>
      </c>
      <c r="E45" s="23" t="s">
        <v>360</v>
      </c>
      <c r="F45" s="23" t="str">
        <f t="shared" si="0"/>
        <v>rtdc.l.rtdc.4025:itc</v>
      </c>
      <c r="G45" s="8">
        <f t="shared" si="1"/>
        <v>42615.304236111115</v>
      </c>
    </row>
    <row r="46" spans="1:7" x14ac:dyDescent="0.25">
      <c r="A46" s="8">
        <v>42615.306458333333</v>
      </c>
      <c r="B46" s="23" t="s">
        <v>115</v>
      </c>
      <c r="C46" s="23" t="s">
        <v>403</v>
      </c>
      <c r="D46" s="23">
        <v>1100000</v>
      </c>
      <c r="E46" s="23" t="s">
        <v>265</v>
      </c>
      <c r="F46" s="23" t="str">
        <f t="shared" si="0"/>
        <v>rtdc.l.rtdc.4032:itc</v>
      </c>
      <c r="G46" s="8">
        <f t="shared" si="1"/>
        <v>42615.306458333333</v>
      </c>
    </row>
    <row r="47" spans="1:7" x14ac:dyDescent="0.25">
      <c r="A47" s="8">
        <v>42615.308206018519</v>
      </c>
      <c r="B47" s="23" t="s">
        <v>268</v>
      </c>
      <c r="C47" s="23" t="s">
        <v>410</v>
      </c>
      <c r="D47" s="23">
        <v>1990000</v>
      </c>
      <c r="E47" s="23" t="s">
        <v>718</v>
      </c>
      <c r="F47" s="23" t="str">
        <f t="shared" si="0"/>
        <v>rtdc.l.rtdc.4016:itc</v>
      </c>
      <c r="G47" s="8">
        <f t="shared" si="1"/>
        <v>42615.308206018519</v>
      </c>
    </row>
    <row r="48" spans="1:7" x14ac:dyDescent="0.25">
      <c r="A48" s="8">
        <v>42615.312662037039</v>
      </c>
      <c r="B48" s="23" t="s">
        <v>706</v>
      </c>
      <c r="C48" s="23" t="s">
        <v>405</v>
      </c>
      <c r="D48" s="23">
        <v>1090000</v>
      </c>
      <c r="E48" s="23" t="s">
        <v>251</v>
      </c>
      <c r="F48" s="23" t="str">
        <f t="shared" si="0"/>
        <v>rtdc.l.rtdc.4054:itc</v>
      </c>
      <c r="G48" s="8">
        <f t="shared" si="1"/>
        <v>42615.312662037039</v>
      </c>
    </row>
    <row r="49" spans="1:7" x14ac:dyDescent="0.25">
      <c r="A49" s="8">
        <v>42615.316921296297</v>
      </c>
      <c r="B49" s="23" t="s">
        <v>715</v>
      </c>
      <c r="C49" s="23" t="s">
        <v>616</v>
      </c>
      <c r="D49" s="23">
        <v>1830000</v>
      </c>
      <c r="E49" s="23" t="s">
        <v>360</v>
      </c>
      <c r="F49" s="23" t="str">
        <f t="shared" si="0"/>
        <v>rtdc.l.rtdc.4026:itc</v>
      </c>
      <c r="G49" s="8">
        <f t="shared" si="1"/>
        <v>42615.316921296297</v>
      </c>
    </row>
    <row r="50" spans="1:7" x14ac:dyDescent="0.25">
      <c r="A50" s="8">
        <v>42615.321342592593</v>
      </c>
      <c r="B50" s="23" t="s">
        <v>167</v>
      </c>
      <c r="C50" s="23" t="s">
        <v>412</v>
      </c>
      <c r="D50" s="23">
        <v>1310000</v>
      </c>
      <c r="E50" s="23" t="s">
        <v>359</v>
      </c>
      <c r="F50" s="23" t="str">
        <f t="shared" si="0"/>
        <v>rtdc.l.rtdc.4009:itc</v>
      </c>
      <c r="G50" s="8">
        <f t="shared" si="1"/>
        <v>42615.321342592593</v>
      </c>
    </row>
    <row r="51" spans="1:7" x14ac:dyDescent="0.25">
      <c r="A51" s="8">
        <v>42615.322893518518</v>
      </c>
      <c r="B51" s="23" t="s">
        <v>299</v>
      </c>
      <c r="C51" s="23" t="s">
        <v>617</v>
      </c>
      <c r="D51" s="23">
        <v>1760000</v>
      </c>
      <c r="E51" s="23" t="s">
        <v>301</v>
      </c>
      <c r="F51" s="23" t="str">
        <f t="shared" si="0"/>
        <v>rtdc.l.rtdc.4007:itc</v>
      </c>
      <c r="G51" s="8">
        <f t="shared" si="1"/>
        <v>42615.322893518518</v>
      </c>
    </row>
    <row r="52" spans="1:7" x14ac:dyDescent="0.25">
      <c r="A52" s="8">
        <v>42615.323182870372</v>
      </c>
      <c r="B52" s="23" t="s">
        <v>92</v>
      </c>
      <c r="C52" s="23" t="s">
        <v>407</v>
      </c>
      <c r="D52" s="23">
        <v>2010000</v>
      </c>
      <c r="E52" s="23" t="s">
        <v>300</v>
      </c>
      <c r="F52" s="23" t="str">
        <f t="shared" si="0"/>
        <v>rtdc.l.rtdc.4030:itc</v>
      </c>
      <c r="G52" s="8">
        <f t="shared" si="1"/>
        <v>42615.323182870372</v>
      </c>
    </row>
    <row r="53" spans="1:7" x14ac:dyDescent="0.25">
      <c r="A53" s="8">
        <v>42615.330127314817</v>
      </c>
      <c r="B53" s="23" t="s">
        <v>297</v>
      </c>
      <c r="C53" s="23" t="s">
        <v>414</v>
      </c>
      <c r="D53" s="23">
        <v>2230000</v>
      </c>
      <c r="E53" s="23" t="s">
        <v>264</v>
      </c>
      <c r="F53" s="23" t="str">
        <f t="shared" si="0"/>
        <v>rtdc.l.rtdc.4044:itc</v>
      </c>
      <c r="G53" s="8">
        <f t="shared" si="1"/>
        <v>42615.330127314817</v>
      </c>
    </row>
    <row r="54" spans="1:7" x14ac:dyDescent="0.25">
      <c r="A54" s="8">
        <v>42615.331631944442</v>
      </c>
      <c r="B54" s="23" t="s">
        <v>713</v>
      </c>
      <c r="C54" s="23" t="s">
        <v>621</v>
      </c>
      <c r="D54" s="23">
        <v>1830000</v>
      </c>
      <c r="E54" s="23" t="s">
        <v>360</v>
      </c>
      <c r="F54" s="23" t="str">
        <f t="shared" si="0"/>
        <v>rtdc.l.rtdc.4025:itc</v>
      </c>
      <c r="G54" s="8">
        <f t="shared" si="1"/>
        <v>42615.331631944442</v>
      </c>
    </row>
    <row r="55" spans="1:7" x14ac:dyDescent="0.25">
      <c r="A55" s="8">
        <v>42615.339456018519</v>
      </c>
      <c r="B55" s="23" t="s">
        <v>719</v>
      </c>
      <c r="C55" s="23" t="s">
        <v>409</v>
      </c>
      <c r="D55" s="23">
        <v>2260000</v>
      </c>
      <c r="E55" s="23" t="s">
        <v>182</v>
      </c>
      <c r="F55" s="23" t="str">
        <f t="shared" si="0"/>
        <v>rtdc.l.rtdc.4045:itc</v>
      </c>
      <c r="G55" s="8">
        <f t="shared" si="1"/>
        <v>42615.339456018519</v>
      </c>
    </row>
    <row r="56" spans="1:7" x14ac:dyDescent="0.25">
      <c r="A56" s="8">
        <v>42615.34070601852</v>
      </c>
      <c r="B56" s="23" t="s">
        <v>298</v>
      </c>
      <c r="C56" s="23" t="s">
        <v>620</v>
      </c>
      <c r="D56" s="23">
        <v>1760000</v>
      </c>
      <c r="E56" s="23" t="s">
        <v>301</v>
      </c>
      <c r="F56" s="23" t="str">
        <f t="shared" si="0"/>
        <v>rtdc.l.rtdc.4008:itc</v>
      </c>
      <c r="G56" s="8">
        <f t="shared" si="1"/>
        <v>42615.34070601852</v>
      </c>
    </row>
    <row r="57" spans="1:7" x14ac:dyDescent="0.25">
      <c r="A57" s="8">
        <v>42615.340937499997</v>
      </c>
      <c r="B57" s="23" t="s">
        <v>114</v>
      </c>
      <c r="C57" s="23" t="s">
        <v>417</v>
      </c>
      <c r="D57" s="23">
        <v>1100000</v>
      </c>
      <c r="E57" s="23" t="s">
        <v>265</v>
      </c>
      <c r="F57" s="23" t="str">
        <f t="shared" si="0"/>
        <v>rtdc.l.rtdc.4031:itc</v>
      </c>
      <c r="G57" s="8">
        <f t="shared" si="1"/>
        <v>42615.340937499997</v>
      </c>
    </row>
    <row r="58" spans="1:7" x14ac:dyDescent="0.25">
      <c r="A58" s="8">
        <v>42615.34878472222</v>
      </c>
      <c r="B58" s="23" t="s">
        <v>262</v>
      </c>
      <c r="C58" s="23" t="s">
        <v>411</v>
      </c>
      <c r="D58" s="23">
        <v>1990000</v>
      </c>
      <c r="E58" s="23" t="s">
        <v>718</v>
      </c>
      <c r="F58" s="23" t="str">
        <f t="shared" si="0"/>
        <v>rtdc.l.rtdc.4015:itc</v>
      </c>
      <c r="G58" s="8">
        <f t="shared" si="1"/>
        <v>42615.34878472222</v>
      </c>
    </row>
    <row r="59" spans="1:7" x14ac:dyDescent="0.25">
      <c r="A59" s="8">
        <v>42615.351423611108</v>
      </c>
      <c r="B59" s="23" t="s">
        <v>704</v>
      </c>
      <c r="C59" s="23" t="s">
        <v>419</v>
      </c>
      <c r="D59" s="23">
        <v>1090000</v>
      </c>
      <c r="E59" s="23" t="s">
        <v>251</v>
      </c>
      <c r="F59" s="23" t="str">
        <f t="shared" si="0"/>
        <v>rtdc.l.rtdc.4053:itc</v>
      </c>
      <c r="G59" s="8">
        <f t="shared" si="1"/>
        <v>42615.351423611108</v>
      </c>
    </row>
    <row r="60" spans="1:7" x14ac:dyDescent="0.25">
      <c r="A60" s="8">
        <v>42615.353912037041</v>
      </c>
      <c r="B60" s="23" t="s">
        <v>299</v>
      </c>
      <c r="C60" s="23" t="s">
        <v>696</v>
      </c>
      <c r="D60" s="23">
        <v>1760000</v>
      </c>
      <c r="E60" s="23" t="s">
        <v>301</v>
      </c>
      <c r="F60" s="23" t="str">
        <f t="shared" si="0"/>
        <v>rtdc.l.rtdc.4007:itc</v>
      </c>
      <c r="G60" s="8">
        <f t="shared" si="1"/>
        <v>42615.353912037041</v>
      </c>
    </row>
    <row r="61" spans="1:7" x14ac:dyDescent="0.25">
      <c r="A61" s="8">
        <v>42615.359085648146</v>
      </c>
      <c r="B61" s="23" t="s">
        <v>715</v>
      </c>
      <c r="C61" s="23" t="s">
        <v>624</v>
      </c>
      <c r="D61" s="23">
        <v>1830000</v>
      </c>
      <c r="E61" s="23" t="s">
        <v>360</v>
      </c>
      <c r="F61" s="23" t="str">
        <f t="shared" si="0"/>
        <v>rtdc.l.rtdc.4026:itc</v>
      </c>
      <c r="G61" s="8">
        <f t="shared" si="1"/>
        <v>42615.359085648146</v>
      </c>
    </row>
    <row r="62" spans="1:7" x14ac:dyDescent="0.25">
      <c r="A62" s="8">
        <v>42615.36041666667</v>
      </c>
      <c r="B62" s="23" t="s">
        <v>168</v>
      </c>
      <c r="C62" s="23" t="s">
        <v>413</v>
      </c>
      <c r="D62" s="23">
        <v>1310000</v>
      </c>
      <c r="E62" s="23" t="s">
        <v>359</v>
      </c>
      <c r="F62" s="23" t="str">
        <f t="shared" si="0"/>
        <v>rtdc.l.rtdc.4010:itc</v>
      </c>
      <c r="G62" s="8">
        <f t="shared" si="1"/>
        <v>42615.36041666667</v>
      </c>
    </row>
    <row r="63" spans="1:7" x14ac:dyDescent="0.25">
      <c r="A63" s="8">
        <v>42615.360879629632</v>
      </c>
      <c r="B63" s="23" t="s">
        <v>715</v>
      </c>
      <c r="C63" s="23" t="s">
        <v>624</v>
      </c>
      <c r="D63" s="23">
        <v>1830000</v>
      </c>
      <c r="E63" s="23" t="s">
        <v>360</v>
      </c>
      <c r="F63" s="23" t="str">
        <f t="shared" si="0"/>
        <v>rtdc.l.rtdc.4026:itc</v>
      </c>
      <c r="G63" s="8">
        <f t="shared" si="1"/>
        <v>42615.360879629632</v>
      </c>
    </row>
    <row r="64" spans="1:7" x14ac:dyDescent="0.25">
      <c r="A64" s="29">
        <v>42615.361087962963</v>
      </c>
      <c r="B64" s="23" t="s">
        <v>91</v>
      </c>
      <c r="C64" s="23" t="s">
        <v>422</v>
      </c>
      <c r="D64" s="23">
        <v>2010000</v>
      </c>
      <c r="E64" s="23" t="s">
        <v>300</v>
      </c>
      <c r="F64" s="23" t="str">
        <f t="shared" si="0"/>
        <v>rtdc.l.rtdc.4029:itc</v>
      </c>
      <c r="G64" s="8">
        <f t="shared" si="1"/>
        <v>42615.361087962963</v>
      </c>
    </row>
    <row r="65" spans="1:7" x14ac:dyDescent="0.25">
      <c r="A65" s="8">
        <v>42615.369189814817</v>
      </c>
      <c r="B65" s="23" t="s">
        <v>295</v>
      </c>
      <c r="C65" s="23" t="s">
        <v>415</v>
      </c>
      <c r="D65" s="23">
        <v>2230000</v>
      </c>
      <c r="E65" s="23" t="s">
        <v>264</v>
      </c>
      <c r="F65" s="23" t="str">
        <f t="shared" si="0"/>
        <v>rtdc.l.rtdc.4043:itc</v>
      </c>
      <c r="G65" s="8">
        <f t="shared" si="1"/>
        <v>42615.369189814817</v>
      </c>
    </row>
    <row r="66" spans="1:7" x14ac:dyDescent="0.25">
      <c r="A66" s="8">
        <v>42615.371898148151</v>
      </c>
      <c r="B66" s="23" t="s">
        <v>717</v>
      </c>
      <c r="C66" s="23" t="s">
        <v>425</v>
      </c>
      <c r="D66" s="23">
        <v>2260000</v>
      </c>
      <c r="E66" s="23" t="s">
        <v>182</v>
      </c>
      <c r="F66" s="23" t="str">
        <f t="shared" ref="F66:F129" si="2">B66</f>
        <v>rtdc.l.rtdc.4046:itc</v>
      </c>
      <c r="G66" s="8">
        <f t="shared" ref="G66:G129" si="3">A66</f>
        <v>42615.371898148151</v>
      </c>
    </row>
    <row r="67" spans="1:7" x14ac:dyDescent="0.25">
      <c r="A67" s="8">
        <v>42615.373530092591</v>
      </c>
      <c r="B67" s="23" t="s">
        <v>713</v>
      </c>
      <c r="C67" s="23" t="s">
        <v>627</v>
      </c>
      <c r="D67" s="23">
        <v>1830000</v>
      </c>
      <c r="E67" s="23" t="s">
        <v>360</v>
      </c>
      <c r="F67" s="23" t="str">
        <f t="shared" si="2"/>
        <v>rtdc.l.rtdc.4025:itc</v>
      </c>
      <c r="G67" s="8">
        <f t="shared" si="3"/>
        <v>42615.373530092591</v>
      </c>
    </row>
    <row r="68" spans="1:7" x14ac:dyDescent="0.25">
      <c r="A68" s="8">
        <v>42615.379027777781</v>
      </c>
      <c r="B68" s="23" t="s">
        <v>115</v>
      </c>
      <c r="C68" s="23" t="s">
        <v>418</v>
      </c>
      <c r="D68" s="23">
        <v>1100000</v>
      </c>
      <c r="E68" s="23" t="s">
        <v>265</v>
      </c>
      <c r="F68" s="23" t="str">
        <f t="shared" si="2"/>
        <v>rtdc.l.rtdc.4032:itc</v>
      </c>
      <c r="G68" s="8">
        <f t="shared" si="3"/>
        <v>42615.379027777781</v>
      </c>
    </row>
    <row r="69" spans="1:7" x14ac:dyDescent="0.25">
      <c r="A69" s="8">
        <v>42615.382013888891</v>
      </c>
      <c r="B69" s="23" t="s">
        <v>268</v>
      </c>
      <c r="C69" s="23" t="s">
        <v>429</v>
      </c>
      <c r="D69" s="23">
        <v>1990000</v>
      </c>
      <c r="E69" s="23" t="s">
        <v>718</v>
      </c>
      <c r="F69" s="23" t="str">
        <f t="shared" si="2"/>
        <v>rtdc.l.rtdc.4016:itc</v>
      </c>
      <c r="G69" s="8">
        <f t="shared" si="3"/>
        <v>42615.382013888891</v>
      </c>
    </row>
    <row r="70" spans="1:7" x14ac:dyDescent="0.25">
      <c r="A70" s="8">
        <v>42615.387187499997</v>
      </c>
      <c r="B70" s="23" t="s">
        <v>706</v>
      </c>
      <c r="C70" s="23" t="s">
        <v>421</v>
      </c>
      <c r="D70" s="23">
        <v>1090000</v>
      </c>
      <c r="E70" s="23" t="s">
        <v>251</v>
      </c>
      <c r="F70" s="23" t="str">
        <f t="shared" si="2"/>
        <v>rtdc.l.rtdc.4054:itc</v>
      </c>
      <c r="G70" s="8">
        <f t="shared" si="3"/>
        <v>42615.387187499997</v>
      </c>
    </row>
    <row r="71" spans="1:7" x14ac:dyDescent="0.25">
      <c r="A71" s="8">
        <v>42615.394224537034</v>
      </c>
      <c r="B71" s="23" t="s">
        <v>167</v>
      </c>
      <c r="C71" s="23" t="s">
        <v>433</v>
      </c>
      <c r="D71" s="23">
        <v>1310000</v>
      </c>
      <c r="E71" s="23" t="s">
        <v>359</v>
      </c>
      <c r="F71" s="23" t="str">
        <f t="shared" si="2"/>
        <v>rtdc.l.rtdc.4009:itc</v>
      </c>
      <c r="G71" s="8">
        <f t="shared" si="3"/>
        <v>42615.394224537034</v>
      </c>
    </row>
    <row r="72" spans="1:7" x14ac:dyDescent="0.25">
      <c r="A72" s="8">
        <v>42615.395092592589</v>
      </c>
      <c r="B72" s="23" t="s">
        <v>167</v>
      </c>
      <c r="C72" s="23" t="s">
        <v>433</v>
      </c>
      <c r="D72" s="23">
        <v>1310000</v>
      </c>
      <c r="E72" s="23" t="s">
        <v>359</v>
      </c>
      <c r="F72" s="23" t="str">
        <f t="shared" si="2"/>
        <v>rtdc.l.rtdc.4009:itc</v>
      </c>
      <c r="G72" s="8">
        <f t="shared" si="3"/>
        <v>42615.395092592589</v>
      </c>
    </row>
    <row r="73" spans="1:7" x14ac:dyDescent="0.25">
      <c r="A73" s="8">
        <v>42615.396678240744</v>
      </c>
      <c r="B73" s="23" t="s">
        <v>92</v>
      </c>
      <c r="C73" s="23" t="s">
        <v>423</v>
      </c>
      <c r="D73" s="23">
        <v>2010000</v>
      </c>
      <c r="E73" s="23" t="s">
        <v>300</v>
      </c>
      <c r="F73" s="23" t="str">
        <f t="shared" si="2"/>
        <v>rtdc.l.rtdc.4030:itc</v>
      </c>
      <c r="G73" s="8">
        <f t="shared" si="3"/>
        <v>42615.396678240744</v>
      </c>
    </row>
    <row r="74" spans="1:7" x14ac:dyDescent="0.25">
      <c r="A74" s="8">
        <v>42615.400509259256</v>
      </c>
      <c r="B74" s="23" t="s">
        <v>715</v>
      </c>
      <c r="C74" s="23" t="s">
        <v>629</v>
      </c>
      <c r="D74" s="23">
        <v>1830000</v>
      </c>
      <c r="E74" s="23" t="s">
        <v>360</v>
      </c>
      <c r="F74" s="23" t="str">
        <f t="shared" si="2"/>
        <v>rtdc.l.rtdc.4026:itc</v>
      </c>
      <c r="G74" s="8">
        <f t="shared" si="3"/>
        <v>42615.400509259256</v>
      </c>
    </row>
    <row r="75" spans="1:7" x14ac:dyDescent="0.25">
      <c r="A75" s="8">
        <v>42615.401747685188</v>
      </c>
      <c r="B75" s="23" t="s">
        <v>297</v>
      </c>
      <c r="C75" s="23" t="s">
        <v>435</v>
      </c>
      <c r="D75" s="23">
        <v>2230000</v>
      </c>
      <c r="E75" s="23" t="s">
        <v>264</v>
      </c>
      <c r="F75" s="23" t="str">
        <f t="shared" si="2"/>
        <v>rtdc.l.rtdc.4044:itc</v>
      </c>
      <c r="G75" s="8">
        <f t="shared" si="3"/>
        <v>42615.401747685188</v>
      </c>
    </row>
    <row r="76" spans="1:7" x14ac:dyDescent="0.25">
      <c r="A76" s="8">
        <v>42615.408738425926</v>
      </c>
      <c r="B76" s="23" t="s">
        <v>719</v>
      </c>
      <c r="C76" s="23" t="s">
        <v>427</v>
      </c>
      <c r="D76" s="23">
        <v>2260000</v>
      </c>
      <c r="E76" s="23" t="s">
        <v>182</v>
      </c>
      <c r="F76" s="23" t="str">
        <f t="shared" si="2"/>
        <v>rtdc.l.rtdc.4045:itc</v>
      </c>
      <c r="G76" s="8">
        <f t="shared" si="3"/>
        <v>42615.408738425926</v>
      </c>
    </row>
    <row r="77" spans="1:7" x14ac:dyDescent="0.25">
      <c r="A77" s="8">
        <v>42615.413611111115</v>
      </c>
      <c r="B77" s="23" t="s">
        <v>114</v>
      </c>
      <c r="C77" s="23" t="s">
        <v>437</v>
      </c>
      <c r="D77" s="23">
        <v>1100000</v>
      </c>
      <c r="E77" s="23" t="s">
        <v>265</v>
      </c>
      <c r="F77" s="23" t="str">
        <f t="shared" si="2"/>
        <v>rtdc.l.rtdc.4031:itc</v>
      </c>
      <c r="G77" s="8">
        <f t="shared" si="3"/>
        <v>42615.413611111115</v>
      </c>
    </row>
    <row r="78" spans="1:7" x14ac:dyDescent="0.25">
      <c r="A78" s="8">
        <v>42615.418680555558</v>
      </c>
      <c r="B78" s="23" t="s">
        <v>262</v>
      </c>
      <c r="C78" s="23" t="s">
        <v>431</v>
      </c>
      <c r="D78" s="23">
        <v>1990000</v>
      </c>
      <c r="E78" s="23" t="s">
        <v>718</v>
      </c>
      <c r="F78" s="23" t="str">
        <f t="shared" si="2"/>
        <v>rtdc.l.rtdc.4015:itc</v>
      </c>
      <c r="G78" s="8">
        <f t="shared" si="3"/>
        <v>42615.418680555558</v>
      </c>
    </row>
    <row r="79" spans="1:7" x14ac:dyDescent="0.25">
      <c r="A79" s="8">
        <v>42615.420937499999</v>
      </c>
      <c r="B79" s="23" t="s">
        <v>713</v>
      </c>
      <c r="C79" s="23" t="s">
        <v>630</v>
      </c>
      <c r="D79" s="23">
        <v>1830000</v>
      </c>
      <c r="E79" s="23" t="s">
        <v>360</v>
      </c>
      <c r="F79" s="23" t="str">
        <f t="shared" si="2"/>
        <v>rtdc.l.rtdc.4025:itc</v>
      </c>
      <c r="G79" s="8">
        <f t="shared" si="3"/>
        <v>42615.420937499999</v>
      </c>
    </row>
    <row r="80" spans="1:7" x14ac:dyDescent="0.25">
      <c r="A80" s="8">
        <v>42615.42564814815</v>
      </c>
      <c r="B80" s="23" t="s">
        <v>704</v>
      </c>
      <c r="C80" s="23" t="s">
        <v>441</v>
      </c>
      <c r="D80" s="23">
        <v>1090000</v>
      </c>
      <c r="E80" s="23" t="s">
        <v>251</v>
      </c>
      <c r="F80" s="23" t="str">
        <f t="shared" si="2"/>
        <v>rtdc.l.rtdc.4053:itc</v>
      </c>
      <c r="G80" s="8">
        <f t="shared" si="3"/>
        <v>42615.42564814815</v>
      </c>
    </row>
    <row r="81" spans="1:7" x14ac:dyDescent="0.25">
      <c r="A81" s="8">
        <v>42615.43277777778</v>
      </c>
      <c r="B81" s="23" t="s">
        <v>91</v>
      </c>
      <c r="C81" s="23" t="s">
        <v>443</v>
      </c>
      <c r="D81" s="23">
        <v>1760000</v>
      </c>
      <c r="E81" s="23" t="s">
        <v>301</v>
      </c>
      <c r="F81" s="23" t="str">
        <f t="shared" si="2"/>
        <v>rtdc.l.rtdc.4029:itc</v>
      </c>
      <c r="G81" s="8">
        <f t="shared" si="3"/>
        <v>42615.43277777778</v>
      </c>
    </row>
    <row r="82" spans="1:7" x14ac:dyDescent="0.25">
      <c r="A82" s="8">
        <v>42615.434016203704</v>
      </c>
      <c r="B82" s="23" t="s">
        <v>168</v>
      </c>
      <c r="C82" s="23" t="s">
        <v>434</v>
      </c>
      <c r="D82" s="23">
        <v>1310000</v>
      </c>
      <c r="E82" s="23" t="s">
        <v>359</v>
      </c>
      <c r="F82" s="23" t="str">
        <f t="shared" si="2"/>
        <v>rtdc.l.rtdc.4010:itc</v>
      </c>
      <c r="G82" s="8">
        <f t="shared" si="3"/>
        <v>42615.434016203704</v>
      </c>
    </row>
    <row r="83" spans="1:7" x14ac:dyDescent="0.25">
      <c r="A83" s="8">
        <v>42615.436793981484</v>
      </c>
      <c r="B83" s="23" t="s">
        <v>361</v>
      </c>
      <c r="C83" s="23" t="s">
        <v>448</v>
      </c>
      <c r="D83" s="23">
        <v>880000</v>
      </c>
      <c r="E83" s="23" t="s">
        <v>720</v>
      </c>
      <c r="F83" s="23" t="str">
        <f t="shared" si="2"/>
        <v>rtdc.l.rtdc.4021:itc</v>
      </c>
      <c r="G83" s="8">
        <f t="shared" si="3"/>
        <v>42615.436793981484</v>
      </c>
    </row>
    <row r="84" spans="1:7" x14ac:dyDescent="0.25">
      <c r="A84" s="8">
        <v>42615.438425925924</v>
      </c>
      <c r="B84" s="23" t="s">
        <v>361</v>
      </c>
      <c r="C84" s="23" t="s">
        <v>721</v>
      </c>
      <c r="D84" s="23">
        <v>880000</v>
      </c>
      <c r="E84" s="23" t="s">
        <v>720</v>
      </c>
      <c r="F84" s="23" t="str">
        <f t="shared" si="2"/>
        <v>rtdc.l.rtdc.4021:itc</v>
      </c>
      <c r="G84" s="8">
        <f t="shared" si="3"/>
        <v>42615.438425925924</v>
      </c>
    </row>
    <row r="85" spans="1:7" x14ac:dyDescent="0.25">
      <c r="A85" s="8">
        <v>42615.441261574073</v>
      </c>
      <c r="B85" s="23" t="s">
        <v>295</v>
      </c>
      <c r="C85" s="23" t="s">
        <v>436</v>
      </c>
      <c r="D85" s="23">
        <v>2230000</v>
      </c>
      <c r="E85" s="23" t="s">
        <v>264</v>
      </c>
      <c r="F85" s="23" t="str">
        <f t="shared" si="2"/>
        <v>rtdc.l.rtdc.4043:itc</v>
      </c>
      <c r="G85" s="8">
        <f t="shared" si="3"/>
        <v>42615.441261574073</v>
      </c>
    </row>
    <row r="86" spans="1:7" x14ac:dyDescent="0.25">
      <c r="A86" s="8">
        <v>42615.441851851851</v>
      </c>
      <c r="B86" s="23" t="s">
        <v>715</v>
      </c>
      <c r="C86" s="23" t="s">
        <v>632</v>
      </c>
      <c r="D86" s="23">
        <v>1830000</v>
      </c>
      <c r="E86" s="23" t="s">
        <v>360</v>
      </c>
      <c r="F86" s="23" t="str">
        <f t="shared" si="2"/>
        <v>rtdc.l.rtdc.4026:itc</v>
      </c>
      <c r="G86" s="8">
        <f t="shared" si="3"/>
        <v>42615.441851851851</v>
      </c>
    </row>
    <row r="87" spans="1:7" x14ac:dyDescent="0.25">
      <c r="A87" s="8">
        <v>42615.445925925924</v>
      </c>
      <c r="B87" s="23" t="s">
        <v>717</v>
      </c>
      <c r="C87" s="23" t="s">
        <v>446</v>
      </c>
      <c r="D87" s="23">
        <v>2260000</v>
      </c>
      <c r="E87" s="23" t="s">
        <v>182</v>
      </c>
      <c r="F87" s="23" t="str">
        <f t="shared" si="2"/>
        <v>rtdc.l.rtdc.4046:itc</v>
      </c>
      <c r="G87" s="8">
        <f t="shared" si="3"/>
        <v>42615.445925925924</v>
      </c>
    </row>
    <row r="88" spans="1:7" x14ac:dyDescent="0.25">
      <c r="A88" s="8">
        <v>42615.451064814813</v>
      </c>
      <c r="B88" s="23" t="s">
        <v>115</v>
      </c>
      <c r="C88" s="23" t="s">
        <v>439</v>
      </c>
      <c r="D88" s="23">
        <v>1100000</v>
      </c>
      <c r="E88" s="23" t="s">
        <v>265</v>
      </c>
      <c r="F88" s="23" t="str">
        <f t="shared" si="2"/>
        <v>rtdc.l.rtdc.4032:itc</v>
      </c>
      <c r="G88" s="8">
        <f t="shared" si="3"/>
        <v>42615.451064814813</v>
      </c>
    </row>
    <row r="89" spans="1:7" x14ac:dyDescent="0.25">
      <c r="A89" s="8">
        <v>42615.456886574073</v>
      </c>
      <c r="B89" s="23" t="s">
        <v>268</v>
      </c>
      <c r="C89" s="23" t="s">
        <v>448</v>
      </c>
      <c r="D89" s="23">
        <v>880000</v>
      </c>
      <c r="E89" s="23" t="s">
        <v>720</v>
      </c>
      <c r="F89" s="23" t="str">
        <f t="shared" si="2"/>
        <v>rtdc.l.rtdc.4016:itc</v>
      </c>
      <c r="G89" s="8">
        <f t="shared" si="3"/>
        <v>42615.456886574073</v>
      </c>
    </row>
    <row r="90" spans="1:7" x14ac:dyDescent="0.25">
      <c r="A90" s="8">
        <v>42615.459351851852</v>
      </c>
      <c r="B90" s="23" t="s">
        <v>707</v>
      </c>
      <c r="C90" s="23" t="s">
        <v>582</v>
      </c>
      <c r="D90" s="23">
        <v>2040000</v>
      </c>
      <c r="E90" s="23" t="s">
        <v>303</v>
      </c>
      <c r="F90" s="23" t="str">
        <f t="shared" si="2"/>
        <v>rtdc.l.rtdc.4005:itc</v>
      </c>
      <c r="G90" s="8">
        <f t="shared" si="3"/>
        <v>42615.459351851852</v>
      </c>
    </row>
    <row r="91" spans="1:7" x14ac:dyDescent="0.25">
      <c r="A91" s="8">
        <v>42615.460370370369</v>
      </c>
      <c r="B91" s="23" t="s">
        <v>706</v>
      </c>
      <c r="C91" s="23" t="s">
        <v>442</v>
      </c>
      <c r="D91" s="23">
        <v>1090000</v>
      </c>
      <c r="E91" s="23" t="s">
        <v>251</v>
      </c>
      <c r="F91" s="23" t="str">
        <f t="shared" si="2"/>
        <v>rtdc.l.rtdc.4054:itc</v>
      </c>
      <c r="G91" s="8">
        <f t="shared" si="3"/>
        <v>42615.460370370369</v>
      </c>
    </row>
    <row r="92" spans="1:7" x14ac:dyDescent="0.25">
      <c r="A92" s="8">
        <v>42615.464768518519</v>
      </c>
      <c r="B92" s="23" t="s">
        <v>167</v>
      </c>
      <c r="C92" s="23" t="s">
        <v>450</v>
      </c>
      <c r="D92" s="23">
        <v>930000</v>
      </c>
      <c r="E92" s="23" t="s">
        <v>722</v>
      </c>
      <c r="F92" s="23" t="str">
        <f t="shared" si="2"/>
        <v>rtdc.l.rtdc.4009:itc</v>
      </c>
      <c r="G92" s="8">
        <f t="shared" si="3"/>
        <v>42615.464768518519</v>
      </c>
    </row>
    <row r="93" spans="1:7" x14ac:dyDescent="0.25">
      <c r="A93" s="8">
        <v>42615.465752314813</v>
      </c>
      <c r="B93" s="23" t="s">
        <v>363</v>
      </c>
      <c r="C93" s="23" t="s">
        <v>578</v>
      </c>
      <c r="D93" s="23">
        <v>1990000</v>
      </c>
      <c r="E93" s="23" t="s">
        <v>718</v>
      </c>
      <c r="F93" s="23" t="str">
        <f t="shared" si="2"/>
        <v>rtdc.l.rtdc.4022:itc</v>
      </c>
      <c r="G93" s="8">
        <f t="shared" si="3"/>
        <v>42615.465752314813</v>
      </c>
    </row>
    <row r="94" spans="1:7" x14ac:dyDescent="0.25">
      <c r="A94" s="8">
        <v>42615.473067129627</v>
      </c>
      <c r="B94" s="23" t="s">
        <v>92</v>
      </c>
      <c r="C94" s="23" t="s">
        <v>445</v>
      </c>
      <c r="D94" s="23">
        <v>1760000</v>
      </c>
      <c r="E94" s="23" t="s">
        <v>301</v>
      </c>
      <c r="F94" s="23" t="str">
        <f t="shared" si="2"/>
        <v>rtdc.l.rtdc.4030:itc</v>
      </c>
      <c r="G94" s="8">
        <f t="shared" si="3"/>
        <v>42615.473067129627</v>
      </c>
    </row>
    <row r="95" spans="1:7" x14ac:dyDescent="0.25">
      <c r="A95" s="8">
        <v>42615.47320601852</v>
      </c>
      <c r="B95" s="23" t="s">
        <v>713</v>
      </c>
      <c r="C95" s="23" t="s">
        <v>634</v>
      </c>
      <c r="D95" s="23">
        <v>2140000</v>
      </c>
      <c r="E95" s="23" t="s">
        <v>302</v>
      </c>
      <c r="F95" s="23" t="str">
        <f t="shared" si="2"/>
        <v>rtdc.l.rtdc.4025:itc</v>
      </c>
      <c r="G95" s="8">
        <f t="shared" si="3"/>
        <v>42615.47320601852</v>
      </c>
    </row>
    <row r="96" spans="1:7" x14ac:dyDescent="0.25">
      <c r="A96" s="8">
        <v>42615.474930555552</v>
      </c>
      <c r="B96" s="23" t="s">
        <v>297</v>
      </c>
      <c r="C96" s="23" t="s">
        <v>455</v>
      </c>
      <c r="D96" s="23">
        <v>940000</v>
      </c>
      <c r="E96" s="23" t="s">
        <v>364</v>
      </c>
      <c r="F96" s="23" t="str">
        <f t="shared" si="2"/>
        <v>rtdc.l.rtdc.4044:itc</v>
      </c>
      <c r="G96" s="8">
        <f t="shared" si="3"/>
        <v>42615.474930555552</v>
      </c>
    </row>
    <row r="97" spans="1:7" x14ac:dyDescent="0.25">
      <c r="A97" s="8">
        <v>42615.478460648148</v>
      </c>
      <c r="B97" s="23" t="s">
        <v>719</v>
      </c>
      <c r="C97" s="23" t="s">
        <v>447</v>
      </c>
      <c r="D97" s="23">
        <v>2260000</v>
      </c>
      <c r="E97" s="23" t="s">
        <v>182</v>
      </c>
      <c r="F97" s="23" t="str">
        <f t="shared" si="2"/>
        <v>rtdc.l.rtdc.4045:itc</v>
      </c>
      <c r="G97" s="8">
        <f t="shared" si="3"/>
        <v>42615.478460648148</v>
      </c>
    </row>
    <row r="98" spans="1:7" x14ac:dyDescent="0.25">
      <c r="A98" s="8">
        <v>42615.485868055555</v>
      </c>
      <c r="B98" s="23" t="s">
        <v>715</v>
      </c>
      <c r="C98" s="23" t="s">
        <v>636</v>
      </c>
      <c r="D98" s="23">
        <v>1830000</v>
      </c>
      <c r="E98" s="23" t="s">
        <v>360</v>
      </c>
      <c r="F98" s="23" t="str">
        <f t="shared" si="2"/>
        <v>rtdc.l.rtdc.4026:itc</v>
      </c>
      <c r="G98" s="8">
        <f t="shared" si="3"/>
        <v>42615.485868055555</v>
      </c>
    </row>
    <row r="99" spans="1:7" x14ac:dyDescent="0.25">
      <c r="A99" s="8">
        <v>42615.488587962966</v>
      </c>
      <c r="B99" s="23" t="s">
        <v>114</v>
      </c>
      <c r="C99" s="23" t="s">
        <v>457</v>
      </c>
      <c r="D99" s="23">
        <v>2040000</v>
      </c>
      <c r="E99" s="23" t="s">
        <v>303</v>
      </c>
      <c r="F99" s="23" t="str">
        <f t="shared" si="2"/>
        <v>rtdc.l.rtdc.4031:itc</v>
      </c>
      <c r="G99" s="8">
        <f t="shared" si="3"/>
        <v>42615.488587962966</v>
      </c>
    </row>
    <row r="100" spans="1:7" x14ac:dyDescent="0.25">
      <c r="A100" s="8">
        <v>42615.496249999997</v>
      </c>
      <c r="B100" s="23" t="s">
        <v>704</v>
      </c>
      <c r="C100" s="23" t="s">
        <v>461</v>
      </c>
      <c r="D100" s="23">
        <v>2100000</v>
      </c>
      <c r="E100" s="23" t="s">
        <v>137</v>
      </c>
      <c r="F100" s="23" t="str">
        <f t="shared" si="2"/>
        <v>rtdc.l.rtdc.4053:itc</v>
      </c>
      <c r="G100" s="8">
        <f t="shared" si="3"/>
        <v>42615.496249999997</v>
      </c>
    </row>
    <row r="101" spans="1:7" x14ac:dyDescent="0.25">
      <c r="A101" s="8">
        <v>42615.496400462966</v>
      </c>
      <c r="B101" s="23" t="s">
        <v>262</v>
      </c>
      <c r="C101" s="23" t="s">
        <v>449</v>
      </c>
      <c r="D101" s="23">
        <v>880000</v>
      </c>
      <c r="E101" s="23" t="s">
        <v>720</v>
      </c>
      <c r="F101" s="23" t="str">
        <f t="shared" si="2"/>
        <v>rtdc.l.rtdc.4015:itc</v>
      </c>
      <c r="G101" s="8">
        <f t="shared" si="3"/>
        <v>42615.496400462966</v>
      </c>
    </row>
    <row r="102" spans="1:7" x14ac:dyDescent="0.25">
      <c r="A102" s="8">
        <v>42615.497696759259</v>
      </c>
      <c r="B102" s="23" t="s">
        <v>253</v>
      </c>
      <c r="C102" s="23" t="s">
        <v>585</v>
      </c>
      <c r="D102" s="23">
        <v>2230000</v>
      </c>
      <c r="E102" s="23" t="s">
        <v>264</v>
      </c>
      <c r="F102" s="23" t="str">
        <f t="shared" si="2"/>
        <v>rtdc.l.rtdc.4006:itc</v>
      </c>
      <c r="G102" s="8">
        <f t="shared" si="3"/>
        <v>42615.497696759259</v>
      </c>
    </row>
    <row r="103" spans="1:7" x14ac:dyDescent="0.25">
      <c r="A103" s="8">
        <v>42615.501226851855</v>
      </c>
      <c r="B103" s="23" t="s">
        <v>713</v>
      </c>
      <c r="C103" s="23" t="s">
        <v>637</v>
      </c>
      <c r="D103" s="23">
        <v>1830000</v>
      </c>
      <c r="E103" s="23" t="s">
        <v>360</v>
      </c>
      <c r="F103" s="23" t="str">
        <f t="shared" si="2"/>
        <v>rtdc.l.rtdc.4025:itc</v>
      </c>
      <c r="G103" s="8">
        <f t="shared" si="3"/>
        <v>42615.501226851855</v>
      </c>
    </row>
    <row r="104" spans="1:7" x14ac:dyDescent="0.25">
      <c r="A104" s="8">
        <v>42615.502662037034</v>
      </c>
      <c r="B104" s="23" t="s">
        <v>168</v>
      </c>
      <c r="C104" s="23" t="s">
        <v>453</v>
      </c>
      <c r="D104" s="23">
        <v>930000</v>
      </c>
      <c r="E104" s="23" t="s">
        <v>722</v>
      </c>
      <c r="F104" s="23" t="str">
        <f t="shared" si="2"/>
        <v>rtdc.l.rtdc.4010:itc</v>
      </c>
      <c r="G104" s="8">
        <f t="shared" si="3"/>
        <v>42615.502662037034</v>
      </c>
    </row>
    <row r="105" spans="1:7" x14ac:dyDescent="0.25">
      <c r="A105" s="8">
        <v>42615.508692129632</v>
      </c>
      <c r="B105" s="23" t="s">
        <v>91</v>
      </c>
      <c r="C105" s="23" t="s">
        <v>463</v>
      </c>
      <c r="D105" s="23">
        <v>2020000</v>
      </c>
      <c r="E105" s="23" t="s">
        <v>362</v>
      </c>
      <c r="F105" s="23" t="str">
        <f t="shared" si="2"/>
        <v>rtdc.l.rtdc.4029:itc</v>
      </c>
      <c r="G105" s="8">
        <f t="shared" si="3"/>
        <v>42615.508692129632</v>
      </c>
    </row>
    <row r="106" spans="1:7" x14ac:dyDescent="0.25">
      <c r="A106" s="8">
        <v>42615.513773148145</v>
      </c>
      <c r="B106" s="23" t="s">
        <v>295</v>
      </c>
      <c r="C106" s="23" t="s">
        <v>456</v>
      </c>
      <c r="D106" s="23">
        <v>940000</v>
      </c>
      <c r="E106" s="23" t="s">
        <v>364</v>
      </c>
      <c r="F106" s="23" t="str">
        <f t="shared" si="2"/>
        <v>rtdc.l.rtdc.4043:itc</v>
      </c>
      <c r="G106" s="8">
        <f t="shared" si="3"/>
        <v>42615.513773148145</v>
      </c>
    </row>
    <row r="107" spans="1:7" x14ac:dyDescent="0.25">
      <c r="A107" s="8">
        <v>42615.519004629627</v>
      </c>
      <c r="B107" s="23" t="s">
        <v>717</v>
      </c>
      <c r="C107" s="23" t="s">
        <v>466</v>
      </c>
      <c r="D107" s="23">
        <v>950000</v>
      </c>
      <c r="E107" s="23" t="s">
        <v>723</v>
      </c>
      <c r="F107" s="23" t="str">
        <f t="shared" si="2"/>
        <v>rtdc.l.rtdc.4046:itc</v>
      </c>
      <c r="G107" s="8">
        <f t="shared" si="3"/>
        <v>42615.519004629627</v>
      </c>
    </row>
    <row r="108" spans="1:7" x14ac:dyDescent="0.25">
      <c r="A108" s="8">
        <v>42615.524467592593</v>
      </c>
      <c r="B108" s="23" t="s">
        <v>115</v>
      </c>
      <c r="C108" s="23" t="s">
        <v>459</v>
      </c>
      <c r="D108" s="23">
        <v>2040000</v>
      </c>
      <c r="E108" s="23" t="s">
        <v>303</v>
      </c>
      <c r="F108" s="23" t="str">
        <f t="shared" si="2"/>
        <v>rtdc.l.rtdc.4032:itc</v>
      </c>
      <c r="G108" s="8">
        <f t="shared" si="3"/>
        <v>42615.524467592593</v>
      </c>
    </row>
    <row r="109" spans="1:7" x14ac:dyDescent="0.25">
      <c r="A109" s="8">
        <v>42615.524745370371</v>
      </c>
      <c r="B109" s="23" t="s">
        <v>715</v>
      </c>
      <c r="C109" s="23" t="s">
        <v>640</v>
      </c>
      <c r="D109" s="23">
        <v>1830000</v>
      </c>
      <c r="E109" s="23" t="s">
        <v>360</v>
      </c>
      <c r="F109" s="23" t="str">
        <f t="shared" si="2"/>
        <v>rtdc.l.rtdc.4026:itc</v>
      </c>
      <c r="G109" s="8">
        <f t="shared" si="3"/>
        <v>42615.524745370371</v>
      </c>
    </row>
    <row r="110" spans="1:7" x14ac:dyDescent="0.25">
      <c r="A110" s="8">
        <v>42615.529189814813</v>
      </c>
      <c r="B110" s="23" t="s">
        <v>268</v>
      </c>
      <c r="C110" s="23" t="s">
        <v>468</v>
      </c>
      <c r="D110" s="23">
        <v>880000</v>
      </c>
      <c r="E110" s="23" t="s">
        <v>720</v>
      </c>
      <c r="F110" s="23" t="str">
        <f t="shared" si="2"/>
        <v>rtdc.l.rtdc.4016:itc</v>
      </c>
      <c r="G110" s="8">
        <f t="shared" si="3"/>
        <v>42615.529189814813</v>
      </c>
    </row>
    <row r="111" spans="1:7" x14ac:dyDescent="0.25">
      <c r="A111" s="8">
        <v>42615.532523148147</v>
      </c>
      <c r="B111" s="23" t="s">
        <v>706</v>
      </c>
      <c r="C111" s="23" t="s">
        <v>462</v>
      </c>
      <c r="D111" s="23">
        <v>2100000</v>
      </c>
      <c r="E111" s="23" t="s">
        <v>137</v>
      </c>
      <c r="F111" s="23" t="str">
        <f t="shared" si="2"/>
        <v>rtdc.l.rtdc.4054:itc</v>
      </c>
      <c r="G111" s="8">
        <f t="shared" si="3"/>
        <v>42615.532523148147</v>
      </c>
    </row>
    <row r="112" spans="1:7" x14ac:dyDescent="0.25">
      <c r="A112" s="8">
        <v>42615.539027777777</v>
      </c>
      <c r="B112" s="23" t="s">
        <v>167</v>
      </c>
      <c r="C112" s="23" t="s">
        <v>470</v>
      </c>
      <c r="D112" s="23">
        <v>930000</v>
      </c>
      <c r="E112" s="23" t="s">
        <v>722</v>
      </c>
      <c r="F112" s="23" t="str">
        <f t="shared" si="2"/>
        <v>rtdc.l.rtdc.4009:itc</v>
      </c>
      <c r="G112" s="8">
        <f t="shared" si="3"/>
        <v>42615.539027777777</v>
      </c>
    </row>
    <row r="113" spans="1:7" x14ac:dyDescent="0.25">
      <c r="A113" s="8">
        <v>42615.544270833336</v>
      </c>
      <c r="B113" s="23" t="s">
        <v>92</v>
      </c>
      <c r="C113" s="23" t="s">
        <v>465</v>
      </c>
      <c r="D113" s="23">
        <v>2020000</v>
      </c>
      <c r="E113" s="23" t="s">
        <v>362</v>
      </c>
      <c r="F113" s="23" t="str">
        <f t="shared" si="2"/>
        <v>rtdc.l.rtdc.4030:itc</v>
      </c>
      <c r="G113" s="8">
        <f t="shared" si="3"/>
        <v>42615.544270833336</v>
      </c>
    </row>
    <row r="114" spans="1:7" x14ac:dyDescent="0.25">
      <c r="A114" s="8">
        <v>42615.546689814815</v>
      </c>
      <c r="B114" s="23" t="s">
        <v>297</v>
      </c>
      <c r="C114" s="23" t="s">
        <v>472</v>
      </c>
      <c r="D114" s="23">
        <v>940000</v>
      </c>
      <c r="E114" s="23" t="s">
        <v>364</v>
      </c>
      <c r="F114" s="23" t="str">
        <f t="shared" si="2"/>
        <v>rtdc.l.rtdc.4044:itc</v>
      </c>
      <c r="G114" s="8">
        <f t="shared" si="3"/>
        <v>42615.546689814815</v>
      </c>
    </row>
    <row r="115" spans="1:7" x14ac:dyDescent="0.25">
      <c r="A115" s="8">
        <v>42615.552407407406</v>
      </c>
      <c r="B115" s="23" t="s">
        <v>713</v>
      </c>
      <c r="C115" s="23" t="s">
        <v>642</v>
      </c>
      <c r="D115" s="23">
        <v>2280000</v>
      </c>
      <c r="E115" s="23" t="s">
        <v>266</v>
      </c>
      <c r="F115" s="23" t="str">
        <f t="shared" si="2"/>
        <v>rtdc.l.rtdc.4025:itc</v>
      </c>
      <c r="G115" s="8">
        <f t="shared" si="3"/>
        <v>42615.552407407406</v>
      </c>
    </row>
    <row r="116" spans="1:7" x14ac:dyDescent="0.25">
      <c r="A116" s="8">
        <v>42615.553854166668</v>
      </c>
      <c r="B116" s="23" t="s">
        <v>713</v>
      </c>
      <c r="C116" s="23" t="s">
        <v>642</v>
      </c>
      <c r="D116" s="23">
        <v>2280000</v>
      </c>
      <c r="E116" s="23" t="s">
        <v>266</v>
      </c>
      <c r="F116" s="23" t="str">
        <f t="shared" si="2"/>
        <v>rtdc.l.rtdc.4025:itc</v>
      </c>
      <c r="G116" s="8">
        <f t="shared" si="3"/>
        <v>42615.553854166668</v>
      </c>
    </row>
    <row r="117" spans="1:7" x14ac:dyDescent="0.25">
      <c r="A117" s="8">
        <v>42615.55678240741</v>
      </c>
      <c r="B117" s="23" t="s">
        <v>719</v>
      </c>
      <c r="C117" s="23" t="s">
        <v>467</v>
      </c>
      <c r="D117" s="23">
        <v>950000</v>
      </c>
      <c r="E117" s="23" t="s">
        <v>723</v>
      </c>
      <c r="F117" s="23" t="str">
        <f t="shared" si="2"/>
        <v>rtdc.l.rtdc.4045:itc</v>
      </c>
      <c r="G117" s="8">
        <f t="shared" si="3"/>
        <v>42615.55678240741</v>
      </c>
    </row>
    <row r="118" spans="1:7" x14ac:dyDescent="0.25">
      <c r="A118" s="8">
        <v>42615.55976851852</v>
      </c>
      <c r="B118" s="23" t="s">
        <v>114</v>
      </c>
      <c r="C118" s="23" t="s">
        <v>474</v>
      </c>
      <c r="D118" s="23">
        <v>2040000</v>
      </c>
      <c r="E118" s="23" t="s">
        <v>303</v>
      </c>
      <c r="F118" s="23" t="str">
        <f t="shared" si="2"/>
        <v>rtdc.l.rtdc.4031:itc</v>
      </c>
      <c r="G118" s="8">
        <f t="shared" si="3"/>
        <v>42615.55976851852</v>
      </c>
    </row>
    <row r="119" spans="1:7" x14ac:dyDescent="0.25">
      <c r="A119" s="8">
        <v>42615.56795138889</v>
      </c>
      <c r="B119" s="23" t="s">
        <v>262</v>
      </c>
      <c r="C119" s="23" t="s">
        <v>469</v>
      </c>
      <c r="D119" s="23">
        <v>880000</v>
      </c>
      <c r="E119" s="23" t="s">
        <v>720</v>
      </c>
      <c r="F119" s="23" t="str">
        <f t="shared" si="2"/>
        <v>rtdc.l.rtdc.4015:itc</v>
      </c>
      <c r="G119" s="8">
        <f t="shared" si="3"/>
        <v>42615.56795138889</v>
      </c>
    </row>
    <row r="120" spans="1:7" x14ac:dyDescent="0.25">
      <c r="A120" s="8">
        <v>42615.569328703707</v>
      </c>
      <c r="B120" s="23" t="s">
        <v>704</v>
      </c>
      <c r="C120" s="23" t="s">
        <v>476</v>
      </c>
      <c r="D120" s="23">
        <v>2100000</v>
      </c>
      <c r="E120" s="23" t="s">
        <v>137</v>
      </c>
      <c r="F120" s="23" t="str">
        <f t="shared" si="2"/>
        <v>rtdc.l.rtdc.4053:itc</v>
      </c>
      <c r="G120" s="8">
        <f t="shared" si="3"/>
        <v>42615.569328703707</v>
      </c>
    </row>
    <row r="121" spans="1:7" x14ac:dyDescent="0.25">
      <c r="A121" s="8">
        <v>42615.569398148145</v>
      </c>
      <c r="B121" s="23" t="s">
        <v>715</v>
      </c>
      <c r="C121" s="23" t="s">
        <v>644</v>
      </c>
      <c r="D121" s="23">
        <v>2280000</v>
      </c>
      <c r="E121" s="23" t="s">
        <v>266</v>
      </c>
      <c r="F121" s="23" t="str">
        <f t="shared" si="2"/>
        <v>rtdc.l.rtdc.4026:itc</v>
      </c>
      <c r="G121" s="8">
        <f t="shared" si="3"/>
        <v>42615.569398148145</v>
      </c>
    </row>
    <row r="122" spans="1:7" x14ac:dyDescent="0.25">
      <c r="A122" s="8">
        <v>42615.576585648145</v>
      </c>
      <c r="B122" s="28" t="s">
        <v>168</v>
      </c>
      <c r="C122" s="23" t="s">
        <v>471</v>
      </c>
      <c r="D122" s="23">
        <v>930000</v>
      </c>
      <c r="E122" s="23" t="s">
        <v>722</v>
      </c>
      <c r="F122" s="23" t="str">
        <f t="shared" si="2"/>
        <v>rtdc.l.rtdc.4010:itc</v>
      </c>
      <c r="G122" s="8">
        <f t="shared" si="3"/>
        <v>42615.576585648145</v>
      </c>
    </row>
    <row r="123" spans="1:7" x14ac:dyDescent="0.25">
      <c r="A123" s="8">
        <v>42615.578946759262</v>
      </c>
      <c r="B123" s="23" t="s">
        <v>91</v>
      </c>
      <c r="C123" s="23" t="s">
        <v>478</v>
      </c>
      <c r="D123" s="23">
        <v>2020000</v>
      </c>
      <c r="E123" s="23" t="s">
        <v>362</v>
      </c>
      <c r="F123" s="23" t="str">
        <f t="shared" si="2"/>
        <v>rtdc.l.rtdc.4029:itc</v>
      </c>
      <c r="G123" s="8">
        <f t="shared" si="3"/>
        <v>42615.578946759262</v>
      </c>
    </row>
    <row r="124" spans="1:7" x14ac:dyDescent="0.25">
      <c r="A124" s="8">
        <v>42615.585659722223</v>
      </c>
      <c r="B124" s="23" t="s">
        <v>295</v>
      </c>
      <c r="C124" s="23" t="s">
        <v>473</v>
      </c>
      <c r="D124" s="23">
        <v>940000</v>
      </c>
      <c r="E124" s="23" t="s">
        <v>364</v>
      </c>
      <c r="F124" s="23" t="str">
        <f t="shared" si="2"/>
        <v>rtdc.l.rtdc.4043:itc</v>
      </c>
      <c r="G124" s="8">
        <f t="shared" si="3"/>
        <v>42615.585659722223</v>
      </c>
    </row>
    <row r="125" spans="1:7" x14ac:dyDescent="0.25">
      <c r="A125" s="8">
        <v>42615.59039351852</v>
      </c>
      <c r="B125" s="23" t="s">
        <v>717</v>
      </c>
      <c r="C125" s="23" t="s">
        <v>482</v>
      </c>
      <c r="D125" s="23">
        <v>950000</v>
      </c>
      <c r="E125" s="23" t="s">
        <v>723</v>
      </c>
      <c r="F125" s="23" t="str">
        <f t="shared" si="2"/>
        <v>rtdc.l.rtdc.4046:itc</v>
      </c>
      <c r="G125" s="8">
        <f t="shared" si="3"/>
        <v>42615.59039351852</v>
      </c>
    </row>
    <row r="126" spans="1:7" x14ac:dyDescent="0.25">
      <c r="A126" s="8">
        <v>42615.595335648148</v>
      </c>
      <c r="B126" s="23" t="s">
        <v>713</v>
      </c>
      <c r="C126" s="23" t="s">
        <v>646</v>
      </c>
      <c r="D126" s="23">
        <v>2280000</v>
      </c>
      <c r="E126" s="23" t="s">
        <v>266</v>
      </c>
      <c r="F126" s="23" t="str">
        <f t="shared" si="2"/>
        <v>rtdc.l.rtdc.4025:itc</v>
      </c>
      <c r="G126" s="8">
        <f t="shared" si="3"/>
        <v>42615.595335648148</v>
      </c>
    </row>
    <row r="127" spans="1:7" x14ac:dyDescent="0.25">
      <c r="A127" s="8">
        <v>42615.59820601852</v>
      </c>
      <c r="B127" s="23" t="s">
        <v>115</v>
      </c>
      <c r="C127" s="23" t="s">
        <v>475</v>
      </c>
      <c r="D127" s="23">
        <v>2040000</v>
      </c>
      <c r="E127" s="23" t="s">
        <v>303</v>
      </c>
      <c r="F127" s="23" t="str">
        <f t="shared" si="2"/>
        <v>rtdc.l.rtdc.4032:itc</v>
      </c>
      <c r="G127" s="8">
        <f t="shared" si="3"/>
        <v>42615.59820601852</v>
      </c>
    </row>
    <row r="128" spans="1:7" x14ac:dyDescent="0.25">
      <c r="A128" s="8">
        <v>42615.60229166667</v>
      </c>
      <c r="B128" s="23" t="s">
        <v>268</v>
      </c>
      <c r="C128" s="23" t="s">
        <v>485</v>
      </c>
      <c r="D128" s="23">
        <v>880000</v>
      </c>
      <c r="E128" s="23" t="s">
        <v>720</v>
      </c>
      <c r="F128" s="23" t="str">
        <f t="shared" si="2"/>
        <v>rtdc.l.rtdc.4016:itc</v>
      </c>
      <c r="G128" s="8">
        <f t="shared" si="3"/>
        <v>42615.60229166667</v>
      </c>
    </row>
    <row r="129" spans="1:7" x14ac:dyDescent="0.25">
      <c r="A129" s="8">
        <v>42615.606851851851</v>
      </c>
      <c r="B129" s="23" t="s">
        <v>706</v>
      </c>
      <c r="C129" s="23" t="s">
        <v>477</v>
      </c>
      <c r="D129" s="23">
        <v>2100000</v>
      </c>
      <c r="E129" s="23" t="s">
        <v>137</v>
      </c>
      <c r="F129" s="23" t="str">
        <f t="shared" si="2"/>
        <v>rtdc.l.rtdc.4054:itc</v>
      </c>
      <c r="G129" s="8">
        <f t="shared" si="3"/>
        <v>42615.606851851851</v>
      </c>
    </row>
    <row r="130" spans="1:7" x14ac:dyDescent="0.25">
      <c r="A130" s="8">
        <v>42615.610393518517</v>
      </c>
      <c r="B130" s="23" t="s">
        <v>715</v>
      </c>
      <c r="C130" s="23" t="s">
        <v>648</v>
      </c>
      <c r="D130" s="23">
        <v>2280000</v>
      </c>
      <c r="E130" s="23" t="s">
        <v>266</v>
      </c>
      <c r="F130" s="23" t="str">
        <f t="shared" ref="F130:F193" si="4">B130</f>
        <v>rtdc.l.rtdc.4026:itc</v>
      </c>
      <c r="G130" s="8">
        <f t="shared" ref="G130:G193" si="5">A130</f>
        <v>42615.610393518517</v>
      </c>
    </row>
    <row r="131" spans="1:7" x14ac:dyDescent="0.25">
      <c r="A131" s="8">
        <v>42615.612118055556</v>
      </c>
      <c r="B131" s="23" t="s">
        <v>167</v>
      </c>
      <c r="C131" s="23" t="s">
        <v>487</v>
      </c>
      <c r="D131" s="23">
        <v>930000</v>
      </c>
      <c r="E131" s="23" t="s">
        <v>722</v>
      </c>
      <c r="F131" s="23" t="str">
        <f t="shared" si="4"/>
        <v>rtdc.l.rtdc.4009:itc</v>
      </c>
      <c r="G131" s="8">
        <f t="shared" si="5"/>
        <v>42615.612118055556</v>
      </c>
    </row>
    <row r="132" spans="1:7" x14ac:dyDescent="0.25">
      <c r="A132" s="8">
        <v>42615.618356481478</v>
      </c>
      <c r="B132" s="23" t="s">
        <v>92</v>
      </c>
      <c r="C132" s="23" t="s">
        <v>480</v>
      </c>
      <c r="D132" s="23">
        <v>2020000</v>
      </c>
      <c r="E132" s="23" t="s">
        <v>362</v>
      </c>
      <c r="F132" s="23" t="str">
        <f t="shared" si="4"/>
        <v>rtdc.l.rtdc.4030:itc</v>
      </c>
      <c r="G132" s="8">
        <f t="shared" si="5"/>
        <v>42615.618356481478</v>
      </c>
    </row>
    <row r="133" spans="1:7" x14ac:dyDescent="0.25">
      <c r="A133" s="8">
        <v>42615.620081018518</v>
      </c>
      <c r="B133" s="23" t="s">
        <v>297</v>
      </c>
      <c r="C133" s="23" t="s">
        <v>489</v>
      </c>
      <c r="D133" s="23">
        <v>940000</v>
      </c>
      <c r="E133" s="23" t="s">
        <v>364</v>
      </c>
      <c r="F133" s="23" t="str">
        <f t="shared" si="4"/>
        <v>rtdc.l.rtdc.4044:itc</v>
      </c>
      <c r="G133" s="8">
        <f t="shared" si="5"/>
        <v>42615.620081018518</v>
      </c>
    </row>
    <row r="134" spans="1:7" x14ac:dyDescent="0.25">
      <c r="A134" s="8">
        <v>42615.628981481481</v>
      </c>
      <c r="B134" s="23" t="s">
        <v>719</v>
      </c>
      <c r="C134" s="23" t="s">
        <v>484</v>
      </c>
      <c r="D134" s="23">
        <v>950000</v>
      </c>
      <c r="E134" s="23" t="s">
        <v>723</v>
      </c>
      <c r="F134" s="23" t="str">
        <f t="shared" si="4"/>
        <v>rtdc.l.rtdc.4045:itc</v>
      </c>
      <c r="G134" s="8">
        <f t="shared" si="5"/>
        <v>42615.628981481481</v>
      </c>
    </row>
    <row r="135" spans="1:7" x14ac:dyDescent="0.25">
      <c r="A135" s="8">
        <v>42615.633483796293</v>
      </c>
      <c r="B135" s="23" t="s">
        <v>114</v>
      </c>
      <c r="C135" s="23" t="s">
        <v>491</v>
      </c>
      <c r="D135" s="23">
        <v>2040000</v>
      </c>
      <c r="E135" s="23" t="s">
        <v>303</v>
      </c>
      <c r="F135" s="23" t="str">
        <f t="shared" si="4"/>
        <v>rtdc.l.rtdc.4031:itc</v>
      </c>
      <c r="G135" s="8">
        <f t="shared" si="5"/>
        <v>42615.633483796293</v>
      </c>
    </row>
    <row r="136" spans="1:7" x14ac:dyDescent="0.25">
      <c r="A136" s="8">
        <v>42615.636053240742</v>
      </c>
      <c r="B136" s="23" t="s">
        <v>713</v>
      </c>
      <c r="C136" s="23" t="s">
        <v>650</v>
      </c>
      <c r="D136" s="23">
        <v>2280000</v>
      </c>
      <c r="E136" s="23" t="s">
        <v>266</v>
      </c>
      <c r="F136" s="23" t="str">
        <f t="shared" si="4"/>
        <v>rtdc.l.rtdc.4025:itc</v>
      </c>
      <c r="G136" s="8">
        <f t="shared" si="5"/>
        <v>42615.636053240742</v>
      </c>
    </row>
    <row r="137" spans="1:7" x14ac:dyDescent="0.25">
      <c r="A137" s="8">
        <v>42615.639907407407</v>
      </c>
      <c r="B137" s="23" t="s">
        <v>262</v>
      </c>
      <c r="C137" s="23" t="s">
        <v>486</v>
      </c>
      <c r="D137" s="23">
        <v>880000</v>
      </c>
      <c r="E137" s="23" t="s">
        <v>720</v>
      </c>
      <c r="F137" s="23" t="str">
        <f t="shared" si="4"/>
        <v>rtdc.l.rtdc.4015:itc</v>
      </c>
      <c r="G137" s="8">
        <f t="shared" si="5"/>
        <v>42615.639907407407</v>
      </c>
    </row>
    <row r="138" spans="1:7" x14ac:dyDescent="0.25">
      <c r="A138" s="8">
        <v>42615.643090277779</v>
      </c>
      <c r="B138" s="23" t="s">
        <v>704</v>
      </c>
      <c r="C138" s="23" t="s">
        <v>494</v>
      </c>
      <c r="D138" s="23">
        <v>2100000</v>
      </c>
      <c r="E138" s="23" t="s">
        <v>137</v>
      </c>
      <c r="F138" s="23" t="str">
        <f t="shared" si="4"/>
        <v>rtdc.l.rtdc.4053:itc</v>
      </c>
      <c r="G138" s="8">
        <f t="shared" si="5"/>
        <v>42615.643090277779</v>
      </c>
    </row>
    <row r="139" spans="1:7" x14ac:dyDescent="0.25">
      <c r="A139" s="8">
        <v>42615.647928240738</v>
      </c>
      <c r="B139" s="23" t="s">
        <v>168</v>
      </c>
      <c r="C139" s="23" t="s">
        <v>488</v>
      </c>
      <c r="D139" s="23">
        <v>930000</v>
      </c>
      <c r="E139" s="23" t="s">
        <v>722</v>
      </c>
      <c r="F139" s="23" t="str">
        <f t="shared" si="4"/>
        <v>rtdc.l.rtdc.4010:itc</v>
      </c>
      <c r="G139" s="8">
        <f t="shared" si="5"/>
        <v>42615.647928240738</v>
      </c>
    </row>
    <row r="140" spans="1:7" x14ac:dyDescent="0.25">
      <c r="A140" s="8">
        <v>42615.651053240741</v>
      </c>
      <c r="B140" s="23" t="s">
        <v>715</v>
      </c>
      <c r="C140" s="23" t="s">
        <v>652</v>
      </c>
      <c r="D140" s="23">
        <v>2280000</v>
      </c>
      <c r="E140" s="23" t="s">
        <v>266</v>
      </c>
      <c r="F140" s="23" t="str">
        <f t="shared" si="4"/>
        <v>rtdc.l.rtdc.4026:itc</v>
      </c>
      <c r="G140" s="8">
        <f t="shared" si="5"/>
        <v>42615.651053240741</v>
      </c>
    </row>
    <row r="141" spans="1:7" x14ac:dyDescent="0.25">
      <c r="A141" s="8">
        <v>42615.652824074074</v>
      </c>
      <c r="B141" s="23" t="s">
        <v>91</v>
      </c>
      <c r="C141" s="23" t="s">
        <v>497</v>
      </c>
      <c r="D141" s="23">
        <v>2020000</v>
      </c>
      <c r="E141" s="23" t="s">
        <v>362</v>
      </c>
      <c r="F141" s="23" t="str">
        <f t="shared" si="4"/>
        <v>rtdc.l.rtdc.4029:itc</v>
      </c>
      <c r="G141" s="8">
        <f t="shared" si="5"/>
        <v>42615.652824074074</v>
      </c>
    </row>
    <row r="142" spans="1:7" x14ac:dyDescent="0.25">
      <c r="A142" s="8">
        <v>42615.653495370374</v>
      </c>
      <c r="B142" s="23" t="s">
        <v>295</v>
      </c>
      <c r="C142" s="23" t="s">
        <v>490</v>
      </c>
      <c r="D142" s="23">
        <v>940000</v>
      </c>
      <c r="E142" s="23" t="s">
        <v>364</v>
      </c>
      <c r="F142" s="23" t="str">
        <f t="shared" si="4"/>
        <v>rtdc.l.rtdc.4043:itc</v>
      </c>
      <c r="G142" s="8">
        <f t="shared" si="5"/>
        <v>42615.653495370374</v>
      </c>
    </row>
    <row r="143" spans="1:7" x14ac:dyDescent="0.25">
      <c r="A143" s="8">
        <v>42615.657812500001</v>
      </c>
      <c r="B143" s="23" t="s">
        <v>299</v>
      </c>
      <c r="C143" s="23" t="s">
        <v>655</v>
      </c>
      <c r="D143" s="23">
        <v>2270000</v>
      </c>
      <c r="E143" s="23" t="s">
        <v>267</v>
      </c>
      <c r="F143" s="23" t="str">
        <f t="shared" si="4"/>
        <v>rtdc.l.rtdc.4007:itc</v>
      </c>
      <c r="G143" s="8">
        <f t="shared" si="5"/>
        <v>42615.657812500001</v>
      </c>
    </row>
    <row r="144" spans="1:7" x14ac:dyDescent="0.25">
      <c r="A144" s="8">
        <v>42615.663055555553</v>
      </c>
      <c r="B144" s="23" t="s">
        <v>717</v>
      </c>
      <c r="C144" s="23" t="s">
        <v>500</v>
      </c>
      <c r="D144" s="23">
        <v>950000</v>
      </c>
      <c r="E144" s="23" t="s">
        <v>723</v>
      </c>
      <c r="F144" s="23" t="str">
        <f t="shared" si="4"/>
        <v>rtdc.l.rtdc.4046:itc</v>
      </c>
      <c r="G144" s="8">
        <f t="shared" si="5"/>
        <v>42615.663055555553</v>
      </c>
    </row>
    <row r="145" spans="1:7" x14ac:dyDescent="0.25">
      <c r="A145" s="8">
        <v>42615.671956018516</v>
      </c>
      <c r="B145" s="23" t="s">
        <v>115</v>
      </c>
      <c r="C145" s="23" t="s">
        <v>493</v>
      </c>
      <c r="D145" s="23">
        <v>2040000</v>
      </c>
      <c r="E145" s="23" t="s">
        <v>303</v>
      </c>
      <c r="F145" s="23" t="str">
        <f t="shared" si="4"/>
        <v>rtdc.l.rtdc.4032:itc</v>
      </c>
      <c r="G145" s="8">
        <f t="shared" si="5"/>
        <v>42615.671956018516</v>
      </c>
    </row>
    <row r="146" spans="1:7" x14ac:dyDescent="0.25">
      <c r="A146" s="8">
        <v>42615.672361111108</v>
      </c>
      <c r="B146" s="23" t="s">
        <v>298</v>
      </c>
      <c r="C146" s="23" t="s">
        <v>658</v>
      </c>
      <c r="D146" s="23">
        <v>2270000</v>
      </c>
      <c r="E146" s="23" t="s">
        <v>267</v>
      </c>
      <c r="F146" s="23" t="str">
        <f t="shared" si="4"/>
        <v>rtdc.l.rtdc.4008:itc</v>
      </c>
      <c r="G146" s="8">
        <f t="shared" si="5"/>
        <v>42615.672361111108</v>
      </c>
    </row>
    <row r="147" spans="1:7" x14ac:dyDescent="0.25">
      <c r="A147" s="8">
        <v>42615.675023148149</v>
      </c>
      <c r="B147" s="23" t="s">
        <v>268</v>
      </c>
      <c r="C147" s="23" t="s">
        <v>503</v>
      </c>
      <c r="D147" s="23">
        <v>880000</v>
      </c>
      <c r="E147" s="23" t="s">
        <v>720</v>
      </c>
      <c r="F147" s="23" t="str">
        <f t="shared" si="4"/>
        <v>rtdc.l.rtdc.4016:itc</v>
      </c>
      <c r="G147" s="8">
        <f t="shared" si="5"/>
        <v>42615.675023148149</v>
      </c>
    </row>
    <row r="148" spans="1:7" x14ac:dyDescent="0.25">
      <c r="A148" s="8">
        <v>42615.67863425926</v>
      </c>
      <c r="B148" s="23" t="s">
        <v>713</v>
      </c>
      <c r="C148" s="23" t="s">
        <v>660</v>
      </c>
      <c r="D148" s="23">
        <v>2280000</v>
      </c>
      <c r="E148" s="23" t="s">
        <v>266</v>
      </c>
      <c r="F148" s="23" t="str">
        <f t="shared" si="4"/>
        <v>rtdc.l.rtdc.4025:itc</v>
      </c>
      <c r="G148" s="8">
        <f t="shared" si="5"/>
        <v>42615.67863425926</v>
      </c>
    </row>
    <row r="149" spans="1:7" x14ac:dyDescent="0.25">
      <c r="A149" s="8">
        <v>42615.679201388892</v>
      </c>
      <c r="B149" s="23" t="s">
        <v>706</v>
      </c>
      <c r="C149" s="23" t="s">
        <v>496</v>
      </c>
      <c r="D149" s="23">
        <v>2100000</v>
      </c>
      <c r="E149" s="23" t="s">
        <v>137</v>
      </c>
      <c r="F149" s="23" t="str">
        <f t="shared" si="4"/>
        <v>rtdc.l.rtdc.4054:itc</v>
      </c>
      <c r="G149" s="8">
        <f t="shared" si="5"/>
        <v>42615.679201388892</v>
      </c>
    </row>
    <row r="150" spans="1:7" x14ac:dyDescent="0.25">
      <c r="A150" s="8">
        <v>42615.686678240738</v>
      </c>
      <c r="B150" s="23" t="s">
        <v>167</v>
      </c>
      <c r="C150" s="23" t="s">
        <v>506</v>
      </c>
      <c r="D150" s="23">
        <v>930000</v>
      </c>
      <c r="E150" s="23" t="s">
        <v>722</v>
      </c>
      <c r="F150" s="23" t="str">
        <f t="shared" si="4"/>
        <v>rtdc.l.rtdc.4009:itc</v>
      </c>
      <c r="G150" s="8">
        <f t="shared" si="5"/>
        <v>42615.686678240738</v>
      </c>
    </row>
    <row r="151" spans="1:7" x14ac:dyDescent="0.25">
      <c r="A151" s="8">
        <v>42615.686678240738</v>
      </c>
      <c r="B151" s="23" t="s">
        <v>299</v>
      </c>
      <c r="C151" s="23" t="s">
        <v>664</v>
      </c>
      <c r="D151" s="23">
        <v>2270000</v>
      </c>
      <c r="E151" s="23" t="s">
        <v>267</v>
      </c>
      <c r="F151" s="23" t="str">
        <f t="shared" si="4"/>
        <v>rtdc.l.rtdc.4007:itc</v>
      </c>
      <c r="G151" s="8">
        <f t="shared" si="5"/>
        <v>42615.686678240738</v>
      </c>
    </row>
    <row r="152" spans="1:7" x14ac:dyDescent="0.25">
      <c r="A152" s="8">
        <v>42615.689108796294</v>
      </c>
      <c r="B152" s="23" t="s">
        <v>92</v>
      </c>
      <c r="C152" s="23" t="s">
        <v>498</v>
      </c>
      <c r="D152" s="23">
        <v>2020000</v>
      </c>
      <c r="E152" s="23" t="s">
        <v>362</v>
      </c>
      <c r="F152" s="23" t="str">
        <f t="shared" si="4"/>
        <v>rtdc.l.rtdc.4030:itc</v>
      </c>
      <c r="G152" s="8">
        <f t="shared" si="5"/>
        <v>42615.689108796294</v>
      </c>
    </row>
    <row r="153" spans="1:7" x14ac:dyDescent="0.25">
      <c r="A153" s="8">
        <v>42615.692164351851</v>
      </c>
      <c r="B153" s="23" t="s">
        <v>715</v>
      </c>
      <c r="C153" s="23" t="s">
        <v>662</v>
      </c>
      <c r="D153" s="23">
        <v>2280000</v>
      </c>
      <c r="E153" s="23" t="s">
        <v>266</v>
      </c>
      <c r="F153" s="23" t="str">
        <f t="shared" si="4"/>
        <v>rtdc.l.rtdc.4026:itc</v>
      </c>
      <c r="G153" s="8">
        <f t="shared" si="5"/>
        <v>42615.692164351851</v>
      </c>
    </row>
    <row r="154" spans="1:7" x14ac:dyDescent="0.25">
      <c r="A154" s="8">
        <v>42615.694085648145</v>
      </c>
      <c r="B154" s="23" t="s">
        <v>297</v>
      </c>
      <c r="C154" s="23" t="s">
        <v>510</v>
      </c>
      <c r="D154" s="23">
        <v>940000</v>
      </c>
      <c r="E154" s="23" t="s">
        <v>364</v>
      </c>
      <c r="F154" s="23" t="str">
        <f t="shared" si="4"/>
        <v>rtdc.l.rtdc.4044:itc</v>
      </c>
      <c r="G154" s="8">
        <f t="shared" si="5"/>
        <v>42615.694085648145</v>
      </c>
    </row>
    <row r="155" spans="1:7" x14ac:dyDescent="0.25">
      <c r="A155" s="8">
        <v>42615.702986111108</v>
      </c>
      <c r="B155" s="23" t="s">
        <v>719</v>
      </c>
      <c r="C155" s="23" t="s">
        <v>502</v>
      </c>
      <c r="D155" s="23">
        <v>950000</v>
      </c>
      <c r="E155" s="23" t="s">
        <v>723</v>
      </c>
      <c r="F155" s="23" t="str">
        <f t="shared" si="4"/>
        <v>rtdc.l.rtdc.4045:itc</v>
      </c>
      <c r="G155" s="8">
        <f t="shared" si="5"/>
        <v>42615.702986111108</v>
      </c>
    </row>
    <row r="156" spans="1:7" x14ac:dyDescent="0.25">
      <c r="A156" s="8">
        <v>42615.705439814818</v>
      </c>
      <c r="B156" s="23" t="s">
        <v>114</v>
      </c>
      <c r="C156" s="23" t="s">
        <v>513</v>
      </c>
      <c r="D156" s="23">
        <v>2040000</v>
      </c>
      <c r="E156" s="23" t="s">
        <v>303</v>
      </c>
      <c r="F156" s="23" t="str">
        <f t="shared" si="4"/>
        <v>rtdc.l.rtdc.4031:itc</v>
      </c>
      <c r="G156" s="8">
        <f t="shared" si="5"/>
        <v>42615.705439814818</v>
      </c>
    </row>
    <row r="157" spans="1:7" x14ac:dyDescent="0.25">
      <c r="A157" s="8">
        <v>42615.71371527778</v>
      </c>
      <c r="B157" s="23" t="s">
        <v>298</v>
      </c>
      <c r="C157" s="23" t="s">
        <v>667</v>
      </c>
      <c r="D157" s="23">
        <v>2270000</v>
      </c>
      <c r="E157" s="23" t="s">
        <v>267</v>
      </c>
      <c r="F157" s="23" t="str">
        <f t="shared" si="4"/>
        <v>rtdc.l.rtdc.4008:itc</v>
      </c>
      <c r="G157" s="8">
        <f t="shared" si="5"/>
        <v>42615.71371527778</v>
      </c>
    </row>
    <row r="158" spans="1:7" x14ac:dyDescent="0.25">
      <c r="A158" s="8">
        <v>42615.714004629626</v>
      </c>
      <c r="B158" s="23" t="s">
        <v>262</v>
      </c>
      <c r="C158" s="23" t="s">
        <v>504</v>
      </c>
      <c r="D158" s="23">
        <v>880000</v>
      </c>
      <c r="E158" s="23" t="s">
        <v>720</v>
      </c>
      <c r="F158" s="23" t="str">
        <f t="shared" si="4"/>
        <v>rtdc.l.rtdc.4015:itc</v>
      </c>
      <c r="G158" s="8">
        <f t="shared" si="5"/>
        <v>42615.714004629626</v>
      </c>
    </row>
    <row r="159" spans="1:7" x14ac:dyDescent="0.25">
      <c r="A159" s="8">
        <v>42615.715775462966</v>
      </c>
      <c r="B159" s="23" t="s">
        <v>704</v>
      </c>
      <c r="C159" s="23" t="s">
        <v>515</v>
      </c>
      <c r="D159" s="23">
        <v>2100000</v>
      </c>
      <c r="E159" s="23" t="s">
        <v>137</v>
      </c>
      <c r="F159" s="23" t="str">
        <f t="shared" si="4"/>
        <v>rtdc.l.rtdc.4053:itc</v>
      </c>
      <c r="G159" s="8">
        <f t="shared" si="5"/>
        <v>42615.715775462966</v>
      </c>
    </row>
    <row r="160" spans="1:7" x14ac:dyDescent="0.25">
      <c r="A160" s="8">
        <v>42615.720196759263</v>
      </c>
      <c r="B160" s="23" t="s">
        <v>713</v>
      </c>
      <c r="C160" s="23" t="s">
        <v>668</v>
      </c>
      <c r="D160" s="23">
        <v>2280000</v>
      </c>
      <c r="E160" s="23" t="s">
        <v>266</v>
      </c>
      <c r="F160" s="23" t="str">
        <f t="shared" si="4"/>
        <v>rtdc.l.rtdc.4025:itc</v>
      </c>
      <c r="G160" s="8">
        <f t="shared" si="5"/>
        <v>42615.720196759263</v>
      </c>
    </row>
    <row r="161" spans="1:7" x14ac:dyDescent="0.25">
      <c r="A161" s="8">
        <v>42615.722280092596</v>
      </c>
      <c r="B161" s="23" t="s">
        <v>168</v>
      </c>
      <c r="C161" s="23" t="s">
        <v>508</v>
      </c>
      <c r="D161" s="23">
        <v>930000</v>
      </c>
      <c r="E161" s="23" t="s">
        <v>722</v>
      </c>
      <c r="F161" s="23" t="str">
        <f t="shared" si="4"/>
        <v>rtdc.l.rtdc.4010:itc</v>
      </c>
      <c r="G161" s="8">
        <f t="shared" si="5"/>
        <v>42615.722280092596</v>
      </c>
    </row>
    <row r="162" spans="1:7" x14ac:dyDescent="0.25">
      <c r="A162" s="8">
        <v>42615.724374999998</v>
      </c>
      <c r="B162" s="23" t="s">
        <v>91</v>
      </c>
      <c r="C162" s="23" t="s">
        <v>517</v>
      </c>
      <c r="D162" s="23">
        <v>2020000</v>
      </c>
      <c r="E162" s="23" t="s">
        <v>362</v>
      </c>
      <c r="F162" s="23" t="str">
        <f t="shared" si="4"/>
        <v>rtdc.l.rtdc.4029:itc</v>
      </c>
      <c r="G162" s="8">
        <f t="shared" si="5"/>
        <v>42615.724374999998</v>
      </c>
    </row>
    <row r="163" spans="1:7" x14ac:dyDescent="0.25">
      <c r="A163" s="8">
        <v>42615.726157407407</v>
      </c>
      <c r="B163" s="23" t="s">
        <v>295</v>
      </c>
      <c r="C163" s="23" t="s">
        <v>512</v>
      </c>
      <c r="D163" s="23">
        <v>940000</v>
      </c>
      <c r="E163" s="23" t="s">
        <v>364</v>
      </c>
      <c r="F163" s="23" t="str">
        <f t="shared" si="4"/>
        <v>rtdc.l.rtdc.4043:itc</v>
      </c>
      <c r="G163" s="8">
        <f t="shared" si="5"/>
        <v>42615.726157407407</v>
      </c>
    </row>
    <row r="164" spans="1:7" x14ac:dyDescent="0.25">
      <c r="A164" s="8">
        <v>42615.728842592594</v>
      </c>
      <c r="B164" s="23" t="s">
        <v>299</v>
      </c>
      <c r="C164" s="23" t="s">
        <v>673</v>
      </c>
      <c r="D164" s="23">
        <v>2270000</v>
      </c>
      <c r="E164" s="23" t="s">
        <v>267</v>
      </c>
      <c r="F164" s="23" t="str">
        <f t="shared" si="4"/>
        <v>rtdc.l.rtdc.4007:itc</v>
      </c>
      <c r="G164" s="8">
        <f t="shared" si="5"/>
        <v>42615.728842592594</v>
      </c>
    </row>
    <row r="165" spans="1:7" x14ac:dyDescent="0.25">
      <c r="A165" s="8">
        <v>42615.735208333332</v>
      </c>
      <c r="B165" s="23" t="s">
        <v>715</v>
      </c>
      <c r="C165" s="23" t="s">
        <v>671</v>
      </c>
      <c r="D165" s="23">
        <v>2280000</v>
      </c>
      <c r="E165" s="23" t="s">
        <v>266</v>
      </c>
      <c r="F165" s="23" t="str">
        <f t="shared" si="4"/>
        <v>rtdc.l.rtdc.4026:itc</v>
      </c>
      <c r="G165" s="8">
        <f t="shared" si="5"/>
        <v>42615.735208333332</v>
      </c>
    </row>
    <row r="166" spans="1:7" x14ac:dyDescent="0.25">
      <c r="A166" s="8">
        <v>42615.735995370371</v>
      </c>
      <c r="B166" s="23" t="s">
        <v>717</v>
      </c>
      <c r="C166" s="23" t="s">
        <v>520</v>
      </c>
      <c r="D166" s="23">
        <v>1230000</v>
      </c>
      <c r="E166" s="23" t="s">
        <v>164</v>
      </c>
      <c r="F166" s="23" t="str">
        <f t="shared" si="4"/>
        <v>rtdc.l.rtdc.4046:itc</v>
      </c>
      <c r="G166" s="8">
        <f t="shared" si="5"/>
        <v>42615.735995370371</v>
      </c>
    </row>
    <row r="167" spans="1:7" x14ac:dyDescent="0.25">
      <c r="A167" s="8">
        <v>42615.746747685182</v>
      </c>
      <c r="B167" s="23" t="s">
        <v>115</v>
      </c>
      <c r="C167" s="23" t="s">
        <v>514</v>
      </c>
      <c r="D167" s="23">
        <v>2040000</v>
      </c>
      <c r="E167" s="23" t="s">
        <v>303</v>
      </c>
      <c r="F167" s="23" t="str">
        <f t="shared" si="4"/>
        <v>rtdc.l.rtdc.4032:itc</v>
      </c>
      <c r="G167" s="8">
        <f t="shared" si="5"/>
        <v>42615.746747685182</v>
      </c>
    </row>
    <row r="168" spans="1:7" x14ac:dyDescent="0.25">
      <c r="A168" s="8">
        <v>42615.747604166667</v>
      </c>
      <c r="B168" s="23" t="s">
        <v>268</v>
      </c>
      <c r="C168" s="23" t="s">
        <v>522</v>
      </c>
      <c r="D168" s="23">
        <v>950000</v>
      </c>
      <c r="E168" s="23" t="s">
        <v>723</v>
      </c>
      <c r="F168" s="23" t="str">
        <f t="shared" si="4"/>
        <v>rtdc.l.rtdc.4016:itc</v>
      </c>
      <c r="G168" s="8">
        <f t="shared" si="5"/>
        <v>42615.747604166667</v>
      </c>
    </row>
    <row r="169" spans="1:7" x14ac:dyDescent="0.25">
      <c r="A169" s="8">
        <v>42615.750810185185</v>
      </c>
      <c r="B169" s="23" t="s">
        <v>141</v>
      </c>
      <c r="C169" s="23" t="s">
        <v>592</v>
      </c>
      <c r="D169" s="23">
        <v>1480000</v>
      </c>
      <c r="E169" s="23" t="s">
        <v>724</v>
      </c>
      <c r="F169" s="23" t="str">
        <f t="shared" si="4"/>
        <v>rtdc.l.rtdc.4037:itc</v>
      </c>
      <c r="G169" s="8">
        <f t="shared" si="5"/>
        <v>42615.750810185185</v>
      </c>
    </row>
    <row r="170" spans="1:7" x14ac:dyDescent="0.25">
      <c r="A170" s="8">
        <v>42615.752476851849</v>
      </c>
      <c r="B170" s="23" t="s">
        <v>706</v>
      </c>
      <c r="C170" s="23" t="s">
        <v>516</v>
      </c>
      <c r="D170" s="23">
        <v>2100000</v>
      </c>
      <c r="E170" s="23" t="s">
        <v>137</v>
      </c>
      <c r="F170" s="23" t="str">
        <f t="shared" si="4"/>
        <v>rtdc.l.rtdc.4054:itc</v>
      </c>
      <c r="G170" s="8">
        <f t="shared" si="5"/>
        <v>42615.752476851849</v>
      </c>
    </row>
    <row r="171" spans="1:7" x14ac:dyDescent="0.25">
      <c r="A171" s="8">
        <v>42615.75540509259</v>
      </c>
      <c r="B171" s="23" t="s">
        <v>298</v>
      </c>
      <c r="C171" s="23" t="s">
        <v>676</v>
      </c>
      <c r="D171" s="23">
        <v>2270000</v>
      </c>
      <c r="E171" s="23" t="s">
        <v>267</v>
      </c>
      <c r="F171" s="23" t="str">
        <f t="shared" si="4"/>
        <v>rtdc.l.rtdc.4008:itc</v>
      </c>
      <c r="G171" s="8">
        <f t="shared" si="5"/>
        <v>42615.75540509259</v>
      </c>
    </row>
    <row r="172" spans="1:7" x14ac:dyDescent="0.25">
      <c r="A172" s="8">
        <v>42615.761874999997</v>
      </c>
      <c r="B172" s="23" t="s">
        <v>713</v>
      </c>
      <c r="C172" s="23" t="s">
        <v>679</v>
      </c>
      <c r="D172" s="23">
        <v>2280000</v>
      </c>
      <c r="E172" s="23" t="s">
        <v>266</v>
      </c>
      <c r="F172" s="23" t="str">
        <f t="shared" si="4"/>
        <v>rtdc.l.rtdc.4025:itc</v>
      </c>
      <c r="G172" s="8">
        <f t="shared" si="5"/>
        <v>42615.761874999997</v>
      </c>
    </row>
    <row r="173" spans="1:7" x14ac:dyDescent="0.25">
      <c r="A173" s="8">
        <v>42615.765173611115</v>
      </c>
      <c r="B173" s="23" t="s">
        <v>167</v>
      </c>
      <c r="C173" s="23" t="s">
        <v>526</v>
      </c>
      <c r="D173" s="23">
        <v>1800000</v>
      </c>
      <c r="E173" s="23" t="s">
        <v>169</v>
      </c>
      <c r="F173" s="23" t="str">
        <f t="shared" si="4"/>
        <v>rtdc.l.rtdc.4009:itc</v>
      </c>
      <c r="G173" s="8">
        <f t="shared" si="5"/>
        <v>42615.765173611115</v>
      </c>
    </row>
    <row r="174" spans="1:7" x14ac:dyDescent="0.25">
      <c r="A174" s="8">
        <v>42615.765474537038</v>
      </c>
      <c r="B174" s="23" t="s">
        <v>92</v>
      </c>
      <c r="C174" s="23" t="s">
        <v>518</v>
      </c>
      <c r="D174" s="23">
        <v>2020000</v>
      </c>
      <c r="E174" s="23" t="s">
        <v>362</v>
      </c>
      <c r="F174" s="23" t="str">
        <f t="shared" si="4"/>
        <v>rtdc.l.rtdc.4030:itc</v>
      </c>
      <c r="G174" s="8">
        <f t="shared" si="5"/>
        <v>42615.765474537038</v>
      </c>
    </row>
    <row r="175" spans="1:7" x14ac:dyDescent="0.25">
      <c r="A175" s="8">
        <v>42615.767430555556</v>
      </c>
      <c r="B175" s="23" t="s">
        <v>707</v>
      </c>
      <c r="C175" s="23" t="s">
        <v>595</v>
      </c>
      <c r="D175" s="23">
        <v>2090000</v>
      </c>
      <c r="E175" s="23" t="s">
        <v>179</v>
      </c>
      <c r="F175" s="23" t="str">
        <f t="shared" si="4"/>
        <v>rtdc.l.rtdc.4005:itc</v>
      </c>
      <c r="G175" s="8">
        <f t="shared" si="5"/>
        <v>42615.767430555556</v>
      </c>
    </row>
    <row r="176" spans="1:7" x14ac:dyDescent="0.25">
      <c r="A176" s="8">
        <v>42615.771168981482</v>
      </c>
      <c r="B176" s="23" t="s">
        <v>299</v>
      </c>
      <c r="C176" s="23" t="s">
        <v>683</v>
      </c>
      <c r="D176" s="23">
        <v>2270000</v>
      </c>
      <c r="E176" s="23" t="s">
        <v>267</v>
      </c>
      <c r="F176" s="23" t="str">
        <f t="shared" si="4"/>
        <v>rtdc.l.rtdc.4007:itc</v>
      </c>
      <c r="G176" s="8">
        <f t="shared" si="5"/>
        <v>42615.771168981482</v>
      </c>
    </row>
    <row r="177" spans="1:7" x14ac:dyDescent="0.25">
      <c r="A177" s="8">
        <v>42615.774664351855</v>
      </c>
      <c r="B177" s="23" t="s">
        <v>719</v>
      </c>
      <c r="C177" s="23" t="s">
        <v>521</v>
      </c>
      <c r="D177" s="23">
        <v>1230000</v>
      </c>
      <c r="E177" s="23" t="s">
        <v>164</v>
      </c>
      <c r="F177" s="23" t="str">
        <f t="shared" si="4"/>
        <v>rtdc.l.rtdc.4045:itc</v>
      </c>
      <c r="G177" s="8">
        <f t="shared" si="5"/>
        <v>42615.774664351855</v>
      </c>
    </row>
    <row r="178" spans="1:7" x14ac:dyDescent="0.25">
      <c r="A178" s="8">
        <v>42615.776423611111</v>
      </c>
      <c r="B178" s="23" t="s">
        <v>715</v>
      </c>
      <c r="C178" s="23" t="s">
        <v>681</v>
      </c>
      <c r="D178" s="23">
        <v>2280000</v>
      </c>
      <c r="E178" s="23" t="s">
        <v>266</v>
      </c>
      <c r="F178" s="23" t="str">
        <f t="shared" si="4"/>
        <v>rtdc.l.rtdc.4026:itc</v>
      </c>
      <c r="G178" s="8">
        <f t="shared" si="5"/>
        <v>42615.776423611111</v>
      </c>
    </row>
    <row r="179" spans="1:7" x14ac:dyDescent="0.25">
      <c r="A179" s="8">
        <v>42615.777395833335</v>
      </c>
      <c r="B179" s="23" t="s">
        <v>715</v>
      </c>
      <c r="C179" s="23" t="s">
        <v>681</v>
      </c>
      <c r="D179" s="23">
        <v>2280000</v>
      </c>
      <c r="E179" s="23" t="s">
        <v>266</v>
      </c>
      <c r="F179" s="23" t="str">
        <f t="shared" si="4"/>
        <v>rtdc.l.rtdc.4026:itc</v>
      </c>
      <c r="G179" s="8">
        <f t="shared" si="5"/>
        <v>42615.777395833335</v>
      </c>
    </row>
    <row r="180" spans="1:7" x14ac:dyDescent="0.25">
      <c r="A180" s="8">
        <v>42615.779004629629</v>
      </c>
      <c r="B180" s="23" t="s">
        <v>297</v>
      </c>
      <c r="C180" s="23" t="s">
        <v>527</v>
      </c>
      <c r="D180" s="23">
        <v>2220000</v>
      </c>
      <c r="E180" s="23" t="s">
        <v>269</v>
      </c>
      <c r="F180" s="23" t="str">
        <f t="shared" si="4"/>
        <v>rtdc.l.rtdc.4044:itc</v>
      </c>
      <c r="G180" s="8">
        <f t="shared" si="5"/>
        <v>42615.779004629629</v>
      </c>
    </row>
    <row r="181" spans="1:7" x14ac:dyDescent="0.25">
      <c r="A181" s="8">
        <v>42615.784074074072</v>
      </c>
      <c r="B181" s="23" t="s">
        <v>114</v>
      </c>
      <c r="C181" s="23" t="s">
        <v>531</v>
      </c>
      <c r="D181" s="23">
        <v>2090000</v>
      </c>
      <c r="E181" s="23" t="s">
        <v>179</v>
      </c>
      <c r="F181" s="23" t="str">
        <f t="shared" si="4"/>
        <v>rtdc.l.rtdc.4031:itc</v>
      </c>
      <c r="G181" s="8">
        <f t="shared" si="5"/>
        <v>42615.784074074072</v>
      </c>
    </row>
    <row r="182" spans="1:7" x14ac:dyDescent="0.25">
      <c r="A182" s="8">
        <v>42615.787199074075</v>
      </c>
      <c r="B182" s="23" t="s">
        <v>262</v>
      </c>
      <c r="C182" s="23" t="s">
        <v>523</v>
      </c>
      <c r="D182" s="23">
        <v>950000</v>
      </c>
      <c r="E182" s="23" t="s">
        <v>723</v>
      </c>
      <c r="F182" s="23" t="str">
        <f t="shared" si="4"/>
        <v>rtdc.l.rtdc.4015:itc</v>
      </c>
      <c r="G182" s="8">
        <f t="shared" si="5"/>
        <v>42615.787199074075</v>
      </c>
    </row>
    <row r="183" spans="1:7" x14ac:dyDescent="0.25">
      <c r="A183" s="8">
        <v>42615.787569444445</v>
      </c>
      <c r="B183" s="23" t="s">
        <v>114</v>
      </c>
      <c r="C183" s="23" t="s">
        <v>531</v>
      </c>
      <c r="D183" s="23">
        <v>2090000</v>
      </c>
      <c r="E183" s="23" t="s">
        <v>179</v>
      </c>
      <c r="F183" s="23" t="str">
        <f t="shared" si="4"/>
        <v>rtdc.l.rtdc.4031:itc</v>
      </c>
      <c r="G183" s="8">
        <f t="shared" si="5"/>
        <v>42615.787569444445</v>
      </c>
    </row>
    <row r="184" spans="1:7" x14ac:dyDescent="0.25">
      <c r="A184" s="8">
        <v>42615.788460648146</v>
      </c>
      <c r="B184" s="23" t="s">
        <v>171</v>
      </c>
      <c r="C184" s="23" t="s">
        <v>725</v>
      </c>
      <c r="D184" s="23">
        <v>2040000</v>
      </c>
      <c r="E184" s="23" t="s">
        <v>303</v>
      </c>
      <c r="F184" s="23" t="str">
        <f t="shared" si="4"/>
        <v>rtdc.l.rtdc.4002:itc</v>
      </c>
      <c r="G184" s="8">
        <f t="shared" si="5"/>
        <v>42615.788460648146</v>
      </c>
    </row>
    <row r="185" spans="1:7" x14ac:dyDescent="0.25">
      <c r="A185" s="8">
        <v>42615.78943287037</v>
      </c>
      <c r="B185" s="23" t="s">
        <v>171</v>
      </c>
      <c r="C185" s="23" t="s">
        <v>725</v>
      </c>
      <c r="D185" s="23">
        <v>2040000</v>
      </c>
      <c r="E185" s="23" t="s">
        <v>303</v>
      </c>
      <c r="F185" s="23" t="str">
        <f t="shared" si="4"/>
        <v>rtdc.l.rtdc.4002:itc</v>
      </c>
      <c r="G185" s="8">
        <f t="shared" si="5"/>
        <v>42615.78943287037</v>
      </c>
    </row>
    <row r="186" spans="1:7" x14ac:dyDescent="0.25">
      <c r="A186" s="8">
        <v>42615.796909722223</v>
      </c>
      <c r="B186" s="23" t="s">
        <v>298</v>
      </c>
      <c r="C186" s="23" t="s">
        <v>699</v>
      </c>
      <c r="D186" s="23">
        <v>2270000</v>
      </c>
      <c r="E186" s="23" t="s">
        <v>267</v>
      </c>
      <c r="F186" s="23" t="str">
        <f t="shared" si="4"/>
        <v>rtdc.l.rtdc.4008:itc</v>
      </c>
      <c r="G186" s="8">
        <f t="shared" si="5"/>
        <v>42615.796909722223</v>
      </c>
    </row>
    <row r="187" spans="1:7" x14ac:dyDescent="0.25">
      <c r="A187" s="8">
        <v>42615.799201388887</v>
      </c>
      <c r="B187" s="23" t="s">
        <v>168</v>
      </c>
      <c r="C187" s="23" t="s">
        <v>726</v>
      </c>
      <c r="D187" s="23">
        <v>1800000</v>
      </c>
      <c r="E187" s="23" t="s">
        <v>169</v>
      </c>
      <c r="F187" s="23" t="str">
        <f t="shared" si="4"/>
        <v>rtdc.l.rtdc.4010:itc</v>
      </c>
      <c r="G187" s="8">
        <f t="shared" si="5"/>
        <v>42615.799201388887</v>
      </c>
    </row>
    <row r="188" spans="1:7" x14ac:dyDescent="0.25">
      <c r="A188" s="8">
        <v>42615.801076388889</v>
      </c>
      <c r="B188" s="23" t="s">
        <v>253</v>
      </c>
      <c r="C188" s="23" t="s">
        <v>588</v>
      </c>
      <c r="D188" s="23">
        <v>2100000</v>
      </c>
      <c r="E188" s="23" t="s">
        <v>137</v>
      </c>
      <c r="F188" s="23" t="str">
        <f t="shared" si="4"/>
        <v>rtdc.l.rtdc.4006:itc</v>
      </c>
      <c r="G188" s="8">
        <f t="shared" si="5"/>
        <v>42615.801076388889</v>
      </c>
    </row>
    <row r="189" spans="1:7" x14ac:dyDescent="0.25">
      <c r="A189" s="8">
        <v>42615.802812499998</v>
      </c>
      <c r="B189" s="23" t="s">
        <v>92</v>
      </c>
      <c r="C189" s="23" t="s">
        <v>518</v>
      </c>
      <c r="D189" s="23">
        <v>0</v>
      </c>
      <c r="E189" s="23" t="s">
        <v>365</v>
      </c>
      <c r="F189" s="23" t="str">
        <f t="shared" si="4"/>
        <v>rtdc.l.rtdc.4030:itc</v>
      </c>
      <c r="G189" s="8">
        <f t="shared" si="5"/>
        <v>42615.802812499998</v>
      </c>
    </row>
    <row r="190" spans="1:7" x14ac:dyDescent="0.25">
      <c r="A190" s="8">
        <v>42615.804143518515</v>
      </c>
      <c r="B190" s="23" t="s">
        <v>713</v>
      </c>
      <c r="C190" s="23" t="s">
        <v>686</v>
      </c>
      <c r="D190" s="23">
        <v>2280000</v>
      </c>
      <c r="E190" s="23" t="s">
        <v>266</v>
      </c>
      <c r="F190" s="23" t="str">
        <f t="shared" si="4"/>
        <v>rtdc.l.rtdc.4025:itc</v>
      </c>
      <c r="G190" s="8">
        <f t="shared" si="5"/>
        <v>42615.804143518515</v>
      </c>
    </row>
    <row r="191" spans="1:7" x14ac:dyDescent="0.25">
      <c r="A191" s="8">
        <v>42615.805833333332</v>
      </c>
      <c r="B191" s="23" t="s">
        <v>713</v>
      </c>
      <c r="C191" s="23" t="s">
        <v>686</v>
      </c>
      <c r="D191" s="23">
        <v>2280000</v>
      </c>
      <c r="E191" s="23" t="s">
        <v>266</v>
      </c>
      <c r="F191" s="23" t="str">
        <f t="shared" si="4"/>
        <v>rtdc.l.rtdc.4025:itc</v>
      </c>
      <c r="G191" s="8">
        <f t="shared" si="5"/>
        <v>42615.805833333332</v>
      </c>
    </row>
    <row r="192" spans="1:7" x14ac:dyDescent="0.25">
      <c r="A192" s="8">
        <v>42615.806944444441</v>
      </c>
      <c r="B192" s="23" t="s">
        <v>91</v>
      </c>
      <c r="C192" s="23" t="s">
        <v>570</v>
      </c>
      <c r="D192" s="23">
        <v>2020000</v>
      </c>
      <c r="E192" s="23" t="s">
        <v>362</v>
      </c>
      <c r="F192" s="23" t="str">
        <f t="shared" si="4"/>
        <v>rtdc.l.rtdc.4029:itc</v>
      </c>
      <c r="G192" s="8">
        <f t="shared" si="5"/>
        <v>42615.806944444441</v>
      </c>
    </row>
    <row r="193" spans="1:7" x14ac:dyDescent="0.25">
      <c r="A193" s="8">
        <v>42615.809895833336</v>
      </c>
      <c r="B193" s="23" t="s">
        <v>717</v>
      </c>
      <c r="C193" s="23" t="s">
        <v>533</v>
      </c>
      <c r="D193" s="23">
        <v>1230000</v>
      </c>
      <c r="E193" s="23" t="s">
        <v>164</v>
      </c>
      <c r="F193" s="23" t="str">
        <f t="shared" si="4"/>
        <v>rtdc.l.rtdc.4046:itc</v>
      </c>
      <c r="G193" s="8">
        <f t="shared" si="5"/>
        <v>42615.809895833336</v>
      </c>
    </row>
    <row r="194" spans="1:7" x14ac:dyDescent="0.25">
      <c r="A194" s="8">
        <v>42615.811539351853</v>
      </c>
      <c r="B194" s="23" t="s">
        <v>295</v>
      </c>
      <c r="C194" s="23" t="s">
        <v>529</v>
      </c>
      <c r="D194" s="23">
        <v>2220000</v>
      </c>
      <c r="E194" s="23" t="s">
        <v>269</v>
      </c>
      <c r="F194" s="23" t="str">
        <f t="shared" ref="F194:F235" si="6">B194</f>
        <v>rtdc.l.rtdc.4043:itc</v>
      </c>
      <c r="G194" s="8">
        <f t="shared" ref="G194:G235" si="7">A194</f>
        <v>42615.811539351853</v>
      </c>
    </row>
    <row r="195" spans="1:7" x14ac:dyDescent="0.25">
      <c r="A195" s="8">
        <v>42615.818113425928</v>
      </c>
      <c r="B195" s="23" t="s">
        <v>715</v>
      </c>
      <c r="C195" s="23" t="s">
        <v>685</v>
      </c>
      <c r="D195" s="23">
        <v>2280000</v>
      </c>
      <c r="E195" s="23" t="s">
        <v>266</v>
      </c>
      <c r="F195" s="23" t="str">
        <f t="shared" si="6"/>
        <v>rtdc.l.rtdc.4026:itc</v>
      </c>
      <c r="G195" s="8">
        <f t="shared" si="7"/>
        <v>42615.818113425928</v>
      </c>
    </row>
    <row r="196" spans="1:7" x14ac:dyDescent="0.25">
      <c r="A196" s="8">
        <v>42615.8203587963</v>
      </c>
      <c r="B196" s="23" t="s">
        <v>268</v>
      </c>
      <c r="C196" s="23" t="s">
        <v>727</v>
      </c>
      <c r="D196" s="23">
        <v>950000</v>
      </c>
      <c r="E196" s="23" t="s">
        <v>723</v>
      </c>
      <c r="F196" s="23" t="str">
        <f t="shared" si="6"/>
        <v>rtdc.l.rtdc.4016:itc</v>
      </c>
      <c r="G196" s="8">
        <f t="shared" si="7"/>
        <v>42615.8203587963</v>
      </c>
    </row>
    <row r="197" spans="1:7" x14ac:dyDescent="0.25">
      <c r="A197" s="8">
        <v>42615.824629629627</v>
      </c>
      <c r="B197" s="23" t="s">
        <v>147</v>
      </c>
      <c r="C197" s="23" t="s">
        <v>536</v>
      </c>
      <c r="D197" s="23">
        <v>2110000</v>
      </c>
      <c r="E197" s="23" t="s">
        <v>366</v>
      </c>
      <c r="F197" s="23" t="str">
        <f t="shared" si="6"/>
        <v>rtdc.l.rtdc.4038:itc</v>
      </c>
      <c r="G197" s="8">
        <f t="shared" si="7"/>
        <v>42615.824629629627</v>
      </c>
    </row>
    <row r="198" spans="1:7" x14ac:dyDescent="0.25">
      <c r="A198" s="8">
        <v>42615.828900462962</v>
      </c>
      <c r="B198" s="23" t="s">
        <v>115</v>
      </c>
      <c r="C198" s="23" t="s">
        <v>532</v>
      </c>
      <c r="D198" s="23">
        <v>2090000</v>
      </c>
      <c r="E198" s="23" t="s">
        <v>179</v>
      </c>
      <c r="F198" s="23" t="str">
        <f t="shared" si="6"/>
        <v>rtdc.l.rtdc.4032:itc</v>
      </c>
      <c r="G198" s="8">
        <f t="shared" si="7"/>
        <v>42615.828900462962</v>
      </c>
    </row>
    <row r="199" spans="1:7" x14ac:dyDescent="0.25">
      <c r="A199" s="8">
        <v>42615.847268518519</v>
      </c>
      <c r="B199" s="23" t="s">
        <v>713</v>
      </c>
      <c r="C199" s="23" t="s">
        <v>688</v>
      </c>
      <c r="D199" s="23">
        <v>2280000</v>
      </c>
      <c r="E199" s="23" t="s">
        <v>266</v>
      </c>
      <c r="F199" s="23" t="str">
        <f t="shared" si="6"/>
        <v>rtdc.l.rtdc.4025:itc</v>
      </c>
      <c r="G199" s="8">
        <f t="shared" si="7"/>
        <v>42615.847268518519</v>
      </c>
    </row>
    <row r="200" spans="1:7" x14ac:dyDescent="0.25">
      <c r="A200" s="8">
        <v>42615.849259259259</v>
      </c>
      <c r="B200" s="23" t="s">
        <v>719</v>
      </c>
      <c r="C200" s="23" t="s">
        <v>535</v>
      </c>
      <c r="D200" s="23">
        <v>1230000</v>
      </c>
      <c r="E200" s="23" t="s">
        <v>164</v>
      </c>
      <c r="F200" s="23" t="str">
        <f t="shared" si="6"/>
        <v>rtdc.l.rtdc.4045:itc</v>
      </c>
      <c r="G200" s="8">
        <f t="shared" si="7"/>
        <v>42615.849259259259</v>
      </c>
    </row>
    <row r="201" spans="1:7" x14ac:dyDescent="0.25">
      <c r="A201" s="8">
        <v>42615.850787037038</v>
      </c>
      <c r="B201" s="23" t="s">
        <v>297</v>
      </c>
      <c r="C201" s="23" t="s">
        <v>539</v>
      </c>
      <c r="D201" s="23">
        <v>2220000</v>
      </c>
      <c r="E201" s="23" t="s">
        <v>269</v>
      </c>
      <c r="F201" s="23" t="str">
        <f t="shared" si="6"/>
        <v>rtdc.l.rtdc.4044:itc</v>
      </c>
      <c r="G201" s="8">
        <f t="shared" si="7"/>
        <v>42615.850787037038</v>
      </c>
    </row>
    <row r="202" spans="1:7" x14ac:dyDescent="0.25">
      <c r="A202" s="29">
        <v>42615.859965277778</v>
      </c>
      <c r="B202" s="23" t="s">
        <v>715</v>
      </c>
      <c r="C202" s="23" t="s">
        <v>687</v>
      </c>
      <c r="D202" s="23">
        <v>2280000</v>
      </c>
      <c r="E202" s="23" t="s">
        <v>266</v>
      </c>
      <c r="F202" s="23" t="str">
        <f t="shared" si="6"/>
        <v>rtdc.l.rtdc.4026:itc</v>
      </c>
      <c r="G202" s="8">
        <f t="shared" si="7"/>
        <v>42615.859965277778</v>
      </c>
    </row>
    <row r="203" spans="1:7" x14ac:dyDescent="0.25">
      <c r="A203" s="8">
        <v>42615.867812500001</v>
      </c>
      <c r="B203" s="23" t="s">
        <v>141</v>
      </c>
      <c r="C203" s="23" t="s">
        <v>537</v>
      </c>
      <c r="D203" s="23">
        <v>2110000</v>
      </c>
      <c r="E203" s="23" t="s">
        <v>366</v>
      </c>
      <c r="F203" s="23" t="str">
        <f t="shared" si="6"/>
        <v>rtdc.l.rtdc.4037:itc</v>
      </c>
      <c r="G203" s="8">
        <f t="shared" si="7"/>
        <v>42615.867812500001</v>
      </c>
    </row>
    <row r="204" spans="1:7" x14ac:dyDescent="0.25">
      <c r="A204" s="8">
        <v>42615.870937500003</v>
      </c>
      <c r="B204" s="23" t="s">
        <v>114</v>
      </c>
      <c r="C204" s="23" t="s">
        <v>542</v>
      </c>
      <c r="D204" s="23">
        <v>2090000</v>
      </c>
      <c r="E204" s="23" t="s">
        <v>179</v>
      </c>
      <c r="F204" s="23" t="str">
        <f t="shared" si="6"/>
        <v>rtdc.l.rtdc.4031:itc</v>
      </c>
      <c r="G204" s="8">
        <f t="shared" si="7"/>
        <v>42615.870937500003</v>
      </c>
    </row>
    <row r="205" spans="1:7" x14ac:dyDescent="0.25">
      <c r="A205" s="8">
        <v>42615.883611111109</v>
      </c>
      <c r="B205" s="23" t="s">
        <v>713</v>
      </c>
      <c r="C205" s="23" t="s">
        <v>693</v>
      </c>
      <c r="D205" s="23">
        <v>2270000</v>
      </c>
      <c r="E205" s="23" t="s">
        <v>267</v>
      </c>
      <c r="F205" s="23" t="str">
        <f t="shared" si="6"/>
        <v>rtdc.l.rtdc.4025:itc</v>
      </c>
      <c r="G205" s="8">
        <f t="shared" si="7"/>
        <v>42615.883611111109</v>
      </c>
    </row>
    <row r="206" spans="1:7" x14ac:dyDescent="0.25">
      <c r="A206" s="8">
        <v>42615.888958333337</v>
      </c>
      <c r="B206" s="23" t="s">
        <v>295</v>
      </c>
      <c r="C206" s="23" t="s">
        <v>540</v>
      </c>
      <c r="D206" s="23">
        <v>2220000</v>
      </c>
      <c r="E206" s="23" t="s">
        <v>269</v>
      </c>
      <c r="F206" s="23" t="str">
        <f t="shared" si="6"/>
        <v>rtdc.l.rtdc.4043:itc</v>
      </c>
      <c r="G206" s="8">
        <f t="shared" si="7"/>
        <v>42615.888958333337</v>
      </c>
    </row>
    <row r="207" spans="1:7" x14ac:dyDescent="0.25">
      <c r="A207" s="8">
        <v>42615.891053240739</v>
      </c>
      <c r="B207" s="23" t="s">
        <v>168</v>
      </c>
      <c r="C207" s="23" t="s">
        <v>548</v>
      </c>
      <c r="D207" s="23">
        <v>1800000</v>
      </c>
      <c r="E207" s="23" t="s">
        <v>169</v>
      </c>
      <c r="F207" s="23" t="str">
        <f t="shared" si="6"/>
        <v>rtdc.l.rtdc.4010:itc</v>
      </c>
      <c r="G207" s="8">
        <f t="shared" si="7"/>
        <v>42615.891053240739</v>
      </c>
    </row>
    <row r="208" spans="1:7" x14ac:dyDescent="0.25">
      <c r="A208" s="8">
        <v>42615.893460648149</v>
      </c>
      <c r="B208" s="23" t="s">
        <v>717</v>
      </c>
      <c r="C208" s="23" t="s">
        <v>544</v>
      </c>
      <c r="D208" s="23">
        <v>1230000</v>
      </c>
      <c r="E208" s="23" t="s">
        <v>164</v>
      </c>
      <c r="F208" s="23" t="str">
        <f t="shared" si="6"/>
        <v>rtdc.l.rtdc.4046:itc</v>
      </c>
      <c r="G208" s="8">
        <f t="shared" si="7"/>
        <v>42615.893460648149</v>
      </c>
    </row>
    <row r="209" spans="1:7" x14ac:dyDescent="0.25">
      <c r="A209" s="8">
        <v>42615.901122685187</v>
      </c>
      <c r="B209" s="23" t="s">
        <v>715</v>
      </c>
      <c r="C209" s="23" t="s">
        <v>690</v>
      </c>
      <c r="D209" s="23">
        <v>2270000</v>
      </c>
      <c r="E209" s="23" t="s">
        <v>267</v>
      </c>
      <c r="F209" s="23" t="str">
        <f t="shared" si="6"/>
        <v>rtdc.l.rtdc.4026:itc</v>
      </c>
      <c r="G209" s="8">
        <f t="shared" si="7"/>
        <v>42615.901122685187</v>
      </c>
    </row>
    <row r="210" spans="1:7" x14ac:dyDescent="0.25">
      <c r="A210" s="8">
        <v>42615.910266203704</v>
      </c>
      <c r="B210" s="23" t="s">
        <v>115</v>
      </c>
      <c r="C210" s="23" t="s">
        <v>543</v>
      </c>
      <c r="D210" s="23">
        <v>2090000</v>
      </c>
      <c r="E210" s="23" t="s">
        <v>179</v>
      </c>
      <c r="F210" s="23" t="str">
        <f t="shared" si="6"/>
        <v>rtdc.l.rtdc.4032:itc</v>
      </c>
      <c r="G210" s="8">
        <f t="shared" si="7"/>
        <v>42615.910266203704</v>
      </c>
    </row>
    <row r="211" spans="1:7" x14ac:dyDescent="0.25">
      <c r="A211" s="8">
        <v>42615.912557870368</v>
      </c>
      <c r="B211" s="23" t="s">
        <v>167</v>
      </c>
      <c r="C211" s="23" t="s">
        <v>548</v>
      </c>
      <c r="D211" s="23">
        <v>1800000</v>
      </c>
      <c r="E211" s="23" t="s">
        <v>169</v>
      </c>
      <c r="F211" s="23" t="str">
        <f t="shared" si="6"/>
        <v>rtdc.l.rtdc.4009:itc</v>
      </c>
      <c r="G211" s="8">
        <f t="shared" si="7"/>
        <v>42615.912557870368</v>
      </c>
    </row>
    <row r="212" spans="1:7" x14ac:dyDescent="0.25">
      <c r="A212" s="8">
        <v>42615.919004629628</v>
      </c>
      <c r="B212" s="23" t="s">
        <v>713</v>
      </c>
      <c r="C212" s="23" t="s">
        <v>694</v>
      </c>
      <c r="D212" s="23">
        <v>2270000</v>
      </c>
      <c r="E212" s="23" t="s">
        <v>267</v>
      </c>
      <c r="F212" s="23" t="str">
        <f t="shared" si="6"/>
        <v>rtdc.l.rtdc.4025:itc</v>
      </c>
      <c r="G212" s="8">
        <f t="shared" si="7"/>
        <v>42615.919004629628</v>
      </c>
    </row>
    <row r="213" spans="1:7" x14ac:dyDescent="0.25">
      <c r="A213" s="8">
        <v>42615.931562500002</v>
      </c>
      <c r="B213" s="23" t="s">
        <v>297</v>
      </c>
      <c r="C213" s="23" t="s">
        <v>552</v>
      </c>
      <c r="D213" s="23">
        <v>2220000</v>
      </c>
      <c r="E213" s="23" t="s">
        <v>269</v>
      </c>
      <c r="F213" s="23" t="str">
        <f t="shared" si="6"/>
        <v>rtdc.l.rtdc.4044:itc</v>
      </c>
      <c r="G213" s="8">
        <f t="shared" si="7"/>
        <v>42615.931562500002</v>
      </c>
    </row>
    <row r="214" spans="1:7" x14ac:dyDescent="0.25">
      <c r="A214" s="8">
        <v>42615.931666666664</v>
      </c>
      <c r="B214" s="23" t="s">
        <v>719</v>
      </c>
      <c r="C214" s="23" t="s">
        <v>546</v>
      </c>
      <c r="D214" s="23">
        <v>1230000</v>
      </c>
      <c r="E214" s="23" t="s">
        <v>164</v>
      </c>
      <c r="F214" s="23" t="str">
        <f t="shared" si="6"/>
        <v>rtdc.l.rtdc.4045:itc</v>
      </c>
      <c r="G214" s="8">
        <f t="shared" si="7"/>
        <v>42615.931666666664</v>
      </c>
    </row>
    <row r="215" spans="1:7" x14ac:dyDescent="0.25">
      <c r="A215" s="8">
        <v>42615.944050925929</v>
      </c>
      <c r="B215" s="23" t="s">
        <v>715</v>
      </c>
      <c r="C215" s="23" t="s">
        <v>702</v>
      </c>
      <c r="D215" s="23">
        <v>2270000</v>
      </c>
      <c r="E215" s="23" t="s">
        <v>267</v>
      </c>
      <c r="F215" s="23" t="str">
        <f t="shared" si="6"/>
        <v>rtdc.l.rtdc.4026:itc</v>
      </c>
      <c r="G215" s="8">
        <f t="shared" si="7"/>
        <v>42615.944050925929</v>
      </c>
    </row>
    <row r="216" spans="1:7" x14ac:dyDescent="0.25">
      <c r="A216" s="8">
        <v>42615.955520833333</v>
      </c>
      <c r="B216" s="23" t="s">
        <v>168</v>
      </c>
      <c r="C216" s="23" t="s">
        <v>550</v>
      </c>
      <c r="D216" s="23">
        <v>1800000</v>
      </c>
      <c r="E216" s="23" t="s">
        <v>169</v>
      </c>
      <c r="F216" s="23" t="str">
        <f t="shared" si="6"/>
        <v>rtdc.l.rtdc.4010:itc</v>
      </c>
      <c r="G216" s="8">
        <f t="shared" si="7"/>
        <v>42615.955520833333</v>
      </c>
    </row>
    <row r="217" spans="1:7" x14ac:dyDescent="0.25">
      <c r="A217" s="8">
        <v>42615.956238425926</v>
      </c>
      <c r="B217" s="23" t="s">
        <v>114</v>
      </c>
      <c r="C217" s="23" t="s">
        <v>557</v>
      </c>
      <c r="D217" s="23">
        <v>2090000</v>
      </c>
      <c r="E217" s="23" t="s">
        <v>179</v>
      </c>
      <c r="F217" s="23" t="str">
        <f t="shared" si="6"/>
        <v>rtdc.l.rtdc.4031:itc</v>
      </c>
      <c r="G217" s="8">
        <f t="shared" si="7"/>
        <v>42615.956238425926</v>
      </c>
    </row>
    <row r="218" spans="1:7" x14ac:dyDescent="0.25">
      <c r="A218" s="8">
        <v>42615.972222222219</v>
      </c>
      <c r="B218" s="23" t="s">
        <v>295</v>
      </c>
      <c r="C218" s="23" t="s">
        <v>554</v>
      </c>
      <c r="D218" s="23">
        <v>2220000</v>
      </c>
      <c r="E218" s="23" t="s">
        <v>269</v>
      </c>
      <c r="F218" s="23" t="str">
        <f t="shared" si="6"/>
        <v>rtdc.l.rtdc.4043:itc</v>
      </c>
      <c r="G218" s="8">
        <f t="shared" si="7"/>
        <v>42615.972222222219</v>
      </c>
    </row>
    <row r="219" spans="1:7" x14ac:dyDescent="0.25">
      <c r="A219" s="8">
        <v>42615.974328703705</v>
      </c>
      <c r="B219" s="23" t="s">
        <v>717</v>
      </c>
      <c r="C219" s="23" t="s">
        <v>559</v>
      </c>
      <c r="D219" s="23">
        <v>1230000</v>
      </c>
      <c r="E219" s="23" t="s">
        <v>164</v>
      </c>
      <c r="F219" s="23" t="str">
        <f t="shared" si="6"/>
        <v>rtdc.l.rtdc.4046:itc</v>
      </c>
      <c r="G219" s="8">
        <f t="shared" si="7"/>
        <v>42615.974328703705</v>
      </c>
    </row>
    <row r="220" spans="1:7" x14ac:dyDescent="0.25">
      <c r="A220" s="8">
        <v>42615.994062500002</v>
      </c>
      <c r="B220" s="23" t="s">
        <v>115</v>
      </c>
      <c r="C220" s="23" t="s">
        <v>558</v>
      </c>
      <c r="D220" s="23">
        <v>2090000</v>
      </c>
      <c r="E220" s="23" t="s">
        <v>179</v>
      </c>
      <c r="F220" s="23" t="str">
        <f t="shared" si="6"/>
        <v>rtdc.l.rtdc.4032:itc</v>
      </c>
      <c r="G220" s="8">
        <f t="shared" si="7"/>
        <v>42615.994062500002</v>
      </c>
    </row>
    <row r="221" spans="1:7" x14ac:dyDescent="0.25">
      <c r="A221" s="8">
        <v>42615.998356481483</v>
      </c>
      <c r="B221" s="23" t="s">
        <v>167</v>
      </c>
      <c r="C221" s="23" t="s">
        <v>561</v>
      </c>
      <c r="D221" s="23">
        <v>1800000</v>
      </c>
      <c r="E221" s="23" t="s">
        <v>169</v>
      </c>
      <c r="F221" s="23" t="str">
        <f t="shared" si="6"/>
        <v>rtdc.l.rtdc.4009:itc</v>
      </c>
      <c r="G221" s="8">
        <f t="shared" si="7"/>
        <v>42615.998356481483</v>
      </c>
    </row>
    <row r="222" spans="1:7" x14ac:dyDescent="0.25">
      <c r="A222" s="8">
        <v>42616.015023148146</v>
      </c>
      <c r="B222" s="23" t="s">
        <v>719</v>
      </c>
      <c r="C222" s="23" t="s">
        <v>560</v>
      </c>
      <c r="D222" s="23">
        <v>1230000</v>
      </c>
      <c r="E222" s="23" t="s">
        <v>164</v>
      </c>
      <c r="F222" s="23" t="str">
        <f t="shared" si="6"/>
        <v>rtdc.l.rtdc.4045:itc</v>
      </c>
      <c r="G222" s="8">
        <f t="shared" si="7"/>
        <v>42616.015023148146</v>
      </c>
    </row>
    <row r="223" spans="1:7" x14ac:dyDescent="0.25">
      <c r="A223" s="8">
        <v>42616.015219907407</v>
      </c>
      <c r="B223" s="23" t="s">
        <v>297</v>
      </c>
      <c r="C223" s="23" t="s">
        <v>564</v>
      </c>
      <c r="D223" s="23">
        <v>2220000</v>
      </c>
      <c r="E223" s="23" t="s">
        <v>269</v>
      </c>
      <c r="F223" s="23" t="str">
        <f t="shared" si="6"/>
        <v>rtdc.l.rtdc.4044:itc</v>
      </c>
      <c r="G223" s="8">
        <f t="shared" si="7"/>
        <v>42616.015219907407</v>
      </c>
    </row>
    <row r="224" spans="1:7" x14ac:dyDescent="0.25">
      <c r="A224" s="8">
        <v>42616.037974537037</v>
      </c>
      <c r="B224" t="s">
        <v>168</v>
      </c>
      <c r="C224" t="s">
        <v>563</v>
      </c>
      <c r="D224">
        <v>1800000</v>
      </c>
      <c r="E224" t="s">
        <v>169</v>
      </c>
      <c r="F224" s="23" t="str">
        <f t="shared" si="6"/>
        <v>rtdc.l.rtdc.4010:itc</v>
      </c>
      <c r="G224" s="8">
        <f t="shared" si="7"/>
        <v>42616.037974537037</v>
      </c>
    </row>
    <row r="225" spans="1:7" x14ac:dyDescent="0.25">
      <c r="A225" s="8">
        <v>42616.038726851853</v>
      </c>
      <c r="B225" t="s">
        <v>114</v>
      </c>
      <c r="C225" t="s">
        <v>567</v>
      </c>
      <c r="D225">
        <v>2090000</v>
      </c>
      <c r="E225" t="s">
        <v>179</v>
      </c>
      <c r="F225" s="23" t="str">
        <f t="shared" si="6"/>
        <v>rtdc.l.rtdc.4031:itc</v>
      </c>
      <c r="G225" s="8">
        <f t="shared" si="7"/>
        <v>42616.038726851853</v>
      </c>
    </row>
    <row r="226" spans="1:7" x14ac:dyDescent="0.25">
      <c r="A226" s="8">
        <v>42616.046296296299</v>
      </c>
      <c r="B226" t="s">
        <v>717</v>
      </c>
      <c r="C226" t="s">
        <v>572</v>
      </c>
      <c r="D226">
        <v>1230000</v>
      </c>
      <c r="E226" t="s">
        <v>164</v>
      </c>
      <c r="F226" s="23" t="str">
        <f t="shared" si="6"/>
        <v>rtdc.l.rtdc.4046:itc</v>
      </c>
      <c r="G226" s="8">
        <f t="shared" si="7"/>
        <v>42616.046296296299</v>
      </c>
    </row>
    <row r="227" spans="1:7" x14ac:dyDescent="0.25">
      <c r="A227" s="8">
        <v>42616.054826388892</v>
      </c>
      <c r="B227" t="s">
        <v>295</v>
      </c>
      <c r="C227" t="s">
        <v>566</v>
      </c>
      <c r="D227">
        <v>2220000</v>
      </c>
      <c r="E227" t="s">
        <v>269</v>
      </c>
      <c r="F227" s="23" t="str">
        <f t="shared" si="6"/>
        <v>rtdc.l.rtdc.4043:itc</v>
      </c>
      <c r="G227" s="8">
        <f t="shared" si="7"/>
        <v>42616.054826388892</v>
      </c>
    </row>
    <row r="228" spans="1:7" x14ac:dyDescent="0.25">
      <c r="A228" s="8">
        <v>42616.070509259262</v>
      </c>
      <c r="B228" t="s">
        <v>167</v>
      </c>
      <c r="C228" t="s">
        <v>574</v>
      </c>
      <c r="D228">
        <v>1800000</v>
      </c>
      <c r="E228" t="s">
        <v>169</v>
      </c>
      <c r="F228" s="23" t="str">
        <f t="shared" si="6"/>
        <v>rtdc.l.rtdc.4009:itc</v>
      </c>
      <c r="G228" s="8">
        <f t="shared" si="7"/>
        <v>42616.070509259262</v>
      </c>
    </row>
    <row r="229" spans="1:7" x14ac:dyDescent="0.25">
      <c r="A229" s="8">
        <v>42616.076701388891</v>
      </c>
      <c r="B229" t="s">
        <v>115</v>
      </c>
      <c r="C229" t="s">
        <v>569</v>
      </c>
      <c r="D229">
        <v>2090000</v>
      </c>
      <c r="E229" t="s">
        <v>179</v>
      </c>
      <c r="F229" s="23" t="str">
        <f t="shared" si="6"/>
        <v>rtdc.l.rtdc.4032:itc</v>
      </c>
      <c r="G229" s="8">
        <f t="shared" si="7"/>
        <v>42616.076701388891</v>
      </c>
    </row>
    <row r="230" spans="1:7" x14ac:dyDescent="0.25">
      <c r="A230" s="8">
        <v>42616.093425925923</v>
      </c>
      <c r="B230" t="s">
        <v>297</v>
      </c>
      <c r="C230" t="s">
        <v>576</v>
      </c>
      <c r="D230">
        <v>2220000</v>
      </c>
      <c r="E230" t="s">
        <v>269</v>
      </c>
      <c r="F230" s="23" t="str">
        <f t="shared" si="6"/>
        <v>rtdc.l.rtdc.4044:itc</v>
      </c>
      <c r="G230" s="8">
        <f t="shared" si="7"/>
        <v>42616.093425925923</v>
      </c>
    </row>
    <row r="231" spans="1:7" x14ac:dyDescent="0.25">
      <c r="A231" s="8">
        <v>42616.11277777778</v>
      </c>
      <c r="B231" t="s">
        <v>114</v>
      </c>
      <c r="C231" t="s">
        <v>577</v>
      </c>
      <c r="D231">
        <v>2090000</v>
      </c>
      <c r="E231" t="s">
        <v>179</v>
      </c>
      <c r="F231" s="23" t="str">
        <f t="shared" si="6"/>
        <v>rtdc.l.rtdc.4031:itc</v>
      </c>
      <c r="G231" s="8">
        <f t="shared" si="7"/>
        <v>42616.11277777778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A233" s="8">
        <v>42609.050162037034</v>
      </c>
      <c r="B233" t="s">
        <v>171</v>
      </c>
      <c r="C233" t="s">
        <v>227</v>
      </c>
      <c r="D233">
        <v>1230000</v>
      </c>
      <c r="E233" t="s">
        <v>164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226</v>
      </c>
      <c r="C234" t="s">
        <v>228</v>
      </c>
      <c r="D234">
        <v>2260000</v>
      </c>
      <c r="E234" t="s">
        <v>182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225</v>
      </c>
      <c r="C235" t="s">
        <v>229</v>
      </c>
      <c r="D235">
        <v>1800000</v>
      </c>
      <c r="E235" t="s">
        <v>169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181</v>
      </c>
      <c r="C236" t="s">
        <v>230</v>
      </c>
      <c r="D236">
        <v>2090000</v>
      </c>
      <c r="E236" t="s">
        <v>179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231</v>
      </c>
      <c r="D237">
        <v>2260000</v>
      </c>
      <c r="E237" t="s">
        <v>182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152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141</v>
      </c>
      <c r="C240" t="s">
        <v>153</v>
      </c>
      <c r="D240">
        <v>1300000</v>
      </c>
      <c r="E240" t="s">
        <v>138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155</v>
      </c>
      <c r="D241">
        <v>2000000</v>
      </c>
      <c r="E241" t="s">
        <v>140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154</v>
      </c>
      <c r="D242">
        <v>1230000</v>
      </c>
      <c r="E242" t="s">
        <v>164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157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147</v>
      </c>
      <c r="C244" t="s">
        <v>159</v>
      </c>
      <c r="D244">
        <v>1300000</v>
      </c>
      <c r="E244" t="s">
        <v>138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156</v>
      </c>
      <c r="D245">
        <v>2000000</v>
      </c>
      <c r="E245" t="s">
        <v>140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161</v>
      </c>
      <c r="D246">
        <v>1230000</v>
      </c>
      <c r="E246" t="s">
        <v>164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158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162</v>
      </c>
      <c r="D248">
        <v>2000000</v>
      </c>
      <c r="E248" t="s">
        <v>140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141</v>
      </c>
      <c r="C249" t="s">
        <v>160</v>
      </c>
      <c r="D249">
        <v>1300000</v>
      </c>
      <c r="E249" t="s">
        <v>138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165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147</v>
      </c>
      <c r="C251" t="s">
        <v>163</v>
      </c>
      <c r="D251">
        <v>1300000</v>
      </c>
      <c r="E251" t="s">
        <v>138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42615</v>
      </c>
      <c r="B2" s="4"/>
      <c r="C2" s="75">
        <v>50</v>
      </c>
      <c r="D2" s="76">
        <v>25</v>
      </c>
      <c r="F2" t="s">
        <v>142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143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144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145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172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223</v>
      </c>
      <c r="M25" s="70" t="b">
        <v>1</v>
      </c>
    </row>
    <row r="26" spans="10:13" x14ac:dyDescent="0.25">
      <c r="J26" t="s">
        <v>224</v>
      </c>
      <c r="M26" s="70" t="str">
        <f>"C:\Users\stu\Documents\GitHub\eaglep3-reporting\EC\"&amp;TEXT(A2,"yyyy-mm-dd")&amp;"-refined-times.txt"</f>
        <v>C:\Users\stu\Documents\GitHub\eaglep3-reporting\EC\2016-09-02-refined-times.txt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187</v>
      </c>
      <c r="B1" s="142" t="s">
        <v>188</v>
      </c>
      <c r="C1" s="143" t="s">
        <v>189</v>
      </c>
      <c r="H1" t="s">
        <v>183</v>
      </c>
      <c r="I1" s="144" t="s">
        <v>185</v>
      </c>
      <c r="J1"/>
    </row>
    <row r="2" spans="1:11" x14ac:dyDescent="0.25">
      <c r="A2" s="143" t="s">
        <v>190</v>
      </c>
      <c r="B2" s="143" t="s">
        <v>191</v>
      </c>
      <c r="C2" s="143" t="s">
        <v>192</v>
      </c>
      <c r="H2" t="s">
        <v>184</v>
      </c>
      <c r="I2" s="114" t="s">
        <v>186</v>
      </c>
      <c r="J2"/>
    </row>
    <row r="3" spans="1:11" x14ac:dyDescent="0.25">
      <c r="A3" s="143" t="s">
        <v>193</v>
      </c>
      <c r="B3" s="143" t="s">
        <v>194</v>
      </c>
      <c r="C3" s="143" t="s">
        <v>195</v>
      </c>
      <c r="H3" t="s">
        <v>210</v>
      </c>
      <c r="I3" s="114">
        <v>1</v>
      </c>
      <c r="J3"/>
      <c r="K3" s="70"/>
    </row>
    <row r="4" spans="1:11" x14ac:dyDescent="0.25">
      <c r="A4" s="143" t="s">
        <v>196</v>
      </c>
      <c r="C4" s="143" t="s">
        <v>197</v>
      </c>
      <c r="H4" t="s">
        <v>211</v>
      </c>
      <c r="I4" s="114">
        <v>2</v>
      </c>
      <c r="J4"/>
      <c r="K4" s="70"/>
    </row>
    <row r="5" spans="1:11" x14ac:dyDescent="0.25">
      <c r="A5" s="143" t="s">
        <v>198</v>
      </c>
      <c r="C5" s="143" t="s">
        <v>199</v>
      </c>
      <c r="H5" t="s">
        <v>212</v>
      </c>
      <c r="I5" s="114">
        <v>23</v>
      </c>
      <c r="J5"/>
      <c r="K5" s="70"/>
    </row>
    <row r="6" spans="1:11" x14ac:dyDescent="0.25">
      <c r="A6" s="143" t="s">
        <v>200</v>
      </c>
      <c r="C6" s="143" t="s">
        <v>201</v>
      </c>
      <c r="H6" s="146" t="s">
        <v>213</v>
      </c>
      <c r="I6" s="147" t="s">
        <v>191</v>
      </c>
    </row>
    <row r="7" spans="1:11" x14ac:dyDescent="0.25">
      <c r="A7" s="143" t="s">
        <v>202</v>
      </c>
      <c r="C7" s="143" t="s">
        <v>203</v>
      </c>
    </row>
    <row r="8" spans="1:11" x14ac:dyDescent="0.25">
      <c r="C8" s="143" t="s">
        <v>204</v>
      </c>
    </row>
    <row r="9" spans="1:11" x14ac:dyDescent="0.25">
      <c r="C9" s="143" t="s">
        <v>205</v>
      </c>
    </row>
    <row r="10" spans="1:11" x14ac:dyDescent="0.25">
      <c r="C10" s="143" t="s">
        <v>206</v>
      </c>
    </row>
    <row r="11" spans="1:11" x14ac:dyDescent="0.25">
      <c r="C11" s="143" t="s">
        <v>207</v>
      </c>
    </row>
    <row r="12" spans="1:11" x14ac:dyDescent="0.25">
      <c r="C12" s="143" t="s">
        <v>208</v>
      </c>
    </row>
    <row r="13" spans="1:11" x14ac:dyDescent="0.25">
      <c r="C13" s="143" t="s">
        <v>209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2016-09-06T15:42:42Z</dcterms:modified>
</cp:coreProperties>
</file>