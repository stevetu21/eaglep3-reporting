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Runs'!$A$12:$AG$235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10" i="1" l="1"/>
  <c r="K210" i="1"/>
  <c r="L210" i="1"/>
  <c r="M210" i="1"/>
  <c r="V210" i="1"/>
  <c r="Y210" i="1"/>
  <c r="Z210" i="1"/>
  <c r="AA210" i="1" s="1"/>
  <c r="AB210" i="1"/>
  <c r="AC210" i="1"/>
  <c r="AD210" i="1"/>
  <c r="AG210" i="1" s="1"/>
  <c r="AE210" i="1"/>
  <c r="AF210" i="1"/>
  <c r="AH210" i="1"/>
  <c r="X210" i="1" l="1"/>
  <c r="T210" i="1"/>
  <c r="AI210" i="1"/>
  <c r="U210" i="1"/>
  <c r="S210" i="1" s="1"/>
  <c r="W210" i="1"/>
  <c r="K83" i="1"/>
  <c r="L83" i="1"/>
  <c r="M83" i="1"/>
  <c r="P83" i="1" s="1"/>
  <c r="V83" i="1"/>
  <c r="Y83" i="1"/>
  <c r="Z83" i="1"/>
  <c r="AB83" i="1"/>
  <c r="AC83" i="1"/>
  <c r="AD83" i="1"/>
  <c r="T83" i="1" s="1"/>
  <c r="AE83" i="1"/>
  <c r="AF83" i="1"/>
  <c r="AH83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X20" i="1" s="1"/>
  <c r="AE20" i="1"/>
  <c r="AF20" i="1"/>
  <c r="AH20" i="1"/>
  <c r="K21" i="1"/>
  <c r="L21" i="1"/>
  <c r="M21" i="1"/>
  <c r="N21" i="1" s="1"/>
  <c r="T21" i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X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K30" i="1"/>
  <c r="L30" i="1"/>
  <c r="M30" i="1"/>
  <c r="N30" i="1" s="1"/>
  <c r="V30" i="1"/>
  <c r="S15" i="3" s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X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X44" i="1" s="1"/>
  <c r="AE44" i="1"/>
  <c r="AF44" i="1"/>
  <c r="AH44" i="1"/>
  <c r="K45" i="1"/>
  <c r="L45" i="1"/>
  <c r="M45" i="1"/>
  <c r="P45" i="1" s="1"/>
  <c r="V45" i="1"/>
  <c r="Y45" i="1"/>
  <c r="AA45" i="1" s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S16" i="3" s="1"/>
  <c r="Y50" i="1"/>
  <c r="Z50" i="1"/>
  <c r="AB50" i="1"/>
  <c r="AC50" i="1"/>
  <c r="AD50" i="1"/>
  <c r="AG50" i="1" s="1"/>
  <c r="AE50" i="1"/>
  <c r="R16" i="3" s="1"/>
  <c r="AF50" i="1"/>
  <c r="AH50" i="1"/>
  <c r="K51" i="1"/>
  <c r="L51" i="1"/>
  <c r="M51" i="1"/>
  <c r="N51" i="1" s="1"/>
  <c r="V51" i="1"/>
  <c r="S18" i="3" s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S12" i="3" s="1"/>
  <c r="Y55" i="1"/>
  <c r="Z55" i="1"/>
  <c r="AB55" i="1"/>
  <c r="AC55" i="1"/>
  <c r="AD55" i="1"/>
  <c r="T55" i="1" s="1"/>
  <c r="AE55" i="1"/>
  <c r="R12" i="3" s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K59" i="1"/>
  <c r="L59" i="1"/>
  <c r="M59" i="1"/>
  <c r="N59" i="1" s="1"/>
  <c r="V59" i="1"/>
  <c r="S10" i="3" s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S13" i="3" s="1"/>
  <c r="Y62" i="1"/>
  <c r="Z62" i="1"/>
  <c r="AB62" i="1"/>
  <c r="AC62" i="1"/>
  <c r="AD62" i="1"/>
  <c r="AG62" i="1" s="1"/>
  <c r="AE62" i="1"/>
  <c r="R13" i="3" s="1"/>
  <c r="AF62" i="1"/>
  <c r="AH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P68" i="1" s="1"/>
  <c r="V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N69" i="1" s="1"/>
  <c r="V69" i="1"/>
  <c r="S8" i="3" s="1"/>
  <c r="Y69" i="1"/>
  <c r="Z69" i="1"/>
  <c r="AB69" i="1"/>
  <c r="AC69" i="1"/>
  <c r="AD69" i="1"/>
  <c r="T69" i="1" s="1"/>
  <c r="AE69" i="1"/>
  <c r="R8" i="3" s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S14" i="3" s="1"/>
  <c r="Y78" i="1"/>
  <c r="Z78" i="1"/>
  <c r="AB78" i="1"/>
  <c r="AC78" i="1"/>
  <c r="AD78" i="1"/>
  <c r="AG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P85" i="1" s="1"/>
  <c r="V85" i="1"/>
  <c r="Y85" i="1"/>
  <c r="Z85" i="1"/>
  <c r="AB85" i="1"/>
  <c r="AC85" i="1"/>
  <c r="AD85" i="1"/>
  <c r="AG85" i="1" s="1"/>
  <c r="AE85" i="1"/>
  <c r="AF85" i="1"/>
  <c r="AH85" i="1"/>
  <c r="K86" i="1"/>
  <c r="L86" i="1"/>
  <c r="M86" i="1"/>
  <c r="V86" i="1"/>
  <c r="Y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S11" i="3" s="1"/>
  <c r="Y89" i="1"/>
  <c r="Z89" i="1"/>
  <c r="AB89" i="1"/>
  <c r="AC89" i="1"/>
  <c r="AD89" i="1"/>
  <c r="T89" i="1" s="1"/>
  <c r="AE89" i="1"/>
  <c r="R11" i="3" s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5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AH9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R22" i="3" s="1"/>
  <c r="AF163" i="1"/>
  <c r="AH97" i="1"/>
  <c r="K164" i="1"/>
  <c r="L164" i="1"/>
  <c r="M164" i="1"/>
  <c r="N164" i="1" s="1"/>
  <c r="V164" i="1"/>
  <c r="S20" i="3" s="1"/>
  <c r="Y164" i="1"/>
  <c r="Z164" i="1"/>
  <c r="AB164" i="1"/>
  <c r="AC164" i="1"/>
  <c r="AD164" i="1"/>
  <c r="T164" i="1" s="1"/>
  <c r="AE164" i="1"/>
  <c r="R20" i="3" s="1"/>
  <c r="AF164" i="1"/>
  <c r="AH9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9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0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R23" i="3" s="1"/>
  <c r="AF167" i="1"/>
  <c r="AH101" i="1"/>
  <c r="AH102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3" i="1"/>
  <c r="K94" i="1"/>
  <c r="L94" i="1"/>
  <c r="M94" i="1"/>
  <c r="P94" i="1" s="1"/>
  <c r="V94" i="1"/>
  <c r="Y94" i="1"/>
  <c r="Z94" i="1"/>
  <c r="AB94" i="1"/>
  <c r="AC94" i="1"/>
  <c r="AD94" i="1"/>
  <c r="AE94" i="1"/>
  <c r="AF94" i="1"/>
  <c r="AH104" i="1"/>
  <c r="AH105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7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1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1" i="1"/>
  <c r="K175" i="1"/>
  <c r="L175" i="1"/>
  <c r="M175" i="1"/>
  <c r="N175" i="1" s="1"/>
  <c r="V175" i="1"/>
  <c r="Y175" i="1"/>
  <c r="Z175" i="1"/>
  <c r="AB175" i="1"/>
  <c r="AC175" i="1"/>
  <c r="AD175" i="1"/>
  <c r="X175" i="1" s="1"/>
  <c r="AE175" i="1"/>
  <c r="AF175" i="1"/>
  <c r="AH11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3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5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16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7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8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9" i="1"/>
  <c r="K182" i="1"/>
  <c r="L182" i="1"/>
  <c r="M182" i="1"/>
  <c r="N182" i="1" s="1"/>
  <c r="V182" i="1"/>
  <c r="Y182" i="1"/>
  <c r="Z182" i="1"/>
  <c r="AA182" i="1" s="1"/>
  <c r="AB182" i="1"/>
  <c r="AC182" i="1"/>
  <c r="AD182" i="1"/>
  <c r="X182" i="1" s="1"/>
  <c r="AE182" i="1"/>
  <c r="AF182" i="1"/>
  <c r="AH120" i="1"/>
  <c r="K183" i="1"/>
  <c r="L183" i="1"/>
  <c r="M183" i="1"/>
  <c r="N183" i="1" s="1"/>
  <c r="V183" i="1"/>
  <c r="S19" i="3" s="1"/>
  <c r="Y183" i="1"/>
  <c r="Z183" i="1"/>
  <c r="AA183" i="1" s="1"/>
  <c r="AB183" i="1"/>
  <c r="AC183" i="1"/>
  <c r="AD183" i="1"/>
  <c r="AG183" i="1" s="1"/>
  <c r="AE183" i="1"/>
  <c r="R19" i="3" s="1"/>
  <c r="AF183" i="1"/>
  <c r="AH121" i="1"/>
  <c r="K184" i="1"/>
  <c r="L184" i="1"/>
  <c r="M184" i="1"/>
  <c r="N184" i="1" s="1"/>
  <c r="V184" i="1"/>
  <c r="Y184" i="1"/>
  <c r="Z184" i="1"/>
  <c r="AA184" i="1" s="1"/>
  <c r="AB184" i="1"/>
  <c r="AC184" i="1"/>
  <c r="AD184" i="1"/>
  <c r="AE184" i="1"/>
  <c r="AF184" i="1"/>
  <c r="AH122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23" i="1"/>
  <c r="K186" i="1"/>
  <c r="L186" i="1"/>
  <c r="M186" i="1"/>
  <c r="N186" i="1" s="1"/>
  <c r="V186" i="1"/>
  <c r="Y186" i="1"/>
  <c r="Z186" i="1"/>
  <c r="AB186" i="1"/>
  <c r="AC186" i="1"/>
  <c r="AD186" i="1"/>
  <c r="X186" i="1" s="1"/>
  <c r="AE186" i="1"/>
  <c r="AF186" i="1"/>
  <c r="AH124" i="1"/>
  <c r="K187" i="1"/>
  <c r="L187" i="1"/>
  <c r="M187" i="1"/>
  <c r="N187" i="1" s="1"/>
  <c r="V187" i="1"/>
  <c r="Y187" i="1"/>
  <c r="Z187" i="1"/>
  <c r="AA187" i="1" s="1"/>
  <c r="AB187" i="1"/>
  <c r="AC187" i="1"/>
  <c r="AD187" i="1"/>
  <c r="AG187" i="1" s="1"/>
  <c r="AE187" i="1"/>
  <c r="AF187" i="1"/>
  <c r="AH125" i="1"/>
  <c r="K188" i="1"/>
  <c r="L188" i="1"/>
  <c r="M188" i="1"/>
  <c r="N188" i="1" s="1"/>
  <c r="V188" i="1"/>
  <c r="Y188" i="1"/>
  <c r="Z188" i="1"/>
  <c r="AA188" i="1" s="1"/>
  <c r="AB188" i="1"/>
  <c r="AC188" i="1"/>
  <c r="AD188" i="1"/>
  <c r="T188" i="1" s="1"/>
  <c r="AE188" i="1"/>
  <c r="AF188" i="1"/>
  <c r="AH126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127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128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29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30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1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132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133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4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5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36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37" i="1"/>
  <c r="K205" i="1"/>
  <c r="L205" i="1"/>
  <c r="M205" i="1"/>
  <c r="N205" i="1" s="1"/>
  <c r="V205" i="1"/>
  <c r="S25" i="3" s="1"/>
  <c r="Y205" i="1"/>
  <c r="Z205" i="1"/>
  <c r="AB205" i="1"/>
  <c r="AC205" i="1"/>
  <c r="AD205" i="1"/>
  <c r="T205" i="1" s="1"/>
  <c r="AE205" i="1"/>
  <c r="R24" i="3" s="1"/>
  <c r="AF205" i="1"/>
  <c r="AH138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39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40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41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2" i="1"/>
  <c r="K108" i="1"/>
  <c r="L108" i="1"/>
  <c r="M108" i="1"/>
  <c r="P108" i="1" s="1"/>
  <c r="V108" i="1"/>
  <c r="Y108" i="1"/>
  <c r="Z108" i="1"/>
  <c r="AB108" i="1"/>
  <c r="AC108" i="1"/>
  <c r="AD108" i="1"/>
  <c r="T108" i="1" s="1"/>
  <c r="AE108" i="1"/>
  <c r="AF108" i="1"/>
  <c r="AH143" i="1"/>
  <c r="K109" i="1"/>
  <c r="L109" i="1"/>
  <c r="M109" i="1"/>
  <c r="V109" i="1"/>
  <c r="Y109" i="1"/>
  <c r="Z109" i="1"/>
  <c r="AB109" i="1"/>
  <c r="AC109" i="1"/>
  <c r="AD109" i="1"/>
  <c r="AG109" i="1" s="1"/>
  <c r="AE109" i="1"/>
  <c r="AF109" i="1"/>
  <c r="AH144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45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6" i="1"/>
  <c r="K112" i="1"/>
  <c r="L112" i="1"/>
  <c r="M112" i="1"/>
  <c r="N112" i="1" s="1"/>
  <c r="V112" i="1"/>
  <c r="S17" i="3" s="1"/>
  <c r="Y112" i="1"/>
  <c r="Z112" i="1"/>
  <c r="AB112" i="1"/>
  <c r="AC112" i="1"/>
  <c r="AD112" i="1"/>
  <c r="T112" i="1" s="1"/>
  <c r="AE112" i="1"/>
  <c r="R17" i="3" s="1"/>
  <c r="AF112" i="1"/>
  <c r="AH147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48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49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0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1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52" i="1"/>
  <c r="K118" i="1"/>
  <c r="L118" i="1"/>
  <c r="M118" i="1"/>
  <c r="N118" i="1"/>
  <c r="V118" i="1"/>
  <c r="Y118" i="1"/>
  <c r="Z118" i="1"/>
  <c r="AB118" i="1"/>
  <c r="AC118" i="1"/>
  <c r="AD118" i="1"/>
  <c r="AG118" i="1" s="1"/>
  <c r="AE118" i="1"/>
  <c r="AF118" i="1"/>
  <c r="AH153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4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5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56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57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58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N126" i="1" s="1"/>
  <c r="V126" i="1"/>
  <c r="S7" i="3" s="1"/>
  <c r="Y126" i="1"/>
  <c r="Z126" i="1"/>
  <c r="AB126" i="1"/>
  <c r="AC126" i="1"/>
  <c r="AD126" i="1"/>
  <c r="AE126" i="1"/>
  <c r="R7" i="3" s="1"/>
  <c r="AF126" i="1"/>
  <c r="AH159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0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1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2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63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4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5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6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67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68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69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70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1" i="1"/>
  <c r="K140" i="1"/>
  <c r="L140" i="1"/>
  <c r="M140" i="1"/>
  <c r="N140" i="1" s="1"/>
  <c r="V140" i="1"/>
  <c r="Y140" i="1"/>
  <c r="Z140" i="1"/>
  <c r="AA140" i="1" s="1"/>
  <c r="AB140" i="1"/>
  <c r="AC140" i="1"/>
  <c r="AD140" i="1"/>
  <c r="T140" i="1" s="1"/>
  <c r="AE140" i="1"/>
  <c r="AF140" i="1"/>
  <c r="AH172" i="1"/>
  <c r="K141" i="1"/>
  <c r="L141" i="1"/>
  <c r="M141" i="1"/>
  <c r="N141" i="1" s="1"/>
  <c r="V141" i="1"/>
  <c r="Y141" i="1"/>
  <c r="Z141" i="1"/>
  <c r="AA141" i="1" s="1"/>
  <c r="AB141" i="1"/>
  <c r="AC141" i="1"/>
  <c r="AD141" i="1"/>
  <c r="T141" i="1" s="1"/>
  <c r="AE141" i="1"/>
  <c r="AF141" i="1"/>
  <c r="AH173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74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5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6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77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78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79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0" i="1"/>
  <c r="K149" i="1"/>
  <c r="L149" i="1"/>
  <c r="M149" i="1"/>
  <c r="P149" i="1" s="1"/>
  <c r="V149" i="1"/>
  <c r="S9" i="3" s="1"/>
  <c r="Y149" i="1"/>
  <c r="Z149" i="1"/>
  <c r="AB149" i="1"/>
  <c r="AC149" i="1"/>
  <c r="AD149" i="1"/>
  <c r="T149" i="1" s="1"/>
  <c r="AE149" i="1"/>
  <c r="R9" i="3" s="1"/>
  <c r="AF149" i="1"/>
  <c r="AH181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82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3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4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5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86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87" i="1"/>
  <c r="K156" i="1"/>
  <c r="L156" i="1"/>
  <c r="M156" i="1"/>
  <c r="P156" i="1" s="1"/>
  <c r="V156" i="1"/>
  <c r="Y156" i="1"/>
  <c r="Z156" i="1"/>
  <c r="AB156" i="1"/>
  <c r="AC156" i="1"/>
  <c r="AD156" i="1"/>
  <c r="T156" i="1" s="1"/>
  <c r="AE156" i="1"/>
  <c r="AF156" i="1"/>
  <c r="AH188" i="1"/>
  <c r="AH189" i="1"/>
  <c r="K157" i="1"/>
  <c r="L157" i="1"/>
  <c r="M157" i="1"/>
  <c r="N157" i="1" s="1"/>
  <c r="V157" i="1"/>
  <c r="Y157" i="1"/>
  <c r="Z157" i="1"/>
  <c r="AA157" i="1" s="1"/>
  <c r="AB157" i="1"/>
  <c r="AC157" i="1"/>
  <c r="AD157" i="1"/>
  <c r="AG157" i="1" s="1"/>
  <c r="AE157" i="1"/>
  <c r="AF157" i="1"/>
  <c r="AH190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91" i="1"/>
  <c r="AH192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93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94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5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6" i="1"/>
  <c r="K196" i="1"/>
  <c r="L196" i="1"/>
  <c r="M196" i="1"/>
  <c r="N196" i="1" s="1"/>
  <c r="V196" i="1"/>
  <c r="S27" i="3" s="1"/>
  <c r="Y196" i="1"/>
  <c r="Z196" i="1"/>
  <c r="AB196" i="1"/>
  <c r="AC196" i="1"/>
  <c r="AD196" i="1"/>
  <c r="T196" i="1" s="1"/>
  <c r="AE196" i="1"/>
  <c r="R27" i="3" s="1"/>
  <c r="AF196" i="1"/>
  <c r="AH197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8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199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1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02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3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4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09" i="1"/>
  <c r="M27" i="3"/>
  <c r="U27" i="3"/>
  <c r="T27" i="3" s="1"/>
  <c r="V27" i="3"/>
  <c r="W27" i="3"/>
  <c r="X27" i="3"/>
  <c r="AC27" i="3"/>
  <c r="M24" i="3"/>
  <c r="U24" i="3"/>
  <c r="T24" i="3" s="1"/>
  <c r="V24" i="3"/>
  <c r="W24" i="3"/>
  <c r="X24" i="3"/>
  <c r="M25" i="3"/>
  <c r="R25" i="3"/>
  <c r="U25" i="3"/>
  <c r="T25" i="3" s="1"/>
  <c r="V25" i="3"/>
  <c r="W25" i="3"/>
  <c r="X25" i="3"/>
  <c r="AC25" i="3"/>
  <c r="M15" i="3"/>
  <c r="R15" i="3"/>
  <c r="U15" i="3"/>
  <c r="T15" i="3" s="1"/>
  <c r="V15" i="3"/>
  <c r="W15" i="3"/>
  <c r="Y15" i="3" s="1"/>
  <c r="X15" i="3"/>
  <c r="AC15" i="3"/>
  <c r="M22" i="3"/>
  <c r="S22" i="3"/>
  <c r="U22" i="3"/>
  <c r="T22" i="3" s="1"/>
  <c r="V22" i="3"/>
  <c r="W22" i="3"/>
  <c r="X22" i="3"/>
  <c r="AC22" i="3"/>
  <c r="M20" i="3"/>
  <c r="U20" i="3"/>
  <c r="T20" i="3" s="1"/>
  <c r="V20" i="3"/>
  <c r="W20" i="3"/>
  <c r="X20" i="3"/>
  <c r="AC20" i="3"/>
  <c r="M21" i="3"/>
  <c r="R21" i="3"/>
  <c r="U21" i="3"/>
  <c r="T21" i="3" s="1"/>
  <c r="V21" i="3"/>
  <c r="W21" i="3"/>
  <c r="X21" i="3"/>
  <c r="M18" i="3"/>
  <c r="R18" i="3"/>
  <c r="U18" i="3"/>
  <c r="T18" i="3" s="1"/>
  <c r="V18" i="3"/>
  <c r="W18" i="3"/>
  <c r="X18" i="3"/>
  <c r="AC18" i="3"/>
  <c r="AD15" i="3"/>
  <c r="M12" i="3"/>
  <c r="U12" i="3"/>
  <c r="T12" i="3" s="1"/>
  <c r="V12" i="3"/>
  <c r="W12" i="3"/>
  <c r="X12" i="3"/>
  <c r="AC12" i="3"/>
  <c r="M23" i="3"/>
  <c r="S23" i="3"/>
  <c r="U23" i="3"/>
  <c r="T23" i="3" s="1"/>
  <c r="V23" i="3"/>
  <c r="W23" i="3"/>
  <c r="X23" i="3"/>
  <c r="M16" i="3"/>
  <c r="U16" i="3"/>
  <c r="T16" i="3" s="1"/>
  <c r="V16" i="3"/>
  <c r="W16" i="3"/>
  <c r="X16" i="3"/>
  <c r="AC16" i="3"/>
  <c r="M10" i="3"/>
  <c r="R10" i="3"/>
  <c r="U10" i="3"/>
  <c r="T10" i="3" s="1"/>
  <c r="V10" i="3"/>
  <c r="W10" i="3"/>
  <c r="X10" i="3"/>
  <c r="AC10" i="3"/>
  <c r="M13" i="3"/>
  <c r="U13" i="3"/>
  <c r="T13" i="3" s="1"/>
  <c r="V13" i="3"/>
  <c r="W13" i="3"/>
  <c r="X13" i="3"/>
  <c r="AC13" i="3"/>
  <c r="M8" i="3"/>
  <c r="U8" i="3"/>
  <c r="T8" i="3" s="1"/>
  <c r="V8" i="3"/>
  <c r="W8" i="3"/>
  <c r="X8" i="3"/>
  <c r="AC8" i="3"/>
  <c r="M14" i="3"/>
  <c r="R14" i="3"/>
  <c r="U14" i="3"/>
  <c r="T14" i="3" s="1"/>
  <c r="V14" i="3"/>
  <c r="W14" i="3"/>
  <c r="X14" i="3"/>
  <c r="M11" i="3"/>
  <c r="U11" i="3"/>
  <c r="T11" i="3" s="1"/>
  <c r="V11" i="3"/>
  <c r="W11" i="3"/>
  <c r="X11" i="3"/>
  <c r="AC11" i="3"/>
  <c r="M17" i="3"/>
  <c r="U17" i="3"/>
  <c r="T17" i="3" s="1"/>
  <c r="V17" i="3"/>
  <c r="W17" i="3"/>
  <c r="X17" i="3"/>
  <c r="AC17" i="3"/>
  <c r="M19" i="3"/>
  <c r="U19" i="3"/>
  <c r="T19" i="3" s="1"/>
  <c r="V19" i="3"/>
  <c r="W19" i="3"/>
  <c r="X19" i="3"/>
  <c r="AD25" i="3"/>
  <c r="M7" i="3"/>
  <c r="U7" i="3"/>
  <c r="T7" i="3" s="1"/>
  <c r="V7" i="3"/>
  <c r="W7" i="3"/>
  <c r="X7" i="3"/>
  <c r="AC7" i="3"/>
  <c r="M9" i="3"/>
  <c r="U9" i="3"/>
  <c r="T9" i="3" s="1"/>
  <c r="V9" i="3"/>
  <c r="W9" i="3"/>
  <c r="X9" i="3"/>
  <c r="AC9" i="3"/>
  <c r="M28" i="5"/>
  <c r="X94" i="1" l="1"/>
  <c r="T166" i="1"/>
  <c r="T157" i="1"/>
  <c r="AA159" i="1"/>
  <c r="AA89" i="1"/>
  <c r="AA83" i="1"/>
  <c r="AA179" i="1"/>
  <c r="X172" i="1"/>
  <c r="X168" i="1"/>
  <c r="W45" i="1"/>
  <c r="AA16" i="1"/>
  <c r="AA15" i="1"/>
  <c r="X171" i="1"/>
  <c r="X167" i="1"/>
  <c r="X170" i="1"/>
  <c r="AA145" i="1"/>
  <c r="AA167" i="1"/>
  <c r="X173" i="1"/>
  <c r="X169" i="1"/>
  <c r="X84" i="1"/>
  <c r="AG83" i="1"/>
  <c r="U83" i="1" s="1"/>
  <c r="S83" i="1" s="1"/>
  <c r="X83" i="1"/>
  <c r="Y25" i="3"/>
  <c r="X157" i="1"/>
  <c r="AD27" i="3"/>
  <c r="AC21" i="3"/>
  <c r="Y22" i="3"/>
  <c r="S24" i="3"/>
  <c r="AG101" i="1"/>
  <c r="U101" i="1" s="1"/>
  <c r="S101" i="1" s="1"/>
  <c r="AG57" i="1"/>
  <c r="X156" i="1"/>
  <c r="Y8" i="3"/>
  <c r="AA172" i="1"/>
  <c r="T54" i="1"/>
  <c r="AA127" i="1"/>
  <c r="AA101" i="1"/>
  <c r="W101" i="1" s="1"/>
  <c r="AA56" i="1"/>
  <c r="AA54" i="1"/>
  <c r="X160" i="1"/>
  <c r="X159" i="1"/>
  <c r="X158" i="1"/>
  <c r="AG176" i="1"/>
  <c r="AG47" i="1"/>
  <c r="X161" i="1"/>
  <c r="Y20" i="3"/>
  <c r="AA121" i="1"/>
  <c r="AA120" i="1"/>
  <c r="AA119" i="1"/>
  <c r="AA166" i="1"/>
  <c r="W166" i="1" s="1"/>
  <c r="AA79" i="1"/>
  <c r="AA78" i="1"/>
  <c r="W78" i="1" s="1"/>
  <c r="AA76" i="1"/>
  <c r="AA75" i="1"/>
  <c r="T70" i="1"/>
  <c r="AA50" i="1"/>
  <c r="W50" i="1" s="1"/>
  <c r="AG43" i="1"/>
  <c r="X41" i="1"/>
  <c r="AA25" i="1"/>
  <c r="AG16" i="1"/>
  <c r="U16" i="1" s="1"/>
  <c r="S16" i="1" s="1"/>
  <c r="X98" i="1"/>
  <c r="AC19" i="3"/>
  <c r="X176" i="1"/>
  <c r="AG73" i="1"/>
  <c r="U73" i="1" s="1"/>
  <c r="S73" i="1" s="1"/>
  <c r="Y27" i="3"/>
  <c r="AA198" i="1"/>
  <c r="W198" i="1" s="1"/>
  <c r="AA155" i="1"/>
  <c r="AA150" i="1"/>
  <c r="W150" i="1" s="1"/>
  <c r="AA123" i="1"/>
  <c r="T182" i="1"/>
  <c r="AA72" i="1"/>
  <c r="AA71" i="1"/>
  <c r="AA70" i="1"/>
  <c r="AA47" i="1"/>
  <c r="AA46" i="1"/>
  <c r="X21" i="1"/>
  <c r="AG196" i="1"/>
  <c r="U196" i="1" s="1"/>
  <c r="S196" i="1" s="1"/>
  <c r="AI50" i="1"/>
  <c r="AI49" i="1"/>
  <c r="X97" i="1"/>
  <c r="AC24" i="3"/>
  <c r="AG207" i="1"/>
  <c r="AI207" i="1" s="1"/>
  <c r="Y11" i="3"/>
  <c r="Y18" i="3"/>
  <c r="AA195" i="1"/>
  <c r="AA194" i="1"/>
  <c r="W194" i="1" s="1"/>
  <c r="AA151" i="1"/>
  <c r="AA147" i="1"/>
  <c r="W147" i="1" s="1"/>
  <c r="AG141" i="1"/>
  <c r="W141" i="1" s="1"/>
  <c r="T124" i="1"/>
  <c r="U124" i="1" s="1"/>
  <c r="S124" i="1" s="1"/>
  <c r="AI117" i="1"/>
  <c r="AA117" i="1"/>
  <c r="W117" i="1" s="1"/>
  <c r="AA113" i="1"/>
  <c r="AA111" i="1"/>
  <c r="AG182" i="1"/>
  <c r="W182" i="1" s="1"/>
  <c r="AG90" i="1"/>
  <c r="U90" i="1" s="1"/>
  <c r="S90" i="1" s="1"/>
  <c r="X90" i="1"/>
  <c r="X89" i="1"/>
  <c r="T78" i="1"/>
  <c r="U78" i="1" s="1"/>
  <c r="S78" i="1" s="1"/>
  <c r="T63" i="1"/>
  <c r="AG21" i="1"/>
  <c r="AI21" i="1" s="1"/>
  <c r="X95" i="1"/>
  <c r="AI183" i="1"/>
  <c r="AI79" i="1"/>
  <c r="AG179" i="1"/>
  <c r="AI179" i="1" s="1"/>
  <c r="AA43" i="1"/>
  <c r="AG19" i="1"/>
  <c r="X96" i="1"/>
  <c r="AA109" i="1"/>
  <c r="W109" i="1" s="1"/>
  <c r="AI187" i="1"/>
  <c r="AA153" i="1"/>
  <c r="AG151" i="1"/>
  <c r="AI113" i="1"/>
  <c r="AG171" i="1"/>
  <c r="AI171" i="1" s="1"/>
  <c r="X58" i="1"/>
  <c r="AD11" i="3"/>
  <c r="AG143" i="1"/>
  <c r="U143" i="1" s="1"/>
  <c r="S143" i="1" s="1"/>
  <c r="AG127" i="1"/>
  <c r="W127" i="1" s="1"/>
  <c r="X127" i="1"/>
  <c r="AA125" i="1"/>
  <c r="W125" i="1" s="1"/>
  <c r="AA110" i="1"/>
  <c r="W110" i="1" s="1"/>
  <c r="AA107" i="1"/>
  <c r="AA105" i="1"/>
  <c r="W105" i="1" s="1"/>
  <c r="AA205" i="1"/>
  <c r="AA99" i="1"/>
  <c r="T96" i="1"/>
  <c r="U96" i="1" s="1"/>
  <c r="S96" i="1" s="1"/>
  <c r="X183" i="1"/>
  <c r="T175" i="1"/>
  <c r="AG89" i="1"/>
  <c r="U89" i="1" s="1"/>
  <c r="S89" i="1" s="1"/>
  <c r="AA84" i="1"/>
  <c r="AG77" i="1"/>
  <c r="AI77" i="1" s="1"/>
  <c r="AA52" i="1"/>
  <c r="T49" i="1"/>
  <c r="U49" i="1" s="1"/>
  <c r="S49" i="1" s="1"/>
  <c r="AG35" i="1"/>
  <c r="AI35" i="1" s="1"/>
  <c r="AG204" i="1"/>
  <c r="AA200" i="1"/>
  <c r="AA158" i="1"/>
  <c r="W158" i="1" s="1"/>
  <c r="AG137" i="1"/>
  <c r="AI137" i="1" s="1"/>
  <c r="AG95" i="1"/>
  <c r="AI95" i="1" s="1"/>
  <c r="AA163" i="1"/>
  <c r="AG69" i="1"/>
  <c r="U69" i="1" s="1"/>
  <c r="AG61" i="1"/>
  <c r="AI61" i="1" s="1"/>
  <c r="AA33" i="1"/>
  <c r="AG27" i="1"/>
  <c r="AI27" i="1" s="1"/>
  <c r="S21" i="3"/>
  <c r="AA203" i="1"/>
  <c r="AA202" i="1"/>
  <c r="T158" i="1"/>
  <c r="U158" i="1" s="1"/>
  <c r="S158" i="1" s="1"/>
  <c r="T150" i="1"/>
  <c r="U150" i="1" s="1"/>
  <c r="S150" i="1" s="1"/>
  <c r="AA137" i="1"/>
  <c r="AA136" i="1"/>
  <c r="AA135" i="1"/>
  <c r="AI121" i="1"/>
  <c r="AA118" i="1"/>
  <c r="W118" i="1" s="1"/>
  <c r="AA102" i="1"/>
  <c r="W102" i="1" s="1"/>
  <c r="AA98" i="1"/>
  <c r="W98" i="1" s="1"/>
  <c r="AA95" i="1"/>
  <c r="AA175" i="1"/>
  <c r="T93" i="1"/>
  <c r="U93" i="1" s="1"/>
  <c r="S93" i="1" s="1"/>
  <c r="T79" i="1"/>
  <c r="X78" i="1"/>
  <c r="U63" i="1"/>
  <c r="S63" i="1" s="1"/>
  <c r="AA60" i="1"/>
  <c r="AA39" i="1"/>
  <c r="AA38" i="1"/>
  <c r="AG32" i="1"/>
  <c r="AI32" i="1" s="1"/>
  <c r="X32" i="1"/>
  <c r="AA94" i="1"/>
  <c r="T94" i="1"/>
  <c r="AG163" i="1"/>
  <c r="U163" i="1" s="1"/>
  <c r="S163" i="1" s="1"/>
  <c r="X163" i="1"/>
  <c r="AA162" i="1"/>
  <c r="T162" i="1"/>
  <c r="X74" i="1"/>
  <c r="AA69" i="1"/>
  <c r="AA68" i="1"/>
  <c r="AA67" i="1"/>
  <c r="W67" i="1" s="1"/>
  <c r="AA63" i="1"/>
  <c r="W63" i="1" s="1"/>
  <c r="AA62" i="1"/>
  <c r="W62" i="1" s="1"/>
  <c r="T62" i="1"/>
  <c r="AA59" i="1"/>
  <c r="X54" i="1"/>
  <c r="X49" i="1"/>
  <c r="AA32" i="1"/>
  <c r="AA27" i="1"/>
  <c r="AA26" i="1"/>
  <c r="U21" i="1"/>
  <c r="X206" i="1"/>
  <c r="T198" i="1"/>
  <c r="U198" i="1" s="1"/>
  <c r="S198" i="1" s="1"/>
  <c r="X197" i="1"/>
  <c r="AA156" i="1"/>
  <c r="AG149" i="1"/>
  <c r="AI149" i="1" s="1"/>
  <c r="AA143" i="1"/>
  <c r="AA142" i="1"/>
  <c r="W142" i="1" s="1"/>
  <c r="T142" i="1"/>
  <c r="U142" i="1" s="1"/>
  <c r="S142" i="1" s="1"/>
  <c r="AA139" i="1"/>
  <c r="AG133" i="1"/>
  <c r="AI133" i="1" s="1"/>
  <c r="X125" i="1"/>
  <c r="AA124" i="1"/>
  <c r="W124" i="1" s="1"/>
  <c r="AA114" i="1"/>
  <c r="W114" i="1" s="1"/>
  <c r="AI109" i="1"/>
  <c r="AA106" i="1"/>
  <c r="W106" i="1" s="1"/>
  <c r="AA191" i="1"/>
  <c r="AA190" i="1"/>
  <c r="W190" i="1" s="1"/>
  <c r="AA189" i="1"/>
  <c r="W189" i="1" s="1"/>
  <c r="W79" i="1"/>
  <c r="AA37" i="1"/>
  <c r="W37" i="1" s="1"/>
  <c r="T29" i="1"/>
  <c r="AA24" i="1"/>
  <c r="T24" i="1"/>
  <c r="AA19" i="1"/>
  <c r="W19" i="1" s="1"/>
  <c r="AA18" i="1"/>
  <c r="AA209" i="1"/>
  <c r="X150" i="1"/>
  <c r="T130" i="1"/>
  <c r="U130" i="1" s="1"/>
  <c r="S130" i="1" s="1"/>
  <c r="AI105" i="1"/>
  <c r="AA103" i="1"/>
  <c r="W103" i="1" s="1"/>
  <c r="AG175" i="1"/>
  <c r="AG172" i="1"/>
  <c r="AG94" i="1"/>
  <c r="AG167" i="1"/>
  <c r="AG162" i="1"/>
  <c r="AG159" i="1"/>
  <c r="W159" i="1" s="1"/>
  <c r="AA93" i="1"/>
  <c r="W93" i="1" s="1"/>
  <c r="AA90" i="1"/>
  <c r="AG84" i="1"/>
  <c r="AA74" i="1"/>
  <c r="W74" i="1" s="1"/>
  <c r="T74" i="1"/>
  <c r="U74" i="1" s="1"/>
  <c r="S74" i="1" s="1"/>
  <c r="AA65" i="1"/>
  <c r="X62" i="1"/>
  <c r="AI51" i="1"/>
  <c r="AA51" i="1"/>
  <c r="W51" i="1" s="1"/>
  <c r="AA207" i="1"/>
  <c r="AA206" i="1"/>
  <c r="W206" i="1" s="1"/>
  <c r="T206" i="1"/>
  <c r="U206" i="1" s="1"/>
  <c r="S206" i="1" s="1"/>
  <c r="AA197" i="1"/>
  <c r="T197" i="1"/>
  <c r="U197" i="1" s="1"/>
  <c r="S197" i="1" s="1"/>
  <c r="AA148" i="1"/>
  <c r="X142" i="1"/>
  <c r="AA133" i="1"/>
  <c r="AA132" i="1"/>
  <c r="AA131" i="1"/>
  <c r="AA130" i="1"/>
  <c r="W130" i="1" s="1"/>
  <c r="AA126" i="1"/>
  <c r="AA122" i="1"/>
  <c r="W122" i="1" s="1"/>
  <c r="AA116" i="1"/>
  <c r="AA115" i="1"/>
  <c r="AA176" i="1"/>
  <c r="W176" i="1" s="1"/>
  <c r="AA171" i="1"/>
  <c r="AA81" i="1"/>
  <c r="X70" i="1"/>
  <c r="AA58" i="1"/>
  <c r="W58" i="1" s="1"/>
  <c r="T58" i="1"/>
  <c r="AA55" i="1"/>
  <c r="AG53" i="1"/>
  <c r="U53" i="1" s="1"/>
  <c r="S53" i="1" s="1"/>
  <c r="X45" i="1"/>
  <c r="AA42" i="1"/>
  <c r="AA41" i="1"/>
  <c r="AG39" i="1"/>
  <c r="W39" i="1" s="1"/>
  <c r="X37" i="1"/>
  <c r="AA35" i="1"/>
  <c r="AA34" i="1"/>
  <c r="AG29" i="1"/>
  <c r="AI29" i="1" s="1"/>
  <c r="AG24" i="1"/>
  <c r="AA204" i="1"/>
  <c r="AG202" i="1"/>
  <c r="U202" i="1" s="1"/>
  <c r="S202" i="1" s="1"/>
  <c r="AA201" i="1"/>
  <c r="W201" i="1" s="1"/>
  <c r="T201" i="1"/>
  <c r="U201" i="1" s="1"/>
  <c r="S201" i="1" s="1"/>
  <c r="AA199" i="1"/>
  <c r="T194" i="1"/>
  <c r="U194" i="1" s="1"/>
  <c r="S194" i="1" s="1"/>
  <c r="X193" i="1"/>
  <c r="AG192" i="1"/>
  <c r="AG155" i="1"/>
  <c r="U155" i="1" s="1"/>
  <c r="S155" i="1" s="1"/>
  <c r="AA154" i="1"/>
  <c r="W154" i="1" s="1"/>
  <c r="T154" i="1"/>
  <c r="U154" i="1" s="1"/>
  <c r="S154" i="1" s="1"/>
  <c r="AA152" i="1"/>
  <c r="T147" i="1"/>
  <c r="U147" i="1" s="1"/>
  <c r="S147" i="1" s="1"/>
  <c r="X146" i="1"/>
  <c r="AG145" i="1"/>
  <c r="W145" i="1" s="1"/>
  <c r="AG139" i="1"/>
  <c r="U139" i="1" s="1"/>
  <c r="S139" i="1" s="1"/>
  <c r="AA138" i="1"/>
  <c r="W138" i="1" s="1"/>
  <c r="T138" i="1"/>
  <c r="AG135" i="1"/>
  <c r="U135" i="1" s="1"/>
  <c r="S135" i="1" s="1"/>
  <c r="AA134" i="1"/>
  <c r="T134" i="1"/>
  <c r="U134" i="1" s="1"/>
  <c r="S134" i="1" s="1"/>
  <c r="AG131" i="1"/>
  <c r="W131" i="1" s="1"/>
  <c r="AG129" i="1"/>
  <c r="AI129" i="1" s="1"/>
  <c r="T121" i="1"/>
  <c r="T117" i="1"/>
  <c r="T113" i="1"/>
  <c r="U113" i="1" s="1"/>
  <c r="S113" i="1" s="1"/>
  <c r="T109" i="1"/>
  <c r="U109" i="1" s="1"/>
  <c r="T105" i="1"/>
  <c r="T102" i="1"/>
  <c r="U102" i="1" s="1"/>
  <c r="S102" i="1" s="1"/>
  <c r="AG209" i="1"/>
  <c r="X130" i="1"/>
  <c r="AG120" i="1"/>
  <c r="AG116" i="1"/>
  <c r="AI116" i="1" s="1"/>
  <c r="AG112" i="1"/>
  <c r="AI112" i="1" s="1"/>
  <c r="AG108" i="1"/>
  <c r="U108" i="1" s="1"/>
  <c r="S108" i="1" s="1"/>
  <c r="AG104" i="1"/>
  <c r="AI104" i="1" s="1"/>
  <c r="AA100" i="1"/>
  <c r="X189" i="1"/>
  <c r="AI67" i="1"/>
  <c r="AA208" i="1"/>
  <c r="X201" i="1"/>
  <c r="AG200" i="1"/>
  <c r="AA196" i="1"/>
  <c r="AA193" i="1"/>
  <c r="W193" i="1" s="1"/>
  <c r="T193" i="1"/>
  <c r="U193" i="1" s="1"/>
  <c r="S193" i="1" s="1"/>
  <c r="AA192" i="1"/>
  <c r="X154" i="1"/>
  <c r="AG153" i="1"/>
  <c r="U153" i="1" s="1"/>
  <c r="S153" i="1" s="1"/>
  <c r="AA149" i="1"/>
  <c r="AA146" i="1"/>
  <c r="W146" i="1" s="1"/>
  <c r="T146" i="1"/>
  <c r="AA144" i="1"/>
  <c r="X138" i="1"/>
  <c r="X134" i="1"/>
  <c r="AA129" i="1"/>
  <c r="AA128" i="1"/>
  <c r="T125" i="1"/>
  <c r="U125" i="1" s="1"/>
  <c r="S125" i="1" s="1"/>
  <c r="X121" i="1"/>
  <c r="X117" i="1"/>
  <c r="X113" i="1"/>
  <c r="X109" i="1"/>
  <c r="X105" i="1"/>
  <c r="X102" i="1"/>
  <c r="W183" i="1"/>
  <c r="AI45" i="1"/>
  <c r="AI37" i="1"/>
  <c r="AA112" i="1"/>
  <c r="AA108" i="1"/>
  <c r="AA104" i="1"/>
  <c r="AG97" i="1"/>
  <c r="AI97" i="1" s="1"/>
  <c r="T189" i="1"/>
  <c r="U189" i="1" s="1"/>
  <c r="S189" i="1" s="1"/>
  <c r="AA181" i="1"/>
  <c r="AA180" i="1"/>
  <c r="AG178" i="1"/>
  <c r="AI178" i="1" s="1"/>
  <c r="AA174" i="1"/>
  <c r="AA173" i="1"/>
  <c r="AG170" i="1"/>
  <c r="U170" i="1" s="1"/>
  <c r="S170" i="1" s="1"/>
  <c r="AA168" i="1"/>
  <c r="AG165" i="1"/>
  <c r="U165" i="1" s="1"/>
  <c r="S165" i="1" s="1"/>
  <c r="AA161" i="1"/>
  <c r="AA160" i="1"/>
  <c r="AG92" i="1"/>
  <c r="AI92" i="1" s="1"/>
  <c r="AA88" i="1"/>
  <c r="AA87" i="1"/>
  <c r="AA86" i="1"/>
  <c r="AA85" i="1"/>
  <c r="W85" i="1" s="1"/>
  <c r="AA82" i="1"/>
  <c r="T82" i="1"/>
  <c r="U82" i="1" s="1"/>
  <c r="S82" i="1" s="1"/>
  <c r="AA80" i="1"/>
  <c r="T67" i="1"/>
  <c r="U67" i="1" s="1"/>
  <c r="S67" i="1" s="1"/>
  <c r="X66" i="1"/>
  <c r="AG65" i="1"/>
  <c r="U65" i="1" s="1"/>
  <c r="S65" i="1" s="1"/>
  <c r="AA61" i="1"/>
  <c r="AG59" i="1"/>
  <c r="AI59" i="1" s="1"/>
  <c r="AA57" i="1"/>
  <c r="W57" i="1" s="1"/>
  <c r="AG55" i="1"/>
  <c r="AI55" i="1" s="1"/>
  <c r="AA53" i="1"/>
  <c r="AA49" i="1"/>
  <c r="W49" i="1" s="1"/>
  <c r="AG48" i="1"/>
  <c r="U48" i="1" s="1"/>
  <c r="X48" i="1"/>
  <c r="AA44" i="1"/>
  <c r="T44" i="1"/>
  <c r="AG41" i="1"/>
  <c r="AG40" i="1"/>
  <c r="U40" i="1" s="1"/>
  <c r="S40" i="1" s="1"/>
  <c r="X40" i="1"/>
  <c r="AA36" i="1"/>
  <c r="T36" i="1"/>
  <c r="AG33" i="1"/>
  <c r="X33" i="1"/>
  <c r="AA31" i="1"/>
  <c r="AA30" i="1"/>
  <c r="AA29" i="1"/>
  <c r="AG28" i="1"/>
  <c r="U28" i="1" s="1"/>
  <c r="S28" i="1" s="1"/>
  <c r="X28" i="1"/>
  <c r="T25" i="1"/>
  <c r="AG23" i="1"/>
  <c r="U23" i="1" s="1"/>
  <c r="S23" i="1" s="1"/>
  <c r="AA20" i="1"/>
  <c r="T20" i="1"/>
  <c r="AG17" i="1"/>
  <c r="X17" i="1"/>
  <c r="T183" i="1"/>
  <c r="U183" i="1" s="1"/>
  <c r="S183" i="1" s="1"/>
  <c r="U166" i="1"/>
  <c r="S166" i="1" s="1"/>
  <c r="X166" i="1"/>
  <c r="X93" i="1"/>
  <c r="W89" i="1"/>
  <c r="U79" i="1"/>
  <c r="S79" i="1" s="1"/>
  <c r="AI63" i="1"/>
  <c r="T45" i="1"/>
  <c r="U45" i="1" s="1"/>
  <c r="S45" i="1" s="1"/>
  <c r="T37" i="1"/>
  <c r="U37" i="1" s="1"/>
  <c r="S37" i="1" s="1"/>
  <c r="W16" i="1"/>
  <c r="AA14" i="1"/>
  <c r="T98" i="1"/>
  <c r="U98" i="1" s="1"/>
  <c r="S98" i="1" s="1"/>
  <c r="AA97" i="1"/>
  <c r="AA96" i="1"/>
  <c r="W96" i="1" s="1"/>
  <c r="AG181" i="1"/>
  <c r="U181" i="1" s="1"/>
  <c r="S181" i="1" s="1"/>
  <c r="X179" i="1"/>
  <c r="AA178" i="1"/>
  <c r="AA177" i="1"/>
  <c r="AG174" i="1"/>
  <c r="AI174" i="1" s="1"/>
  <c r="AA170" i="1"/>
  <c r="AA169" i="1"/>
  <c r="AG168" i="1"/>
  <c r="U168" i="1" s="1"/>
  <c r="S168" i="1" s="1"/>
  <c r="AA165" i="1"/>
  <c r="AA164" i="1"/>
  <c r="AG161" i="1"/>
  <c r="U161" i="1" s="1"/>
  <c r="S161" i="1" s="1"/>
  <c r="AA92" i="1"/>
  <c r="AA91" i="1"/>
  <c r="AG88" i="1"/>
  <c r="AI88" i="1" s="1"/>
  <c r="X82" i="1"/>
  <c r="AG81" i="1"/>
  <c r="U81" i="1" s="1"/>
  <c r="S81" i="1" s="1"/>
  <c r="AA77" i="1"/>
  <c r="AG75" i="1"/>
  <c r="AA73" i="1"/>
  <c r="AG71" i="1"/>
  <c r="AI71" i="1" s="1"/>
  <c r="AA66" i="1"/>
  <c r="W66" i="1" s="1"/>
  <c r="T66" i="1"/>
  <c r="U66" i="1" s="1"/>
  <c r="S66" i="1" s="1"/>
  <c r="AA64" i="1"/>
  <c r="AA48" i="1"/>
  <c r="W48" i="1" s="1"/>
  <c r="AG44" i="1"/>
  <c r="AA40" i="1"/>
  <c r="AG36" i="1"/>
  <c r="AI36" i="1" s="1"/>
  <c r="AG31" i="1"/>
  <c r="AI31" i="1" s="1"/>
  <c r="AA28" i="1"/>
  <c r="AG25" i="1"/>
  <c r="W25" i="1" s="1"/>
  <c r="AA23" i="1"/>
  <c r="AA22" i="1"/>
  <c r="AA21" i="1"/>
  <c r="AG20" i="1"/>
  <c r="AA17" i="1"/>
  <c r="U176" i="1"/>
  <c r="S176" i="1" s="1"/>
  <c r="W24" i="1"/>
  <c r="AI194" i="1"/>
  <c r="W157" i="1"/>
  <c r="U146" i="1"/>
  <c r="S146" i="1" s="1"/>
  <c r="AI190" i="1"/>
  <c r="U157" i="1"/>
  <c r="S157" i="1" s="1"/>
  <c r="W134" i="1"/>
  <c r="W197" i="1"/>
  <c r="U138" i="1"/>
  <c r="S138" i="1" s="1"/>
  <c r="AI206" i="1"/>
  <c r="AI198" i="1"/>
  <c r="U204" i="1"/>
  <c r="S204" i="1" s="1"/>
  <c r="AI209" i="1"/>
  <c r="X207" i="1"/>
  <c r="X202" i="1"/>
  <c r="X198" i="1"/>
  <c r="X194" i="1"/>
  <c r="X155" i="1"/>
  <c r="X151" i="1"/>
  <c r="X147" i="1"/>
  <c r="X143" i="1"/>
  <c r="X139" i="1"/>
  <c r="X135" i="1"/>
  <c r="X131" i="1"/>
  <c r="AI158" i="1"/>
  <c r="W121" i="1"/>
  <c r="W113" i="1"/>
  <c r="W187" i="1"/>
  <c r="U192" i="1"/>
  <c r="S192" i="1" s="1"/>
  <c r="U141" i="1"/>
  <c r="S141" i="1" s="1"/>
  <c r="U133" i="1"/>
  <c r="S133" i="1" s="1"/>
  <c r="T123" i="1"/>
  <c r="X123" i="1"/>
  <c r="AG123" i="1"/>
  <c r="W123" i="1" s="1"/>
  <c r="X124" i="1"/>
  <c r="U121" i="1"/>
  <c r="S121" i="1" s="1"/>
  <c r="U117" i="1"/>
  <c r="S117" i="1" s="1"/>
  <c r="U105" i="1"/>
  <c r="S105" i="1" s="1"/>
  <c r="AI125" i="1"/>
  <c r="X209" i="1"/>
  <c r="AG208" i="1"/>
  <c r="X204" i="1"/>
  <c r="AG203" i="1"/>
  <c r="X200" i="1"/>
  <c r="AG199" i="1"/>
  <c r="AI199" i="1" s="1"/>
  <c r="X196" i="1"/>
  <c r="AG195" i="1"/>
  <c r="AI195" i="1" s="1"/>
  <c r="X192" i="1"/>
  <c r="AG156" i="1"/>
  <c r="X153" i="1"/>
  <c r="AG152" i="1"/>
  <c r="AI152" i="1" s="1"/>
  <c r="X149" i="1"/>
  <c r="AG148" i="1"/>
  <c r="AI148" i="1" s="1"/>
  <c r="X145" i="1"/>
  <c r="AG144" i="1"/>
  <c r="AI144" i="1" s="1"/>
  <c r="X141" i="1"/>
  <c r="AG140" i="1"/>
  <c r="W140" i="1" s="1"/>
  <c r="X137" i="1"/>
  <c r="AG136" i="1"/>
  <c r="AI136" i="1" s="1"/>
  <c r="X133" i="1"/>
  <c r="AG132" i="1"/>
  <c r="X129" i="1"/>
  <c r="AG128" i="1"/>
  <c r="AG126" i="1"/>
  <c r="T126" i="1"/>
  <c r="X126" i="1"/>
  <c r="U209" i="1"/>
  <c r="S209" i="1" s="1"/>
  <c r="X208" i="1"/>
  <c r="X203" i="1"/>
  <c r="AI201" i="1"/>
  <c r="X199" i="1"/>
  <c r="AI197" i="1"/>
  <c r="X195" i="1"/>
  <c r="AI193" i="1"/>
  <c r="AI189" i="1"/>
  <c r="X152" i="1"/>
  <c r="X148" i="1"/>
  <c r="X144" i="1"/>
  <c r="X140" i="1"/>
  <c r="X136" i="1"/>
  <c r="AI166" i="1"/>
  <c r="X132" i="1"/>
  <c r="X128" i="1"/>
  <c r="AI153" i="1"/>
  <c r="AI141" i="1"/>
  <c r="W99" i="1"/>
  <c r="X122" i="1"/>
  <c r="T122" i="1"/>
  <c r="U122" i="1" s="1"/>
  <c r="S122" i="1" s="1"/>
  <c r="X118" i="1"/>
  <c r="T118" i="1"/>
  <c r="U118" i="1" s="1"/>
  <c r="S118" i="1" s="1"/>
  <c r="X114" i="1"/>
  <c r="T114" i="1"/>
  <c r="U114" i="1" s="1"/>
  <c r="S114" i="1" s="1"/>
  <c r="X110" i="1"/>
  <c r="T110" i="1"/>
  <c r="U110" i="1" s="1"/>
  <c r="S110" i="1" s="1"/>
  <c r="X106" i="1"/>
  <c r="T106" i="1"/>
  <c r="U106" i="1" s="1"/>
  <c r="S106" i="1" s="1"/>
  <c r="X103" i="1"/>
  <c r="T103" i="1"/>
  <c r="U103" i="1" s="1"/>
  <c r="S103" i="1" s="1"/>
  <c r="X99" i="1"/>
  <c r="T99" i="1"/>
  <c r="U99" i="1" s="1"/>
  <c r="S99" i="1" s="1"/>
  <c r="X190" i="1"/>
  <c r="T190" i="1"/>
  <c r="U190" i="1" s="1"/>
  <c r="S190" i="1" s="1"/>
  <c r="X187" i="1"/>
  <c r="T187" i="1"/>
  <c r="U187" i="1" s="1"/>
  <c r="S187" i="1" s="1"/>
  <c r="AA186" i="1"/>
  <c r="AA185" i="1"/>
  <c r="T184" i="1"/>
  <c r="X184" i="1"/>
  <c r="AG184" i="1"/>
  <c r="W184" i="1" s="1"/>
  <c r="U120" i="1"/>
  <c r="S120" i="1" s="1"/>
  <c r="T186" i="1"/>
  <c r="T185" i="1"/>
  <c r="X185" i="1"/>
  <c r="X120" i="1"/>
  <c r="AG119" i="1"/>
  <c r="X116" i="1"/>
  <c r="AG115" i="1"/>
  <c r="X112" i="1"/>
  <c r="AG111" i="1"/>
  <c r="W111" i="1" s="1"/>
  <c r="X108" i="1"/>
  <c r="AG107" i="1"/>
  <c r="X104" i="1"/>
  <c r="AG205" i="1"/>
  <c r="X101" i="1"/>
  <c r="AG100" i="1"/>
  <c r="AI100" i="1" s="1"/>
  <c r="AG191" i="1"/>
  <c r="AI191" i="1" s="1"/>
  <c r="AG188" i="1"/>
  <c r="W188" i="1" s="1"/>
  <c r="AG186" i="1"/>
  <c r="AI186" i="1" s="1"/>
  <c r="AG185" i="1"/>
  <c r="AI185" i="1" s="1"/>
  <c r="X119" i="1"/>
  <c r="AI151" i="1"/>
  <c r="X115" i="1"/>
  <c r="AI147" i="1"/>
  <c r="X111" i="1"/>
  <c r="X107" i="1"/>
  <c r="X205" i="1"/>
  <c r="X100" i="1"/>
  <c r="X191" i="1"/>
  <c r="AI127" i="1"/>
  <c r="X188" i="1"/>
  <c r="T86" i="1"/>
  <c r="X86" i="1"/>
  <c r="AI85" i="1"/>
  <c r="AI82" i="1"/>
  <c r="U62" i="1"/>
  <c r="S62" i="1" s="1"/>
  <c r="AI62" i="1"/>
  <c r="U58" i="1"/>
  <c r="S58" i="1" s="1"/>
  <c r="AI58" i="1"/>
  <c r="U54" i="1"/>
  <c r="S54" i="1" s="1"/>
  <c r="AI54" i="1"/>
  <c r="AI120" i="1"/>
  <c r="X181" i="1"/>
  <c r="AG180" i="1"/>
  <c r="X178" i="1"/>
  <c r="AG177" i="1"/>
  <c r="AI177" i="1" s="1"/>
  <c r="X174" i="1"/>
  <c r="AG173" i="1"/>
  <c r="AI173" i="1" s="1"/>
  <c r="AI108" i="1"/>
  <c r="AG169" i="1"/>
  <c r="X165" i="1"/>
  <c r="AG164" i="1"/>
  <c r="AI164" i="1" s="1"/>
  <c r="AI96" i="1"/>
  <c r="AG160" i="1"/>
  <c r="AI160" i="1" s="1"/>
  <c r="AI93" i="1"/>
  <c r="X92" i="1"/>
  <c r="AG91" i="1"/>
  <c r="X88" i="1"/>
  <c r="AG87" i="1"/>
  <c r="AG86" i="1"/>
  <c r="X85" i="1"/>
  <c r="W70" i="1"/>
  <c r="U57" i="1"/>
  <c r="S57" i="1" s="1"/>
  <c r="X180" i="1"/>
  <c r="X177" i="1"/>
  <c r="AI107" i="1"/>
  <c r="AI103" i="1"/>
  <c r="AI99" i="1"/>
  <c r="X164" i="1"/>
  <c r="X91" i="1"/>
  <c r="X87" i="1"/>
  <c r="AI78" i="1"/>
  <c r="AI74" i="1"/>
  <c r="U70" i="1"/>
  <c r="S70" i="1" s="1"/>
  <c r="AI70" i="1"/>
  <c r="T85" i="1"/>
  <c r="U85" i="1" s="1"/>
  <c r="S85" i="1" s="1"/>
  <c r="W82" i="1"/>
  <c r="AI66" i="1"/>
  <c r="W54" i="1"/>
  <c r="X81" i="1"/>
  <c r="AG80" i="1"/>
  <c r="X77" i="1"/>
  <c r="AG76" i="1"/>
  <c r="X73" i="1"/>
  <c r="AG72" i="1"/>
  <c r="X69" i="1"/>
  <c r="AG68" i="1"/>
  <c r="X65" i="1"/>
  <c r="AG64" i="1"/>
  <c r="X61" i="1"/>
  <c r="AG60" i="1"/>
  <c r="X57" i="1"/>
  <c r="AG56" i="1"/>
  <c r="X53" i="1"/>
  <c r="AG52" i="1"/>
  <c r="T51" i="1"/>
  <c r="U51" i="1" s="1"/>
  <c r="S51" i="1" s="1"/>
  <c r="X51" i="1"/>
  <c r="X50" i="1"/>
  <c r="X80" i="1"/>
  <c r="X76" i="1"/>
  <c r="X72" i="1"/>
  <c r="AI69" i="1"/>
  <c r="S69" i="1"/>
  <c r="X68" i="1"/>
  <c r="X64" i="1"/>
  <c r="X60" i="1"/>
  <c r="AI57" i="1"/>
  <c r="X56" i="1"/>
  <c r="X52" i="1"/>
  <c r="X79" i="1"/>
  <c r="X75" i="1"/>
  <c r="X71" i="1"/>
  <c r="X67" i="1"/>
  <c r="X63" i="1"/>
  <c r="X59" i="1"/>
  <c r="X55" i="1"/>
  <c r="T50" i="1"/>
  <c r="U50" i="1" s="1"/>
  <c r="S50" i="1" s="1"/>
  <c r="U47" i="1"/>
  <c r="S47" i="1" s="1"/>
  <c r="U43" i="1"/>
  <c r="S43" i="1" s="1"/>
  <c r="U31" i="1"/>
  <c r="S31" i="1" s="1"/>
  <c r="S21" i="1"/>
  <c r="U19" i="1"/>
  <c r="S19" i="1" s="1"/>
  <c r="X16" i="1"/>
  <c r="AG15" i="1"/>
  <c r="X47" i="1"/>
  <c r="AG46" i="1"/>
  <c r="W46" i="1" s="1"/>
  <c r="AI44" i="1"/>
  <c r="X43" i="1"/>
  <c r="AG42" i="1"/>
  <c r="W42" i="1" s="1"/>
  <c r="X39" i="1"/>
  <c r="AG38" i="1"/>
  <c r="X35" i="1"/>
  <c r="AG34" i="1"/>
  <c r="X31" i="1"/>
  <c r="AG30" i="1"/>
  <c r="AI28" i="1"/>
  <c r="X27" i="1"/>
  <c r="AG26" i="1"/>
  <c r="X23" i="1"/>
  <c r="AG22" i="1"/>
  <c r="X19" i="1"/>
  <c r="AG18" i="1"/>
  <c r="X15" i="1"/>
  <c r="AG14" i="1"/>
  <c r="X46" i="1"/>
  <c r="AI43" i="1"/>
  <c r="X42" i="1"/>
  <c r="X38" i="1"/>
  <c r="X34" i="1"/>
  <c r="X30" i="1"/>
  <c r="X26" i="1"/>
  <c r="X22" i="1"/>
  <c r="AI19" i="1"/>
  <c r="X18" i="1"/>
  <c r="AC23" i="3"/>
  <c r="Y19" i="3"/>
  <c r="Y9" i="3"/>
  <c r="Y10" i="3"/>
  <c r="AD17" i="3"/>
  <c r="AD9" i="3"/>
  <c r="AC14" i="3"/>
  <c r="AD19" i="3"/>
  <c r="AD21" i="3"/>
  <c r="AD13" i="3"/>
  <c r="AD8" i="3"/>
  <c r="AD23" i="3"/>
  <c r="Y23" i="3"/>
  <c r="Y24" i="3"/>
  <c r="Y7" i="3"/>
  <c r="Y14" i="3"/>
  <c r="Y13" i="3"/>
  <c r="Y16" i="3"/>
  <c r="Y21" i="3"/>
  <c r="Y17" i="3"/>
  <c r="Y12" i="3"/>
  <c r="AD24" i="3"/>
  <c r="AD22" i="3"/>
  <c r="AD20" i="3"/>
  <c r="AD18" i="3"/>
  <c r="AD16" i="3"/>
  <c r="AD14" i="3"/>
  <c r="AD12" i="3"/>
  <c r="AD10" i="3"/>
  <c r="R26" i="3"/>
  <c r="M26" i="3"/>
  <c r="S26" i="3"/>
  <c r="U26" i="3"/>
  <c r="T26" i="3" s="1"/>
  <c r="V26" i="3"/>
  <c r="W26" i="3"/>
  <c r="X26" i="3"/>
  <c r="AI181" i="1" l="1"/>
  <c r="W55" i="1"/>
  <c r="W47" i="1"/>
  <c r="U92" i="1"/>
  <c r="S92" i="1" s="1"/>
  <c r="W21" i="1"/>
  <c r="U178" i="1"/>
  <c r="S178" i="1" s="1"/>
  <c r="W115" i="1"/>
  <c r="W196" i="1"/>
  <c r="AI16" i="1"/>
  <c r="U39" i="1"/>
  <c r="S39" i="1" s="1"/>
  <c r="W18" i="1"/>
  <c r="U137" i="1"/>
  <c r="S137" i="1" s="1"/>
  <c r="U129" i="1"/>
  <c r="S129" i="1" s="1"/>
  <c r="AI90" i="1"/>
  <c r="U162" i="1"/>
  <c r="S162" i="1" s="1"/>
  <c r="W69" i="1"/>
  <c r="W83" i="1"/>
  <c r="AI47" i="1"/>
  <c r="S48" i="1"/>
  <c r="U61" i="1"/>
  <c r="S61" i="1" s="1"/>
  <c r="AI135" i="1"/>
  <c r="AI145" i="1"/>
  <c r="U145" i="1"/>
  <c r="S145" i="1" s="1"/>
  <c r="W29" i="1"/>
  <c r="W149" i="1"/>
  <c r="W171" i="1"/>
  <c r="W90" i="1"/>
  <c r="W167" i="1"/>
  <c r="W30" i="1"/>
  <c r="W120" i="1"/>
  <c r="W94" i="1"/>
  <c r="AI83" i="1"/>
  <c r="W80" i="1"/>
  <c r="AI81" i="1"/>
  <c r="U104" i="1"/>
  <c r="S104" i="1" s="1"/>
  <c r="W59" i="1"/>
  <c r="U20" i="1"/>
  <c r="S20" i="1" s="1"/>
  <c r="W75" i="1"/>
  <c r="U24" i="1"/>
  <c r="S24" i="1" s="1"/>
  <c r="U77" i="1"/>
  <c r="S77" i="1" s="1"/>
  <c r="W34" i="1"/>
  <c r="AI202" i="1"/>
  <c r="U95" i="1"/>
  <c r="S95" i="1" s="1"/>
  <c r="AI101" i="1"/>
  <c r="W172" i="1"/>
  <c r="W207" i="1"/>
  <c r="W95" i="1"/>
  <c r="U207" i="1"/>
  <c r="S207" i="1" s="1"/>
  <c r="W43" i="1"/>
  <c r="U27" i="1"/>
  <c r="S27" i="1" s="1"/>
  <c r="AI73" i="1"/>
  <c r="AI20" i="1"/>
  <c r="AI115" i="1"/>
  <c r="AI143" i="1"/>
  <c r="W205" i="1"/>
  <c r="W119" i="1"/>
  <c r="U112" i="1"/>
  <c r="S112" i="1" s="1"/>
  <c r="W73" i="1"/>
  <c r="U29" i="1"/>
  <c r="S29" i="1" s="1"/>
  <c r="W181" i="1"/>
  <c r="W192" i="1"/>
  <c r="W116" i="1"/>
  <c r="W175" i="1"/>
  <c r="U59" i="1"/>
  <c r="S59" i="1" s="1"/>
  <c r="AI139" i="1"/>
  <c r="U44" i="1"/>
  <c r="S44" i="1" s="1"/>
  <c r="U167" i="1"/>
  <c r="S167" i="1" s="1"/>
  <c r="W143" i="1"/>
  <c r="W27" i="1"/>
  <c r="W33" i="1"/>
  <c r="W92" i="1"/>
  <c r="W156" i="1"/>
  <c r="AI24" i="1"/>
  <c r="U71" i="1"/>
  <c r="S71" i="1" s="1"/>
  <c r="U97" i="1"/>
  <c r="S97" i="1" s="1"/>
  <c r="W132" i="1"/>
  <c r="AI182" i="1"/>
  <c r="AI170" i="1"/>
  <c r="U182" i="1"/>
  <c r="S182" i="1" s="1"/>
  <c r="W151" i="1"/>
  <c r="AI53" i="1"/>
  <c r="W169" i="1"/>
  <c r="AI162" i="1"/>
  <c r="U149" i="1"/>
  <c r="S149" i="1" s="1"/>
  <c r="AI163" i="1"/>
  <c r="W40" i="1"/>
  <c r="W170" i="1"/>
  <c r="W108" i="1"/>
  <c r="W129" i="1"/>
  <c r="U151" i="1"/>
  <c r="S151" i="1" s="1"/>
  <c r="W204" i="1"/>
  <c r="W35" i="1"/>
  <c r="AI40" i="1"/>
  <c r="W162" i="1"/>
  <c r="U179" i="1"/>
  <c r="S179" i="1" s="1"/>
  <c r="AI48" i="1"/>
  <c r="W87" i="1"/>
  <c r="W128" i="1"/>
  <c r="AI167" i="1"/>
  <c r="U131" i="1"/>
  <c r="S131" i="1" s="1"/>
  <c r="W77" i="1"/>
  <c r="W165" i="1"/>
  <c r="W53" i="1"/>
  <c r="W61" i="1"/>
  <c r="W112" i="1"/>
  <c r="W200" i="1"/>
  <c r="W32" i="1"/>
  <c r="W137" i="1"/>
  <c r="W163" i="1"/>
  <c r="W179" i="1"/>
  <c r="W26" i="1"/>
  <c r="U88" i="1"/>
  <c r="S88" i="1" s="1"/>
  <c r="W28" i="1"/>
  <c r="AI23" i="1"/>
  <c r="AI39" i="1"/>
  <c r="W14" i="1"/>
  <c r="AI65" i="1"/>
  <c r="W180" i="1"/>
  <c r="AI131" i="1"/>
  <c r="W107" i="1"/>
  <c r="U35" i="1"/>
  <c r="S35" i="1" s="1"/>
  <c r="AI111" i="1"/>
  <c r="W86" i="1"/>
  <c r="AI89" i="1"/>
  <c r="U174" i="1"/>
  <c r="S174" i="1" s="1"/>
  <c r="U116" i="1"/>
  <c r="S116" i="1" s="1"/>
  <c r="U127" i="1"/>
  <c r="S127" i="1" s="1"/>
  <c r="U200" i="1"/>
  <c r="S200" i="1" s="1"/>
  <c r="W65" i="1"/>
  <c r="W17" i="1"/>
  <c r="W23" i="1"/>
  <c r="U36" i="1"/>
  <c r="S36" i="1" s="1"/>
  <c r="W178" i="1"/>
  <c r="W97" i="1"/>
  <c r="U159" i="1"/>
  <c r="S159" i="1" s="1"/>
  <c r="U172" i="1"/>
  <c r="S172" i="1" s="1"/>
  <c r="W104" i="1"/>
  <c r="W209" i="1"/>
  <c r="U32" i="1"/>
  <c r="S32" i="1" s="1"/>
  <c r="U55" i="1"/>
  <c r="S55" i="1" s="1"/>
  <c r="AI155" i="1"/>
  <c r="W100" i="1"/>
  <c r="AI132" i="1"/>
  <c r="U171" i="1"/>
  <c r="S171" i="1" s="1"/>
  <c r="W153" i="1"/>
  <c r="W133" i="1"/>
  <c r="W84" i="1"/>
  <c r="U94" i="1"/>
  <c r="S94" i="1" s="1"/>
  <c r="AI94" i="1"/>
  <c r="AI119" i="1"/>
  <c r="AI128" i="1"/>
  <c r="U84" i="1"/>
  <c r="S84" i="1" s="1"/>
  <c r="AI84" i="1"/>
  <c r="U175" i="1"/>
  <c r="S175" i="1" s="1"/>
  <c r="AI175" i="1"/>
  <c r="AI205" i="1"/>
  <c r="W203" i="1"/>
  <c r="AI203" i="1"/>
  <c r="AI140" i="1"/>
  <c r="AI156" i="1"/>
  <c r="W195" i="1"/>
  <c r="W81" i="1"/>
  <c r="U17" i="1"/>
  <c r="S17" i="1" s="1"/>
  <c r="AI17" i="1"/>
  <c r="U41" i="1"/>
  <c r="S41" i="1" s="1"/>
  <c r="AI41" i="1"/>
  <c r="W88" i="1"/>
  <c r="W71" i="1"/>
  <c r="W202" i="1"/>
  <c r="W31" i="1"/>
  <c r="W36" i="1"/>
  <c r="W174" i="1"/>
  <c r="W41" i="1"/>
  <c r="W135" i="1"/>
  <c r="W139" i="1"/>
  <c r="AI169" i="1"/>
  <c r="W20" i="1"/>
  <c r="W44" i="1"/>
  <c r="W168" i="1"/>
  <c r="W155" i="1"/>
  <c r="U25" i="1"/>
  <c r="S25" i="1" s="1"/>
  <c r="AI25" i="1"/>
  <c r="U75" i="1"/>
  <c r="S75" i="1" s="1"/>
  <c r="AI75" i="1"/>
  <c r="U33" i="1"/>
  <c r="S33" i="1" s="1"/>
  <c r="AI33" i="1"/>
  <c r="W161" i="1"/>
  <c r="AI15" i="1"/>
  <c r="U15" i="1"/>
  <c r="S15" i="1" s="1"/>
  <c r="AI56" i="1"/>
  <c r="U56" i="1"/>
  <c r="S56" i="1" s="1"/>
  <c r="AI72" i="1"/>
  <c r="U72" i="1"/>
  <c r="S72" i="1" s="1"/>
  <c r="W56" i="1"/>
  <c r="W72" i="1"/>
  <c r="AI91" i="1"/>
  <c r="U91" i="1"/>
  <c r="S91" i="1" s="1"/>
  <c r="AI102" i="1"/>
  <c r="AI114" i="1"/>
  <c r="U177" i="1"/>
  <c r="S177" i="1" s="1"/>
  <c r="W91" i="1"/>
  <c r="AI123" i="1"/>
  <c r="U185" i="1"/>
  <c r="S185" i="1" s="1"/>
  <c r="U191" i="1"/>
  <c r="S191" i="1" s="1"/>
  <c r="AI130" i="1"/>
  <c r="U205" i="1"/>
  <c r="S205" i="1" s="1"/>
  <c r="AI138" i="1"/>
  <c r="U111" i="1"/>
  <c r="S111" i="1" s="1"/>
  <c r="AI146" i="1"/>
  <c r="U119" i="1"/>
  <c r="S119" i="1" s="1"/>
  <c r="AI154" i="1"/>
  <c r="W185" i="1"/>
  <c r="W191" i="1"/>
  <c r="U128" i="1"/>
  <c r="S128" i="1" s="1"/>
  <c r="AI161" i="1"/>
  <c r="U136" i="1"/>
  <c r="S136" i="1" s="1"/>
  <c r="AI168" i="1"/>
  <c r="U144" i="1"/>
  <c r="S144" i="1" s="1"/>
  <c r="AI176" i="1"/>
  <c r="U152" i="1"/>
  <c r="S152" i="1" s="1"/>
  <c r="AI184" i="1"/>
  <c r="AI192" i="1"/>
  <c r="U199" i="1"/>
  <c r="S199" i="1" s="1"/>
  <c r="AI200" i="1"/>
  <c r="U208" i="1"/>
  <c r="S208" i="1" s="1"/>
  <c r="AI208" i="1"/>
  <c r="U123" i="1"/>
  <c r="S123" i="1" s="1"/>
  <c r="AI157" i="1"/>
  <c r="W144" i="1"/>
  <c r="W208" i="1"/>
  <c r="W199" i="1"/>
  <c r="W136" i="1"/>
  <c r="AI64" i="1"/>
  <c r="U64" i="1"/>
  <c r="S64" i="1" s="1"/>
  <c r="AI80" i="1"/>
  <c r="U80" i="1"/>
  <c r="S80" i="1" s="1"/>
  <c r="AI87" i="1"/>
  <c r="U87" i="1"/>
  <c r="S87" i="1" s="1"/>
  <c r="AI98" i="1"/>
  <c r="U164" i="1"/>
  <c r="S164" i="1" s="1"/>
  <c r="AI110" i="1"/>
  <c r="U173" i="1"/>
  <c r="S173" i="1" s="1"/>
  <c r="U126" i="1"/>
  <c r="S126" i="1" s="1"/>
  <c r="AI159" i="1"/>
  <c r="AI14" i="1"/>
  <c r="U14" i="1"/>
  <c r="S14" i="1" s="1"/>
  <c r="AI18" i="1"/>
  <c r="U18" i="1"/>
  <c r="S18" i="1" s="1"/>
  <c r="AI22" i="1"/>
  <c r="U22" i="1"/>
  <c r="S22" i="1" s="1"/>
  <c r="AI26" i="1"/>
  <c r="U26" i="1"/>
  <c r="S26" i="1" s="1"/>
  <c r="AI30" i="1"/>
  <c r="U30" i="1"/>
  <c r="S30" i="1" s="1"/>
  <c r="AI34" i="1"/>
  <c r="U34" i="1"/>
  <c r="S34" i="1" s="1"/>
  <c r="AI38" i="1"/>
  <c r="U38" i="1"/>
  <c r="S38" i="1" s="1"/>
  <c r="AI42" i="1"/>
  <c r="U42" i="1"/>
  <c r="S42" i="1" s="1"/>
  <c r="AI46" i="1"/>
  <c r="U46" i="1"/>
  <c r="S46" i="1" s="1"/>
  <c r="W22" i="1"/>
  <c r="W15" i="1"/>
  <c r="W38" i="1"/>
  <c r="AI52" i="1"/>
  <c r="U52" i="1"/>
  <c r="S52" i="1" s="1"/>
  <c r="AI60" i="1"/>
  <c r="U60" i="1"/>
  <c r="S60" i="1" s="1"/>
  <c r="AI68" i="1"/>
  <c r="U68" i="1"/>
  <c r="S68" i="1" s="1"/>
  <c r="AI76" i="1"/>
  <c r="U76" i="1"/>
  <c r="S76" i="1" s="1"/>
  <c r="W52" i="1"/>
  <c r="W60" i="1"/>
  <c r="W64" i="1"/>
  <c r="W68" i="1"/>
  <c r="W76" i="1"/>
  <c r="AI124" i="1"/>
  <c r="U186" i="1"/>
  <c r="S186" i="1" s="1"/>
  <c r="U184" i="1"/>
  <c r="S184" i="1" s="1"/>
  <c r="AI122" i="1"/>
  <c r="W186" i="1"/>
  <c r="U160" i="1"/>
  <c r="S160" i="1" s="1"/>
  <c r="AI106" i="1"/>
  <c r="U169" i="1"/>
  <c r="S169" i="1" s="1"/>
  <c r="AI118" i="1"/>
  <c r="U180" i="1"/>
  <c r="S180" i="1" s="1"/>
  <c r="AI86" i="1"/>
  <c r="U86" i="1"/>
  <c r="W164" i="1"/>
  <c r="W177" i="1"/>
  <c r="U188" i="1"/>
  <c r="S188" i="1" s="1"/>
  <c r="AI126" i="1"/>
  <c r="U100" i="1"/>
  <c r="S100" i="1" s="1"/>
  <c r="AI134" i="1"/>
  <c r="U107" i="1"/>
  <c r="S107" i="1" s="1"/>
  <c r="AI142" i="1"/>
  <c r="U115" i="1"/>
  <c r="S115" i="1" s="1"/>
  <c r="AI150" i="1"/>
  <c r="W160" i="1"/>
  <c r="W173" i="1"/>
  <c r="U132" i="1"/>
  <c r="S132" i="1" s="1"/>
  <c r="AI165" i="1"/>
  <c r="U140" i="1"/>
  <c r="S140" i="1" s="1"/>
  <c r="AI172" i="1"/>
  <c r="U148" i="1"/>
  <c r="S148" i="1" s="1"/>
  <c r="AI180" i="1"/>
  <c r="U156" i="1"/>
  <c r="S156" i="1" s="1"/>
  <c r="AI188" i="1"/>
  <c r="U195" i="1"/>
  <c r="S195" i="1" s="1"/>
  <c r="AI196" i="1"/>
  <c r="U203" i="1"/>
  <c r="S203" i="1" s="1"/>
  <c r="AI204" i="1"/>
  <c r="W126" i="1"/>
  <c r="W148" i="1"/>
  <c r="W152" i="1"/>
  <c r="Y26" i="3"/>
  <c r="AD26" i="3"/>
  <c r="AC26" i="3"/>
  <c r="AD7" i="3" l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2" i="4"/>
  <c r="N24" i="3" l="1"/>
  <c r="N25" i="3"/>
  <c r="N19" i="3"/>
  <c r="N11" i="3"/>
  <c r="N8" i="3"/>
  <c r="N12" i="3"/>
  <c r="N15" i="3"/>
  <c r="N17" i="3"/>
  <c r="N23" i="3"/>
  <c r="N18" i="3"/>
  <c r="N9" i="3"/>
  <c r="N26" i="3"/>
  <c r="N7" i="3"/>
  <c r="N14" i="3"/>
  <c r="N22" i="3"/>
  <c r="N27" i="3"/>
  <c r="N13" i="3"/>
  <c r="N10" i="3"/>
  <c r="N16" i="3"/>
  <c r="N20" i="3"/>
  <c r="N21" i="3"/>
  <c r="L13" i="1"/>
  <c r="B5" i="6" l="1"/>
  <c r="H5" i="6" s="1"/>
  <c r="K5" i="6"/>
  <c r="B6" i="6"/>
  <c r="F6" i="6" s="1"/>
  <c r="K6" i="6"/>
  <c r="B7" i="6"/>
  <c r="G7" i="6" s="1"/>
  <c r="K7" i="6"/>
  <c r="B8" i="6"/>
  <c r="H8" i="6" s="1"/>
  <c r="K8" i="6"/>
  <c r="B9" i="6"/>
  <c r="H9" i="6" s="1"/>
  <c r="K9" i="6"/>
  <c r="F7" i="6" l="1"/>
  <c r="J8" i="6"/>
  <c r="I5" i="6"/>
  <c r="G9" i="6"/>
  <c r="J9" i="6"/>
  <c r="F9" i="6"/>
  <c r="I8" i="6"/>
  <c r="G5" i="6"/>
  <c r="G8" i="6"/>
  <c r="J7" i="6"/>
  <c r="J5" i="6"/>
  <c r="F5" i="6"/>
  <c r="I9" i="6"/>
  <c r="F8" i="6"/>
  <c r="I7" i="6"/>
  <c r="I6" i="6"/>
  <c r="H6" i="6"/>
  <c r="H7" i="6"/>
  <c r="G6" i="6"/>
  <c r="J6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U13" i="1"/>
  <c r="S13" i="1" s="1"/>
  <c r="B3" i="6" l="1"/>
  <c r="K3" i="6"/>
  <c r="B4" i="6"/>
  <c r="K4" i="6"/>
  <c r="I4" i="6" l="1"/>
  <c r="F3" i="6"/>
  <c r="J3" i="6"/>
  <c r="J4" i="6"/>
  <c r="F4" i="6"/>
  <c r="I3" i="6"/>
  <c r="M30" i="5" l="1"/>
  <c r="M29" i="5"/>
  <c r="M27" i="5"/>
  <c r="G3" i="6" l="1"/>
  <c r="F250" i="4"/>
  <c r="F251" i="4"/>
  <c r="G4" i="6" l="1"/>
  <c r="H3" i="6"/>
  <c r="H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V5" i="1" l="1"/>
  <c r="V8" i="1" s="1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52" i="4" l="1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<sst xmlns="http://schemas.openxmlformats.org/spreadsheetml/2006/main" count="2367" uniqueCount="867">
  <si>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</si>
  <si>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</si>
  <si>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</si>
  <si>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</si>
  <si>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</si>
  <si>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</si>
  <si>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</si>
  <si>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</si>
  <si>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</si>
  <si>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</si>
  <si>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</si>
  <si>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</si>
  <si>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</si>
  <si>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</si>
  <si>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</si>
  <si>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</si>
  <si>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</si>
  <si>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</si>
  <si>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</si>
  <si>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</si>
  <si>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</si>
  <si>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</si>
  <si>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</si>
  <si>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</si>
  <si>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</si>
  <si>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</si>
  <si>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</si>
  <si>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</si>
  <si>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</si>
  <si>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</si>
  <si>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</si>
  <si>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</si>
  <si>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</si>
  <si>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</si>
  <si>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</si>
  <si>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</si>
  <si>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</si>
  <si>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</si>
  <si>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</si>
  <si>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</si>
  <si>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</si>
  <si>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</si>
  <si>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</si>
  <si>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</si>
  <si>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</si>
  <si>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</si>
  <si>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</si>
  <si>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</si>
  <si>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</si>
  <si>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</si>
  <si>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</si>
  <si>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</si>
  <si>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</si>
  <si>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</si>
  <si>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</si>
  <si>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</si>
  <si>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</si>
  <si>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</si>
  <si>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</si>
  <si>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</si>
  <si>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</si>
  <si>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</si>
  <si>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</si>
  <si>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</si>
  <si>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</si>
  <si>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</si>
  <si>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</si>
  <si>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</si>
  <si>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</si>
  <si>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</si>
  <si>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</si>
  <si>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</si>
  <si>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</si>
  <si>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</si>
  <si>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</si>
  <si>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</si>
  <si>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</si>
  <si>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</si>
  <si>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</si>
  <si>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</si>
  <si>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</si>
  <si>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</si>
  <si>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</si>
  <si>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</si>
  <si>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</si>
  <si>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</si>
  <si>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</si>
  <si>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</si>
  <si>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</si>
  <si>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</si>
  <si>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</si>
  <si>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</si>
  <si>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</si>
  <si>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</si>
  <si>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</si>
  <si>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</si>
  <si>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</si>
  <si>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</si>
  <si>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</si>
  <si>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</si>
  <si>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</si>
  <si>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</si>
  <si>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</si>
  <si>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</si>
  <si>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</si>
  <si>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</si>
  <si>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</si>
  <si>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</si>
  <si>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</si>
  <si>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</si>
  <si>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</si>
  <si>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</si>
  <si>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</si>
  <si>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</si>
  <si>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</si>
  <si>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</si>
  <si>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</si>
  <si>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</si>
  <si>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</si>
  <si>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</si>
  <si>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</si>
  <si>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</si>
  <si>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</si>
  <si>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</si>
  <si>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</si>
  <si>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</si>
  <si>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</si>
  <si>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</si>
  <si>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</si>
  <si>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</si>
  <si>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</si>
  <si>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</si>
  <si>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</si>
  <si>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</si>
  <si>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</si>
  <si>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</si>
  <si>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</si>
  <si>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</si>
  <si>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</si>
  <si>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</si>
  <si>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</si>
  <si>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</si>
  <si>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</si>
  <si>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</si>
  <si>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</si>
  <si>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</si>
  <si>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</si>
  <si>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</si>
  <si>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</si>
  <si>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</si>
  <si>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</si>
  <si>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</si>
  <si>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</si>
  <si>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</si>
  <si>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</si>
  <si>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</si>
  <si>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</si>
  <si>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</si>
  <si>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</si>
  <si>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</si>
  <si>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</si>
  <si>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</si>
  <si>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</si>
  <si>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</si>
  <si>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</si>
  <si>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</si>
  <si>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</si>
  <si>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</si>
  <si>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</si>
  <si>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</si>
  <si>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</si>
  <si>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</si>
  <si>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</si>
  <si>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</si>
  <si>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</si>
  <si>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</si>
  <si>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</si>
  <si>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</si>
  <si>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</si>
  <si>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</si>
  <si>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</si>
  <si>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</si>
  <si>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</si>
  <si>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</si>
  <si>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</si>
  <si>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</si>
  <si>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</si>
  <si>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</si>
  <si>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</si>
  <si>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</si>
  <si>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</si>
  <si>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</si>
  <si>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</si>
  <si>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</si>
  <si>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</si>
  <si>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</si>
  <si>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</si>
  <si>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</si>
  <si>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</si>
  <si>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</si>
  <si>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</si>
  <si>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</si>
  <si>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</si>
  <si>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</si>
  <si>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</si>
  <si>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</si>
  <si>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</si>
  <si>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rtdc.l.rtdc.4011:itc</t>
  </si>
  <si>
    <t>DE.1.0.8.0</t>
  </si>
  <si>
    <t>rtdc.l.rtdc.4040:itc</t>
  </si>
  <si>
    <t>204:158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</si>
  <si>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</si>
  <si>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</si>
  <si>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</si>
  <si>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</si>
  <si>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</si>
  <si>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</si>
  <si>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</si>
  <si>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</si>
  <si>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</si>
  <si>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</si>
  <si>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</si>
  <si>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</si>
  <si>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</si>
  <si>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</si>
  <si>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</si>
  <si>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</si>
  <si>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</si>
  <si>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</si>
  <si>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</si>
  <si>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204:449</t>
  </si>
  <si>
    <t>204:141</t>
  </si>
  <si>
    <t>rtdc.l.rtdc.4014:itc</t>
  </si>
  <si>
    <t>rtdc.l.rtdc.4013:itc</t>
  </si>
  <si>
    <t>CLI Grep2 (for slice disagreement)</t>
  </si>
  <si>
    <t>204:232998</t>
  </si>
  <si>
    <t>Y</t>
  </si>
  <si>
    <t>204:147</t>
  </si>
  <si>
    <t>204:232993</t>
  </si>
  <si>
    <t>204:165</t>
  </si>
  <si>
    <t>204:455</t>
  </si>
  <si>
    <t>rtdc.l.rtdc.4031:itc</t>
  </si>
  <si>
    <t>204:442</t>
  </si>
  <si>
    <t>rtdc.l.rtdc.4046:itc</t>
  </si>
  <si>
    <t>204:161</t>
  </si>
  <si>
    <t>204:460</t>
  </si>
  <si>
    <t>204:233302</t>
  </si>
  <si>
    <t>204:457</t>
  </si>
  <si>
    <t>204:471</t>
  </si>
  <si>
    <t>rtdc.l.rtdc.4042:itc</t>
  </si>
  <si>
    <t>rtdc.l.rtdc.4041:itc</t>
  </si>
  <si>
    <t>DAVIDSON</t>
  </si>
  <si>
    <t>SAFIEF</t>
  </si>
  <si>
    <t>204:233307</t>
  </si>
  <si>
    <t>204:233308</t>
  </si>
  <si>
    <t>rtdc.l.rtdc.4003:itc</t>
  </si>
  <si>
    <t>rtdc.l.rtdc.4004:itc</t>
  </si>
  <si>
    <t>204:232989</t>
  </si>
  <si>
    <t>rtdc.l.rtdc.4010:itc</t>
  </si>
  <si>
    <t>204:232988</t>
  </si>
  <si>
    <t>204:145</t>
  </si>
  <si>
    <t>204:467</t>
  </si>
  <si>
    <t>204:233298</t>
  </si>
  <si>
    <t>rtdc.l.rtdc.4032:itc</t>
  </si>
  <si>
    <t>242-25</t>
  </si>
  <si>
    <t>CHANDLER</t>
  </si>
  <si>
    <t>LALONDE</t>
  </si>
  <si>
    <t>81-25</t>
  </si>
  <si>
    <t>80-25</t>
  </si>
  <si>
    <t>245-25</t>
  </si>
  <si>
    <t>309-25</t>
  </si>
  <si>
    <t>244-25</t>
  </si>
  <si>
    <t>311-25</t>
  </si>
  <si>
    <t>246-25</t>
  </si>
  <si>
    <t>313-25</t>
  </si>
  <si>
    <t>315-25</t>
  </si>
  <si>
    <t>204:233301</t>
  </si>
  <si>
    <t>partly-cloudy-night</t>
  </si>
  <si>
    <t>partly-cloudy-day</t>
  </si>
  <si>
    <t>204:160</t>
  </si>
  <si>
    <t>204:232982</t>
  </si>
  <si>
    <t>204:458</t>
  </si>
  <si>
    <t>rtdc.l.rtdc.4016:itc</t>
  </si>
  <si>
    <t>rtdc.l.rtdc.4001:itc</t>
  </si>
  <si>
    <t>LEVERE</t>
  </si>
  <si>
    <t>COOLAHAN</t>
  </si>
  <si>
    <t>204:163</t>
  </si>
  <si>
    <t>204:233289</t>
  </si>
  <si>
    <t>204:233297</t>
  </si>
  <si>
    <t>:.+((SYSTEM_STATE.+slice.+state.+changed )|(ment ac)|(multiple cpu faults)|(system.+state.+changed )|(\[timeout)|(PRM\|1\|D)|(kpr)|(kdp)|(\|lc)|(penalty))</t>
  </si>
  <si>
    <t>YANAI</t>
  </si>
  <si>
    <t>Partly Cloudy</t>
  </si>
  <si>
    <t>204:438</t>
  </si>
  <si>
    <t>204:233017</t>
  </si>
  <si>
    <t>300:58636</t>
  </si>
  <si>
    <t>204:971</t>
  </si>
  <si>
    <t>300:58623</t>
  </si>
  <si>
    <t>rtdc.l.rtdc.4030:itc</t>
  </si>
  <si>
    <t>GRADE CROSSING</t>
  </si>
  <si>
    <t>Bulletin (2)</t>
  </si>
  <si>
    <t>rtdc.l.rtdc.4029:itc</t>
  </si>
  <si>
    <t>rtdc.l.rtdc.4021:itc</t>
  </si>
  <si>
    <t>rtdc.l.rtdc.4043:itc</t>
  </si>
  <si>
    <t>204:233310</t>
  </si>
  <si>
    <t>204:233312</t>
  </si>
  <si>
    <t>204:232969</t>
  </si>
  <si>
    <t>204:169</t>
  </si>
  <si>
    <t>MAELZER</t>
  </si>
  <si>
    <t>MOSES</t>
  </si>
  <si>
    <t>204:232979</t>
  </si>
  <si>
    <t>204:446</t>
  </si>
  <si>
    <t>204:233299</t>
  </si>
  <si>
    <t>204:232987</t>
  </si>
  <si>
    <t>204:233006</t>
  </si>
  <si>
    <t>204:233015</t>
  </si>
  <si>
    <t>204:232991</t>
  </si>
  <si>
    <t>300:23346</t>
  </si>
  <si>
    <t>300:58638</t>
  </si>
  <si>
    <t>JOHN</t>
  </si>
  <si>
    <t>IAN</t>
  </si>
  <si>
    <t>KURT</t>
  </si>
  <si>
    <t>MICHAEL</t>
  </si>
  <si>
    <t>DAVID</t>
  </si>
  <si>
    <t>BRADLEY</t>
  </si>
  <si>
    <t>CRAIG</t>
  </si>
  <si>
    <t>SCOTT</t>
  </si>
  <si>
    <t>JAMES</t>
  </si>
  <si>
    <t>Last + First</t>
  </si>
  <si>
    <t>Employee First Name</t>
  </si>
  <si>
    <t>rtdc.l.rtdc.4017:itc</t>
  </si>
  <si>
    <t>242-01</t>
  </si>
  <si>
    <t>240-01</t>
  </si>
  <si>
    <t>ROBINSON</t>
  </si>
  <si>
    <t>KADDIBA</t>
  </si>
  <si>
    <t>STRICKLAND</t>
  </si>
  <si>
    <t>EVAN</t>
  </si>
  <si>
    <t>rtdc.l.rtdc.4028:itc</t>
  </si>
  <si>
    <t>rtdc.l.rtdc.4027:itc</t>
  </si>
  <si>
    <t>YORK</t>
  </si>
  <si>
    <t>EDGAR</t>
  </si>
  <si>
    <t>rtdc.l.rtdc.4019:itc</t>
  </si>
  <si>
    <t>DUSTIN</t>
  </si>
  <si>
    <t>SHOOK</t>
  </si>
  <si>
    <t>rtdc.l.rtdc.4020:itc</t>
  </si>
  <si>
    <t>rtdc.l.rtdc.4018:itc</t>
  </si>
  <si>
    <t>ARVIDSON</t>
  </si>
  <si>
    <t>DANIEL</t>
  </si>
  <si>
    <t>842-01</t>
  </si>
  <si>
    <t>226-01</t>
  </si>
  <si>
    <t>229-01</t>
  </si>
  <si>
    <t>845-01</t>
  </si>
  <si>
    <t>228-01</t>
  </si>
  <si>
    <t>231-01</t>
  </si>
  <si>
    <t>844-01</t>
  </si>
  <si>
    <t>230-01</t>
  </si>
  <si>
    <t>233-01</t>
  </si>
  <si>
    <t>847-01</t>
  </si>
  <si>
    <t>235-01</t>
  </si>
  <si>
    <t>232-01</t>
  </si>
  <si>
    <t>908-01</t>
  </si>
  <si>
    <t>237-01</t>
  </si>
  <si>
    <t>234-01</t>
  </si>
  <si>
    <t>236-01</t>
  </si>
  <si>
    <t>239-01</t>
  </si>
  <si>
    <t>238-01</t>
  </si>
  <si>
    <t>241-01</t>
  </si>
  <si>
    <t>243-01</t>
  </si>
  <si>
    <t>309-01</t>
  </si>
  <si>
    <t>311-01</t>
  </si>
  <si>
    <t>244-01</t>
  </si>
  <si>
    <t>313-01</t>
  </si>
  <si>
    <t>204:469</t>
  </si>
  <si>
    <t>204:233282</t>
  </si>
  <si>
    <t>204:167</t>
  </si>
  <si>
    <t>204:233000</t>
  </si>
  <si>
    <t>204:232978</t>
  </si>
  <si>
    <t>204:426</t>
  </si>
  <si>
    <t>204:233286</t>
  </si>
  <si>
    <t>204:232967</t>
  </si>
  <si>
    <t>204:127</t>
  </si>
  <si>
    <t>204:233355</t>
  </si>
  <si>
    <t>204:114</t>
  </si>
  <si>
    <t>300:58619</t>
  </si>
  <si>
    <t>300:58617</t>
  </si>
  <si>
    <t>300:58626</t>
  </si>
  <si>
    <t>204:974</t>
  </si>
  <si>
    <t>204:754</t>
  </si>
  <si>
    <t>300:58621</t>
  </si>
  <si>
    <t>300:58931</t>
  </si>
  <si>
    <t>204:663</t>
  </si>
  <si>
    <t>KELVIN</t>
  </si>
  <si>
    <t>ACKERMAN</t>
  </si>
  <si>
    <t>JARED</t>
  </si>
  <si>
    <t>KILLION</t>
  </si>
  <si>
    <t>CLARK</t>
  </si>
  <si>
    <t>KATHLEEN</t>
  </si>
  <si>
    <t>STEWART</t>
  </si>
  <si>
    <t>BARTLETT</t>
  </si>
  <si>
    <t>KIANDRA</t>
  </si>
  <si>
    <t>BRUDER</t>
  </si>
  <si>
    <t>RICHARD</t>
  </si>
  <si>
    <t>WHITED</t>
  </si>
  <si>
    <t>HAITHCOX</t>
  </si>
  <si>
    <t>NEWELL</t>
  </si>
  <si>
    <t>242-03</t>
  </si>
  <si>
    <t>245-03</t>
  </si>
  <si>
    <t>309-03</t>
  </si>
  <si>
    <t>244-03</t>
  </si>
  <si>
    <t>311-03</t>
  </si>
  <si>
    <t>246-03</t>
  </si>
  <si>
    <t>313-03</t>
  </si>
  <si>
    <t>315-03</t>
  </si>
  <si>
    <t>clear-night</t>
  </si>
  <si>
    <t>Clear</t>
  </si>
  <si>
    <t>204:453</t>
  </si>
  <si>
    <t>204:170</t>
  </si>
  <si>
    <t>204:444</t>
  </si>
  <si>
    <t>204:233315</t>
  </si>
  <si>
    <t>204:232986</t>
  </si>
  <si>
    <t>204:233291</t>
  </si>
  <si>
    <t>204:475</t>
  </si>
  <si>
    <t>204:233293</t>
  </si>
  <si>
    <t>204:232985</t>
  </si>
  <si>
    <t>204:440</t>
  </si>
  <si>
    <t>204:233295</t>
  </si>
  <si>
    <t>204:233272</t>
  </si>
  <si>
    <t>204:233363</t>
  </si>
  <si>
    <t>204:136</t>
  </si>
  <si>
    <t>204:233357</t>
  </si>
  <si>
    <t>204:738</t>
  </si>
  <si>
    <t>204:747</t>
  </si>
  <si>
    <t>204:689</t>
  </si>
  <si>
    <t>204:233326</t>
  </si>
  <si>
    <t>204:480</t>
  </si>
  <si>
    <t>204:134</t>
  </si>
  <si>
    <t>204:130</t>
  </si>
  <si>
    <t>300:23302</t>
  </si>
  <si>
    <t>204:744</t>
  </si>
  <si>
    <t>300:23299</t>
  </si>
  <si>
    <t>304-04</t>
  </si>
  <si>
    <t>306-04</t>
  </si>
  <si>
    <t>1901-04</t>
  </si>
  <si>
    <t>118-04</t>
  </si>
  <si>
    <t>1804-04</t>
  </si>
  <si>
    <t>1805-04</t>
  </si>
  <si>
    <t>139-04</t>
  </si>
  <si>
    <t>143-04</t>
  </si>
  <si>
    <t>1808-04</t>
  </si>
  <si>
    <t>138-04</t>
  </si>
  <si>
    <t>147-04</t>
  </si>
  <si>
    <t>150-04</t>
  </si>
  <si>
    <t>157-04</t>
  </si>
  <si>
    <t>166-04</t>
  </si>
  <si>
    <t>176-04</t>
  </si>
  <si>
    <t>198-04</t>
  </si>
  <si>
    <t>1824-04</t>
  </si>
  <si>
    <t>212-04</t>
  </si>
  <si>
    <t>235-04</t>
  </si>
  <si>
    <t>302-04</t>
  </si>
  <si>
    <t>101-04</t>
  </si>
  <si>
    <t>103-04</t>
  </si>
  <si>
    <t>308-04</t>
  </si>
  <si>
    <t>102-04</t>
  </si>
  <si>
    <t>105-04</t>
  </si>
  <si>
    <t>310-04</t>
  </si>
  <si>
    <t>107-04</t>
  </si>
  <si>
    <t>104-04</t>
  </si>
  <si>
    <t>109-04</t>
  </si>
  <si>
    <t>111-04</t>
  </si>
  <si>
    <t>113-04</t>
  </si>
  <si>
    <t>106-04</t>
  </si>
  <si>
    <t>STARKS</t>
  </si>
  <si>
    <t>ANGELINA</t>
  </si>
  <si>
    <t>108-04</t>
  </si>
  <si>
    <t>115-04</t>
  </si>
  <si>
    <t>110-04</t>
  </si>
  <si>
    <t>117-04</t>
  </si>
  <si>
    <t>1800-04</t>
  </si>
  <si>
    <t>112-04</t>
  </si>
  <si>
    <t>119-04</t>
  </si>
  <si>
    <t>114-04</t>
  </si>
  <si>
    <t>116-04</t>
  </si>
  <si>
    <t>121-04</t>
  </si>
  <si>
    <t>1801-04</t>
  </si>
  <si>
    <t>123-04</t>
  </si>
  <si>
    <t>1802-04</t>
  </si>
  <si>
    <t>125-04</t>
  </si>
  <si>
    <t>120-04</t>
  </si>
  <si>
    <t>127-04</t>
  </si>
  <si>
    <t>129-04</t>
  </si>
  <si>
    <t>122-04</t>
  </si>
  <si>
    <t>124-04</t>
  </si>
  <si>
    <t>1803-04</t>
  </si>
  <si>
    <t>131-04</t>
  </si>
  <si>
    <t>126-04</t>
  </si>
  <si>
    <t>133-04</t>
  </si>
  <si>
    <t>128-04</t>
  </si>
  <si>
    <t>130-04</t>
  </si>
  <si>
    <t>135-04</t>
  </si>
  <si>
    <t>137-04</t>
  </si>
  <si>
    <t>132-04</t>
  </si>
  <si>
    <t>134-04</t>
  </si>
  <si>
    <t>141-04</t>
  </si>
  <si>
    <t>1806-04</t>
  </si>
  <si>
    <t>136-04</t>
  </si>
  <si>
    <t>145-04</t>
  </si>
  <si>
    <t>1807-04</t>
  </si>
  <si>
    <t>140-04</t>
  </si>
  <si>
    <t>142-04</t>
  </si>
  <si>
    <t>149-04</t>
  </si>
  <si>
    <t>151-04</t>
  </si>
  <si>
    <t>144-04</t>
  </si>
  <si>
    <t>146-04</t>
  </si>
  <si>
    <t>153-04</t>
  </si>
  <si>
    <t>1809-04</t>
  </si>
  <si>
    <t>148-04</t>
  </si>
  <si>
    <t>155-04</t>
  </si>
  <si>
    <t>1810-04</t>
  </si>
  <si>
    <t>152-04</t>
  </si>
  <si>
    <t>159-04</t>
  </si>
  <si>
    <t>154-04</t>
  </si>
  <si>
    <t>161-04</t>
  </si>
  <si>
    <t>1811-04</t>
  </si>
  <si>
    <t>156-04</t>
  </si>
  <si>
    <t>158-04</t>
  </si>
  <si>
    <t>163-04</t>
  </si>
  <si>
    <t>1812-04</t>
  </si>
  <si>
    <t>165-04</t>
  </si>
  <si>
    <t>160-04</t>
  </si>
  <si>
    <t>167-04</t>
  </si>
  <si>
    <t>YOUNG</t>
  </si>
  <si>
    <t>ELIZABETH</t>
  </si>
  <si>
    <t>162-04</t>
  </si>
  <si>
    <t>169-04</t>
  </si>
  <si>
    <t>1813-04</t>
  </si>
  <si>
    <t>164-04</t>
  </si>
  <si>
    <t>171-04</t>
  </si>
  <si>
    <t>1814-04</t>
  </si>
  <si>
    <t>173-04</t>
  </si>
  <si>
    <t>168-04</t>
  </si>
  <si>
    <t>175-04</t>
  </si>
  <si>
    <t>177-04</t>
  </si>
  <si>
    <t>170-04</t>
  </si>
  <si>
    <t>50-04</t>
  </si>
  <si>
    <t>1815-04</t>
  </si>
  <si>
    <t>172-04</t>
  </si>
  <si>
    <t>179-04</t>
  </si>
  <si>
    <t>174-04</t>
  </si>
  <si>
    <t>1816-04</t>
  </si>
  <si>
    <t>181-04</t>
  </si>
  <si>
    <t>183-04</t>
  </si>
  <si>
    <t>52-04</t>
  </si>
  <si>
    <t>NATION</t>
  </si>
  <si>
    <t>TRACI</t>
  </si>
  <si>
    <t>1817-04</t>
  </si>
  <si>
    <t>LOPES</t>
  </si>
  <si>
    <t>KIMBERLY</t>
  </si>
  <si>
    <t>178-04</t>
  </si>
  <si>
    <t>185-04</t>
  </si>
  <si>
    <t>187-04</t>
  </si>
  <si>
    <t>180-04</t>
  </si>
  <si>
    <t>182-04</t>
  </si>
  <si>
    <t>1818-04</t>
  </si>
  <si>
    <t>189-04</t>
  </si>
  <si>
    <t>184-04</t>
  </si>
  <si>
    <t>191-04</t>
  </si>
  <si>
    <t>ROMERO</t>
  </si>
  <si>
    <t>CHAD</t>
  </si>
  <si>
    <t>1819-04</t>
  </si>
  <si>
    <t>186-04</t>
  </si>
  <si>
    <t>193-04</t>
  </si>
  <si>
    <t>188-04</t>
  </si>
  <si>
    <t>195-04</t>
  </si>
  <si>
    <t>190-04</t>
  </si>
  <si>
    <t>1820-04</t>
  </si>
  <si>
    <t>197-04</t>
  </si>
  <si>
    <t>SMITH</t>
  </si>
  <si>
    <t>192-04</t>
  </si>
  <si>
    <t>199-04</t>
  </si>
  <si>
    <t>194-04</t>
  </si>
  <si>
    <t>201-04</t>
  </si>
  <si>
    <t>1821-04</t>
  </si>
  <si>
    <t>BERLING</t>
  </si>
  <si>
    <t>GARY</t>
  </si>
  <si>
    <t>196-04</t>
  </si>
  <si>
    <t>203-04</t>
  </si>
  <si>
    <t>1822-04</t>
  </si>
  <si>
    <t>205-04</t>
  </si>
  <si>
    <t>200-04</t>
  </si>
  <si>
    <t>207-04</t>
  </si>
  <si>
    <t>202-04</t>
  </si>
  <si>
    <t>204-04</t>
  </si>
  <si>
    <t>209-04</t>
  </si>
  <si>
    <t>1823-04</t>
  </si>
  <si>
    <t>211-04</t>
  </si>
  <si>
    <t>55-04</t>
  </si>
  <si>
    <t>rtdc.l.rtdc.4054:itc</t>
  </si>
  <si>
    <t>60-04</t>
  </si>
  <si>
    <t>206-04</t>
  </si>
  <si>
    <t>213-04</t>
  </si>
  <si>
    <t>208-04</t>
  </si>
  <si>
    <t>215-04</t>
  </si>
  <si>
    <t>74-04</t>
  </si>
  <si>
    <t>MACDONALD</t>
  </si>
  <si>
    <t>THOMAS</t>
  </si>
  <si>
    <t>210-04</t>
  </si>
  <si>
    <t>217-04</t>
  </si>
  <si>
    <t>1825-04</t>
  </si>
  <si>
    <t>rtdc.l.rtdc.4053:itc</t>
  </si>
  <si>
    <t>61-04</t>
  </si>
  <si>
    <t>219-04</t>
  </si>
  <si>
    <t>214-04</t>
  </si>
  <si>
    <t>1826-04</t>
  </si>
  <si>
    <t>303-04</t>
  </si>
  <si>
    <t>216-04</t>
  </si>
  <si>
    <t>221-04</t>
  </si>
  <si>
    <t>218-04</t>
  </si>
  <si>
    <t>1827-04</t>
  </si>
  <si>
    <t>305-04</t>
  </si>
  <si>
    <t>220-04</t>
  </si>
  <si>
    <t>223-04</t>
  </si>
  <si>
    <t>1828-04</t>
  </si>
  <si>
    <t>307-04</t>
  </si>
  <si>
    <t>222-04</t>
  </si>
  <si>
    <t>225-04</t>
  </si>
  <si>
    <t>1829-04</t>
  </si>
  <si>
    <t>224-04</t>
  </si>
  <si>
    <t>227-04</t>
  </si>
  <si>
    <t>1830-04</t>
  </si>
  <si>
    <t>229-04</t>
  </si>
  <si>
    <t>226-04</t>
  </si>
  <si>
    <t>1831-04</t>
  </si>
  <si>
    <t>228-04</t>
  </si>
  <si>
    <t>231-04</t>
  </si>
  <si>
    <t>1832-04</t>
  </si>
  <si>
    <t>233-04</t>
  </si>
  <si>
    <t>230-04</t>
  </si>
  <si>
    <t>53-04</t>
  </si>
  <si>
    <t>232-04</t>
  </si>
  <si>
    <t>1902-04</t>
  </si>
  <si>
    <t>234-04</t>
  </si>
  <si>
    <t>237-04</t>
  </si>
  <si>
    <t>236-04</t>
  </si>
  <si>
    <t>239-04</t>
  </si>
  <si>
    <t>241-04</t>
  </si>
  <si>
    <t>238-04</t>
  </si>
  <si>
    <t>240-04</t>
  </si>
  <si>
    <t>243-04</t>
  </si>
  <si>
    <t>309-04</t>
  </si>
  <si>
    <t>242-04</t>
  </si>
  <si>
    <t>311-04</t>
  </si>
  <si>
    <t>244-04</t>
  </si>
  <si>
    <t>313-04</t>
  </si>
  <si>
    <t>315-04</t>
  </si>
  <si>
    <t>204:768</t>
  </si>
  <si>
    <t>204:232694</t>
  </si>
  <si>
    <t>204:152</t>
  </si>
  <si>
    <t>204:735</t>
  </si>
  <si>
    <t>204:232679</t>
  </si>
  <si>
    <t>204:755</t>
  </si>
  <si>
    <t>204:232664</t>
  </si>
  <si>
    <t>204:482</t>
  </si>
  <si>
    <t>204:233304</t>
  </si>
  <si>
    <t>204:232973</t>
  </si>
  <si>
    <t>204:139</t>
  </si>
  <si>
    <t>204:783</t>
  </si>
  <si>
    <t>204:232983</t>
  </si>
  <si>
    <t>204:724</t>
  </si>
  <si>
    <t>204:233285</t>
  </si>
  <si>
    <t>204:232968</t>
  </si>
  <si>
    <t>204:431</t>
  </si>
  <si>
    <t>204:233278</t>
  </si>
  <si>
    <t>204:232955</t>
  </si>
  <si>
    <t>204:748</t>
  </si>
  <si>
    <t>204:464</t>
  </si>
  <si>
    <t>204:232984</t>
  </si>
  <si>
    <t>204:233342</t>
  </si>
  <si>
    <t>204:232980</t>
  </si>
  <si>
    <t>204:233217</t>
  </si>
  <si>
    <t>204:232913</t>
  </si>
  <si>
    <t>204:232981</t>
  </si>
  <si>
    <t>204:233317</t>
  </si>
  <si>
    <t>204:233004</t>
  </si>
  <si>
    <t>204:228370</t>
  </si>
  <si>
    <t>204:233300</t>
  </si>
  <si>
    <t>204:233337</t>
  </si>
  <si>
    <t>204:233321</t>
  </si>
  <si>
    <t>204:233322</t>
  </si>
  <si>
    <t>204:232990</t>
  </si>
  <si>
    <t>204:233042</t>
  </si>
  <si>
    <t>204:19125</t>
  </si>
  <si>
    <t>204:473</t>
  </si>
  <si>
    <t>204:1220</t>
  </si>
  <si>
    <t>204:233359</t>
  </si>
  <si>
    <t>204:233062</t>
  </si>
  <si>
    <t>204:233008</t>
  </si>
  <si>
    <t>204:801</t>
  </si>
  <si>
    <t>204:1083</t>
  </si>
  <si>
    <t>300:58969</t>
  </si>
  <si>
    <t>300:58500</t>
  </si>
  <si>
    <t>204:818</t>
  </si>
  <si>
    <t>204:1095</t>
  </si>
  <si>
    <t>300:58943</t>
  </si>
  <si>
    <t>204:797</t>
  </si>
  <si>
    <t>204:1070</t>
  </si>
  <si>
    <t>300:58946</t>
  </si>
  <si>
    <t>204:794</t>
  </si>
  <si>
    <t>204:1081</t>
  </si>
  <si>
    <t>300:58958</t>
  </si>
  <si>
    <t>300:57345</t>
  </si>
  <si>
    <t>204:785</t>
  </si>
  <si>
    <t>204:1072</t>
  </si>
  <si>
    <t>300:58961</t>
  </si>
  <si>
    <t>204:1109</t>
  </si>
  <si>
    <t>300:58655</t>
  </si>
  <si>
    <t>204:789</t>
  </si>
  <si>
    <t>204:1074</t>
  </si>
  <si>
    <t>300:58481</t>
  </si>
  <si>
    <t>204:790</t>
  </si>
  <si>
    <t>204:1077</t>
  </si>
  <si>
    <t>300:58649</t>
  </si>
  <si>
    <t>204:782</t>
  </si>
  <si>
    <t>204:1063</t>
  </si>
  <si>
    <t>300:58944</t>
  </si>
  <si>
    <t>300:58624</t>
  </si>
  <si>
    <t>300:57324</t>
  </si>
  <si>
    <t>204:1037</t>
  </si>
  <si>
    <t>204:176</t>
  </si>
  <si>
    <t>204:1039</t>
  </si>
  <si>
    <t>300:58939</t>
  </si>
  <si>
    <t>204:675</t>
  </si>
  <si>
    <t>204:955</t>
  </si>
  <si>
    <t>204:1042</t>
  </si>
  <si>
    <t>204:680</t>
  </si>
  <si>
    <t>300:58950</t>
  </si>
  <si>
    <t>204:936</t>
  </si>
  <si>
    <t>300:58941</t>
  </si>
  <si>
    <t>204:429</t>
  </si>
  <si>
    <t>300:58628</t>
  </si>
  <si>
    <t>204:673</t>
  </si>
  <si>
    <t>204:233410</t>
  </si>
  <si>
    <t>204:233055</t>
  </si>
  <si>
    <t>204:477</t>
  </si>
  <si>
    <t>204:233347</t>
  </si>
  <si>
    <t>204:233316</t>
  </si>
  <si>
    <t>300:29483</t>
  </si>
  <si>
    <t>300:33106</t>
  </si>
  <si>
    <t>204:232994</t>
  </si>
  <si>
    <t>204:233305</t>
  </si>
  <si>
    <t>204:19126</t>
  </si>
  <si>
    <t>204:509</t>
  </si>
  <si>
    <t>204:233284</t>
  </si>
  <si>
    <t>204:178</t>
  </si>
  <si>
    <t>204:233040</t>
  </si>
  <si>
    <t>204:233266</t>
  </si>
  <si>
    <t>204:232965</t>
  </si>
  <si>
    <t>204:233280</t>
  </si>
  <si>
    <t>204:99</t>
  </si>
  <si>
    <t>204:240</t>
  </si>
  <si>
    <t>204:233353</t>
  </si>
  <si>
    <t>204:233021</t>
  </si>
  <si>
    <t>204:233045</t>
  </si>
  <si>
    <t>204:162</t>
  </si>
  <si>
    <t>204:232972</t>
  </si>
  <si>
    <t>204:233064</t>
  </si>
  <si>
    <t>204:85</t>
  </si>
  <si>
    <t>204:64702</t>
  </si>
  <si>
    <t>204:233281</t>
  </si>
  <si>
    <t>204:402</t>
  </si>
  <si>
    <t>204:233338</t>
  </si>
  <si>
    <t>204:127861</t>
  </si>
  <si>
    <t>300:23196</t>
  </si>
  <si>
    <t>204:394</t>
  </si>
  <si>
    <t>300:23306</t>
  </si>
  <si>
    <t>300:22340</t>
  </si>
  <si>
    <t>204:546</t>
  </si>
  <si>
    <t>300:22856</t>
  </si>
  <si>
    <t>300:21024</t>
  </si>
  <si>
    <t>300:23555</t>
  </si>
  <si>
    <t>300:22829</t>
  </si>
  <si>
    <t>300:23351</t>
  </si>
  <si>
    <t>300:23304</t>
  </si>
  <si>
    <t>300:22843</t>
  </si>
  <si>
    <t>204:1473</t>
  </si>
  <si>
    <t>300:23083</t>
  </si>
  <si>
    <t>300:23680</t>
  </si>
  <si>
    <t>204:902</t>
  </si>
  <si>
    <t>300:24241</t>
  </si>
  <si>
    <t>aws s3 cp s3://rtdc.mdm.uploadarchive.raw/RTDC4038/ "%USERPROFILE%\AppData\Local\Temp\OnboardLogs"\RTDC4038\2016-12-04 --exclude "*" --recursive --include "*20161204*" &amp; "%USERPROFILE%\Documents\GitHub\mrs-test-scripts\Headless Mode &amp; Sideloading\WalkAndUnGZ.bat" "%USERPROFILE%\AppData\Local\Temp\OnboardLogs"\RTDC4038\2016-12-04 &amp; 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</t>
  </si>
  <si>
    <t>aws s3 cp s3://rtdc.mdm.uploadarchive.raw/RTDC4003/ "%USERPROFILE%\AppData\Local\Temp\OnboardLogs"\RTDC4003\2016-12-04 --exclude "*" --recursive --include "*20161204*" &amp; "%USERPROFILE%\Documents\GitHub\mrs-test-scripts\Headless Mode &amp; Sideloading\WalkAndUnGZ.bat" "%USERPROFILE%\AppData\Local\Temp\OnboardLogs"\RTDC4003\2016-12-04 &amp; aws s3 cp s3://rtdc.mdm.uploadarchive.raw/RTDC4003/ "%USERPROFILE%\AppData\Local\Temp\OnboardLogs"\RTDC4003\2016-12-05 --exclude "*" --recursive --include "*20161205*" &amp; "%USERPROFILE%\Documents\GitHub\mrs-test-scripts\Headless Mode &amp; Sideloading\WalkAndUnGZ.bat" "%USERPROFILE%\AppData\Local\Temp\OnboardLogs"\RTDC4003\2016-12-05</t>
  </si>
  <si>
    <t>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 &amp; aws s3 cp s3://rtdc.mdm.uploadarchive.raw/RTDC4027/ "%USERPROFILE%\AppData\Local\Temp\OnboardLogs"\RTDC4027\2016-12-05 --exclude "*" --recursive --include "*20161205*" &amp; "%USERPROFILE%\Documents\GitHub\mrs-test-scripts\Headless Mode &amp; Sideloading\WalkAndUnGZ.bat" "%USERPROFILE%\AppData\Local\Temp\OnboardLogs"\RTDC4027\2016-12-05</t>
  </si>
  <si>
    <t>aws s3 cp s3://rtdc.mdm.uploadarchive.raw/RTDC4030/ "%USERPROFILE%\AppData\Local\Temp\OnboardLogs"\RTDC4030\2016-12-05 --exclude "*" --recursive --include "*20161205*" &amp; "%USERPROFILE%\Documents\GitHub\mrs-test-scripts\Headless Mode &amp; Sideloading\WalkAndUnGZ.bat" "%USERPROFILE%\AppData\Local\Temp\OnboardLogs"\RTDC4030\2016-12-05 &amp; 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</t>
  </si>
  <si>
    <t>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 &amp; 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</t>
  </si>
  <si>
    <t>aws s3 cp s3://rtdc.mdm.uploadarchive.raw/RTDC4041/ "%USERPROFILE%\AppData\Local\Temp\OnboardLogs"\RTDC4041\2016-12-04 --exclude "*" --recursive --include "*20161204*" &amp; "%USERPROFILE%\Documents\GitHub\mrs-test-scripts\Headless Mode &amp; Sideloading\WalkAndUnGZ.bat" "%USERPROFILE%\AppData\Local\Temp\OnboardLogs"\RTDC4041\2016-12-04 &amp; aws s3 cp s3://rtdc.mdm.uploadarchive.raw/RTDC4041/ "%USERPROFILE%\AppData\Local\Temp\OnboardLogs"\RTDC4041\2016-12-05 --exclude "*" --recursive --include "*20161205*" &amp; "%USERPROFILE%\Documents\GitHub\mrs-test-scripts\Headless Mode &amp; Sideloading\WalkAndUnGZ.bat" "%USERPROFILE%\AppData\Local\Temp\OnboardLogs"\RTDC4041\2016-12-05</t>
  </si>
  <si>
    <t>aws s3 cp s3://rtdc.mdm.uploadarchive.raw/RTDC4031/ "%USERPROFILE%\AppData\Local\Temp\OnboardLogs"\RTDC4031\2016-12-04 --exclude "*" --recursive --include "*20161204*" &amp; "%USERPROFILE%\Documents\GitHub\mrs-test-scripts\Headless Mode &amp; Sideloading\WalkAndUnGZ.bat" "%USERPROFILE%\AppData\Local\Temp\OnboardLogs"\RTDC4031\2016-12-04 &amp; aws s3 cp s3://rtdc.mdm.uploadarchive.raw/RTDC4031/ "%USERPROFILE%\AppData\Local\Temp\OnboardLogs"\RTDC4031\2016-12-05 --exclude "*" --recursive --include "*20161205*" &amp; "%USERPROFILE%\Documents\GitHub\mrs-test-scripts\Headless Mode &amp; Sideloading\WalkAndUnGZ.bat" "%USERPROFILE%\AppData\Local\Temp\OnboardLogs"\RTDC4031\2016-12-05</t>
  </si>
  <si>
    <t>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 &amp; aws s3 cp s3://rtdc.mdm.uploadarchive.raw/RTDC4029/ "%USERPROFILE%\AppData\Local\Temp\OnboardLogs"\RTDC4029\2016-12-05 --exclude "*" --recursive --include "*20161205*" &amp; "%USERPROFILE%\Documents\GitHub\mrs-test-scripts\Headless Mode &amp; Sideloading\WalkAndUnGZ.bat" "%USERPROFILE%\AppData\Local\Temp\OnboardLogs"\RTDC4029\2016-12-05</t>
  </si>
  <si>
    <t>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 &amp; aws s3 cp s3://rtdc.mdm.uploadarchive.raw/RTDC4030/ "%USERPROFILE%\AppData\Local\Temp\OnboardLogs"\RTDC4030\2016-12-05 --exclude "*" --recursive --include "*20161205*" &amp; "%USERPROFILE%\Documents\GitHub\mrs-test-scripts\Headless Mode &amp; Sideloading\WalkAndUnGZ.bat" "%USERPROFILE%\AppData\Local\Temp\OnboardLogs"\RTDC4030\2016-12-05</t>
  </si>
  <si>
    <t>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 &amp; aws s3 cp s3://rtdc.mdm.uploadarchive.raw/RTDC4028/ "%USERPROFILE%\AppData\Local\Temp\OnboardLogs"\RTDC4028\2016-12-05 --exclude "*" --recursive --include "*20161205*" &amp; "%USERPROFILE%\Documents\GitHub\mrs-test-scripts\Headless Mode &amp; Sideloading\WalkAndUnGZ.bat" "%USERPROFILE%\AppData\Local\Temp\OnboardLogs"\RTDC4028\2016-12-05</t>
  </si>
  <si>
    <t>aws s3 cp s3://rtdc.mdm.uploadarchive.raw/RTDC4019/ "%USERPROFILE%\AppData\Local\Temp\OnboardLogs"\RTDC4019\2016-12-04 --exclude "*" --recursive --include "*20161204*" &amp; "%USERPROFILE%\Documents\GitHub\mrs-test-scripts\Headless Mode &amp; Sideloading\WalkAndUnGZ.bat" "%USERPROFILE%\AppData\Local\Temp\OnboardLogs"\RTDC4019\2016-12-04 &amp; aws s3 cp s3://rtdc.mdm.uploadarchive.raw/RTDC4019/ "%USERPROFILE%\AppData\Local\Temp\OnboardLogs"\RTDC4019\2016-12-05 --exclude "*" --recursive --include "*20161205*" &amp; "%USERPROFILE%\Documents\GitHub\mrs-test-scripts\Headless Mode &amp; Sideloading\WalkAndUnGZ.bat" "%USERPROFILE%\AppData\Local\Temp\OnboardLogs"\RTDC4019\2016-12-05</t>
  </si>
  <si>
    <t>aws s3 cp s3://rtdc.mdm.uploadarchive.raw/RTDC4037/ "%USERPROFILE%\AppData\Local\Temp\OnboardLogs"\RTDC4037\2016-12-04 --exclude "*" --recursive --include "*20161204*" &amp; "%USERPROFILE%\Documents\GitHub\mrs-test-scripts\Headless Mode &amp; Sideloading\WalkAndUnGZ.bat" "%USERPROFILE%\AppData\Local\Temp\OnboardLogs"\RTDC4037\2016-12-04 &amp; 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</t>
  </si>
  <si>
    <t>aws s3 cp s3://rtdc.mdm.uploadarchive.raw/RTDC4044/ "%USERPROFILE%\AppData\Local\Temp\OnboardLogs"\RTDC4044\2016-12-04 --exclude "*" --recursive --include "*20161204*" &amp; "%USERPROFILE%\Documents\GitHub\mrs-test-scripts\Headless Mode &amp; Sideloading\WalkAndUnGZ.bat" "%USERPROFILE%\AppData\Local\Temp\OnboardLogs"\RTDC4044\2016-12-04 &amp; 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</t>
  </si>
  <si>
    <t>aws s3 cp s3://rtdc.mdm.uploadarchive.raw/RTDC4021/ "%USERPROFILE%\AppData\Local\Temp\OnboardLogs"\RTDC4021\1969-12-31 --exclude "*" --recursive --include "*19691231*" &amp; "%USERPROFILE%\Documents\GitHub\mrs-test-scripts\Headless Mode &amp; Sideloading\WalkAndUnGZ.bat" "%USERPROFILE%\AppData\Local\Temp\OnboardLogs"\RTDC4021\1969-12-31 &amp; aws s3 cp s3://rtdc.mdm.uploadarchive.raw/RTDC4021/ "%USERPROFILE%\AppData\Local\Temp\OnboardLogs"\RTDC4021\1970-01-01 --exclude "*" --recursive --include "*19700101*" &amp; "%USERPROFILE%\Documents\GitHub\mrs-test-scripts\Headless Mode &amp; Sideloading\WalkAndUnGZ.bat" "%USERPROFILE%\AppData\Local\Temp\OnboardLogs"\RTDC4021\1970-01-01</t>
  </si>
  <si>
    <t>Onboard in-route failure</t>
  </si>
  <si>
    <t>DUS 2N/20N STOP</t>
  </si>
  <si>
    <t>DUS 4N/22N STOP</t>
  </si>
  <si>
    <t>Pena 4S STOP</t>
  </si>
  <si>
    <t>40th 4S STOP</t>
  </si>
  <si>
    <t>Early arrival (41st)</t>
  </si>
  <si>
    <t>Overspeed</t>
  </si>
  <si>
    <t>Wi-MAX data drop</t>
  </si>
  <si>
    <t>Chambers 2N STOP</t>
  </si>
  <si>
    <t>Premature downgrade at EC1752RH 167-1T 1N</t>
  </si>
  <si>
    <t>At 09:27:58, EC1752RH 167-1T 1N dropped from 270 to STOP &amp; PROCEED. Anything odd in the logs around this time?</t>
  </si>
  <si>
    <t>RESTRICTED aspect</t>
  </si>
  <si>
    <t>Went active too close to signal</t>
  </si>
  <si>
    <t>SYS :2016/12/04 10:32:32.115:ENFORCEMENT:Predictive Enforcement Action:  Target Number: 00001002  Target Speed:   0.0  Current Speed:   3.4</t>
  </si>
  <si>
    <t>SYS :2016/12/04 10:32:32.498:ENFORCEMENT:Predictive Enforcement Action:  Target Number: 00001002  Target Speed:   0.0  Current Speed:   3.4</t>
  </si>
  <si>
    <t>SYS :2016/12/04 10:32:32.920:ENFORCEMENT:Predictive Enforcement Action:  Target Number: 00001002  Target Speed:   0.0  Current Speed:   3.4</t>
  </si>
  <si>
    <t>SYS :2016/12/04 12:33:13.583:ENFORCEMENT:Predictive Enforcement Action:  Target Number: 0000600D  Target Speed:   0.0  Current Speed:   8.8</t>
  </si>
  <si>
    <t>SYS :2016/12/04 12:33:13.878:ENFORCEMENT:Predictive Enforcement Action:  Target Number: 0000600D  Target Speed:   0.0  Current Speed:   8.8</t>
  </si>
  <si>
    <t>SYS :2016/12/04 12:33:14.165:ENFORCEMENT:Predictive Enforcement Action:  Target Number: 0000600D  Target Speed:   0.0  Current Speed:   8.8</t>
  </si>
  <si>
    <t>SYS :2016/12/04 12:33:51.595:ENFORCEMENT:Predictive Enforcement Action:  Target Number: 0000600D  Target Speed:   0.0  Current Speed:   3.7</t>
  </si>
  <si>
    <t>SYS :2016/12/04 12:33:51.888:ENFORCEMENT:Predictive Enforcement Action:  Target Number: 0000600D  Target Speed:   0.0  Current Speed:   3.7</t>
  </si>
  <si>
    <t>SYS :2016/12/04 12:33:52.175:ENFORCEMENT:Predictive Enforcement Action:  Target Number: 0000600D  Target Speed:   0.0  Current Speed:   3.7</t>
  </si>
  <si>
    <t>SYS :2016/12/04 14:19:11.060:ENFORCEMENT:Predictive Enforcement Action:  Target Number: 00001004  Target Speed:   0.0  Current Speed:   5.0</t>
  </si>
  <si>
    <t>SYS :2016/12/04 14:19:11.497:ENFORCEMENT:Predictive Enforcement Action:  Target Number: 00001007  Target Speed:   0.0  Current Speed:   5.0</t>
  </si>
  <si>
    <t>SYS :2016/12/04 14:47:12.487:ENFORCEMENT:Predictive Enforcement Action:  Target Number: 00006026  Target Speed:   0.0  Current Speed:  21.2</t>
  </si>
  <si>
    <t>SYS :2016/12/04 14:47:13.134:ENFORCEMENT:Predictive Enforcement Action:  Target Number: 00006013  Target Speed:   0.0  Current Speed:  21.2</t>
  </si>
  <si>
    <t>SYS :2016/12/04 14:47:13.181:ENFORCEMENT:Predictive Enforcement Action:  Target Number: 0000629C  Target Speed:   0.0  Current Speed:  21.2</t>
  </si>
  <si>
    <t>SYS :2016/12/04 15:28:15.610:ENFORCEMENT:Predictive Enforcement Action:  Target Number: 00010060  Target Speed:  30.0  Current Speed:  38.9</t>
  </si>
  <si>
    <t>SYS :2016/12/04 15:28:15.904:ENFORCEMENT:Predictive Enforcement Action:  Target Number: 00010060  Target Speed:  30.0  Current Speed:  38.9</t>
  </si>
  <si>
    <t>SYS :2016/12/04 15:28:16.188:ENFORCEMENT:Predictive Enforcement Action:  Target Number: 00010060  Target Speed:  30.0  Current Speed:  38.9</t>
  </si>
  <si>
    <t>SYS :2016/12/04 15:34:12.587:ENFORCEMENT:Predictive Enforcement Action:  Target Number: 00010064  Target Speed:  15.0  Current Speed:  35.9</t>
  </si>
  <si>
    <t>SYS :2016/12/04 15:34:12.877:ENFORCEMENT:Predictive Enforcement Action:  Target Number: 00010064  Target Speed:  15.0  Current Speed:  35.9</t>
  </si>
  <si>
    <t>SYS :2016/12/04 15:34:13.173:ENFORCEMENT:Predictive Enforcement Action:  Target Number: 00010065  Target Speed:  15.0  Current Speed:  35.9</t>
  </si>
  <si>
    <t>SYS :2016/12/04 16:09:09.932:ENFORCEMENT:Predictive Enforcement Action:  Target Number: 00001008  Target Speed:   0.0  Current Speed:   7.2</t>
  </si>
  <si>
    <t>SYS :2016/12/04 16:09:10.605:ENFORCEMENT:Predictive Enforcement Action:  Target Number: 00001008  Target Speed:   0.0  Current Speed:   7.2</t>
  </si>
  <si>
    <t>SYS :2016/12/04 16:27:57.612:ENFORCEMENT:Predictive Enforcement Action:  Target Number: 00006140  Target Speed:   0.0  Current Speed:  70.2</t>
  </si>
  <si>
    <t>SYS :2016/12/04 16:27:58.337:ENFORCEMENT:Predictive Enforcement Action:  Target Number: 00006138  Target Speed:   0.0  Current Speed:  70.2</t>
  </si>
  <si>
    <t>SYS :2016/12/04 16:39:05.475:ENFORCEMENT:Reactive Enforcement Action:  Target Number: 00006059  Target Speed:   0.0  Current Speed:   8.6</t>
  </si>
  <si>
    <t>SYS :2016/12/04 16:39:05.499:ENFORCEMENT:Reactive Enforcement Action:  Target Number: 00004033  Target Speed:   0.0  Current Speed:   8.6</t>
  </si>
  <si>
    <t>SYS :2016/12/04 16:39:06.170:ENFORCEMENT:Reactive Enforcement Action:  Target Number: 000062CE  Target Speed:   0.0  Current Speed:   8.6</t>
  </si>
  <si>
    <t>SYS :2016/12/04 16:39:06.195:ENFORCEMENT:Reactive Enforcement Action:  Target Number: 00004121  Target Speed:   0.0  Current Speed:   8.6</t>
  </si>
  <si>
    <t>SYS :2016/12/04 16:49:56.875:ENFORCEMENT:Predictive Enforcement Action:  Target Number: 0000100C  Target Speed:   0.0  Current Speed:   3.4</t>
  </si>
  <si>
    <t>SYS :2016/12/04 16:49:56.907:ENFORCEMENT:Predictive Enforcement Action:  Target Number: 0000100C  Target Speed:   0.0  Current Speed:   3.4</t>
  </si>
  <si>
    <t>SYS :2016/12/04 16:57:14.172:ENFORCEMENT:Predictive Enforcement Action:  Target Number: 0000602D  Target Speed:   0.0  Current Speed:  35.4</t>
  </si>
  <si>
    <t>SYS :2016/12/04 16:57:14.766:ENFORCEMENT:Predictive Enforcement Action:  Target Number: 00006030  Target Speed:   0.0  Current Speed:  34.7</t>
  </si>
  <si>
    <t>SYS :2016/12/04 16:57:14.816:ENFORCEMENT:Predictive Enforcement Action:  Target Number: 0000602D  Target Speed:   0.0  Current Speed:  35.4</t>
  </si>
  <si>
    <t>SYS :2016/12/04 17:46:29.642:ENFORCEMENT:Predictive Enforcement Action:  Target Number: 000060FD  Target Speed:   0.0  Current Speed:  55.6</t>
  </si>
  <si>
    <t>SYS :2016/12/04 17:46:30.426:ENFORCEMENT:Predictive Enforcement Action:  Target Number: 000060AD  Target Speed:   0.0  Current Speed:  54.5</t>
  </si>
  <si>
    <t>SYS :2016/12/04 17:46:31.140:ENFORCEMENT:Predictive Enforcement Action:  Target Number: 000060FD  Target Speed:   0.0  Current Speed:  54.5</t>
  </si>
  <si>
    <t>SYS :2016/12/04 17:47:49.384:ENFORCEMENT:Predictive Enforcement Action:  Target Number: 0000405B  Target Speed:   0.0  Current Speed:  40.0</t>
  </si>
  <si>
    <t>SYS :2016/12/04 17:47:49.401:ENFORCEMENT:Predictive Enforcement Action:  Target Number: 0000405A  Target Speed:   0.0  Current Speed:  40.0</t>
  </si>
  <si>
    <t>SYS :2016/12/04 17:47:49.897:ENFORCEMENT:Predictive Enforcement Action:  Target Number: 00006167  Target Speed:   0.0  Current Speed:  40.0</t>
  </si>
  <si>
    <t>SYS :2016/12/04 17:47:49.926:ENFORCEMENT:Predictive Enforcement Action:  Target Number: 0000406C  Target Speed:   0.0  Current Speed:  40.0</t>
  </si>
  <si>
    <t>SYS :2016/12/04 19:46:52.895:ENFORCEMENT:Predictive Enforcement Action:  Target Number: 00006143  Target Speed:   0.0  Current Speed:  52.4</t>
  </si>
  <si>
    <t>SYS :2016/12/04 19:46:53.351:ENFORCEMENT:Predictive Enforcement Action:  Target Number: 00006019  Target Speed:   0.0  Current Speed:  52.4</t>
  </si>
  <si>
    <t>SYS :2016/12/04 21:10:23.013:ENFORCEMENT:Predictive Enforcement Action:  Target Number: 00006160  Target Speed:   0.0  Current Speed:  12.4</t>
  </si>
  <si>
    <t>SYS :2016/12/04 21:10:23.552:ENFORCEMENT:Predictive Enforcement Action:  Target Number: 000060FD  Target Speed:   0.0  Current Speed:  12.4</t>
  </si>
  <si>
    <t>SYS :2016/12/04 21:10:23.669:ENFORCEMENT:Predictive Enforcement Action:  Target Number: 00006161  Target Speed:   0.0  Current Speed:  12.1</t>
  </si>
  <si>
    <t>SYS :2016/12/05 00:21:01.515:ENFORCEMENT:Predictive Enforcement Action:  Target Number: 0000100B  Target Speed:   0.0  Current Speed:   5.0</t>
  </si>
  <si>
    <t>SYS :2016/12/05 00:21:01.906:ENFORCEMENT:Predictive Enforcement Action:  Target Number: 00001008  Target Speed:   0.0  Current Speed:   4.9</t>
  </si>
  <si>
    <t>SYS :2016/12/05 00:21:01.919:ENFORCEMENT:Predictive Enforcement Action:  Target Number: 0000100B  Target Speed:   0.0  Current Speed:   4.9</t>
  </si>
  <si>
    <t>SYS :2016/12/05 00:52:44.191:ENFORCEMENT:Predictive Enforcement Action:  Target Number: 000170D8  Target Speed:  32.0  Current Speed:  47.7</t>
  </si>
  <si>
    <t>SYS :2016/12/05 00:52:44.503:ENFORCEMENT:Predictive Enforcement Action:  Target Number: 00017019  Target Speed:  32.0  Current Speed:  47.9</t>
  </si>
  <si>
    <t>SYS :2016/12/05 01:28:18.919:ENFORCEMENT:Reactive Enforcement Action:  Target Number: 0001009E  Target Speed:  35.0  Current Speed:  40.0</t>
  </si>
  <si>
    <t>SYS :2016/12/05 01:28:19.528:ENFORCEMENT:Reactive Enforcement Action:  Target Number: 000100B2  Target Speed:  35.0  Current Speed:  40.0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</si>
</sst>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4"/>
  <sheetViews>
    <sheetView tabSelected="1" zoomScaleNormal="100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42708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42708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33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COUNTIFS($N$13:$N$9368,"&gt;0",$AG$13:$AG$9368,I1)</f>
        <v>136</v>
      </c>
      <c r="K5" s="44"/>
      <c r="L5" s="44"/>
      <c r="M5" s="45">
        <f>AVERAGEIFS($N$13:$N$9368,$AG$13:$AG$9368,I1)</f>
        <v>37.395465685771981</v>
      </c>
      <c r="N5" s="43">
        <f t="array" ref="N5">MIN(IF($AG$13:$AG$9368=I1,IF(ISNUMBER($N$13:$N$9368),IF($N$13:$N$9368&gt;0,$N$13:$N$9368))))</f>
        <v>33.716666658874601</v>
      </c>
      <c r="O5" s="3">
        <f t="array" ref="O5">MAX(IF($AG$13:$AG$9368=I1,IF(ISNUMBER($N$13:$N$9368),IF($N$13:$N$9368&gt;0,$N$13:$N$9368))))</f>
        <v>45.466666660504416</v>
      </c>
      <c r="P5" s="2"/>
      <c r="R5" s="80" t="s">
        <v>17</v>
      </c>
      <c r="S5" s="55">
        <f>COUNTIFS($N$13:$N$9368,"&gt;0",$AG$13:$AG$9368,R1)</f>
        <v>33</v>
      </c>
      <c r="T5" s="44"/>
      <c r="U5" s="169"/>
      <c r="V5" s="45">
        <f>AVERAGEIFS($N$13:$N$9368,$AG$13:$AG$9368,R1)</f>
        <v>15.321717171040786</v>
      </c>
      <c r="W5" s="43">
        <f t="array" ref="W5">MIN(IF($AG$13:$AG$9368=R1,IF(ISNUMBER($N$13:$N$9368),IF($N$13:$N$9368&gt;0,$N$13:$N$9368))))</f>
        <v>13.000000000465661</v>
      </c>
      <c r="X5" s="173">
        <f t="array" ref="X5">MAX(IF($AG$13:$AG$9368=R1,IF(ISNUMBER($N$13:$N$9368),IF($N$13:$N$9368&gt;0,$N$13:$N$9368))))</f>
        <v>22.116666660876945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COUNT($O$13:$O$153)</f>
        <v>0</v>
      </c>
      <c r="K6" s="44"/>
      <c r="L6" s="44"/>
      <c r="M6" s="45">
        <f>IFERROR(AVERAGE($O$13:$O$153),0)</f>
        <v>0</v>
      </c>
      <c r="N6" s="43">
        <f>MIN($O$13:$O$153)</f>
        <v>0</v>
      </c>
      <c r="O6" s="3">
        <f>MAX($O$13:$O$153)</f>
        <v>0</v>
      </c>
      <c r="P6" s="2"/>
      <c r="R6" s="81" t="s">
        <v>43</v>
      </c>
      <c r="S6" s="55">
        <f>COUNT($O$13:$O$153)</f>
        <v>0</v>
      </c>
      <c r="T6" s="44"/>
      <c r="U6" s="169"/>
      <c r="V6" s="45">
        <f>IFERROR(AVERAGE($O$13:$O$153),0)</f>
        <v>0</v>
      </c>
      <c r="W6" s="43">
        <f>MIN($O$13:$O$153)</f>
        <v>0</v>
      </c>
      <c r="X6" s="173">
        <f>MAX($O$13:$O$153)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COUNTIFS($P$13:$P$9368,"&gt;0",$AG$13:$AG$9368,I1)</f>
        <v>8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COUNTIFS($P$13:$P$9368,"&gt;0",$AG$13:$AG$9368,R1)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136</v>
      </c>
      <c r="K8" s="44"/>
      <c r="L8" s="44"/>
      <c r="M8" s="45">
        <f>M5</f>
        <v>37.395465685771981</v>
      </c>
      <c r="N8" s="43">
        <f>N5</f>
        <v>33.716666658874601</v>
      </c>
      <c r="O8" s="3">
        <f>O5</f>
        <v>45.466666660504416</v>
      </c>
      <c r="P8" s="2"/>
      <c r="R8" s="80" t="s">
        <v>16</v>
      </c>
      <c r="S8" s="55">
        <f>S5</f>
        <v>33</v>
      </c>
      <c r="T8" s="44"/>
      <c r="U8" s="169"/>
      <c r="V8" s="45">
        <f>V5</f>
        <v>15.321717171040786</v>
      </c>
      <c r="W8" s="43">
        <f>W5</f>
        <v>13.000000000465661</v>
      </c>
      <c r="X8" s="173">
        <f>X5</f>
        <v>22.116666660876945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0.94444444444444442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3" t="str">
        <f>"Eagle P3 System Performance - "&amp;TEXT(Variables!A2,"yyyy-mm-dd")</f>
        <v>Eagle P3 System Performance - 2016-12-04</v>
      </c>
      <c r="B11" s="183"/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S11" s="69">
        <f>AVERAGE(S13:S104)</f>
        <v>0.95604395604395609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459</v>
      </c>
      <c r="B13" s="7">
        <v>4003</v>
      </c>
      <c r="C13" s="22" t="s">
        <v>208</v>
      </c>
      <c r="D13" s="22" t="s">
        <v>654</v>
      </c>
      <c r="E13" s="13">
        <v>42708.129479166666</v>
      </c>
      <c r="F13" s="13">
        <v>42708.135613425926</v>
      </c>
      <c r="G13" s="7">
        <v>1</v>
      </c>
      <c r="H13" s="22" t="s">
        <v>432</v>
      </c>
      <c r="I13" s="13">
        <v>42708.161192129628</v>
      </c>
      <c r="J13" s="7">
        <v>0</v>
      </c>
      <c r="K13" s="109" t="str">
        <f t="shared" ref="K13:K44" si="0">IF(ISEVEN(B13),(B13-1)&amp;"/"&amp;B13,B13&amp;"/"&amp;(B13+1))</f>
        <v>4003/4004</v>
      </c>
      <c r="L13" s="22" t="str">
        <f>VLOOKUP(A13,'Trips&amp;Operators'!$C$1:$G$99999,5,FALSE)</f>
        <v>KILLION DAVID</v>
      </c>
      <c r="M13" s="6">
        <f t="shared" ref="M13:M44" si="1">I13-F13</f>
        <v>2.5578703702194616E-2</v>
      </c>
      <c r="N13" s="7">
        <f t="shared" ref="N13:N44" si="2">24*60*SUM($M13:$M13)</f>
        <v>36.833333331160247</v>
      </c>
      <c r="O13" s="7"/>
      <c r="P13" s="7"/>
      <c r="Q13" s="23"/>
      <c r="R13" s="23"/>
      <c r="S13" s="35">
        <f t="shared" ref="S13:S44" si="3">SUM(U13:U13)/IF(AG13="EC",12,1)</f>
        <v>1</v>
      </c>
      <c r="T13" s="50" t="str">
        <f t="shared" ref="T13:T44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https://search-rtdc-monitor-bjffxe2xuh6vdkpspy63sjmuny.us-east-1.es.amazonaws.com/_plugin/kibana/#/discover/Steve-Slow-Train-Analysis-(2080s-and-2083s)?_g=(refreshInterval:(display:Off,section:0,value:0),time:(from:'2016-12-04 02:06:27-700',mode:absolute,to:'2016-12-04 04:52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" s="52" t="str">
        <f t="shared" ref="W13:W44" si="6">IF(AA13&lt;IF(AG13="EC",23,5.65),"Y","N")</f>
        <v>N</v>
      </c>
      <c r="X13" s="177" t="e">
        <f t="shared" ref="X13:X44" si="7">VALUE(LEFT(AD13,4))-VALUE(LEFT(AD12,4))</f>
        <v>#VALUE!</v>
      </c>
      <c r="Y13" s="67">
        <f t="shared" ref="Y13:Y44" si="8">RIGHT(D13,LEN(D13)-4)/10000</f>
        <v>7.6799999999999993E-2</v>
      </c>
      <c r="Z13" s="67">
        <f t="shared" ref="Z13:Z44" si="9">RIGHT(H13,LEN(H13)-4)/10000</f>
        <v>23.332599999999999</v>
      </c>
      <c r="AA13" s="67">
        <f t="shared" ref="AA13:AA44" si="10">ABS(Z13-Y13)</f>
        <v>23.255800000000001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44" si="11">IF(LEN(A13)=6,"0"&amp;A13,A13)</f>
        <v>0101-04</v>
      </c>
      <c r="AE13" s="91" t="str">
        <f t="shared" ref="AE13:AE44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s3://rtdc.mdm.uploadarchive.raw/RTDC4003/ "%USERPROFILE%\AppData\Local\Temp\OnboardLogs"\RTDC4003\2016-12-04 --exclude "*" --recursive --include "*20161204*" &amp; "%USERPROFILE%\Documents\GitHub\mrs-test-scripts\Headless Mode &amp; Sideloading\WalkAndUnGZ.bat" "%USERPROFILE%\AppData\Local\Temp\OnboardLogs"\RTDC4003\2016-12-04 &amp; aws s3 cp s3://rtdc.mdm.uploadarchive.raw/RTDC4003/ "%USERPROFILE%\AppData\Local\Temp\OnboardLogs"\RTDC4003\2016-12-05 --exclude "*" --recursive --include "*20161205*" &amp; "%USERPROFILE%\Documents\GitHub\mrs-test-scripts\Headless Mode &amp; Sideloading\WalkAndUnGZ.bat" "%USERPROFILE%\AppData\Local\Temp\OnboardLogs"\RTDC4003\2016-12-05</v>
      </c>
      <c r="AF13" s="88" t="str">
        <f t="shared" ref="AF13:AF44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/stypes="app*4003*20161204*" /stext=" 10:.+((SYSTEM_STATE.+slice.+state.+changed )|(ment ac)|(multiple cpu faults)|(system.+state.+changed )|(\[timeout)|(PRM\|1\|D)|(kpr)|(kdp)|(\|lc)|(penalty))" /e /r /s</v>
      </c>
      <c r="AG13" s="1" t="str">
        <f t="shared" ref="AG13:AG44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101-04 --locoid 4003 --swversion DE.1.0.8.0 --startMP 204:768 --initTime 2016-12-04T03:06:27 --startdatetime 2016-12-04T03:15:17 --delay 1 --endMP 204:233326 --enddatetime 2016-12-04T03:52:07 --enforcementcount 0 &gt;&gt;C:\Users\stu\Documents\GitHub\eaglep3-reporting\EC\2016-12-04-refined-times.txt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{"issue":{"subject":"","project_id":79,"tracker_id":40,"status_id":1,"priority_id":2,"assigned_to_id":23,"start_date":"2016-12-04","description":"","custom_fields":[{"id":1,"name":"Subdivision","value":"EC"},{"id":4,"name":"Milepost","value":"23.3326"},{"id":17,"name":"Train ID","value":"101-04"},{"id":16,"name":"Locomotive ID","value":"4003"},{"id":130,"name":"Impact","value":""},{"id":150,"name":"Time of Event (Mountain Time)","value":"03:52:07"},{"id":151,"name":"Denver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462</v>
      </c>
      <c r="B14" s="7">
        <v>4021</v>
      </c>
      <c r="C14" s="22" t="s">
        <v>208</v>
      </c>
      <c r="D14" s="22" t="s">
        <v>655</v>
      </c>
      <c r="E14" s="13">
        <v>42708.169525462959</v>
      </c>
      <c r="F14" s="13">
        <v>42708.174513888887</v>
      </c>
      <c r="G14" s="7">
        <v>1</v>
      </c>
      <c r="H14" s="22" t="s">
        <v>656</v>
      </c>
      <c r="I14" s="13">
        <v>42708.203888888886</v>
      </c>
      <c r="J14" s="7">
        <v>0</v>
      </c>
      <c r="K14" s="109" t="str">
        <f t="shared" si="0"/>
        <v>4021/4022</v>
      </c>
      <c r="L14" s="22" t="str">
        <f>VLOOKUP(A14,'Trips&amp;Operators'!$C$1:$G$99999,5,FALSE)</f>
        <v>KILLION DAVID</v>
      </c>
      <c r="M14" s="6">
        <f t="shared" si="1"/>
        <v>2.937499999825377E-2</v>
      </c>
      <c r="N14" s="7">
        <f t="shared" si="2"/>
        <v>42.299999997485429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03:04:07-700',mode:absolute,to:'2016-12-04 05:53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23.269400000000001</v>
      </c>
      <c r="Z14" s="67">
        <f t="shared" si="9"/>
        <v>1.52E-2</v>
      </c>
      <c r="AA14" s="67">
        <f t="shared" si="10"/>
        <v>23.254200000000001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1"/>
        <v>0102-04</v>
      </c>
      <c r="AE14" s="91" t="str">
        <f t="shared" si="12"/>
        <v>aws s3 cp s3://rtdc.mdm.uploadarchive.raw/RTDC4021/ "%USERPROFILE%\AppData\Local\Temp\OnboardLogs"\RTDC4021\2016-12-04 --exclude "*" --recursive --include "*20161204*" &amp; "%USERPROFILE%\Documents\GitHub\mrs-test-scripts\Headless Mode &amp; Sideloading\WalkAndUnGZ.bat" "%USERPROFILE%\AppData\Local\Temp\OnboardLogs"\RTDC4021\2016-12-04 &amp; aws s3 cp s3://rtdc.mdm.uploadarchive.raw/RTDC4021/ "%USERPROFILE%\AppData\Local\Temp\OnboardLogs"\RTDC4021\2016-12-05 --exclude "*" --recursive --include "*20161205*" &amp; "%USERPROFILE%\Documents\GitHub\mrs-test-scripts\Headless Mode &amp; Sideloading\WalkAndUnGZ.bat" "%USERPROFILE%\AppData\Local\Temp\OnboardLogs"\RTDC4021\2016-12-05</v>
      </c>
      <c r="AF14" s="88" t="str">
        <f t="shared" si="13"/>
        <v>"C:\Program Files (x86)\AstroGrep\AstroGrep.exe" /spath="%USERPROFILE%\AppData\Local\Temp\OnboardLogs" /stypes="app*4021*20161204*"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102-04 --locoid 4021 --swversion DE.1.0.8.0 --startMP 204:232694 --initTime 2016-12-04T04:04:07 --startdatetime 2016-12-04T04:11:18 --delay 1 --endMP 204:152 --enddatetime 2016-12-04T04:53:36 --enforcementcount 0 &gt;&gt;C:\Users\stu\Documents\GitHub\eaglep3-reporting\EC\2016-12-04-refined-times.txt</v>
      </c>
      <c r="AI14" s="11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{"issue":{"subject":"","project_id":79,"tracker_id":40,"status_id":1,"priority_id":2,"assigned_to_id":23,"start_date":"2016-12-04","description":"","custom_fields":[{"id":1,"name":"Subdivision","value":"EC"},{"id":4,"name":"Milepost","value":"0.0152"},{"id":17,"name":"Train ID","value":"102-04"},{"id":16,"name":"Locomotive ID","value":"4021"},{"id":130,"name":"Impact","value":""},{"id":150,"name":"Time of Event (Mountain Time)","value":"04:53:36"},{"id":151,"name":"Denver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460</v>
      </c>
      <c r="B15" s="7">
        <v>4031</v>
      </c>
      <c r="C15" s="22" t="s">
        <v>208</v>
      </c>
      <c r="D15" s="22" t="s">
        <v>657</v>
      </c>
      <c r="E15" s="13">
        <v>42708.151296296295</v>
      </c>
      <c r="F15" s="13">
        <v>42708.160185185188</v>
      </c>
      <c r="G15" s="7">
        <v>2</v>
      </c>
      <c r="H15" s="22" t="s">
        <v>417</v>
      </c>
      <c r="I15" s="13">
        <v>42708.18482638889</v>
      </c>
      <c r="J15" s="7">
        <v>0</v>
      </c>
      <c r="K15" s="109" t="str">
        <f t="shared" si="0"/>
        <v>4031/4032</v>
      </c>
      <c r="L15" s="22" t="str">
        <f>VLOOKUP(A15,'Trips&amp;Operators'!$C$1:$G$99999,5,FALSE)</f>
        <v>ACKERMAN JARED</v>
      </c>
      <c r="M15" s="6">
        <f t="shared" si="1"/>
        <v>2.4641203701321501E-2</v>
      </c>
      <c r="N15" s="7">
        <f t="shared" si="2"/>
        <v>35.483333329902962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02:37:52-700',mode:absolute,to:'2016-12-04 05:26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7.3499999999999996E-2</v>
      </c>
      <c r="Z15" s="67">
        <f t="shared" si="9"/>
        <v>23.331499999999998</v>
      </c>
      <c r="AA15" s="67">
        <f t="shared" si="10"/>
        <v>23.257999999999999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1"/>
        <v>0103-04</v>
      </c>
      <c r="AE15" s="91" t="str">
        <f t="shared" si="12"/>
        <v>aws s3 cp s3://rtdc.mdm.uploadarchive.raw/RTDC4031/ "%USERPROFILE%\AppData\Local\Temp\OnboardLogs"\RTDC4031\2016-12-04 --exclude "*" --recursive --include "*20161204*" &amp; "%USERPROFILE%\Documents\GitHub\mrs-test-scripts\Headless Mode &amp; Sideloading\WalkAndUnGZ.bat" "%USERPROFILE%\AppData\Local\Temp\OnboardLogs"\RTDC4031\2016-12-04 &amp; aws s3 cp s3://rtdc.mdm.uploadarchive.raw/RTDC4031/ "%USERPROFILE%\AppData\Local\Temp\OnboardLogs"\RTDC4031\2016-12-05 --exclude "*" --recursive --include "*20161205*" &amp; "%USERPROFILE%\Documents\GitHub\mrs-test-scripts\Headless Mode &amp; Sideloading\WalkAndUnGZ.bat" "%USERPROFILE%\AppData\Local\Temp\OnboardLogs"\RTDC4031\2016-12-05</v>
      </c>
      <c r="AF15" s="88" t="str">
        <f t="shared" si="13"/>
        <v>"C:\Program Files (x86)\AstroGrep\AstroGrep.exe" /spath="%USERPROFILE%\AppData\Local\Temp\OnboardLogs" /stypes="app*4031*20161204*"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103-04 --locoid 4031 --swversion DE.1.0.8.0 --startMP 204:735 --initTime 2016-12-04T03:37:52 --startdatetime 2016-12-04T03:50:40 --delay 2 --endMP 204:233315 --enddatetime 2016-12-04T04:26:09 --enforcementcount 0 &gt;&gt;C:\Users\stu\Documents\GitHub\eaglep3-reporting\EC\2016-12-04-refined-times.txt</v>
      </c>
      <c r="AI15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{"issue":{"subject":"","project_id":79,"tracker_id":40,"status_id":1,"priority_id":2,"assigned_to_id":23,"start_date":"2016-12-04","description":"","custom_fields":[{"id":1,"name":"Subdivision","value":"EC"},{"id":4,"name":"Milepost","value":"23.3315"},{"id":17,"name":"Train ID","value":"103-04"},{"id":16,"name":"Locomotive ID","value":"4031"},{"id":130,"name":"Impact","value":""},{"id":150,"name":"Time of Event (Mountain Time)","value":"04:26:09"},{"id":151,"name":"Denver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466</v>
      </c>
      <c r="B16" s="7">
        <v>4037</v>
      </c>
      <c r="C16" s="22" t="s">
        <v>208</v>
      </c>
      <c r="D16" s="22" t="s">
        <v>658</v>
      </c>
      <c r="E16" s="13">
        <v>42708.18986111111</v>
      </c>
      <c r="F16" s="13">
        <v>42708.195381944446</v>
      </c>
      <c r="G16" s="7">
        <v>2</v>
      </c>
      <c r="H16" s="22" t="s">
        <v>244</v>
      </c>
      <c r="I16" s="13">
        <v>42708.221979166665</v>
      </c>
      <c r="J16" s="7">
        <v>0</v>
      </c>
      <c r="K16" s="109" t="str">
        <f t="shared" si="0"/>
        <v>4037/4038</v>
      </c>
      <c r="L16" s="22" t="str">
        <f>VLOOKUP(A16,'Trips&amp;Operators'!$C$1:$G$99999,5,FALSE)</f>
        <v>ACKERMAN JARED</v>
      </c>
      <c r="M16" s="6">
        <f t="shared" si="1"/>
        <v>2.6597222218697425E-2</v>
      </c>
      <c r="N16" s="7">
        <f t="shared" si="2"/>
        <v>38.299999994924292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03:33:24-700',mode:absolute,to:'2016-12-04 06:19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23.267900000000001</v>
      </c>
      <c r="Z16" s="67">
        <f t="shared" si="9"/>
        <v>1.61E-2</v>
      </c>
      <c r="AA16" s="67">
        <f t="shared" si="10"/>
        <v>23.251799999999999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11"/>
        <v>0104-04</v>
      </c>
      <c r="AE16" s="91" t="str">
        <f t="shared" si="12"/>
        <v>aws s3 cp s3://rtdc.mdm.uploadarchive.raw/RTDC4037/ "%USERPROFILE%\AppData\Local\Temp\OnboardLogs"\RTDC4037\2016-12-04 --exclude "*" --recursive --include "*20161204*" &amp; "%USERPROFILE%\Documents\GitHub\mrs-test-scripts\Headless Mode &amp; Sideloading\WalkAndUnGZ.bat" "%USERPROFILE%\AppData\Local\Temp\OnboardLogs"\RTDC4037\2016-12-04 &amp; 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</v>
      </c>
      <c r="AF16" s="88" t="str">
        <f t="shared" si="13"/>
        <v>"C:\Program Files (x86)\AstroGrep\AstroGrep.exe" /spath="%USERPROFILE%\AppData\Local\Temp\OnboardLogs" /stypes="app*4037*20161204*"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104-04 --locoid 4037 --swversion DE.1.0.8.0 --startMP 204:232679 --initTime 2016-12-04T04:33:24 --startdatetime 2016-12-04T04:41:21 --delay 2 --endMP 204:161 --enddatetime 2016-12-04T05:19:39 --enforcementcount 0 &gt;&gt;C:\Users\stu\Documents\GitHub\eaglep3-reporting\EC\2016-12-04-refined-times.txt</v>
      </c>
      <c r="AI16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{"issue":{"subject":"","project_id":79,"tracker_id":40,"status_id":1,"priority_id":2,"assigned_to_id":23,"start_date":"2016-12-04","description":"","custom_fields":[{"id":1,"name":"Subdivision","value":"EC"},{"id":4,"name":"Milepost","value":"0.0161"},{"id":17,"name":"Train ID","value":"104-04"},{"id":16,"name":"Locomotive ID","value":"4037"},{"id":130,"name":"Impact","value":""},{"id":150,"name":"Time of Event (Mountain Time)","value":"05:19:39"},{"id":151,"name":"Denver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463</v>
      </c>
      <c r="B17" s="7">
        <v>4029</v>
      </c>
      <c r="C17" s="22" t="s">
        <v>208</v>
      </c>
      <c r="D17" s="22" t="s">
        <v>659</v>
      </c>
      <c r="E17" s="13">
        <v>42708.174120370371</v>
      </c>
      <c r="F17" s="13">
        <v>42708.17732638889</v>
      </c>
      <c r="G17" s="7">
        <v>1</v>
      </c>
      <c r="H17" s="22" t="s">
        <v>380</v>
      </c>
      <c r="I17" s="13">
        <v>42708.202175925922</v>
      </c>
      <c r="J17" s="7">
        <v>0</v>
      </c>
      <c r="K17" s="109" t="str">
        <f t="shared" si="0"/>
        <v>4029/4030</v>
      </c>
      <c r="L17" s="22" t="str">
        <f>VLOOKUP(A17,'Trips&amp;Operators'!$C$1:$G$99999,5,FALSE)</f>
        <v>MAELZER KURT</v>
      </c>
      <c r="M17" s="6">
        <f t="shared" si="1"/>
        <v>2.4849537032423541E-2</v>
      </c>
      <c r="N17" s="7">
        <f t="shared" si="2"/>
        <v>35.783333326689899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03:10:44-700',mode:absolute,to:'2016-12-04 05:51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7.5499999999999998E-2</v>
      </c>
      <c r="Z17" s="67">
        <f t="shared" si="9"/>
        <v>23.3355</v>
      </c>
      <c r="AA17" s="67">
        <f t="shared" si="10"/>
        <v>23.259999999999998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1"/>
        <v>0105-04</v>
      </c>
      <c r="AE17" s="91" t="str">
        <f t="shared" si="12"/>
        <v>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 &amp; aws s3 cp s3://rtdc.mdm.uploadarchive.raw/RTDC4029/ "%USERPROFILE%\AppData\Local\Temp\OnboardLogs"\RTDC4029\2016-12-05 --exclude "*" --recursive --include "*20161205*" &amp; "%USERPROFILE%\Documents\GitHub\mrs-test-scripts\Headless Mode &amp; Sideloading\WalkAndUnGZ.bat" "%USERPROFILE%\AppData\Local\Temp\OnboardLogs"\RTDC4029\2016-12-05</v>
      </c>
      <c r="AF17" s="88" t="str">
        <f t="shared" si="13"/>
        <v>"C:\Program Files (x86)\AstroGrep\AstroGrep.exe" /spath="%USERPROFILE%\AppData\Local\Temp\OnboardLogs" /stypes="app*4029*20161204*"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105-04 --locoid 4029 --swversion DE.1.0.8.0 --startMP 204:755 --initTime 2016-12-04T04:10:44 --startdatetime 2016-12-04T04:15:21 --delay 1 --endMP 204:233355 --enddatetime 2016-12-04T04:51:08 --enforcementcount 0 &gt;&gt;C:\Users\stu\Documents\GitHub\eaglep3-reporting\EC\2016-12-04-refined-times.txt</v>
      </c>
      <c r="AI17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{"issue":{"subject":"","project_id":79,"tracker_id":40,"status_id":1,"priority_id":2,"assigned_to_id":23,"start_date":"2016-12-04","description":"","custom_fields":[{"id":1,"name":"Subdivision","value":"EC"},{"id":4,"name":"Milepost","value":"23.3355"},{"id":17,"name":"Train ID","value":"105-04"},{"id":16,"name":"Locomotive ID","value":"4029"},{"id":130,"name":"Impact","value":""},{"id":150,"name":"Time of Event (Mountain Time)","value":"04:51:08"},{"id":151,"name":"Denver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470</v>
      </c>
      <c r="B18" s="7">
        <v>4041</v>
      </c>
      <c r="C18" s="22" t="s">
        <v>208</v>
      </c>
      <c r="D18" s="22" t="s">
        <v>660</v>
      </c>
      <c r="E18" s="13">
        <v>42708.212430555555</v>
      </c>
      <c r="F18" s="13">
        <v>42708.216249999998</v>
      </c>
      <c r="G18" s="7">
        <v>1</v>
      </c>
      <c r="H18" s="22" t="s">
        <v>210</v>
      </c>
      <c r="I18" s="13">
        <v>42708.242106481484</v>
      </c>
      <c r="J18" s="7">
        <v>0</v>
      </c>
      <c r="K18" s="109" t="str">
        <f t="shared" si="0"/>
        <v>4041/4042</v>
      </c>
      <c r="L18" s="22" t="str">
        <f>VLOOKUP(A18,'Trips&amp;Operators'!$C$1:$G$99999,5,FALSE)</f>
        <v>MAELZER KURT</v>
      </c>
      <c r="M18" s="6">
        <f t="shared" si="1"/>
        <v>2.5856481486698613E-2</v>
      </c>
      <c r="N18" s="7">
        <f t="shared" si="2"/>
        <v>37.233333340846002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04:05:54-700',mode:absolute,to:'2016-12-04 06:48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23.266400000000001</v>
      </c>
      <c r="Z18" s="67">
        <f t="shared" si="9"/>
        <v>1.5800000000000002E-2</v>
      </c>
      <c r="AA18" s="67">
        <f t="shared" si="10"/>
        <v>23.250600000000002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11"/>
        <v>0106-04</v>
      </c>
      <c r="AE18" s="91" t="str">
        <f t="shared" si="12"/>
        <v>aws s3 cp s3://rtdc.mdm.uploadarchive.raw/RTDC4041/ "%USERPROFILE%\AppData\Local\Temp\OnboardLogs"\RTDC4041\2016-12-04 --exclude "*" --recursive --include "*20161204*" &amp; "%USERPROFILE%\Documents\GitHub\mrs-test-scripts\Headless Mode &amp; Sideloading\WalkAndUnGZ.bat" "%USERPROFILE%\AppData\Local\Temp\OnboardLogs"\RTDC4041\2016-12-04 &amp; aws s3 cp s3://rtdc.mdm.uploadarchive.raw/RTDC4041/ "%USERPROFILE%\AppData\Local\Temp\OnboardLogs"\RTDC4041\2016-12-05 --exclude "*" --recursive --include "*20161205*" &amp; "%USERPROFILE%\Documents\GitHub\mrs-test-scripts\Headless Mode &amp; Sideloading\WalkAndUnGZ.bat" "%USERPROFILE%\AppData\Local\Temp\OnboardLogs"\RTDC4041\2016-12-05</v>
      </c>
      <c r="AF18" s="88" t="str">
        <f t="shared" si="13"/>
        <v>"C:\Program Files (x86)\AstroGrep\AstroGrep.exe" /spath="%USERPROFILE%\AppData\Local\Temp\OnboardLogs" /stypes="app*4041*20161204*"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106-04 --locoid 4041 --swversion DE.1.0.8.0 --startMP 204:232664 --initTime 2016-12-04T05:05:54 --startdatetime 2016-12-04T05:11:24 --delay 1 --endMP 204:158 --enddatetime 2016-12-04T05:48:38 --enforcementcount 0 &gt;&gt;C:\Users\stu\Documents\GitHub\eaglep3-reporting\EC\2016-12-04-refined-times.txt</v>
      </c>
      <c r="AI18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{"issue":{"subject":"","project_id":79,"tracker_id":40,"status_id":1,"priority_id":2,"assigned_to_id":23,"start_date":"2016-12-04","description":"","custom_fields":[{"id":1,"name":"Subdivision","value":"EC"},{"id":4,"name":"Milepost","value":"0.0158"},{"id":17,"name":"Train ID","value":"106-04"},{"id":16,"name":"Locomotive ID","value":"4041"},{"id":130,"name":"Impact","value":""},{"id":150,"name":"Time of Event (Mountain Time)","value":"05:48:38"},{"id":151,"name":"Denver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465</v>
      </c>
      <c r="B19" s="7">
        <v>4027</v>
      </c>
      <c r="C19" s="22" t="s">
        <v>208</v>
      </c>
      <c r="D19" s="22" t="s">
        <v>661</v>
      </c>
      <c r="E19" s="13">
        <v>42708.181215277778</v>
      </c>
      <c r="F19" s="13">
        <v>42708.187777777777</v>
      </c>
      <c r="G19" s="7">
        <v>1</v>
      </c>
      <c r="H19" s="22" t="s">
        <v>662</v>
      </c>
      <c r="I19" s="13">
        <v>42708.213460648149</v>
      </c>
      <c r="J19" s="7">
        <v>0</v>
      </c>
      <c r="K19" s="109" t="str">
        <f t="shared" si="0"/>
        <v>4027/4028</v>
      </c>
      <c r="L19" s="22" t="str">
        <f>VLOOKUP(A19,'Trips&amp;Operators'!$C$1:$G$99999,5,FALSE)</f>
        <v>HAITHCOX MICHAEL</v>
      </c>
      <c r="M19" s="6">
        <f t="shared" si="1"/>
        <v>2.5682870371383615E-2</v>
      </c>
      <c r="N19" s="7">
        <f t="shared" si="2"/>
        <v>36.983333334792405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03:20:57-700',mode:absolute,to:'2016-12-04 06:07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4.82E-2</v>
      </c>
      <c r="Z19" s="67">
        <f t="shared" si="9"/>
        <v>23.330400000000001</v>
      </c>
      <c r="AA19" s="67">
        <f t="shared" si="10"/>
        <v>23.2822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11"/>
        <v>0107-04</v>
      </c>
      <c r="AE19" s="91" t="str">
        <f t="shared" si="12"/>
        <v>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 &amp; aws s3 cp s3://rtdc.mdm.uploadarchive.raw/RTDC4027/ "%USERPROFILE%\AppData\Local\Temp\OnboardLogs"\RTDC4027\2016-12-05 --exclude "*" --recursive --include "*20161205*" &amp; "%USERPROFILE%\Documents\GitHub\mrs-test-scripts\Headless Mode &amp; Sideloading\WalkAndUnGZ.bat" "%USERPROFILE%\AppData\Local\Temp\OnboardLogs"\RTDC4027\2016-12-05</v>
      </c>
      <c r="AF19" s="88" t="str">
        <f t="shared" si="13"/>
        <v>"C:\Program Files (x86)\AstroGrep\AstroGrep.exe" /spath="%USERPROFILE%\AppData\Local\Temp\OnboardLogs" /stypes="app*4027*20161204*"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107-04 --locoid 4027 --swversion DE.1.0.8.0 --startMP 204:482 --initTime 2016-12-04T04:20:57 --startdatetime 2016-12-04T04:30:24 --delay 1 --endMP 204:233304 --enddatetime 2016-12-04T05:07:23 --enforcementcount 0 &gt;&gt;C:\Users\stu\Documents\GitHub\eaglep3-reporting\EC\2016-12-04-refined-times.txt</v>
      </c>
      <c r="AI19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{"issue":{"subject":"","project_id":79,"tracker_id":40,"status_id":1,"priority_id":2,"assigned_to_id":23,"start_date":"2016-12-04","description":"","custom_fields":[{"id":1,"name":"Subdivision","value":"EC"},{"id":4,"name":"Milepost","value":"23.3304"},{"id":17,"name":"Train ID","value":"107-04"},{"id":16,"name":"Locomotive ID","value":"4027"},{"id":130,"name":"Impact","value":""},{"id":150,"name":"Time of Event (Mountain Time)","value":"05:07:23"},{"id":151,"name":"Denver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473</v>
      </c>
      <c r="B20" s="7">
        <v>4028</v>
      </c>
      <c r="C20" s="22" t="s">
        <v>208</v>
      </c>
      <c r="D20" s="22" t="s">
        <v>257</v>
      </c>
      <c r="E20" s="13">
        <v>42708.222939814812</v>
      </c>
      <c r="F20" s="13">
        <v>42708.226759259262</v>
      </c>
      <c r="G20" s="7">
        <v>1</v>
      </c>
      <c r="H20" s="22" t="s">
        <v>192</v>
      </c>
      <c r="I20" s="13">
        <v>42708.253645833334</v>
      </c>
      <c r="J20" s="7">
        <v>0</v>
      </c>
      <c r="K20" s="109" t="str">
        <f t="shared" si="0"/>
        <v>4027/4028</v>
      </c>
      <c r="L20" s="22" t="str">
        <f>VLOOKUP(A20,'Trips&amp;Operators'!$C$1:$G$99999,5,FALSE)</f>
        <v>HAITHCOX MICHAEL</v>
      </c>
      <c r="M20" s="6">
        <f t="shared" si="1"/>
        <v>2.6886574072705116E-2</v>
      </c>
      <c r="N20" s="7">
        <f t="shared" si="2"/>
        <v>38.716666664695367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04:21:02-700',mode:absolute,to:'2016-12-04 07:05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23.2989</v>
      </c>
      <c r="Z20" s="67">
        <f t="shared" si="9"/>
        <v>1.49E-2</v>
      </c>
      <c r="AA20" s="67">
        <f t="shared" si="10"/>
        <v>23.283999999999999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1"/>
        <v>0108-04</v>
      </c>
      <c r="AE20" s="91" t="str">
        <f t="shared" si="12"/>
        <v>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 &amp; aws s3 cp s3://rtdc.mdm.uploadarchive.raw/RTDC4028/ "%USERPROFILE%\AppData\Local\Temp\OnboardLogs"\RTDC4028\2016-12-05 --exclude "*" --recursive --include "*20161205*" &amp; "%USERPROFILE%\Documents\GitHub\mrs-test-scripts\Headless Mode &amp; Sideloading\WalkAndUnGZ.bat" "%USERPROFILE%\AppData\Local\Temp\OnboardLogs"\RTDC4028\2016-12-05</v>
      </c>
      <c r="AF20" s="88" t="str">
        <f t="shared" si="13"/>
        <v>"C:\Program Files (x86)\AstroGrep\AstroGrep.exe" /spath="%USERPROFILE%\AppData\Local\Temp\OnboardLogs" /stypes="app*4028*20161204*"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108-04 --locoid 4028 --swversion DE.1.0.8.0 --startMP 204:232989 --initTime 2016-12-04T05:21:02 --startdatetime 2016-12-04T05:26:32 --delay 1 --endMP 204:149 --enddatetime 2016-12-04T06:05:15 --enforcementcount 0 &gt;&gt;C:\Users\stu\Documents\GitHub\eaglep3-reporting\EC\2016-12-04-refined-times.txt</v>
      </c>
      <c r="AI20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{"issue":{"subject":"","project_id":79,"tracker_id":40,"status_id":1,"priority_id":2,"assigned_to_id":23,"start_date":"2016-12-04","description":"","custom_fields":[{"id":1,"name":"Subdivision","value":"EC"},{"id":4,"name":"Milepost","value":"0.0149"},{"id":17,"name":"Train ID","value":"108-04"},{"id":16,"name":"Locomotive ID","value":"4028"},{"id":130,"name":"Impact","value":""},{"id":150,"name":"Time of Event (Mountain Time)","value":"06:05:15"},{"id":151,"name":"Denver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467</v>
      </c>
      <c r="B21" s="7">
        <v>4020</v>
      </c>
      <c r="C21" s="22" t="s">
        <v>208</v>
      </c>
      <c r="D21" s="22" t="s">
        <v>247</v>
      </c>
      <c r="E21" s="13">
        <v>42708.192523148151</v>
      </c>
      <c r="F21" s="13">
        <v>42708.198101851849</v>
      </c>
      <c r="G21" s="7">
        <v>1</v>
      </c>
      <c r="H21" s="22" t="s">
        <v>288</v>
      </c>
      <c r="I21" s="13">
        <v>42708.223182870373</v>
      </c>
      <c r="J21" s="7">
        <v>0</v>
      </c>
      <c r="K21" s="109" t="str">
        <f t="shared" si="0"/>
        <v>4019/4020</v>
      </c>
      <c r="L21" s="22" t="str">
        <f>VLOOKUP(A21,'Trips&amp;Operators'!$C$1:$G$99999,5,FALSE)</f>
        <v>ROBINSON KADDIBA</v>
      </c>
      <c r="M21" s="6">
        <f t="shared" si="1"/>
        <v>2.5081018524360843E-2</v>
      </c>
      <c r="N21" s="7">
        <f t="shared" si="2"/>
        <v>36.116666675079614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03:37:14-700',mode:absolute,to:'2016-12-04 06:21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4.5699999999999998E-2</v>
      </c>
      <c r="Z21" s="67">
        <f t="shared" si="9"/>
        <v>23.329699999999999</v>
      </c>
      <c r="AA21" s="67">
        <f t="shared" si="10"/>
        <v>23.283999999999999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1"/>
        <v>0109-04</v>
      </c>
      <c r="AE21" s="91" t="str">
        <f t="shared" si="12"/>
        <v>aws s3 cp s3://rtdc.mdm.uploadarchive.raw/RTDC4020/ "%USERPROFILE%\AppData\Local\Temp\OnboardLogs"\RTDC4020\2016-12-04 --exclude "*" --recursive --include "*20161204*" &amp; "%USERPROFILE%\Documents\GitHub\mrs-test-scripts\Headless Mode &amp; Sideloading\WalkAndUnGZ.bat" "%USERPROFILE%\AppData\Local\Temp\OnboardLogs"\RTDC4020\2016-12-04 &amp; aws s3 cp s3://rtdc.mdm.uploadarchive.raw/RTDC4020/ "%USERPROFILE%\AppData\Local\Temp\OnboardLogs"\RTDC4020\2016-12-05 --exclude "*" --recursive --include "*20161205*" &amp; "%USERPROFILE%\Documents\GitHub\mrs-test-scripts\Headless Mode &amp; Sideloading\WalkAndUnGZ.bat" "%USERPROFILE%\AppData\Local\Temp\OnboardLogs"\RTDC4020\2016-12-05</v>
      </c>
      <c r="AF21" s="88" t="str">
        <f t="shared" si="13"/>
        <v>"C:\Program Files (x86)\AstroGrep\AstroGrep.exe" /spath="%USERPROFILE%\AppData\Local\Temp\OnboardLogs" /stypes="app*4020*20161204*"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109-04 --locoid 4020 --swversion DE.1.0.8.0 --startMP 204:457 --initTime 2016-12-04T04:37:14 --startdatetime 2016-12-04T04:45:16 --delay 1 --endMP 204:233297 --enddatetime 2016-12-04T05:21:23 --enforcementcount 0 &gt;&gt;C:\Users\stu\Documents\GitHub\eaglep3-reporting\EC\2016-12-04-refined-times.txt</v>
      </c>
      <c r="AI21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{"issue":{"subject":"","project_id":79,"tracker_id":40,"status_id":1,"priority_id":2,"assigned_to_id":23,"start_date":"2016-12-04","description":"","custom_fields":[{"id":1,"name":"Subdivision","value":"EC"},{"id":4,"name":"Milepost","value":"23.3297"},{"id":17,"name":"Train ID","value":"109-04"},{"id":16,"name":"Locomotive ID","value":"4020"},{"id":130,"name":"Impact","value":""},{"id":150,"name":"Time of Event (Mountain Time)","value":"05:21:23"},{"id":151,"name":"Denver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475</v>
      </c>
      <c r="B22" s="7">
        <v>4019</v>
      </c>
      <c r="C22" s="22" t="s">
        <v>208</v>
      </c>
      <c r="D22" s="22" t="s">
        <v>663</v>
      </c>
      <c r="E22" s="13">
        <v>42708.228437500002</v>
      </c>
      <c r="F22" s="13">
        <v>42708.236979166664</v>
      </c>
      <c r="G22" s="7">
        <v>1</v>
      </c>
      <c r="H22" s="22" t="s">
        <v>664</v>
      </c>
      <c r="I22" s="13">
        <v>42708.262939814813</v>
      </c>
      <c r="J22" s="7">
        <v>0</v>
      </c>
      <c r="K22" s="109" t="str">
        <f t="shared" si="0"/>
        <v>4019/4020</v>
      </c>
      <c r="L22" s="22" t="str">
        <f>VLOOKUP(A22,'Trips&amp;Operators'!$C$1:$G$99999,5,FALSE)</f>
        <v>ROBINSON KADDIBA</v>
      </c>
      <c r="M22" s="6">
        <f t="shared" si="1"/>
        <v>2.5960648148611654E-2</v>
      </c>
      <c r="N22" s="7">
        <f t="shared" si="2"/>
        <v>37.383333334000781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04:28:57-700',mode:absolute,to:'2016-12-04 07:18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23.2973</v>
      </c>
      <c r="Z22" s="67">
        <f t="shared" si="9"/>
        <v>1.3899999999999999E-2</v>
      </c>
      <c r="AA22" s="67">
        <f t="shared" si="10"/>
        <v>23.2834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11"/>
        <v>0110-04</v>
      </c>
      <c r="AE22" s="91" t="str">
        <f t="shared" si="12"/>
        <v>aws s3 cp s3://rtdc.mdm.uploadarchive.raw/RTDC4019/ "%USERPROFILE%\AppData\Local\Temp\OnboardLogs"\RTDC4019\2016-12-04 --exclude "*" --recursive --include "*20161204*" &amp; "%USERPROFILE%\Documents\GitHub\mrs-test-scripts\Headless Mode &amp; Sideloading\WalkAndUnGZ.bat" "%USERPROFILE%\AppData\Local\Temp\OnboardLogs"\RTDC4019\2016-12-04 &amp; aws s3 cp s3://rtdc.mdm.uploadarchive.raw/RTDC4019/ "%USERPROFILE%\AppData\Local\Temp\OnboardLogs"\RTDC4019\2016-12-05 --exclude "*" --recursive --include "*20161205*" &amp; "%USERPROFILE%\Documents\GitHub\mrs-test-scripts\Headless Mode &amp; Sideloading\WalkAndUnGZ.bat" "%USERPROFILE%\AppData\Local\Temp\OnboardLogs"\RTDC4019\2016-12-05</v>
      </c>
      <c r="AF22" s="88" t="str">
        <f t="shared" si="13"/>
        <v>"C:\Program Files (x86)\AstroGrep\AstroGrep.exe" /spath="%USERPROFILE%\AppData\Local\Temp\OnboardLogs" /stypes="app*4019*20161204*"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110-04 --locoid 4019 --swversion DE.1.0.8.0 --startMP 204:232973 --initTime 2016-12-04T05:28:57 --startdatetime 2016-12-04T05:41:15 --delay 1 --endMP 204:139 --enddatetime 2016-12-04T06:18:38 --enforcementcount 0 &gt;&gt;C:\Users\stu\Documents\GitHub\eaglep3-reporting\EC\2016-12-04-refined-times.txt</v>
      </c>
      <c r="AI22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{"issue":{"subject":"","project_id":79,"tracker_id":40,"status_id":1,"priority_id":2,"assigned_to_id":23,"start_date":"2016-12-04","description":"","custom_fields":[{"id":1,"name":"Subdivision","value":"EC"},{"id":4,"name":"Milepost","value":"0.0139"},{"id":17,"name":"Train ID","value":"110-04"},{"id":16,"name":"Locomotive ID","value":"4019"},{"id":130,"name":"Impact","value":""},{"id":150,"name":"Time of Event (Mountain Time)","value":"06:18:38"},{"id":151,"name":"Denver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468</v>
      </c>
      <c r="B23" s="7">
        <v>4003</v>
      </c>
      <c r="C23" s="22" t="s">
        <v>208</v>
      </c>
      <c r="D23" s="22" t="s">
        <v>665</v>
      </c>
      <c r="E23" s="13">
        <v>42708.206087962964</v>
      </c>
      <c r="F23" s="13">
        <v>42708.208657407406</v>
      </c>
      <c r="G23" s="7">
        <v>1</v>
      </c>
      <c r="H23" s="22" t="s">
        <v>246</v>
      </c>
      <c r="I23" s="13">
        <v>42708.234826388885</v>
      </c>
      <c r="J23" s="7">
        <v>0</v>
      </c>
      <c r="K23" s="109" t="str">
        <f t="shared" si="0"/>
        <v>4003/4004</v>
      </c>
      <c r="L23" s="22" t="str">
        <f>VLOOKUP(A23,'Trips&amp;Operators'!$C$1:$G$99999,5,FALSE)</f>
        <v>STRICKLAND EVAN</v>
      </c>
      <c r="M23" s="6">
        <f t="shared" si="1"/>
        <v>2.6168981479713693E-2</v>
      </c>
      <c r="N23" s="7">
        <f t="shared" si="2"/>
        <v>37.683333330787718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03:56:46-700',mode:absolute,to:'2016-12-04 06:38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7.8299999999999995E-2</v>
      </c>
      <c r="Z23" s="67">
        <f t="shared" si="9"/>
        <v>23.330200000000001</v>
      </c>
      <c r="AA23" s="67">
        <f t="shared" si="10"/>
        <v>23.251900000000003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1"/>
        <v>0111-04</v>
      </c>
      <c r="AE23" s="91" t="str">
        <f t="shared" si="12"/>
        <v>aws s3 cp s3://rtdc.mdm.uploadarchive.raw/RTDC4003/ "%USERPROFILE%\AppData\Local\Temp\OnboardLogs"\RTDC4003\2016-12-04 --exclude "*" --recursive --include "*20161204*" &amp; "%USERPROFILE%\Documents\GitHub\mrs-test-scripts\Headless Mode &amp; Sideloading\WalkAndUnGZ.bat" "%USERPROFILE%\AppData\Local\Temp\OnboardLogs"\RTDC4003\2016-12-04 &amp; aws s3 cp s3://rtdc.mdm.uploadarchive.raw/RTDC4003/ "%USERPROFILE%\AppData\Local\Temp\OnboardLogs"\RTDC4003\2016-12-05 --exclude "*" --recursive --include "*20161205*" &amp; "%USERPROFILE%\Documents\GitHub\mrs-test-scripts\Headless Mode &amp; Sideloading\WalkAndUnGZ.bat" "%USERPROFILE%\AppData\Local\Temp\OnboardLogs"\RTDC4003\2016-12-05</v>
      </c>
      <c r="AF23" s="88" t="str">
        <f t="shared" si="13"/>
        <v>"C:\Program Files (x86)\AstroGrep\AstroGrep.exe" /spath="%USERPROFILE%\AppData\Local\Temp\OnboardLogs" /stypes="app*4003*20161204*"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111-04 --locoid 4003 --swversion DE.1.0.8.0 --startMP 204:783 --initTime 2016-12-04T04:56:46 --startdatetime 2016-12-04T05:00:28 --delay 1 --endMP 204:233302 --enddatetime 2016-12-04T05:38:09 --enforcementcount 0 &gt;&gt;C:\Users\stu\Documents\GitHub\eaglep3-reporting\EC\2016-12-04-refined-times.txt</v>
      </c>
      <c r="AI23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{"issue":{"subject":"","project_id":79,"tracker_id":40,"status_id":1,"priority_id":2,"assigned_to_id":23,"start_date":"2016-12-04","description":"","custom_fields":[{"id":1,"name":"Subdivision","value":"EC"},{"id":4,"name":"Milepost","value":"23.3302"},{"id":17,"name":"Train ID","value":"111-04"},{"id":16,"name":"Locomotive ID","value":"4003"},{"id":130,"name":"Impact","value":""},{"id":150,"name":"Time of Event (Mountain Time)","value":"05:38:09"},{"id":151,"name":"Denver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478</v>
      </c>
      <c r="B24" s="7">
        <v>4004</v>
      </c>
      <c r="C24" s="22" t="s">
        <v>208</v>
      </c>
      <c r="D24" s="22" t="s">
        <v>666</v>
      </c>
      <c r="E24" s="13">
        <v>42708.242962962962</v>
      </c>
      <c r="F24" s="13">
        <v>42708.247499999998</v>
      </c>
      <c r="G24" s="7">
        <v>1</v>
      </c>
      <c r="H24" s="22" t="s">
        <v>231</v>
      </c>
      <c r="I24" s="13">
        <v>42708.274375000001</v>
      </c>
      <c r="J24" s="7">
        <v>0</v>
      </c>
      <c r="K24" s="109" t="str">
        <f t="shared" si="0"/>
        <v>4003/4004</v>
      </c>
      <c r="L24" s="22" t="str">
        <f>VLOOKUP(A24,'Trips&amp;Operators'!$C$1:$G$99999,5,FALSE)</f>
        <v>STRICKLAND EVAN</v>
      </c>
      <c r="M24" s="6">
        <f t="shared" si="1"/>
        <v>2.6875000003201421E-2</v>
      </c>
      <c r="N24" s="7">
        <f t="shared" si="2"/>
        <v>38.700000004610047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04:49:52-700',mode:absolute,to:'2016-12-04 07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23.298300000000001</v>
      </c>
      <c r="Z24" s="67">
        <f t="shared" si="9"/>
        <v>1.41E-2</v>
      </c>
      <c r="AA24" s="67">
        <f t="shared" si="10"/>
        <v>23.284200000000002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11"/>
        <v>0112-04</v>
      </c>
      <c r="AE24" s="91" t="str">
        <f t="shared" si="12"/>
        <v>aws s3 cp s3://rtdc.mdm.uploadarchive.raw/RTDC4004/ "%USERPROFILE%\AppData\Local\Temp\OnboardLogs"\RTDC4004\2016-12-04 --exclude "*" --recursive --include "*20161204*" &amp; "%USERPROFILE%\Documents\GitHub\mrs-test-scripts\Headless Mode &amp; Sideloading\WalkAndUnGZ.bat" "%USERPROFILE%\AppData\Local\Temp\OnboardLogs"\RTDC4004\2016-12-04 &amp; aws s3 cp s3://rtdc.mdm.uploadarchive.raw/RTDC4004/ "%USERPROFILE%\AppData\Local\Temp\OnboardLogs"\RTDC4004\2016-12-05 --exclude "*" --recursive --include "*20161205*" &amp; "%USERPROFILE%\Documents\GitHub\mrs-test-scripts\Headless Mode &amp; Sideloading\WalkAndUnGZ.bat" "%USERPROFILE%\AppData\Local\Temp\OnboardLogs"\RTDC4004\2016-12-05</v>
      </c>
      <c r="AF24" s="88" t="str">
        <f t="shared" si="13"/>
        <v>"C:\Program Files (x86)\AstroGrep\AstroGrep.exe" /spath="%USERPROFILE%\AppData\Local\Temp\OnboardLogs" /stypes="app*4004*20161204*"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112-04 --locoid 4004 --swversion DE.1.0.8.0 --startMP 204:232983 --initTime 2016-12-04T05:49:52 --startdatetime 2016-12-04T05:56:24 --delay 1 --endMP 204:141 --enddatetime 2016-12-04T06:35:06 --enforcementcount 0 &gt;&gt;C:\Users\stu\Documents\GitHub\eaglep3-reporting\EC\2016-12-04-refined-times.txt</v>
      </c>
      <c r="AI24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{"issue":{"subject":"","project_id":79,"tracker_id":40,"status_id":1,"priority_id":2,"assigned_to_id":23,"start_date":"2016-12-04","description":"","custom_fields":[{"id":1,"name":"Subdivision","value":"EC"},{"id":4,"name":"Milepost","value":"0.0141"},{"id":17,"name":"Train ID","value":"112-04"},{"id":16,"name":"Locomotive ID","value":"4004"},{"id":130,"name":"Impact","value":""},{"id":150,"name":"Time of Event (Mountain Time)","value":"06:35:06"},{"id":151,"name":"Denver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469</v>
      </c>
      <c r="B25" s="7">
        <v>4022</v>
      </c>
      <c r="C25" s="22" t="s">
        <v>208</v>
      </c>
      <c r="D25" s="22" t="s">
        <v>281</v>
      </c>
      <c r="E25" s="13">
        <v>42708.208645833336</v>
      </c>
      <c r="F25" s="13">
        <v>42708.219039351854</v>
      </c>
      <c r="G25" s="7">
        <v>1</v>
      </c>
      <c r="H25" s="22" t="s">
        <v>425</v>
      </c>
      <c r="I25" s="13">
        <v>42708.244189814817</v>
      </c>
      <c r="J25" s="7">
        <v>0</v>
      </c>
      <c r="K25" s="109" t="str">
        <f t="shared" si="0"/>
        <v>4021/4022</v>
      </c>
      <c r="L25" s="22" t="str">
        <f>VLOOKUP(A25,'Trips&amp;Operators'!$C$1:$G$99999,5,FALSE)</f>
        <v>KILLION DAVID</v>
      </c>
      <c r="M25" s="6">
        <f t="shared" si="1"/>
        <v>2.5150462963210884E-2</v>
      </c>
      <c r="N25" s="7">
        <f t="shared" si="2"/>
        <v>36.216666667023674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04:00:27-700',mode:absolute,to:'2016-12-04 06:51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4.58E-2</v>
      </c>
      <c r="Z25" s="67">
        <f t="shared" si="9"/>
        <v>23.327200000000001</v>
      </c>
      <c r="AA25" s="67">
        <f t="shared" si="10"/>
        <v>23.281400000000001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11"/>
        <v>0113-04</v>
      </c>
      <c r="AE25" s="91" t="str">
        <f t="shared" si="12"/>
        <v>aws s3 cp s3://rtdc.mdm.uploadarchive.raw/RTDC4022/ "%USERPROFILE%\AppData\Local\Temp\OnboardLogs"\RTDC4022\2016-12-04 --exclude "*" --recursive --include "*20161204*" &amp; "%USERPROFILE%\Documents\GitHub\mrs-test-scripts\Headless Mode &amp; Sideloading\WalkAndUnGZ.bat" "%USERPROFILE%\AppData\Local\Temp\OnboardLogs"\RTDC4022\2016-12-04 &amp; aws s3 cp s3://rtdc.mdm.uploadarchive.raw/RTDC4022/ "%USERPROFILE%\AppData\Local\Temp\OnboardLogs"\RTDC4022\2016-12-05 --exclude "*" --recursive --include "*20161205*" &amp; "%USERPROFILE%\Documents\GitHub\mrs-test-scripts\Headless Mode &amp; Sideloading\WalkAndUnGZ.bat" "%USERPROFILE%\AppData\Local\Temp\OnboardLogs"\RTDC4022\2016-12-05</v>
      </c>
      <c r="AF25" s="88" t="str">
        <f t="shared" si="13"/>
        <v>"C:\Program Files (x86)\AstroGrep\AstroGrep.exe" /spath="%USERPROFILE%\AppData\Local\Temp\OnboardLogs" /stypes="app*4022*20161204*"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113-04 --locoid 4022 --swversion DE.1.0.8.0 --startMP 204:458 --initTime 2016-12-04T05:00:27 --startdatetime 2016-12-04T05:15:25 --delay 1 --endMP 204:233272 --enddatetime 2016-12-04T05:51:38 --enforcementcount 0 &gt;&gt;C:\Users\stu\Documents\GitHub\eaglep3-reporting\EC\2016-12-04-refined-times.txt</v>
      </c>
      <c r="AI25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{"issue":{"subject":"","project_id":79,"tracker_id":40,"status_id":1,"priority_id":2,"assigned_to_id":23,"start_date":"2016-12-04","description":"","custom_fields":[{"id":1,"name":"Subdivision","value":"EC"},{"id":4,"name":"Milepost","value":"23.3272"},{"id":17,"name":"Train ID","value":"113-04"},{"id":16,"name":"Locomotive ID","value":"4022"},{"id":130,"name":"Impact","value":""},{"id":150,"name":"Time of Event (Mountain Time)","value":"05:51:38"},{"id":151,"name":"Denver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480</v>
      </c>
      <c r="B26" s="7">
        <v>4021</v>
      </c>
      <c r="C26" s="22" t="s">
        <v>208</v>
      </c>
      <c r="D26" s="22" t="s">
        <v>280</v>
      </c>
      <c r="E26" s="13">
        <v>42708.250937500001</v>
      </c>
      <c r="F26" s="13">
        <v>42708.257870370369</v>
      </c>
      <c r="G26" s="7">
        <v>1</v>
      </c>
      <c r="H26" s="22" t="s">
        <v>206</v>
      </c>
      <c r="I26" s="13">
        <v>42708.284594907411</v>
      </c>
      <c r="J26" s="7">
        <v>0</v>
      </c>
      <c r="K26" s="109" t="str">
        <f t="shared" si="0"/>
        <v>4021/4022</v>
      </c>
      <c r="L26" s="22" t="str">
        <f>VLOOKUP(A26,'Trips&amp;Operators'!$C$1:$G$99999,5,FALSE)</f>
        <v>KILLION DAVID</v>
      </c>
      <c r="M26" s="6">
        <f t="shared" si="1"/>
        <v>2.6724537041445728E-2</v>
      </c>
      <c r="N26" s="7">
        <f t="shared" si="2"/>
        <v>38.483333339681849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05:01:21-700',mode:absolute,to:'2016-12-04 07:49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23.298200000000001</v>
      </c>
      <c r="Z26" s="67">
        <f t="shared" si="9"/>
        <v>1.5599999999999999E-2</v>
      </c>
      <c r="AA26" s="67">
        <f t="shared" si="10"/>
        <v>23.282600000000002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11"/>
        <v>0114-04</v>
      </c>
      <c r="AE26" s="91" t="str">
        <f t="shared" si="12"/>
        <v>aws s3 cp s3://rtdc.mdm.uploadarchive.raw/RTDC4021/ "%USERPROFILE%\AppData\Local\Temp\OnboardLogs"\RTDC4021\2016-12-04 --exclude "*" --recursive --include "*20161204*" &amp; "%USERPROFILE%\Documents\GitHub\mrs-test-scripts\Headless Mode &amp; Sideloading\WalkAndUnGZ.bat" "%USERPROFILE%\AppData\Local\Temp\OnboardLogs"\RTDC4021\2016-12-04 &amp; aws s3 cp s3://rtdc.mdm.uploadarchive.raw/RTDC4021/ "%USERPROFILE%\AppData\Local\Temp\OnboardLogs"\RTDC4021\2016-12-05 --exclude "*" --recursive --include "*20161205*" &amp; "%USERPROFILE%\Documents\GitHub\mrs-test-scripts\Headless Mode &amp; Sideloading\WalkAndUnGZ.bat" "%USERPROFILE%\AppData\Local\Temp\OnboardLogs"\RTDC4021\2016-12-05</v>
      </c>
      <c r="AF26" s="88" t="str">
        <f t="shared" si="13"/>
        <v>"C:\Program Files (x86)\AstroGrep\AstroGrep.exe" /spath="%USERPROFILE%\AppData\Local\Temp\OnboardLogs" /stypes="app*4021*20161204*"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114-04 --locoid 4021 --swversion DE.1.0.8.0 --startMP 204:232982 --initTime 2016-12-04T06:01:21 --startdatetime 2016-12-04T06:11:20 --delay 1 --endMP 204:156 --enddatetime 2016-12-04T06:49:49 --enforcementcount 0 &gt;&gt;C:\Users\stu\Documents\GitHub\eaglep3-reporting\EC\2016-12-04-refined-times.txt</v>
      </c>
      <c r="AI26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{"issue":{"subject":"","project_id":79,"tracker_id":40,"status_id":1,"priority_id":2,"assigned_to_id":23,"start_date":"2016-12-04","description":"","custom_fields":[{"id":1,"name":"Subdivision","value":"EC"},{"id":4,"name":"Milepost","value":"0.0156"},{"id":17,"name":"Train ID","value":"114-04"},{"id":16,"name":"Locomotive ID","value":"4021"},{"id":130,"name":"Impact","value":""},{"id":150,"name":"Time of Event (Mountain Time)","value":"06:49:49"},{"id":151,"name":"Denver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474</v>
      </c>
      <c r="B27" s="7">
        <v>4031</v>
      </c>
      <c r="C27" s="22" t="s">
        <v>208</v>
      </c>
      <c r="D27" s="22" t="s">
        <v>667</v>
      </c>
      <c r="E27" s="13">
        <v>42708.224895833337</v>
      </c>
      <c r="F27" s="13">
        <v>42708.22934027778</v>
      </c>
      <c r="G27" s="7">
        <v>1</v>
      </c>
      <c r="H27" s="22" t="s">
        <v>668</v>
      </c>
      <c r="I27" s="13">
        <v>42708.253622685188</v>
      </c>
      <c r="J27" s="7">
        <v>0</v>
      </c>
      <c r="K27" s="109" t="str">
        <f t="shared" si="0"/>
        <v>4031/4032</v>
      </c>
      <c r="L27" s="22" t="str">
        <f>VLOOKUP(A27,'Trips&amp;Operators'!$C$1:$G$99999,5,FALSE)</f>
        <v>YORK EDGAR</v>
      </c>
      <c r="M27" s="6">
        <f t="shared" si="1"/>
        <v>2.4282407408463769E-2</v>
      </c>
      <c r="N27" s="7">
        <f t="shared" si="2"/>
        <v>34.966666668187827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04:23:51-700',mode:absolute,to:'2016-12-04 07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7.2400000000000006E-2</v>
      </c>
      <c r="Z27" s="67">
        <f t="shared" si="9"/>
        <v>23.328499999999998</v>
      </c>
      <c r="AA27" s="67">
        <f t="shared" si="10"/>
        <v>23.2561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11"/>
        <v>0115-04</v>
      </c>
      <c r="AE27" s="91" t="str">
        <f t="shared" si="12"/>
        <v>aws s3 cp s3://rtdc.mdm.uploadarchive.raw/RTDC4031/ "%USERPROFILE%\AppData\Local\Temp\OnboardLogs"\RTDC4031\2016-12-04 --exclude "*" --recursive --include "*20161204*" &amp; "%USERPROFILE%\Documents\GitHub\mrs-test-scripts\Headless Mode &amp; Sideloading\WalkAndUnGZ.bat" "%USERPROFILE%\AppData\Local\Temp\OnboardLogs"\RTDC4031\2016-12-04 &amp; aws s3 cp s3://rtdc.mdm.uploadarchive.raw/RTDC4031/ "%USERPROFILE%\AppData\Local\Temp\OnboardLogs"\RTDC4031\2016-12-05 --exclude "*" --recursive --include "*20161205*" &amp; "%USERPROFILE%\Documents\GitHub\mrs-test-scripts\Headless Mode &amp; Sideloading\WalkAndUnGZ.bat" "%USERPROFILE%\AppData\Local\Temp\OnboardLogs"\RTDC4031\2016-12-05</v>
      </c>
      <c r="AF27" s="88" t="str">
        <f t="shared" si="13"/>
        <v>"C:\Program Files (x86)\AstroGrep\AstroGrep.exe" /spath="%USERPROFILE%\AppData\Local\Temp\OnboardLogs" /stypes="app*4031*20161204*"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115-04 --locoid 4031 --swversion DE.1.0.8.0 --startMP 204:724 --initTime 2016-12-04T05:23:51 --startdatetime 2016-12-04T05:30:15 --delay 1 --endMP 204:233285 --enddatetime 2016-12-04T06:05:13 --enforcementcount 0 &gt;&gt;C:\Users\stu\Documents\GitHub\eaglep3-reporting\EC\2016-12-04-refined-times.txt</v>
      </c>
      <c r="AI27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{"issue":{"subject":"","project_id":79,"tracker_id":40,"status_id":1,"priority_id":2,"assigned_to_id":23,"start_date":"2016-12-04","description":"","custom_fields":[{"id":1,"name":"Subdivision","value":"EC"},{"id":4,"name":"Milepost","value":"23.3285"},{"id":17,"name":"Train ID","value":"115-04"},{"id":16,"name":"Locomotive ID","value":"4031"},{"id":130,"name":"Impact","value":""},{"id":150,"name":"Time of Event (Mountain Time)","value":"06:05:13"},{"id":151,"name":"Denver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481</v>
      </c>
      <c r="B28" s="7">
        <v>4032</v>
      </c>
      <c r="C28" s="22" t="s">
        <v>208</v>
      </c>
      <c r="D28" s="22" t="s">
        <v>669</v>
      </c>
      <c r="E28" s="13">
        <v>42708.25540509259</v>
      </c>
      <c r="F28" s="13">
        <v>42708.268275462964</v>
      </c>
      <c r="G28" s="7">
        <v>1</v>
      </c>
      <c r="H28" s="22" t="s">
        <v>415</v>
      </c>
      <c r="I28" s="13">
        <v>42708.294108796297</v>
      </c>
      <c r="J28" s="7">
        <v>0</v>
      </c>
      <c r="K28" s="109" t="str">
        <f t="shared" si="0"/>
        <v>4031/4032</v>
      </c>
      <c r="L28" s="22" t="str">
        <f>VLOOKUP(A28,'Trips&amp;Operators'!$C$1:$G$99999,5,FALSE)</f>
        <v>YORK EDGAR</v>
      </c>
      <c r="M28" s="6">
        <f t="shared" si="1"/>
        <v>2.5833333333139308E-2</v>
      </c>
      <c r="N28" s="7">
        <f t="shared" si="2"/>
        <v>37.199999999720603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05:07:47-700',mode:absolute,to:'2016-12-04 08:03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23.296800000000001</v>
      </c>
      <c r="Z28" s="67">
        <f t="shared" si="9"/>
        <v>1.7000000000000001E-2</v>
      </c>
      <c r="AA28" s="67">
        <f t="shared" si="10"/>
        <v>23.279800000000002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11"/>
        <v>0116-04</v>
      </c>
      <c r="AE28" s="91" t="str">
        <f t="shared" si="12"/>
        <v>aws s3 cp s3://rtdc.mdm.uploadarchive.raw/RTDC4032/ "%USERPROFILE%\AppData\Local\Temp\OnboardLogs"\RTDC4032\2016-12-04 --exclude "*" --recursive --include "*20161204*" &amp; "%USERPROFILE%\Documents\GitHub\mrs-test-scripts\Headless Mode &amp; Sideloading\WalkAndUnGZ.bat" "%USERPROFILE%\AppData\Local\Temp\OnboardLogs"\RTDC4032\2016-12-04 &amp; aws s3 cp s3://rtdc.mdm.uploadarchive.raw/RTDC4032/ "%USERPROFILE%\AppData\Local\Temp\OnboardLogs"\RTDC4032\2016-12-05 --exclude "*" --recursive --include "*20161205*" &amp; "%USERPROFILE%\Documents\GitHub\mrs-test-scripts\Headless Mode &amp; Sideloading\WalkAndUnGZ.bat" "%USERPROFILE%\AppData\Local\Temp\OnboardLogs"\RTDC4032\2016-12-05</v>
      </c>
      <c r="AF28" s="88" t="str">
        <f t="shared" si="13"/>
        <v>"C:\Program Files (x86)\AstroGrep\AstroGrep.exe" /spath="%USERPROFILE%\AppData\Local\Temp\OnboardLogs" /stypes="app*4032*20161204*"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116-04 --locoid 4032 --swversion DE.1.0.8.0 --startMP 204:232968 --initTime 2016-12-04T06:07:47 --startdatetime 2016-12-04T06:26:19 --delay 1 --endMP 204:170 --enddatetime 2016-12-04T07:03:31 --enforcementcount 0 &gt;&gt;C:\Users\stu\Documents\GitHub\eaglep3-reporting\EC\2016-12-04-refined-times.txt</v>
      </c>
      <c r="AI28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{"issue":{"subject":"","project_id":79,"tracker_id":40,"status_id":1,"priority_id":2,"assigned_to_id":23,"start_date":"2016-12-04","description":"","custom_fields":[{"id":1,"name":"Subdivision","value":"EC"},{"id":4,"name":"Milepost","value":"0.017"},{"id":17,"name":"Train ID","value":"116-04"},{"id":16,"name":"Locomotive ID","value":"4032"},{"id":130,"name":"Impact","value":""},{"id":150,"name":"Time of Event (Mountain Time)","value":"07:03:31"},{"id":151,"name":"Denver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476</v>
      </c>
      <c r="B29" s="7">
        <v>4038</v>
      </c>
      <c r="C29" s="22" t="s">
        <v>208</v>
      </c>
      <c r="D29" s="22" t="s">
        <v>670</v>
      </c>
      <c r="E29" s="13">
        <v>42708.231307870374</v>
      </c>
      <c r="F29" s="13">
        <v>42708.239768518521</v>
      </c>
      <c r="G29" s="7">
        <v>1</v>
      </c>
      <c r="H29" s="22" t="s">
        <v>671</v>
      </c>
      <c r="I29" s="13">
        <v>42708.264224537037</v>
      </c>
      <c r="J29" s="7">
        <v>0</v>
      </c>
      <c r="K29" s="109" t="str">
        <f t="shared" si="0"/>
        <v>4037/4038</v>
      </c>
      <c r="L29" s="22" t="str">
        <f>VLOOKUP(A29,'Trips&amp;Operators'!$C$1:$G$99999,5,FALSE)</f>
        <v>ACKERMAN JARED</v>
      </c>
      <c r="M29" s="6">
        <f t="shared" si="1"/>
        <v>2.4456018516502809E-2</v>
      </c>
      <c r="N29" s="7">
        <f t="shared" si="2"/>
        <v>35.216666663764045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04:33:05-700',mode:absolute,to:'2016-12-04 07:20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4.3099999999999999E-2</v>
      </c>
      <c r="Z29" s="67">
        <f t="shared" si="9"/>
        <v>23.3278</v>
      </c>
      <c r="AA29" s="67">
        <f t="shared" si="10"/>
        <v>23.284700000000001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11"/>
        <v>0117-04</v>
      </c>
      <c r="AE29" s="91" t="str">
        <f t="shared" si="12"/>
        <v>aws s3 cp s3://rtdc.mdm.uploadarchive.raw/RTDC4038/ "%USERPROFILE%\AppData\Local\Temp\OnboardLogs"\RTDC4038\2016-12-04 --exclude "*" --recursive --include "*20161204*" &amp; "%USERPROFILE%\Documents\GitHub\mrs-test-scripts\Headless Mode &amp; Sideloading\WalkAndUnGZ.bat" "%USERPROFILE%\AppData\Local\Temp\OnboardLogs"\RTDC4038\2016-12-04 &amp; 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</v>
      </c>
      <c r="AF29" s="88" t="str">
        <f t="shared" si="13"/>
        <v>"C:\Program Files (x86)\AstroGrep\AstroGrep.exe" /spath="%USERPROFILE%\AppData\Local\Temp\OnboardLogs" /stypes="app*4038*20161204*"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117-04 --locoid 4038 --swversion DE.1.0.8.0 --startMP 204:431 --initTime 2016-12-04T05:33:05 --startdatetime 2016-12-04T05:45:16 --delay 1 --endMP 204:233278 --enddatetime 2016-12-04T06:20:29 --enforcementcount 0 &gt;&gt;C:\Users\stu\Documents\GitHub\eaglep3-reporting\EC\2016-12-04-refined-times.txt</v>
      </c>
      <c r="AI29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{"issue":{"subject":"","project_id":79,"tracker_id":40,"status_id":1,"priority_id":2,"assigned_to_id":23,"start_date":"2016-12-04","description":"","custom_fields":[{"id":1,"name":"Subdivision","value":"EC"},{"id":4,"name":"Milepost","value":"23.3278"},{"id":17,"name":"Train ID","value":"117-04"},{"id":16,"name":"Locomotive ID","value":"4038"},{"id":130,"name":"Impact","value":""},{"id":150,"name":"Time of Event (Mountain Time)","value":"06:20:29"},{"id":151,"name":"Denver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442</v>
      </c>
      <c r="B30" s="7">
        <v>4037</v>
      </c>
      <c r="C30" s="22" t="s">
        <v>208</v>
      </c>
      <c r="D30" s="22" t="s">
        <v>672</v>
      </c>
      <c r="E30" s="13">
        <v>42708.272094907406</v>
      </c>
      <c r="F30" s="13">
        <v>42708.278657407405</v>
      </c>
      <c r="G30" s="7">
        <v>1</v>
      </c>
      <c r="H30" s="22" t="s">
        <v>656</v>
      </c>
      <c r="I30" s="13">
        <v>42708.305069444446</v>
      </c>
      <c r="J30" s="7">
        <v>0</v>
      </c>
      <c r="K30" s="109" t="str">
        <f t="shared" si="0"/>
        <v>4037/4038</v>
      </c>
      <c r="L30" s="22" t="str">
        <f>VLOOKUP(A30,'Trips&amp;Operators'!$C$1:$G$99999,5,FALSE)</f>
        <v>ACKERMAN JARED</v>
      </c>
      <c r="M30" s="6">
        <f t="shared" si="1"/>
        <v>2.641203704115469E-2</v>
      </c>
      <c r="N30" s="7">
        <f t="shared" si="2"/>
        <v>38.033333339262754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05:31:49-700',mode:absolute,to:'2016-12-04 08:19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23.295500000000001</v>
      </c>
      <c r="Z30" s="67">
        <f t="shared" si="9"/>
        <v>1.52E-2</v>
      </c>
      <c r="AA30" s="67">
        <f t="shared" si="10"/>
        <v>23.2803</v>
      </c>
      <c r="AB30" s="64" t="str">
        <f>VLOOKUP(A30,Enforcements!$C$7:$K$20,8,0)</f>
        <v>Form based authority (4)</v>
      </c>
      <c r="AC30" s="60" t="str">
        <f>VLOOKUP(A30,Enforcements!$C$7:$E$20,3,0)</f>
        <v>TRACK WARRANT AUTHORITY</v>
      </c>
      <c r="AD30" s="61" t="str">
        <f t="shared" si="11"/>
        <v>0118-04</v>
      </c>
      <c r="AE30" s="91" t="str">
        <f t="shared" si="12"/>
        <v>aws s3 cp s3://rtdc.mdm.uploadarchive.raw/RTDC4037/ "%USERPROFILE%\AppData\Local\Temp\OnboardLogs"\RTDC4037\2016-12-04 --exclude "*" --recursive --include "*20161204*" &amp; "%USERPROFILE%\Documents\GitHub\mrs-test-scripts\Headless Mode &amp; Sideloading\WalkAndUnGZ.bat" "%USERPROFILE%\AppData\Local\Temp\OnboardLogs"\RTDC4037\2016-12-04 &amp; 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</v>
      </c>
      <c r="AF30" s="88" t="str">
        <f t="shared" si="13"/>
        <v>"C:\Program Files (x86)\AstroGrep\AstroGrep.exe" /spath="%USERPROFILE%\AppData\Local\Temp\OnboardLogs" /stypes="app*4037*20161204*"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118-04 --locoid 4037 --swversion DE.1.0.8.0 --startMP 204:232955 --initTime 2016-12-04T06:31:49 --startdatetime 2016-12-04T06:41:16 --delay 1 --endMP 204:152 --enddatetime 2016-12-04T07:19:18 --enforcementcount 0 &gt;&gt;C:\Users\stu\Documents\GitHub\eaglep3-reporting\EC\2016-12-04-refined-times.txt</v>
      </c>
      <c r="AI30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{"issue":{"subject":"","project_id":79,"tracker_id":40,"status_id":1,"priority_id":2,"assigned_to_id":23,"start_date":"2016-12-04","description":"","custom_fields":[{"id":1,"name":"Subdivision","value":"EC"},{"id":4,"name":"Milepost","value":"0.0152"},{"id":17,"name":"Train ID","value":"118-04"},{"id":16,"name":"Locomotive ID","value":"4037"},{"id":130,"name":"Impact","value":""},{"id":150,"name":"Time of Event (Mountain Time)","value":"07:19:18"},{"id":151,"name":"Denver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479</v>
      </c>
      <c r="B31" s="7">
        <v>4029</v>
      </c>
      <c r="C31" s="22" t="s">
        <v>208</v>
      </c>
      <c r="D31" s="22" t="s">
        <v>673</v>
      </c>
      <c r="E31" s="13">
        <v>42708.246006944442</v>
      </c>
      <c r="F31" s="13">
        <v>42708.250590277778</v>
      </c>
      <c r="G31" s="7">
        <v>1</v>
      </c>
      <c r="H31" s="22" t="s">
        <v>304</v>
      </c>
      <c r="I31" s="13">
        <v>42708.274814814817</v>
      </c>
      <c r="J31" s="7">
        <v>0</v>
      </c>
      <c r="K31" s="109" t="str">
        <f t="shared" si="0"/>
        <v>4029/4030</v>
      </c>
      <c r="L31" s="22" t="str">
        <f>VLOOKUP(A31,'Trips&amp;Operators'!$C$1:$G$99999,5,FALSE)</f>
        <v>MAELZER KURT</v>
      </c>
      <c r="M31" s="6">
        <f t="shared" si="1"/>
        <v>2.4224537039117422E-2</v>
      </c>
      <c r="N31" s="7">
        <f t="shared" si="2"/>
        <v>34.883333336329088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04:54:15-700',mode:absolute,to:'2016-12-04 07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7.4800000000000005E-2</v>
      </c>
      <c r="Z31" s="67">
        <f t="shared" si="9"/>
        <v>23.331199999999999</v>
      </c>
      <c r="AA31" s="67">
        <f t="shared" si="10"/>
        <v>23.256399999999999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11"/>
        <v>0119-04</v>
      </c>
      <c r="AE31" s="91" t="str">
        <f t="shared" si="12"/>
        <v>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 &amp; aws s3 cp s3://rtdc.mdm.uploadarchive.raw/RTDC4029/ "%USERPROFILE%\AppData\Local\Temp\OnboardLogs"\RTDC4029\2016-12-05 --exclude "*" --recursive --include "*20161205*" &amp; "%USERPROFILE%\Documents\GitHub\mrs-test-scripts\Headless Mode &amp; Sideloading\WalkAndUnGZ.bat" "%USERPROFILE%\AppData\Local\Temp\OnboardLogs"\RTDC4029\2016-12-05</v>
      </c>
      <c r="AF31" s="88" t="str">
        <f t="shared" si="13"/>
        <v>"C:\Program Files (x86)\AstroGrep\AstroGrep.exe" /spath="%USERPROFILE%\AppData\Local\Temp\OnboardLogs" /stypes="app*4029*20161204*"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119-04 --locoid 4029 --swversion DE.1.0.8.0 --startMP 204:748 --initTime 2016-12-04T05:54:15 --startdatetime 2016-12-04T06:00:51 --delay 1 --endMP 204:233312 --enddatetime 2016-12-04T06:35:44 --enforcementcount 0 &gt;&gt;C:\Users\stu\Documents\GitHub\eaglep3-reporting\EC\2016-12-04-refined-times.txt</v>
      </c>
      <c r="AI31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{"issue":{"subject":"","project_id":79,"tracker_id":40,"status_id":1,"priority_id":2,"assigned_to_id":23,"start_date":"2016-12-04","description":"","custom_fields":[{"id":1,"name":"Subdivision","value":"EC"},{"id":4,"name":"Milepost","value":"23.3312"},{"id":17,"name":"Train ID","value":"119-04"},{"id":16,"name":"Locomotive ID","value":"4029"},{"id":130,"name":"Impact","value":""},{"id":150,"name":"Time of Event (Mountain Time)","value":"06:35:44"},{"id":151,"name":"Denver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487</v>
      </c>
      <c r="B32" s="7">
        <v>4030</v>
      </c>
      <c r="C32" s="22" t="s">
        <v>208</v>
      </c>
      <c r="D32" s="22" t="s">
        <v>315</v>
      </c>
      <c r="E32" s="13">
        <v>42708.281875000001</v>
      </c>
      <c r="F32" s="13">
        <v>42708.289155092592</v>
      </c>
      <c r="G32" s="7">
        <v>1</v>
      </c>
      <c r="H32" s="22" t="s">
        <v>244</v>
      </c>
      <c r="I32" s="13">
        <v>42708.314988425926</v>
      </c>
      <c r="J32" s="7">
        <v>0</v>
      </c>
      <c r="K32" s="109" t="str">
        <f t="shared" si="0"/>
        <v>4029/4030</v>
      </c>
      <c r="L32" s="22" t="str">
        <f>VLOOKUP(A32,'Trips&amp;Operators'!$C$1:$G$99999,5,FALSE)</f>
        <v>MAELZER KURT</v>
      </c>
      <c r="M32" s="6">
        <f t="shared" si="1"/>
        <v>2.5833333333139308E-2</v>
      </c>
      <c r="N32" s="7">
        <f t="shared" si="2"/>
        <v>37.199999999720603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05:45:54-700',mode:absolute,to:'2016-12-04 08:33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23.299099999999999</v>
      </c>
      <c r="Z32" s="67">
        <f t="shared" si="9"/>
        <v>1.61E-2</v>
      </c>
      <c r="AA32" s="67">
        <f t="shared" si="10"/>
        <v>23.282999999999998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11"/>
        <v>0120-04</v>
      </c>
      <c r="AE32" s="91" t="str">
        <f t="shared" si="12"/>
        <v>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 &amp; aws s3 cp s3://rtdc.mdm.uploadarchive.raw/RTDC4030/ "%USERPROFILE%\AppData\Local\Temp\OnboardLogs"\RTDC4030\2016-12-05 --exclude "*" --recursive --include "*20161205*" &amp; "%USERPROFILE%\Documents\GitHub\mrs-test-scripts\Headless Mode &amp; Sideloading\WalkAndUnGZ.bat" "%USERPROFILE%\AppData\Local\Temp\OnboardLogs"\RTDC4030\2016-12-05</v>
      </c>
      <c r="AF32" s="88" t="str">
        <f t="shared" si="13"/>
        <v>"C:\Program Files (x86)\AstroGrep\AstroGrep.exe" /spath="%USERPROFILE%\AppData\Local\Temp\OnboardLogs" /stypes="app*4030*20161204*"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120-04 --locoid 4030 --swversion DE.1.0.8.0 --startMP 204:232991 --initTime 2016-12-04T06:45:54 --startdatetime 2016-12-04T06:56:23 --delay 1 --endMP 204:161 --enddatetime 2016-12-04T07:33:35 --enforcementcount 0 &gt;&gt;C:\Users\stu\Documents\GitHub\eaglep3-reporting\EC\2016-12-04-refined-times.txt</v>
      </c>
      <c r="AI32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{"issue":{"subject":"","project_id":79,"tracker_id":40,"status_id":1,"priority_id":2,"assigned_to_id":23,"start_date":"2016-12-04","description":"","custom_fields":[{"id":1,"name":"Subdivision","value":"EC"},{"id":4,"name":"Milepost","value":"0.0161"},{"id":17,"name":"Train ID","value":"120-04"},{"id":16,"name":"Locomotive ID","value":"4030"},{"id":130,"name":"Impact","value":""},{"id":150,"name":"Time of Event (Mountain Time)","value":"07:33:35"},{"id":151,"name":"Denver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482</v>
      </c>
      <c r="B33" s="7">
        <v>4027</v>
      </c>
      <c r="C33" s="22" t="s">
        <v>208</v>
      </c>
      <c r="D33" s="22" t="s">
        <v>674</v>
      </c>
      <c r="E33" s="13">
        <v>42708.255428240744</v>
      </c>
      <c r="F33" s="13">
        <v>42708.260671296295</v>
      </c>
      <c r="G33" s="7">
        <v>1</v>
      </c>
      <c r="H33" s="22" t="s">
        <v>253</v>
      </c>
      <c r="I33" s="13">
        <v>42708.285983796297</v>
      </c>
      <c r="J33" s="7">
        <v>0</v>
      </c>
      <c r="K33" s="109" t="str">
        <f t="shared" si="0"/>
        <v>4027/4028</v>
      </c>
      <c r="L33" s="22" t="str">
        <f>VLOOKUP(A33,'Trips&amp;Operators'!$C$1:$G$99999,5,FALSE)</f>
        <v>HAITHCOX MICHAEL</v>
      </c>
      <c r="M33" s="6">
        <f t="shared" si="1"/>
        <v>2.531250000174623E-2</v>
      </c>
      <c r="N33" s="7">
        <f t="shared" si="2"/>
        <v>36.450000002514571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05:07:49-700',mode:absolute,to:'2016-12-04 07:51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4.6399999999999997E-2</v>
      </c>
      <c r="Z33" s="67">
        <f t="shared" si="9"/>
        <v>23.3307</v>
      </c>
      <c r="AA33" s="67">
        <f t="shared" si="10"/>
        <v>23.284300000000002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11"/>
        <v>0121-04</v>
      </c>
      <c r="AE33" s="91" t="str">
        <f t="shared" si="12"/>
        <v>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 &amp; aws s3 cp s3://rtdc.mdm.uploadarchive.raw/RTDC4027/ "%USERPROFILE%\AppData\Local\Temp\OnboardLogs"\RTDC4027\2016-12-05 --exclude "*" --recursive --include "*20161205*" &amp; "%USERPROFILE%\Documents\GitHub\mrs-test-scripts\Headless Mode &amp; Sideloading\WalkAndUnGZ.bat" "%USERPROFILE%\AppData\Local\Temp\OnboardLogs"\RTDC4027\2016-12-05</v>
      </c>
      <c r="AF33" s="88" t="str">
        <f t="shared" si="13"/>
        <v>"C:\Program Files (x86)\AstroGrep\AstroGrep.exe" /spath="%USERPROFILE%\AppData\Local\Temp\OnboardLogs" /stypes="app*4027*20161204*"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121-04 --locoid 4027 --swversion DE.1.0.8.0 --startMP 204:464 --initTime 2016-12-04T06:07:49 --startdatetime 2016-12-04T06:15:22 --delay 1 --endMP 204:233307 --enddatetime 2016-12-04T06:51:49 --enforcementcount 0 &gt;&gt;C:\Users\stu\Documents\GitHub\eaglep3-reporting\EC\2016-12-04-refined-times.txt</v>
      </c>
      <c r="AI33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{"issue":{"subject":"","project_id":79,"tracker_id":40,"status_id":1,"priority_id":2,"assigned_to_id":23,"start_date":"2016-12-04","description":"","custom_fields":[{"id":1,"name":"Subdivision","value":"EC"},{"id":4,"name":"Milepost","value":"23.3307"},{"id":17,"name":"Train ID","value":"121-04"},{"id":16,"name":"Locomotive ID","value":"4027"},{"id":130,"name":"Impact","value":""},{"id":150,"name":"Time of Event (Mountain Time)","value":"06:51:49"},{"id":151,"name":"Denver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490</v>
      </c>
      <c r="B34" s="7">
        <v>4028</v>
      </c>
      <c r="C34" s="22" t="s">
        <v>208</v>
      </c>
      <c r="D34" s="22" t="s">
        <v>675</v>
      </c>
      <c r="E34" s="13">
        <v>42708.296516203707</v>
      </c>
      <c r="F34" s="13">
        <v>42708.29954861111</v>
      </c>
      <c r="G34" s="7">
        <v>1</v>
      </c>
      <c r="H34" s="22" t="s">
        <v>231</v>
      </c>
      <c r="I34" s="13">
        <v>42708.326724537037</v>
      </c>
      <c r="J34" s="7">
        <v>0</v>
      </c>
      <c r="K34" s="109" t="str">
        <f t="shared" si="0"/>
        <v>4027/4028</v>
      </c>
      <c r="L34" s="22" t="str">
        <f>VLOOKUP(A34,'Trips&amp;Operators'!$C$1:$G$99999,5,FALSE)</f>
        <v>HAITHCOX MICHAEL</v>
      </c>
      <c r="M34" s="6">
        <f t="shared" si="1"/>
        <v>2.7175925926712807E-2</v>
      </c>
      <c r="N34" s="7">
        <f t="shared" si="2"/>
        <v>39.133333334466442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06:06:59-700',mode:absolute,to:'2016-12-04 08:50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23.298400000000001</v>
      </c>
      <c r="Z34" s="67">
        <f t="shared" si="9"/>
        <v>1.41E-2</v>
      </c>
      <c r="AA34" s="67">
        <f t="shared" si="10"/>
        <v>23.284300000000002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11"/>
        <v>0122-04</v>
      </c>
      <c r="AE34" s="91" t="str">
        <f t="shared" si="12"/>
        <v>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 &amp; aws s3 cp s3://rtdc.mdm.uploadarchive.raw/RTDC4028/ "%USERPROFILE%\AppData\Local\Temp\OnboardLogs"\RTDC4028\2016-12-05 --exclude "*" --recursive --include "*20161205*" &amp; "%USERPROFILE%\Documents\GitHub\mrs-test-scripts\Headless Mode &amp; Sideloading\WalkAndUnGZ.bat" "%USERPROFILE%\AppData\Local\Temp\OnboardLogs"\RTDC4028\2016-12-05</v>
      </c>
      <c r="AF34" s="88" t="str">
        <f t="shared" si="13"/>
        <v>"C:\Program Files (x86)\AstroGrep\AstroGrep.exe" /spath="%USERPROFILE%\AppData\Local\Temp\OnboardLogs" /stypes="app*4028*20161204*"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122-04 --locoid 4028 --swversion DE.1.0.8.0 --startMP 204:232984 --initTime 2016-12-04T07:06:59 --startdatetime 2016-12-04T07:11:21 --delay 1 --endMP 204:141 --enddatetime 2016-12-04T07:50:29 --enforcementcount 0 &gt;&gt;C:\Users\stu\Documents\GitHub\eaglep3-reporting\EC\2016-12-04-refined-times.txt</v>
      </c>
      <c r="AI34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{"issue":{"subject":"","project_id":79,"tracker_id":40,"status_id":1,"priority_id":2,"assigned_to_id":23,"start_date":"2016-12-04","description":"","custom_fields":[{"id":1,"name":"Subdivision","value":"EC"},{"id":4,"name":"Milepost","value":"0.0141"},{"id":17,"name":"Train ID","value":"122-04"},{"id":16,"name":"Locomotive ID","value":"4028"},{"id":130,"name":"Impact","value":""},{"id":150,"name":"Time of Event (Mountain Time)","value":"07:50:29"},{"id":151,"name":"Denver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484</v>
      </c>
      <c r="B35" s="7">
        <v>4020</v>
      </c>
      <c r="C35" s="22" t="s">
        <v>208</v>
      </c>
      <c r="D35" s="22" t="s">
        <v>242</v>
      </c>
      <c r="E35" s="13">
        <v>42708.265914351854</v>
      </c>
      <c r="F35" s="13">
        <v>42708.271053240744</v>
      </c>
      <c r="G35" s="7">
        <v>0</v>
      </c>
      <c r="H35" s="22" t="s">
        <v>676</v>
      </c>
      <c r="I35" s="13">
        <v>42708.295034722221</v>
      </c>
      <c r="J35" s="7">
        <v>0</v>
      </c>
      <c r="K35" s="109" t="str">
        <f t="shared" si="0"/>
        <v>4019/4020</v>
      </c>
      <c r="L35" s="22" t="str">
        <f>VLOOKUP(A35,'Trips&amp;Operators'!$C$1:$G$99999,5,FALSE)</f>
        <v>ROBINSON KADDIBA</v>
      </c>
      <c r="M35" s="6">
        <f t="shared" si="1"/>
        <v>2.3981481477676425E-2</v>
      </c>
      <c r="N35" s="7">
        <f t="shared" si="2"/>
        <v>34.533333327854052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05:22:55-700',mode:absolute,to:'2016-12-04 08:04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4.4200000000000003E-2</v>
      </c>
      <c r="Z35" s="67">
        <f t="shared" si="9"/>
        <v>23.334199999999999</v>
      </c>
      <c r="AA35" s="67">
        <f t="shared" si="10"/>
        <v>23.29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11"/>
        <v>0123-04</v>
      </c>
      <c r="AE35" s="91" t="str">
        <f t="shared" si="12"/>
        <v>aws s3 cp s3://rtdc.mdm.uploadarchive.raw/RTDC4020/ "%USERPROFILE%\AppData\Local\Temp\OnboardLogs"\RTDC4020\2016-12-04 --exclude "*" --recursive --include "*20161204*" &amp; "%USERPROFILE%\Documents\GitHub\mrs-test-scripts\Headless Mode &amp; Sideloading\WalkAndUnGZ.bat" "%USERPROFILE%\AppData\Local\Temp\OnboardLogs"\RTDC4020\2016-12-04 &amp; aws s3 cp s3://rtdc.mdm.uploadarchive.raw/RTDC4020/ "%USERPROFILE%\AppData\Local\Temp\OnboardLogs"\RTDC4020\2016-12-05 --exclude "*" --recursive --include "*20161205*" &amp; "%USERPROFILE%\Documents\GitHub\mrs-test-scripts\Headless Mode &amp; Sideloading\WalkAndUnGZ.bat" "%USERPROFILE%\AppData\Local\Temp\OnboardLogs"\RTDC4020\2016-12-05</v>
      </c>
      <c r="AF35" s="88" t="str">
        <f t="shared" si="13"/>
        <v>"C:\Program Files (x86)\AstroGrep\AstroGrep.exe" /spath="%USERPROFILE%\AppData\Local\Temp\OnboardLogs" /stypes="app*4020*20161204*"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123-04 --locoid 4020 --swversion DE.1.0.8.0 --startMP 204:442 --initTime 2016-12-04T06:22:55 --startdatetime 2016-12-04T06:30:19 --delay 0 --endMP 204:233342 --enddatetime 2016-12-04T07:04:51 --enforcementcount 0 &gt;&gt;C:\Users\stu\Documents\GitHub\eaglep3-reporting\EC\2016-12-04-refined-times.txt</v>
      </c>
      <c r="AI35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{"issue":{"subject":"","project_id":79,"tracker_id":40,"status_id":1,"priority_id":2,"assigned_to_id":23,"start_date":"2016-12-04","description":"","custom_fields":[{"id":1,"name":"Subdivision","value":"EC"},{"id":4,"name":"Milepost","value":"23.3342"},{"id":17,"name":"Train ID","value":"123-04"},{"id":16,"name":"Locomotive ID","value":"4020"},{"id":130,"name":"Impact","value":""},{"id":150,"name":"Time of Event (Mountain Time)","value":"07:04:51"},{"id":151,"name":"Denver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491</v>
      </c>
      <c r="B36" s="7">
        <v>4019</v>
      </c>
      <c r="C36" s="22" t="s">
        <v>208</v>
      </c>
      <c r="D36" s="22" t="s">
        <v>293</v>
      </c>
      <c r="E36" s="13">
        <v>42708.302523148152</v>
      </c>
      <c r="F36" s="13">
        <v>42708.309895833336</v>
      </c>
      <c r="G36" s="7">
        <v>1</v>
      </c>
      <c r="H36" s="22" t="s">
        <v>244</v>
      </c>
      <c r="I36" s="13">
        <v>42708.335787037038</v>
      </c>
      <c r="J36" s="7">
        <v>0</v>
      </c>
      <c r="K36" s="109" t="str">
        <f t="shared" si="0"/>
        <v>4019/4020</v>
      </c>
      <c r="L36" s="22" t="str">
        <f>VLOOKUP(A36,'Trips&amp;Operators'!$C$1:$G$99999,5,FALSE)</f>
        <v>ROBINSON KADDIBA</v>
      </c>
      <c r="M36" s="6">
        <f t="shared" si="1"/>
        <v>2.5891203702485655E-2</v>
      </c>
      <c r="N36" s="7">
        <f t="shared" si="2"/>
        <v>37.283333331579342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06:15:38-700',mode:absolute,to:'2016-12-04 09:03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23.3017</v>
      </c>
      <c r="Z36" s="67">
        <f t="shared" si="9"/>
        <v>1.61E-2</v>
      </c>
      <c r="AA36" s="67">
        <f t="shared" si="10"/>
        <v>23.285599999999999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11"/>
        <v>0124-04</v>
      </c>
      <c r="AE36" s="91" t="str">
        <f t="shared" si="12"/>
        <v>aws s3 cp s3://rtdc.mdm.uploadarchive.raw/RTDC4019/ "%USERPROFILE%\AppData\Local\Temp\OnboardLogs"\RTDC4019\2016-12-04 --exclude "*" --recursive --include "*20161204*" &amp; "%USERPROFILE%\Documents\GitHub\mrs-test-scripts\Headless Mode &amp; Sideloading\WalkAndUnGZ.bat" "%USERPROFILE%\AppData\Local\Temp\OnboardLogs"\RTDC4019\2016-12-04 &amp; aws s3 cp s3://rtdc.mdm.uploadarchive.raw/RTDC4019/ "%USERPROFILE%\AppData\Local\Temp\OnboardLogs"\RTDC4019\2016-12-05 --exclude "*" --recursive --include "*20161205*" &amp; "%USERPROFILE%\Documents\GitHub\mrs-test-scripts\Headless Mode &amp; Sideloading\WalkAndUnGZ.bat" "%USERPROFILE%\AppData\Local\Temp\OnboardLogs"\RTDC4019\2016-12-05</v>
      </c>
      <c r="AF36" s="88" t="str">
        <f t="shared" si="13"/>
        <v>"C:\Program Files (x86)\AstroGrep\AstroGrep.exe" /spath="%USERPROFILE%\AppData\Local\Temp\OnboardLogs" /stypes="app*4019*20161204*"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124-04 --locoid 4019 --swversion DE.1.0.8.0 --startMP 204:233017 --initTime 2016-12-04T07:15:38 --startdatetime 2016-12-04T07:26:15 --delay 1 --endMP 204:161 --enddatetime 2016-12-04T08:03:32 --enforcementcount 0 &gt;&gt;C:\Users\stu\Documents\GitHub\eaglep3-reporting\EC\2016-12-04-refined-times.txt</v>
      </c>
      <c r="AI36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{"issue":{"subject":"","project_id":79,"tracker_id":40,"status_id":1,"priority_id":2,"assigned_to_id":23,"start_date":"2016-12-04","description":"","custom_fields":[{"id":1,"name":"Subdivision","value":"EC"},{"id":4,"name":"Milepost","value":"0.0161"},{"id":17,"name":"Train ID","value":"124-04"},{"id":16,"name":"Locomotive ID","value":"4019"},{"id":130,"name":"Impact","value":""},{"id":150,"name":"Time of Event (Mountain Time)","value":"08:03:32"},{"id":151,"name":"Denver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486</v>
      </c>
      <c r="B37" s="7">
        <v>4003</v>
      </c>
      <c r="C37" s="22" t="s">
        <v>208</v>
      </c>
      <c r="D37" s="22" t="s">
        <v>247</v>
      </c>
      <c r="E37" s="13">
        <v>42708.27621527778</v>
      </c>
      <c r="F37" s="13">
        <v>42708.281469907408</v>
      </c>
      <c r="G37" s="7">
        <v>1</v>
      </c>
      <c r="H37" s="22" t="s">
        <v>421</v>
      </c>
      <c r="I37" s="13">
        <v>42708.307060185187</v>
      </c>
      <c r="J37" s="7">
        <v>0</v>
      </c>
      <c r="K37" s="109" t="str">
        <f t="shared" si="0"/>
        <v>4003/4004</v>
      </c>
      <c r="L37" s="22" t="str">
        <f>VLOOKUP(A37,'Trips&amp;Operators'!$C$1:$G$99999,5,FALSE)</f>
        <v>STRICKLAND EVAN</v>
      </c>
      <c r="M37" s="6">
        <f t="shared" si="1"/>
        <v>2.5590277778974269E-2</v>
      </c>
      <c r="N37" s="7">
        <f t="shared" si="2"/>
        <v>36.850000001722947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05:37:45-700',mode:absolute,to:'2016-12-04 08:22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4.5699999999999998E-2</v>
      </c>
      <c r="Z37" s="67">
        <f t="shared" si="9"/>
        <v>23.3293</v>
      </c>
      <c r="AA37" s="67">
        <f t="shared" si="10"/>
        <v>23.2836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11"/>
        <v>0125-04</v>
      </c>
      <c r="AE37" s="91" t="str">
        <f t="shared" si="12"/>
        <v>aws s3 cp s3://rtdc.mdm.uploadarchive.raw/RTDC4003/ "%USERPROFILE%\AppData\Local\Temp\OnboardLogs"\RTDC4003\2016-12-04 --exclude "*" --recursive --include "*20161204*" &amp; "%USERPROFILE%\Documents\GitHub\mrs-test-scripts\Headless Mode &amp; Sideloading\WalkAndUnGZ.bat" "%USERPROFILE%\AppData\Local\Temp\OnboardLogs"\RTDC4003\2016-12-04 &amp; aws s3 cp s3://rtdc.mdm.uploadarchive.raw/RTDC4003/ "%USERPROFILE%\AppData\Local\Temp\OnboardLogs"\RTDC4003\2016-12-05 --exclude "*" --recursive --include "*20161205*" &amp; "%USERPROFILE%\Documents\GitHub\mrs-test-scripts\Headless Mode &amp; Sideloading\WalkAndUnGZ.bat" "%USERPROFILE%\AppData\Local\Temp\OnboardLogs"\RTDC4003\2016-12-05</v>
      </c>
      <c r="AF37" s="88" t="str">
        <f t="shared" si="13"/>
        <v>"C:\Program Files (x86)\AstroGrep\AstroGrep.exe" /spath="%USERPROFILE%\AppData\Local\Temp\OnboardLogs" /stypes="app*4003*20161204*"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125-04 --locoid 4003 --swversion DE.1.0.8.0 --startMP 204:457 --initTime 2016-12-04T06:37:45 --startdatetime 2016-12-04T06:45:19 --delay 1 --endMP 204:233293 --enddatetime 2016-12-04T07:22:10 --enforcementcount 0 &gt;&gt;C:\Users\stu\Documents\GitHub\eaglep3-reporting\EC\2016-12-04-refined-times.txt</v>
      </c>
      <c r="AI37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{"issue":{"subject":"","project_id":79,"tracker_id":40,"status_id":1,"priority_id":2,"assigned_to_id":23,"start_date":"2016-12-04","description":"","custom_fields":[{"id":1,"name":"Subdivision","value":"EC"},{"id":4,"name":"Milepost","value":"23.3293"},{"id":17,"name":"Train ID","value":"125-04"},{"id":16,"name":"Locomotive ID","value":"4003"},{"id":130,"name":"Impact","value":""},{"id":150,"name":"Time of Event (Mountain Time)","value":"07:22:10"},{"id":151,"name":"Denver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494</v>
      </c>
      <c r="B38" s="7">
        <v>4004</v>
      </c>
      <c r="C38" s="22" t="s">
        <v>208</v>
      </c>
      <c r="D38" s="22" t="s">
        <v>374</v>
      </c>
      <c r="E38" s="13">
        <v>42708.317164351851</v>
      </c>
      <c r="F38" s="13">
        <v>42708.320370370369</v>
      </c>
      <c r="G38" s="7">
        <v>2</v>
      </c>
      <c r="H38" s="22" t="s">
        <v>373</v>
      </c>
      <c r="I38" s="13">
        <v>42708.348055555558</v>
      </c>
      <c r="J38" s="7">
        <v>0</v>
      </c>
      <c r="K38" s="109" t="str">
        <f t="shared" si="0"/>
        <v>4003/4004</v>
      </c>
      <c r="L38" s="22" t="str">
        <f>VLOOKUP(A38,'Trips&amp;Operators'!$C$1:$G$99999,5,FALSE)</f>
        <v>STRICKLAND EVAN</v>
      </c>
      <c r="M38" s="6">
        <f t="shared" si="1"/>
        <v>2.768518518860219E-2</v>
      </c>
      <c r="N38" s="7">
        <f t="shared" si="2"/>
        <v>39.866666671587154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06:36:43-700',mode:absolute,to:'2016-12-04 09:21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23.3</v>
      </c>
      <c r="Z38" s="67">
        <f t="shared" si="9"/>
        <v>1.67E-2</v>
      </c>
      <c r="AA38" s="67">
        <f t="shared" si="10"/>
        <v>23.283300000000001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11"/>
        <v>0126-04</v>
      </c>
      <c r="AE38" s="91" t="str">
        <f t="shared" si="12"/>
        <v>aws s3 cp s3://rtdc.mdm.uploadarchive.raw/RTDC4004/ "%USERPROFILE%\AppData\Local\Temp\OnboardLogs"\RTDC4004\2016-12-04 --exclude "*" --recursive --include "*20161204*" &amp; "%USERPROFILE%\Documents\GitHub\mrs-test-scripts\Headless Mode &amp; Sideloading\WalkAndUnGZ.bat" "%USERPROFILE%\AppData\Local\Temp\OnboardLogs"\RTDC4004\2016-12-04 &amp; aws s3 cp s3://rtdc.mdm.uploadarchive.raw/RTDC4004/ "%USERPROFILE%\AppData\Local\Temp\OnboardLogs"\RTDC4004\2016-12-05 --exclude "*" --recursive --include "*20161205*" &amp; "%USERPROFILE%\Documents\GitHub\mrs-test-scripts\Headless Mode &amp; Sideloading\WalkAndUnGZ.bat" "%USERPROFILE%\AppData\Local\Temp\OnboardLogs"\RTDC4004\2016-12-05</v>
      </c>
      <c r="AF38" s="88" t="str">
        <f t="shared" si="13"/>
        <v>"C:\Program Files (x86)\AstroGrep\AstroGrep.exe" /spath="%USERPROFILE%\AppData\Local\Temp\OnboardLogs" /stypes="app*4004*20161204*"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126-04 --locoid 4004 --swversion DE.1.0.8.0 --startMP 204:233000 --initTime 2016-12-04T07:36:43 --startdatetime 2016-12-04T07:41:20 --delay 2 --endMP 204:167 --enddatetime 2016-12-04T08:21:12 --enforcementcount 0 &gt;&gt;C:\Users\stu\Documents\GitHub\eaglep3-reporting\EC\2016-12-04-refined-times.txt</v>
      </c>
      <c r="AI38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{"issue":{"subject":"","project_id":79,"tracker_id":40,"status_id":1,"priority_id":2,"assigned_to_id":23,"start_date":"2016-12-04","description":"","custom_fields":[{"id":1,"name":"Subdivision","value":"EC"},{"id":4,"name":"Milepost","value":"0.0167"},{"id":17,"name":"Train ID","value":"126-04"},{"id":16,"name":"Locomotive ID","value":"4004"},{"id":130,"name":"Impact","value":""},{"id":150,"name":"Time of Event (Mountain Time)","value":"08:21:12"},{"id":151,"name":"Denver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488</v>
      </c>
      <c r="B39" s="7">
        <v>4022</v>
      </c>
      <c r="C39" s="22" t="s">
        <v>208</v>
      </c>
      <c r="D39" s="22" t="s">
        <v>245</v>
      </c>
      <c r="E39" s="13">
        <v>42708.286180555559</v>
      </c>
      <c r="F39" s="13">
        <v>42708.291851851849</v>
      </c>
      <c r="G39" s="7">
        <v>1</v>
      </c>
      <c r="H39" s="22" t="s">
        <v>304</v>
      </c>
      <c r="I39" s="13">
        <v>42708.317430555559</v>
      </c>
      <c r="J39" s="7">
        <v>0</v>
      </c>
      <c r="K39" s="109" t="str">
        <f t="shared" si="0"/>
        <v>4021/4022</v>
      </c>
      <c r="L39" s="22" t="str">
        <f>VLOOKUP(A39,'Trips&amp;Operators'!$C$1:$G$99999,5,FALSE)</f>
        <v>KILLION DAVID</v>
      </c>
      <c r="M39" s="6">
        <f t="shared" si="1"/>
        <v>2.5578703709470574E-2</v>
      </c>
      <c r="N39" s="7">
        <f t="shared" si="2"/>
        <v>36.833333341637626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05:52:06-700',mode:absolute,to:'2016-12-04 08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4.5999999999999999E-2</v>
      </c>
      <c r="Z39" s="67">
        <f t="shared" si="9"/>
        <v>23.331199999999999</v>
      </c>
      <c r="AA39" s="67">
        <f t="shared" si="10"/>
        <v>23.2852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11"/>
        <v>0127-04</v>
      </c>
      <c r="AE39" s="91" t="str">
        <f t="shared" si="12"/>
        <v>aws s3 cp s3://rtdc.mdm.uploadarchive.raw/RTDC4022/ "%USERPROFILE%\AppData\Local\Temp\OnboardLogs"\RTDC4022\2016-12-04 --exclude "*" --recursive --include "*20161204*" &amp; "%USERPROFILE%\Documents\GitHub\mrs-test-scripts\Headless Mode &amp; Sideloading\WalkAndUnGZ.bat" "%USERPROFILE%\AppData\Local\Temp\OnboardLogs"\RTDC4022\2016-12-04 &amp; aws s3 cp s3://rtdc.mdm.uploadarchive.raw/RTDC4022/ "%USERPROFILE%\AppData\Local\Temp\OnboardLogs"\RTDC4022\2016-12-05 --exclude "*" --recursive --include "*20161205*" &amp; "%USERPROFILE%\Documents\GitHub\mrs-test-scripts\Headless Mode &amp; Sideloading\WalkAndUnGZ.bat" "%USERPROFILE%\AppData\Local\Temp\OnboardLogs"\RTDC4022\2016-12-05</v>
      </c>
      <c r="AF39" s="88" t="str">
        <f t="shared" si="13"/>
        <v>"C:\Program Files (x86)\AstroGrep\AstroGrep.exe" /spath="%USERPROFILE%\AppData\Local\Temp\OnboardLogs" /stypes="app*4022*20161204*"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127-04 --locoid 4022 --swversion DE.1.0.8.0 --startMP 204:460 --initTime 2016-12-04T06:52:06 --startdatetime 2016-12-04T07:00:16 --delay 1 --endMP 204:233312 --enddatetime 2016-12-04T07:37:06 --enforcementcount 0 &gt;&gt;C:\Users\stu\Documents\GitHub\eaglep3-reporting\EC\2016-12-04-refined-times.txt</v>
      </c>
      <c r="AI39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{"issue":{"subject":"","project_id":79,"tracker_id":40,"status_id":1,"priority_id":2,"assigned_to_id":23,"start_date":"2016-12-04","description":"","custom_fields":[{"id":1,"name":"Subdivision","value":"EC"},{"id":4,"name":"Milepost","value":"23.3312"},{"id":17,"name":"Train ID","value":"127-04"},{"id":16,"name":"Locomotive ID","value":"4022"},{"id":130,"name":"Impact","value":""},{"id":150,"name":"Time of Event (Mountain Time)","value":"07:37:06"},{"id":151,"name":"Denver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496</v>
      </c>
      <c r="B40" s="7">
        <v>4021</v>
      </c>
      <c r="C40" s="22" t="s">
        <v>208</v>
      </c>
      <c r="D40" s="22" t="s">
        <v>238</v>
      </c>
      <c r="E40" s="13">
        <v>42708.325023148151</v>
      </c>
      <c r="F40" s="13">
        <v>42708.330833333333</v>
      </c>
      <c r="G40" s="7">
        <v>1</v>
      </c>
      <c r="H40" s="22" t="s">
        <v>260</v>
      </c>
      <c r="I40" s="13">
        <v>42708.357141203705</v>
      </c>
      <c r="J40" s="7">
        <v>0</v>
      </c>
      <c r="K40" s="109" t="str">
        <f t="shared" si="0"/>
        <v>4021/4022</v>
      </c>
      <c r="L40" s="22" t="str">
        <f>VLOOKUP(A40,'Trips&amp;Operators'!$C$1:$G$99999,5,FALSE)</f>
        <v>KILLION DAVID</v>
      </c>
      <c r="M40" s="6">
        <f t="shared" si="1"/>
        <v>2.6307870371965691E-2</v>
      </c>
      <c r="N40" s="7">
        <f t="shared" si="2"/>
        <v>37.883333335630596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06:48:02-700',mode:absolute,to:'2016-12-04 09:34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23.299299999999999</v>
      </c>
      <c r="Z40" s="67">
        <f t="shared" si="9"/>
        <v>1.4500000000000001E-2</v>
      </c>
      <c r="AA40" s="67">
        <f t="shared" si="10"/>
        <v>23.284799999999997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11"/>
        <v>0128-04</v>
      </c>
      <c r="AE40" s="91" t="str">
        <f t="shared" si="12"/>
        <v>aws s3 cp s3://rtdc.mdm.uploadarchive.raw/RTDC4021/ "%USERPROFILE%\AppData\Local\Temp\OnboardLogs"\RTDC4021\2016-12-04 --exclude "*" --recursive --include "*20161204*" &amp; "%USERPROFILE%\Documents\GitHub\mrs-test-scripts\Headless Mode &amp; Sideloading\WalkAndUnGZ.bat" "%USERPROFILE%\AppData\Local\Temp\OnboardLogs"\RTDC4021\2016-12-04 &amp; aws s3 cp s3://rtdc.mdm.uploadarchive.raw/RTDC4021/ "%USERPROFILE%\AppData\Local\Temp\OnboardLogs"\RTDC4021\2016-12-05 --exclude "*" --recursive --include "*20161205*" &amp; "%USERPROFILE%\Documents\GitHub\mrs-test-scripts\Headless Mode &amp; Sideloading\WalkAndUnGZ.bat" "%USERPROFILE%\AppData\Local\Temp\OnboardLogs"\RTDC4021\2016-12-05</v>
      </c>
      <c r="AF40" s="88" t="str">
        <f t="shared" si="13"/>
        <v>"C:\Program Files (x86)\AstroGrep\AstroGrep.exe" /spath="%USERPROFILE%\AppData\Local\Temp\OnboardLogs" /stypes="app*4021*20161204*"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128-04 --locoid 4021 --swversion DE.1.0.8.0 --startMP 204:232993 --initTime 2016-12-04T07:48:02 --startdatetime 2016-12-04T07:56:24 --delay 1 --endMP 204:145 --enddatetime 2016-12-04T08:34:17 --enforcementcount 0 &gt;&gt;C:\Users\stu\Documents\GitHub\eaglep3-reporting\EC\2016-12-04-refined-times.txt</v>
      </c>
      <c r="AI40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{"issue":{"subject":"","project_id":79,"tracker_id":40,"status_id":1,"priority_id":2,"assigned_to_id":23,"start_date":"2016-12-04","description":"","custom_fields":[{"id":1,"name":"Subdivision","value":"EC"},{"id":4,"name":"Milepost","value":"0.0145"},{"id":17,"name":"Train ID","value":"128-04"},{"id":16,"name":"Locomotive ID","value":"4021"},{"id":130,"name":"Impact","value":""},{"id":150,"name":"Time of Event (Mountain Time)","value":"08:34:17"},{"id":151,"name":"Denver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489</v>
      </c>
      <c r="B41" s="7">
        <v>4031</v>
      </c>
      <c r="C41" s="22" t="s">
        <v>208</v>
      </c>
      <c r="D41" s="22" t="s">
        <v>414</v>
      </c>
      <c r="E41" s="13">
        <v>42708.295289351852</v>
      </c>
      <c r="F41" s="13">
        <v>42708.302268518521</v>
      </c>
      <c r="G41" s="7">
        <v>1</v>
      </c>
      <c r="H41" s="22" t="s">
        <v>276</v>
      </c>
      <c r="I41" s="13">
        <v>42708.325682870367</v>
      </c>
      <c r="J41" s="7">
        <v>0</v>
      </c>
      <c r="K41" s="109" t="str">
        <f t="shared" si="0"/>
        <v>4031/4032</v>
      </c>
      <c r="L41" s="22" t="str">
        <f>VLOOKUP(A41,'Trips&amp;Operators'!$C$1:$G$99999,5,FALSE)</f>
        <v>YORK EDGAR</v>
      </c>
      <c r="M41" s="6">
        <f t="shared" si="1"/>
        <v>2.3414351846440695E-2</v>
      </c>
      <c r="N41" s="7">
        <f t="shared" si="2"/>
        <v>33.716666658874601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06:05:13-700',mode:absolute,to:'2016-12-04 08:48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4.53E-2</v>
      </c>
      <c r="Z41" s="67">
        <f t="shared" si="9"/>
        <v>23.330100000000002</v>
      </c>
      <c r="AA41" s="67">
        <f t="shared" si="10"/>
        <v>23.284800000000001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1"/>
        <v>0129-04</v>
      </c>
      <c r="AE41" s="91" t="str">
        <f t="shared" si="12"/>
        <v>aws s3 cp s3://rtdc.mdm.uploadarchive.raw/RTDC4031/ "%USERPROFILE%\AppData\Local\Temp\OnboardLogs"\RTDC4031\2016-12-04 --exclude "*" --recursive --include "*20161204*" &amp; "%USERPROFILE%\Documents\GitHub\mrs-test-scripts\Headless Mode &amp; Sideloading\WalkAndUnGZ.bat" "%USERPROFILE%\AppData\Local\Temp\OnboardLogs"\RTDC4031\2016-12-04 &amp; aws s3 cp s3://rtdc.mdm.uploadarchive.raw/RTDC4031/ "%USERPROFILE%\AppData\Local\Temp\OnboardLogs"\RTDC4031\2016-12-05 --exclude "*" --recursive --include "*20161205*" &amp; "%USERPROFILE%\Documents\GitHub\mrs-test-scripts\Headless Mode &amp; Sideloading\WalkAndUnGZ.bat" "%USERPROFILE%\AppData\Local\Temp\OnboardLogs"\RTDC4031\2016-12-05</v>
      </c>
      <c r="AF41" s="88" t="str">
        <f t="shared" si="13"/>
        <v>"C:\Program Files (x86)\AstroGrep\AstroGrep.exe" /spath="%USERPROFILE%\AppData\Local\Temp\OnboardLogs" /stypes="app*4031*20161204*"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129-04 --locoid 4031 --swversion DE.1.0.8.0 --startMP 204:453 --initTime 2016-12-04T07:05:13 --startdatetime 2016-12-04T07:15:16 --delay 1 --endMP 204:233301 --enddatetime 2016-12-04T07:48:59 --enforcementcount 0 &gt;&gt;C:\Users\stu\Documents\GitHub\eaglep3-reporting\EC\2016-12-04-refined-times.txt</v>
      </c>
      <c r="AI41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{"issue":{"subject":"","project_id":79,"tracker_id":40,"status_id":1,"priority_id":2,"assigned_to_id":23,"start_date":"2016-12-04","description":"","custom_fields":[{"id":1,"name":"Subdivision","value":"EC"},{"id":4,"name":"Milepost","value":"23.3301"},{"id":17,"name":"Train ID","value":"129-04"},{"id":16,"name":"Locomotive ID","value":"4031"},{"id":130,"name":"Impact","value":""},{"id":150,"name":"Time of Event (Mountain Time)","value":"07:48:59"},{"id":151,"name":"Denver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497</v>
      </c>
      <c r="B42" s="7">
        <v>4032</v>
      </c>
      <c r="C42" s="22" t="s">
        <v>208</v>
      </c>
      <c r="D42" s="22" t="s">
        <v>305</v>
      </c>
      <c r="E42" s="13">
        <v>42708.327800925923</v>
      </c>
      <c r="F42" s="13">
        <v>42708.341793981483</v>
      </c>
      <c r="G42" s="7">
        <v>0</v>
      </c>
      <c r="H42" s="22" t="s">
        <v>231</v>
      </c>
      <c r="I42" s="13">
        <v>42708.36755787037</v>
      </c>
      <c r="J42" s="7">
        <v>0</v>
      </c>
      <c r="K42" s="109" t="str">
        <f t="shared" si="0"/>
        <v>4031/4032</v>
      </c>
      <c r="L42" s="22" t="str">
        <f>VLOOKUP(A42,'Trips&amp;Operators'!$C$1:$G$99999,5,FALSE)</f>
        <v>YORK EDGAR</v>
      </c>
      <c r="M42" s="6">
        <f t="shared" si="1"/>
        <v>2.5763888887013309E-2</v>
      </c>
      <c r="N42" s="7">
        <f t="shared" si="2"/>
        <v>37.099999997299165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06:52:02-700',mode:absolute,to:'2016-12-04 09:49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23.296900000000001</v>
      </c>
      <c r="Z42" s="67">
        <f t="shared" si="9"/>
        <v>1.41E-2</v>
      </c>
      <c r="AA42" s="67">
        <f t="shared" si="10"/>
        <v>23.282800000000002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11"/>
        <v>0130-04</v>
      </c>
      <c r="AE42" s="91" t="str">
        <f t="shared" si="12"/>
        <v>aws s3 cp s3://rtdc.mdm.uploadarchive.raw/RTDC4032/ "%USERPROFILE%\AppData\Local\Temp\OnboardLogs"\RTDC4032\2016-12-04 --exclude "*" --recursive --include "*20161204*" &amp; "%USERPROFILE%\Documents\GitHub\mrs-test-scripts\Headless Mode &amp; Sideloading\WalkAndUnGZ.bat" "%USERPROFILE%\AppData\Local\Temp\OnboardLogs"\RTDC4032\2016-12-04 &amp; aws s3 cp s3://rtdc.mdm.uploadarchive.raw/RTDC4032/ "%USERPROFILE%\AppData\Local\Temp\OnboardLogs"\RTDC4032\2016-12-05 --exclude "*" --recursive --include "*20161205*" &amp; "%USERPROFILE%\Documents\GitHub\mrs-test-scripts\Headless Mode &amp; Sideloading\WalkAndUnGZ.bat" "%USERPROFILE%\AppData\Local\Temp\OnboardLogs"\RTDC4032\2016-12-05</v>
      </c>
      <c r="AF42" s="88" t="str">
        <f t="shared" si="13"/>
        <v>"C:\Program Files (x86)\AstroGrep\AstroGrep.exe" /spath="%USERPROFILE%\AppData\Local\Temp\OnboardLogs" /stypes="app*4032*20161204*"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130-04 --locoid 4032 --swversion DE.1.0.8.0 --startMP 204:232969 --initTime 2016-12-04T07:52:02 --startdatetime 2016-12-04T08:12:11 --delay 0 --endMP 204:141 --enddatetime 2016-12-04T08:49:17 --enforcementcount 0 &gt;&gt;C:\Users\stu\Documents\GitHub\eaglep3-reporting\EC\2016-12-04-refined-times.txt</v>
      </c>
      <c r="AI42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{"issue":{"subject":"","project_id":79,"tracker_id":40,"status_id":1,"priority_id":2,"assigned_to_id":23,"start_date":"2016-12-04","description":"","custom_fields":[{"id":1,"name":"Subdivision","value":"EC"},{"id":4,"name":"Milepost","value":"0.0141"},{"id":17,"name":"Train ID","value":"130-04"},{"id":16,"name":"Locomotive ID","value":"4032"},{"id":130,"name":"Impact","value":""},{"id":150,"name":"Time of Event (Mountain Time)","value":"08:49:17"},{"id":151,"name":"Denver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493</v>
      </c>
      <c r="B43" s="7">
        <v>4038</v>
      </c>
      <c r="C43" s="22" t="s">
        <v>208</v>
      </c>
      <c r="D43" s="22" t="s">
        <v>247</v>
      </c>
      <c r="E43" s="13">
        <v>42708.306747685187</v>
      </c>
      <c r="F43" s="13">
        <v>42708.312719907408</v>
      </c>
      <c r="G43" s="7">
        <v>2</v>
      </c>
      <c r="H43" s="22" t="s">
        <v>303</v>
      </c>
      <c r="I43" s="13">
        <v>42708.337013888886</v>
      </c>
      <c r="J43" s="7">
        <v>0</v>
      </c>
      <c r="K43" s="109" t="str">
        <f t="shared" si="0"/>
        <v>4037/4038</v>
      </c>
      <c r="L43" s="22" t="str">
        <f>VLOOKUP(A43,'Trips&amp;Operators'!$C$1:$G$99999,5,FALSE)</f>
        <v>ACKERMAN JARED</v>
      </c>
      <c r="M43" s="6">
        <f t="shared" si="1"/>
        <v>2.4293981477967463E-2</v>
      </c>
      <c r="N43" s="7">
        <f t="shared" si="2"/>
        <v>34.983333328273147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06:21:43-700',mode:absolute,to:'2016-12-04 09:05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4.5699999999999998E-2</v>
      </c>
      <c r="Z43" s="67">
        <f t="shared" si="9"/>
        <v>23.331</v>
      </c>
      <c r="AA43" s="67">
        <f t="shared" si="10"/>
        <v>23.285299999999999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11"/>
        <v>0131-04</v>
      </c>
      <c r="AE43" s="91" t="str">
        <f t="shared" si="12"/>
        <v>aws s3 cp s3://rtdc.mdm.uploadarchive.raw/RTDC4038/ "%USERPROFILE%\AppData\Local\Temp\OnboardLogs"\RTDC4038\2016-12-04 --exclude "*" --recursive --include "*20161204*" &amp; "%USERPROFILE%\Documents\GitHub\mrs-test-scripts\Headless Mode &amp; Sideloading\WalkAndUnGZ.bat" "%USERPROFILE%\AppData\Local\Temp\OnboardLogs"\RTDC4038\2016-12-04 &amp; 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</v>
      </c>
      <c r="AF43" s="88" t="str">
        <f t="shared" si="13"/>
        <v>"C:\Program Files (x86)\AstroGrep\AstroGrep.exe" /spath="%USERPROFILE%\AppData\Local\Temp\OnboardLogs" /stypes="app*4038*20161204*"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131-04 --locoid 4038 --swversion DE.1.0.8.0 --startMP 204:457 --initTime 2016-12-04T07:21:43 --startdatetime 2016-12-04T07:30:19 --delay 2 --endMP 204:233310 --enddatetime 2016-12-04T08:05:18 --enforcementcount 0 &gt;&gt;C:\Users\stu\Documents\GitHub\eaglep3-reporting\EC\2016-12-04-refined-times.txt</v>
      </c>
      <c r="AI43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{"issue":{"subject":"","project_id":79,"tracker_id":40,"status_id":1,"priority_id":2,"assigned_to_id":23,"start_date":"2016-12-04","description":"","custom_fields":[{"id":1,"name":"Subdivision","value":"EC"},{"id":4,"name":"Milepost","value":"23.331"},{"id":17,"name":"Train ID","value":"131-04"},{"id":16,"name":"Locomotive ID","value":"4038"},{"id":130,"name":"Impact","value":""},{"id":150,"name":"Time of Event (Mountain Time)","value":"08:05:18"},{"id":151,"name":"Denver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500</v>
      </c>
      <c r="B44" s="7">
        <v>4037</v>
      </c>
      <c r="C44" s="22" t="s">
        <v>208</v>
      </c>
      <c r="D44" s="22" t="s">
        <v>235</v>
      </c>
      <c r="E44" s="13">
        <v>42708.345196759263</v>
      </c>
      <c r="F44" s="13">
        <v>42708.351585648146</v>
      </c>
      <c r="G44" s="7">
        <v>1</v>
      </c>
      <c r="H44" s="22" t="s">
        <v>237</v>
      </c>
      <c r="I44" s="13">
        <v>42708.37835648148</v>
      </c>
      <c r="J44" s="7">
        <v>0</v>
      </c>
      <c r="K44" s="109" t="str">
        <f t="shared" si="0"/>
        <v>4037/4038</v>
      </c>
      <c r="L44" s="22" t="str">
        <f>VLOOKUP(A44,'Trips&amp;Operators'!$C$1:$G$99999,5,FALSE)</f>
        <v>ACKERMAN JARED</v>
      </c>
      <c r="M44" s="6">
        <f t="shared" si="1"/>
        <v>2.6770833334012423E-2</v>
      </c>
      <c r="N44" s="7">
        <f t="shared" si="2"/>
        <v>38.550000000977889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https://search-rtdc-monitor-bjffxe2xuh6vdkpspy63sjmuny.us-east-1.es.amazonaws.com/_plugin/kibana/#/discover/Steve-Slow-Train-Analysis-(2080s-and-2083s)?_g=(refreshInterval:(display:Off,section:0,value:0),time:(from:'2016-12-04 07:17:05-700',mode:absolute,to:'2016-12-04 10:04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23.299800000000001</v>
      </c>
      <c r="Z44" s="67">
        <f t="shared" si="9"/>
        <v>1.47E-2</v>
      </c>
      <c r="AA44" s="67">
        <f t="shared" si="10"/>
        <v>23.2851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11"/>
        <v>0132-04</v>
      </c>
      <c r="AE44" s="91" t="str">
        <f t="shared" si="12"/>
        <v>aws s3 cp s3://rtdc.mdm.uploadarchive.raw/RTDC4037/ "%USERPROFILE%\AppData\Local\Temp\OnboardLogs"\RTDC4037\2016-12-04 --exclude "*" --recursive --include "*20161204*" &amp; "%USERPROFILE%\Documents\GitHub\mrs-test-scripts\Headless Mode &amp; Sideloading\WalkAndUnGZ.bat" "%USERPROFILE%\AppData\Local\Temp\OnboardLogs"\RTDC4037\2016-12-04 &amp; 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</v>
      </c>
      <c r="AF44" s="88" t="str">
        <f t="shared" si="13"/>
        <v>"C:\Program Files (x86)\AstroGrep\AstroGrep.exe" /spath="%USERPROFILE%\AppData\Local\Temp\OnboardLogs" /stypes="app*4037*20161204*"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132-04 --locoid 4037 --swversion DE.1.0.8.0 --startMP 204:232998 --initTime 2016-12-04T08:17:05 --startdatetime 2016-12-04T08:26:17 --delay 1 --endMP 204:147 --enddatetime 2016-12-04T09:04:50 --enforcementcount 0 &gt;&gt;C:\Users\stu\Documents\GitHub\eaglep3-reporting\EC\2016-12-04-refined-times.txt</v>
      </c>
      <c r="AI44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{"issue":{"subject":"","project_id":79,"tracker_id":40,"status_id":1,"priority_id":2,"assigned_to_id":23,"start_date":"2016-12-04","description":"","custom_fields":[{"id":1,"name":"Subdivision","value":"EC"},{"id":4,"name":"Milepost","value":"0.0147"},{"id":17,"name":"Train ID","value":"132-04"},{"id":16,"name":"Locomotive ID","value":"4037"},{"id":130,"name":"Impact","value":""},{"id":150,"name":"Time of Event (Mountain Time)","value":"09:04:50"},{"id":151,"name":"Denver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495</v>
      </c>
      <c r="B45" s="7">
        <v>4029</v>
      </c>
      <c r="C45" s="22" t="s">
        <v>208</v>
      </c>
      <c r="D45" s="22" t="s">
        <v>195</v>
      </c>
      <c r="E45" s="13">
        <v>42708.317754629628</v>
      </c>
      <c r="F45" s="13">
        <v>42708.31931712963</v>
      </c>
      <c r="G45" s="7">
        <v>2</v>
      </c>
      <c r="H45" s="22" t="s">
        <v>262</v>
      </c>
      <c r="I45" s="13">
        <v>42708.320011574076</v>
      </c>
      <c r="J45" s="7">
        <v>0</v>
      </c>
      <c r="K45" s="109" t="str">
        <f t="shared" ref="K45:K76" si="19">IF(ISEVEN(B45),(B45-1)&amp;"/"&amp;B45,B45&amp;"/"&amp;(B45+1))</f>
        <v>4029/4030</v>
      </c>
      <c r="L45" s="22" t="str">
        <f>VLOOKUP(A45,'Trips&amp;Operators'!$C$1:$G$99999,5,FALSE)</f>
        <v>MAELZER KURT</v>
      </c>
      <c r="M45" s="6">
        <f t="shared" ref="M45:M76" si="20">I45-F45</f>
        <v>6.944444467080757E-4</v>
      </c>
      <c r="N45" s="7"/>
      <c r="O45" s="7"/>
      <c r="P45" s="7">
        <f>24*60*SUM($M45:$M45)</f>
        <v>1.000000003259629</v>
      </c>
      <c r="Q45" s="23"/>
      <c r="R45" s="23" t="s">
        <v>802</v>
      </c>
      <c r="S45" s="35">
        <f t="shared" ref="S45:S76" si="21">SUM(U45:U45)/IF(AG45="EC",12,1)</f>
        <v>0</v>
      </c>
      <c r="T45" s="50" t="str">
        <f t="shared" ref="T45:T76" si="22">IF(ISEVEN(LEFT(AD45,4)),"Southbound","NorthBound")</f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0</v>
      </c>
      <c r="V45" s="98" t="str">
        <f t="shared" ref="V45:V76" si="23">"https://search-rtdc-monitor-bjffxe2xuh6vdkpspy63sjmuny.us-east-1.es.amazonaws.com/_plugin/kibana/#/discover/Steve-Slow-Train-Analysis-(2080s-and-2083s)?_g=(refreshInterval:(display:Off,section:0,value:0),time:(from:'"&amp;TEXT(E45-1/24,"yyyy-MM-DD hh:mm:ss")&amp;utc_offset&amp;"00',mode:absolute,to:'"&amp;TEXT(I45+1/24,"yyyy-MM-DD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https://search-rtdc-monitor-bjffxe2xuh6vdkpspy63sjmuny.us-east-1.es.amazonaws.com/_plugin/kibana/#/discover/Steve-Slow-Train-Analysis-(2080s-and-2083s)?_g=(refreshInterval:(display:Off,section:0,value:0),time:(from:'2016-12-04 06:37:34-700',mode:absolute,to:'2016-12-04 08:40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5" s="52" t="str">
        <f t="shared" ref="W45:W76" si="24">IF(AA45&lt;IF(AG45="EC",23,5.65),"Y","N")</f>
        <v>Y</v>
      </c>
      <c r="X45" s="177">
        <f t="shared" ref="X45:X76" si="25">VALUE(LEFT(AD45,4))-VALUE(LEFT(AD44,4))</f>
        <v>1</v>
      </c>
      <c r="Y45" s="67">
        <f t="shared" ref="Y45:Y76" si="26">RIGHT(D45,LEN(D45)-4)/10000</f>
        <v>4.5100000000000001E-2</v>
      </c>
      <c r="Z45" s="67">
        <v>0.05</v>
      </c>
      <c r="AA45" s="67">
        <f t="shared" ref="AA45:AA76" si="27">ABS(Z45-Y45)</f>
        <v>4.9000000000000016E-3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ref="AD45:AD76" si="28">IF(LEN(A45)=6,"0"&amp;A45,A45)</f>
        <v>0133-04</v>
      </c>
      <c r="AE45" s="91" t="str">
        <f t="shared" ref="AE45:AE76" si="29"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 &amp; aws s3 cp s3://rtdc.mdm.uploadarchive.raw/RTDC4029/ "%USERPROFILE%\AppData\Local\Temp\OnboardLogs"\RTDC4029\2016-12-05 --exclude "*" --recursive --include "*20161205*" &amp; "%USERPROFILE%\Documents\GitHub\mrs-test-scripts\Headless Mode &amp; Sideloading\WalkAndUnGZ.bat" "%USERPROFILE%\AppData\Local\Temp\OnboardLogs"\RTDC4029\2016-12-05</v>
      </c>
      <c r="AF45" s="88" t="str">
        <f t="shared" ref="AF45:AF76" si="30"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/stypes="app*4029*20161204*" /stext=" 14:.+((SYSTEM_STATE.+slice.+state.+changed )|(ment ac)|(multiple cpu faults)|(system.+state.+changed )|(\[timeout)|(PRM\|1\|D)|(kpr)|(kdp)|(\|lc)|(penalty))" /e /r /s</v>
      </c>
      <c r="AG45" s="1" t="str">
        <f t="shared" ref="AG45:AG76" si="31">IFERROR(IF(VALUE(LEFT(AD45,2))&lt;=2,"EC",IF(OR(VALUE(LEFT(AD45,2))=8,VALUE(LEFT(AD45,2))=18),"NW","Other")),"Other")</f>
        <v>EC</v>
      </c>
      <c r="AH45" s="92" t="str">
        <f t="shared" si="17"/>
        <v>"%USERPROFILE%\Documents\GitHub\eaglep3\Utilities\RefineRTDCRunTimes.py" --tripid 133-04 --locoid 4029 --swversion DE.1.0.8.0 --startMP 204:451 --initTime 2016-12-04T07:37:34 --startdatetime 2016-12-04T07:39:49 --delay 2 --endMP 204:233298 --enddatetime 2016-12-04T07:40:49 --enforcementcount 0 &gt;&gt;C:\Users\stu\Documents\GitHub\eaglep3-reporting\EC\2016-12-04-refined-times.txt</v>
      </c>
      <c r="AI45" s="119" t="str">
        <f t="shared" si="18"/>
        <v>echo {"issue":{"subject":"Onboard in-route failure","project_id":79,"tracker_id":40,"status_id":1,"priority_id":2,"assigned_to_id":23,"start_date":"2016-12-04","description":"","custom_fields":[{"id":1,"name":"Subdivision","value":"EC"},{"id":4,"name":"Milepost","value":"0.05"},{"id":17,"name":"Train ID","value":"133-04"},{"id":16,"name":"Locomotive ID","value":"4029"},{"id":130,"name":"Impact","value":""},{"id":150,"name":"Time of Event (Mountain Time)","value":"07:40:49"},{"id":151,"name":"Denver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501</v>
      </c>
      <c r="B46" s="7">
        <v>4030</v>
      </c>
      <c r="C46" s="22" t="s">
        <v>208</v>
      </c>
      <c r="D46" s="22" t="s">
        <v>677</v>
      </c>
      <c r="E46" s="13">
        <v>42708.357847222222</v>
      </c>
      <c r="F46" s="13">
        <v>42708.362187500003</v>
      </c>
      <c r="G46" s="7">
        <v>1</v>
      </c>
      <c r="H46" s="22" t="s">
        <v>210</v>
      </c>
      <c r="I46" s="13">
        <v>42708.388298611113</v>
      </c>
      <c r="J46" s="7">
        <v>0</v>
      </c>
      <c r="K46" s="109" t="str">
        <f t="shared" si="19"/>
        <v>4029/4030</v>
      </c>
      <c r="L46" s="22" t="str">
        <f>VLOOKUP(A46,'Trips&amp;Operators'!$C$1:$G$99999,5,FALSE)</f>
        <v>MAELZER KURT</v>
      </c>
      <c r="M46" s="6">
        <f t="shared" si="20"/>
        <v>2.6111111110367347E-2</v>
      </c>
      <c r="N46" s="7">
        <f t="shared" ref="N46:N67" si="32">24*60*SUM($M46:$M46)</f>
        <v>37.599999998928979</v>
      </c>
      <c r="O46" s="7"/>
      <c r="P46" s="7"/>
      <c r="Q46" s="23"/>
      <c r="R46" s="23"/>
      <c r="S46" s="35">
        <f t="shared" si="21"/>
        <v>1</v>
      </c>
      <c r="T46" s="50" t="str">
        <f t="shared" si="22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07:35:18-700',mode:absolute,to:'2016-12-04 10:19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6" s="52" t="str">
        <f t="shared" si="24"/>
        <v>N</v>
      </c>
      <c r="X46" s="177">
        <f t="shared" si="25"/>
        <v>1</v>
      </c>
      <c r="Y46" s="67">
        <f t="shared" si="26"/>
        <v>23.297999999999998</v>
      </c>
      <c r="Z46" s="67">
        <f t="shared" ref="Z46:Z77" si="33">RIGHT(H46,LEN(H46)-4)/10000</f>
        <v>1.5800000000000002E-2</v>
      </c>
      <c r="AA46" s="67">
        <f t="shared" si="27"/>
        <v>23.2822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28"/>
        <v>0134-04</v>
      </c>
      <c r="AE46" s="91" t="str">
        <f t="shared" si="29"/>
        <v>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 &amp; aws s3 cp s3://rtdc.mdm.uploadarchive.raw/RTDC4030/ "%USERPROFILE%\AppData\Local\Temp\OnboardLogs"\RTDC4030\2016-12-05 --exclude "*" --recursive --include "*20161205*" &amp; "%USERPROFILE%\Documents\GitHub\mrs-test-scripts\Headless Mode &amp; Sideloading\WalkAndUnGZ.bat" "%USERPROFILE%\AppData\Local\Temp\OnboardLogs"\RTDC4030\2016-12-05</v>
      </c>
      <c r="AF46" s="88" t="str">
        <f t="shared" si="30"/>
        <v>"C:\Program Files (x86)\AstroGrep\AstroGrep.exe" /spath="%USERPROFILE%\AppData\Local\Temp\OnboardLogs" /stypes="app*4030*20161204*" /stext=" 16:.+((SYSTEM_STATE.+slice.+state.+changed )|(ment ac)|(multiple cpu faults)|(system.+state.+changed )|(\[timeout)|(PRM\|1\|D)|(kpr)|(kdp)|(\|lc)|(penalty))" /e /r /s</v>
      </c>
      <c r="AG46" s="1" t="str">
        <f t="shared" si="31"/>
        <v>EC</v>
      </c>
      <c r="AH46" s="92" t="str">
        <f t="shared" si="17"/>
        <v>"%USERPROFILE%\Documents\GitHub\eaglep3\Utilities\RefineRTDCRunTimes.py" --tripid 134-04 --locoid 4030 --swversion DE.1.0.8.0 --startMP 204:232980 --initTime 2016-12-04T08:35:18 --startdatetime 2016-12-04T08:41:33 --delay 1 --endMP 204:158 --enddatetime 2016-12-04T09:19:09 --enforcementcount 0 &gt;&gt;C:\Users\stu\Documents\GitHub\eaglep3-reporting\EC\2016-12-04-refined-times.txt</v>
      </c>
      <c r="AI46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{"issue":{"subject":"","project_id":79,"tracker_id":40,"status_id":1,"priority_id":2,"assigned_to_id":23,"start_date":"2016-12-04","description":"","custom_fields":[{"id":1,"name":"Subdivision","value":"EC"},{"id":4,"name":"Milepost","value":"0.0158"},{"id":17,"name":"Train ID","value":"134-04"},{"id":16,"name":"Locomotive ID","value":"4030"},{"id":130,"name":"Impact","value":""},{"id":150,"name":"Time of Event (Mountain Time)","value":"09:19:09"},{"id":151,"name":"Denver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498</v>
      </c>
      <c r="B47" s="7">
        <v>4027</v>
      </c>
      <c r="C47" s="22" t="s">
        <v>208</v>
      </c>
      <c r="D47" s="22" t="s">
        <v>414</v>
      </c>
      <c r="E47" s="13">
        <v>42708.328321759262</v>
      </c>
      <c r="F47" s="13">
        <v>42708.333738425928</v>
      </c>
      <c r="G47" s="7">
        <v>1</v>
      </c>
      <c r="H47" s="22" t="s">
        <v>246</v>
      </c>
      <c r="I47" s="13">
        <v>42708.36037037037</v>
      </c>
      <c r="J47" s="7">
        <v>0</v>
      </c>
      <c r="K47" s="109" t="str">
        <f t="shared" si="19"/>
        <v>4027/4028</v>
      </c>
      <c r="L47" s="22" t="str">
        <f>VLOOKUP(A47,'Trips&amp;Operators'!$C$1:$G$99999,5,FALSE)</f>
        <v>HAITHCOX MICHAEL</v>
      </c>
      <c r="M47" s="6">
        <f t="shared" si="20"/>
        <v>2.6631944441760425E-2</v>
      </c>
      <c r="N47" s="7">
        <f t="shared" si="32"/>
        <v>38.349999996135011</v>
      </c>
      <c r="O47" s="7"/>
      <c r="P47" s="7"/>
      <c r="Q47" s="23"/>
      <c r="R47" s="23"/>
      <c r="S47" s="35">
        <f t="shared" si="21"/>
        <v>1</v>
      </c>
      <c r="T47" s="50" t="str">
        <f t="shared" si="22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06:52:47-700',mode:absolute,to:'2016-12-04 09:38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7" s="52" t="str">
        <f t="shared" si="24"/>
        <v>N</v>
      </c>
      <c r="X47" s="177">
        <f t="shared" si="25"/>
        <v>1</v>
      </c>
      <c r="Y47" s="67">
        <f t="shared" si="26"/>
        <v>4.53E-2</v>
      </c>
      <c r="Z47" s="67">
        <f t="shared" si="33"/>
        <v>23.330200000000001</v>
      </c>
      <c r="AA47" s="67">
        <f t="shared" si="27"/>
        <v>23.2849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28"/>
        <v>0135-04</v>
      </c>
      <c r="AE47" s="91" t="str">
        <f t="shared" si="29"/>
        <v>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 &amp; aws s3 cp s3://rtdc.mdm.uploadarchive.raw/RTDC4027/ "%USERPROFILE%\AppData\Local\Temp\OnboardLogs"\RTDC4027\2016-12-05 --exclude "*" --recursive --include "*20161205*" &amp; "%USERPROFILE%\Documents\GitHub\mrs-test-scripts\Headless Mode &amp; Sideloading\WalkAndUnGZ.bat" "%USERPROFILE%\AppData\Local\Temp\OnboardLogs"\RTDC4027\2016-12-05</v>
      </c>
      <c r="AF47" s="88" t="str">
        <f t="shared" si="30"/>
        <v>"C:\Program Files (x86)\AstroGrep\AstroGrep.exe" /spath="%USERPROFILE%\AppData\Local\Temp\OnboardLogs" /stypes="app*4027*20161204*" /stext=" 15:.+((SYSTEM_STATE.+slice.+state.+changed )|(ment ac)|(multiple cpu faults)|(system.+state.+changed )|(\[timeout)|(PRM\|1\|D)|(kpr)|(kdp)|(\|lc)|(penalty))" /e /r /s</v>
      </c>
      <c r="AG47" s="1" t="str">
        <f t="shared" si="31"/>
        <v>EC</v>
      </c>
      <c r="AH47" s="92" t="str">
        <f t="shared" si="17"/>
        <v>"%USERPROFILE%\Documents\GitHub\eaglep3\Utilities\RefineRTDCRunTimes.py" --tripid 135-04 --locoid 4027 --swversion DE.1.0.8.0 --startMP 204:453 --initTime 2016-12-04T07:52:47 --startdatetime 2016-12-04T08:00:35 --delay 1 --endMP 204:233302 --enddatetime 2016-12-04T08:38:56 --enforcementcount 0 &gt;&gt;C:\Users\stu\Documents\GitHub\eaglep3-reporting\EC\2016-12-04-refined-times.txt</v>
      </c>
      <c r="AI47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{"issue":{"subject":"","project_id":79,"tracker_id":40,"status_id":1,"priority_id":2,"assigned_to_id":23,"start_date":"2016-12-04","description":"","custom_fields":[{"id":1,"name":"Subdivision","value":"EC"},{"id":4,"name":"Milepost","value":"23.3302"},{"id":17,"name":"Train ID","value":"135-04"},{"id":16,"name":"Locomotive ID","value":"4027"},{"id":130,"name":"Impact","value":""},{"id":150,"name":"Time of Event (Mountain Time)","value":"08:38:56"},{"id":151,"name":"Denver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504</v>
      </c>
      <c r="B48" s="7">
        <v>4028</v>
      </c>
      <c r="C48" s="22" t="s">
        <v>208</v>
      </c>
      <c r="D48" s="22" t="s">
        <v>666</v>
      </c>
      <c r="E48" s="13">
        <v>42708.366747685184</v>
      </c>
      <c r="F48" s="13">
        <v>42708.372581018521</v>
      </c>
      <c r="G48" s="7">
        <v>1</v>
      </c>
      <c r="H48" s="22" t="s">
        <v>656</v>
      </c>
      <c r="I48" s="13">
        <v>42708.400243055556</v>
      </c>
      <c r="J48" s="7">
        <v>0</v>
      </c>
      <c r="K48" s="109" t="str">
        <f t="shared" si="19"/>
        <v>4027/4028</v>
      </c>
      <c r="L48" s="22" t="str">
        <f>VLOOKUP(A48,'Trips&amp;Operators'!$C$1:$G$99999,5,FALSE)</f>
        <v>HAITHCOX MICHAEL</v>
      </c>
      <c r="M48" s="6">
        <f t="shared" si="20"/>
        <v>2.7662037035042886E-2</v>
      </c>
      <c r="N48" s="7">
        <f t="shared" si="32"/>
        <v>39.833333330461755</v>
      </c>
      <c r="O48" s="7"/>
      <c r="P48" s="7"/>
      <c r="Q48" s="23"/>
      <c r="R48" s="23"/>
      <c r="S48" s="35">
        <f t="shared" si="21"/>
        <v>1</v>
      </c>
      <c r="T48" s="50" t="str">
        <f t="shared" si="22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07:48:07-700',mode:absolute,to:'2016-12-04 10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8" s="52" t="str">
        <f t="shared" si="24"/>
        <v>N</v>
      </c>
      <c r="X48" s="177">
        <f t="shared" si="25"/>
        <v>1</v>
      </c>
      <c r="Y48" s="67">
        <f t="shared" si="26"/>
        <v>23.298300000000001</v>
      </c>
      <c r="Z48" s="67">
        <f t="shared" si="33"/>
        <v>1.52E-2</v>
      </c>
      <c r="AA48" s="67">
        <f t="shared" si="27"/>
        <v>23.283100000000001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28"/>
        <v>0136-04</v>
      </c>
      <c r="AE48" s="91" t="str">
        <f t="shared" si="29"/>
        <v>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 &amp; aws s3 cp s3://rtdc.mdm.uploadarchive.raw/RTDC4028/ "%USERPROFILE%\AppData\Local\Temp\OnboardLogs"\RTDC4028\2016-12-05 --exclude "*" --recursive --include "*20161205*" &amp; "%USERPROFILE%\Documents\GitHub\mrs-test-scripts\Headless Mode &amp; Sideloading\WalkAndUnGZ.bat" "%USERPROFILE%\AppData\Local\Temp\OnboardLogs"\RTDC4028\2016-12-05</v>
      </c>
      <c r="AF48" s="88" t="str">
        <f t="shared" si="30"/>
        <v>"C:\Program Files (x86)\AstroGrep\AstroGrep.exe" /spath="%USERPROFILE%\AppData\Local\Temp\OnboardLogs" /stypes="app*4028*20161204*" /stext=" 16:.+((SYSTEM_STATE.+slice.+state.+changed )|(ment ac)|(multiple cpu faults)|(system.+state.+changed )|(\[timeout)|(PRM\|1\|D)|(kpr)|(kdp)|(\|lc)|(penalty))" /e /r /s</v>
      </c>
      <c r="AG48" s="1" t="str">
        <f t="shared" si="31"/>
        <v>EC</v>
      </c>
      <c r="AH48" s="92" t="str">
        <f t="shared" si="17"/>
        <v>"%USERPROFILE%\Documents\GitHub\eaglep3\Utilities\RefineRTDCRunTimes.py" --tripid 136-04 --locoid 4028 --swversion DE.1.0.8.0 --startMP 204:232983 --initTime 2016-12-04T08:48:07 --startdatetime 2016-12-04T08:56:31 --delay 1 --endMP 204:152 --enddatetime 2016-12-04T09:36:21 --enforcementcount 0 &gt;&gt;C:\Users\stu\Documents\GitHub\eaglep3-reporting\EC\2016-12-04-refined-times.txt</v>
      </c>
      <c r="AI48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{"issue":{"subject":"","project_id":79,"tracker_id":40,"status_id":1,"priority_id":2,"assigned_to_id":23,"start_date":"2016-12-04","description":"","custom_fields":[{"id":1,"name":"Subdivision","value":"EC"},{"id":4,"name":"Milepost","value":"0.0152"},{"id":17,"name":"Train ID","value":"136-04"},{"id":16,"name":"Locomotive ID","value":"4028"},{"id":130,"name":"Impact","value":""},{"id":150,"name":"Time of Event (Mountain Time)","value":"09:36:21"},{"id":151,"name":"Denver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499</v>
      </c>
      <c r="B49" s="7">
        <v>4020</v>
      </c>
      <c r="C49" s="22" t="s">
        <v>208</v>
      </c>
      <c r="D49" s="22" t="s">
        <v>242</v>
      </c>
      <c r="E49" s="13">
        <v>42708.338356481479</v>
      </c>
      <c r="F49" s="13">
        <v>42708.343993055554</v>
      </c>
      <c r="G49" s="7">
        <v>1</v>
      </c>
      <c r="H49" s="22" t="s">
        <v>276</v>
      </c>
      <c r="I49" s="13">
        <v>42708.368634259263</v>
      </c>
      <c r="J49" s="7">
        <v>0</v>
      </c>
      <c r="K49" s="109" t="str">
        <f t="shared" si="19"/>
        <v>4019/4020</v>
      </c>
      <c r="L49" s="22" t="str">
        <f>VLOOKUP(A49,'Trips&amp;Operators'!$C$1:$G$99999,5,FALSE)</f>
        <v>ROBINSON KADDIBA</v>
      </c>
      <c r="M49" s="6">
        <f t="shared" si="20"/>
        <v>2.4641203708597459E-2</v>
      </c>
      <c r="N49" s="7">
        <f t="shared" si="32"/>
        <v>35.483333340380341</v>
      </c>
      <c r="O49" s="7"/>
      <c r="P49" s="7"/>
      <c r="Q49" s="23"/>
      <c r="R49" s="23"/>
      <c r="S49" s="35">
        <f t="shared" si="21"/>
        <v>1</v>
      </c>
      <c r="T49" s="50" t="str">
        <f t="shared" si="22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07:07:14-700',mode:absolute,to:'2016-12-04 09:50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49" s="52" t="str">
        <f t="shared" si="24"/>
        <v>N</v>
      </c>
      <c r="X49" s="177">
        <f t="shared" si="25"/>
        <v>1</v>
      </c>
      <c r="Y49" s="67">
        <f t="shared" si="26"/>
        <v>4.4200000000000003E-2</v>
      </c>
      <c r="Z49" s="67">
        <f t="shared" si="33"/>
        <v>23.330100000000002</v>
      </c>
      <c r="AA49" s="67">
        <f t="shared" si="27"/>
        <v>23.285900000000002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28"/>
        <v>0137-04</v>
      </c>
      <c r="AE49" s="91" t="str">
        <f t="shared" si="29"/>
        <v>aws s3 cp s3://rtdc.mdm.uploadarchive.raw/RTDC4020/ "%USERPROFILE%\AppData\Local\Temp\OnboardLogs"\RTDC4020\2016-12-04 --exclude "*" --recursive --include "*20161204*" &amp; "%USERPROFILE%\Documents\GitHub\mrs-test-scripts\Headless Mode &amp; Sideloading\WalkAndUnGZ.bat" "%USERPROFILE%\AppData\Local\Temp\OnboardLogs"\RTDC4020\2016-12-04 &amp; aws s3 cp s3://rtdc.mdm.uploadarchive.raw/RTDC4020/ "%USERPROFILE%\AppData\Local\Temp\OnboardLogs"\RTDC4020\2016-12-05 --exclude "*" --recursive --include "*20161205*" &amp; "%USERPROFILE%\Documents\GitHub\mrs-test-scripts\Headless Mode &amp; Sideloading\WalkAndUnGZ.bat" "%USERPROFILE%\AppData\Local\Temp\OnboardLogs"\RTDC4020\2016-12-05</v>
      </c>
      <c r="AF49" s="88" t="str">
        <f t="shared" si="30"/>
        <v>"C:\Program Files (x86)\AstroGrep\AstroGrep.exe" /spath="%USERPROFILE%\AppData\Local\Temp\OnboardLogs" /stypes="app*4020*20161204*" /stext=" 15:.+((SYSTEM_STATE.+slice.+state.+changed )|(ment ac)|(multiple cpu faults)|(system.+state.+changed )|(\[timeout)|(PRM\|1\|D)|(kpr)|(kdp)|(\|lc)|(penalty))" /e /r /s</v>
      </c>
      <c r="AG49" s="1" t="str">
        <f t="shared" si="31"/>
        <v>EC</v>
      </c>
      <c r="AH49" s="92" t="str">
        <f t="shared" si="17"/>
        <v>"%USERPROFILE%\Documents\GitHub\eaglep3\Utilities\RefineRTDCRunTimes.py" --tripid 137-04 --locoid 4020 --swversion DE.1.0.8.0 --startMP 204:442 --initTime 2016-12-04T08:07:14 --startdatetime 2016-12-04T08:15:21 --delay 1 --endMP 204:233301 --enddatetime 2016-12-04T08:50:50 --enforcementcount 0 &gt;&gt;C:\Users\stu\Documents\GitHub\eaglep3-reporting\EC\2016-12-04-refined-times.txt</v>
      </c>
      <c r="AI49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{"issue":{"subject":"","project_id":79,"tracker_id":40,"status_id":1,"priority_id":2,"assigned_to_id":23,"start_date":"2016-12-04","description":"","custom_fields":[{"id":1,"name":"Subdivision","value":"EC"},{"id":4,"name":"Milepost","value":"23.3301"},{"id":17,"name":"Train ID","value":"137-04"},{"id":16,"name":"Locomotive ID","value":"4020"},{"id":130,"name":"Impact","value":""},{"id":150,"name":"Time of Event (Mountain Time)","value":"08:50:50"},{"id":151,"name":"Denver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448</v>
      </c>
      <c r="B50" s="7">
        <v>4019</v>
      </c>
      <c r="C50" s="22" t="s">
        <v>208</v>
      </c>
      <c r="D50" s="22" t="s">
        <v>677</v>
      </c>
      <c r="E50" s="13">
        <v>42708.369988425926</v>
      </c>
      <c r="F50" s="13">
        <v>42708.382824074077</v>
      </c>
      <c r="G50" s="7">
        <v>11</v>
      </c>
      <c r="H50" s="22" t="s">
        <v>435</v>
      </c>
      <c r="I50" s="13">
        <v>42708.409722222219</v>
      </c>
      <c r="J50" s="7">
        <v>0</v>
      </c>
      <c r="K50" s="109" t="str">
        <f t="shared" si="19"/>
        <v>4019/4020</v>
      </c>
      <c r="L50" s="22" t="str">
        <f>VLOOKUP(A50,'Trips&amp;Operators'!$C$1:$G$99999,5,FALSE)</f>
        <v>ROBINSON KADDIBA</v>
      </c>
      <c r="M50" s="6">
        <f t="shared" si="20"/>
        <v>2.6898148142208811E-2</v>
      </c>
      <c r="N50" s="7">
        <f t="shared" si="32"/>
        <v>38.733333324780688</v>
      </c>
      <c r="O50" s="7"/>
      <c r="P50" s="7"/>
      <c r="Q50" s="23"/>
      <c r="R50" s="23"/>
      <c r="S50" s="35">
        <f t="shared" si="21"/>
        <v>1</v>
      </c>
      <c r="T50" s="50" t="str">
        <f t="shared" si="22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07:52:47-700',mode:absolute,to:'2016-12-04 10:50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50" s="52" t="str">
        <f t="shared" si="24"/>
        <v>N</v>
      </c>
      <c r="X50" s="177">
        <f t="shared" si="25"/>
        <v>1</v>
      </c>
      <c r="Y50" s="67">
        <f t="shared" si="26"/>
        <v>23.297999999999998</v>
      </c>
      <c r="Z50" s="67">
        <f t="shared" si="33"/>
        <v>1.2999999999999999E-2</v>
      </c>
      <c r="AA50" s="67">
        <f t="shared" si="27"/>
        <v>23.284999999999997</v>
      </c>
      <c r="AB50" s="64" t="str">
        <f>VLOOKUP(A50,Enforcements!$C$7:$K$20,8,0)</f>
        <v>Form based authority (4)</v>
      </c>
      <c r="AC50" s="60" t="str">
        <f>VLOOKUP(A50,Enforcements!$C$7:$E$20,3,0)</f>
        <v>TRACK WARRANT AUTHORITY</v>
      </c>
      <c r="AD50" s="61" t="str">
        <f t="shared" si="28"/>
        <v>0138-04</v>
      </c>
      <c r="AE50" s="91" t="str">
        <f t="shared" si="29"/>
        <v>aws s3 cp s3://rtdc.mdm.uploadarchive.raw/RTDC4019/ "%USERPROFILE%\AppData\Local\Temp\OnboardLogs"\RTDC4019\2016-12-04 --exclude "*" --recursive --include "*20161204*" &amp; "%USERPROFILE%\Documents\GitHub\mrs-test-scripts\Headless Mode &amp; Sideloading\WalkAndUnGZ.bat" "%USERPROFILE%\AppData\Local\Temp\OnboardLogs"\RTDC4019\2016-12-04 &amp; aws s3 cp s3://rtdc.mdm.uploadarchive.raw/RTDC4019/ "%USERPROFILE%\AppData\Local\Temp\OnboardLogs"\RTDC4019\2016-12-05 --exclude "*" --recursive --include "*20161205*" &amp; "%USERPROFILE%\Documents\GitHub\mrs-test-scripts\Headless Mode &amp; Sideloading\WalkAndUnGZ.bat" "%USERPROFILE%\AppData\Local\Temp\OnboardLogs"\RTDC4019\2016-12-05</v>
      </c>
      <c r="AF50" s="88" t="str">
        <f t="shared" si="30"/>
        <v>"C:\Program Files (x86)\AstroGrep\AstroGrep.exe" /spath="%USERPROFILE%\AppData\Local\Temp\OnboardLogs" /stypes="app*4019*20161204*" /stext=" 16:.+((SYSTEM_STATE.+slice.+state.+changed )|(ment ac)|(multiple cpu faults)|(system.+state.+changed )|(\[timeout)|(PRM\|1\|D)|(kpr)|(kdp)|(\|lc)|(penalty))" /e /r /s</v>
      </c>
      <c r="AG50" s="1" t="str">
        <f t="shared" si="31"/>
        <v>EC</v>
      </c>
      <c r="AH50" s="92" t="str">
        <f t="shared" si="17"/>
        <v>"%USERPROFILE%\Documents\GitHub\eaglep3\Utilities\RefineRTDCRunTimes.py" --tripid 138-04 --locoid 4019 --swversion DE.1.0.8.0 --startMP 204:232980 --initTime 2016-12-04T08:52:47 --startdatetime 2016-12-04T09:11:16 --delay 11 --endMP 204:130 --enddatetime 2016-12-04T09:50:00 --enforcementcount 0 &gt;&gt;C:\Users\stu\Documents\GitHub\eaglep3-reporting\EC\2016-12-04-refined-times.txt</v>
      </c>
      <c r="AI50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{"issue":{"subject":"","project_id":79,"tracker_id":40,"status_id":1,"priority_id":2,"assigned_to_id":23,"start_date":"2016-12-04","description":"","custom_fields":[{"id":1,"name":"Subdivision","value":"EC"},{"id":4,"name":"Milepost","value":"0.013"},{"id":17,"name":"Train ID","value":"138-04"},{"id":16,"name":"Locomotive ID","value":"4019"},{"id":130,"name":"Impact","value":""},{"id":150,"name":"Time of Event (Mountain Time)","value":"09:50:00"},{"id":151,"name":"Denver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445</v>
      </c>
      <c r="B51" s="7">
        <v>4003</v>
      </c>
      <c r="C51" s="22" t="s">
        <v>208</v>
      </c>
      <c r="D51" s="22" t="s">
        <v>247</v>
      </c>
      <c r="E51" s="13">
        <v>42708.349953703706</v>
      </c>
      <c r="F51" s="13">
        <v>42708.354502314818</v>
      </c>
      <c r="G51" s="7">
        <v>1</v>
      </c>
      <c r="H51" s="22" t="s">
        <v>678</v>
      </c>
      <c r="I51" s="13">
        <v>42708.380891203706</v>
      </c>
      <c r="J51" s="7">
        <v>0</v>
      </c>
      <c r="K51" s="109" t="str">
        <f t="shared" si="19"/>
        <v>4003/4004</v>
      </c>
      <c r="L51" s="22" t="str">
        <f>VLOOKUP(A51,'Trips&amp;Operators'!$C$1:$G$99999,5,FALSE)</f>
        <v>STRICKLAND EVAN</v>
      </c>
      <c r="M51" s="6">
        <f t="shared" si="20"/>
        <v>2.6388888887595385E-2</v>
      </c>
      <c r="N51" s="7">
        <f t="shared" si="32"/>
        <v>37.999999998137355</v>
      </c>
      <c r="O51" s="7"/>
      <c r="P51" s="7"/>
      <c r="Q51" s="23"/>
      <c r="R51" s="23"/>
      <c r="S51" s="35">
        <f t="shared" si="21"/>
        <v>1</v>
      </c>
      <c r="T51" s="50" t="str">
        <f t="shared" si="22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07:23:56-700',mode:absolute,to:'2016-12-04 10:08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1" s="52" t="str">
        <f t="shared" si="24"/>
        <v>N</v>
      </c>
      <c r="X51" s="177">
        <f t="shared" si="25"/>
        <v>1</v>
      </c>
      <c r="Y51" s="67">
        <f t="shared" si="26"/>
        <v>4.5699999999999998E-2</v>
      </c>
      <c r="Z51" s="67">
        <f t="shared" si="33"/>
        <v>23.3217</v>
      </c>
      <c r="AA51" s="67">
        <f t="shared" si="27"/>
        <v>23.276</v>
      </c>
      <c r="AB51" s="64" t="str">
        <f>VLOOKUP(A51,Enforcements!$C$7:$K$20,8,0)</f>
        <v>Form based authority (4)</v>
      </c>
      <c r="AC51" s="60" t="str">
        <f>VLOOKUP(A51,Enforcements!$C$7:$E$20,3,0)</f>
        <v>TRACK WARRANT AUTHORITY</v>
      </c>
      <c r="AD51" s="61" t="str">
        <f t="shared" si="28"/>
        <v>0139-04</v>
      </c>
      <c r="AE51" s="91" t="str">
        <f t="shared" si="29"/>
        <v>aws s3 cp s3://rtdc.mdm.uploadarchive.raw/RTDC4003/ "%USERPROFILE%\AppData\Local\Temp\OnboardLogs"\RTDC4003\2016-12-04 --exclude "*" --recursive --include "*20161204*" &amp; "%USERPROFILE%\Documents\GitHub\mrs-test-scripts\Headless Mode &amp; Sideloading\WalkAndUnGZ.bat" "%USERPROFILE%\AppData\Local\Temp\OnboardLogs"\RTDC4003\2016-12-04 &amp; aws s3 cp s3://rtdc.mdm.uploadarchive.raw/RTDC4003/ "%USERPROFILE%\AppData\Local\Temp\OnboardLogs"\RTDC4003\2016-12-05 --exclude "*" --recursive --include "*20161205*" &amp; "%USERPROFILE%\Documents\GitHub\mrs-test-scripts\Headless Mode &amp; Sideloading\WalkAndUnGZ.bat" "%USERPROFILE%\AppData\Local\Temp\OnboardLogs"\RTDC4003\2016-12-05</v>
      </c>
      <c r="AF51" s="88" t="str">
        <f t="shared" si="30"/>
        <v>"C:\Program Files (x86)\AstroGrep\AstroGrep.exe" /spath="%USERPROFILE%\AppData\Local\Temp\OnboardLogs" /stypes="app*4003*20161204*" /stext=" 16:.+((SYSTEM_STATE.+slice.+state.+changed )|(ment ac)|(multiple cpu faults)|(system.+state.+changed )|(\[timeout)|(PRM\|1\|D)|(kpr)|(kdp)|(\|lc)|(penalty))" /e /r /s</v>
      </c>
      <c r="AG51" s="1" t="str">
        <f t="shared" si="31"/>
        <v>EC</v>
      </c>
      <c r="AH51" s="92" t="str">
        <f t="shared" si="17"/>
        <v>"%USERPROFILE%\Documents\GitHub\eaglep3\Utilities\RefineRTDCRunTimes.py" --tripid 139-04 --locoid 4003 --swversion DE.1.0.8.0 --startMP 204:457 --initTime 2016-12-04T08:23:56 --startdatetime 2016-12-04T08:30:29 --delay 1 --endMP 204:233217 --enddatetime 2016-12-04T09:08:29 --enforcementcount 0 &gt;&gt;C:\Users\stu\Documents\GitHub\eaglep3-reporting\EC\2016-12-04-refined-times.txt</v>
      </c>
      <c r="AI51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{"issue":{"subject":"","project_id":79,"tracker_id":40,"status_id":1,"priority_id":2,"assigned_to_id":23,"start_date":"2016-12-04","description":"","custom_fields":[{"id":1,"name":"Subdivision","value":"EC"},{"id":4,"name":"Milepost","value":"23.3217"},{"id":17,"name":"Train ID","value":"139-04"},{"id":16,"name":"Locomotive ID","value":"4003"},{"id":130,"name":"Impact","value":""},{"id":150,"name":"Time of Event (Mountain Time)","value":"09:08:29"},{"id":151,"name":"Denver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507</v>
      </c>
      <c r="B52" s="7">
        <v>4004</v>
      </c>
      <c r="C52" s="22" t="s">
        <v>208</v>
      </c>
      <c r="D52" s="22" t="s">
        <v>679</v>
      </c>
      <c r="E52" s="13">
        <v>42708.389421296299</v>
      </c>
      <c r="F52" s="13">
        <v>42708.393368055556</v>
      </c>
      <c r="G52" s="7">
        <v>1</v>
      </c>
      <c r="H52" s="22" t="s">
        <v>215</v>
      </c>
      <c r="I52" s="13">
        <v>42708.423425925925</v>
      </c>
      <c r="J52" s="7">
        <v>0</v>
      </c>
      <c r="K52" s="109" t="str">
        <f t="shared" si="19"/>
        <v>4003/4004</v>
      </c>
      <c r="L52" s="22" t="str">
        <f>VLOOKUP(A52,'Trips&amp;Operators'!$C$1:$G$99999,5,FALSE)</f>
        <v>STRICKLAND EVAN</v>
      </c>
      <c r="M52" s="6">
        <f t="shared" si="20"/>
        <v>3.0057870368182193E-2</v>
      </c>
      <c r="N52" s="7">
        <f t="shared" si="32"/>
        <v>43.283333330182359</v>
      </c>
      <c r="O52" s="7"/>
      <c r="P52" s="7"/>
      <c r="Q52" s="23"/>
      <c r="R52" s="23"/>
      <c r="S52" s="35">
        <f t="shared" si="21"/>
        <v>1</v>
      </c>
      <c r="T52" s="50" t="str">
        <f t="shared" si="22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08:20:46-700',mode:absolute,to:'2016-12-04 11:09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2" s="52" t="str">
        <f t="shared" si="24"/>
        <v>N</v>
      </c>
      <c r="X52" s="177">
        <f t="shared" si="25"/>
        <v>1</v>
      </c>
      <c r="Y52" s="67">
        <f t="shared" si="26"/>
        <v>23.2913</v>
      </c>
      <c r="Z52" s="67">
        <f t="shared" si="33"/>
        <v>1.4999999999999999E-2</v>
      </c>
      <c r="AA52" s="67">
        <f t="shared" si="27"/>
        <v>23.276299999999999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28"/>
        <v>0140-04</v>
      </c>
      <c r="AE52" s="91" t="str">
        <f t="shared" si="29"/>
        <v>aws s3 cp s3://rtdc.mdm.uploadarchive.raw/RTDC4004/ "%USERPROFILE%\AppData\Local\Temp\OnboardLogs"\RTDC4004\2016-12-04 --exclude "*" --recursive --include "*20161204*" &amp; "%USERPROFILE%\Documents\GitHub\mrs-test-scripts\Headless Mode &amp; Sideloading\WalkAndUnGZ.bat" "%USERPROFILE%\AppData\Local\Temp\OnboardLogs"\RTDC4004\2016-12-04 &amp; aws s3 cp s3://rtdc.mdm.uploadarchive.raw/RTDC4004/ "%USERPROFILE%\AppData\Local\Temp\OnboardLogs"\RTDC4004\2016-12-05 --exclude "*" --recursive --include "*20161205*" &amp; "%USERPROFILE%\Documents\GitHub\mrs-test-scripts\Headless Mode &amp; Sideloading\WalkAndUnGZ.bat" "%USERPROFILE%\AppData\Local\Temp\OnboardLogs"\RTDC4004\2016-12-05</v>
      </c>
      <c r="AF52" s="88" t="str">
        <f t="shared" si="30"/>
        <v>"C:\Program Files (x86)\AstroGrep\AstroGrep.exe" /spath="%USERPROFILE%\AppData\Local\Temp\OnboardLogs" /stypes="app*4004*20161204*" /stext=" 17:.+((SYSTEM_STATE.+slice.+state.+changed )|(ment ac)|(multiple cpu faults)|(system.+state.+changed )|(\[timeout)|(PRM\|1\|D)|(kpr)|(kdp)|(\|lc)|(penalty))" /e /r /s</v>
      </c>
      <c r="AG52" s="1" t="str">
        <f t="shared" si="31"/>
        <v>EC</v>
      </c>
      <c r="AH52" s="92" t="str">
        <f t="shared" si="17"/>
        <v>"%USERPROFILE%\Documents\GitHub\eaglep3\Utilities\RefineRTDCRunTimes.py" --tripid 140-04 --locoid 4004 --swversion DE.1.0.8.0 --startMP 204:232913 --initTime 2016-12-04T09:20:46 --startdatetime 2016-12-04T09:26:27 --delay 1 --endMP 204:150 --enddatetime 2016-12-04T10:09:44 --enforcementcount 0 &gt;&gt;C:\Users\stu\Documents\GitHub\eaglep3-reporting\EC\2016-12-04-refined-times.txt</v>
      </c>
      <c r="AI52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{"issue":{"subject":"","project_id":79,"tracker_id":40,"status_id":1,"priority_id":2,"assigned_to_id":23,"start_date":"2016-12-04","description":"","custom_fields":[{"id":1,"name":"Subdivision","value":"EC"},{"id":4,"name":"Milepost","value":"0.015"},{"id":17,"name":"Train ID","value":"140-04"},{"id":16,"name":"Locomotive ID","value":"4004"},{"id":130,"name":"Impact","value":""},{"id":150,"name":"Time of Event (Mountain Time)","value":"10:09:44"},{"id":151,"name":"Denver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502</v>
      </c>
      <c r="B53" s="7">
        <v>4022</v>
      </c>
      <c r="C53" s="22" t="s">
        <v>208</v>
      </c>
      <c r="D53" s="22" t="s">
        <v>194</v>
      </c>
      <c r="E53" s="13">
        <v>42708.358854166669</v>
      </c>
      <c r="F53" s="13">
        <v>42708.364756944444</v>
      </c>
      <c r="G53" s="7">
        <v>3</v>
      </c>
      <c r="H53" s="22" t="s">
        <v>276</v>
      </c>
      <c r="I53" s="13">
        <v>42708.389745370368</v>
      </c>
      <c r="J53" s="7">
        <v>0</v>
      </c>
      <c r="K53" s="109" t="str">
        <f t="shared" si="19"/>
        <v>4021/4022</v>
      </c>
      <c r="L53" s="22" t="str">
        <f>VLOOKUP(A53,'Trips&amp;Operators'!$C$1:$G$99999,5,FALSE)</f>
        <v>KILLION DAVID</v>
      </c>
      <c r="M53" s="6">
        <f t="shared" si="20"/>
        <v>2.4988425924675539E-2</v>
      </c>
      <c r="N53" s="7">
        <f t="shared" si="32"/>
        <v>35.983333331532776</v>
      </c>
      <c r="O53" s="7"/>
      <c r="P53" s="7"/>
      <c r="Q53" s="23"/>
      <c r="R53" s="23"/>
      <c r="S53" s="35">
        <f t="shared" si="21"/>
        <v>1</v>
      </c>
      <c r="T53" s="50" t="str">
        <f t="shared" si="22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07:36:45-700',mode:absolute,to:'2016-12-04 10:21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53" s="52" t="str">
        <f t="shared" si="24"/>
        <v>N</v>
      </c>
      <c r="X53" s="177">
        <f t="shared" si="25"/>
        <v>1</v>
      </c>
      <c r="Y53" s="67">
        <f t="shared" si="26"/>
        <v>4.4699999999999997E-2</v>
      </c>
      <c r="Z53" s="67">
        <f t="shared" si="33"/>
        <v>23.330100000000002</v>
      </c>
      <c r="AA53" s="67">
        <f t="shared" si="27"/>
        <v>23.285400000000003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28"/>
        <v>0141-04</v>
      </c>
      <c r="AE53" s="91" t="str">
        <f t="shared" si="29"/>
        <v>aws s3 cp s3://rtdc.mdm.uploadarchive.raw/RTDC4022/ "%USERPROFILE%\AppData\Local\Temp\OnboardLogs"\RTDC4022\2016-12-04 --exclude "*" --recursive --include "*20161204*" &amp; "%USERPROFILE%\Documents\GitHub\mrs-test-scripts\Headless Mode &amp; Sideloading\WalkAndUnGZ.bat" "%USERPROFILE%\AppData\Local\Temp\OnboardLogs"\RTDC4022\2016-12-04 &amp; aws s3 cp s3://rtdc.mdm.uploadarchive.raw/RTDC4022/ "%USERPROFILE%\AppData\Local\Temp\OnboardLogs"\RTDC4022\2016-12-05 --exclude "*" --recursive --include "*20161205*" &amp; "%USERPROFILE%\Documents\GitHub\mrs-test-scripts\Headless Mode &amp; Sideloading\WalkAndUnGZ.bat" "%USERPROFILE%\AppData\Local\Temp\OnboardLogs"\RTDC4022\2016-12-05</v>
      </c>
      <c r="AF53" s="88" t="str">
        <f t="shared" si="30"/>
        <v>"C:\Program Files (x86)\AstroGrep\AstroGrep.exe" /spath="%USERPROFILE%\AppData\Local\Temp\OnboardLogs" /stypes="app*4022*20161204*" /stext=" 16:.+((SYSTEM_STATE.+slice.+state.+changed )|(ment ac)|(multiple cpu faults)|(system.+state.+changed )|(\[timeout)|(PRM\|1\|D)|(kpr)|(kdp)|(\|lc)|(penalty))" /e /r /s</v>
      </c>
      <c r="AG53" s="1" t="str">
        <f t="shared" si="31"/>
        <v>EC</v>
      </c>
      <c r="AH53" s="92" t="str">
        <f t="shared" si="17"/>
        <v>"%USERPROFILE%\Documents\GitHub\eaglep3\Utilities\RefineRTDCRunTimes.py" --tripid 141-04 --locoid 4022 --swversion DE.1.0.8.0 --startMP 204:447 --initTime 2016-12-04T08:36:45 --startdatetime 2016-12-04T08:45:15 --delay 3 --endMP 204:233301 --enddatetime 2016-12-04T09:21:14 --enforcementcount 0 &gt;&gt;C:\Users\stu\Documents\GitHub\eaglep3-reporting\EC\2016-12-04-refined-times.txt</v>
      </c>
      <c r="AI53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{"issue":{"subject":"","project_id":79,"tracker_id":40,"status_id":1,"priority_id":2,"assigned_to_id":23,"start_date":"2016-12-04","description":"","custom_fields":[{"id":1,"name":"Subdivision","value":"EC"},{"id":4,"name":"Milepost","value":"23.3301"},{"id":17,"name":"Train ID","value":"141-04"},{"id":16,"name":"Locomotive ID","value":"4022"},{"id":130,"name":"Impact","value":""},{"id":150,"name":"Time of Event (Mountain Time)","value":"09:21:14"},{"id":151,"name":"Denver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508</v>
      </c>
      <c r="B54" s="7">
        <v>4021</v>
      </c>
      <c r="C54" s="22" t="s">
        <v>208</v>
      </c>
      <c r="D54" s="22" t="s">
        <v>305</v>
      </c>
      <c r="E54" s="13">
        <v>42708.395729166667</v>
      </c>
      <c r="F54" s="13">
        <v>42708.403819444444</v>
      </c>
      <c r="G54" s="7">
        <v>1</v>
      </c>
      <c r="H54" s="22" t="s">
        <v>228</v>
      </c>
      <c r="I54" s="13">
        <v>42708.430659722224</v>
      </c>
      <c r="J54" s="7">
        <v>0</v>
      </c>
      <c r="K54" s="109" t="str">
        <f t="shared" si="19"/>
        <v>4021/4022</v>
      </c>
      <c r="L54" s="22" t="str">
        <f>VLOOKUP(A54,'Trips&amp;Operators'!$C$1:$G$99999,5,FALSE)</f>
        <v>KILLION DAVID</v>
      </c>
      <c r="M54" s="6">
        <f t="shared" si="20"/>
        <v>2.6840277780138422E-2</v>
      </c>
      <c r="N54" s="7">
        <f t="shared" si="32"/>
        <v>38.650000003399327</v>
      </c>
      <c r="O54" s="7"/>
      <c r="P54" s="7"/>
      <c r="Q54" s="23"/>
      <c r="R54" s="23"/>
      <c r="S54" s="35">
        <f t="shared" si="21"/>
        <v>1</v>
      </c>
      <c r="T54" s="50" t="str">
        <f t="shared" si="22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08:29:51-700',mode:absolute,to:'2016-12-04 11:20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4" s="52" t="str">
        <f t="shared" si="24"/>
        <v>N</v>
      </c>
      <c r="X54" s="177">
        <f t="shared" si="25"/>
        <v>1</v>
      </c>
      <c r="Y54" s="67">
        <f t="shared" si="26"/>
        <v>23.296900000000001</v>
      </c>
      <c r="Z54" s="67">
        <f t="shared" si="33"/>
        <v>1.54E-2</v>
      </c>
      <c r="AA54" s="67">
        <f t="shared" si="27"/>
        <v>23.281500000000001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28"/>
        <v>0142-04</v>
      </c>
      <c r="AE54" s="91" t="str">
        <f t="shared" si="29"/>
        <v>aws s3 cp s3://rtdc.mdm.uploadarchive.raw/RTDC4021/ "%USERPROFILE%\AppData\Local\Temp\OnboardLogs"\RTDC4021\2016-12-04 --exclude "*" --recursive --include "*20161204*" &amp; "%USERPROFILE%\Documents\GitHub\mrs-test-scripts\Headless Mode &amp; Sideloading\WalkAndUnGZ.bat" "%USERPROFILE%\AppData\Local\Temp\OnboardLogs"\RTDC4021\2016-12-04 &amp; aws s3 cp s3://rtdc.mdm.uploadarchive.raw/RTDC4021/ "%USERPROFILE%\AppData\Local\Temp\OnboardLogs"\RTDC4021\2016-12-05 --exclude "*" --recursive --include "*20161205*" &amp; "%USERPROFILE%\Documents\GitHub\mrs-test-scripts\Headless Mode &amp; Sideloading\WalkAndUnGZ.bat" "%USERPROFILE%\AppData\Local\Temp\OnboardLogs"\RTDC4021\2016-12-05</v>
      </c>
      <c r="AF54" s="88" t="str">
        <f t="shared" si="30"/>
        <v>"C:\Program Files (x86)\AstroGrep\AstroGrep.exe" /spath="%USERPROFILE%\AppData\Local\Temp\OnboardLogs" /stypes="app*4021*20161204*" /stext=" 17:.+((SYSTEM_STATE.+slice.+state.+changed )|(ment ac)|(multiple cpu faults)|(system.+state.+changed )|(\[timeout)|(PRM\|1\|D)|(kpr)|(kdp)|(\|lc)|(penalty))" /e /r /s</v>
      </c>
      <c r="AG54" s="1" t="str">
        <f t="shared" si="31"/>
        <v>EC</v>
      </c>
      <c r="AH54" s="92" t="str">
        <f t="shared" si="17"/>
        <v>"%USERPROFILE%\Documents\GitHub\eaglep3\Utilities\RefineRTDCRunTimes.py" --tripid 142-04 --locoid 4021 --swversion DE.1.0.8.0 --startMP 204:232969 --initTime 2016-12-04T09:29:51 --startdatetime 2016-12-04T09:41:30 --delay 1 --endMP 204:154 --enddatetime 2016-12-04T10:20:09 --enforcementcount 0 &gt;&gt;C:\Users\stu\Documents\GitHub\eaglep3-reporting\EC\2016-12-04-refined-times.txt</v>
      </c>
      <c r="AI54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{"issue":{"subject":"","project_id":79,"tracker_id":40,"status_id":1,"priority_id":2,"assigned_to_id":23,"start_date":"2016-12-04","description":"","custom_fields":[{"id":1,"name":"Subdivision","value":"EC"},{"id":4,"name":"Milepost","value":"0.0154"},{"id":17,"name":"Train ID","value":"142-04"},{"id":16,"name":"Locomotive ID","value":"4021"},{"id":130,"name":"Impact","value":""},{"id":150,"name":"Time of Event (Mountain Time)","value":"10:20:09"},{"id":151,"name":"Denver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446</v>
      </c>
      <c r="B55" s="7">
        <v>4031</v>
      </c>
      <c r="C55" s="22" t="s">
        <v>208</v>
      </c>
      <c r="D55" s="22" t="s">
        <v>242</v>
      </c>
      <c r="E55" s="13">
        <v>42708.368854166663</v>
      </c>
      <c r="F55" s="13">
        <v>42708.375162037039</v>
      </c>
      <c r="G55" s="7">
        <v>1</v>
      </c>
      <c r="H55" s="22" t="s">
        <v>421</v>
      </c>
      <c r="I55" s="13">
        <v>42708.40388888889</v>
      </c>
      <c r="J55" s="7">
        <v>0</v>
      </c>
      <c r="K55" s="109" t="str">
        <f t="shared" si="19"/>
        <v>4031/4032</v>
      </c>
      <c r="L55" s="22" t="str">
        <f>VLOOKUP(A55,'Trips&amp;Operators'!$C$1:$G$99999,5,FALSE)</f>
        <v>YORK EDGAR</v>
      </c>
      <c r="M55" s="6">
        <f t="shared" si="20"/>
        <v>2.8726851851388346E-2</v>
      </c>
      <c r="N55" s="7">
        <f t="shared" si="32"/>
        <v>41.366666665999219</v>
      </c>
      <c r="O55" s="7"/>
      <c r="P55" s="7"/>
      <c r="Q55" s="23"/>
      <c r="R55" s="23"/>
      <c r="S55" s="35">
        <f t="shared" si="21"/>
        <v>1</v>
      </c>
      <c r="T55" s="50" t="str">
        <f t="shared" si="22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07:51:09-700',mode:absolute,to:'2016-12-04 10:41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5" s="52" t="str">
        <f t="shared" si="24"/>
        <v>N</v>
      </c>
      <c r="X55" s="177">
        <f t="shared" si="25"/>
        <v>1</v>
      </c>
      <c r="Y55" s="67">
        <f t="shared" si="26"/>
        <v>4.4200000000000003E-2</v>
      </c>
      <c r="Z55" s="67">
        <f t="shared" si="33"/>
        <v>23.3293</v>
      </c>
      <c r="AA55" s="67">
        <f t="shared" si="27"/>
        <v>23.2851</v>
      </c>
      <c r="AB55" s="64" t="str">
        <f>VLOOKUP(A55,Enforcements!$C$7:$K$20,8,0)</f>
        <v>Signal based authority (5)</v>
      </c>
      <c r="AC55" s="60" t="str">
        <f>VLOOKUP(A55,Enforcements!$C$7:$E$20,3,0)</f>
        <v>SIGNAL</v>
      </c>
      <c r="AD55" s="61" t="str">
        <f t="shared" si="28"/>
        <v>0143-04</v>
      </c>
      <c r="AE55" s="91" t="str">
        <f t="shared" si="29"/>
        <v>aws s3 cp s3://rtdc.mdm.uploadarchive.raw/RTDC4031/ "%USERPROFILE%\AppData\Local\Temp\OnboardLogs"\RTDC4031\2016-12-04 --exclude "*" --recursive --include "*20161204*" &amp; "%USERPROFILE%\Documents\GitHub\mrs-test-scripts\Headless Mode &amp; Sideloading\WalkAndUnGZ.bat" "%USERPROFILE%\AppData\Local\Temp\OnboardLogs"\RTDC4031\2016-12-04 &amp; aws s3 cp s3://rtdc.mdm.uploadarchive.raw/RTDC4031/ "%USERPROFILE%\AppData\Local\Temp\OnboardLogs"\RTDC4031\2016-12-05 --exclude "*" --recursive --include "*20161205*" &amp; "%USERPROFILE%\Documents\GitHub\mrs-test-scripts\Headless Mode &amp; Sideloading\WalkAndUnGZ.bat" "%USERPROFILE%\AppData\Local\Temp\OnboardLogs"\RTDC4031\2016-12-05</v>
      </c>
      <c r="AF55" s="88" t="str">
        <f t="shared" si="30"/>
        <v>"C:\Program Files (x86)\AstroGrep\AstroGrep.exe" /spath="%USERPROFILE%\AppData\Local\Temp\OnboardLogs" /stypes="app*4031*20161204*" /stext=" 16:.+((SYSTEM_STATE.+slice.+state.+changed )|(ment ac)|(multiple cpu faults)|(system.+state.+changed )|(\[timeout)|(PRM\|1\|D)|(kpr)|(kdp)|(\|lc)|(penalty))" /e /r /s</v>
      </c>
      <c r="AG55" s="1" t="str">
        <f t="shared" si="31"/>
        <v>EC</v>
      </c>
      <c r="AH55" s="92" t="str">
        <f t="shared" si="17"/>
        <v>"%USERPROFILE%\Documents\GitHub\eaglep3\Utilities\RefineRTDCRunTimes.py" --tripid 143-04 --locoid 4031 --swversion DE.1.0.8.0 --startMP 204:442 --initTime 2016-12-04T08:51:09 --startdatetime 2016-12-04T09:00:14 --delay 1 --endMP 204:233293 --enddatetime 2016-12-04T09:41:36 --enforcementcount 0 &gt;&gt;C:\Users\stu\Documents\GitHub\eaglep3-reporting\EC\2016-12-04-refined-times.txt</v>
      </c>
      <c r="AI55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{"issue":{"subject":"","project_id":79,"tracker_id":40,"status_id":1,"priority_id":2,"assigned_to_id":23,"start_date":"2016-12-04","description":"","custom_fields":[{"id":1,"name":"Subdivision","value":"EC"},{"id":4,"name":"Milepost","value":"23.3293"},{"id":17,"name":"Train ID","value":"143-04"},{"id":16,"name":"Locomotive ID","value":"4031"},{"id":130,"name":"Impact","value":""},{"id":150,"name":"Time of Event (Mountain Time)","value":"09:41:36"},{"id":151,"name":"Denver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511</v>
      </c>
      <c r="B56" s="7">
        <v>4032</v>
      </c>
      <c r="C56" s="22" t="s">
        <v>208</v>
      </c>
      <c r="D56" s="22" t="s">
        <v>680</v>
      </c>
      <c r="E56" s="13">
        <v>42708.413576388892</v>
      </c>
      <c r="F56" s="13">
        <v>42708.414710648147</v>
      </c>
      <c r="G56" s="7">
        <v>1</v>
      </c>
      <c r="H56" s="22" t="s">
        <v>237</v>
      </c>
      <c r="I56" s="13">
        <v>42708.440682870372</v>
      </c>
      <c r="J56" s="7">
        <v>0</v>
      </c>
      <c r="K56" s="109" t="str">
        <f t="shared" si="19"/>
        <v>4031/4032</v>
      </c>
      <c r="L56" s="22" t="str">
        <f>VLOOKUP(A56,'Trips&amp;Operators'!$C$1:$G$99999,5,FALSE)</f>
        <v>YORK EDGAR</v>
      </c>
      <c r="M56" s="6">
        <f t="shared" si="20"/>
        <v>2.5972222225391306E-2</v>
      </c>
      <c r="N56" s="7">
        <f t="shared" si="32"/>
        <v>37.400000004563481</v>
      </c>
      <c r="O56" s="7"/>
      <c r="P56" s="7"/>
      <c r="Q56" s="23"/>
      <c r="R56" s="23"/>
      <c r="S56" s="35">
        <f t="shared" si="21"/>
        <v>1</v>
      </c>
      <c r="T56" s="50" t="str">
        <f t="shared" si="22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08:55:33-700',mode:absolute,to:'2016-12-04 11:34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6" s="52" t="str">
        <f t="shared" si="24"/>
        <v>N</v>
      </c>
      <c r="X56" s="177">
        <f t="shared" si="25"/>
        <v>1</v>
      </c>
      <c r="Y56" s="67">
        <f t="shared" si="26"/>
        <v>23.298100000000002</v>
      </c>
      <c r="Z56" s="67">
        <f t="shared" si="33"/>
        <v>1.47E-2</v>
      </c>
      <c r="AA56" s="67">
        <f t="shared" si="27"/>
        <v>23.2834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28"/>
        <v>0144-04</v>
      </c>
      <c r="AE56" s="91" t="str">
        <f t="shared" si="29"/>
        <v>aws s3 cp s3://rtdc.mdm.uploadarchive.raw/RTDC4032/ "%USERPROFILE%\AppData\Local\Temp\OnboardLogs"\RTDC4032\2016-12-04 --exclude "*" --recursive --include "*20161204*" &amp; "%USERPROFILE%\Documents\GitHub\mrs-test-scripts\Headless Mode &amp; Sideloading\WalkAndUnGZ.bat" "%USERPROFILE%\AppData\Local\Temp\OnboardLogs"\RTDC4032\2016-12-04 &amp; aws s3 cp s3://rtdc.mdm.uploadarchive.raw/RTDC4032/ "%USERPROFILE%\AppData\Local\Temp\OnboardLogs"\RTDC4032\2016-12-05 --exclude "*" --recursive --include "*20161205*" &amp; "%USERPROFILE%\Documents\GitHub\mrs-test-scripts\Headless Mode &amp; Sideloading\WalkAndUnGZ.bat" "%USERPROFILE%\AppData\Local\Temp\OnboardLogs"\RTDC4032\2016-12-05</v>
      </c>
      <c r="AF56" s="88" t="str">
        <f t="shared" si="30"/>
        <v>"C:\Program Files (x86)\AstroGrep\AstroGrep.exe" /spath="%USERPROFILE%\AppData\Local\Temp\OnboardLogs" /stypes="app*4032*20161204*" /stext=" 17:.+((SYSTEM_STATE.+slice.+state.+changed )|(ment ac)|(multiple cpu faults)|(system.+state.+changed )|(\[timeout)|(PRM\|1\|D)|(kpr)|(kdp)|(\|lc)|(penalty))" /e /r /s</v>
      </c>
      <c r="AG56" s="1" t="str">
        <f t="shared" si="31"/>
        <v>EC</v>
      </c>
      <c r="AH56" s="92" t="str">
        <f t="shared" si="17"/>
        <v>"%USERPROFILE%\Documents\GitHub\eaglep3\Utilities\RefineRTDCRunTimes.py" --tripid 144-04 --locoid 4032 --swversion DE.1.0.8.0 --startMP 204:232981 --initTime 2016-12-04T09:55:33 --startdatetime 2016-12-04T09:57:11 --delay 1 --endMP 204:147 --enddatetime 2016-12-04T10:34:35 --enforcementcount 0 &gt;&gt;C:\Users\stu\Documents\GitHub\eaglep3-reporting\EC\2016-12-04-refined-times.txt</v>
      </c>
      <c r="AI56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{"issue":{"subject":"","project_id":79,"tracker_id":40,"status_id":1,"priority_id":2,"assigned_to_id":23,"start_date":"2016-12-04","description":"","custom_fields":[{"id":1,"name":"Subdivision","value":"EC"},{"id":4,"name":"Milepost","value":"0.0147"},{"id":17,"name":"Train ID","value":"144-04"},{"id":16,"name":"Locomotive ID","value":"4032"},{"id":130,"name":"Impact","value":""},{"id":150,"name":"Time of Event (Mountain Time)","value":"10:34:35"},{"id":151,"name":"Denver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505</v>
      </c>
      <c r="B57" s="7">
        <v>4038</v>
      </c>
      <c r="C57" s="22" t="s">
        <v>208</v>
      </c>
      <c r="D57" s="22" t="s">
        <v>195</v>
      </c>
      <c r="E57" s="13">
        <v>42708.380798611113</v>
      </c>
      <c r="F57" s="13">
        <v>42708.385740740741</v>
      </c>
      <c r="G57" s="7">
        <v>1</v>
      </c>
      <c r="H57" s="22" t="s">
        <v>253</v>
      </c>
      <c r="I57" s="13">
        <v>42708.410532407404</v>
      </c>
      <c r="J57" s="7">
        <v>0</v>
      </c>
      <c r="K57" s="109" t="str">
        <f t="shared" si="19"/>
        <v>4037/4038</v>
      </c>
      <c r="L57" s="22" t="str">
        <f>VLOOKUP(A57,'Trips&amp;Operators'!$C$1:$G$99999,5,FALSE)</f>
        <v>ACKERMAN JARED</v>
      </c>
      <c r="M57" s="6">
        <f t="shared" si="20"/>
        <v>2.4791666663077194E-2</v>
      </c>
      <c r="N57" s="7">
        <f t="shared" si="32"/>
        <v>35.69999999483116</v>
      </c>
      <c r="O57" s="7"/>
      <c r="P57" s="7"/>
      <c r="Q57" s="23"/>
      <c r="R57" s="23"/>
      <c r="S57" s="35">
        <f t="shared" si="21"/>
        <v>1</v>
      </c>
      <c r="T57" s="50" t="str">
        <f t="shared" si="22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08:08:21-700',mode:absolute,to:'2016-12-04 10:51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7" s="52" t="str">
        <f t="shared" si="24"/>
        <v>N</v>
      </c>
      <c r="X57" s="177">
        <f t="shared" si="25"/>
        <v>1</v>
      </c>
      <c r="Y57" s="67">
        <f t="shared" si="26"/>
        <v>4.5100000000000001E-2</v>
      </c>
      <c r="Z57" s="67">
        <f t="shared" si="33"/>
        <v>23.3307</v>
      </c>
      <c r="AA57" s="67">
        <f t="shared" si="27"/>
        <v>23.285599999999999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28"/>
        <v>0145-04</v>
      </c>
      <c r="AE57" s="91" t="str">
        <f t="shared" si="29"/>
        <v>aws s3 cp s3://rtdc.mdm.uploadarchive.raw/RTDC4038/ "%USERPROFILE%\AppData\Local\Temp\OnboardLogs"\RTDC4038\2016-12-04 --exclude "*" --recursive --include "*20161204*" &amp; "%USERPROFILE%\Documents\GitHub\mrs-test-scripts\Headless Mode &amp; Sideloading\WalkAndUnGZ.bat" "%USERPROFILE%\AppData\Local\Temp\OnboardLogs"\RTDC4038\2016-12-04 &amp; 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</v>
      </c>
      <c r="AF57" s="88" t="str">
        <f t="shared" si="30"/>
        <v>"C:\Program Files (x86)\AstroGrep\AstroGrep.exe" /spath="%USERPROFILE%\AppData\Local\Temp\OnboardLogs" /stypes="app*4038*20161204*" /stext=" 16:.+((SYSTEM_STATE.+slice.+state.+changed )|(ment ac)|(multiple cpu faults)|(system.+state.+changed )|(\[timeout)|(PRM\|1\|D)|(kpr)|(kdp)|(\|lc)|(penalty))" /e /r /s</v>
      </c>
      <c r="AG57" s="1" t="str">
        <f t="shared" si="31"/>
        <v>EC</v>
      </c>
      <c r="AH57" s="92" t="str">
        <f t="shared" si="17"/>
        <v>"%USERPROFILE%\Documents\GitHub\eaglep3\Utilities\RefineRTDCRunTimes.py" --tripid 145-04 --locoid 4038 --swversion DE.1.0.8.0 --startMP 204:451 --initTime 2016-12-04T09:08:21 --startdatetime 2016-12-04T09:15:28 --delay 1 --endMP 204:233307 --enddatetime 2016-12-04T09:51:10 --enforcementcount 0 &gt;&gt;C:\Users\stu\Documents\GitHub\eaglep3-reporting\EC\2016-12-04-refined-times.txt</v>
      </c>
      <c r="AI57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{"issue":{"subject":"","project_id":79,"tracker_id":40,"status_id":1,"priority_id":2,"assigned_to_id":23,"start_date":"2016-12-04","description":"","custom_fields":[{"id":1,"name":"Subdivision","value":"EC"},{"id":4,"name":"Milepost","value":"23.3307"},{"id":17,"name":"Train ID","value":"145-04"},{"id":16,"name":"Locomotive ID","value":"4038"},{"id":130,"name":"Impact","value":""},{"id":150,"name":"Time of Event (Mountain Time)","value":"09:51:10"},{"id":151,"name":"Denver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512</v>
      </c>
      <c r="B58" s="7">
        <v>4037</v>
      </c>
      <c r="C58" s="22" t="s">
        <v>208</v>
      </c>
      <c r="D58" s="22" t="s">
        <v>675</v>
      </c>
      <c r="E58" s="13">
        <v>42708.415543981479</v>
      </c>
      <c r="F58" s="13">
        <v>42708.424733796295</v>
      </c>
      <c r="G58" s="7">
        <v>2</v>
      </c>
      <c r="H58" s="22" t="s">
        <v>279</v>
      </c>
      <c r="I58" s="13">
        <v>42708.450856481482</v>
      </c>
      <c r="J58" s="7">
        <v>0</v>
      </c>
      <c r="K58" s="109" t="str">
        <f t="shared" si="19"/>
        <v>4037/4038</v>
      </c>
      <c r="L58" s="22" t="str">
        <f>VLOOKUP(A58,'Trips&amp;Operators'!$C$1:$G$99999,5,FALSE)</f>
        <v>ACKERMAN JARED</v>
      </c>
      <c r="M58" s="6">
        <f t="shared" si="20"/>
        <v>2.6122685187146999E-2</v>
      </c>
      <c r="N58" s="7">
        <f t="shared" si="32"/>
        <v>37.616666669491678</v>
      </c>
      <c r="O58" s="7"/>
      <c r="P58" s="7"/>
      <c r="Q58" s="23"/>
      <c r="R58" s="23"/>
      <c r="S58" s="35">
        <f t="shared" si="21"/>
        <v>1</v>
      </c>
      <c r="T58" s="50" t="str">
        <f t="shared" si="22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08:58:23-700',mode:absolute,to:'2016-12-04 11:49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8" s="52" t="str">
        <f t="shared" si="24"/>
        <v>N</v>
      </c>
      <c r="X58" s="177">
        <f t="shared" si="25"/>
        <v>1</v>
      </c>
      <c r="Y58" s="67">
        <f t="shared" si="26"/>
        <v>23.298400000000001</v>
      </c>
      <c r="Z58" s="67">
        <f t="shared" si="33"/>
        <v>1.6E-2</v>
      </c>
      <c r="AA58" s="67">
        <f t="shared" si="27"/>
        <v>23.282400000000003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28"/>
        <v>0146-04</v>
      </c>
      <c r="AE58" s="91" t="str">
        <f t="shared" si="29"/>
        <v>aws s3 cp s3://rtdc.mdm.uploadarchive.raw/RTDC4037/ "%USERPROFILE%\AppData\Local\Temp\OnboardLogs"\RTDC4037\2016-12-04 --exclude "*" --recursive --include "*20161204*" &amp; "%USERPROFILE%\Documents\GitHub\mrs-test-scripts\Headless Mode &amp; Sideloading\WalkAndUnGZ.bat" "%USERPROFILE%\AppData\Local\Temp\OnboardLogs"\RTDC4037\2016-12-04 &amp; 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</v>
      </c>
      <c r="AF58" s="88" t="str">
        <f t="shared" si="30"/>
        <v>"C:\Program Files (x86)\AstroGrep\AstroGrep.exe" /spath="%USERPROFILE%\AppData\Local\Temp\OnboardLogs" /stypes="app*4037*20161204*" /stext=" 17:.+((SYSTEM_STATE.+slice.+state.+changed )|(ment ac)|(multiple cpu faults)|(system.+state.+changed )|(\[timeout)|(PRM\|1\|D)|(kpr)|(kdp)|(\|lc)|(penalty))" /e /r /s</v>
      </c>
      <c r="AG58" s="1" t="str">
        <f t="shared" si="31"/>
        <v>EC</v>
      </c>
      <c r="AH58" s="92" t="str">
        <f t="shared" si="17"/>
        <v>"%USERPROFILE%\Documents\GitHub\eaglep3\Utilities\RefineRTDCRunTimes.py" --tripid 146-04 --locoid 4037 --swversion DE.1.0.8.0 --startMP 204:232984 --initTime 2016-12-04T09:58:23 --startdatetime 2016-12-04T10:11:37 --delay 2 --endMP 204:160 --enddatetime 2016-12-04T10:49:14 --enforcementcount 0 &gt;&gt;C:\Users\stu\Documents\GitHub\eaglep3-reporting\EC\2016-12-04-refined-times.txt</v>
      </c>
      <c r="AI58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{"issue":{"subject":"","project_id":79,"tracker_id":40,"status_id":1,"priority_id":2,"assigned_to_id":23,"start_date":"2016-12-04","description":"","custom_fields":[{"id":1,"name":"Subdivision","value":"EC"},{"id":4,"name":"Milepost","value":"0.016"},{"id":17,"name":"Train ID","value":"146-04"},{"id":16,"name":"Locomotive ID","value":"4037"},{"id":130,"name":"Impact","value":""},{"id":150,"name":"Time of Event (Mountain Time)","value":"10:49:14"},{"id":151,"name":"Denver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29" customFormat="1" x14ac:dyDescent="0.25">
      <c r="A59" s="37" t="s">
        <v>449</v>
      </c>
      <c r="B59" s="7">
        <v>4029</v>
      </c>
      <c r="C59" s="22" t="s">
        <v>208</v>
      </c>
      <c r="D59" s="22" t="s">
        <v>247</v>
      </c>
      <c r="E59" s="13">
        <v>42708.390856481485</v>
      </c>
      <c r="F59" s="13">
        <v>42708.396331018521</v>
      </c>
      <c r="G59" s="7">
        <v>1</v>
      </c>
      <c r="H59" s="22" t="s">
        <v>262</v>
      </c>
      <c r="I59" s="13">
        <v>42708.427905092591</v>
      </c>
      <c r="J59" s="7">
        <v>0</v>
      </c>
      <c r="K59" s="109" t="str">
        <f t="shared" si="19"/>
        <v>4029/4030</v>
      </c>
      <c r="L59" s="22" t="str">
        <f>VLOOKUP(A59,'Trips&amp;Operators'!$C$1:$G$99999,5,FALSE)</f>
        <v>MAELZER KURT</v>
      </c>
      <c r="M59" s="6">
        <f t="shared" si="20"/>
        <v>3.1574074069794733E-2</v>
      </c>
      <c r="N59" s="7">
        <f t="shared" si="32"/>
        <v>45.466666660504416</v>
      </c>
      <c r="O59" s="7"/>
      <c r="P59" s="7"/>
      <c r="Q59" s="23"/>
      <c r="R59" s="23"/>
      <c r="S59" s="35">
        <f t="shared" si="21"/>
        <v>1</v>
      </c>
      <c r="T59" s="50" t="str">
        <f t="shared" si="22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08:22:50-700',mode:absolute,to:'2016-12-04 11:16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9" s="52" t="str">
        <f t="shared" si="24"/>
        <v>N</v>
      </c>
      <c r="X59" s="177">
        <f t="shared" si="25"/>
        <v>1</v>
      </c>
      <c r="Y59" s="67">
        <f t="shared" si="26"/>
        <v>4.5699999999999998E-2</v>
      </c>
      <c r="Z59" s="67">
        <f t="shared" si="33"/>
        <v>23.329799999999999</v>
      </c>
      <c r="AA59" s="67">
        <f t="shared" si="27"/>
        <v>23.284099999999999</v>
      </c>
      <c r="AB59" s="64" t="str">
        <f>VLOOKUP(A59,Enforcements!$C$7:$K$20,8,0)</f>
        <v>Signal based authority (5)</v>
      </c>
      <c r="AC59" s="60" t="str">
        <f>VLOOKUP(A59,Enforcements!$C$7:$E$20,3,0)</f>
        <v>SIGNAL</v>
      </c>
      <c r="AD59" s="61" t="str">
        <f t="shared" si="28"/>
        <v>0147-04</v>
      </c>
      <c r="AE59" s="91" t="str">
        <f t="shared" si="29"/>
        <v>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 &amp; aws s3 cp s3://rtdc.mdm.uploadarchive.raw/RTDC4029/ "%USERPROFILE%\AppData\Local\Temp\OnboardLogs"\RTDC4029\2016-12-05 --exclude "*" --recursive --include "*20161205*" &amp; "%USERPROFILE%\Documents\GitHub\mrs-test-scripts\Headless Mode &amp; Sideloading\WalkAndUnGZ.bat" "%USERPROFILE%\AppData\Local\Temp\OnboardLogs"\RTDC4029\2016-12-05</v>
      </c>
      <c r="AF59" s="88" t="str">
        <f t="shared" si="30"/>
        <v>"C:\Program Files (x86)\AstroGrep\AstroGrep.exe" /spath="%USERPROFILE%\AppData\Local\Temp\OnboardLogs" /stypes="app*4029*20161204*" /stext=" 17:.+((SYSTEM_STATE.+slice.+state.+changed )|(ment ac)|(multiple cpu faults)|(system.+state.+changed )|(\[timeout)|(PRM\|1\|D)|(kpr)|(kdp)|(\|lc)|(penalty))" /e /r /s</v>
      </c>
      <c r="AG59" s="1" t="str">
        <f t="shared" si="31"/>
        <v>EC</v>
      </c>
      <c r="AH59" s="92" t="str">
        <f t="shared" si="17"/>
        <v>"%USERPROFILE%\Documents\GitHub\eaglep3\Utilities\RefineRTDCRunTimes.py" --tripid 147-04 --locoid 4029 --swversion DE.1.0.8.0 --startMP 204:457 --initTime 2016-12-04T09:22:50 --startdatetime 2016-12-04T09:30:43 --delay 1 --endMP 204:233298 --enddatetime 2016-12-04T10:16:11 --enforcementcount 0 &gt;&gt;C:\Users\stu\Documents\GitHub\eaglep3-reporting\EC\2016-12-04-refined-times.txt</v>
      </c>
      <c r="AI59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{"issue":{"subject":"","project_id":79,"tracker_id":40,"status_id":1,"priority_id":2,"assigned_to_id":23,"start_date":"2016-12-04","description":"","custom_fields":[{"id":1,"name":"Subdivision","value":"EC"},{"id":4,"name":"Milepost","value":"23.3298"},{"id":17,"name":"Train ID","value":"147-04"},{"id":16,"name":"Locomotive ID","value":"4029"},{"id":130,"name":"Impact","value":""},{"id":150,"name":"Time of Event (Mountain Time)","value":"10:16:11"},{"id":151,"name":"Denver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515</v>
      </c>
      <c r="B60" s="7">
        <v>4030</v>
      </c>
      <c r="C60" s="22" t="s">
        <v>208</v>
      </c>
      <c r="D60" s="22" t="s">
        <v>257</v>
      </c>
      <c r="E60" s="13">
        <v>42708.433032407411</v>
      </c>
      <c r="F60" s="13">
        <v>42708.434976851851</v>
      </c>
      <c r="G60" s="7">
        <v>1</v>
      </c>
      <c r="H60" s="22" t="s">
        <v>215</v>
      </c>
      <c r="I60" s="13">
        <v>42708.460682870369</v>
      </c>
      <c r="J60" s="7">
        <v>0</v>
      </c>
      <c r="K60" s="109" t="str">
        <f t="shared" si="19"/>
        <v>4029/4030</v>
      </c>
      <c r="L60" s="22" t="str">
        <f>VLOOKUP(A60,'Trips&amp;Operators'!$C$1:$G$99999,5,FALSE)</f>
        <v>MAELZER KURT</v>
      </c>
      <c r="M60" s="6">
        <f t="shared" si="20"/>
        <v>2.5706018517666962E-2</v>
      </c>
      <c r="N60" s="7">
        <f t="shared" si="32"/>
        <v>37.016666665440425</v>
      </c>
      <c r="O60" s="7"/>
      <c r="P60" s="7"/>
      <c r="Q60" s="23"/>
      <c r="R60" s="23"/>
      <c r="S60" s="35">
        <f t="shared" si="21"/>
        <v>1</v>
      </c>
      <c r="T60" s="50" t="str">
        <f t="shared" si="22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09:23:34-700',mode:absolute,to:'2016-12-04 12:03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0" s="52" t="str">
        <f t="shared" si="24"/>
        <v>N</v>
      </c>
      <c r="X60" s="177">
        <f t="shared" si="25"/>
        <v>1</v>
      </c>
      <c r="Y60" s="67">
        <f t="shared" si="26"/>
        <v>23.2989</v>
      </c>
      <c r="Z60" s="67">
        <f t="shared" si="33"/>
        <v>1.4999999999999999E-2</v>
      </c>
      <c r="AA60" s="67">
        <f t="shared" si="27"/>
        <v>23.283899999999999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28"/>
        <v>0148-04</v>
      </c>
      <c r="AE60" s="91" t="str">
        <f t="shared" si="29"/>
        <v>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 &amp; aws s3 cp s3://rtdc.mdm.uploadarchive.raw/RTDC4030/ "%USERPROFILE%\AppData\Local\Temp\OnboardLogs"\RTDC4030\2016-12-05 --exclude "*" --recursive --include "*20161205*" &amp; "%USERPROFILE%\Documents\GitHub\mrs-test-scripts\Headless Mode &amp; Sideloading\WalkAndUnGZ.bat" "%USERPROFILE%\AppData\Local\Temp\OnboardLogs"\RTDC4030\2016-12-05</v>
      </c>
      <c r="AF60" s="88" t="str">
        <f t="shared" si="30"/>
        <v>"C:\Program Files (x86)\AstroGrep\AstroGrep.exe" /spath="%USERPROFILE%\AppData\Local\Temp\OnboardLogs" /stypes="app*4030*20161204*" /stext=" 18:.+((SYSTEM_STATE.+slice.+state.+changed )|(ment ac)|(multiple cpu faults)|(system.+state.+changed )|(\[timeout)|(PRM\|1\|D)|(kpr)|(kdp)|(\|lc)|(penalty))" /e /r /s</v>
      </c>
      <c r="AG60" s="1" t="str">
        <f t="shared" si="31"/>
        <v>EC</v>
      </c>
      <c r="AH60" s="92" t="str">
        <f t="shared" si="17"/>
        <v>"%USERPROFILE%\Documents\GitHub\eaglep3\Utilities\RefineRTDCRunTimes.py" --tripid 148-04 --locoid 4030 --swversion DE.1.0.8.0 --startMP 204:232989 --initTime 2016-12-04T10:23:34 --startdatetime 2016-12-04T10:26:22 --delay 1 --endMP 204:150 --enddatetime 2016-12-04T11:03:23 --enforcementcount 0 &gt;&gt;C:\Users\stu\Documents\GitHub\eaglep3-reporting\EC\2016-12-04-refined-times.txt</v>
      </c>
      <c r="AI60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{"issue":{"subject":"","project_id":79,"tracker_id":40,"status_id":1,"priority_id":2,"assigned_to_id":23,"start_date":"2016-12-04","description":"","custom_fields":[{"id":1,"name":"Subdivision","value":"EC"},{"id":4,"name":"Milepost","value":"0.015"},{"id":17,"name":"Train ID","value":"148-04"},{"id":16,"name":"Locomotive ID","value":"4030"},{"id":130,"name":"Impact","value":""},{"id":150,"name":"Time of Event (Mountain Time)","value":"11:03:23"},{"id":151,"name":"Denver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509</v>
      </c>
      <c r="B61" s="7">
        <v>4027</v>
      </c>
      <c r="C61" s="22" t="s">
        <v>208</v>
      </c>
      <c r="D61" s="22" t="s">
        <v>281</v>
      </c>
      <c r="E61" s="13">
        <v>42708.40185185185</v>
      </c>
      <c r="F61" s="13">
        <v>42708.406527777777</v>
      </c>
      <c r="G61" s="7">
        <v>1</v>
      </c>
      <c r="H61" s="22" t="s">
        <v>276</v>
      </c>
      <c r="I61" s="13">
        <v>42708.431504629632</v>
      </c>
      <c r="J61" s="7">
        <v>0</v>
      </c>
      <c r="K61" s="109" t="str">
        <f t="shared" si="19"/>
        <v>4027/4028</v>
      </c>
      <c r="L61" s="22" t="str">
        <f>VLOOKUP(A61,'Trips&amp;Operators'!$C$1:$G$99999,5,FALSE)</f>
        <v>HAITHCOX MICHAEL</v>
      </c>
      <c r="M61" s="6">
        <f t="shared" si="20"/>
        <v>2.4976851855171844E-2</v>
      </c>
      <c r="N61" s="7">
        <f t="shared" si="32"/>
        <v>35.966666671447456</v>
      </c>
      <c r="O61" s="7"/>
      <c r="P61" s="7"/>
      <c r="Q61" s="23"/>
      <c r="R61" s="23"/>
      <c r="S61" s="35">
        <f t="shared" si="21"/>
        <v>1</v>
      </c>
      <c r="T61" s="50" t="str">
        <f t="shared" si="22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08:38:40-700',mode:absolute,to:'2016-12-04 11:21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1" s="52" t="str">
        <f t="shared" si="24"/>
        <v>N</v>
      </c>
      <c r="X61" s="177">
        <f t="shared" si="25"/>
        <v>1</v>
      </c>
      <c r="Y61" s="67">
        <f t="shared" si="26"/>
        <v>4.58E-2</v>
      </c>
      <c r="Z61" s="67">
        <f t="shared" si="33"/>
        <v>23.330100000000002</v>
      </c>
      <c r="AA61" s="67">
        <f t="shared" si="27"/>
        <v>23.284300000000002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28"/>
        <v>0149-04</v>
      </c>
      <c r="AE61" s="91" t="str">
        <f t="shared" si="29"/>
        <v>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 &amp; aws s3 cp s3://rtdc.mdm.uploadarchive.raw/RTDC4027/ "%USERPROFILE%\AppData\Local\Temp\OnboardLogs"\RTDC4027\2016-12-05 --exclude "*" --recursive --include "*20161205*" &amp; "%USERPROFILE%\Documents\GitHub\mrs-test-scripts\Headless Mode &amp; Sideloading\WalkAndUnGZ.bat" "%USERPROFILE%\AppData\Local\Temp\OnboardLogs"\RTDC4027\2016-12-05</v>
      </c>
      <c r="AF61" s="88" t="str">
        <f t="shared" si="30"/>
        <v>"C:\Program Files (x86)\AstroGrep\AstroGrep.exe" /spath="%USERPROFILE%\AppData\Local\Temp\OnboardLogs" /stypes="app*4027*20161204*" /stext=" 17:.+((SYSTEM_STATE.+slice.+state.+changed )|(ment ac)|(multiple cpu faults)|(system.+state.+changed )|(\[timeout)|(PRM\|1\|D)|(kpr)|(kdp)|(\|lc)|(penalty))" /e /r /s</v>
      </c>
      <c r="AG61" s="1" t="str">
        <f t="shared" si="31"/>
        <v>EC</v>
      </c>
      <c r="AH61" s="92" t="str">
        <f t="shared" si="17"/>
        <v>"%USERPROFILE%\Documents\GitHub\eaglep3\Utilities\RefineRTDCRunTimes.py" --tripid 149-04 --locoid 4027 --swversion DE.1.0.8.0 --startMP 204:458 --initTime 2016-12-04T09:38:40 --startdatetime 2016-12-04T09:45:24 --delay 1 --endMP 204:233301 --enddatetime 2016-12-04T10:21:22 --enforcementcount 0 &gt;&gt;C:\Users\stu\Documents\GitHub\eaglep3-reporting\EC\2016-12-04-refined-times.txt</v>
      </c>
      <c r="AI61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{"issue":{"subject":"","project_id":79,"tracker_id":40,"status_id":1,"priority_id":2,"assigned_to_id":23,"start_date":"2016-12-04","description":"","custom_fields":[{"id":1,"name":"Subdivision","value":"EC"},{"id":4,"name":"Milepost","value":"23.3301"},{"id":17,"name":"Train ID","value":"149-04"},{"id":16,"name":"Locomotive ID","value":"4027"},{"id":130,"name":"Impact","value":""},{"id":150,"name":"Time of Event (Mountain Time)","value":"10:21:22"},{"id":151,"name":"Denver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450</v>
      </c>
      <c r="B62" s="7">
        <v>4028</v>
      </c>
      <c r="C62" s="22" t="s">
        <v>208</v>
      </c>
      <c r="D62" s="22" t="s">
        <v>675</v>
      </c>
      <c r="E62" s="13">
        <v>42708.44222222222</v>
      </c>
      <c r="F62" s="13">
        <v>42708.4453587963</v>
      </c>
      <c r="G62" s="7">
        <v>1</v>
      </c>
      <c r="H62" s="22" t="s">
        <v>192</v>
      </c>
      <c r="I62" s="13">
        <v>42708.472511574073</v>
      </c>
      <c r="J62" s="7">
        <v>0</v>
      </c>
      <c r="K62" s="109" t="str">
        <f t="shared" si="19"/>
        <v>4027/4028</v>
      </c>
      <c r="L62" s="22" t="str">
        <f>VLOOKUP(A62,'Trips&amp;Operators'!$C$1:$G$99999,5,FALSE)</f>
        <v>HAITHCOX MICHAEL</v>
      </c>
      <c r="M62" s="6">
        <f t="shared" si="20"/>
        <v>2.7152777773153502E-2</v>
      </c>
      <c r="N62" s="7">
        <f t="shared" si="32"/>
        <v>39.099999993341044</v>
      </c>
      <c r="O62" s="7"/>
      <c r="P62" s="7"/>
      <c r="Q62" s="23"/>
      <c r="R62" s="23"/>
      <c r="S62" s="35">
        <f t="shared" si="21"/>
        <v>1</v>
      </c>
      <c r="T62" s="50" t="str">
        <f t="shared" si="22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09:36:48-700',mode:absolute,to:'2016-12-04 12:20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2" s="52" t="str">
        <f t="shared" si="24"/>
        <v>N</v>
      </c>
      <c r="X62" s="177">
        <f t="shared" si="25"/>
        <v>1</v>
      </c>
      <c r="Y62" s="67">
        <f t="shared" si="26"/>
        <v>23.298400000000001</v>
      </c>
      <c r="Z62" s="67">
        <f t="shared" si="33"/>
        <v>1.49E-2</v>
      </c>
      <c r="AA62" s="67">
        <f t="shared" si="27"/>
        <v>23.2835</v>
      </c>
      <c r="AB62" s="64" t="str">
        <f>VLOOKUP(A62,Enforcements!$C$7:$K$20,8,0)</f>
        <v>Signal based authority (5)</v>
      </c>
      <c r="AC62" s="60" t="str">
        <f>VLOOKUP(A62,Enforcements!$C$7:$E$20,3,0)</f>
        <v>SIGNAL</v>
      </c>
      <c r="AD62" s="61" t="str">
        <f t="shared" si="28"/>
        <v>0150-04</v>
      </c>
      <c r="AE62" s="91" t="str">
        <f t="shared" si="29"/>
        <v>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 &amp; aws s3 cp s3://rtdc.mdm.uploadarchive.raw/RTDC4028/ "%USERPROFILE%\AppData\Local\Temp\OnboardLogs"\RTDC4028\2016-12-05 --exclude "*" --recursive --include "*20161205*" &amp; "%USERPROFILE%\Documents\GitHub\mrs-test-scripts\Headless Mode &amp; Sideloading\WalkAndUnGZ.bat" "%USERPROFILE%\AppData\Local\Temp\OnboardLogs"\RTDC4028\2016-12-05</v>
      </c>
      <c r="AF62" s="88" t="str">
        <f t="shared" si="30"/>
        <v>"C:\Program Files (x86)\AstroGrep\AstroGrep.exe" /spath="%USERPROFILE%\AppData\Local\Temp\OnboardLogs" /stypes="app*4028*20161204*" /stext=" 18:.+((SYSTEM_STATE.+slice.+state.+changed )|(ment ac)|(multiple cpu faults)|(system.+state.+changed )|(\[timeout)|(PRM\|1\|D)|(kpr)|(kdp)|(\|lc)|(penalty))" /e /r /s</v>
      </c>
      <c r="AG62" s="1" t="str">
        <f t="shared" si="31"/>
        <v>EC</v>
      </c>
      <c r="AH62" s="92" t="str">
        <f t="shared" si="17"/>
        <v>"%USERPROFILE%\Documents\GitHub\eaglep3\Utilities\RefineRTDCRunTimes.py" --tripid 150-04 --locoid 4028 --swversion DE.1.0.8.0 --startMP 204:232984 --initTime 2016-12-04T10:36:48 --startdatetime 2016-12-04T10:41:19 --delay 1 --endMP 204:149 --enddatetime 2016-12-04T11:20:25 --enforcementcount 0 &gt;&gt;C:\Users\stu\Documents\GitHub\eaglep3-reporting\EC\2016-12-04-refined-times.txt</v>
      </c>
      <c r="AI62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{"issue":{"subject":"","project_id":79,"tracker_id":40,"status_id":1,"priority_id":2,"assigned_to_id":23,"start_date":"2016-12-04","description":"","custom_fields":[{"id":1,"name":"Subdivision","value":"EC"},{"id":4,"name":"Milepost","value":"0.0149"},{"id":17,"name":"Train ID","value":"150-04"},{"id":16,"name":"Locomotive ID","value":"4028"},{"id":130,"name":"Impact","value":""},{"id":150,"name":"Time of Event (Mountain Time)","value":"11:20:25"},{"id":151,"name":"Denver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510</v>
      </c>
      <c r="B63" s="7">
        <v>4020</v>
      </c>
      <c r="C63" s="22" t="s">
        <v>208</v>
      </c>
      <c r="D63" s="22" t="s">
        <v>423</v>
      </c>
      <c r="E63" s="13">
        <v>42708.411296296297</v>
      </c>
      <c r="F63" s="13">
        <v>42708.41684027778</v>
      </c>
      <c r="G63" s="7">
        <v>1</v>
      </c>
      <c r="H63" s="22" t="s">
        <v>681</v>
      </c>
      <c r="I63" s="13">
        <v>42708.440775462965</v>
      </c>
      <c r="J63" s="7">
        <v>0</v>
      </c>
      <c r="K63" s="109" t="str">
        <f t="shared" si="19"/>
        <v>4019/4020</v>
      </c>
      <c r="L63" s="22" t="str">
        <f>VLOOKUP(A63,'Trips&amp;Operators'!$C$1:$G$99999,5,FALSE)</f>
        <v>ROBINSON KADDIBA</v>
      </c>
      <c r="M63" s="6">
        <f t="shared" si="20"/>
        <v>2.3935185185109731E-2</v>
      </c>
      <c r="N63" s="7">
        <f t="shared" si="32"/>
        <v>34.466666666558012</v>
      </c>
      <c r="O63" s="7"/>
      <c r="P63" s="7"/>
      <c r="Q63" s="23"/>
      <c r="R63" s="23"/>
      <c r="S63" s="35">
        <f t="shared" si="21"/>
        <v>1</v>
      </c>
      <c r="T63" s="50" t="str">
        <f t="shared" si="22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08:52:16-700',mode:absolute,to:'2016-12-04 11:34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63" s="52" t="str">
        <f t="shared" si="24"/>
        <v>N</v>
      </c>
      <c r="X63" s="177">
        <f t="shared" si="25"/>
        <v>1</v>
      </c>
      <c r="Y63" s="67">
        <f t="shared" si="26"/>
        <v>4.3999999999999997E-2</v>
      </c>
      <c r="Z63" s="67">
        <f t="shared" si="33"/>
        <v>23.331700000000001</v>
      </c>
      <c r="AA63" s="67">
        <f t="shared" si="27"/>
        <v>23.287700000000001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28"/>
        <v>0151-04</v>
      </c>
      <c r="AE63" s="91" t="str">
        <f t="shared" si="29"/>
        <v>aws s3 cp s3://rtdc.mdm.uploadarchive.raw/RTDC4020/ "%USERPROFILE%\AppData\Local\Temp\OnboardLogs"\RTDC4020\2016-12-04 --exclude "*" --recursive --include "*20161204*" &amp; "%USERPROFILE%\Documents\GitHub\mrs-test-scripts\Headless Mode &amp; Sideloading\WalkAndUnGZ.bat" "%USERPROFILE%\AppData\Local\Temp\OnboardLogs"\RTDC4020\2016-12-04 &amp; aws s3 cp s3://rtdc.mdm.uploadarchive.raw/RTDC4020/ "%USERPROFILE%\AppData\Local\Temp\OnboardLogs"\RTDC4020\2016-12-05 --exclude "*" --recursive --include "*20161205*" &amp; "%USERPROFILE%\Documents\GitHub\mrs-test-scripts\Headless Mode &amp; Sideloading\WalkAndUnGZ.bat" "%USERPROFILE%\AppData\Local\Temp\OnboardLogs"\RTDC4020\2016-12-05</v>
      </c>
      <c r="AF63" s="88" t="str">
        <f t="shared" si="30"/>
        <v>"C:\Program Files (x86)\AstroGrep\AstroGrep.exe" /spath="%USERPROFILE%\AppData\Local\Temp\OnboardLogs" /stypes="app*4020*20161204*" /stext=" 17:.+((SYSTEM_STATE.+slice.+state.+changed )|(ment ac)|(multiple cpu faults)|(system.+state.+changed )|(\[timeout)|(PRM\|1\|D)|(kpr)|(kdp)|(\|lc)|(penalty))" /e /r /s</v>
      </c>
      <c r="AG63" s="1" t="str">
        <f t="shared" si="31"/>
        <v>EC</v>
      </c>
      <c r="AH63" s="92" t="str">
        <f t="shared" si="17"/>
        <v>"%USERPROFILE%\Documents\GitHub\eaglep3\Utilities\RefineRTDCRunTimes.py" --tripid 151-04 --locoid 4020 --swversion DE.1.0.8.0 --startMP 204:440 --initTime 2016-12-04T09:52:16 --startdatetime 2016-12-04T10:00:15 --delay 1 --endMP 204:233317 --enddatetime 2016-12-04T10:34:43 --enforcementcount 0 &gt;&gt;C:\Users\stu\Documents\GitHub\eaglep3-reporting\EC\2016-12-04-refined-times.txt</v>
      </c>
      <c r="AI63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{"issue":{"subject":"","project_id":79,"tracker_id":40,"status_id":1,"priority_id":2,"assigned_to_id":23,"start_date":"2016-12-04","description":"","custom_fields":[{"id":1,"name":"Subdivision","value":"EC"},{"id":4,"name":"Milepost","value":"23.3317"},{"id":17,"name":"Train ID","value":"151-04"},{"id":16,"name":"Locomotive ID","value":"4020"},{"id":130,"name":"Impact","value":""},{"id":150,"name":"Time of Event (Mountain Time)","value":"10:34:43"},{"id":151,"name":"Denver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518</v>
      </c>
      <c r="B64" s="7">
        <v>4019</v>
      </c>
      <c r="C64" s="22" t="s">
        <v>208</v>
      </c>
      <c r="D64" s="22" t="s">
        <v>682</v>
      </c>
      <c r="E64" s="13">
        <v>42708.443611111114</v>
      </c>
      <c r="F64" s="13">
        <v>42708.455717592595</v>
      </c>
      <c r="G64" s="7">
        <v>1</v>
      </c>
      <c r="H64" s="22" t="s">
        <v>656</v>
      </c>
      <c r="I64" s="13">
        <v>42708.48170138889</v>
      </c>
      <c r="J64" s="7">
        <v>0</v>
      </c>
      <c r="K64" s="109" t="str">
        <f t="shared" si="19"/>
        <v>4019/4020</v>
      </c>
      <c r="L64" s="22" t="str">
        <f>VLOOKUP(A64,'Trips&amp;Operators'!$C$1:$G$99999,5,FALSE)</f>
        <v>ROBINSON KADDIBA</v>
      </c>
      <c r="M64" s="6">
        <f t="shared" si="20"/>
        <v>2.5983796294895001E-2</v>
      </c>
      <c r="N64" s="7">
        <f t="shared" si="32"/>
        <v>37.416666664648801</v>
      </c>
      <c r="O64" s="7"/>
      <c r="P64" s="7"/>
      <c r="Q64" s="23"/>
      <c r="R64" s="23"/>
      <c r="S64" s="35">
        <f t="shared" si="21"/>
        <v>1</v>
      </c>
      <c r="T64" s="50" t="str">
        <f t="shared" si="22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09:38:48-700',mode:absolute,to:'2016-12-04 12:33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64" s="52" t="str">
        <f t="shared" si="24"/>
        <v>N</v>
      </c>
      <c r="X64" s="177">
        <f t="shared" si="25"/>
        <v>1</v>
      </c>
      <c r="Y64" s="67">
        <f t="shared" si="26"/>
        <v>23.3004</v>
      </c>
      <c r="Z64" s="67">
        <f t="shared" si="33"/>
        <v>1.52E-2</v>
      </c>
      <c r="AA64" s="67">
        <f t="shared" si="27"/>
        <v>23.2852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28"/>
        <v>0152-04</v>
      </c>
      <c r="AE64" s="91" t="str">
        <f t="shared" si="29"/>
        <v>aws s3 cp s3://rtdc.mdm.uploadarchive.raw/RTDC4019/ "%USERPROFILE%\AppData\Local\Temp\OnboardLogs"\RTDC4019\2016-12-04 --exclude "*" --recursive --include "*20161204*" &amp; "%USERPROFILE%\Documents\GitHub\mrs-test-scripts\Headless Mode &amp; Sideloading\WalkAndUnGZ.bat" "%USERPROFILE%\AppData\Local\Temp\OnboardLogs"\RTDC4019\2016-12-04 &amp; aws s3 cp s3://rtdc.mdm.uploadarchive.raw/RTDC4019/ "%USERPROFILE%\AppData\Local\Temp\OnboardLogs"\RTDC4019\2016-12-05 --exclude "*" --recursive --include "*20161205*" &amp; "%USERPROFILE%\Documents\GitHub\mrs-test-scripts\Headless Mode &amp; Sideloading\WalkAndUnGZ.bat" "%USERPROFILE%\AppData\Local\Temp\OnboardLogs"\RTDC4019\2016-12-05</v>
      </c>
      <c r="AF64" s="88" t="str">
        <f t="shared" si="30"/>
        <v>"C:\Program Files (x86)\AstroGrep\AstroGrep.exe" /spath="%USERPROFILE%\AppData\Local\Temp\OnboardLogs" /stypes="app*4019*20161204*" /stext=" 18:.+((SYSTEM_STATE.+slice.+state.+changed )|(ment ac)|(multiple cpu faults)|(system.+state.+changed )|(\[timeout)|(PRM\|1\|D)|(kpr)|(kdp)|(\|lc)|(penalty))" /e /r /s</v>
      </c>
      <c r="AG64" s="1" t="str">
        <f t="shared" si="31"/>
        <v>EC</v>
      </c>
      <c r="AH64" s="92" t="str">
        <f t="shared" si="17"/>
        <v>"%USERPROFILE%\Documents\GitHub\eaglep3\Utilities\RefineRTDCRunTimes.py" --tripid 152-04 --locoid 4019 --swversion DE.1.0.8.0 --startMP 204:233004 --initTime 2016-12-04T10:38:48 --startdatetime 2016-12-04T10:56:14 --delay 1 --endMP 204:152 --enddatetime 2016-12-04T11:33:39 --enforcementcount 0 &gt;&gt;C:\Users\stu\Documents\GitHub\eaglep3-reporting\EC\2016-12-04-refined-times.txt</v>
      </c>
      <c r="AI64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{"issue":{"subject":"","project_id":79,"tracker_id":40,"status_id":1,"priority_id":2,"assigned_to_id":23,"start_date":"2016-12-04","description":"","custom_fields":[{"id":1,"name":"Subdivision","value":"EC"},{"id":4,"name":"Milepost","value":"0.0152"},{"id":17,"name":"Train ID","value":"152-04"},{"id":16,"name":"Locomotive ID","value":"4019"},{"id":130,"name":"Impact","value":""},{"id":150,"name":"Time of Event (Mountain Time)","value":"11:33:39"},{"id":151,"name":"Denver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513</v>
      </c>
      <c r="B65" s="7">
        <v>4003</v>
      </c>
      <c r="C65" s="22" t="s">
        <v>208</v>
      </c>
      <c r="D65" s="22" t="s">
        <v>245</v>
      </c>
      <c r="E65" s="13">
        <v>42708.424618055556</v>
      </c>
      <c r="F65" s="13">
        <v>42708.427407407406</v>
      </c>
      <c r="G65" s="7">
        <v>1</v>
      </c>
      <c r="H65" s="22" t="s">
        <v>311</v>
      </c>
      <c r="I65" s="13">
        <v>42708.453090277777</v>
      </c>
      <c r="J65" s="7">
        <v>0</v>
      </c>
      <c r="K65" s="109" t="str">
        <f t="shared" si="19"/>
        <v>4003/4004</v>
      </c>
      <c r="L65" s="22" t="str">
        <f>VLOOKUP(A65,'Trips&amp;Operators'!$C$1:$G$99999,5,FALSE)</f>
        <v>STRICKLAND EVAN</v>
      </c>
      <c r="M65" s="6">
        <f t="shared" si="20"/>
        <v>2.5682870371383615E-2</v>
      </c>
      <c r="N65" s="7">
        <f t="shared" si="32"/>
        <v>36.983333334792405</v>
      </c>
      <c r="O65" s="7"/>
      <c r="P65" s="7"/>
      <c r="Q65" s="23"/>
      <c r="R65" s="23"/>
      <c r="S65" s="35">
        <f t="shared" si="21"/>
        <v>1</v>
      </c>
      <c r="T65" s="50" t="str">
        <f t="shared" si="22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09:11:27-700',mode:absolute,to:'2016-12-04 11:52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5" s="52" t="str">
        <f t="shared" si="24"/>
        <v>N</v>
      </c>
      <c r="X65" s="177">
        <f t="shared" si="25"/>
        <v>1</v>
      </c>
      <c r="Y65" s="67">
        <f t="shared" si="26"/>
        <v>4.5999999999999999E-2</v>
      </c>
      <c r="Z65" s="67">
        <f t="shared" si="33"/>
        <v>23.329899999999999</v>
      </c>
      <c r="AA65" s="67">
        <f t="shared" si="27"/>
        <v>23.283899999999999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28"/>
        <v>0153-04</v>
      </c>
      <c r="AE65" s="91" t="str">
        <f t="shared" si="29"/>
        <v>aws s3 cp s3://rtdc.mdm.uploadarchive.raw/RTDC4003/ "%USERPROFILE%\AppData\Local\Temp\OnboardLogs"\RTDC4003\2016-12-04 --exclude "*" --recursive --include "*20161204*" &amp; "%USERPROFILE%\Documents\GitHub\mrs-test-scripts\Headless Mode &amp; Sideloading\WalkAndUnGZ.bat" "%USERPROFILE%\AppData\Local\Temp\OnboardLogs"\RTDC4003\2016-12-04 &amp; aws s3 cp s3://rtdc.mdm.uploadarchive.raw/RTDC4003/ "%USERPROFILE%\AppData\Local\Temp\OnboardLogs"\RTDC4003\2016-12-05 --exclude "*" --recursive --include "*20161205*" &amp; "%USERPROFILE%\Documents\GitHub\mrs-test-scripts\Headless Mode &amp; Sideloading\WalkAndUnGZ.bat" "%USERPROFILE%\AppData\Local\Temp\OnboardLogs"\RTDC4003\2016-12-05</v>
      </c>
      <c r="AF65" s="88" t="str">
        <f t="shared" si="30"/>
        <v>"C:\Program Files (x86)\AstroGrep\AstroGrep.exe" /spath="%USERPROFILE%\AppData\Local\Temp\OnboardLogs" /stypes="app*4003*20161204*" /stext=" 17:.+((SYSTEM_STATE.+slice.+state.+changed )|(ment ac)|(multiple cpu faults)|(system.+state.+changed )|(\[timeout)|(PRM\|1\|D)|(kpr)|(kdp)|(\|lc)|(penalty))" /e /r /s</v>
      </c>
      <c r="AG65" s="1" t="str">
        <f t="shared" si="31"/>
        <v>EC</v>
      </c>
      <c r="AH65" s="92" t="str">
        <f t="shared" si="17"/>
        <v>"%USERPROFILE%\Documents\GitHub\eaglep3\Utilities\RefineRTDCRunTimes.py" --tripid 153-04 --locoid 4003 --swversion DE.1.0.8.0 --startMP 204:460 --initTime 2016-12-04T10:11:27 --startdatetime 2016-12-04T10:15:28 --delay 1 --endMP 204:233299 --enddatetime 2016-12-04T10:52:27 --enforcementcount 0 &gt;&gt;C:\Users\stu\Documents\GitHub\eaglep3-reporting\EC\2016-12-04-refined-times.txt</v>
      </c>
      <c r="AI65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{"issue":{"subject":"","project_id":79,"tracker_id":40,"status_id":1,"priority_id":2,"assigned_to_id":23,"start_date":"2016-12-04","description":"","custom_fields":[{"id":1,"name":"Subdivision","value":"EC"},{"id":4,"name":"Milepost","value":"23.3299"},{"id":17,"name":"Train ID","value":"153-04"},{"id":16,"name":"Locomotive ID","value":"4003"},{"id":130,"name":"Impact","value":""},{"id":150,"name":"Time of Event (Mountain Time)","value":"10:52:27"},{"id":151,"name":"Denver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520</v>
      </c>
      <c r="B66" s="7">
        <v>4004</v>
      </c>
      <c r="C66" s="22" t="s">
        <v>208</v>
      </c>
      <c r="D66" s="22" t="s">
        <v>374</v>
      </c>
      <c r="E66" s="13">
        <v>42708.460613425923</v>
      </c>
      <c r="F66" s="13">
        <v>42708.466215277775</v>
      </c>
      <c r="G66" s="7">
        <v>1</v>
      </c>
      <c r="H66" s="22" t="s">
        <v>215</v>
      </c>
      <c r="I66" s="13">
        <v>42708.492662037039</v>
      </c>
      <c r="J66" s="7">
        <v>0</v>
      </c>
      <c r="K66" s="109" t="str">
        <f t="shared" si="19"/>
        <v>4003/4004</v>
      </c>
      <c r="L66" s="22" t="str">
        <f>VLOOKUP(A66,'Trips&amp;Operators'!$C$1:$G$99999,5,FALSE)</f>
        <v>STRICKLAND EVAN</v>
      </c>
      <c r="M66" s="6">
        <f t="shared" si="20"/>
        <v>2.644675926421769E-2</v>
      </c>
      <c r="N66" s="7">
        <f t="shared" si="32"/>
        <v>38.083333340473473</v>
      </c>
      <c r="O66" s="7"/>
      <c r="P66" s="7"/>
      <c r="Q66" s="23"/>
      <c r="R66" s="23"/>
      <c r="S66" s="35">
        <f t="shared" si="21"/>
        <v>1</v>
      </c>
      <c r="T66" s="50" t="str">
        <f t="shared" si="22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10:03:17-700',mode:absolute,to:'2016-12-04 12:49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6" s="52" t="str">
        <f t="shared" si="24"/>
        <v>N</v>
      </c>
      <c r="X66" s="177">
        <f t="shared" si="25"/>
        <v>1</v>
      </c>
      <c r="Y66" s="67">
        <f t="shared" si="26"/>
        <v>23.3</v>
      </c>
      <c r="Z66" s="67">
        <f t="shared" si="33"/>
        <v>1.4999999999999999E-2</v>
      </c>
      <c r="AA66" s="67">
        <f t="shared" si="27"/>
        <v>23.285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28"/>
        <v>0154-04</v>
      </c>
      <c r="AE66" s="91" t="str">
        <f t="shared" si="29"/>
        <v>aws s3 cp s3://rtdc.mdm.uploadarchive.raw/RTDC4004/ "%USERPROFILE%\AppData\Local\Temp\OnboardLogs"\RTDC4004\2016-12-04 --exclude "*" --recursive --include "*20161204*" &amp; "%USERPROFILE%\Documents\GitHub\mrs-test-scripts\Headless Mode &amp; Sideloading\WalkAndUnGZ.bat" "%USERPROFILE%\AppData\Local\Temp\OnboardLogs"\RTDC4004\2016-12-04 &amp; aws s3 cp s3://rtdc.mdm.uploadarchive.raw/RTDC4004/ "%USERPROFILE%\AppData\Local\Temp\OnboardLogs"\RTDC4004\2016-12-05 --exclude "*" --recursive --include "*20161205*" &amp; "%USERPROFILE%\Documents\GitHub\mrs-test-scripts\Headless Mode &amp; Sideloading\WalkAndUnGZ.bat" "%USERPROFILE%\AppData\Local\Temp\OnboardLogs"\RTDC4004\2016-12-05</v>
      </c>
      <c r="AF66" s="88" t="str">
        <f t="shared" si="30"/>
        <v>"C:\Program Files (x86)\AstroGrep\AstroGrep.exe" /spath="%USERPROFILE%\AppData\Local\Temp\OnboardLogs" /stypes="app*4004*20161204*" /stext=" 18:.+((SYSTEM_STATE.+slice.+state.+changed )|(ment ac)|(multiple cpu faults)|(system.+state.+changed )|(\[timeout)|(PRM\|1\|D)|(kpr)|(kdp)|(\|lc)|(penalty))" /e /r /s</v>
      </c>
      <c r="AG66" s="1" t="str">
        <f t="shared" si="31"/>
        <v>EC</v>
      </c>
      <c r="AH66" s="92" t="str">
        <f t="shared" si="17"/>
        <v>"%USERPROFILE%\Documents\GitHub\eaglep3\Utilities\RefineRTDCRunTimes.py" --tripid 154-04 --locoid 4004 --swversion DE.1.0.8.0 --startMP 204:233000 --initTime 2016-12-04T11:03:17 --startdatetime 2016-12-04T11:11:21 --delay 1 --endMP 204:150 --enddatetime 2016-12-04T11:49:26 --enforcementcount 0 &gt;&gt;C:\Users\stu\Documents\GitHub\eaglep3-reporting\EC\2016-12-04-refined-times.txt</v>
      </c>
      <c r="AI66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{"issue":{"subject":"","project_id":79,"tracker_id":40,"status_id":1,"priority_id":2,"assigned_to_id":23,"start_date":"2016-12-04","description":"","custom_fields":[{"id":1,"name":"Subdivision","value":"EC"},{"id":4,"name":"Milepost","value":"0.015"},{"id":17,"name":"Train ID","value":"154-04"},{"id":16,"name":"Locomotive ID","value":"4004"},{"id":130,"name":"Impact","value":""},{"id":150,"name":"Time of Event (Mountain Time)","value":"11:49:26"},{"id":151,"name":"Denver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516</v>
      </c>
      <c r="B67" s="7">
        <v>4022</v>
      </c>
      <c r="C67" s="22" t="s">
        <v>208</v>
      </c>
      <c r="D67" s="22" t="s">
        <v>281</v>
      </c>
      <c r="E67" s="13">
        <v>42708.432893518519</v>
      </c>
      <c r="F67" s="13">
        <v>42708.437777777777</v>
      </c>
      <c r="G67" s="7">
        <v>1</v>
      </c>
      <c r="H67" s="22" t="s">
        <v>419</v>
      </c>
      <c r="I67" s="13">
        <v>42708.463136574072</v>
      </c>
      <c r="J67" s="7">
        <v>0</v>
      </c>
      <c r="K67" s="109" t="str">
        <f t="shared" si="19"/>
        <v>4021/4022</v>
      </c>
      <c r="L67" s="22" t="str">
        <f>VLOOKUP(A67,'Trips&amp;Operators'!$C$1:$G$99999,5,FALSE)</f>
        <v>CLARK KATHLEEN</v>
      </c>
      <c r="M67" s="6">
        <f t="shared" si="20"/>
        <v>2.5358796294312924E-2</v>
      </c>
      <c r="N67" s="7">
        <f t="shared" si="32"/>
        <v>36.516666663810611</v>
      </c>
      <c r="O67" s="7"/>
      <c r="P67" s="7"/>
      <c r="Q67" s="23"/>
      <c r="R67" s="23"/>
      <c r="S67" s="35">
        <f t="shared" si="21"/>
        <v>1</v>
      </c>
      <c r="T67" s="50" t="str">
        <f t="shared" si="22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09:23:22-700',mode:absolute,to:'2016-12-04 12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7" s="52" t="str">
        <f t="shared" si="24"/>
        <v>N</v>
      </c>
      <c r="X67" s="177">
        <f t="shared" si="25"/>
        <v>1</v>
      </c>
      <c r="Y67" s="67">
        <f t="shared" si="26"/>
        <v>4.58E-2</v>
      </c>
      <c r="Z67" s="67">
        <f t="shared" si="33"/>
        <v>23.3291</v>
      </c>
      <c r="AA67" s="67">
        <f t="shared" si="27"/>
        <v>23.283300000000001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28"/>
        <v>0155-04</v>
      </c>
      <c r="AE67" s="91" t="str">
        <f t="shared" si="29"/>
        <v>aws s3 cp s3://rtdc.mdm.uploadarchive.raw/RTDC4022/ "%USERPROFILE%\AppData\Local\Temp\OnboardLogs"\RTDC4022\2016-12-04 --exclude "*" --recursive --include "*20161204*" &amp; "%USERPROFILE%\Documents\GitHub\mrs-test-scripts\Headless Mode &amp; Sideloading\WalkAndUnGZ.bat" "%USERPROFILE%\AppData\Local\Temp\OnboardLogs"\RTDC4022\2016-12-04 &amp; aws s3 cp s3://rtdc.mdm.uploadarchive.raw/RTDC4022/ "%USERPROFILE%\AppData\Local\Temp\OnboardLogs"\RTDC4022\2016-12-05 --exclude "*" --recursive --include "*20161205*" &amp; "%USERPROFILE%\Documents\GitHub\mrs-test-scripts\Headless Mode &amp; Sideloading\WalkAndUnGZ.bat" "%USERPROFILE%\AppData\Local\Temp\OnboardLogs"\RTDC4022\2016-12-05</v>
      </c>
      <c r="AF67" s="88" t="str">
        <f t="shared" si="30"/>
        <v>"C:\Program Files (x86)\AstroGrep\AstroGrep.exe" /spath="%USERPROFILE%\AppData\Local\Temp\OnboardLogs" /stypes="app*4022*20161204*" /stext=" 18:.+((SYSTEM_STATE.+slice.+state.+changed )|(ment ac)|(multiple cpu faults)|(system.+state.+changed )|(\[timeout)|(PRM\|1\|D)|(kpr)|(kdp)|(\|lc)|(penalty))" /e /r /s</v>
      </c>
      <c r="AG67" s="1" t="str">
        <f t="shared" si="31"/>
        <v>EC</v>
      </c>
      <c r="AH67" s="92" t="str">
        <f t="shared" si="17"/>
        <v>"%USERPROFILE%\Documents\GitHub\eaglep3\Utilities\RefineRTDCRunTimes.py" --tripid 155-04 --locoid 4022 --swversion DE.1.0.8.0 --startMP 204:458 --initTime 2016-12-04T10:23:22 --startdatetime 2016-12-04T10:30:24 --delay 1 --endMP 204:233291 --enddatetime 2016-12-04T11:06:55 --enforcementcount 0 &gt;&gt;C:\Users\stu\Documents\GitHub\eaglep3-reporting\EC\2016-12-04-refined-times.txt</v>
      </c>
      <c r="AI67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{"issue":{"subject":"","project_id":79,"tracker_id":40,"status_id":1,"priority_id":2,"assigned_to_id":23,"start_date":"2016-12-04","description":"","custom_fields":[{"id":1,"name":"Subdivision","value":"EC"},{"id":4,"name":"Milepost","value":"23.3291"},{"id":17,"name":"Train ID","value":"155-04"},{"id":16,"name":"Locomotive ID","value":"4022"},{"id":130,"name":"Impact","value":""},{"id":150,"name":"Time of Event (Mountain Time)","value":"11:06:55"},{"id":151,"name":"Denver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523</v>
      </c>
      <c r="B68" s="7">
        <v>4021</v>
      </c>
      <c r="C68" s="22" t="s">
        <v>208</v>
      </c>
      <c r="D68" s="22" t="s">
        <v>315</v>
      </c>
      <c r="E68" s="13">
        <v>42708.471238425926</v>
      </c>
      <c r="F68" s="13">
        <v>42708.472199074073</v>
      </c>
      <c r="G68" s="7">
        <v>1</v>
      </c>
      <c r="H68" s="22" t="s">
        <v>683</v>
      </c>
      <c r="I68" s="13">
        <v>42708.477418981478</v>
      </c>
      <c r="J68" s="7">
        <v>0</v>
      </c>
      <c r="K68" s="109" t="str">
        <f t="shared" si="19"/>
        <v>4021/4022</v>
      </c>
      <c r="L68" s="22" t="str">
        <f>VLOOKUP(A68,'Trips&amp;Operators'!$C$1:$G$99999,5,FALSE)</f>
        <v>CLARK KATHLEEN</v>
      </c>
      <c r="M68" s="6">
        <f t="shared" si="20"/>
        <v>5.2199074052623473E-3</v>
      </c>
      <c r="N68" s="7"/>
      <c r="O68" s="7"/>
      <c r="P68" s="7">
        <f>24*60*SUM($M68:$M68)</f>
        <v>7.5166666635777801</v>
      </c>
      <c r="Q68" s="23"/>
      <c r="R68" s="23" t="s">
        <v>802</v>
      </c>
      <c r="S68" s="35">
        <f t="shared" si="21"/>
        <v>0</v>
      </c>
      <c r="T68" s="50" t="str">
        <f t="shared" si="22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0</v>
      </c>
      <c r="V68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10:18:35-700',mode:absolute,to:'2016-12-04 12:27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8" s="52" t="str">
        <f t="shared" si="24"/>
        <v>Y</v>
      </c>
      <c r="X68" s="177">
        <f t="shared" si="25"/>
        <v>1</v>
      </c>
      <c r="Y68" s="67">
        <f t="shared" si="26"/>
        <v>23.299099999999999</v>
      </c>
      <c r="Z68" s="67">
        <f t="shared" si="33"/>
        <v>22.837</v>
      </c>
      <c r="AA68" s="67">
        <f t="shared" si="27"/>
        <v>0.46209999999999951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28"/>
        <v>0156-04</v>
      </c>
      <c r="AE68" s="91" t="str">
        <f t="shared" si="29"/>
        <v>aws s3 cp s3://rtdc.mdm.uploadarchive.raw/RTDC4021/ "%USERPROFILE%\AppData\Local\Temp\OnboardLogs"\RTDC4021\2016-12-04 --exclude "*" --recursive --include "*20161204*" &amp; "%USERPROFILE%\Documents\GitHub\mrs-test-scripts\Headless Mode &amp; Sideloading\WalkAndUnGZ.bat" "%USERPROFILE%\AppData\Local\Temp\OnboardLogs"\RTDC4021\2016-12-04 &amp; aws s3 cp s3://rtdc.mdm.uploadarchive.raw/RTDC4021/ "%USERPROFILE%\AppData\Local\Temp\OnboardLogs"\RTDC4021\2016-12-05 --exclude "*" --recursive --include "*20161205*" &amp; "%USERPROFILE%\Documents\GitHub\mrs-test-scripts\Headless Mode &amp; Sideloading\WalkAndUnGZ.bat" "%USERPROFILE%\AppData\Local\Temp\OnboardLogs"\RTDC4021\2016-12-05</v>
      </c>
      <c r="AF68" s="88" t="str">
        <f t="shared" si="30"/>
        <v>"C:\Program Files (x86)\AstroGrep\AstroGrep.exe" /spath="%USERPROFILE%\AppData\Local\Temp\OnboardLogs" /stypes="app*4021*20161204*" /stext=" 18:.+((SYSTEM_STATE.+slice.+state.+changed )|(ment ac)|(multiple cpu faults)|(system.+state.+changed )|(\[timeout)|(PRM\|1\|D)|(kpr)|(kdp)|(\|lc)|(penalty))" /e /r /s</v>
      </c>
      <c r="AG68" s="1" t="str">
        <f t="shared" si="31"/>
        <v>EC</v>
      </c>
      <c r="AH68" s="92" t="str">
        <f t="shared" si="17"/>
        <v>"%USERPROFILE%\Documents\GitHub\eaglep3\Utilities\RefineRTDCRunTimes.py" --tripid 156-04 --locoid 4021 --swversion DE.1.0.8.0 --startMP 204:232991 --initTime 2016-12-04T11:18:35 --startdatetime 2016-12-04T11:19:58 --delay 1 --endMP 204:228370 --enddatetime 2016-12-04T11:27:29 --enforcementcount 0 &gt;&gt;C:\Users\stu\Documents\GitHub\eaglep3-reporting\EC\2016-12-04-refined-times.txt</v>
      </c>
      <c r="AI68" s="119" t="str">
        <f t="shared" si="18"/>
        <v>echo {"issue":{"subject":"Onboard in-route failure","project_id":79,"tracker_id":40,"status_id":1,"priority_id":2,"assigned_to_id":23,"start_date":"2016-12-04","description":"","custom_fields":[{"id":1,"name":"Subdivision","value":"EC"},{"id":4,"name":"Milepost","value":"22.837"},{"id":17,"name":"Train ID","value":"156-04"},{"id":16,"name":"Locomotive ID","value":"4021"},{"id":130,"name":"Impact","value":""},{"id":150,"name":"Time of Event (Mountain Time)","value":"11:27:29"},{"id":151,"name":"Denver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451</v>
      </c>
      <c r="B69" s="7">
        <v>4031</v>
      </c>
      <c r="C69" s="22" t="s">
        <v>208</v>
      </c>
      <c r="D69" s="22" t="s">
        <v>420</v>
      </c>
      <c r="E69" s="13">
        <v>42708.446296296293</v>
      </c>
      <c r="F69" s="13">
        <v>42708.448171296295</v>
      </c>
      <c r="G69" s="7">
        <v>1</v>
      </c>
      <c r="H69" s="22" t="s">
        <v>377</v>
      </c>
      <c r="I69" s="13">
        <v>42708.472430555557</v>
      </c>
      <c r="J69" s="7">
        <v>0</v>
      </c>
      <c r="K69" s="109" t="str">
        <f t="shared" si="19"/>
        <v>4031/4032</v>
      </c>
      <c r="L69" s="22" t="str">
        <f>VLOOKUP(A69,'Trips&amp;Operators'!$C$1:$G$99999,5,FALSE)</f>
        <v>YORK EDGAR</v>
      </c>
      <c r="M69" s="6">
        <f t="shared" si="20"/>
        <v>2.4259259262180422E-2</v>
      </c>
      <c r="N69" s="7">
        <f t="shared" ref="N69:N82" si="34">24*60*SUM($M69:$M69)</f>
        <v>34.933333337539807</v>
      </c>
      <c r="O69" s="7"/>
      <c r="P69" s="7"/>
      <c r="Q69" s="23"/>
      <c r="R69" s="23"/>
      <c r="S69" s="35">
        <f t="shared" si="21"/>
        <v>1</v>
      </c>
      <c r="T69" s="50" t="str">
        <f t="shared" si="22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09:42:40-700',mode:absolute,to:'2016-12-04 12:20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9" s="52" t="str">
        <f t="shared" si="24"/>
        <v>N</v>
      </c>
      <c r="X69" s="177">
        <f t="shared" si="25"/>
        <v>1</v>
      </c>
      <c r="Y69" s="67">
        <f t="shared" si="26"/>
        <v>4.7500000000000001E-2</v>
      </c>
      <c r="Z69" s="67">
        <f t="shared" si="33"/>
        <v>23.328600000000002</v>
      </c>
      <c r="AA69" s="67">
        <f t="shared" si="27"/>
        <v>23.281100000000002</v>
      </c>
      <c r="AB69" s="64" t="str">
        <f>VLOOKUP(A69,Enforcements!$C$7:$K$20,8,0)</f>
        <v>Signal based authority (5)</v>
      </c>
      <c r="AC69" s="60" t="str">
        <f>VLOOKUP(A69,Enforcements!$C$7:$E$20,3,0)</f>
        <v>SIGNAL</v>
      </c>
      <c r="AD69" s="61" t="str">
        <f t="shared" si="28"/>
        <v>0157-04</v>
      </c>
      <c r="AE69" s="91" t="str">
        <f t="shared" si="29"/>
        <v>aws s3 cp s3://rtdc.mdm.uploadarchive.raw/RTDC4031/ "%USERPROFILE%\AppData\Local\Temp\OnboardLogs"\RTDC4031\2016-12-04 --exclude "*" --recursive --include "*20161204*" &amp; "%USERPROFILE%\Documents\GitHub\mrs-test-scripts\Headless Mode &amp; Sideloading\WalkAndUnGZ.bat" "%USERPROFILE%\AppData\Local\Temp\OnboardLogs"\RTDC4031\2016-12-04 &amp; aws s3 cp s3://rtdc.mdm.uploadarchive.raw/RTDC4031/ "%USERPROFILE%\AppData\Local\Temp\OnboardLogs"\RTDC4031\2016-12-05 --exclude "*" --recursive --include "*20161205*" &amp; "%USERPROFILE%\Documents\GitHub\mrs-test-scripts\Headless Mode &amp; Sideloading\WalkAndUnGZ.bat" "%USERPROFILE%\AppData\Local\Temp\OnboardLogs"\RTDC4031\2016-12-05</v>
      </c>
      <c r="AF69" s="88" t="str">
        <f t="shared" si="30"/>
        <v>"C:\Program Files (x86)\AstroGrep\AstroGrep.exe" /spath="%USERPROFILE%\AppData\Local\Temp\OnboardLogs" /stypes="app*4031*20161204*" /stext=" 18:.+((SYSTEM_STATE.+slice.+state.+changed )|(ment ac)|(multiple cpu faults)|(system.+state.+changed )|(\[timeout)|(PRM\|1\|D)|(kpr)|(kdp)|(\|lc)|(penalty))" /e /r /s</v>
      </c>
      <c r="AG69" s="1" t="str">
        <f t="shared" si="31"/>
        <v>EC</v>
      </c>
      <c r="AH69" s="92" t="str">
        <f t="shared" si="17"/>
        <v>"%USERPROFILE%\Documents\GitHub\eaglep3\Utilities\RefineRTDCRunTimes.py" --tripid 157-04 --locoid 4031 --swversion DE.1.0.8.0 --startMP 204:475 --initTime 2016-12-04T10:42:40 --startdatetime 2016-12-04T10:45:22 --delay 1 --endMP 204:233286 --enddatetime 2016-12-04T11:20:18 --enforcementcount 0 &gt;&gt;C:\Users\stu\Documents\GitHub\eaglep3-reporting\EC\2016-12-04-refined-times.txt</v>
      </c>
      <c r="AI69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{"issue":{"subject":"","project_id":79,"tracker_id":40,"status_id":1,"priority_id":2,"assigned_to_id":23,"start_date":"2016-12-04","description":"","custom_fields":[{"id":1,"name":"Subdivision","value":"EC"},{"id":4,"name":"Milepost","value":"23.3286"},{"id":17,"name":"Train ID","value":"157-04"},{"id":16,"name":"Locomotive ID","value":"4031"},{"id":130,"name":"Impact","value":""},{"id":150,"name":"Time of Event (Mountain Time)","value":"11:20:18"},{"id":151,"name":"Denver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524</v>
      </c>
      <c r="B70" s="7">
        <v>4032</v>
      </c>
      <c r="C70" s="22" t="s">
        <v>208</v>
      </c>
      <c r="D70" s="22" t="s">
        <v>663</v>
      </c>
      <c r="E70" s="13">
        <v>42708.473958333336</v>
      </c>
      <c r="F70" s="13">
        <v>42708.486967592595</v>
      </c>
      <c r="G70" s="7">
        <v>0</v>
      </c>
      <c r="H70" s="22" t="s">
        <v>656</v>
      </c>
      <c r="I70" s="13">
        <v>42708.512418981481</v>
      </c>
      <c r="J70" s="7">
        <v>0</v>
      </c>
      <c r="K70" s="109" t="str">
        <f t="shared" si="19"/>
        <v>4031/4032</v>
      </c>
      <c r="L70" s="22" t="str">
        <f>VLOOKUP(A70,'Trips&amp;Operators'!$C$1:$G$99999,5,FALSE)</f>
        <v>YORK EDGAR</v>
      </c>
      <c r="M70" s="6">
        <f t="shared" si="20"/>
        <v>2.545138888672227E-2</v>
      </c>
      <c r="N70" s="7">
        <f t="shared" si="34"/>
        <v>36.649999996880069</v>
      </c>
      <c r="O70" s="7"/>
      <c r="P70" s="7"/>
      <c r="Q70" s="23"/>
      <c r="R70" s="23"/>
      <c r="S70" s="35">
        <f t="shared" si="21"/>
        <v>1</v>
      </c>
      <c r="T70" s="50" t="str">
        <f t="shared" si="22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10:22:30-700',mode:absolute,to:'2016-12-04 13:17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0" s="52" t="str">
        <f t="shared" si="24"/>
        <v>N</v>
      </c>
      <c r="X70" s="177">
        <f t="shared" si="25"/>
        <v>1</v>
      </c>
      <c r="Y70" s="67">
        <f t="shared" si="26"/>
        <v>23.2973</v>
      </c>
      <c r="Z70" s="67">
        <f t="shared" si="33"/>
        <v>1.52E-2</v>
      </c>
      <c r="AA70" s="67">
        <f t="shared" si="27"/>
        <v>23.2821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28"/>
        <v>0158-04</v>
      </c>
      <c r="AE70" s="91" t="str">
        <f t="shared" si="29"/>
        <v>aws s3 cp s3://rtdc.mdm.uploadarchive.raw/RTDC4032/ "%USERPROFILE%\AppData\Local\Temp\OnboardLogs"\RTDC4032\2016-12-04 --exclude "*" --recursive --include "*20161204*" &amp; "%USERPROFILE%\Documents\GitHub\mrs-test-scripts\Headless Mode &amp; Sideloading\WalkAndUnGZ.bat" "%USERPROFILE%\AppData\Local\Temp\OnboardLogs"\RTDC4032\2016-12-04 &amp; aws s3 cp s3://rtdc.mdm.uploadarchive.raw/RTDC4032/ "%USERPROFILE%\AppData\Local\Temp\OnboardLogs"\RTDC4032\2016-12-05 --exclude "*" --recursive --include "*20161205*" &amp; "%USERPROFILE%\Documents\GitHub\mrs-test-scripts\Headless Mode &amp; Sideloading\WalkAndUnGZ.bat" "%USERPROFILE%\AppData\Local\Temp\OnboardLogs"\RTDC4032\2016-12-05</v>
      </c>
      <c r="AF70" s="88" t="str">
        <f t="shared" si="30"/>
        <v>"C:\Program Files (x86)\AstroGrep\AstroGrep.exe" /spath="%USERPROFILE%\AppData\Local\Temp\OnboardLogs" /stypes="app*4032*20161204*" /stext=" 19:.+((SYSTEM_STATE.+slice.+state.+changed )|(ment ac)|(multiple cpu faults)|(system.+state.+changed )|(\[timeout)|(PRM\|1\|D)|(kpr)|(kdp)|(\|lc)|(penalty))" /e /r /s</v>
      </c>
      <c r="AG70" s="1" t="str">
        <f t="shared" si="31"/>
        <v>EC</v>
      </c>
      <c r="AH70" s="92" t="str">
        <f t="shared" si="17"/>
        <v>"%USERPROFILE%\Documents\GitHub\eaglep3\Utilities\RefineRTDCRunTimes.py" --tripid 158-04 --locoid 4032 --swversion DE.1.0.8.0 --startMP 204:232973 --initTime 2016-12-04T11:22:30 --startdatetime 2016-12-04T11:41:14 --delay 0 --endMP 204:152 --enddatetime 2016-12-04T12:17:53 --enforcementcount 0 &gt;&gt;C:\Users\stu\Documents\GitHub\eaglep3-reporting\EC\2016-12-04-refined-times.txt</v>
      </c>
      <c r="AI70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{"issue":{"subject":"","project_id":79,"tracker_id":40,"status_id":1,"priority_id":2,"assigned_to_id":23,"start_date":"2016-12-04","description":"","custom_fields":[{"id":1,"name":"Subdivision","value":"EC"},{"id":4,"name":"Milepost","value":"0.0152"},{"id":17,"name":"Train ID","value":"158-04"},{"id":16,"name":"Locomotive ID","value":"4032"},{"id":130,"name":"Impact","value":""},{"id":150,"name":"Time of Event (Mountain Time)","value":"12:17:53"},{"id":151,"name":"Denver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519</v>
      </c>
      <c r="B71" s="7">
        <v>4038</v>
      </c>
      <c r="C71" s="22" t="s">
        <v>208</v>
      </c>
      <c r="D71" s="22" t="s">
        <v>310</v>
      </c>
      <c r="E71" s="13">
        <v>42708.453414351854</v>
      </c>
      <c r="F71" s="13">
        <v>42708.458611111113</v>
      </c>
      <c r="G71" s="7">
        <v>2</v>
      </c>
      <c r="H71" s="22" t="s">
        <v>684</v>
      </c>
      <c r="I71" s="13">
        <v>42708.483067129629</v>
      </c>
      <c r="J71" s="7">
        <v>0</v>
      </c>
      <c r="K71" s="109" t="str">
        <f t="shared" si="19"/>
        <v>4037/4038</v>
      </c>
      <c r="L71" s="22" t="str">
        <f>VLOOKUP(A71,'Trips&amp;Operators'!$C$1:$G$99999,5,FALSE)</f>
        <v>STEWART MICHAEL</v>
      </c>
      <c r="M71" s="6">
        <f t="shared" si="20"/>
        <v>2.4456018516502809E-2</v>
      </c>
      <c r="N71" s="7">
        <f t="shared" si="34"/>
        <v>35.216666663764045</v>
      </c>
      <c r="O71" s="7"/>
      <c r="P71" s="7"/>
      <c r="Q71" s="23"/>
      <c r="R71" s="23"/>
      <c r="S71" s="35">
        <f t="shared" si="21"/>
        <v>1</v>
      </c>
      <c r="T71" s="50" t="str">
        <f t="shared" si="22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09:52:55-700',mode:absolute,to:'2016-12-04 12:35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1" s="52" t="str">
        <f t="shared" si="24"/>
        <v>N</v>
      </c>
      <c r="X71" s="177">
        <f t="shared" si="25"/>
        <v>1</v>
      </c>
      <c r="Y71" s="67">
        <f t="shared" si="26"/>
        <v>4.4600000000000001E-2</v>
      </c>
      <c r="Z71" s="67">
        <f t="shared" si="33"/>
        <v>23.33</v>
      </c>
      <c r="AA71" s="67">
        <f t="shared" si="27"/>
        <v>23.285399999999999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28"/>
        <v>0159-04</v>
      </c>
      <c r="AE71" s="91" t="str">
        <f t="shared" si="29"/>
        <v>aws s3 cp s3://rtdc.mdm.uploadarchive.raw/RTDC4038/ "%USERPROFILE%\AppData\Local\Temp\OnboardLogs"\RTDC4038\2016-12-04 --exclude "*" --recursive --include "*20161204*" &amp; "%USERPROFILE%\Documents\GitHub\mrs-test-scripts\Headless Mode &amp; Sideloading\WalkAndUnGZ.bat" "%USERPROFILE%\AppData\Local\Temp\OnboardLogs"\RTDC4038\2016-12-04 &amp; 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</v>
      </c>
      <c r="AF71" s="88" t="str">
        <f t="shared" si="30"/>
        <v>"C:\Program Files (x86)\AstroGrep\AstroGrep.exe" /spath="%USERPROFILE%\AppData\Local\Temp\OnboardLogs" /stypes="app*4038*20161204*" /stext=" 18:.+((SYSTEM_STATE.+slice.+state.+changed )|(ment ac)|(multiple cpu faults)|(system.+state.+changed )|(\[timeout)|(PRM\|1\|D)|(kpr)|(kdp)|(\|lc)|(penalty))" /e /r /s</v>
      </c>
      <c r="AG71" s="1" t="str">
        <f t="shared" si="31"/>
        <v>EC</v>
      </c>
      <c r="AH71" s="92" t="str">
        <f t="shared" si="17"/>
        <v>"%USERPROFILE%\Documents\GitHub\eaglep3\Utilities\RefineRTDCRunTimes.py" --tripid 159-04 --locoid 4038 --swversion DE.1.0.8.0 --startMP 204:446 --initTime 2016-12-04T10:52:55 --startdatetime 2016-12-04T11:00:24 --delay 2 --endMP 204:233300 --enddatetime 2016-12-04T11:35:37 --enforcementcount 0 &gt;&gt;C:\Users\stu\Documents\GitHub\eaglep3-reporting\EC\2016-12-04-refined-times.txt</v>
      </c>
      <c r="AI71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{"issue":{"subject":"","project_id":79,"tracker_id":40,"status_id":1,"priority_id":2,"assigned_to_id":23,"start_date":"2016-12-04","description":"","custom_fields":[{"id":1,"name":"Subdivision","value":"EC"},{"id":4,"name":"Milepost","value":"23.33"},{"id":17,"name":"Train ID","value":"159-04"},{"id":16,"name":"Locomotive ID","value":"4038"},{"id":130,"name":"Impact","value":""},{"id":150,"name":"Time of Event (Mountain Time)","value":"11:35:37"},{"id":151,"name":"Denver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528</v>
      </c>
      <c r="B72" s="7">
        <v>4037</v>
      </c>
      <c r="C72" s="22" t="s">
        <v>208</v>
      </c>
      <c r="D72" s="22" t="s">
        <v>204</v>
      </c>
      <c r="E72" s="13">
        <v>42708.493460648147</v>
      </c>
      <c r="F72" s="13">
        <v>42708.497488425928</v>
      </c>
      <c r="G72" s="7">
        <v>2</v>
      </c>
      <c r="H72" s="22" t="s">
        <v>244</v>
      </c>
      <c r="I72" s="13">
        <v>42708.523136574076</v>
      </c>
      <c r="J72" s="7">
        <v>0</v>
      </c>
      <c r="K72" s="109" t="str">
        <f t="shared" si="19"/>
        <v>4037/4038</v>
      </c>
      <c r="L72" s="22" t="str">
        <f>VLOOKUP(A72,'Trips&amp;Operators'!$C$1:$G$99999,5,FALSE)</f>
        <v>STEWART MICHAEL</v>
      </c>
      <c r="M72" s="6">
        <f t="shared" si="20"/>
        <v>2.5648148148320615E-2</v>
      </c>
      <c r="N72" s="7">
        <f t="shared" si="34"/>
        <v>36.933333333581686</v>
      </c>
      <c r="O72" s="7"/>
      <c r="P72" s="7"/>
      <c r="Q72" s="23"/>
      <c r="R72" s="23"/>
      <c r="S72" s="35">
        <f t="shared" si="21"/>
        <v>1</v>
      </c>
      <c r="T72" s="50" t="str">
        <f t="shared" si="22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10:50:35-700',mode:absolute,to:'2016-12-04 13:33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2" s="52" t="str">
        <f t="shared" si="24"/>
        <v>N</v>
      </c>
      <c r="X72" s="177">
        <f t="shared" si="25"/>
        <v>1</v>
      </c>
      <c r="Y72" s="67">
        <f t="shared" si="26"/>
        <v>23.297699999999999</v>
      </c>
      <c r="Z72" s="67">
        <f t="shared" si="33"/>
        <v>1.61E-2</v>
      </c>
      <c r="AA72" s="67">
        <f t="shared" si="27"/>
        <v>23.281599999999997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28"/>
        <v>0160-04</v>
      </c>
      <c r="AE72" s="91" t="str">
        <f t="shared" si="29"/>
        <v>aws s3 cp s3://rtdc.mdm.uploadarchive.raw/RTDC4037/ "%USERPROFILE%\AppData\Local\Temp\OnboardLogs"\RTDC4037\2016-12-04 --exclude "*" --recursive --include "*20161204*" &amp; "%USERPROFILE%\Documents\GitHub\mrs-test-scripts\Headless Mode &amp; Sideloading\WalkAndUnGZ.bat" "%USERPROFILE%\AppData\Local\Temp\OnboardLogs"\RTDC4037\2016-12-04 &amp; 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</v>
      </c>
      <c r="AF72" s="88" t="str">
        <f t="shared" si="30"/>
        <v>"C:\Program Files (x86)\AstroGrep\AstroGrep.exe" /spath="%USERPROFILE%\AppData\Local\Temp\OnboardLogs" /stypes="app*4037*20161204*" /stext=" 19:.+((SYSTEM_STATE.+slice.+state.+changed )|(ment ac)|(multiple cpu faults)|(system.+state.+changed )|(\[timeout)|(PRM\|1\|D)|(kpr)|(kdp)|(\|lc)|(penalty))" /e /r /s</v>
      </c>
      <c r="AG72" s="1" t="str">
        <f t="shared" si="31"/>
        <v>EC</v>
      </c>
      <c r="AH72" s="92" t="str">
        <f t="shared" si="17"/>
        <v>"%USERPROFILE%\Documents\GitHub\eaglep3\Utilities\RefineRTDCRunTimes.py" --tripid 160-04 --locoid 4037 --swversion DE.1.0.8.0 --startMP 204:232977 --initTime 2016-12-04T11:50:35 --startdatetime 2016-12-04T11:56:23 --delay 2 --endMP 204:161 --enddatetime 2016-12-04T12:33:19 --enforcementcount 0 &gt;&gt;C:\Users\stu\Documents\GitHub\eaglep3-reporting\EC\2016-12-04-refined-times.txt</v>
      </c>
      <c r="AI72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{"issue":{"subject":"","project_id":79,"tracker_id":40,"status_id":1,"priority_id":2,"assigned_to_id":23,"start_date":"2016-12-04","description":"","custom_fields":[{"id":1,"name":"Subdivision","value":"EC"},{"id":4,"name":"Milepost","value":"0.0161"},{"id":17,"name":"Train ID","value":"160-04"},{"id":16,"name":"Locomotive ID","value":"4037"},{"id":130,"name":"Impact","value":""},{"id":150,"name":"Time of Event (Mountain Time)","value":"12:33:19"},{"id":151,"name":"Denver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521</v>
      </c>
      <c r="B73" s="7">
        <v>4029</v>
      </c>
      <c r="C73" s="22" t="s">
        <v>208</v>
      </c>
      <c r="D73" s="22" t="s">
        <v>195</v>
      </c>
      <c r="E73" s="13">
        <v>42708.463229166664</v>
      </c>
      <c r="F73" s="13">
        <v>42708.469201388885</v>
      </c>
      <c r="G73" s="7">
        <v>2</v>
      </c>
      <c r="H73" s="22" t="s">
        <v>253</v>
      </c>
      <c r="I73" s="13">
        <v>42708.494560185187</v>
      </c>
      <c r="J73" s="7">
        <v>0</v>
      </c>
      <c r="K73" s="109" t="str">
        <f t="shared" si="19"/>
        <v>4029/4030</v>
      </c>
      <c r="L73" s="22" t="str">
        <f>VLOOKUP(A73,'Trips&amp;Operators'!$C$1:$G$99999,5,FALSE)</f>
        <v>BARTLETT KIANDRA</v>
      </c>
      <c r="M73" s="6">
        <f t="shared" si="20"/>
        <v>2.5358796301588882E-2</v>
      </c>
      <c r="N73" s="7">
        <f t="shared" si="34"/>
        <v>36.51666667428799</v>
      </c>
      <c r="O73" s="7"/>
      <c r="P73" s="7"/>
      <c r="Q73" s="23"/>
      <c r="R73" s="23"/>
      <c r="S73" s="35">
        <f t="shared" si="21"/>
        <v>1</v>
      </c>
      <c r="T73" s="50" t="str">
        <f t="shared" si="22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10:07:03-700',mode:absolute,to:'2016-12-04 12:52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3" s="52" t="str">
        <f t="shared" si="24"/>
        <v>N</v>
      </c>
      <c r="X73" s="177">
        <f t="shared" si="25"/>
        <v>1</v>
      </c>
      <c r="Y73" s="67">
        <f t="shared" si="26"/>
        <v>4.5100000000000001E-2</v>
      </c>
      <c r="Z73" s="67">
        <f t="shared" si="33"/>
        <v>23.3307</v>
      </c>
      <c r="AA73" s="67">
        <f t="shared" si="27"/>
        <v>23.285599999999999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28"/>
        <v>0161-04</v>
      </c>
      <c r="AE73" s="91" t="str">
        <f t="shared" si="29"/>
        <v>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 &amp; aws s3 cp s3://rtdc.mdm.uploadarchive.raw/RTDC4029/ "%USERPROFILE%\AppData\Local\Temp\OnboardLogs"\RTDC4029\2016-12-05 --exclude "*" --recursive --include "*20161205*" &amp; "%USERPROFILE%\Documents\GitHub\mrs-test-scripts\Headless Mode &amp; Sideloading\WalkAndUnGZ.bat" "%USERPROFILE%\AppData\Local\Temp\OnboardLogs"\RTDC4029\2016-12-05</v>
      </c>
      <c r="AF73" s="88" t="str">
        <f t="shared" si="30"/>
        <v>"C:\Program Files (x86)\AstroGrep\AstroGrep.exe" /spath="%USERPROFILE%\AppData\Local\Temp\OnboardLogs" /stypes="app*4029*20161204*" /stext=" 18:.+((SYSTEM_STATE.+slice.+state.+changed )|(ment ac)|(multiple cpu faults)|(system.+state.+changed )|(\[timeout)|(PRM\|1\|D)|(kpr)|(kdp)|(\|lc)|(penalty))" /e /r /s</v>
      </c>
      <c r="AG73" s="1" t="str">
        <f t="shared" si="31"/>
        <v>EC</v>
      </c>
      <c r="AH73" s="92" t="str">
        <f t="shared" si="17"/>
        <v>"%USERPROFILE%\Documents\GitHub\eaglep3\Utilities\RefineRTDCRunTimes.py" --tripid 161-04 --locoid 4029 --swversion DE.1.0.8.0 --startMP 204:451 --initTime 2016-12-04T11:07:03 --startdatetime 2016-12-04T11:15:39 --delay 2 --endMP 204:233307 --enddatetime 2016-12-04T11:52:10 --enforcementcount 0 &gt;&gt;C:\Users\stu\Documents\GitHub\eaglep3-reporting\EC\2016-12-04-refined-times.txt</v>
      </c>
      <c r="AI73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{"issue":{"subject":"","project_id":79,"tracker_id":40,"status_id":1,"priority_id":2,"assigned_to_id":23,"start_date":"2016-12-04","description":"","custom_fields":[{"id":1,"name":"Subdivision","value":"EC"},{"id":4,"name":"Milepost","value":"23.3307"},{"id":17,"name":"Train ID","value":"161-04"},{"id":16,"name":"Locomotive ID","value":"4029"},{"id":130,"name":"Impact","value":""},{"id":150,"name":"Time of Event (Mountain Time)","value":"11:52:10"},{"id":151,"name":"Denver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532</v>
      </c>
      <c r="B74" s="7">
        <v>4030</v>
      </c>
      <c r="C74" s="22" t="s">
        <v>208</v>
      </c>
      <c r="D74" s="22" t="s">
        <v>677</v>
      </c>
      <c r="E74" s="13">
        <v>42708.496655092589</v>
      </c>
      <c r="F74" s="13">
        <v>42708.507939814815</v>
      </c>
      <c r="G74" s="7">
        <v>1</v>
      </c>
      <c r="H74" s="22" t="s">
        <v>210</v>
      </c>
      <c r="I74" s="13">
        <v>42708.533761574072</v>
      </c>
      <c r="J74" s="7">
        <v>0</v>
      </c>
      <c r="K74" s="109" t="str">
        <f t="shared" si="19"/>
        <v>4029/4030</v>
      </c>
      <c r="L74" s="22" t="str">
        <f>VLOOKUP(A74,'Trips&amp;Operators'!$C$1:$G$99999,5,FALSE)</f>
        <v>BARTLETT KIANDRA</v>
      </c>
      <c r="M74" s="6">
        <f t="shared" si="20"/>
        <v>2.5821759256359655E-2</v>
      </c>
      <c r="N74" s="7">
        <f t="shared" si="34"/>
        <v>37.183333329157904</v>
      </c>
      <c r="O74" s="7"/>
      <c r="P74" s="7"/>
      <c r="Q74" s="23"/>
      <c r="R74" s="23"/>
      <c r="S74" s="35">
        <f t="shared" si="21"/>
        <v>1</v>
      </c>
      <c r="T74" s="50" t="str">
        <f t="shared" si="22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10:55:11-700',mode:absolute,to:'2016-12-04 13:48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4" s="52" t="str">
        <f t="shared" si="24"/>
        <v>N</v>
      </c>
      <c r="X74" s="177">
        <f t="shared" si="25"/>
        <v>1</v>
      </c>
      <c r="Y74" s="67">
        <f t="shared" si="26"/>
        <v>23.297999999999998</v>
      </c>
      <c r="Z74" s="67">
        <f t="shared" si="33"/>
        <v>1.5800000000000002E-2</v>
      </c>
      <c r="AA74" s="67">
        <f t="shared" si="27"/>
        <v>23.2822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28"/>
        <v>0162-04</v>
      </c>
      <c r="AE74" s="91" t="str">
        <f t="shared" si="29"/>
        <v>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 &amp; aws s3 cp s3://rtdc.mdm.uploadarchive.raw/RTDC4030/ "%USERPROFILE%\AppData\Local\Temp\OnboardLogs"\RTDC4030\2016-12-05 --exclude "*" --recursive --include "*20161205*" &amp; "%USERPROFILE%\Documents\GitHub\mrs-test-scripts\Headless Mode &amp; Sideloading\WalkAndUnGZ.bat" "%USERPROFILE%\AppData\Local\Temp\OnboardLogs"\RTDC4030\2016-12-05</v>
      </c>
      <c r="AF74" s="88" t="str">
        <f t="shared" si="30"/>
        <v>"C:\Program Files (x86)\AstroGrep\AstroGrep.exe" /spath="%USERPROFILE%\AppData\Local\Temp\OnboardLogs" /stypes="app*4030*20161204*" /stext=" 19:.+((SYSTEM_STATE.+slice.+state.+changed )|(ment ac)|(multiple cpu faults)|(system.+state.+changed )|(\[timeout)|(PRM\|1\|D)|(kpr)|(kdp)|(\|lc)|(penalty))" /e /r /s</v>
      </c>
      <c r="AG74" s="1" t="str">
        <f t="shared" si="31"/>
        <v>EC</v>
      </c>
      <c r="AH74" s="92" t="str">
        <f t="shared" si="17"/>
        <v>"%USERPROFILE%\Documents\GitHub\eaglep3\Utilities\RefineRTDCRunTimes.py" --tripid 162-04 --locoid 4030 --swversion DE.1.0.8.0 --startMP 204:232980 --initTime 2016-12-04T11:55:11 --startdatetime 2016-12-04T12:11:26 --delay 1 --endMP 204:158 --enddatetime 2016-12-04T12:48:37 --enforcementcount 0 &gt;&gt;C:\Users\stu\Documents\GitHub\eaglep3-reporting\EC\2016-12-04-refined-times.txt</v>
      </c>
      <c r="AI74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{"issue":{"subject":"","project_id":79,"tracker_id":40,"status_id":1,"priority_id":2,"assigned_to_id":23,"start_date":"2016-12-04","description":"","custom_fields":[{"id":1,"name":"Subdivision","value":"EC"},{"id":4,"name":"Milepost","value":"0.0158"},{"id":17,"name":"Train ID","value":"162-04"},{"id":16,"name":"Locomotive ID","value":"4030"},{"id":130,"name":"Impact","value":""},{"id":150,"name":"Time of Event (Mountain Time)","value":"12:48:37"},{"id":151,"name":"Denver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525</v>
      </c>
      <c r="B75" s="7">
        <v>4027</v>
      </c>
      <c r="C75" s="22" t="s">
        <v>208</v>
      </c>
      <c r="D75" s="22" t="s">
        <v>194</v>
      </c>
      <c r="E75" s="13">
        <v>42708.476574074077</v>
      </c>
      <c r="F75" s="13">
        <v>42708.479363425926</v>
      </c>
      <c r="G75" s="7">
        <v>1</v>
      </c>
      <c r="H75" s="22" t="s">
        <v>254</v>
      </c>
      <c r="I75" s="13">
        <v>42708.504467592589</v>
      </c>
      <c r="J75" s="7">
        <v>0</v>
      </c>
      <c r="K75" s="109" t="str">
        <f t="shared" si="19"/>
        <v>4027/4028</v>
      </c>
      <c r="L75" s="22" t="str">
        <f>VLOOKUP(A75,'Trips&amp;Operators'!$C$1:$G$99999,5,FALSE)</f>
        <v>BRUDER RICHARD</v>
      </c>
      <c r="M75" s="6">
        <f t="shared" si="20"/>
        <v>2.5104166663368233E-2</v>
      </c>
      <c r="N75" s="7">
        <f t="shared" si="34"/>
        <v>36.149999995250255</v>
      </c>
      <c r="O75" s="7"/>
      <c r="P75" s="7"/>
      <c r="Q75" s="23"/>
      <c r="R75" s="23"/>
      <c r="S75" s="35">
        <f t="shared" si="21"/>
        <v>1</v>
      </c>
      <c r="T75" s="50" t="str">
        <f t="shared" si="22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10:26:16-700',mode:absolute,to:'2016-12-04 13:06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5" s="52" t="str">
        <f t="shared" si="24"/>
        <v>N</v>
      </c>
      <c r="X75" s="177">
        <f t="shared" si="25"/>
        <v>1</v>
      </c>
      <c r="Y75" s="67">
        <f t="shared" si="26"/>
        <v>4.4699999999999997E-2</v>
      </c>
      <c r="Z75" s="67">
        <f t="shared" si="33"/>
        <v>23.3308</v>
      </c>
      <c r="AA75" s="67">
        <f t="shared" si="27"/>
        <v>23.286100000000001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28"/>
        <v>0163-04</v>
      </c>
      <c r="AE75" s="91" t="str">
        <f t="shared" si="29"/>
        <v>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 &amp; aws s3 cp s3://rtdc.mdm.uploadarchive.raw/RTDC4027/ "%USERPROFILE%\AppData\Local\Temp\OnboardLogs"\RTDC4027\2016-12-05 --exclude "*" --recursive --include "*20161205*" &amp; "%USERPROFILE%\Documents\GitHub\mrs-test-scripts\Headless Mode &amp; Sideloading\WalkAndUnGZ.bat" "%USERPROFILE%\AppData\Local\Temp\OnboardLogs"\RTDC4027\2016-12-05</v>
      </c>
      <c r="AF75" s="88" t="str">
        <f t="shared" si="30"/>
        <v>"C:\Program Files (x86)\AstroGrep\AstroGrep.exe" /spath="%USERPROFILE%\AppData\Local\Temp\OnboardLogs" /stypes="app*4027*20161204*" /stext=" 19:.+((SYSTEM_STATE.+slice.+state.+changed )|(ment ac)|(multiple cpu faults)|(system.+state.+changed )|(\[timeout)|(PRM\|1\|D)|(kpr)|(kdp)|(\|lc)|(penalty))" /e /r /s</v>
      </c>
      <c r="AG75" s="1" t="str">
        <f t="shared" si="31"/>
        <v>EC</v>
      </c>
      <c r="AH75" s="92" t="str">
        <f t="shared" si="17"/>
        <v>"%USERPROFILE%\Documents\GitHub\eaglep3\Utilities\RefineRTDCRunTimes.py" --tripid 163-04 --locoid 4027 --swversion DE.1.0.8.0 --startMP 204:447 --initTime 2016-12-04T11:26:16 --startdatetime 2016-12-04T11:30:17 --delay 1 --endMP 204:233308 --enddatetime 2016-12-04T12:06:26 --enforcementcount 0 &gt;&gt;C:\Users\stu\Documents\GitHub\eaglep3-reporting\EC\2016-12-04-refined-times.txt</v>
      </c>
      <c r="AI75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{"issue":{"subject":"","project_id":79,"tracker_id":40,"status_id":1,"priority_id":2,"assigned_to_id":23,"start_date":"2016-12-04","description":"","custom_fields":[{"id":1,"name":"Subdivision","value":"EC"},{"id":4,"name":"Milepost","value":"23.3308"},{"id":17,"name":"Train ID","value":"163-04"},{"id":16,"name":"Locomotive ID","value":"4027"},{"id":130,"name":"Impact","value":""},{"id":150,"name":"Time of Event (Mountain Time)","value":"12:06:26"},{"id":151,"name":"Denver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535</v>
      </c>
      <c r="B76" s="7">
        <v>4028</v>
      </c>
      <c r="C76" s="22" t="s">
        <v>208</v>
      </c>
      <c r="D76" s="22" t="s">
        <v>315</v>
      </c>
      <c r="E76" s="13">
        <v>42708.513842592591</v>
      </c>
      <c r="F76" s="13">
        <v>42708.518217592595</v>
      </c>
      <c r="G76" s="7">
        <v>2</v>
      </c>
      <c r="H76" s="22" t="s">
        <v>206</v>
      </c>
      <c r="I76" s="13">
        <v>42708.544131944444</v>
      </c>
      <c r="J76" s="7">
        <v>0</v>
      </c>
      <c r="K76" s="109" t="str">
        <f t="shared" si="19"/>
        <v>4027/4028</v>
      </c>
      <c r="L76" s="22" t="str">
        <f>VLOOKUP(A76,'Trips&amp;Operators'!$C$1:$G$99999,5,FALSE)</f>
        <v>BRUDER RICHARD</v>
      </c>
      <c r="M76" s="6">
        <f t="shared" si="20"/>
        <v>2.5914351848769002E-2</v>
      </c>
      <c r="N76" s="7">
        <f t="shared" si="34"/>
        <v>37.316666662227362</v>
      </c>
      <c r="O76" s="7"/>
      <c r="P76" s="7"/>
      <c r="Q76" s="23"/>
      <c r="R76" s="23"/>
      <c r="S76" s="35">
        <f t="shared" si="21"/>
        <v>1</v>
      </c>
      <c r="T76" s="50" t="str">
        <f t="shared" si="22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https://search-rtdc-monitor-bjffxe2xuh6vdkpspy63sjmuny.us-east-1.es.amazonaws.com/_plugin/kibana/#/discover/Steve-Slow-Train-Analysis-(2080s-and-2083s)?_g=(refreshInterval:(display:Off,section:0,value:0),time:(from:'2016-12-04 11:19:56-700',mode:absolute,to:'2016-12-04 14:03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6" s="52" t="str">
        <f t="shared" si="24"/>
        <v>N</v>
      </c>
      <c r="X76" s="177">
        <f t="shared" si="25"/>
        <v>1</v>
      </c>
      <c r="Y76" s="67">
        <f t="shared" si="26"/>
        <v>23.299099999999999</v>
      </c>
      <c r="Z76" s="67">
        <f t="shared" si="33"/>
        <v>1.5599999999999999E-2</v>
      </c>
      <c r="AA76" s="67">
        <f t="shared" si="27"/>
        <v>23.2835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28"/>
        <v>0164-04</v>
      </c>
      <c r="AE76" s="91" t="str">
        <f t="shared" si="29"/>
        <v>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 &amp; aws s3 cp s3://rtdc.mdm.uploadarchive.raw/RTDC4028/ "%USERPROFILE%\AppData\Local\Temp\OnboardLogs"\RTDC4028\2016-12-05 --exclude "*" --recursive --include "*20161205*" &amp; "%USERPROFILE%\Documents\GitHub\mrs-test-scripts\Headless Mode &amp; Sideloading\WalkAndUnGZ.bat" "%USERPROFILE%\AppData\Local\Temp\OnboardLogs"\RTDC4028\2016-12-05</v>
      </c>
      <c r="AF76" s="88" t="str">
        <f t="shared" si="30"/>
        <v>"C:\Program Files (x86)\AstroGrep\AstroGrep.exe" /spath="%USERPROFILE%\AppData\Local\Temp\OnboardLogs" /stypes="app*4028*20161204*" /stext=" 20:.+((SYSTEM_STATE.+slice.+state.+changed )|(ment ac)|(multiple cpu faults)|(system.+state.+changed )|(\[timeout)|(PRM\|1\|D)|(kpr)|(kdp)|(\|lc)|(penalty))" /e /r /s</v>
      </c>
      <c r="AG76" s="1" t="str">
        <f t="shared" si="31"/>
        <v>EC</v>
      </c>
      <c r="AH76" s="92" t="str">
        <f t="shared" si="17"/>
        <v>"%USERPROFILE%\Documents\GitHub\eaglep3\Utilities\RefineRTDCRunTimes.py" --tripid 164-04 --locoid 4028 --swversion DE.1.0.8.0 --startMP 204:232991 --initTime 2016-12-04T12:19:56 --startdatetime 2016-12-04T12:26:14 --delay 2 --endMP 204:156 --enddatetime 2016-12-04T13:03:33 --enforcementcount 0 &gt;&gt;C:\Users\stu\Documents\GitHub\eaglep3-reporting\EC\2016-12-04-refined-times.txt</v>
      </c>
      <c r="AI76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{"issue":{"subject":"","project_id":79,"tracker_id":40,"status_id":1,"priority_id":2,"assigned_to_id":23,"start_date":"2016-12-04","description":"","custom_fields":[{"id":1,"name":"Subdivision","value":"EC"},{"id":4,"name":"Milepost","value":"0.0156"},{"id":17,"name":"Train ID","value":"164-04"},{"id":16,"name":"Locomotive ID","value":"4028"},{"id":130,"name":"Impact","value":""},{"id":150,"name":"Time of Event (Mountain Time)","value":"13:03:33"},{"id":151,"name":"Denver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527</v>
      </c>
      <c r="B77" s="7">
        <v>4020</v>
      </c>
      <c r="C77" s="22" t="s">
        <v>208</v>
      </c>
      <c r="D77" s="22" t="s">
        <v>195</v>
      </c>
      <c r="E77" s="13">
        <v>42708.485729166663</v>
      </c>
      <c r="F77" s="13">
        <v>42708.489895833336</v>
      </c>
      <c r="G77" s="7">
        <v>2</v>
      </c>
      <c r="H77" s="22" t="s">
        <v>685</v>
      </c>
      <c r="I77" s="13">
        <v>42708.515069444446</v>
      </c>
      <c r="J77" s="7">
        <v>0</v>
      </c>
      <c r="K77" s="109" t="str">
        <f t="shared" ref="K77:K108" si="35">IF(ISEVEN(B77),(B77-1)&amp;"/"&amp;B77,B77&amp;"/"&amp;(B77+1))</f>
        <v>4019/4020</v>
      </c>
      <c r="L77" s="22" t="str">
        <f>VLOOKUP(A77,'Trips&amp;Operators'!$C$1:$G$99999,5,FALSE)</f>
        <v>MOSES BRADLEY</v>
      </c>
      <c r="M77" s="6">
        <f t="shared" ref="M77:M108" si="36">I77-F77</f>
        <v>2.5173611109494232E-2</v>
      </c>
      <c r="N77" s="7">
        <f t="shared" si="34"/>
        <v>36.249999997671694</v>
      </c>
      <c r="O77" s="7"/>
      <c r="P77" s="7"/>
      <c r="Q77" s="23"/>
      <c r="R77" s="23"/>
      <c r="S77" s="35">
        <f t="shared" ref="S77:S85" si="37">SUM(U77:U77)/IF(AG77="EC",12,1)</f>
        <v>1</v>
      </c>
      <c r="T77" s="50" t="str">
        <f t="shared" ref="T77:T108" si="38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08" si="39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https://search-rtdc-monitor-bjffxe2xuh6vdkpspy63sjmuny.us-east-1.es.amazonaws.com/_plugin/kibana/#/discover/Steve-Slow-Train-Analysis-(2080s-and-2083s)?_g=(refreshInterval:(display:Off,section:0,value:0),time:(from:'2016-12-04 10:39:27-700',mode:absolute,to:'2016-12-04 13:21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7" s="52" t="str">
        <f t="shared" ref="W77:W108" si="40">IF(AA77&lt;IF(AG77="EC",23,5.65),"Y","N")</f>
        <v>N</v>
      </c>
      <c r="X77" s="177">
        <f t="shared" ref="X77:X93" si="41">VALUE(LEFT(AD77,4))-VALUE(LEFT(AD76,4))</f>
        <v>1</v>
      </c>
      <c r="Y77" s="67">
        <f t="shared" ref="Y77:Y108" si="42">RIGHT(D77,LEN(D77)-4)/10000</f>
        <v>4.5100000000000001E-2</v>
      </c>
      <c r="Z77" s="67">
        <f t="shared" si="33"/>
        <v>23.3337</v>
      </c>
      <c r="AA77" s="67">
        <f t="shared" ref="AA77:AA108" si="43">ABS(Z77-Y77)</f>
        <v>23.288599999999999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ref="AD77:AD108" si="44">IF(LEN(A77)=6,"0"&amp;A77,A77)</f>
        <v>0165-04</v>
      </c>
      <c r="AE77" s="91" t="str">
        <f t="shared" ref="AE77:AE108" si="4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s3://rtdc.mdm.uploadarchive.raw/RTDC4020/ "%USERPROFILE%\AppData\Local\Temp\OnboardLogs"\RTDC4020\2016-12-04 --exclude "*" --recursive --include "*20161204*" &amp; "%USERPROFILE%\Documents\GitHub\mrs-test-scripts\Headless Mode &amp; Sideloading\WalkAndUnGZ.bat" "%USERPROFILE%\AppData\Local\Temp\OnboardLogs"\RTDC4020\2016-12-04 &amp; aws s3 cp s3://rtdc.mdm.uploadarchive.raw/RTDC4020/ "%USERPROFILE%\AppData\Local\Temp\OnboardLogs"\RTDC4020\2016-12-05 --exclude "*" --recursive --include "*20161205*" &amp; "%USERPROFILE%\Documents\GitHub\mrs-test-scripts\Headless Mode &amp; Sideloading\WalkAndUnGZ.bat" "%USERPROFILE%\AppData\Local\Temp\OnboardLogs"\RTDC4020\2016-12-05</v>
      </c>
      <c r="AF77" s="88" t="str">
        <f t="shared" ref="AF77:AF108" si="46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/stypes="app*4020*20161204*" /stext=" 19:.+((SYSTEM_STATE.+slice.+state.+changed )|(ment ac)|(multiple cpu faults)|(system.+state.+changed )|(\[timeout)|(PRM\|1\|D)|(kpr)|(kdp)|(\|lc)|(penalty))" /e /r /s</v>
      </c>
      <c r="AG77" s="1" t="str">
        <f t="shared" ref="AG77:AG108" si="47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165-04 --locoid 4020 --swversion DE.1.0.8.0 --startMP 204:451 --initTime 2016-12-04T11:39:27 --startdatetime 2016-12-04T11:45:27 --delay 2 --endMP 204:233337 --enddatetime 2016-12-04T12:21:42 --enforcementcount 0 &gt;&gt;C:\Users\stu\Documents\GitHub\eaglep3-reporting\EC\2016-12-04-refined-times.txt</v>
      </c>
      <c r="AI77" s="119" t="str">
        <f t="shared" si="18"/>
        <v>echo {"issue":{"subject":"","project_id":79,"tracker_id":40,"status_id":1,"priority_id":2,"assigned_to_id":23,"start_date":"2016-12-04","description":"","custom_fields":[{"id":1,"name":"Subdivision","value":"EC"},{"id":4,"name":"Milepost","value":"23.3337"},{"id":17,"name":"Train ID","value":"165-04"},{"id":16,"name":"Locomotive ID","value":"4020"},{"id":130,"name":"Impact","value":""},{"id":150,"name":"Time of Event (Mountain Time)","value":"12:21:42"},{"id":151,"name":"Denver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452</v>
      </c>
      <c r="B78" s="7">
        <v>4019</v>
      </c>
      <c r="C78" s="22" t="s">
        <v>208</v>
      </c>
      <c r="D78" s="22" t="s">
        <v>204</v>
      </c>
      <c r="E78" s="13">
        <v>42708.526458333334</v>
      </c>
      <c r="F78" s="13">
        <v>42708.528703703705</v>
      </c>
      <c r="G78" s="7">
        <v>1</v>
      </c>
      <c r="H78" s="22" t="s">
        <v>210</v>
      </c>
      <c r="I78" s="13">
        <v>42708.557476851849</v>
      </c>
      <c r="J78" s="7">
        <v>0</v>
      </c>
      <c r="K78" s="109" t="str">
        <f t="shared" si="35"/>
        <v>4019/4020</v>
      </c>
      <c r="L78" s="22" t="str">
        <f>VLOOKUP(A78,'Trips&amp;Operators'!$C$1:$G$99999,5,FALSE)</f>
        <v>MOSES BRADLEY</v>
      </c>
      <c r="M78" s="6">
        <f t="shared" si="36"/>
        <v>2.8773148143955041E-2</v>
      </c>
      <c r="N78" s="7">
        <f t="shared" si="34"/>
        <v>41.433333327295259</v>
      </c>
      <c r="O78" s="7"/>
      <c r="P78" s="7"/>
      <c r="Q78" s="23"/>
      <c r="R78" s="23"/>
      <c r="S78" s="35">
        <f t="shared" si="37"/>
        <v>1</v>
      </c>
      <c r="T78" s="50" t="str">
        <f t="shared" si="38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11:38:06-700',mode:absolute,to:'2016-12-04 14:22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78" s="52" t="str">
        <f t="shared" si="40"/>
        <v>N</v>
      </c>
      <c r="X78" s="177">
        <f t="shared" si="41"/>
        <v>1</v>
      </c>
      <c r="Y78" s="67">
        <f t="shared" si="42"/>
        <v>23.297699999999999</v>
      </c>
      <c r="Z78" s="67">
        <f t="shared" ref="Z78:Z109" si="48">RIGHT(H78,LEN(H78)-4)/10000</f>
        <v>1.5800000000000002E-2</v>
      </c>
      <c r="AA78" s="67">
        <f t="shared" si="43"/>
        <v>23.2819</v>
      </c>
      <c r="AB78" s="64" t="str">
        <f>VLOOKUP(A78,Enforcements!$C$7:$K$20,8,0)</f>
        <v>Signal based authority (5)</v>
      </c>
      <c r="AC78" s="60" t="str">
        <f>VLOOKUP(A78,Enforcements!$C$7:$E$20,3,0)</f>
        <v>SIGNAL</v>
      </c>
      <c r="AD78" s="61" t="str">
        <f t="shared" si="44"/>
        <v>0166-04</v>
      </c>
      <c r="AE78" s="91" t="str">
        <f t="shared" si="45"/>
        <v>aws s3 cp s3://rtdc.mdm.uploadarchive.raw/RTDC4019/ "%USERPROFILE%\AppData\Local\Temp\OnboardLogs"\RTDC4019\2016-12-04 --exclude "*" --recursive --include "*20161204*" &amp; "%USERPROFILE%\Documents\GitHub\mrs-test-scripts\Headless Mode &amp; Sideloading\WalkAndUnGZ.bat" "%USERPROFILE%\AppData\Local\Temp\OnboardLogs"\RTDC4019\2016-12-04 &amp; aws s3 cp s3://rtdc.mdm.uploadarchive.raw/RTDC4019/ "%USERPROFILE%\AppData\Local\Temp\OnboardLogs"\RTDC4019\2016-12-05 --exclude "*" --recursive --include "*20161205*" &amp; "%USERPROFILE%\Documents\GitHub\mrs-test-scripts\Headless Mode &amp; Sideloading\WalkAndUnGZ.bat" "%USERPROFILE%\AppData\Local\Temp\OnboardLogs"\RTDC4019\2016-12-05</v>
      </c>
      <c r="AF78" s="88" t="str">
        <f t="shared" si="46"/>
        <v>"C:\Program Files (x86)\AstroGrep\AstroGrep.exe" /spath="%USERPROFILE%\AppData\Local\Temp\OnboardLogs" /stypes="app*4019*20161204*" /stext=" 20:.+((SYSTEM_STATE.+slice.+state.+changed )|(ment ac)|(multiple cpu faults)|(system.+state.+changed )|(\[timeout)|(PRM\|1\|D)|(kpr)|(kdp)|(\|lc)|(penalty))" /e /r /s</v>
      </c>
      <c r="AG78" s="1" t="str">
        <f t="shared" si="47"/>
        <v>EC</v>
      </c>
      <c r="AH78" s="92" t="str">
        <f t="shared" ref="AH78:AH141" si="4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166-04 --locoid 4019 --swversion DE.1.0.8.0 --startMP 204:232977 --initTime 2016-12-04T12:38:06 --startdatetime 2016-12-04T12:41:20 --delay 1 --endMP 204:158 --enddatetime 2016-12-04T13:22:46 --enforcementcount 0 &gt;&gt;C:\Users\stu\Documents\GitHub\eaglep3-reporting\EC\2016-12-04-refined-times.txt</v>
      </c>
      <c r="AI78" s="119" t="str">
        <f t="shared" ref="AI78:AI141" si="5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{"issue":{"subject":"","project_id":79,"tracker_id":40,"status_id":1,"priority_id":2,"assigned_to_id":23,"start_date":"2016-12-04","description":"","custom_fields":[{"id":1,"name":"Subdivision","value":"EC"},{"id":4,"name":"Milepost","value":"0.0158"},{"id":17,"name":"Train ID","value":"166-04"},{"id":16,"name":"Locomotive ID","value":"4019"},{"id":130,"name":"Impact","value":""},{"id":150,"name":"Time of Event (Mountain Time)","value":"13:22:46"},{"id":151,"name":"Denver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529</v>
      </c>
      <c r="B79" s="7">
        <v>4003</v>
      </c>
      <c r="C79" s="22" t="s">
        <v>208</v>
      </c>
      <c r="D79" s="22" t="s">
        <v>414</v>
      </c>
      <c r="E79" s="13">
        <v>42708.496307870373</v>
      </c>
      <c r="F79" s="13">
        <v>42708.500196759262</v>
      </c>
      <c r="G79" s="7">
        <v>1</v>
      </c>
      <c r="H79" s="22" t="s">
        <v>686</v>
      </c>
      <c r="I79" s="13">
        <v>42708.526828703703</v>
      </c>
      <c r="J79" s="7">
        <v>0</v>
      </c>
      <c r="K79" s="109" t="str">
        <f t="shared" si="35"/>
        <v>4003/4004</v>
      </c>
      <c r="L79" s="22" t="str">
        <f>VLOOKUP(A79,'Trips&amp;Operators'!$C$1:$G$99999,5,FALSE)</f>
        <v>YOUNG ELIZABETH</v>
      </c>
      <c r="M79" s="6">
        <f t="shared" si="36"/>
        <v>2.6631944441760425E-2</v>
      </c>
      <c r="N79" s="7">
        <f t="shared" si="34"/>
        <v>38.349999996135011</v>
      </c>
      <c r="O79" s="7"/>
      <c r="P79" s="7"/>
      <c r="Q79" s="23"/>
      <c r="R79" s="23"/>
      <c r="S79" s="35">
        <f t="shared" si="37"/>
        <v>1</v>
      </c>
      <c r="T79" s="50" t="str">
        <f t="shared" si="38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10:54:41-700',mode:absolute,to:'2016-12-04 13:38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9" s="52" t="str">
        <f t="shared" si="40"/>
        <v>N</v>
      </c>
      <c r="X79" s="177">
        <f t="shared" si="41"/>
        <v>1</v>
      </c>
      <c r="Y79" s="67">
        <f t="shared" si="42"/>
        <v>4.53E-2</v>
      </c>
      <c r="Z79" s="67">
        <f t="shared" si="48"/>
        <v>23.332100000000001</v>
      </c>
      <c r="AA79" s="67">
        <f t="shared" si="43"/>
        <v>23.286799999999999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44"/>
        <v>0167-04</v>
      </c>
      <c r="AE79" s="91" t="str">
        <f t="shared" si="45"/>
        <v>aws s3 cp s3://rtdc.mdm.uploadarchive.raw/RTDC4003/ "%USERPROFILE%\AppData\Local\Temp\OnboardLogs"\RTDC4003\2016-12-04 --exclude "*" --recursive --include "*20161204*" &amp; "%USERPROFILE%\Documents\GitHub\mrs-test-scripts\Headless Mode &amp; Sideloading\WalkAndUnGZ.bat" "%USERPROFILE%\AppData\Local\Temp\OnboardLogs"\RTDC4003\2016-12-04 &amp; aws s3 cp s3://rtdc.mdm.uploadarchive.raw/RTDC4003/ "%USERPROFILE%\AppData\Local\Temp\OnboardLogs"\RTDC4003\2016-12-05 --exclude "*" --recursive --include "*20161205*" &amp; "%USERPROFILE%\Documents\GitHub\mrs-test-scripts\Headless Mode &amp; Sideloading\WalkAndUnGZ.bat" "%USERPROFILE%\AppData\Local\Temp\OnboardLogs"\RTDC4003\2016-12-05</v>
      </c>
      <c r="AF79" s="88" t="str">
        <f t="shared" si="46"/>
        <v>"C:\Program Files (x86)\AstroGrep\AstroGrep.exe" /spath="%USERPROFILE%\AppData\Local\Temp\OnboardLogs" /stypes="app*4003*20161204*" /stext=" 19:.+((SYSTEM_STATE.+slice.+state.+changed )|(ment ac)|(multiple cpu faults)|(system.+state.+changed )|(\[timeout)|(PRM\|1\|D)|(kpr)|(kdp)|(\|lc)|(penalty))" /e /r /s</v>
      </c>
      <c r="AG79" s="1" t="str">
        <f t="shared" si="47"/>
        <v>EC</v>
      </c>
      <c r="AH79" s="92" t="str">
        <f t="shared" si="49"/>
        <v>"%USERPROFILE%\Documents\GitHub\eaglep3\Utilities\RefineRTDCRunTimes.py" --tripid 167-04 --locoid 4003 --swversion DE.1.0.8.0 --startMP 204:453 --initTime 2016-12-04T11:54:41 --startdatetime 2016-12-04T12:00:17 --delay 1 --endMP 204:233321 --enddatetime 2016-12-04T12:38:38 --enforcementcount 0 &gt;&gt;C:\Users\stu\Documents\GitHub\eaglep3-reporting\EC\2016-12-04-refined-times.txt</v>
      </c>
      <c r="AI79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{"issue":{"subject":"","project_id":79,"tracker_id":40,"status_id":1,"priority_id":2,"assigned_to_id":23,"start_date":"2016-12-04","description":"","custom_fields":[{"id":1,"name":"Subdivision","value":"EC"},{"id":4,"name":"Milepost","value":"23.3321"},{"id":17,"name":"Train ID","value":"167-04"},{"id":16,"name":"Locomotive ID","value":"4003"},{"id":130,"name":"Impact","value":""},{"id":150,"name":"Time of Event (Mountain Time)","value":"12:38:38"},{"id":151,"name":"Denver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539</v>
      </c>
      <c r="B80" s="7">
        <v>4004</v>
      </c>
      <c r="C80" s="22" t="s">
        <v>208</v>
      </c>
      <c r="D80" s="22" t="s">
        <v>315</v>
      </c>
      <c r="E80" s="13">
        <v>42708.530995370369</v>
      </c>
      <c r="F80" s="13">
        <v>42708.539074074077</v>
      </c>
      <c r="G80" s="7">
        <v>1</v>
      </c>
      <c r="H80" s="22" t="s">
        <v>239</v>
      </c>
      <c r="I80" s="13">
        <v>42708.568206018521</v>
      </c>
      <c r="J80" s="7">
        <v>0</v>
      </c>
      <c r="K80" s="109" t="str">
        <f t="shared" si="35"/>
        <v>4003/4004</v>
      </c>
      <c r="L80" s="22" t="str">
        <f>VLOOKUP(A80,'Trips&amp;Operators'!$C$1:$G$99999,5,FALSE)</f>
        <v>YOUNG ELIZABETH</v>
      </c>
      <c r="M80" s="6">
        <f t="shared" si="36"/>
        <v>2.9131944444088731E-2</v>
      </c>
      <c r="N80" s="7">
        <f t="shared" si="34"/>
        <v>41.949999999487773</v>
      </c>
      <c r="O80" s="7"/>
      <c r="P80" s="7"/>
      <c r="Q80" s="23"/>
      <c r="R80" s="23"/>
      <c r="S80" s="35">
        <f t="shared" si="37"/>
        <v>1</v>
      </c>
      <c r="T80" s="50" t="str">
        <f t="shared" si="38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11:44:38-700',mode:absolute,to:'2016-12-04 14:38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0" s="52" t="str">
        <f t="shared" si="40"/>
        <v>N</v>
      </c>
      <c r="X80" s="177">
        <f t="shared" si="41"/>
        <v>1</v>
      </c>
      <c r="Y80" s="67">
        <f t="shared" si="42"/>
        <v>23.299099999999999</v>
      </c>
      <c r="Z80" s="67">
        <f t="shared" si="48"/>
        <v>1.6500000000000001E-2</v>
      </c>
      <c r="AA80" s="67">
        <f t="shared" si="43"/>
        <v>23.282599999999999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44"/>
        <v>0168-04</v>
      </c>
      <c r="AE80" s="91" t="str">
        <f t="shared" si="45"/>
        <v>aws s3 cp s3://rtdc.mdm.uploadarchive.raw/RTDC4004/ "%USERPROFILE%\AppData\Local\Temp\OnboardLogs"\RTDC4004\2016-12-04 --exclude "*" --recursive --include "*20161204*" &amp; "%USERPROFILE%\Documents\GitHub\mrs-test-scripts\Headless Mode &amp; Sideloading\WalkAndUnGZ.bat" "%USERPROFILE%\AppData\Local\Temp\OnboardLogs"\RTDC4004\2016-12-04 &amp; aws s3 cp s3://rtdc.mdm.uploadarchive.raw/RTDC4004/ "%USERPROFILE%\AppData\Local\Temp\OnboardLogs"\RTDC4004\2016-12-05 --exclude "*" --recursive --include "*20161205*" &amp; "%USERPROFILE%\Documents\GitHub\mrs-test-scripts\Headless Mode &amp; Sideloading\WalkAndUnGZ.bat" "%USERPROFILE%\AppData\Local\Temp\OnboardLogs"\RTDC4004\2016-12-05</v>
      </c>
      <c r="AF80" s="88" t="str">
        <f t="shared" si="46"/>
        <v>"C:\Program Files (x86)\AstroGrep\AstroGrep.exe" /spath="%USERPROFILE%\AppData\Local\Temp\OnboardLogs" /stypes="app*4004*20161204*" /stext=" 20:.+((SYSTEM_STATE.+slice.+state.+changed )|(ment ac)|(multiple cpu faults)|(system.+state.+changed )|(\[timeout)|(PRM\|1\|D)|(kpr)|(kdp)|(\|lc)|(penalty))" /e /r /s</v>
      </c>
      <c r="AG80" s="1" t="str">
        <f t="shared" si="47"/>
        <v>EC</v>
      </c>
      <c r="AH80" s="92" t="str">
        <f t="shared" si="49"/>
        <v>"%USERPROFILE%\Documents\GitHub\eaglep3\Utilities\RefineRTDCRunTimes.py" --tripid 168-04 --locoid 4004 --swversion DE.1.0.8.0 --startMP 204:232991 --initTime 2016-12-04T12:44:38 --startdatetime 2016-12-04T12:56:16 --delay 1 --endMP 204:165 --enddatetime 2016-12-04T13:38:13 --enforcementcount 0 &gt;&gt;C:\Users\stu\Documents\GitHub\eaglep3-reporting\EC\2016-12-04-refined-times.txt</v>
      </c>
      <c r="AI80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{"issue":{"subject":"","project_id":79,"tracker_id":40,"status_id":1,"priority_id":2,"assigned_to_id":23,"start_date":"2016-12-04","description":"","custom_fields":[{"id":1,"name":"Subdivision","value":"EC"},{"id":4,"name":"Milepost","value":"0.0165"},{"id":17,"name":"Train ID","value":"168-04"},{"id":16,"name":"Locomotive ID","value":"4004"},{"id":130,"name":"Impact","value":""},{"id":150,"name":"Time of Event (Mountain Time)","value":"13:38:13"},{"id":151,"name":"Denver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533</v>
      </c>
      <c r="B81" s="7">
        <v>4042</v>
      </c>
      <c r="C81" s="22" t="s">
        <v>208</v>
      </c>
      <c r="D81" s="22" t="s">
        <v>240</v>
      </c>
      <c r="E81" s="13">
        <v>42708.508229166669</v>
      </c>
      <c r="F81" s="13">
        <v>42708.511145833334</v>
      </c>
      <c r="G81" s="7">
        <v>1</v>
      </c>
      <c r="H81" s="22" t="s">
        <v>687</v>
      </c>
      <c r="I81" s="13">
        <v>42708.536597222221</v>
      </c>
      <c r="J81" s="7">
        <v>0</v>
      </c>
      <c r="K81" s="109" t="str">
        <f t="shared" si="35"/>
        <v>4041/4042</v>
      </c>
      <c r="L81" s="22" t="str">
        <f>VLOOKUP(A81,'Trips&amp;Operators'!$C$1:$G$99999,5,FALSE)</f>
        <v>ARVIDSON DANIEL</v>
      </c>
      <c r="M81" s="6">
        <f t="shared" si="36"/>
        <v>2.545138888672227E-2</v>
      </c>
      <c r="N81" s="7">
        <f t="shared" si="34"/>
        <v>36.649999996880069</v>
      </c>
      <c r="O81" s="7"/>
      <c r="P81" s="7"/>
      <c r="Q81" s="23"/>
      <c r="R81" s="23"/>
      <c r="S81" s="35">
        <f t="shared" si="37"/>
        <v>1</v>
      </c>
      <c r="T81" s="50" t="str">
        <f t="shared" si="38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11:11:51-700',mode:absolute,to:'2016-12-04 13:52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1" s="52" t="str">
        <f t="shared" si="40"/>
        <v>N</v>
      </c>
      <c r="X81" s="177">
        <f t="shared" si="41"/>
        <v>1</v>
      </c>
      <c r="Y81" s="67">
        <f t="shared" si="42"/>
        <v>4.5499999999999999E-2</v>
      </c>
      <c r="Z81" s="67">
        <f t="shared" si="48"/>
        <v>23.3322</v>
      </c>
      <c r="AA81" s="67">
        <f t="shared" si="43"/>
        <v>23.2867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44"/>
        <v>0169-04</v>
      </c>
      <c r="AE81" s="91" t="str">
        <f t="shared" si="45"/>
        <v>aws s3 cp s3://rtdc.mdm.uploadarchive.raw/RTDC4042/ "%USERPROFILE%\AppData\Local\Temp\OnboardLogs"\RTDC4042\2016-12-04 --exclude "*" --recursive --include "*20161204*" &amp; "%USERPROFILE%\Documents\GitHub\mrs-test-scripts\Headless Mode &amp; Sideloading\WalkAndUnGZ.bat" "%USERPROFILE%\AppData\Local\Temp\OnboardLogs"\RTDC4042\2016-12-04 &amp; aws s3 cp s3://rtdc.mdm.uploadarchive.raw/RTDC4042/ "%USERPROFILE%\AppData\Local\Temp\OnboardLogs"\RTDC4042\2016-12-05 --exclude "*" --recursive --include "*20161205*" &amp; "%USERPROFILE%\Documents\GitHub\mrs-test-scripts\Headless Mode &amp; Sideloading\WalkAndUnGZ.bat" "%USERPROFILE%\AppData\Local\Temp\OnboardLogs"\RTDC4042\2016-12-05</v>
      </c>
      <c r="AF81" s="88" t="str">
        <f t="shared" si="46"/>
        <v>"C:\Program Files (x86)\AstroGrep\AstroGrep.exe" /spath="%USERPROFILE%\AppData\Local\Temp\OnboardLogs" /stypes="app*4042*20161204*" /stext=" 19:.+((SYSTEM_STATE.+slice.+state.+changed )|(ment ac)|(multiple cpu faults)|(system.+state.+changed )|(\[timeout)|(PRM\|1\|D)|(kpr)|(kdp)|(\|lc)|(penalty))" /e /r /s</v>
      </c>
      <c r="AG81" s="1" t="str">
        <f t="shared" si="47"/>
        <v>EC</v>
      </c>
      <c r="AH81" s="92" t="str">
        <f t="shared" si="49"/>
        <v>"%USERPROFILE%\Documents\GitHub\eaglep3\Utilities\RefineRTDCRunTimes.py" --tripid 169-04 --locoid 4042 --swversion DE.1.0.8.0 --startMP 204:455 --initTime 2016-12-04T12:11:51 --startdatetime 2016-12-04T12:16:03 --delay 1 --endMP 204:233322 --enddatetime 2016-12-04T12:52:42 --enforcementcount 0 &gt;&gt;C:\Users\stu\Documents\GitHub\eaglep3-reporting\EC\2016-12-04-refined-times.txt</v>
      </c>
      <c r="AI81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{"issue":{"subject":"","project_id":79,"tracker_id":40,"status_id":1,"priority_id":2,"assigned_to_id":23,"start_date":"2016-12-04","description":"","custom_fields":[{"id":1,"name":"Subdivision","value":"EC"},{"id":4,"name":"Milepost","value":"23.3322"},{"id":17,"name":"Train ID","value":"169-04"},{"id":16,"name":"Locomotive ID","value":"4042"},{"id":130,"name":"Impact","value":""},{"id":150,"name":"Time of Event (Mountain Time)","value":"12:52:42"},{"id":151,"name":"Denver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542</v>
      </c>
      <c r="B82" s="7">
        <v>4041</v>
      </c>
      <c r="C82" s="22" t="s">
        <v>208</v>
      </c>
      <c r="D82" s="22" t="s">
        <v>688</v>
      </c>
      <c r="E82" s="13">
        <v>42708.546770833331</v>
      </c>
      <c r="F82" s="13">
        <v>42708.549560185187</v>
      </c>
      <c r="G82" s="7">
        <v>1</v>
      </c>
      <c r="H82" s="22" t="s">
        <v>193</v>
      </c>
      <c r="I82" s="13">
        <v>42708.576527777775</v>
      </c>
      <c r="J82" s="7">
        <v>0</v>
      </c>
      <c r="K82" s="109" t="str">
        <f t="shared" si="35"/>
        <v>4041/4042</v>
      </c>
      <c r="L82" s="22" t="str">
        <f>VLOOKUP(A82,'Trips&amp;Operators'!$C$1:$G$99999,5,FALSE)</f>
        <v>ARVIDSON DANIEL</v>
      </c>
      <c r="M82" s="6">
        <f t="shared" si="36"/>
        <v>2.696759258833481E-2</v>
      </c>
      <c r="N82" s="7">
        <f t="shared" si="34"/>
        <v>38.833333327202126</v>
      </c>
      <c r="O82" s="7"/>
      <c r="P82" s="7"/>
      <c r="Q82" s="23"/>
      <c r="R82" s="23"/>
      <c r="S82" s="35">
        <f t="shared" si="37"/>
        <v>1</v>
      </c>
      <c r="T82" s="50" t="str">
        <f t="shared" si="38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12:07:21-700',mode:absolute,to:'2016-12-04 14:50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2" s="52" t="str">
        <f t="shared" si="40"/>
        <v>N</v>
      </c>
      <c r="X82" s="177">
        <f t="shared" si="41"/>
        <v>1</v>
      </c>
      <c r="Y82" s="67">
        <f t="shared" si="42"/>
        <v>23.298999999999999</v>
      </c>
      <c r="Z82" s="67">
        <f t="shared" si="48"/>
        <v>1.43E-2</v>
      </c>
      <c r="AA82" s="67">
        <f t="shared" si="43"/>
        <v>23.284700000000001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44"/>
        <v>0170-04</v>
      </c>
      <c r="AE82" s="91" t="str">
        <f t="shared" si="45"/>
        <v>aws s3 cp s3://rtdc.mdm.uploadarchive.raw/RTDC4041/ "%USERPROFILE%\AppData\Local\Temp\OnboardLogs"\RTDC4041\2016-12-04 --exclude "*" --recursive --include "*20161204*" &amp; "%USERPROFILE%\Documents\GitHub\mrs-test-scripts\Headless Mode &amp; Sideloading\WalkAndUnGZ.bat" "%USERPROFILE%\AppData\Local\Temp\OnboardLogs"\RTDC4041\2016-12-04 &amp; aws s3 cp s3://rtdc.mdm.uploadarchive.raw/RTDC4041/ "%USERPROFILE%\AppData\Local\Temp\OnboardLogs"\RTDC4041\2016-12-05 --exclude "*" --recursive --include "*20161205*" &amp; "%USERPROFILE%\Documents\GitHub\mrs-test-scripts\Headless Mode &amp; Sideloading\WalkAndUnGZ.bat" "%USERPROFILE%\AppData\Local\Temp\OnboardLogs"\RTDC4041\2016-12-05</v>
      </c>
      <c r="AF82" s="88" t="str">
        <f t="shared" si="46"/>
        <v>"C:\Program Files (x86)\AstroGrep\AstroGrep.exe" /spath="%USERPROFILE%\AppData\Local\Temp\OnboardLogs" /stypes="app*4041*20161204*" /stext=" 20:.+((SYSTEM_STATE.+slice.+state.+changed )|(ment ac)|(multiple cpu faults)|(system.+state.+changed )|(\[timeout)|(PRM\|1\|D)|(kpr)|(kdp)|(\|lc)|(penalty))" /e /r /s</v>
      </c>
      <c r="AG82" s="1" t="str">
        <f t="shared" si="47"/>
        <v>EC</v>
      </c>
      <c r="AH82" s="92" t="str">
        <f t="shared" si="49"/>
        <v>"%USERPROFILE%\Documents\GitHub\eaglep3\Utilities\RefineRTDCRunTimes.py" --tripid 170-04 --locoid 4041 --swversion DE.1.0.8.0 --startMP 204:232990 --initTime 2016-12-04T13:07:21 --startdatetime 2016-12-04T13:11:22 --delay 1 --endMP 204:143 --enddatetime 2016-12-04T13:50:12 --enforcementcount 0 &gt;&gt;C:\Users\stu\Documents\GitHub\eaglep3-reporting\EC\2016-12-04-refined-times.txt</v>
      </c>
      <c r="AI82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{"issue":{"subject":"","project_id":79,"tracker_id":40,"status_id":1,"priority_id":2,"assigned_to_id":23,"start_date":"2016-12-04","description":"","custom_fields":[{"id":1,"name":"Subdivision","value":"EC"},{"id":4,"name":"Milepost","value":"0.0143"},{"id":17,"name":"Train ID","value":"170-04"},{"id":16,"name":"Locomotive ID","value":"4041"},{"id":130,"name":"Impact","value":""},{"id":150,"name":"Time of Event (Mountain Time)","value":"13:50:12"},{"id":151,"name":"Denver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536</v>
      </c>
      <c r="B83" s="7">
        <v>4031</v>
      </c>
      <c r="C83" s="22" t="s">
        <v>208</v>
      </c>
      <c r="D83" s="22" t="s">
        <v>688</v>
      </c>
      <c r="E83" s="13">
        <v>42708.546770833331</v>
      </c>
      <c r="F83" s="13">
        <v>42708.516516203701</v>
      </c>
      <c r="G83" s="7">
        <v>1</v>
      </c>
      <c r="H83" s="22" t="s">
        <v>193</v>
      </c>
      <c r="I83" s="13">
        <v>42708.518217592595</v>
      </c>
      <c r="J83" s="7">
        <v>0</v>
      </c>
      <c r="K83" s="109" t="str">
        <f t="shared" si="35"/>
        <v>4031/4032</v>
      </c>
      <c r="L83" s="22" t="str">
        <f>VLOOKUP(A83,'Trips&amp;Operators'!$C$1:$G$99999,5,FALSE)</f>
        <v>SHOOK JOHN</v>
      </c>
      <c r="M83" s="6">
        <f t="shared" si="36"/>
        <v>1.7013888937071897E-3</v>
      </c>
      <c r="N83" s="7"/>
      <c r="O83" s="7"/>
      <c r="P83" s="7">
        <f>24*60*SUM($M83:$M83)</f>
        <v>2.4500000069383532</v>
      </c>
      <c r="Q83" s="23"/>
      <c r="R83" s="23" t="s">
        <v>802</v>
      </c>
      <c r="S83" s="35">
        <f t="shared" si="37"/>
        <v>0</v>
      </c>
      <c r="T83" s="50" t="str">
        <f t="shared" si="38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0</v>
      </c>
      <c r="V8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12:07:21-700',mode:absolute,to:'2016-12-04 13:26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3" s="52" t="str">
        <f t="shared" si="40"/>
        <v>N</v>
      </c>
      <c r="X83" s="177">
        <f t="shared" si="41"/>
        <v>1</v>
      </c>
      <c r="Y83" s="67">
        <f t="shared" si="42"/>
        <v>23.298999999999999</v>
      </c>
      <c r="Z83" s="67">
        <f t="shared" si="48"/>
        <v>1.43E-2</v>
      </c>
      <c r="AA83" s="67">
        <f t="shared" si="43"/>
        <v>23.284700000000001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44"/>
        <v>0171-04</v>
      </c>
      <c r="AE83" s="91" t="str">
        <f t="shared" si="45"/>
        <v>aws s3 cp s3://rtdc.mdm.uploadarchive.raw/RTDC4031/ "%USERPROFILE%\AppData\Local\Temp\OnboardLogs"\RTDC4031\2016-12-04 --exclude "*" --recursive --include "*20161204*" &amp; "%USERPROFILE%\Documents\GitHub\mrs-test-scripts\Headless Mode &amp; Sideloading\WalkAndUnGZ.bat" "%USERPROFILE%\AppData\Local\Temp\OnboardLogs"\RTDC4031\2016-12-04 &amp; aws s3 cp s3://rtdc.mdm.uploadarchive.raw/RTDC4031/ "%USERPROFILE%\AppData\Local\Temp\OnboardLogs"\RTDC4031\2016-12-05 --exclude "*" --recursive --include "*20161205*" &amp; "%USERPROFILE%\Documents\GitHub\mrs-test-scripts\Headless Mode &amp; Sideloading\WalkAndUnGZ.bat" "%USERPROFILE%\AppData\Local\Temp\OnboardLogs"\RTDC4031\2016-12-05</v>
      </c>
      <c r="AF83" s="88" t="str">
        <f t="shared" si="46"/>
        <v>"C:\Program Files (x86)\AstroGrep\AstroGrep.exe" /spath="%USERPROFILE%\AppData\Local\Temp\OnboardLogs" /stypes="app*4031*20161204*" /stext=" 19:.+((SYSTEM_STATE.+slice.+state.+changed )|(ment ac)|(multiple cpu faults)|(system.+state.+changed )|(\[timeout)|(PRM\|1\|D)|(kpr)|(kdp)|(\|lc)|(penalty))" /e /r /s</v>
      </c>
      <c r="AG83" s="1" t="str">
        <f t="shared" si="47"/>
        <v>EC</v>
      </c>
      <c r="AH83" s="92" t="str">
        <f t="shared" ref="AH83" si="51">refinertdcruntimes&amp;" --tripid "&amp;A83&amp;" --locoid "&amp;B83&amp;" --swversion "&amp;C83&amp;" --startMP "&amp;D83&amp;" --initTime "&amp;TEXT(E83,"yyyy-mm-ddTHH:MM:SS")&amp;" --startdatetime "&amp;TEXT(F83,"yyyy-mm-ddTHH:MM:SS")&amp;" --delay "&amp;G83&amp;" --endMP "&amp;H83&amp;" --enddatetime "&amp;TEXT(I83,"yyyy-mm-ddTHH:MM:SS")&amp;" --enforcementcount "&amp;J83&amp;IF(outputrefinedruntimes," &gt;&gt;"&amp;RefinedRTDCRunTimesOutputFile,"")</f>
        <v>"%USERPROFILE%\Documents\GitHub\eaglep3\Utilities\RefineRTDCRunTimes.py" --tripid 171-04 --locoid 4031 --swversion DE.1.0.8.0 --startMP 204:232990 --initTime 2016-12-04T13:07:21 --startdatetime 2016-12-04T12:23:47 --delay 1 --endMP 204:143 --enddatetime 2016-12-04T12:26:14 --enforcementcount 0 &gt;&gt;C:\Users\stu\Documents\GitHub\eaglep3-reporting\EC\2016-12-04-refined-times.txt</v>
      </c>
      <c r="AI83" s="119" t="str">
        <f t="shared" ref="AI83" si="52">"echo {""issue"":{""subject"":"""&amp;R83&amp;""",""project_id"":79,""tracker_id"":40,""status_id"":"&amp;redmine_status&amp;",""priority_id"":"&amp;redmine_priority&amp;",""assigned_to_id"":"&amp;redmine_assignee&amp;",""start_date"":"""&amp;TEXT(I83,"YYYY-mm-dd")&amp;""",""description"":"""&amp;AJ83&amp;""",""custom_fields"":[{""id"":1,""name"":""Subdivision"",""value"":"""&amp;AG83&amp;"""},{""id"":4,""name"":""Milepost"",""value"":"""&amp;Z83&amp;"""},{""id"":17,""name"":""Train ID"",""value"":"""&amp;A83&amp;"""},{""id"":16,""name"":""Locomotive ID"",""value"":"""&amp;B83&amp;"""},{""id"":130,""name"":""Impact"",""value"":"""&amp;AK83&amp;"""},{""id"":150,""name"":""Time of Event (Mountain Time)"",""value"":"""&amp;TEXT(I83,"hh:mm:ss")&amp;"""},{""id"":151,""name"":""Denver Issue ID"",""value"":"""&amp;"""},{""id"":178,""name"":""Operational Impact"",""value"":"""&amp;redmine_op_impact&amp;"""},{""id"":179,""name"":""Denver Segment Assigned"",""value"":"""&amp;AL83&amp;"""}]}}"&amp;"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failure","project_id":79,"tracker_id":40,"status_id":1,"priority_id":2,"assigned_to_id":23,"start_date":"2016-12-04","description":"","custom_fields":[{"id":1,"name":"Subdivision","value":"EC"},{"id":4,"name":"Milepost","value":"0.0143"},{"id":17,"name":"Train ID","value":"171-04"},{"id":16,"name":"Locomotive ID","value":"4031"},{"id":130,"name":"Impact","value":""},{"id":150,"name":"Time of Event (Mountain Time)","value":"12:26:14"},{"id":151,"name":"Denver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K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</row>
    <row r="84" spans="1:91" s="1" customFormat="1" x14ac:dyDescent="0.25">
      <c r="A84" s="37" t="s">
        <v>545</v>
      </c>
      <c r="B84" s="7">
        <v>4032</v>
      </c>
      <c r="C84" s="22" t="s">
        <v>208</v>
      </c>
      <c r="D84" s="22" t="s">
        <v>689</v>
      </c>
      <c r="E84" s="13">
        <v>42708.555219907408</v>
      </c>
      <c r="F84" s="13">
        <v>42708.559907407405</v>
      </c>
      <c r="G84" s="7">
        <v>1</v>
      </c>
      <c r="H84" s="22" t="s">
        <v>237</v>
      </c>
      <c r="I84" s="13">
        <v>42708.585682870369</v>
      </c>
      <c r="J84" s="7">
        <v>0</v>
      </c>
      <c r="K84" s="109" t="str">
        <f t="shared" si="35"/>
        <v>4031/4032</v>
      </c>
      <c r="L84" s="22" t="str">
        <f>VLOOKUP(A84,'Trips&amp;Operators'!$C$1:$G$99999,5,FALSE)</f>
        <v>SHOOK JOHN</v>
      </c>
      <c r="M84" s="6">
        <f t="shared" si="36"/>
        <v>2.5775462963792961E-2</v>
      </c>
      <c r="N84" s="7">
        <f>24*60*SUM($M84:$M84)</f>
        <v>37.116666667861864</v>
      </c>
      <c r="O84" s="7"/>
      <c r="P84" s="7"/>
      <c r="Q84" s="23"/>
      <c r="R84" s="23"/>
      <c r="S84" s="35">
        <f t="shared" si="37"/>
        <v>1</v>
      </c>
      <c r="T84" s="50" t="str">
        <f t="shared" si="38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12:19:31-700',mode:absolute,to:'2016-12-04 15:03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4" s="52" t="str">
        <f t="shared" si="40"/>
        <v>N</v>
      </c>
      <c r="X84" s="177">
        <f t="shared" si="41"/>
        <v>1</v>
      </c>
      <c r="Y84" s="67">
        <f t="shared" si="42"/>
        <v>23.304200000000002</v>
      </c>
      <c r="Z84" s="67">
        <f t="shared" si="48"/>
        <v>1.47E-2</v>
      </c>
      <c r="AA84" s="67">
        <f t="shared" si="43"/>
        <v>23.2895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44"/>
        <v>0172-04</v>
      </c>
      <c r="AE84" s="91" t="str">
        <f t="shared" si="45"/>
        <v>aws s3 cp s3://rtdc.mdm.uploadarchive.raw/RTDC4032/ "%USERPROFILE%\AppData\Local\Temp\OnboardLogs"\RTDC4032\2016-12-04 --exclude "*" --recursive --include "*20161204*" &amp; "%USERPROFILE%\Documents\GitHub\mrs-test-scripts\Headless Mode &amp; Sideloading\WalkAndUnGZ.bat" "%USERPROFILE%\AppData\Local\Temp\OnboardLogs"\RTDC4032\2016-12-04 &amp; aws s3 cp s3://rtdc.mdm.uploadarchive.raw/RTDC4032/ "%USERPROFILE%\AppData\Local\Temp\OnboardLogs"\RTDC4032\2016-12-05 --exclude "*" --recursive --include "*20161205*" &amp; "%USERPROFILE%\Documents\GitHub\mrs-test-scripts\Headless Mode &amp; Sideloading\WalkAndUnGZ.bat" "%USERPROFILE%\AppData\Local\Temp\OnboardLogs"\RTDC4032\2016-12-05</v>
      </c>
      <c r="AF84" s="88" t="str">
        <f t="shared" si="46"/>
        <v>"C:\Program Files (x86)\AstroGrep\AstroGrep.exe" /spath="%USERPROFILE%\AppData\Local\Temp\OnboardLogs" /stypes="app*4032*20161204*" /stext=" 21:.+((SYSTEM_STATE.+slice.+state.+changed )|(ment ac)|(multiple cpu faults)|(system.+state.+changed )|(\[timeout)|(PRM\|1\|D)|(kpr)|(kdp)|(\|lc)|(penalty))" /e /r /s</v>
      </c>
      <c r="AG84" s="1" t="str">
        <f t="shared" si="47"/>
        <v>EC</v>
      </c>
      <c r="AH84" s="92" t="str">
        <f t="shared" si="49"/>
        <v>"%USERPROFILE%\Documents\GitHub\eaglep3\Utilities\RefineRTDCRunTimes.py" --tripid 172-04 --locoid 4032 --swversion DE.1.0.8.0 --startMP 204:233042 --initTime 2016-12-04T13:19:31 --startdatetime 2016-12-04T13:26:16 --delay 1 --endMP 204:147 --enddatetime 2016-12-04T14:03:23 --enforcementcount 0 &gt;&gt;C:\Users\stu\Documents\GitHub\eaglep3-reporting\EC\2016-12-04-refined-times.txt</v>
      </c>
      <c r="AI84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{"issue":{"subject":"","project_id":79,"tracker_id":40,"status_id":1,"priority_id":2,"assigned_to_id":23,"start_date":"2016-12-04","description":"","custom_fields":[{"id":1,"name":"Subdivision","value":"EC"},{"id":4,"name":"Milepost","value":"0.0147"},{"id":17,"name":"Train ID","value":"172-04"},{"id":16,"name":"Locomotive ID","value":"4032"},{"id":130,"name":"Impact","value":""},{"id":150,"name":"Time of Event (Mountain Time)","value":"14:03:23"},{"id":151,"name":"Denver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538</v>
      </c>
      <c r="B85" s="7">
        <v>4038</v>
      </c>
      <c r="C85" s="22" t="s">
        <v>208</v>
      </c>
      <c r="D85" s="22" t="s">
        <v>690</v>
      </c>
      <c r="E85" s="13">
        <v>42708.536446759259</v>
      </c>
      <c r="F85" s="13">
        <v>42708.537754629629</v>
      </c>
      <c r="G85" s="7">
        <v>1</v>
      </c>
      <c r="H85" s="22" t="s">
        <v>372</v>
      </c>
      <c r="I85" s="13">
        <v>42708.563159722224</v>
      </c>
      <c r="J85" s="7">
        <v>0</v>
      </c>
      <c r="K85" s="109" t="str">
        <f t="shared" si="35"/>
        <v>4037/4038</v>
      </c>
      <c r="L85" s="22" t="str">
        <f>VLOOKUP(A85,'Trips&amp;Operators'!$C$1:$G$99999,5,FALSE)</f>
        <v>STEWART MICHAEL</v>
      </c>
      <c r="M85" s="6">
        <f t="shared" si="36"/>
        <v>2.5405092594155576E-2</v>
      </c>
      <c r="N85" s="7"/>
      <c r="O85" s="7"/>
      <c r="P85" s="7">
        <f>24*60*SUM($M85:$M85)</f>
        <v>36.58333333558403</v>
      </c>
      <c r="Q85" s="23"/>
      <c r="R85" s="23" t="s">
        <v>803</v>
      </c>
      <c r="S85" s="35">
        <f t="shared" si="37"/>
        <v>1</v>
      </c>
      <c r="T85" s="50" t="str">
        <f t="shared" si="38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11:52:29-700',mode:absolute,to:'2016-12-04 14:30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5" s="52" t="str">
        <f t="shared" si="40"/>
        <v>Y</v>
      </c>
      <c r="X85" s="177">
        <f t="shared" si="41"/>
        <v>1</v>
      </c>
      <c r="Y85" s="67">
        <f t="shared" si="42"/>
        <v>1.9125000000000001</v>
      </c>
      <c r="Z85" s="67">
        <f t="shared" si="48"/>
        <v>23.328199999999999</v>
      </c>
      <c r="AA85" s="67">
        <f t="shared" si="43"/>
        <v>21.415699999999998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44"/>
        <v>0173-04</v>
      </c>
      <c r="AE85" s="91" t="str">
        <f t="shared" si="45"/>
        <v>aws s3 cp s3://rtdc.mdm.uploadarchive.raw/RTDC4038/ "%USERPROFILE%\AppData\Local\Temp\OnboardLogs"\RTDC4038\2016-12-04 --exclude "*" --recursive --include "*20161204*" &amp; "%USERPROFILE%\Documents\GitHub\mrs-test-scripts\Headless Mode &amp; Sideloading\WalkAndUnGZ.bat" "%USERPROFILE%\AppData\Local\Temp\OnboardLogs"\RTDC4038\2016-12-04 &amp; 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</v>
      </c>
      <c r="AF85" s="88" t="str">
        <f t="shared" si="46"/>
        <v>"C:\Program Files (x86)\AstroGrep\AstroGrep.exe" /spath="%USERPROFILE%\AppData\Local\Temp\OnboardLogs" /stypes="app*4038*20161204*" /stext=" 20:.+((SYSTEM_STATE.+slice.+state.+changed )|(ment ac)|(multiple cpu faults)|(system.+state.+changed )|(\[timeout)|(PRM\|1\|D)|(kpr)|(kdp)|(\|lc)|(penalty))" /e /r /s</v>
      </c>
      <c r="AG85" s="1" t="str">
        <f t="shared" si="47"/>
        <v>EC</v>
      </c>
      <c r="AH85" s="92" t="str">
        <f t="shared" si="49"/>
        <v>"%USERPROFILE%\Documents\GitHub\eaglep3\Utilities\RefineRTDCRunTimes.py" --tripid 173-04 --locoid 4038 --swversion DE.1.0.8.0 --startMP 204:19125 --initTime 2016-12-04T12:52:29 --startdatetime 2016-12-04T12:54:22 --delay 1 --endMP 204:233282 --enddatetime 2016-12-04T13:30:57 --enforcementcount 0 &gt;&gt;C:\Users\stu\Documents\GitHub\eaglep3-reporting\EC\2016-12-04-refined-times.txt</v>
      </c>
      <c r="AI85" s="119" t="str">
        <f t="shared" si="50"/>
        <v>echo {"issue":{"subject":"DUS 2N/20N STOP","project_id":79,"tracker_id":40,"status_id":1,"priority_id":2,"assigned_to_id":23,"start_date":"2016-12-04","description":"","custom_fields":[{"id":1,"name":"Subdivision","value":"EC"},{"id":4,"name":"Milepost","value":"23.3282"},{"id":17,"name":"Train ID","value":"173-04"},{"id":16,"name":"Locomotive ID","value":"4038"},{"id":130,"name":"Impact","value":""},{"id":150,"name":"Time of Event (Mountain Time)","value":"13:30:57"},{"id":151,"name":"Denver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538</v>
      </c>
      <c r="B86" s="7">
        <v>4038</v>
      </c>
      <c r="C86" s="22" t="s">
        <v>208</v>
      </c>
      <c r="D86" s="22" t="s">
        <v>691</v>
      </c>
      <c r="E86" s="13">
        <v>42708.527268518519</v>
      </c>
      <c r="F86" s="13">
        <v>42708.537754629629</v>
      </c>
      <c r="G86" s="7">
        <v>1</v>
      </c>
      <c r="H86" s="22" t="s">
        <v>692</v>
      </c>
      <c r="I86" s="13">
        <v>42708.563159722224</v>
      </c>
      <c r="J86" s="7">
        <v>0</v>
      </c>
      <c r="K86" s="109" t="str">
        <f t="shared" si="35"/>
        <v>4037/4038</v>
      </c>
      <c r="L86" s="22" t="str">
        <f>VLOOKUP(A86,'Trips&amp;Operators'!$C$1:$G$99999,5,FALSE)</f>
        <v>STEWART MICHAEL</v>
      </c>
      <c r="M86" s="6">
        <f t="shared" si="36"/>
        <v>2.5405092594155576E-2</v>
      </c>
      <c r="N86" s="7"/>
      <c r="O86" s="7"/>
      <c r="P86" s="7"/>
      <c r="Q86" s="23"/>
      <c r="R86" s="23"/>
      <c r="S86" s="35"/>
      <c r="T86" s="50" t="str">
        <f t="shared" si="38"/>
        <v>NorthBound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0</v>
      </c>
      <c r="V8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11:39:16-700',mode:absolute,to:'2016-12-04 14:30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6" s="52" t="str">
        <f t="shared" si="40"/>
        <v>Y</v>
      </c>
      <c r="X86" s="177">
        <f t="shared" si="41"/>
        <v>0</v>
      </c>
      <c r="Y86" s="67">
        <f t="shared" si="42"/>
        <v>4.7300000000000002E-2</v>
      </c>
      <c r="Z86" s="67">
        <f t="shared" si="48"/>
        <v>0.122</v>
      </c>
      <c r="AA86" s="67">
        <f t="shared" si="43"/>
        <v>7.4699999999999989E-2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44"/>
        <v>0173-04</v>
      </c>
      <c r="AE86" s="91" t="str">
        <f t="shared" si="45"/>
        <v>aws s3 cp s3://rtdc.mdm.uploadarchive.raw/RTDC4038/ "%USERPROFILE%\AppData\Local\Temp\OnboardLogs"\RTDC4038\2016-12-04 --exclude "*" --recursive --include "*20161204*" &amp; "%USERPROFILE%\Documents\GitHub\mrs-test-scripts\Headless Mode &amp; Sideloading\WalkAndUnGZ.bat" "%USERPROFILE%\AppData\Local\Temp\OnboardLogs"\RTDC4038\2016-12-04 &amp; 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</v>
      </c>
      <c r="AF86" s="88" t="str">
        <f t="shared" si="46"/>
        <v>"C:\Program Files (x86)\AstroGrep\AstroGrep.exe" /spath="%USERPROFILE%\AppData\Local\Temp\OnboardLogs" /stypes="app*4038*20161204*" /stext=" 20:.+((SYSTEM_STATE.+slice.+state.+changed )|(ment ac)|(multiple cpu faults)|(system.+state.+changed )|(\[timeout)|(PRM\|1\|D)|(kpr)|(kdp)|(\|lc)|(penalty))" /e /r /s</v>
      </c>
      <c r="AG86" s="1" t="str">
        <f t="shared" si="47"/>
        <v>EC</v>
      </c>
      <c r="AH86" s="92" t="str">
        <f t="shared" si="49"/>
        <v>"%USERPROFILE%\Documents\GitHub\eaglep3\Utilities\RefineRTDCRunTimes.py" --tripid 173-04 --locoid 4038 --swversion DE.1.0.8.0 --startMP 204:473 --initTime 2016-12-04T12:39:16 --startdatetime 2016-12-04T12:54:22 --delay 1 --endMP 204:1220 --enddatetime 2016-12-04T13:30:57 --enforcementcount 0 &gt;&gt;C:\Users\stu\Documents\GitHub\eaglep3-reporting\EC\2016-12-04-refined-times.txt</v>
      </c>
      <c r="AI86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{"issue":{"subject":"","project_id":79,"tracker_id":40,"status_id":1,"priority_id":2,"assigned_to_id":23,"start_date":"2016-12-04","description":"","custom_fields":[{"id":1,"name":"Subdivision","value":"EC"},{"id":4,"name":"Milepost","value":"0.122"},{"id":17,"name":"Train ID","value":"173-04"},{"id":16,"name":"Locomotive ID","value":"4038"},{"id":130,"name":"Impact","value":""},{"id":150,"name":"Time of Event (Mountain Time)","value":"13:30:57"},{"id":151,"name":"Denver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547</v>
      </c>
      <c r="B87" s="7">
        <v>4037</v>
      </c>
      <c r="C87" s="22" t="s">
        <v>208</v>
      </c>
      <c r="D87" s="22" t="s">
        <v>280</v>
      </c>
      <c r="E87" s="13">
        <v>42708.566655092596</v>
      </c>
      <c r="F87" s="13">
        <v>42708.570393518516</v>
      </c>
      <c r="G87" s="7">
        <v>2</v>
      </c>
      <c r="H87" s="22" t="s">
        <v>228</v>
      </c>
      <c r="I87" s="13">
        <v>42708.596226851849</v>
      </c>
      <c r="J87" s="7">
        <v>0</v>
      </c>
      <c r="K87" s="109" t="str">
        <f t="shared" si="35"/>
        <v>4037/4038</v>
      </c>
      <c r="L87" s="22" t="str">
        <f>VLOOKUP(A87,'Trips&amp;Operators'!$C$1:$G$99999,5,FALSE)</f>
        <v>STEWART MICHAEL</v>
      </c>
      <c r="M87" s="6">
        <f t="shared" si="36"/>
        <v>2.5833333333139308E-2</v>
      </c>
      <c r="N87" s="7">
        <f t="shared" ref="N87:N93" si="53">24*60*SUM($M87:$M87)</f>
        <v>37.199999999720603</v>
      </c>
      <c r="O87" s="7"/>
      <c r="P87" s="7"/>
      <c r="Q87" s="23"/>
      <c r="R87" s="23"/>
      <c r="S87" s="35">
        <f t="shared" ref="S87:S108" si="54">SUM(U87:U87)/IF(AG87="EC",12,1)</f>
        <v>1</v>
      </c>
      <c r="T87" s="50" t="str">
        <f t="shared" si="38"/>
        <v>Southbound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12:35:59-700',mode:absolute,to:'2016-12-04 15:18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7" s="52" t="str">
        <f t="shared" si="40"/>
        <v>N</v>
      </c>
      <c r="X87" s="177">
        <f t="shared" si="41"/>
        <v>1</v>
      </c>
      <c r="Y87" s="67">
        <f t="shared" si="42"/>
        <v>23.298200000000001</v>
      </c>
      <c r="Z87" s="67">
        <f t="shared" si="48"/>
        <v>1.54E-2</v>
      </c>
      <c r="AA87" s="67">
        <f t="shared" si="43"/>
        <v>23.282800000000002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44"/>
        <v>0174-04</v>
      </c>
      <c r="AE87" s="91" t="str">
        <f t="shared" si="45"/>
        <v>aws s3 cp s3://rtdc.mdm.uploadarchive.raw/RTDC4037/ "%USERPROFILE%\AppData\Local\Temp\OnboardLogs"\RTDC4037\2016-12-04 --exclude "*" --recursive --include "*20161204*" &amp; "%USERPROFILE%\Documents\GitHub\mrs-test-scripts\Headless Mode &amp; Sideloading\WalkAndUnGZ.bat" "%USERPROFILE%\AppData\Local\Temp\OnboardLogs"\RTDC4037\2016-12-04 &amp; 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</v>
      </c>
      <c r="AF87" s="88" t="str">
        <f t="shared" si="46"/>
        <v>"C:\Program Files (x86)\AstroGrep\AstroGrep.exe" /spath="%USERPROFILE%\AppData\Local\Temp\OnboardLogs" /stypes="app*4037*20161204*" /stext=" 21:.+((SYSTEM_STATE.+slice.+state.+changed )|(ment ac)|(multiple cpu faults)|(system.+state.+changed )|(\[timeout)|(PRM\|1\|D)|(kpr)|(kdp)|(\|lc)|(penalty))" /e /r /s</v>
      </c>
      <c r="AG87" s="1" t="str">
        <f t="shared" si="47"/>
        <v>EC</v>
      </c>
      <c r="AH87" s="92" t="str">
        <f t="shared" si="49"/>
        <v>"%USERPROFILE%\Documents\GitHub\eaglep3\Utilities\RefineRTDCRunTimes.py" --tripid 174-04 --locoid 4037 --swversion DE.1.0.8.0 --startMP 204:232982 --initTime 2016-12-04T13:35:59 --startdatetime 2016-12-04T13:41:22 --delay 2 --endMP 204:154 --enddatetime 2016-12-04T14:18:34 --enforcementcount 0 &gt;&gt;C:\Users\stu\Documents\GitHub\eaglep3-reporting\EC\2016-12-04-refined-times.txt</v>
      </c>
      <c r="AI87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{"issue":{"subject":"","project_id":79,"tracker_id":40,"status_id":1,"priority_id":2,"assigned_to_id":23,"start_date":"2016-12-04","description":"","custom_fields":[{"id":1,"name":"Subdivision","value":"EC"},{"id":4,"name":"Milepost","value":"0.0154"},{"id":17,"name":"Train ID","value":"174-04"},{"id":16,"name":"Locomotive ID","value":"4037"},{"id":130,"name":"Impact","value":""},{"id":150,"name":"Time of Event (Mountain Time)","value":"14:18:34"},{"id":151,"name":"Denver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540</v>
      </c>
      <c r="B88" s="7">
        <v>4029</v>
      </c>
      <c r="C88" s="22" t="s">
        <v>208</v>
      </c>
      <c r="D88" s="22" t="s">
        <v>240</v>
      </c>
      <c r="E88" s="13">
        <v>42708.53800925926</v>
      </c>
      <c r="F88" s="13">
        <v>42708.541979166665</v>
      </c>
      <c r="G88" s="7">
        <v>1</v>
      </c>
      <c r="H88" s="22" t="s">
        <v>693</v>
      </c>
      <c r="I88" s="13">
        <v>42708.56695601852</v>
      </c>
      <c r="J88" s="7">
        <v>0</v>
      </c>
      <c r="K88" s="109" t="str">
        <f t="shared" si="35"/>
        <v>4029/4030</v>
      </c>
      <c r="L88" s="22" t="str">
        <f>VLOOKUP(A88,'Trips&amp;Operators'!$C$1:$G$99999,5,FALSE)</f>
        <v>BARTLETT KIANDRA</v>
      </c>
      <c r="M88" s="6">
        <f t="shared" si="36"/>
        <v>2.4976851855171844E-2</v>
      </c>
      <c r="N88" s="7">
        <f t="shared" si="53"/>
        <v>35.966666671447456</v>
      </c>
      <c r="O88" s="7"/>
      <c r="P88" s="7"/>
      <c r="Q88" s="23"/>
      <c r="R88" s="23"/>
      <c r="S88" s="35">
        <f t="shared" si="54"/>
        <v>1</v>
      </c>
      <c r="T88" s="50" t="str">
        <f t="shared" si="38"/>
        <v>NorthBound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11:54:44-700',mode:absolute,to:'2016-12-04 14:36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8" s="52" t="str">
        <f t="shared" si="40"/>
        <v>N</v>
      </c>
      <c r="X88" s="177">
        <f t="shared" si="41"/>
        <v>1</v>
      </c>
      <c r="Y88" s="67">
        <f t="shared" si="42"/>
        <v>4.5499999999999999E-2</v>
      </c>
      <c r="Z88" s="67">
        <f t="shared" si="48"/>
        <v>23.335899999999999</v>
      </c>
      <c r="AA88" s="67">
        <f t="shared" si="43"/>
        <v>23.290399999999998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44"/>
        <v>0175-04</v>
      </c>
      <c r="AE88" s="91" t="str">
        <f t="shared" si="45"/>
        <v>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 &amp; aws s3 cp s3://rtdc.mdm.uploadarchive.raw/RTDC4029/ "%USERPROFILE%\AppData\Local\Temp\OnboardLogs"\RTDC4029\2016-12-05 --exclude "*" --recursive --include "*20161205*" &amp; "%USERPROFILE%\Documents\GitHub\mrs-test-scripts\Headless Mode &amp; Sideloading\WalkAndUnGZ.bat" "%USERPROFILE%\AppData\Local\Temp\OnboardLogs"\RTDC4029\2016-12-05</v>
      </c>
      <c r="AF88" s="88" t="str">
        <f t="shared" si="46"/>
        <v>"C:\Program Files (x86)\AstroGrep\AstroGrep.exe" /spath="%USERPROFILE%\AppData\Local\Temp\OnboardLogs" /stypes="app*4029*20161204*" /stext=" 20:.+((SYSTEM_STATE.+slice.+state.+changed )|(ment ac)|(multiple cpu faults)|(system.+state.+changed )|(\[timeout)|(PRM\|1\|D)|(kpr)|(kdp)|(\|lc)|(penalty))" /e /r /s</v>
      </c>
      <c r="AG88" s="1" t="str">
        <f t="shared" si="47"/>
        <v>EC</v>
      </c>
      <c r="AH88" s="92" t="str">
        <f t="shared" si="49"/>
        <v>"%USERPROFILE%\Documents\GitHub\eaglep3\Utilities\RefineRTDCRunTimes.py" --tripid 175-04 --locoid 4029 --swversion DE.1.0.8.0 --startMP 204:455 --initTime 2016-12-04T12:54:44 --startdatetime 2016-12-04T13:00:27 --delay 1 --endMP 204:233359 --enddatetime 2016-12-04T13:36:25 --enforcementcount 0 &gt;&gt;C:\Users\stu\Documents\GitHub\eaglep3-reporting\EC\2016-12-04-refined-times.txt</v>
      </c>
      <c r="AI88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{"issue":{"subject":"","project_id":79,"tracker_id":40,"status_id":1,"priority_id":2,"assigned_to_id":23,"start_date":"2016-12-04","description":"","custom_fields":[{"id":1,"name":"Subdivision","value":"EC"},{"id":4,"name":"Milepost","value":"23.3359"},{"id":17,"name":"Train ID","value":"175-04"},{"id":16,"name":"Locomotive ID","value":"4029"},{"id":130,"name":"Impact","value":""},{"id":150,"name":"Time of Event (Mountain Time)","value":"13:36:25"},{"id":151,"name":"Denver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453</v>
      </c>
      <c r="B89" s="7">
        <v>4030</v>
      </c>
      <c r="C89" s="22" t="s">
        <v>208</v>
      </c>
      <c r="D89" s="22" t="s">
        <v>694</v>
      </c>
      <c r="E89" s="13">
        <v>42708.56994212963</v>
      </c>
      <c r="F89" s="13">
        <v>42708.580879629626</v>
      </c>
      <c r="G89" s="7">
        <v>1</v>
      </c>
      <c r="H89" s="22" t="s">
        <v>244</v>
      </c>
      <c r="I89" s="13">
        <v>42708.608518518522</v>
      </c>
      <c r="J89" s="7">
        <v>0</v>
      </c>
      <c r="K89" s="109" t="str">
        <f t="shared" si="35"/>
        <v>4029/4030</v>
      </c>
      <c r="L89" s="22" t="str">
        <f>VLOOKUP(A89,'Trips&amp;Operators'!$C$1:$G$99999,5,FALSE)</f>
        <v>BARTLETT KIANDRA</v>
      </c>
      <c r="M89" s="6">
        <f t="shared" si="36"/>
        <v>2.7638888896035496E-2</v>
      </c>
      <c r="N89" s="7">
        <f t="shared" si="53"/>
        <v>39.800000010291114</v>
      </c>
      <c r="O89" s="7"/>
      <c r="P89" s="7"/>
      <c r="Q89" s="23"/>
      <c r="R89" s="23"/>
      <c r="S89" s="35">
        <f t="shared" si="54"/>
        <v>1</v>
      </c>
      <c r="T89" s="50" t="str">
        <f t="shared" si="38"/>
        <v>Southbound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12:40:43-700',mode:absolute,to:'2016-12-04 15:36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9" s="52" t="str">
        <f t="shared" si="40"/>
        <v>N</v>
      </c>
      <c r="X89" s="177">
        <f t="shared" si="41"/>
        <v>1</v>
      </c>
      <c r="Y89" s="67">
        <f t="shared" si="42"/>
        <v>23.3062</v>
      </c>
      <c r="Z89" s="67">
        <f t="shared" si="48"/>
        <v>1.61E-2</v>
      </c>
      <c r="AA89" s="67">
        <f t="shared" si="43"/>
        <v>23.290099999999999</v>
      </c>
      <c r="AB89" s="64" t="str">
        <f>VLOOKUP(A89,Enforcements!$C$7:$K$20,8,0)</f>
        <v>Signal based authority (5)</v>
      </c>
      <c r="AC89" s="60" t="str">
        <f>VLOOKUP(A89,Enforcements!$C$7:$E$20,3,0)</f>
        <v>SIGNAL</v>
      </c>
      <c r="AD89" s="61" t="str">
        <f t="shared" si="44"/>
        <v>0176-04</v>
      </c>
      <c r="AE89" s="91" t="str">
        <f t="shared" si="45"/>
        <v>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 &amp; aws s3 cp s3://rtdc.mdm.uploadarchive.raw/RTDC4030/ "%USERPROFILE%\AppData\Local\Temp\OnboardLogs"\RTDC4030\2016-12-05 --exclude "*" --recursive --include "*20161205*" &amp; "%USERPROFILE%\Documents\GitHub\mrs-test-scripts\Headless Mode &amp; Sideloading\WalkAndUnGZ.bat" "%USERPROFILE%\AppData\Local\Temp\OnboardLogs"\RTDC4030\2016-12-05</v>
      </c>
      <c r="AF89" s="88" t="str">
        <f t="shared" si="46"/>
        <v>"C:\Program Files (x86)\AstroGrep\AstroGrep.exe" /spath="%USERPROFILE%\AppData\Local\Temp\OnboardLogs" /stypes="app*4030*20161204*" /stext=" 21:.+((SYSTEM_STATE.+slice.+state.+changed )|(ment ac)|(multiple cpu faults)|(system.+state.+changed )|(\[timeout)|(PRM\|1\|D)|(kpr)|(kdp)|(\|lc)|(penalty))" /e /r /s</v>
      </c>
      <c r="AG89" s="1" t="str">
        <f t="shared" si="47"/>
        <v>EC</v>
      </c>
      <c r="AH89" s="92" t="str">
        <f t="shared" si="49"/>
        <v>"%USERPROFILE%\Documents\GitHub\eaglep3\Utilities\RefineRTDCRunTimes.py" --tripid 176-04 --locoid 4030 --swversion DE.1.0.8.0 --startMP 204:233062 --initTime 2016-12-04T13:40:43 --startdatetime 2016-12-04T13:56:28 --delay 1 --endMP 204:161 --enddatetime 2016-12-04T14:36:16 --enforcementcount 0 &gt;&gt;C:\Users\stu\Documents\GitHub\eaglep3-reporting\EC\2016-12-04-refined-times.txt</v>
      </c>
      <c r="AI89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{"issue":{"subject":"","project_id":79,"tracker_id":40,"status_id":1,"priority_id":2,"assigned_to_id":23,"start_date":"2016-12-04","description":"","custom_fields":[{"id":1,"name":"Subdivision","value":"EC"},{"id":4,"name":"Milepost","value":"0.0161"},{"id":17,"name":"Train ID","value":"176-04"},{"id":16,"name":"Locomotive ID","value":"4030"},{"id":130,"name":"Impact","value":""},{"id":150,"name":"Time of Event (Mountain Time)","value":"14:36:16"},{"id":151,"name":"Denver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541</v>
      </c>
      <c r="B90" s="7">
        <v>4027</v>
      </c>
      <c r="C90" s="22" t="s">
        <v>208</v>
      </c>
      <c r="D90" s="22" t="s">
        <v>371</v>
      </c>
      <c r="E90" s="13">
        <v>42708.545949074076</v>
      </c>
      <c r="F90" s="13">
        <v>42708.55228009259</v>
      </c>
      <c r="G90" s="7">
        <v>1</v>
      </c>
      <c r="H90" s="22" t="s">
        <v>276</v>
      </c>
      <c r="I90" s="13">
        <v>42708.576423611114</v>
      </c>
      <c r="J90" s="7">
        <v>0</v>
      </c>
      <c r="K90" s="109" t="str">
        <f t="shared" si="35"/>
        <v>4027/4028</v>
      </c>
      <c r="L90" s="22" t="str">
        <f>VLOOKUP(A90,'Trips&amp;Operators'!$C$1:$G$99999,5,FALSE)</f>
        <v>BRUDER RICHARD</v>
      </c>
      <c r="M90" s="6">
        <f t="shared" si="36"/>
        <v>2.4143518523487728E-2</v>
      </c>
      <c r="N90" s="7">
        <f t="shared" si="53"/>
        <v>34.766666673822328</v>
      </c>
      <c r="O90" s="7"/>
      <c r="P90" s="7"/>
      <c r="Q90" s="23"/>
      <c r="R90" s="23"/>
      <c r="S90" s="35">
        <f t="shared" si="54"/>
        <v>1</v>
      </c>
      <c r="T90" s="50" t="str">
        <f t="shared" si="38"/>
        <v>NorthBound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12:06:10-700',mode:absolute,to:'2016-12-04 14:50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0" s="52" t="str">
        <f t="shared" si="40"/>
        <v>N</v>
      </c>
      <c r="X90" s="177">
        <f t="shared" si="41"/>
        <v>1</v>
      </c>
      <c r="Y90" s="67">
        <f t="shared" si="42"/>
        <v>4.6899999999999997E-2</v>
      </c>
      <c r="Z90" s="67">
        <f t="shared" si="48"/>
        <v>23.330100000000002</v>
      </c>
      <c r="AA90" s="67">
        <f t="shared" si="43"/>
        <v>23.283200000000001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44"/>
        <v>0177-04</v>
      </c>
      <c r="AE90" s="91" t="str">
        <f t="shared" si="45"/>
        <v>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 &amp; aws s3 cp s3://rtdc.mdm.uploadarchive.raw/RTDC4027/ "%USERPROFILE%\AppData\Local\Temp\OnboardLogs"\RTDC4027\2016-12-05 --exclude "*" --recursive --include "*20161205*" &amp; "%USERPROFILE%\Documents\GitHub\mrs-test-scripts\Headless Mode &amp; Sideloading\WalkAndUnGZ.bat" "%USERPROFILE%\AppData\Local\Temp\OnboardLogs"\RTDC4027\2016-12-05</v>
      </c>
      <c r="AF90" s="88" t="str">
        <f t="shared" si="46"/>
        <v>"C:\Program Files (x86)\AstroGrep\AstroGrep.exe" /spath="%USERPROFILE%\AppData\Local\Temp\OnboardLogs" /stypes="app*4027*20161204*" /stext=" 20:.+((SYSTEM_STATE.+slice.+state.+changed )|(ment ac)|(multiple cpu faults)|(system.+state.+changed )|(\[timeout)|(PRM\|1\|D)|(kpr)|(kdp)|(\|lc)|(penalty))" /e /r /s</v>
      </c>
      <c r="AG90" s="1" t="str">
        <f t="shared" si="47"/>
        <v>EC</v>
      </c>
      <c r="AH90" s="92" t="str">
        <f t="shared" si="49"/>
        <v>"%USERPROFILE%\Documents\GitHub\eaglep3\Utilities\RefineRTDCRunTimes.py" --tripid 177-04 --locoid 4027 --swversion DE.1.0.8.0 --startMP 204:469 --initTime 2016-12-04T13:06:10 --startdatetime 2016-12-04T13:15:17 --delay 1 --endMP 204:233301 --enddatetime 2016-12-04T13:50:03 --enforcementcount 0 &gt;&gt;C:\Users\stu\Documents\GitHub\eaglep3-reporting\EC\2016-12-04-refined-times.txt</v>
      </c>
      <c r="AI90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{"issue":{"subject":"","project_id":79,"tracker_id":40,"status_id":1,"priority_id":2,"assigned_to_id":23,"start_date":"2016-12-04","description":"","custom_fields":[{"id":1,"name":"Subdivision","value":"EC"},{"id":4,"name":"Milepost","value":"23.3301"},{"id":17,"name":"Train ID","value":"177-04"},{"id":16,"name":"Locomotive ID","value":"4027"},{"id":130,"name":"Impact","value":""},{"id":150,"name":"Time of Event (Mountain Time)","value":"13:50:03"},{"id":151,"name":"Denver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557</v>
      </c>
      <c r="B91" s="7">
        <v>4028</v>
      </c>
      <c r="C91" s="22" t="s">
        <v>208</v>
      </c>
      <c r="D91" s="22" t="s">
        <v>677</v>
      </c>
      <c r="E91" s="13">
        <v>42708.586226851854</v>
      </c>
      <c r="F91" s="13">
        <v>42708.591168981482</v>
      </c>
      <c r="G91" s="7">
        <v>1</v>
      </c>
      <c r="H91" s="22" t="s">
        <v>210</v>
      </c>
      <c r="I91" s="13">
        <v>42708.619421296295</v>
      </c>
      <c r="J91" s="7">
        <v>0</v>
      </c>
      <c r="K91" s="109" t="str">
        <f t="shared" si="35"/>
        <v>4027/4028</v>
      </c>
      <c r="L91" s="22" t="str">
        <f>VLOOKUP(A91,'Trips&amp;Operators'!$C$1:$G$99999,5,FALSE)</f>
        <v>BRUDER RICHARD</v>
      </c>
      <c r="M91" s="6">
        <f t="shared" si="36"/>
        <v>2.8252314812561963E-2</v>
      </c>
      <c r="N91" s="7">
        <f t="shared" si="53"/>
        <v>40.683333330089226</v>
      </c>
      <c r="O91" s="7"/>
      <c r="P91" s="7"/>
      <c r="Q91" s="23"/>
      <c r="R91" s="23"/>
      <c r="S91" s="35">
        <f t="shared" si="54"/>
        <v>1</v>
      </c>
      <c r="T91" s="50" t="str">
        <f t="shared" si="38"/>
        <v>Southbound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13:04:10-700',mode:absolute,to:'2016-12-04 15:51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1" s="52" t="str">
        <f t="shared" si="40"/>
        <v>N</v>
      </c>
      <c r="X91" s="177">
        <f t="shared" si="41"/>
        <v>1</v>
      </c>
      <c r="Y91" s="67">
        <f t="shared" si="42"/>
        <v>23.297999999999998</v>
      </c>
      <c r="Z91" s="67">
        <f t="shared" si="48"/>
        <v>1.5800000000000002E-2</v>
      </c>
      <c r="AA91" s="67">
        <f t="shared" si="43"/>
        <v>23.2822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44"/>
        <v>0178-04</v>
      </c>
      <c r="AE91" s="91" t="str">
        <f t="shared" si="45"/>
        <v>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 &amp; aws s3 cp s3://rtdc.mdm.uploadarchive.raw/RTDC4028/ "%USERPROFILE%\AppData\Local\Temp\OnboardLogs"\RTDC4028\2016-12-05 --exclude "*" --recursive --include "*20161205*" &amp; "%USERPROFILE%\Documents\GitHub\mrs-test-scripts\Headless Mode &amp; Sideloading\WalkAndUnGZ.bat" "%USERPROFILE%\AppData\Local\Temp\OnboardLogs"\RTDC4028\2016-12-05</v>
      </c>
      <c r="AF91" s="88" t="str">
        <f t="shared" si="46"/>
        <v>"C:\Program Files (x86)\AstroGrep\AstroGrep.exe" /spath="%USERPROFILE%\AppData\Local\Temp\OnboardLogs" /stypes="app*4028*20161204*" /stext=" 21:.+((SYSTEM_STATE.+slice.+state.+changed )|(ment ac)|(multiple cpu faults)|(system.+state.+changed )|(\[timeout)|(PRM\|1\|D)|(kpr)|(kdp)|(\|lc)|(penalty))" /e /r /s</v>
      </c>
      <c r="AG91" s="1" t="str">
        <f t="shared" si="47"/>
        <v>EC</v>
      </c>
      <c r="AH91" s="92" t="str">
        <f t="shared" si="49"/>
        <v>"%USERPROFILE%\Documents\GitHub\eaglep3\Utilities\RefineRTDCRunTimes.py" --tripid 178-04 --locoid 4028 --swversion DE.1.0.8.0 --startMP 204:232980 --initTime 2016-12-04T14:04:10 --startdatetime 2016-12-04T14:11:17 --delay 1 --endMP 204:158 --enddatetime 2016-12-04T14:51:58 --enforcementcount 0 &gt;&gt;C:\Users\stu\Documents\GitHub\eaglep3-reporting\EC\2016-12-04-refined-times.txt</v>
      </c>
      <c r="AI91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{"issue":{"subject":"","project_id":79,"tracker_id":40,"status_id":1,"priority_id":2,"assigned_to_id":23,"start_date":"2016-12-04","description":"","custom_fields":[{"id":1,"name":"Subdivision","value":"EC"},{"id":4,"name":"Milepost","value":"0.0158"},{"id":17,"name":"Train ID","value":"178-04"},{"id":16,"name":"Locomotive ID","value":"4028"},{"id":130,"name":"Impact","value":""},{"id":150,"name":"Time of Event (Mountain Time)","value":"14:51:58"},{"id":151,"name":"Denver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546</v>
      </c>
      <c r="B92" s="7">
        <v>4020</v>
      </c>
      <c r="C92" s="22" t="s">
        <v>208</v>
      </c>
      <c r="D92" s="22" t="s">
        <v>247</v>
      </c>
      <c r="E92" s="13">
        <v>42708.560034722221</v>
      </c>
      <c r="F92" s="13">
        <v>42708.562974537039</v>
      </c>
      <c r="G92" s="7">
        <v>1</v>
      </c>
      <c r="H92" s="22" t="s">
        <v>681</v>
      </c>
      <c r="I92" s="13">
        <v>42708.588437500002</v>
      </c>
      <c r="J92" s="7">
        <v>0</v>
      </c>
      <c r="K92" s="109" t="str">
        <f t="shared" si="35"/>
        <v>4019/4020</v>
      </c>
      <c r="L92" s="22" t="str">
        <f>VLOOKUP(A92,'Trips&amp;Operators'!$C$1:$G$99999,5,FALSE)</f>
        <v>MOSES BRADLEY</v>
      </c>
      <c r="M92" s="6">
        <f t="shared" si="36"/>
        <v>2.5462962963501923E-2</v>
      </c>
      <c r="N92" s="7">
        <f t="shared" si="53"/>
        <v>36.666666667442769</v>
      </c>
      <c r="O92" s="7"/>
      <c r="P92" s="7"/>
      <c r="Q92" s="23"/>
      <c r="R92" s="23"/>
      <c r="S92" s="35">
        <f t="shared" si="54"/>
        <v>1</v>
      </c>
      <c r="T92" s="50" t="str">
        <f t="shared" si="38"/>
        <v>NorthBound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12:26:27-700',mode:absolute,to:'2016-12-04 15:07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92" s="52" t="str">
        <f t="shared" si="40"/>
        <v>N</v>
      </c>
      <c r="X92" s="177">
        <f t="shared" si="41"/>
        <v>1</v>
      </c>
      <c r="Y92" s="67">
        <f t="shared" si="42"/>
        <v>4.5699999999999998E-2</v>
      </c>
      <c r="Z92" s="67">
        <f t="shared" si="48"/>
        <v>23.331700000000001</v>
      </c>
      <c r="AA92" s="67">
        <f t="shared" si="43"/>
        <v>23.286000000000001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44"/>
        <v>0179-04</v>
      </c>
      <c r="AE92" s="91" t="str">
        <f t="shared" si="45"/>
        <v>aws s3 cp s3://rtdc.mdm.uploadarchive.raw/RTDC4020/ "%USERPROFILE%\AppData\Local\Temp\OnboardLogs"\RTDC4020\2016-12-04 --exclude "*" --recursive --include "*20161204*" &amp; "%USERPROFILE%\Documents\GitHub\mrs-test-scripts\Headless Mode &amp; Sideloading\WalkAndUnGZ.bat" "%USERPROFILE%\AppData\Local\Temp\OnboardLogs"\RTDC4020\2016-12-04 &amp; aws s3 cp s3://rtdc.mdm.uploadarchive.raw/RTDC4020/ "%USERPROFILE%\AppData\Local\Temp\OnboardLogs"\RTDC4020\2016-12-05 --exclude "*" --recursive --include "*20161205*" &amp; "%USERPROFILE%\Documents\GitHub\mrs-test-scripts\Headless Mode &amp; Sideloading\WalkAndUnGZ.bat" "%USERPROFILE%\AppData\Local\Temp\OnboardLogs"\RTDC4020\2016-12-05</v>
      </c>
      <c r="AF92" s="88" t="str">
        <f t="shared" si="46"/>
        <v>"C:\Program Files (x86)\AstroGrep\AstroGrep.exe" /spath="%USERPROFILE%\AppData\Local\Temp\OnboardLogs" /stypes="app*4020*20161204*" /stext=" 21:.+((SYSTEM_STATE.+slice.+state.+changed )|(ment ac)|(multiple cpu faults)|(system.+state.+changed )|(\[timeout)|(PRM\|1\|D)|(kpr)|(kdp)|(\|lc)|(penalty))" /e /r /s</v>
      </c>
      <c r="AG92" s="1" t="str">
        <f t="shared" si="47"/>
        <v>EC</v>
      </c>
      <c r="AH92" s="92" t="str">
        <f t="shared" si="49"/>
        <v>"%USERPROFILE%\Documents\GitHub\eaglep3\Utilities\RefineRTDCRunTimes.py" --tripid 179-04 --locoid 4020 --swversion DE.1.0.8.0 --startMP 204:457 --initTime 2016-12-04T13:26:27 --startdatetime 2016-12-04T13:30:41 --delay 1 --endMP 204:233317 --enddatetime 2016-12-04T14:07:21 --enforcementcount 0 &gt;&gt;C:\Users\stu\Documents\GitHub\eaglep3-reporting\EC\2016-12-04-refined-times.txt</v>
      </c>
      <c r="AI92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{"issue":{"subject":"","project_id":79,"tracker_id":40,"status_id":1,"priority_id":2,"assigned_to_id":23,"start_date":"2016-12-04","description":"","custom_fields":[{"id":1,"name":"Subdivision","value":"EC"},{"id":4,"name":"Milepost","value":"23.3317"},{"id":17,"name":"Train ID","value":"179-04"},{"id":16,"name":"Locomotive ID","value":"4020"},{"id":130,"name":"Impact","value":""},{"id":150,"name":"Time of Event (Mountain Time)","value":"14:07:21"},{"id":151,"name":"Denver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560</v>
      </c>
      <c r="B93" s="7">
        <v>4019</v>
      </c>
      <c r="C93" s="22" t="s">
        <v>208</v>
      </c>
      <c r="D93" s="22" t="s">
        <v>695</v>
      </c>
      <c r="E93" s="13">
        <v>42708.599166666667</v>
      </c>
      <c r="F93" s="13">
        <v>42708.601863425924</v>
      </c>
      <c r="G93" s="7">
        <v>1</v>
      </c>
      <c r="H93" s="22" t="s">
        <v>206</v>
      </c>
      <c r="I93" s="13">
        <v>42708.628425925926</v>
      </c>
      <c r="J93" s="7">
        <v>0</v>
      </c>
      <c r="K93" s="109" t="str">
        <f t="shared" si="35"/>
        <v>4019/4020</v>
      </c>
      <c r="L93" s="22" t="str">
        <f>VLOOKUP(A93,'Trips&amp;Operators'!$C$1:$G$99999,5,FALSE)</f>
        <v>MOSES BRADLEY</v>
      </c>
      <c r="M93" s="6">
        <f t="shared" si="36"/>
        <v>2.6562500002910383E-2</v>
      </c>
      <c r="N93" s="7">
        <f t="shared" si="53"/>
        <v>38.250000004190952</v>
      </c>
      <c r="O93" s="7"/>
      <c r="P93" s="7"/>
      <c r="Q93" s="23"/>
      <c r="R93" s="23"/>
      <c r="S93" s="35">
        <f t="shared" si="54"/>
        <v>1</v>
      </c>
      <c r="T93" s="50" t="str">
        <f t="shared" si="38"/>
        <v>Southbound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13:22:48-700',mode:absolute,to:'2016-12-04 16:04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93" s="52" t="str">
        <f t="shared" si="40"/>
        <v>N</v>
      </c>
      <c r="X93" s="177">
        <f t="shared" si="41"/>
        <v>1</v>
      </c>
      <c r="Y93" s="67">
        <f t="shared" si="42"/>
        <v>23.300799999999999</v>
      </c>
      <c r="Z93" s="67">
        <f t="shared" si="48"/>
        <v>1.5599999999999999E-2</v>
      </c>
      <c r="AA93" s="67">
        <f t="shared" si="43"/>
        <v>23.2852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44"/>
        <v>0180-04</v>
      </c>
      <c r="AE93" s="91" t="str">
        <f t="shared" si="45"/>
        <v>aws s3 cp s3://rtdc.mdm.uploadarchive.raw/RTDC4019/ "%USERPROFILE%\AppData\Local\Temp\OnboardLogs"\RTDC4019\2016-12-04 --exclude "*" --recursive --include "*20161204*" &amp; "%USERPROFILE%\Documents\GitHub\mrs-test-scripts\Headless Mode &amp; Sideloading\WalkAndUnGZ.bat" "%USERPROFILE%\AppData\Local\Temp\OnboardLogs"\RTDC4019\2016-12-04 &amp; aws s3 cp s3://rtdc.mdm.uploadarchive.raw/RTDC4019/ "%USERPROFILE%\AppData\Local\Temp\OnboardLogs"\RTDC4019\2016-12-05 --exclude "*" --recursive --include "*20161205*" &amp; "%USERPROFILE%\Documents\GitHub\mrs-test-scripts\Headless Mode &amp; Sideloading\WalkAndUnGZ.bat" "%USERPROFILE%\AppData\Local\Temp\OnboardLogs"\RTDC4019\2016-12-05</v>
      </c>
      <c r="AF93" s="88" t="str">
        <f t="shared" si="46"/>
        <v>"C:\Program Files (x86)\AstroGrep\AstroGrep.exe" /spath="%USERPROFILE%\AppData\Local\Temp\OnboardLogs" /stypes="app*4019*20161204*" /stext=" 22:.+((SYSTEM_STATE.+slice.+state.+changed )|(ment ac)|(multiple cpu faults)|(system.+state.+changed )|(\[timeout)|(PRM\|1\|D)|(kpr)|(kdp)|(\|lc)|(penalty))" /e /r /s</v>
      </c>
      <c r="AG93" s="1" t="str">
        <f t="shared" si="47"/>
        <v>EC</v>
      </c>
      <c r="AH93" s="92" t="str">
        <f t="shared" si="49"/>
        <v>"%USERPROFILE%\Documents\GitHub\eaglep3\Utilities\RefineRTDCRunTimes.py" --tripid 180-04 --locoid 4019 --swversion DE.1.0.8.0 --startMP 204:233008 --initTime 2016-12-04T14:22:48 --startdatetime 2016-12-04T14:26:41 --delay 1 --endMP 204:156 --enddatetime 2016-12-04T15:04:56 --enforcementcount 0 &gt;&gt;C:\Users\stu\Documents\GitHub\eaglep3-reporting\EC\2016-12-04-refined-times.txt</v>
      </c>
      <c r="AI93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{"issue":{"subject":"","project_id":79,"tracker_id":40,"status_id":1,"priority_id":2,"assigned_to_id":23,"start_date":"2016-12-04","description":"","custom_fields":[{"id":1,"name":"Subdivision","value":"EC"},{"id":4,"name":"Milepost","value":"0.0156"},{"id":17,"name":"Train ID","value":"180-04"},{"id":16,"name":"Locomotive ID","value":"4019"},{"id":130,"name":"Impact","value":""},{"id":150,"name":"Time of Event (Mountain Time)","value":"15:04:56"},{"id":151,"name":"Denver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549</v>
      </c>
      <c r="B94" s="7">
        <v>4003</v>
      </c>
      <c r="C94" s="22" t="s">
        <v>208</v>
      </c>
      <c r="D94" s="22" t="s">
        <v>281</v>
      </c>
      <c r="E94" s="13">
        <v>42708.569884259261</v>
      </c>
      <c r="F94" s="13">
        <v>42708.572905092595</v>
      </c>
      <c r="G94" s="7">
        <v>4</v>
      </c>
      <c r="H94" s="22" t="s">
        <v>713</v>
      </c>
      <c r="I94" s="13">
        <v>42708.576886574076</v>
      </c>
      <c r="J94" s="7">
        <v>0</v>
      </c>
      <c r="K94" s="109" t="str">
        <f t="shared" si="35"/>
        <v>4003/4004</v>
      </c>
      <c r="L94" s="22" t="str">
        <f>VLOOKUP(A94,'Trips&amp;Operators'!$C$1:$G$99999,5,FALSE)</f>
        <v>YOUNG ELIZABETH</v>
      </c>
      <c r="M94" s="6">
        <f t="shared" si="36"/>
        <v>3.9814814808778465E-3</v>
      </c>
      <c r="N94" s="7"/>
      <c r="O94" s="7"/>
      <c r="P94" s="7">
        <f>24*60*SUM($M94:$M94)</f>
        <v>5.7333333324640989</v>
      </c>
      <c r="Q94" s="23"/>
      <c r="R94" s="23" t="s">
        <v>802</v>
      </c>
      <c r="S94" s="35">
        <f t="shared" si="54"/>
        <v>0</v>
      </c>
      <c r="T94" s="50" t="str">
        <f t="shared" si="38"/>
        <v>NorthBound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0</v>
      </c>
      <c r="V9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12:40:38-700',mode:absolute,to:'2016-12-04 14:50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4" s="52" t="str">
        <f t="shared" si="40"/>
        <v>Y</v>
      </c>
      <c r="X94" s="177">
        <f t="shared" ref="X94:X98" si="55">VALUE(LEFT(AD94,4))-VALUE(LEFT(AD93,4))</f>
        <v>1</v>
      </c>
      <c r="Y94" s="67">
        <f t="shared" si="42"/>
        <v>4.58E-2</v>
      </c>
      <c r="Z94" s="67">
        <f t="shared" si="48"/>
        <v>0.1109</v>
      </c>
      <c r="AA94" s="67">
        <f t="shared" si="43"/>
        <v>6.5099999999999991E-2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44"/>
        <v>0181-04</v>
      </c>
      <c r="AE94" s="91" t="str">
        <f t="shared" si="45"/>
        <v>aws s3 cp s3://rtdc.mdm.uploadarchive.raw/RTDC4003/ "%USERPROFILE%\AppData\Local\Temp\OnboardLogs"\RTDC4003\2016-12-04 --exclude "*" --recursive --include "*20161204*" &amp; "%USERPROFILE%\Documents\GitHub\mrs-test-scripts\Headless Mode &amp; Sideloading\WalkAndUnGZ.bat" "%USERPROFILE%\AppData\Local\Temp\OnboardLogs"\RTDC4003\2016-12-04 &amp; aws s3 cp s3://rtdc.mdm.uploadarchive.raw/RTDC4003/ "%USERPROFILE%\AppData\Local\Temp\OnboardLogs"\RTDC4003\2016-12-05 --exclude "*" --recursive --include "*20161205*" &amp; "%USERPROFILE%\Documents\GitHub\mrs-test-scripts\Headless Mode &amp; Sideloading\WalkAndUnGZ.bat" "%USERPROFILE%\AppData\Local\Temp\OnboardLogs"\RTDC4003\2016-12-05</v>
      </c>
      <c r="AF94" s="88" t="str">
        <f t="shared" si="46"/>
        <v>"C:\Program Files (x86)\AstroGrep\AstroGrep.exe" /spath="%USERPROFILE%\AppData\Local\Temp\OnboardLogs" /stypes="app*4003*20161204*" /stext=" 20:.+((SYSTEM_STATE.+slice.+state.+changed )|(ment ac)|(multiple cpu faults)|(system.+state.+changed )|(\[timeout)|(PRM\|1\|D)|(kpr)|(kdp)|(\|lc)|(penalty))" /e /r /s</v>
      </c>
      <c r="AG94" s="1" t="str">
        <f t="shared" si="47"/>
        <v>EC</v>
      </c>
      <c r="AH94" s="92" t="str">
        <f t="shared" si="49"/>
        <v>"%USERPROFILE%\Documents\GitHub\eaglep3\Utilities\RefineRTDCRunTimes.py" --tripid 181-04 --locoid 4003 --swversion DE.1.0.8.0 --startMP 204:458 --initTime 2016-12-04T13:40:38 --startdatetime 2016-12-04T13:44:59 --delay 4 --endMP 204:1109 --enddatetime 2016-12-04T13:50:43 --enforcementcount 0 &gt;&gt;C:\Users\stu\Documents\GitHub\eaglep3-reporting\EC\2016-12-04-refined-times.txt</v>
      </c>
      <c r="AI94" s="119" t="str">
        <f t="shared" si="50"/>
        <v>echo {"issue":{"subject":"Onboard in-route failure","project_id":79,"tracker_id":40,"status_id":1,"priority_id":2,"assigned_to_id":23,"start_date":"2016-12-04","description":"","custom_fields":[{"id":1,"name":"Subdivision","value":"EC"},{"id":4,"name":"Milepost","value":"0.1109"},{"id":17,"name":"Train ID","value":"181-04"},{"id":16,"name":"Locomotive ID","value":"4003"},{"id":130,"name":"Impact","value":""},{"id":150,"name":"Time of Event (Mountain Time)","value":"13:50:43"},{"id":151,"name":"Denver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561</v>
      </c>
      <c r="B95" s="7">
        <v>4004</v>
      </c>
      <c r="C95" s="22" t="s">
        <v>208</v>
      </c>
      <c r="D95" s="22" t="s">
        <v>418</v>
      </c>
      <c r="E95" s="13">
        <v>42708.604907407411</v>
      </c>
      <c r="F95" s="13">
        <v>42708.612060185187</v>
      </c>
      <c r="G95" s="7">
        <v>2</v>
      </c>
      <c r="H95" s="22" t="s">
        <v>727</v>
      </c>
      <c r="I95" s="13">
        <v>42708.639907407407</v>
      </c>
      <c r="J95" s="7">
        <v>0</v>
      </c>
      <c r="K95" s="109" t="str">
        <f t="shared" si="35"/>
        <v>4003/4004</v>
      </c>
      <c r="L95" s="22" t="str">
        <f>VLOOKUP(A95,'Trips&amp;Operators'!$C$1:$G$99999,5,FALSE)</f>
        <v>YOUNG ELIZABETH</v>
      </c>
      <c r="M95" s="6">
        <f t="shared" si="36"/>
        <v>2.7847222219861578E-2</v>
      </c>
      <c r="N95" s="7">
        <f t="shared" ref="N95:N107" si="56">24*60*SUM($M95:$M95)</f>
        <v>40.099999996600673</v>
      </c>
      <c r="O95" s="7"/>
      <c r="P95" s="7"/>
      <c r="Q95" s="23"/>
      <c r="R95" s="23"/>
      <c r="S95" s="35">
        <f t="shared" si="54"/>
        <v>1</v>
      </c>
      <c r="T95" s="50" t="str">
        <f t="shared" si="38"/>
        <v>Southbound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13:31:04-700',mode:absolute,to:'2016-12-04 16:21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5" s="52" t="str">
        <f t="shared" si="40"/>
        <v>N</v>
      </c>
      <c r="X95" s="177">
        <f t="shared" si="55"/>
        <v>1</v>
      </c>
      <c r="Y95" s="67">
        <f t="shared" si="42"/>
        <v>23.2986</v>
      </c>
      <c r="Z95" s="67">
        <f t="shared" si="48"/>
        <v>1.7600000000000001E-2</v>
      </c>
      <c r="AA95" s="67">
        <f t="shared" si="43"/>
        <v>23.280999999999999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44"/>
        <v>0182-04</v>
      </c>
      <c r="AE95" s="91" t="str">
        <f t="shared" si="45"/>
        <v>aws s3 cp s3://rtdc.mdm.uploadarchive.raw/RTDC4004/ "%USERPROFILE%\AppData\Local\Temp\OnboardLogs"\RTDC4004\2016-12-04 --exclude "*" --recursive --include "*20161204*" &amp; "%USERPROFILE%\Documents\GitHub\mrs-test-scripts\Headless Mode &amp; Sideloading\WalkAndUnGZ.bat" "%USERPROFILE%\AppData\Local\Temp\OnboardLogs"\RTDC4004\2016-12-04 &amp; aws s3 cp s3://rtdc.mdm.uploadarchive.raw/RTDC4004/ "%USERPROFILE%\AppData\Local\Temp\OnboardLogs"\RTDC4004\2016-12-05 --exclude "*" --recursive --include "*20161205*" &amp; "%USERPROFILE%\Documents\GitHub\mrs-test-scripts\Headless Mode &amp; Sideloading\WalkAndUnGZ.bat" "%USERPROFILE%\AppData\Local\Temp\OnboardLogs"\RTDC4004\2016-12-05</v>
      </c>
      <c r="AF95" s="88" t="str">
        <f t="shared" si="46"/>
        <v>"C:\Program Files (x86)\AstroGrep\AstroGrep.exe" /spath="%USERPROFILE%\AppData\Local\Temp\OnboardLogs" /stypes="app*4004*20161204*" /stext=" 22:.+((SYSTEM_STATE.+slice.+state.+changed )|(ment ac)|(multiple cpu faults)|(system.+state.+changed )|(\[timeout)|(PRM\|1\|D)|(kpr)|(kdp)|(\|lc)|(penalty))" /e /r /s</v>
      </c>
      <c r="AG95" s="1" t="str">
        <f t="shared" si="47"/>
        <v>EC</v>
      </c>
      <c r="AH95" s="92" t="str">
        <f t="shared" si="49"/>
        <v>"%USERPROFILE%\Documents\GitHub\eaglep3\Utilities\RefineRTDCRunTimes.py" --tripid 182-04 --locoid 4004 --swversion DE.1.0.8.0 --startMP 204:232986 --initTime 2016-12-04T14:31:04 --startdatetime 2016-12-04T14:41:22 --delay 2 --endMP 204:176 --enddatetime 2016-12-04T15:21:28 --enforcementcount 0 &gt;&gt;C:\Users\stu\Documents\GitHub\eaglep3-reporting\EC\2016-12-04-refined-times.txt</v>
      </c>
      <c r="AI95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{"issue":{"subject":"","project_id":79,"tracker_id":40,"status_id":1,"priority_id":2,"assigned_to_id":23,"start_date":"2016-12-04","description":"","custom_fields":[{"id":1,"name":"Subdivision","value":"EC"},{"id":4,"name":"Milepost","value":"0.0176"},{"id":17,"name":"Train ID","value":"182-04"},{"id":16,"name":"Locomotive ID","value":"4004"},{"id":130,"name":"Impact","value":""},{"id":150,"name":"Time of Event (Mountain Time)","value":"15:21:28"},{"id":151,"name":"Denver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550</v>
      </c>
      <c r="B96" s="7">
        <v>4042</v>
      </c>
      <c r="C96" s="22" t="s">
        <v>208</v>
      </c>
      <c r="D96" s="22" t="s">
        <v>737</v>
      </c>
      <c r="E96" s="13">
        <v>42708.577789351853</v>
      </c>
      <c r="F96" s="13">
        <v>42708.583483796298</v>
      </c>
      <c r="G96" s="7">
        <v>1</v>
      </c>
      <c r="H96" s="22" t="s">
        <v>684</v>
      </c>
      <c r="I96" s="13">
        <v>42708.609756944446</v>
      </c>
      <c r="J96" s="7">
        <v>0</v>
      </c>
      <c r="K96" s="109" t="str">
        <f t="shared" si="35"/>
        <v>4041/4042</v>
      </c>
      <c r="L96" s="22" t="str">
        <f>VLOOKUP(A96,'Trips&amp;Operators'!$C$1:$G$99999,5,FALSE)</f>
        <v>CLARK KATHLEEN</v>
      </c>
      <c r="M96" s="6">
        <f t="shared" si="36"/>
        <v>2.6273148148902692E-2</v>
      </c>
      <c r="N96" s="7">
        <f t="shared" si="56"/>
        <v>37.833333334419876</v>
      </c>
      <c r="O96" s="7"/>
      <c r="P96" s="7"/>
      <c r="Q96" s="23"/>
      <c r="R96" s="23"/>
      <c r="S96" s="35">
        <f t="shared" si="54"/>
        <v>1</v>
      </c>
      <c r="T96" s="50" t="str">
        <f t="shared" si="38"/>
        <v>NorthBound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12:52:01-700',mode:absolute,to:'2016-12-04 15:38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6" s="52" t="str">
        <f t="shared" si="40"/>
        <v>N</v>
      </c>
      <c r="X96" s="177">
        <f t="shared" si="55"/>
        <v>1</v>
      </c>
      <c r="Y96" s="67">
        <f t="shared" si="42"/>
        <v>4.2900000000000001E-2</v>
      </c>
      <c r="Z96" s="67">
        <f t="shared" si="48"/>
        <v>23.33</v>
      </c>
      <c r="AA96" s="67">
        <f t="shared" si="43"/>
        <v>23.287099999999999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44"/>
        <v>0183-04</v>
      </c>
      <c r="AE96" s="91" t="str">
        <f t="shared" si="45"/>
        <v>aws s3 cp s3://rtdc.mdm.uploadarchive.raw/RTDC4042/ "%USERPROFILE%\AppData\Local\Temp\OnboardLogs"\RTDC4042\2016-12-04 --exclude "*" --recursive --include "*20161204*" &amp; "%USERPROFILE%\Documents\GitHub\mrs-test-scripts\Headless Mode &amp; Sideloading\WalkAndUnGZ.bat" "%USERPROFILE%\AppData\Local\Temp\OnboardLogs"\RTDC4042\2016-12-04 &amp; aws s3 cp s3://rtdc.mdm.uploadarchive.raw/RTDC4042/ "%USERPROFILE%\AppData\Local\Temp\OnboardLogs"\RTDC4042\2016-12-05 --exclude "*" --recursive --include "*20161205*" &amp; "%USERPROFILE%\Documents\GitHub\mrs-test-scripts\Headless Mode &amp; Sideloading\WalkAndUnGZ.bat" "%USERPROFILE%\AppData\Local\Temp\OnboardLogs"\RTDC4042\2016-12-05</v>
      </c>
      <c r="AF96" s="88" t="str">
        <f t="shared" si="46"/>
        <v>"C:\Program Files (x86)\AstroGrep\AstroGrep.exe" /spath="%USERPROFILE%\AppData\Local\Temp\OnboardLogs" /stypes="app*4042*20161204*" /stext=" 21:.+((SYSTEM_STATE.+slice.+state.+changed )|(ment ac)|(multiple cpu faults)|(system.+state.+changed )|(\[timeout)|(PRM\|1\|D)|(kpr)|(kdp)|(\|lc)|(penalty))" /e /r /s</v>
      </c>
      <c r="AG96" s="1" t="str">
        <f t="shared" si="47"/>
        <v>EC</v>
      </c>
      <c r="AH96" s="92" t="str">
        <f t="shared" si="49"/>
        <v>"%USERPROFILE%\Documents\GitHub\eaglep3\Utilities\RefineRTDCRunTimes.py" --tripid 183-04 --locoid 4042 --swversion DE.1.0.8.0 --startMP 204:429 --initTime 2016-12-04T13:52:01 --startdatetime 2016-12-04T14:00:13 --delay 1 --endMP 204:233300 --enddatetime 2016-12-04T14:38:03 --enforcementcount 0 &gt;&gt;C:\Users\stu\Documents\GitHub\eaglep3-reporting\EC\2016-12-04-refined-times.txt</v>
      </c>
      <c r="AI96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{"issue":{"subject":"","project_id":79,"tracker_id":40,"status_id":1,"priority_id":2,"assigned_to_id":23,"start_date":"2016-12-04","description":"","custom_fields":[{"id":1,"name":"Subdivision","value":"EC"},{"id":4,"name":"Milepost","value":"23.33"},{"id":17,"name":"Train ID","value":"183-04"},{"id":16,"name":"Locomotive ID","value":"4042"},{"id":130,"name":"Impact","value":""},{"id":150,"name":"Time of Event (Mountain Time)","value":"14:38:03"},{"id":151,"name":"Denver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564</v>
      </c>
      <c r="B97" s="7">
        <v>4041</v>
      </c>
      <c r="C97" s="22" t="s">
        <v>208</v>
      </c>
      <c r="D97" s="22" t="s">
        <v>312</v>
      </c>
      <c r="E97" s="13">
        <v>42708.617094907408</v>
      </c>
      <c r="F97" s="13">
        <v>42708.622395833336</v>
      </c>
      <c r="G97" s="7">
        <v>1</v>
      </c>
      <c r="H97" s="22" t="s">
        <v>239</v>
      </c>
      <c r="I97" s="13">
        <v>42708.650104166663</v>
      </c>
      <c r="J97" s="7">
        <v>0</v>
      </c>
      <c r="K97" s="109" t="str">
        <f t="shared" si="35"/>
        <v>4041/4042</v>
      </c>
      <c r="L97" s="22" t="str">
        <f>VLOOKUP(A97,'Trips&amp;Operators'!$C$1:$G$99999,5,FALSE)</f>
        <v>CLARK KATHLEEN</v>
      </c>
      <c r="M97" s="6">
        <f t="shared" si="36"/>
        <v>2.770833332760958E-2</v>
      </c>
      <c r="N97" s="7">
        <f t="shared" si="56"/>
        <v>39.899999991757795</v>
      </c>
      <c r="O97" s="7"/>
      <c r="P97" s="7"/>
      <c r="Q97" s="23"/>
      <c r="R97" s="23"/>
      <c r="S97" s="35">
        <f t="shared" si="54"/>
        <v>1</v>
      </c>
      <c r="T97" s="50" t="str">
        <f t="shared" si="38"/>
        <v>Southbound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13:48:37-700',mode:absolute,to:'2016-12-04 16:36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7" s="52" t="str">
        <f t="shared" si="40"/>
        <v>N</v>
      </c>
      <c r="X97" s="177">
        <f t="shared" si="55"/>
        <v>1</v>
      </c>
      <c r="Y97" s="67">
        <f t="shared" si="42"/>
        <v>23.2987</v>
      </c>
      <c r="Z97" s="67">
        <f t="shared" si="48"/>
        <v>1.6500000000000001E-2</v>
      </c>
      <c r="AA97" s="67">
        <f t="shared" si="43"/>
        <v>23.2822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44"/>
        <v>0184-04</v>
      </c>
      <c r="AE97" s="91" t="str">
        <f t="shared" si="45"/>
        <v>aws s3 cp s3://rtdc.mdm.uploadarchive.raw/RTDC4041/ "%USERPROFILE%\AppData\Local\Temp\OnboardLogs"\RTDC4041\2016-12-04 --exclude "*" --recursive --include "*20161204*" &amp; "%USERPROFILE%\Documents\GitHub\mrs-test-scripts\Headless Mode &amp; Sideloading\WalkAndUnGZ.bat" "%USERPROFILE%\AppData\Local\Temp\OnboardLogs"\RTDC4041\2016-12-04 &amp; aws s3 cp s3://rtdc.mdm.uploadarchive.raw/RTDC4041/ "%USERPROFILE%\AppData\Local\Temp\OnboardLogs"\RTDC4041\2016-12-05 --exclude "*" --recursive --include "*20161205*" &amp; "%USERPROFILE%\Documents\GitHub\mrs-test-scripts\Headless Mode &amp; Sideloading\WalkAndUnGZ.bat" "%USERPROFILE%\AppData\Local\Temp\OnboardLogs"\RTDC4041\2016-12-05</v>
      </c>
      <c r="AF97" s="88" t="str">
        <f t="shared" si="46"/>
        <v>"C:\Program Files (x86)\AstroGrep\AstroGrep.exe" /spath="%USERPROFILE%\AppData\Local\Temp\OnboardLogs" /stypes="app*4041*20161204*" /stext=" 22:.+((SYSTEM_STATE.+slice.+state.+changed )|(ment ac)|(multiple cpu faults)|(system.+state.+changed )|(\[timeout)|(PRM\|1\|D)|(kpr)|(kdp)|(\|lc)|(penalty))" /e /r /s</v>
      </c>
      <c r="AG97" s="1" t="str">
        <f t="shared" si="47"/>
        <v>EC</v>
      </c>
      <c r="AH97" s="92" t="str">
        <f t="shared" si="49"/>
        <v>"%USERPROFILE%\Documents\GitHub\eaglep3\Utilities\RefineRTDCRunTimes.py" --tripid 184-04 --locoid 4041 --swversion DE.1.0.8.0 --startMP 204:232987 --initTime 2016-12-04T14:48:37 --startdatetime 2016-12-04T14:56:15 --delay 1 --endMP 204:165 --enddatetime 2016-12-04T15:36:09 --enforcementcount 0 &gt;&gt;C:\Users\stu\Documents\GitHub\eaglep3-reporting\EC\2016-12-04-refined-times.txt</v>
      </c>
      <c r="AI97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{"issue":{"subject":"","project_id":79,"tracker_id":40,"status_id":1,"priority_id":2,"assigned_to_id":23,"start_date":"2016-12-04","description":"","custom_fields":[{"id":1,"name":"Subdivision","value":"EC"},{"id":4,"name":"Milepost","value":"0.0165"},{"id":17,"name":"Train ID","value":"184-04"},{"id":16,"name":"Locomotive ID","value":"4041"},{"id":130,"name":"Impact","value":""},{"id":150,"name":"Time of Event (Mountain Time)","value":"15:36:09"},{"id":151,"name":"Denver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558</v>
      </c>
      <c r="B98" s="7">
        <v>4031</v>
      </c>
      <c r="C98" s="22" t="s">
        <v>208</v>
      </c>
      <c r="D98" s="22" t="s">
        <v>376</v>
      </c>
      <c r="E98" s="13">
        <v>42708.590787037036</v>
      </c>
      <c r="F98" s="13">
        <v>42708.594097222223</v>
      </c>
      <c r="G98" s="7">
        <v>2</v>
      </c>
      <c r="H98" s="22" t="s">
        <v>740</v>
      </c>
      <c r="I98" s="13">
        <v>42708.618981481479</v>
      </c>
      <c r="J98" s="7">
        <v>0</v>
      </c>
      <c r="K98" s="109" t="str">
        <f t="shared" si="35"/>
        <v>4031/4032</v>
      </c>
      <c r="L98" s="22" t="str">
        <f>VLOOKUP(A98,'Trips&amp;Operators'!$C$1:$G$99999,5,FALSE)</f>
        <v>SHOOK JOHN</v>
      </c>
      <c r="M98" s="6">
        <f t="shared" si="36"/>
        <v>2.488425925548654E-2</v>
      </c>
      <c r="N98" s="7">
        <f t="shared" si="56"/>
        <v>35.833333327900618</v>
      </c>
      <c r="O98" s="7"/>
      <c r="P98" s="7"/>
      <c r="Q98" s="23"/>
      <c r="R98" s="23"/>
      <c r="S98" s="35">
        <f t="shared" si="54"/>
        <v>1</v>
      </c>
      <c r="T98" s="50" t="str">
        <f t="shared" si="38"/>
        <v>NorthBound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13:10:44-700',mode:absolute,to:'2016-12-04 15:51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8" s="52" t="str">
        <f t="shared" si="40"/>
        <v>N</v>
      </c>
      <c r="X98" s="177">
        <f t="shared" si="55"/>
        <v>1</v>
      </c>
      <c r="Y98" s="67">
        <f t="shared" si="42"/>
        <v>4.2599999999999999E-2</v>
      </c>
      <c r="Z98" s="67">
        <f t="shared" si="48"/>
        <v>23.341000000000001</v>
      </c>
      <c r="AA98" s="67">
        <f t="shared" si="43"/>
        <v>23.298400000000001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44"/>
        <v>0185-04</v>
      </c>
      <c r="AE98" s="91" t="str">
        <f t="shared" si="45"/>
        <v>aws s3 cp s3://rtdc.mdm.uploadarchive.raw/RTDC4031/ "%USERPROFILE%\AppData\Local\Temp\OnboardLogs"\RTDC4031\2016-12-04 --exclude "*" --recursive --include "*20161204*" &amp; "%USERPROFILE%\Documents\GitHub\mrs-test-scripts\Headless Mode &amp; Sideloading\WalkAndUnGZ.bat" "%USERPROFILE%\AppData\Local\Temp\OnboardLogs"\RTDC4031\2016-12-04 &amp; aws s3 cp s3://rtdc.mdm.uploadarchive.raw/RTDC4031/ "%USERPROFILE%\AppData\Local\Temp\OnboardLogs"\RTDC4031\2016-12-05 --exclude "*" --recursive --include "*20161205*" &amp; "%USERPROFILE%\Documents\GitHub\mrs-test-scripts\Headless Mode &amp; Sideloading\WalkAndUnGZ.bat" "%USERPROFILE%\AppData\Local\Temp\OnboardLogs"\RTDC4031\2016-12-05</v>
      </c>
      <c r="AF98" s="88" t="str">
        <f t="shared" si="46"/>
        <v>"C:\Program Files (x86)\AstroGrep\AstroGrep.exe" /spath="%USERPROFILE%\AppData\Local\Temp\OnboardLogs" /stypes="app*4031*20161204*" /stext=" 21:.+((SYSTEM_STATE.+slice.+state.+changed )|(ment ac)|(multiple cpu faults)|(system.+state.+changed )|(\[timeout)|(PRM\|1\|D)|(kpr)|(kdp)|(\|lc)|(penalty))" /e /r /s</v>
      </c>
      <c r="AG98" s="1" t="str">
        <f t="shared" si="47"/>
        <v>EC</v>
      </c>
      <c r="AH98" s="92" t="str">
        <f t="shared" si="49"/>
        <v>"%USERPROFILE%\Documents\GitHub\eaglep3\Utilities\RefineRTDCRunTimes.py" --tripid 185-04 --locoid 4031 --swversion DE.1.0.8.0 --startMP 204:426 --initTime 2016-12-04T14:10:44 --startdatetime 2016-12-04T14:15:30 --delay 2 --endMP 204:233410 --enddatetime 2016-12-04T14:51:20 --enforcementcount 0 &gt;&gt;C:\Users\stu\Documents\GitHub\eaglep3-reporting\EC\2016-12-04-refined-times.txt</v>
      </c>
      <c r="AI98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{"issue":{"subject":"","project_id":79,"tracker_id":40,"status_id":1,"priority_id":2,"assigned_to_id":23,"start_date":"2016-12-04","description":"","custom_fields":[{"id":1,"name":"Subdivision","value":"EC"},{"id":4,"name":"Milepost","value":"23.341"},{"id":17,"name":"Train ID","value":"185-04"},{"id":16,"name":"Locomotive ID","value":"4031"},{"id":130,"name":"Impact","value":""},{"id":150,"name":"Time of Event (Mountain Time)","value":"14:51:20"},{"id":151,"name":"Denver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7" t="s">
        <v>569</v>
      </c>
      <c r="B99" s="7">
        <v>4032</v>
      </c>
      <c r="C99" s="22" t="s">
        <v>208</v>
      </c>
      <c r="D99" s="22" t="s">
        <v>741</v>
      </c>
      <c r="E99" s="13">
        <v>42708.629108796296</v>
      </c>
      <c r="F99" s="13">
        <v>42708.632835648146</v>
      </c>
      <c r="G99" s="7">
        <v>1</v>
      </c>
      <c r="H99" s="22" t="s">
        <v>260</v>
      </c>
      <c r="I99" s="13">
        <v>42708.658807870372</v>
      </c>
      <c r="J99" s="7">
        <v>0</v>
      </c>
      <c r="K99" s="109" t="str">
        <f t="shared" si="35"/>
        <v>4031/4032</v>
      </c>
      <c r="L99" s="22" t="str">
        <f>VLOOKUP(A99,'Trips&amp;Operators'!$C$1:$G$99999,5,FALSE)</f>
        <v>SHOOK JOHN</v>
      </c>
      <c r="M99" s="6">
        <f t="shared" si="36"/>
        <v>2.5972222225391306E-2</v>
      </c>
      <c r="N99" s="7">
        <f t="shared" si="56"/>
        <v>37.400000004563481</v>
      </c>
      <c r="O99" s="7"/>
      <c r="P99" s="7"/>
      <c r="Q99" s="23"/>
      <c r="R99" s="23"/>
      <c r="S99" s="35">
        <f t="shared" si="54"/>
        <v>1</v>
      </c>
      <c r="T99" s="50" t="str">
        <f t="shared" si="38"/>
        <v>Southbound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14:05:55-700',mode:absolute,to:'2016-12-04 16:48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9" s="52" t="str">
        <f t="shared" si="40"/>
        <v>N</v>
      </c>
      <c r="X99" s="177">
        <f t="shared" ref="X99:X130" si="57">VALUE(LEFT(AD99,4))-VALUE(LEFT(AD98,4))</f>
        <v>1</v>
      </c>
      <c r="Y99" s="67">
        <f t="shared" si="42"/>
        <v>23.305499999999999</v>
      </c>
      <c r="Z99" s="67">
        <f t="shared" si="48"/>
        <v>1.4500000000000001E-2</v>
      </c>
      <c r="AA99" s="67">
        <f t="shared" si="43"/>
        <v>23.290999999999997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44"/>
        <v>0186-04</v>
      </c>
      <c r="AE99" s="91" t="str">
        <f t="shared" si="45"/>
        <v>aws s3 cp s3://rtdc.mdm.uploadarchive.raw/RTDC4032/ "%USERPROFILE%\AppData\Local\Temp\OnboardLogs"\RTDC4032\2016-12-04 --exclude "*" --recursive --include "*20161204*" &amp; "%USERPROFILE%\Documents\GitHub\mrs-test-scripts\Headless Mode &amp; Sideloading\WalkAndUnGZ.bat" "%USERPROFILE%\AppData\Local\Temp\OnboardLogs"\RTDC4032\2016-12-04 &amp; aws s3 cp s3://rtdc.mdm.uploadarchive.raw/RTDC4032/ "%USERPROFILE%\AppData\Local\Temp\OnboardLogs"\RTDC4032\2016-12-05 --exclude "*" --recursive --include "*20161205*" &amp; "%USERPROFILE%\Documents\GitHub\mrs-test-scripts\Headless Mode &amp; Sideloading\WalkAndUnGZ.bat" "%USERPROFILE%\AppData\Local\Temp\OnboardLogs"\RTDC4032\2016-12-05</v>
      </c>
      <c r="AF99" s="88" t="str">
        <f t="shared" si="46"/>
        <v>"C:\Program Files (x86)\AstroGrep\AstroGrep.exe" /spath="%USERPROFILE%\AppData\Local\Temp\OnboardLogs" /stypes="app*4032*20161204*" /stext=" 22:.+((SYSTEM_STATE.+slice.+state.+changed )|(ment ac)|(multiple cpu faults)|(system.+state.+changed )|(\[timeout)|(PRM\|1\|D)|(kpr)|(kdp)|(\|lc)|(penalty))" /e /r /s</v>
      </c>
      <c r="AG99" s="1" t="str">
        <f t="shared" si="47"/>
        <v>EC</v>
      </c>
      <c r="AH99" s="92" t="str">
        <f t="shared" si="49"/>
        <v>"%USERPROFILE%\Documents\GitHub\eaglep3\Utilities\RefineRTDCRunTimes.py" --tripid 186-04 --locoid 4032 --swversion DE.1.0.8.0 --startMP 204:233055 --initTime 2016-12-04T15:05:55 --startdatetime 2016-12-04T15:11:17 --delay 1 --endMP 204:145 --enddatetime 2016-12-04T15:48:41 --enforcementcount 0 &gt;&gt;C:\Users\stu\Documents\GitHub\eaglep3-reporting\EC\2016-12-04-refined-times.txt</v>
      </c>
      <c r="AI99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{"issue":{"subject":"","project_id":79,"tracker_id":40,"status_id":1,"priority_id":2,"assigned_to_id":23,"start_date":"2016-12-04","description":"","custom_fields":[{"id":1,"name":"Subdivision","value":"EC"},{"id":4,"name":"Milepost","value":"0.0145"},{"id":17,"name":"Train ID","value":"186-04"},{"id":16,"name":"Locomotive ID","value":"4032"},{"id":130,"name":"Impact","value":""},{"id":150,"name":"Time of Event (Mountain Time)","value":"15:48:41"},{"id":151,"name":"Denver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559</v>
      </c>
      <c r="B100" s="7">
        <v>4038</v>
      </c>
      <c r="C100" s="22" t="s">
        <v>208</v>
      </c>
      <c r="D100" s="22" t="s">
        <v>742</v>
      </c>
      <c r="E100" s="13">
        <v>42708.598368055558</v>
      </c>
      <c r="F100" s="13">
        <v>42708.604745370372</v>
      </c>
      <c r="G100" s="7">
        <v>2</v>
      </c>
      <c r="H100" s="22" t="s">
        <v>743</v>
      </c>
      <c r="I100" s="13">
        <v>42708.629351851851</v>
      </c>
      <c r="J100" s="7">
        <v>0</v>
      </c>
      <c r="K100" s="109" t="str">
        <f t="shared" si="35"/>
        <v>4037/4038</v>
      </c>
      <c r="L100" s="22" t="str">
        <f>VLOOKUP(A100,'Trips&amp;Operators'!$C$1:$G$99999,5,FALSE)</f>
        <v>STEWART MICHAEL</v>
      </c>
      <c r="M100" s="6">
        <f t="shared" si="36"/>
        <v>2.4606481478258502E-2</v>
      </c>
      <c r="N100" s="7">
        <f t="shared" si="56"/>
        <v>35.433333328692243</v>
      </c>
      <c r="O100" s="7"/>
      <c r="P100" s="7"/>
      <c r="Q100" s="23"/>
      <c r="R100" s="23"/>
      <c r="S100" s="35">
        <f t="shared" si="54"/>
        <v>1</v>
      </c>
      <c r="T100" s="50" t="str">
        <f t="shared" si="38"/>
        <v>NorthBound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13:21:39-700',mode:absolute,to:'2016-12-04 16:06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0" s="52" t="str">
        <f t="shared" si="40"/>
        <v>N</v>
      </c>
      <c r="X100" s="177">
        <f t="shared" si="57"/>
        <v>1</v>
      </c>
      <c r="Y100" s="67">
        <f t="shared" si="42"/>
        <v>4.7699999999999999E-2</v>
      </c>
      <c r="Z100" s="67">
        <f t="shared" si="48"/>
        <v>23.334700000000002</v>
      </c>
      <c r="AA100" s="67">
        <f t="shared" si="43"/>
        <v>23.287000000000003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44"/>
        <v>0187-04</v>
      </c>
      <c r="AE100" s="91" t="str">
        <f t="shared" si="45"/>
        <v>aws s3 cp s3://rtdc.mdm.uploadarchive.raw/RTDC4038/ "%USERPROFILE%\AppData\Local\Temp\OnboardLogs"\RTDC4038\2016-12-04 --exclude "*" --recursive --include "*20161204*" &amp; "%USERPROFILE%\Documents\GitHub\mrs-test-scripts\Headless Mode &amp; Sideloading\WalkAndUnGZ.bat" "%USERPROFILE%\AppData\Local\Temp\OnboardLogs"\RTDC4038\2016-12-04 &amp; 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</v>
      </c>
      <c r="AF100" s="88" t="str">
        <f t="shared" si="46"/>
        <v>"C:\Program Files (x86)\AstroGrep\AstroGrep.exe" /spath="%USERPROFILE%\AppData\Local\Temp\OnboardLogs" /stypes="app*4038*20161204*" /stext=" 22:.+((SYSTEM_STATE.+slice.+state.+changed )|(ment ac)|(multiple cpu faults)|(system.+state.+changed )|(\[timeout)|(PRM\|1\|D)|(kpr)|(kdp)|(\|lc)|(penalty))" /e /r /s</v>
      </c>
      <c r="AG100" s="1" t="str">
        <f t="shared" si="47"/>
        <v>EC</v>
      </c>
      <c r="AH100" s="92" t="str">
        <f t="shared" si="49"/>
        <v>"%USERPROFILE%\Documents\GitHub\eaglep3\Utilities\RefineRTDCRunTimes.py" --tripid 187-04 --locoid 4038 --swversion DE.1.0.8.0 --startMP 204:477 --initTime 2016-12-04T14:21:39 --startdatetime 2016-12-04T14:30:50 --delay 2 --endMP 204:233347 --enddatetime 2016-12-04T15:06:16 --enforcementcount 0 &gt;&gt;C:\Users\stu\Documents\GitHub\eaglep3-reporting\EC\2016-12-04-refined-times.txt</v>
      </c>
      <c r="AI100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{"issue":{"subject":"","project_id":79,"tracker_id":40,"status_id":1,"priority_id":2,"assigned_to_id":23,"start_date":"2016-12-04","description":"","custom_fields":[{"id":1,"name":"Subdivision","value":"EC"},{"id":4,"name":"Milepost","value":"23.3347"},{"id":17,"name":"Train ID","value":"187-04"},{"id":16,"name":"Locomotive ID","value":"4038"},{"id":130,"name":"Impact","value":""},{"id":150,"name":"Time of Event (Mountain Time)","value":"15:06:16"},{"id":151,"name":"Denver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x14ac:dyDescent="0.25">
      <c r="A101" s="37" t="s">
        <v>571</v>
      </c>
      <c r="B101" s="7">
        <v>4037</v>
      </c>
      <c r="C101" s="22" t="s">
        <v>208</v>
      </c>
      <c r="D101" s="22" t="s">
        <v>680</v>
      </c>
      <c r="E101" s="13">
        <v>42708.640150462961</v>
      </c>
      <c r="F101" s="13">
        <v>42708.643333333333</v>
      </c>
      <c r="G101" s="7">
        <v>1</v>
      </c>
      <c r="H101" s="22" t="s">
        <v>228</v>
      </c>
      <c r="I101" s="13">
        <v>42708.669085648151</v>
      </c>
      <c r="J101" s="7">
        <v>0</v>
      </c>
      <c r="K101" s="109" t="str">
        <f t="shared" si="35"/>
        <v>4037/4038</v>
      </c>
      <c r="L101" s="22" t="str">
        <f>VLOOKUP(A101,'Trips&amp;Operators'!$C$1:$G$99999,5,FALSE)</f>
        <v>STEWART MICHAEL</v>
      </c>
      <c r="M101" s="6">
        <f t="shared" si="36"/>
        <v>2.5752314817509614E-2</v>
      </c>
      <c r="N101" s="7">
        <f t="shared" si="56"/>
        <v>37.083333337213844</v>
      </c>
      <c r="O101" s="7"/>
      <c r="P101" s="7"/>
      <c r="Q101" s="23"/>
      <c r="R101" s="23"/>
      <c r="S101" s="35">
        <f t="shared" si="54"/>
        <v>1</v>
      </c>
      <c r="T101" s="50" t="str">
        <f t="shared" si="38"/>
        <v>Southbound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14:21:49-700',mode:absolute,to:'2016-12-04 17:03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1" s="52" t="str">
        <f t="shared" si="40"/>
        <v>N</v>
      </c>
      <c r="X101" s="177">
        <f t="shared" si="57"/>
        <v>1</v>
      </c>
      <c r="Y101" s="67">
        <f t="shared" si="42"/>
        <v>23.298100000000002</v>
      </c>
      <c r="Z101" s="67">
        <f t="shared" si="48"/>
        <v>1.54E-2</v>
      </c>
      <c r="AA101" s="67">
        <f t="shared" si="43"/>
        <v>23.282700000000002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44"/>
        <v>0188-04</v>
      </c>
      <c r="AE101" s="91" t="str">
        <f t="shared" si="45"/>
        <v>aws s3 cp s3://rtdc.mdm.uploadarchive.raw/RTDC4037/ "%USERPROFILE%\AppData\Local\Temp\OnboardLogs"\RTDC4037\2016-12-04 --exclude "*" --recursive --include "*20161204*" &amp; "%USERPROFILE%\Documents\GitHub\mrs-test-scripts\Headless Mode &amp; Sideloading\WalkAndUnGZ.bat" "%USERPROFILE%\AppData\Local\Temp\OnboardLogs"\RTDC4037\2016-12-04 &amp; 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</v>
      </c>
      <c r="AF101" s="88" t="str">
        <f t="shared" si="46"/>
        <v>"C:\Program Files (x86)\AstroGrep\AstroGrep.exe" /spath="%USERPROFILE%\AppData\Local\Temp\OnboardLogs" /stypes="app*4037*20161204*" /stext=" 23:.+((SYSTEM_STATE.+slice.+state.+changed )|(ment ac)|(multiple cpu faults)|(system.+state.+changed )|(\[timeout)|(PRM\|1\|D)|(kpr)|(kdp)|(\|lc)|(penalty))" /e /r /s</v>
      </c>
      <c r="AG101" s="1" t="str">
        <f t="shared" si="47"/>
        <v>EC</v>
      </c>
      <c r="AH101" s="92" t="str">
        <f t="shared" si="49"/>
        <v>"%USERPROFILE%\Documents\GitHub\eaglep3\Utilities\RefineRTDCRunTimes.py" --tripid 188-04 --locoid 4037 --swversion DE.1.0.8.0 --startMP 204:232981 --initTime 2016-12-04T15:21:49 --startdatetime 2016-12-04T15:26:24 --delay 1 --endMP 204:154 --enddatetime 2016-12-04T16:03:29 --enforcementcount 0 &gt;&gt;C:\Users\stu\Documents\GitHub\eaglep3-reporting\EC\2016-12-04-refined-times.txt</v>
      </c>
      <c r="AI101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{"issue":{"subject":"","project_id":79,"tracker_id":40,"status_id":1,"priority_id":2,"assigned_to_id":23,"start_date":"2016-12-04","description":"","custom_fields":[{"id":1,"name":"Subdivision","value":"EC"},{"id":4,"name":"Milepost","value":"0.0154"},{"id":17,"name":"Train ID","value":"188-04"},{"id":16,"name":"Locomotive ID","value":"4037"},{"id":130,"name":"Impact","value":""},{"id":150,"name":"Time of Event (Mountain Time)","value":"16:03:29"},{"id":151,"name":"Denver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s="21" customFormat="1" x14ac:dyDescent="0.25">
      <c r="A102" s="37" t="s">
        <v>563</v>
      </c>
      <c r="B102" s="7">
        <v>4029</v>
      </c>
      <c r="C102" s="22" t="s">
        <v>208</v>
      </c>
      <c r="D102" s="22" t="s">
        <v>371</v>
      </c>
      <c r="E102" s="13">
        <v>42708.611226851855</v>
      </c>
      <c r="F102" s="13">
        <v>42708.614768518521</v>
      </c>
      <c r="G102" s="7">
        <v>1</v>
      </c>
      <c r="H102" s="22" t="s">
        <v>744</v>
      </c>
      <c r="I102" s="13">
        <v>42708.640034722222</v>
      </c>
      <c r="J102" s="7">
        <v>0</v>
      </c>
      <c r="K102" s="109" t="str">
        <f t="shared" si="35"/>
        <v>4029/4030</v>
      </c>
      <c r="L102" s="22" t="str">
        <f>VLOOKUP(A102,'Trips&amp;Operators'!$C$1:$G$99999,5,FALSE)</f>
        <v>BARTLETT KIANDRA</v>
      </c>
      <c r="M102" s="6">
        <f t="shared" si="36"/>
        <v>2.5266203701903578E-2</v>
      </c>
      <c r="N102" s="7">
        <f t="shared" si="56"/>
        <v>36.383333330741152</v>
      </c>
      <c r="O102" s="7"/>
      <c r="P102" s="7"/>
      <c r="Q102" s="23"/>
      <c r="R102" s="23"/>
      <c r="S102" s="35">
        <f t="shared" si="54"/>
        <v>1</v>
      </c>
      <c r="T102" s="50" t="str">
        <f t="shared" si="38"/>
        <v>NorthBound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13:40:10-700',mode:absolute,to:'2016-12-04 16:21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2" s="52" t="str">
        <f t="shared" si="40"/>
        <v>N</v>
      </c>
      <c r="X102" s="177">
        <f t="shared" si="57"/>
        <v>1</v>
      </c>
      <c r="Y102" s="67">
        <f t="shared" si="42"/>
        <v>4.6899999999999997E-2</v>
      </c>
      <c r="Z102" s="67">
        <f t="shared" si="48"/>
        <v>23.331600000000002</v>
      </c>
      <c r="AA102" s="67">
        <f t="shared" si="43"/>
        <v>23.284700000000001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44"/>
        <v>0189-04</v>
      </c>
      <c r="AE102" s="91" t="str">
        <f t="shared" si="45"/>
        <v>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 &amp; aws s3 cp s3://rtdc.mdm.uploadarchive.raw/RTDC4029/ "%USERPROFILE%\AppData\Local\Temp\OnboardLogs"\RTDC4029\2016-12-05 --exclude "*" --recursive --include "*20161205*" &amp; "%USERPROFILE%\Documents\GitHub\mrs-test-scripts\Headless Mode &amp; Sideloading\WalkAndUnGZ.bat" "%USERPROFILE%\AppData\Local\Temp\OnboardLogs"\RTDC4029\2016-12-05</v>
      </c>
      <c r="AF102" s="88" t="str">
        <f t="shared" si="46"/>
        <v>"C:\Program Files (x86)\AstroGrep\AstroGrep.exe" /spath="%USERPROFILE%\AppData\Local\Temp\OnboardLogs" /stypes="app*4029*20161204*" /stext=" 22:.+((SYSTEM_STATE.+slice.+state.+changed )|(ment ac)|(multiple cpu faults)|(system.+state.+changed )|(\[timeout)|(PRM\|1\|D)|(kpr)|(kdp)|(\|lc)|(penalty))" /e /r /s</v>
      </c>
      <c r="AG102" s="1" t="str">
        <f t="shared" si="47"/>
        <v>EC</v>
      </c>
      <c r="AH102" s="92" t="str">
        <f t="shared" si="49"/>
        <v>"%USERPROFILE%\Documents\GitHub\eaglep3\Utilities\RefineRTDCRunTimes.py" --tripid 189-04 --locoid 4029 --swversion DE.1.0.8.0 --startMP 204:469 --initTime 2016-12-04T14:40:10 --startdatetime 2016-12-04T14:45:16 --delay 1 --endMP 204:233316 --enddatetime 2016-12-04T15:21:39 --enforcementcount 0 &gt;&gt;C:\Users\stu\Documents\GitHub\eaglep3-reporting\EC\2016-12-04-refined-times.txt</v>
      </c>
      <c r="AI102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{"issue":{"subject":"","project_id":79,"tracker_id":40,"status_id":1,"priority_id":2,"assigned_to_id":23,"start_date":"2016-12-04","description":"","custom_fields":[{"id":1,"name":"Subdivision","value":"EC"},{"id":4,"name":"Milepost","value":"23.3316"},{"id":17,"name":"Train ID","value":"189-04"},{"id":16,"name":"Locomotive ID","value":"4029"},{"id":130,"name":"Impact","value":""},{"id":150,"name":"Time of Event (Mountain Time)","value":"15:21:39"},{"id":151,"name":"Denver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573</v>
      </c>
      <c r="B103" s="7">
        <v>4030</v>
      </c>
      <c r="C103" s="22" t="s">
        <v>208</v>
      </c>
      <c r="D103" s="22" t="s">
        <v>688</v>
      </c>
      <c r="E103" s="13">
        <v>42708.642534722225</v>
      </c>
      <c r="F103" s="13">
        <v>42708.653645833336</v>
      </c>
      <c r="G103" s="7">
        <v>1</v>
      </c>
      <c r="H103" s="22" t="s">
        <v>192</v>
      </c>
      <c r="I103" s="13">
        <v>42708.679930555554</v>
      </c>
      <c r="J103" s="7">
        <v>0</v>
      </c>
      <c r="K103" s="109" t="str">
        <f t="shared" si="35"/>
        <v>4029/4030</v>
      </c>
      <c r="L103" s="22" t="str">
        <f>VLOOKUP(A103,'Trips&amp;Operators'!$C$1:$G$99999,5,FALSE)</f>
        <v>BARTLETT KIANDRA</v>
      </c>
      <c r="M103" s="6">
        <f t="shared" si="36"/>
        <v>2.6284722218406387E-2</v>
      </c>
      <c r="N103" s="7">
        <f t="shared" si="56"/>
        <v>37.849999994505197</v>
      </c>
      <c r="O103" s="7"/>
      <c r="P103" s="7"/>
      <c r="Q103" s="23"/>
      <c r="R103" s="23"/>
      <c r="S103" s="35">
        <f t="shared" si="54"/>
        <v>1</v>
      </c>
      <c r="T103" s="50" t="str">
        <f t="shared" si="38"/>
        <v>Southbound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14:25:15-700',mode:absolute,to:'2016-12-04 17:19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3" s="52" t="str">
        <f t="shared" si="40"/>
        <v>N</v>
      </c>
      <c r="X103" s="177">
        <f t="shared" si="57"/>
        <v>1</v>
      </c>
      <c r="Y103" s="67">
        <f t="shared" si="42"/>
        <v>23.298999999999999</v>
      </c>
      <c r="Z103" s="67">
        <f t="shared" si="48"/>
        <v>1.49E-2</v>
      </c>
      <c r="AA103" s="67">
        <f t="shared" si="43"/>
        <v>23.284099999999999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44"/>
        <v>0190-04</v>
      </c>
      <c r="AE103" s="91" t="str">
        <f t="shared" si="45"/>
        <v>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 &amp; aws s3 cp s3://rtdc.mdm.uploadarchive.raw/RTDC4030/ "%USERPROFILE%\AppData\Local\Temp\OnboardLogs"\RTDC4030\2016-12-05 --exclude "*" --recursive --include "*20161205*" &amp; "%USERPROFILE%\Documents\GitHub\mrs-test-scripts\Headless Mode &amp; Sideloading\WalkAndUnGZ.bat" "%USERPROFILE%\AppData\Local\Temp\OnboardLogs"\RTDC4030\2016-12-05</v>
      </c>
      <c r="AF103" s="88" t="str">
        <f t="shared" si="46"/>
        <v>"C:\Program Files (x86)\AstroGrep\AstroGrep.exe" /spath="%USERPROFILE%\AppData\Local\Temp\OnboardLogs" /stypes="app*4030*20161204*" /stext=" 23:.+((SYSTEM_STATE.+slice.+state.+changed )|(ment ac)|(multiple cpu faults)|(system.+state.+changed )|(\[timeout)|(PRM\|1\|D)|(kpr)|(kdp)|(\|lc)|(penalty))" /e /r /s</v>
      </c>
      <c r="AG103" s="1" t="str">
        <f t="shared" si="47"/>
        <v>EC</v>
      </c>
      <c r="AH103" s="92" t="str">
        <f t="shared" si="49"/>
        <v>"%USERPROFILE%\Documents\GitHub\eaglep3\Utilities\RefineRTDCRunTimes.py" --tripid 190-04 --locoid 4030 --swversion DE.1.0.8.0 --startMP 204:232990 --initTime 2016-12-04T15:25:15 --startdatetime 2016-12-04T15:41:15 --delay 1 --endMP 204:149 --enddatetime 2016-12-04T16:19:06 --enforcementcount 0 &gt;&gt;C:\Users\stu\Documents\GitHub\eaglep3-reporting\EC\2016-12-04-refined-times.txt</v>
      </c>
      <c r="AI103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{"issue":{"subject":"","project_id":79,"tracker_id":40,"status_id":1,"priority_id":2,"assigned_to_id":23,"start_date":"2016-12-04","description":"","custom_fields":[{"id":1,"name":"Subdivision","value":"EC"},{"id":4,"name":"Milepost","value":"0.0149"},{"id":17,"name":"Train ID","value":"190-04"},{"id":16,"name":"Locomotive ID","value":"4030"},{"id":130,"name":"Impact","value":""},{"id":150,"name":"Time of Event (Mountain Time)","value":"16:19:06"},{"id":151,"name":"Denver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565</v>
      </c>
      <c r="B104" s="7">
        <v>4027</v>
      </c>
      <c r="C104" s="22" t="s">
        <v>208</v>
      </c>
      <c r="D104" s="22" t="s">
        <v>292</v>
      </c>
      <c r="E104" s="13">
        <v>42708.620995370373</v>
      </c>
      <c r="F104" s="13">
        <v>42708.625162037039</v>
      </c>
      <c r="G104" s="7">
        <v>1</v>
      </c>
      <c r="H104" s="22" t="s">
        <v>254</v>
      </c>
      <c r="I104" s="13">
        <v>42708.649791666663</v>
      </c>
      <c r="J104" s="7">
        <v>0</v>
      </c>
      <c r="K104" s="109" t="str">
        <f t="shared" si="35"/>
        <v>4027/4028</v>
      </c>
      <c r="L104" s="22" t="str">
        <f>VLOOKUP(A104,'Trips&amp;Operators'!$C$1:$G$99999,5,FALSE)</f>
        <v>ROMERO CHAD</v>
      </c>
      <c r="M104" s="6">
        <f t="shared" si="36"/>
        <v>2.4629629624541849E-2</v>
      </c>
      <c r="N104" s="7">
        <f t="shared" si="56"/>
        <v>35.466666659340262</v>
      </c>
      <c r="O104" s="7"/>
      <c r="P104" s="7"/>
      <c r="Q104" s="23"/>
      <c r="R104" s="23"/>
      <c r="S104" s="35">
        <f t="shared" si="54"/>
        <v>1</v>
      </c>
      <c r="T104" s="50" t="str">
        <f t="shared" si="38"/>
        <v>NorthBound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13:54:14-700',mode:absolute,to:'2016-12-04 16:35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4" s="52" t="str">
        <f t="shared" si="40"/>
        <v>N</v>
      </c>
      <c r="X104" s="177">
        <f t="shared" si="57"/>
        <v>1</v>
      </c>
      <c r="Y104" s="67">
        <f t="shared" si="42"/>
        <v>4.3799999999999999E-2</v>
      </c>
      <c r="Z104" s="67">
        <f t="shared" si="48"/>
        <v>23.3308</v>
      </c>
      <c r="AA104" s="67">
        <f t="shared" si="43"/>
        <v>23.286999999999999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44"/>
        <v>0191-04</v>
      </c>
      <c r="AE104" s="91" t="str">
        <f t="shared" si="45"/>
        <v>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 &amp; aws s3 cp s3://rtdc.mdm.uploadarchive.raw/RTDC4027/ "%USERPROFILE%\AppData\Local\Temp\OnboardLogs"\RTDC4027\2016-12-05 --exclude "*" --recursive --include "*20161205*" &amp; "%USERPROFILE%\Documents\GitHub\mrs-test-scripts\Headless Mode &amp; Sideloading\WalkAndUnGZ.bat" "%USERPROFILE%\AppData\Local\Temp\OnboardLogs"\RTDC4027\2016-12-05</v>
      </c>
      <c r="AF104" s="88" t="str">
        <f t="shared" si="46"/>
        <v>"C:\Program Files (x86)\AstroGrep\AstroGrep.exe" /spath="%USERPROFILE%\AppData\Local\Temp\OnboardLogs" /stypes="app*4027*20161204*" /stext=" 22:.+((SYSTEM_STATE.+slice.+state.+changed )|(ment ac)|(multiple cpu faults)|(system.+state.+changed )|(\[timeout)|(PRM\|1\|D)|(kpr)|(kdp)|(\|lc)|(penalty))" /e /r /s</v>
      </c>
      <c r="AG104" s="1" t="str">
        <f t="shared" si="47"/>
        <v>EC</v>
      </c>
      <c r="AH104" s="92" t="str">
        <f t="shared" si="49"/>
        <v>"%USERPROFILE%\Documents\GitHub\eaglep3\Utilities\RefineRTDCRunTimes.py" --tripid 191-04 --locoid 4027 --swversion DE.1.0.8.0 --startMP 204:438 --initTime 2016-12-04T14:54:14 --startdatetime 2016-12-04T15:00:14 --delay 1 --endMP 204:233308 --enddatetime 2016-12-04T15:35:42 --enforcementcount 0 &gt;&gt;C:\Users\stu\Documents\GitHub\eaglep3-reporting\EC\2016-12-04-refined-times.txt</v>
      </c>
      <c r="AI104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{"issue":{"subject":"","project_id":79,"tracker_id":40,"status_id":1,"priority_id":2,"assigned_to_id":23,"start_date":"2016-12-04","description":"","custom_fields":[{"id":1,"name":"Subdivision","value":"EC"},{"id":4,"name":"Milepost","value":"23.3308"},{"id":17,"name":"Train ID","value":"191-04"},{"id":16,"name":"Locomotive ID","value":"4027"},{"id":130,"name":"Impact","value":""},{"id":150,"name":"Time of Event (Mountain Time)","value":"15:35:42"},{"id":151,"name":"Denver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577</v>
      </c>
      <c r="B105" s="7">
        <v>4028</v>
      </c>
      <c r="C105" s="22" t="s">
        <v>208</v>
      </c>
      <c r="D105" s="22" t="s">
        <v>747</v>
      </c>
      <c r="E105" s="13">
        <v>42708.658553240741</v>
      </c>
      <c r="F105" s="13">
        <v>42708.664224537039</v>
      </c>
      <c r="G105" s="7">
        <v>2</v>
      </c>
      <c r="H105" s="22" t="s">
        <v>206</v>
      </c>
      <c r="I105" s="13">
        <v>42708.690995370373</v>
      </c>
      <c r="J105" s="7">
        <v>0</v>
      </c>
      <c r="K105" s="109" t="str">
        <f t="shared" si="35"/>
        <v>4027/4028</v>
      </c>
      <c r="L105" s="22" t="str">
        <f>VLOOKUP(A105,'Trips&amp;Operators'!$C$1:$G$99999,5,FALSE)</f>
        <v>ROMERO CHAD</v>
      </c>
      <c r="M105" s="6">
        <f t="shared" si="36"/>
        <v>2.6770833334012423E-2</v>
      </c>
      <c r="N105" s="7">
        <f t="shared" si="56"/>
        <v>38.550000000977889</v>
      </c>
      <c r="O105" s="7"/>
      <c r="P105" s="7"/>
      <c r="Q105" s="23"/>
      <c r="R105" s="23"/>
      <c r="S105" s="35">
        <f t="shared" si="54"/>
        <v>1</v>
      </c>
      <c r="T105" s="50" t="str">
        <f t="shared" si="38"/>
        <v>Southbound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14:48:19-700',mode:absolute,to:'2016-12-04 17:35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5" s="52" t="str">
        <f t="shared" si="40"/>
        <v>N</v>
      </c>
      <c r="X105" s="177">
        <f t="shared" si="57"/>
        <v>1</v>
      </c>
      <c r="Y105" s="67">
        <f t="shared" si="42"/>
        <v>23.299399999999999</v>
      </c>
      <c r="Z105" s="67">
        <f t="shared" si="48"/>
        <v>1.5599999999999999E-2</v>
      </c>
      <c r="AA105" s="67">
        <f t="shared" si="43"/>
        <v>23.283799999999999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44"/>
        <v>0192-04</v>
      </c>
      <c r="AE105" s="91" t="str">
        <f t="shared" si="45"/>
        <v>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 &amp; aws s3 cp s3://rtdc.mdm.uploadarchive.raw/RTDC4028/ "%USERPROFILE%\AppData\Local\Temp\OnboardLogs"\RTDC4028\2016-12-05 --exclude "*" --recursive --include "*20161205*" &amp; "%USERPROFILE%\Documents\GitHub\mrs-test-scripts\Headless Mode &amp; Sideloading\WalkAndUnGZ.bat" "%USERPROFILE%\AppData\Local\Temp\OnboardLogs"\RTDC4028\2016-12-05</v>
      </c>
      <c r="AF105" s="88" t="str">
        <f t="shared" si="46"/>
        <v>"C:\Program Files (x86)\AstroGrep\AstroGrep.exe" /spath="%USERPROFILE%\AppData\Local\Temp\OnboardLogs" /stypes="app*4028*20161204*" /stext=" 23:.+((SYSTEM_STATE.+slice.+state.+changed )|(ment ac)|(multiple cpu faults)|(system.+state.+changed )|(\[timeout)|(PRM\|1\|D)|(kpr)|(kdp)|(\|lc)|(penalty))" /e /r /s</v>
      </c>
      <c r="AG105" s="1" t="str">
        <f t="shared" si="47"/>
        <v>EC</v>
      </c>
      <c r="AH105" s="92" t="str">
        <f t="shared" si="49"/>
        <v>"%USERPROFILE%\Documents\GitHub\eaglep3\Utilities\RefineRTDCRunTimes.py" --tripid 192-04 --locoid 4028 --swversion DE.1.0.8.0 --startMP 204:232994 --initTime 2016-12-04T15:48:19 --startdatetime 2016-12-04T15:56:29 --delay 2 --endMP 204:156 --enddatetime 2016-12-04T16:35:02 --enforcementcount 0 &gt;&gt;C:\Users\stu\Documents\GitHub\eaglep3-reporting\EC\2016-12-04-refined-times.txt</v>
      </c>
      <c r="AI105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{"issue":{"subject":"","project_id":79,"tracker_id":40,"status_id":1,"priority_id":2,"assigned_to_id":23,"start_date":"2016-12-04","description":"","custom_fields":[{"id":1,"name":"Subdivision","value":"EC"},{"id":4,"name":"Milepost","value":"0.0156"},{"id":17,"name":"Train ID","value":"192-04"},{"id":16,"name":"Locomotive ID","value":"4028"},{"id":130,"name":"Impact","value":""},{"id":150,"name":"Time of Event (Mountain Time)","value":"16:35:02"},{"id":151,"name":"Denver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570</v>
      </c>
      <c r="B106" s="7">
        <v>4020</v>
      </c>
      <c r="C106" s="22" t="s">
        <v>208</v>
      </c>
      <c r="D106" s="22" t="s">
        <v>261</v>
      </c>
      <c r="E106" s="13">
        <v>42708.632476851853</v>
      </c>
      <c r="F106" s="13">
        <v>42708.635752314818</v>
      </c>
      <c r="G106" s="7">
        <v>1</v>
      </c>
      <c r="H106" s="22" t="s">
        <v>748</v>
      </c>
      <c r="I106" s="13">
        <v>42708.661354166667</v>
      </c>
      <c r="J106" s="7">
        <v>0</v>
      </c>
      <c r="K106" s="109" t="str">
        <f t="shared" si="35"/>
        <v>4019/4020</v>
      </c>
      <c r="L106" s="22" t="str">
        <f>VLOOKUP(A106,'Trips&amp;Operators'!$C$1:$G$99999,5,FALSE)</f>
        <v>MOSES BRADLEY</v>
      </c>
      <c r="M106" s="6">
        <f t="shared" si="36"/>
        <v>2.5601851848477963E-2</v>
      </c>
      <c r="N106" s="7">
        <f t="shared" si="56"/>
        <v>36.866666661808267</v>
      </c>
      <c r="O106" s="7"/>
      <c r="P106" s="7"/>
      <c r="Q106" s="23"/>
      <c r="R106" s="23"/>
      <c r="S106" s="35">
        <f t="shared" si="54"/>
        <v>1</v>
      </c>
      <c r="T106" s="50" t="str">
        <f t="shared" si="38"/>
        <v>NorthBound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14:10:46-700',mode:absolute,to:'2016-12-04 16:52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6" s="52" t="str">
        <f t="shared" si="40"/>
        <v>N</v>
      </c>
      <c r="X106" s="177">
        <f t="shared" si="57"/>
        <v>1</v>
      </c>
      <c r="Y106" s="67">
        <f t="shared" si="42"/>
        <v>4.6699999999999998E-2</v>
      </c>
      <c r="Z106" s="67">
        <f t="shared" si="48"/>
        <v>23.330500000000001</v>
      </c>
      <c r="AA106" s="67">
        <f t="shared" si="43"/>
        <v>23.283799999999999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44"/>
        <v>0193-04</v>
      </c>
      <c r="AE106" s="91" t="str">
        <f t="shared" si="45"/>
        <v>aws s3 cp s3://rtdc.mdm.uploadarchive.raw/RTDC4020/ "%USERPROFILE%\AppData\Local\Temp\OnboardLogs"\RTDC4020\2016-12-04 --exclude "*" --recursive --include "*20161204*" &amp; "%USERPROFILE%\Documents\GitHub\mrs-test-scripts\Headless Mode &amp; Sideloading\WalkAndUnGZ.bat" "%USERPROFILE%\AppData\Local\Temp\OnboardLogs"\RTDC4020\2016-12-04 &amp; aws s3 cp s3://rtdc.mdm.uploadarchive.raw/RTDC4020/ "%USERPROFILE%\AppData\Local\Temp\OnboardLogs"\RTDC4020\2016-12-05 --exclude "*" --recursive --include "*20161205*" &amp; "%USERPROFILE%\Documents\GitHub\mrs-test-scripts\Headless Mode &amp; Sideloading\WalkAndUnGZ.bat" "%USERPROFILE%\AppData\Local\Temp\OnboardLogs"\RTDC4020\2016-12-05</v>
      </c>
      <c r="AF106" s="88" t="str">
        <f t="shared" si="46"/>
        <v>"C:\Program Files (x86)\AstroGrep\AstroGrep.exe" /spath="%USERPROFILE%\AppData\Local\Temp\OnboardLogs" /stypes="app*4020*20161204*" /stext=" 22:.+((SYSTEM_STATE.+slice.+state.+changed )|(ment ac)|(multiple cpu faults)|(system.+state.+changed )|(\[timeout)|(PRM\|1\|D)|(kpr)|(kdp)|(\|lc)|(penalty))" /e /r /s</v>
      </c>
      <c r="AG106" s="1" t="str">
        <f t="shared" si="47"/>
        <v>EC</v>
      </c>
      <c r="AH106" s="92" t="str">
        <f t="shared" si="49"/>
        <v>"%USERPROFILE%\Documents\GitHub\eaglep3\Utilities\RefineRTDCRunTimes.py" --tripid 193-04 --locoid 4020 --swversion DE.1.0.8.0 --startMP 204:467 --initTime 2016-12-04T15:10:46 --startdatetime 2016-12-04T15:15:29 --delay 1 --endMP 204:233305 --enddatetime 2016-12-04T15:52:21 --enforcementcount 0 &gt;&gt;C:\Users\stu\Documents\GitHub\eaglep3-reporting\EC\2016-12-04-refined-times.txt</v>
      </c>
      <c r="AI106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{"issue":{"subject":"","project_id":79,"tracker_id":40,"status_id":1,"priority_id":2,"assigned_to_id":23,"start_date":"2016-12-04","description":"","custom_fields":[{"id":1,"name":"Subdivision","value":"EC"},{"id":4,"name":"Milepost","value":"23.3305"},{"id":17,"name":"Train ID","value":"193-04"},{"id":16,"name":"Locomotive ID","value":"4020"},{"id":130,"name":"Impact","value":""},{"id":150,"name":"Time of Event (Mountain Time)","value":"15:52:21"},{"id":151,"name":"Denver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579</v>
      </c>
      <c r="B107" s="7">
        <v>4019</v>
      </c>
      <c r="C107" s="22" t="s">
        <v>208</v>
      </c>
      <c r="D107" s="22" t="s">
        <v>259</v>
      </c>
      <c r="E107" s="13">
        <v>42708.668182870373</v>
      </c>
      <c r="F107" s="13">
        <v>42708.67454861111</v>
      </c>
      <c r="G107" s="7">
        <v>1</v>
      </c>
      <c r="H107" s="22" t="s">
        <v>306</v>
      </c>
      <c r="I107" s="13">
        <v>42708.701504629629</v>
      </c>
      <c r="J107" s="7">
        <v>0</v>
      </c>
      <c r="K107" s="109" t="str">
        <f t="shared" si="35"/>
        <v>4019/4020</v>
      </c>
      <c r="L107" s="22" t="str">
        <f>VLOOKUP(A107,'Trips&amp;Operators'!$C$1:$G$99999,5,FALSE)</f>
        <v>MOSES BRADLEY</v>
      </c>
      <c r="M107" s="6">
        <f t="shared" si="36"/>
        <v>2.6956018518831115E-2</v>
      </c>
      <c r="N107" s="7">
        <f t="shared" si="56"/>
        <v>38.816666667116806</v>
      </c>
      <c r="O107" s="7"/>
      <c r="P107" s="7"/>
      <c r="Q107" s="23"/>
      <c r="R107" s="23"/>
      <c r="S107" s="35">
        <f t="shared" si="54"/>
        <v>1</v>
      </c>
      <c r="T107" s="50" t="str">
        <f t="shared" si="38"/>
        <v>Southbound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15:02:11-700',mode:absolute,to:'2016-12-04 17:50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07" s="52" t="str">
        <f t="shared" si="40"/>
        <v>N</v>
      </c>
      <c r="X107" s="177">
        <f t="shared" si="57"/>
        <v>1</v>
      </c>
      <c r="Y107" s="67">
        <f t="shared" si="42"/>
        <v>23.2988</v>
      </c>
      <c r="Z107" s="67">
        <f t="shared" si="48"/>
        <v>1.6899999999999998E-2</v>
      </c>
      <c r="AA107" s="67">
        <f t="shared" si="43"/>
        <v>23.2819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44"/>
        <v>0194-04</v>
      </c>
      <c r="AE107" s="91" t="str">
        <f t="shared" si="45"/>
        <v>aws s3 cp s3://rtdc.mdm.uploadarchive.raw/RTDC4019/ "%USERPROFILE%\AppData\Local\Temp\OnboardLogs"\RTDC4019\2016-12-04 --exclude "*" --recursive --include "*20161204*" &amp; "%USERPROFILE%\Documents\GitHub\mrs-test-scripts\Headless Mode &amp; Sideloading\WalkAndUnGZ.bat" "%USERPROFILE%\AppData\Local\Temp\OnboardLogs"\RTDC4019\2016-12-04 &amp; aws s3 cp s3://rtdc.mdm.uploadarchive.raw/RTDC4019/ "%USERPROFILE%\AppData\Local\Temp\OnboardLogs"\RTDC4019\2016-12-05 --exclude "*" --recursive --include "*20161205*" &amp; "%USERPROFILE%\Documents\GitHub\mrs-test-scripts\Headless Mode &amp; Sideloading\WalkAndUnGZ.bat" "%USERPROFILE%\AppData\Local\Temp\OnboardLogs"\RTDC4019\2016-12-05</v>
      </c>
      <c r="AF107" s="88" t="str">
        <f t="shared" si="46"/>
        <v>"C:\Program Files (x86)\AstroGrep\AstroGrep.exe" /spath="%USERPROFILE%\AppData\Local\Temp\OnboardLogs" /stypes="app*4019*20161204*" /stext=" 23:.+((SYSTEM_STATE.+slice.+state.+changed )|(ment ac)|(multiple cpu faults)|(system.+state.+changed )|(\[timeout)|(PRM\|1\|D)|(kpr)|(kdp)|(\|lc)|(penalty))" /e /r /s</v>
      </c>
      <c r="AG107" s="1" t="str">
        <f t="shared" si="47"/>
        <v>EC</v>
      </c>
      <c r="AH107" s="92" t="str">
        <f t="shared" si="49"/>
        <v>"%USERPROFILE%\Documents\GitHub\eaglep3\Utilities\RefineRTDCRunTimes.py" --tripid 194-04 --locoid 4019 --swversion DE.1.0.8.0 --startMP 204:232988 --initTime 2016-12-04T16:02:11 --startdatetime 2016-12-04T16:11:21 --delay 1 --endMP 204:169 --enddatetime 2016-12-04T16:50:10 --enforcementcount 0 &gt;&gt;C:\Users\stu\Documents\GitHub\eaglep3-reporting\EC\2016-12-04-refined-times.txt</v>
      </c>
      <c r="AI107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{"issue":{"subject":"","project_id":79,"tracker_id":40,"status_id":1,"priority_id":2,"assigned_to_id":23,"start_date":"2016-12-04","description":"","custom_fields":[{"id":1,"name":"Subdivision","value":"EC"},{"id":4,"name":"Milepost","value":"0.0169"},{"id":17,"name":"Train ID","value":"194-04"},{"id":16,"name":"Locomotive ID","value":"4019"},{"id":130,"name":"Impact","value":""},{"id":150,"name":"Time of Event (Mountain Time)","value":"16:50:10"},{"id":151,"name":"Denver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572</v>
      </c>
      <c r="B108" s="7">
        <v>4003</v>
      </c>
      <c r="C108" s="22" t="s">
        <v>208</v>
      </c>
      <c r="D108" s="22" t="s">
        <v>749</v>
      </c>
      <c r="E108" s="13">
        <v>42708.650011574071</v>
      </c>
      <c r="F108" s="13">
        <v>42708.650729166664</v>
      </c>
      <c r="G108" s="7">
        <v>1</v>
      </c>
      <c r="H108" s="22" t="s">
        <v>246</v>
      </c>
      <c r="I108" s="13">
        <v>42708.673645833333</v>
      </c>
      <c r="J108" s="7">
        <v>0</v>
      </c>
      <c r="K108" s="109" t="str">
        <f t="shared" si="35"/>
        <v>4003/4004</v>
      </c>
      <c r="L108" s="22" t="str">
        <f>VLOOKUP(A108,'Trips&amp;Operators'!$C$1:$G$99999,5,FALSE)</f>
        <v>YOUNG ELIZABETH</v>
      </c>
      <c r="M108" s="6">
        <f t="shared" si="36"/>
        <v>2.2916666668606922E-2</v>
      </c>
      <c r="N108" s="7"/>
      <c r="O108" s="7"/>
      <c r="P108" s="7">
        <f>24*60*SUM($M108:$M108)</f>
        <v>33.000000002793968</v>
      </c>
      <c r="Q108" s="23"/>
      <c r="R108" s="23" t="s">
        <v>804</v>
      </c>
      <c r="S108" s="35">
        <f t="shared" si="54"/>
        <v>1</v>
      </c>
      <c r="T108" s="50" t="str">
        <f t="shared" si="38"/>
        <v>NorthBound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https://search-rtdc-monitor-bjffxe2xuh6vdkpspy63sjmuny.us-east-1.es.amazonaws.com/_plugin/kibana/#/discover/Steve-Slow-Train-Analysis-(2080s-and-2083s)?_g=(refreshInterval:(display:Off,section:0,value:0),time:(from:'2016-12-04 14:36:01-700',mode:absolute,to:'2016-12-04 17:10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8" s="52" t="str">
        <f t="shared" si="40"/>
        <v>Y</v>
      </c>
      <c r="X108" s="177">
        <f t="shared" si="57"/>
        <v>1</v>
      </c>
      <c r="Y108" s="67">
        <f t="shared" si="42"/>
        <v>1.9126000000000001</v>
      </c>
      <c r="Z108" s="67">
        <f t="shared" si="48"/>
        <v>23.330200000000001</v>
      </c>
      <c r="AA108" s="67">
        <f t="shared" si="43"/>
        <v>21.4176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44"/>
        <v>0195-04</v>
      </c>
      <c r="AE108" s="91" t="str">
        <f t="shared" si="45"/>
        <v>aws s3 cp s3://rtdc.mdm.uploadarchive.raw/RTDC4003/ "%USERPROFILE%\AppData\Local\Temp\OnboardLogs"\RTDC4003\2016-12-04 --exclude "*" --recursive --include "*20161204*" &amp; "%USERPROFILE%\Documents\GitHub\mrs-test-scripts\Headless Mode &amp; Sideloading\WalkAndUnGZ.bat" "%USERPROFILE%\AppData\Local\Temp\OnboardLogs"\RTDC4003\2016-12-04 &amp; aws s3 cp s3://rtdc.mdm.uploadarchive.raw/RTDC4003/ "%USERPROFILE%\AppData\Local\Temp\OnboardLogs"\RTDC4003\2016-12-05 --exclude "*" --recursive --include "*20161205*" &amp; "%USERPROFILE%\Documents\GitHub\mrs-test-scripts\Headless Mode &amp; Sideloading\WalkAndUnGZ.bat" "%USERPROFILE%\AppData\Local\Temp\OnboardLogs"\RTDC4003\2016-12-05</v>
      </c>
      <c r="AF108" s="88" t="str">
        <f t="shared" si="46"/>
        <v>"C:\Program Files (x86)\AstroGrep\AstroGrep.exe" /spath="%USERPROFILE%\AppData\Local\Temp\OnboardLogs" /stypes="app*4003*20161204*" /stext=" 23:.+((SYSTEM_STATE.+slice.+state.+changed )|(ment ac)|(multiple cpu faults)|(system.+state.+changed )|(\[timeout)|(PRM\|1\|D)|(kpr)|(kdp)|(\|lc)|(penalty))" /e /r /s</v>
      </c>
      <c r="AG108" s="1" t="str">
        <f t="shared" si="47"/>
        <v>EC</v>
      </c>
      <c r="AH108" s="92" t="str">
        <f t="shared" si="49"/>
        <v>"%USERPROFILE%\Documents\GitHub\eaglep3\Utilities\RefineRTDCRunTimes.py" --tripid 195-04 --locoid 4003 --swversion DE.1.0.8.0 --startMP 204:19126 --initTime 2016-12-04T15:36:01 --startdatetime 2016-12-04T15:37:03 --delay 1 --endMP 204:233302 --enddatetime 2016-12-04T16:10:03 --enforcementcount 0 &gt;&gt;C:\Users\stu\Documents\GitHub\eaglep3-reporting\EC\2016-12-04-refined-times.txt</v>
      </c>
      <c r="AI108" s="119" t="str">
        <f t="shared" si="50"/>
        <v>echo {"issue":{"subject":"DUS 4N/22N STOP","project_id":79,"tracker_id":40,"status_id":1,"priority_id":2,"assigned_to_id":23,"start_date":"2016-12-04","description":"","custom_fields":[{"id":1,"name":"Subdivision","value":"EC"},{"id":4,"name":"Milepost","value":"23.3302"},{"id":17,"name":"Train ID","value":"195-04"},{"id":16,"name":"Locomotive ID","value":"4003"},{"id":130,"name":"Impact","value":""},{"id":150,"name":"Time of Event (Mountain Time)","value":"16:10:03"},{"id":151,"name":"Denver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7" t="s">
        <v>572</v>
      </c>
      <c r="B109" s="7">
        <v>4003</v>
      </c>
      <c r="C109" s="22" t="s">
        <v>208</v>
      </c>
      <c r="D109" s="22" t="s">
        <v>750</v>
      </c>
      <c r="E109" s="13">
        <v>42708.641944444447</v>
      </c>
      <c r="F109" s="13">
        <v>42708.643194444441</v>
      </c>
      <c r="G109" s="7">
        <v>1</v>
      </c>
      <c r="H109" s="22" t="s">
        <v>713</v>
      </c>
      <c r="I109" s="13">
        <v>42708.646469907406</v>
      </c>
      <c r="J109" s="7">
        <v>0</v>
      </c>
      <c r="K109" s="109" t="str">
        <f t="shared" ref="K109:K140" si="58">IF(ISEVEN(B109),(B109-1)&amp;"/"&amp;B109,B109&amp;"/"&amp;(B109+1))</f>
        <v>4003/4004</v>
      </c>
      <c r="L109" s="22" t="str">
        <f>VLOOKUP(A109,'Trips&amp;Operators'!$C$1:$G$99999,5,FALSE)</f>
        <v>YOUNG ELIZABETH</v>
      </c>
      <c r="M109" s="6">
        <f t="shared" ref="M109:M140" si="59">I109-F109</f>
        <v>3.275462964666076E-3</v>
      </c>
      <c r="N109" s="7"/>
      <c r="O109" s="7"/>
      <c r="P109" s="7"/>
      <c r="Q109" s="23"/>
      <c r="R109" s="23"/>
      <c r="S109" s="35"/>
      <c r="T109" s="50" t="str">
        <f t="shared" ref="T109:T140" si="60">IF(ISEVEN(LEFT(AD109,4)),"Southbound","NorthBound")</f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0</v>
      </c>
      <c r="V109" s="98" t="str">
        <f t="shared" ref="V109:V140" si="61">"https://search-rtdc-monitor-bjffxe2xuh6vdkpspy63sjmuny.us-east-1.es.amazonaws.com/_plugin/kibana/#/discover/Steve-Slow-Train-Analysis-(2080s-and-2083s)?_g=(refreshInterval:(display:Off,section:0,value:0),time:(from:'"&amp;TEXT(E109-1/24,"yyyy-MM-DD hh:mm:ss")&amp;utc_offset&amp;"00',mode:absolute,to:'"&amp;TEXT(I109+1/24,"yyyy-MM-DD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https://search-rtdc-monitor-bjffxe2xuh6vdkpspy63sjmuny.us-east-1.es.amazonaws.com/_plugin/kibana/#/discover/Steve-Slow-Train-Analysis-(2080s-and-2083s)?_g=(refreshInterval:(display:Off,section:0,value:0),time:(from:'2016-12-04 14:24:24-700',mode:absolute,to:'2016-12-04 16:30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9" s="52" t="str">
        <f t="shared" ref="W109:W140" si="62">IF(AA109&lt;IF(AG109="EC",23,5.65),"Y","N")</f>
        <v>Y</v>
      </c>
      <c r="X109" s="177">
        <f t="shared" si="57"/>
        <v>0</v>
      </c>
      <c r="Y109" s="67">
        <f t="shared" ref="Y109:Y140" si="63">RIGHT(D109,LEN(D109)-4)/10000</f>
        <v>5.0900000000000001E-2</v>
      </c>
      <c r="Z109" s="67">
        <f t="shared" si="48"/>
        <v>0.1109</v>
      </c>
      <c r="AA109" s="67">
        <f t="shared" ref="AA109:AA140" si="64">ABS(Z109-Y109)</f>
        <v>0.06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ref="AD109:AD140" si="65">IF(LEN(A109)=6,"0"&amp;A109,A109)</f>
        <v>0195-04</v>
      </c>
      <c r="AE109" s="91" t="str">
        <f t="shared" ref="AE109:AE140" si="66"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s3://rtdc.mdm.uploadarchive.raw/RTDC4003/ "%USERPROFILE%\AppData\Local\Temp\OnboardLogs"\RTDC4003\2016-12-04 --exclude "*" --recursive --include "*20161204*" &amp; "%USERPROFILE%\Documents\GitHub\mrs-test-scripts\Headless Mode &amp; Sideloading\WalkAndUnGZ.bat" "%USERPROFILE%\AppData\Local\Temp\OnboardLogs"\RTDC4003\2016-12-04 &amp; aws s3 cp s3://rtdc.mdm.uploadarchive.raw/RTDC4003/ "%USERPROFILE%\AppData\Local\Temp\OnboardLogs"\RTDC4003\2016-12-05 --exclude "*" --recursive --include "*20161205*" &amp; "%USERPROFILE%\Documents\GitHub\mrs-test-scripts\Headless Mode &amp; Sideloading\WalkAndUnGZ.bat" "%USERPROFILE%\AppData\Local\Temp\OnboardLogs"\RTDC4003\2016-12-05</v>
      </c>
      <c r="AF109" s="88" t="str">
        <f t="shared" ref="AF109:AF140" si="67"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/stypes="app*4003*20161204*" /stext=" 22:.+((SYSTEM_STATE.+slice.+state.+changed )|(ment ac)|(multiple cpu faults)|(system.+state.+changed )|(\[timeout)|(PRM\|1\|D)|(kpr)|(kdp)|(\|lc)|(penalty))" /e /r /s</v>
      </c>
      <c r="AG109" s="1" t="str">
        <f t="shared" ref="AG109:AG140" si="68">IFERROR(IF(VALUE(LEFT(AD109,2))&lt;=2,"EC",IF(OR(VALUE(LEFT(AD109,2))=8,VALUE(LEFT(AD109,2))=18),"NW","Other")),"Other")</f>
        <v>EC</v>
      </c>
      <c r="AH109" s="92" t="str">
        <f t="shared" si="49"/>
        <v>"%USERPROFILE%\Documents\GitHub\eaglep3\Utilities\RefineRTDCRunTimes.py" --tripid 195-04 --locoid 4003 --swversion DE.1.0.8.0 --startMP 204:509 --initTime 2016-12-04T15:24:24 --startdatetime 2016-12-04T15:26:12 --delay 1 --endMP 204:1109 --enddatetime 2016-12-04T15:30:55 --enforcementcount 0 &gt;&gt;C:\Users\stu\Documents\GitHub\eaglep3-reporting\EC\2016-12-04-refined-times.txt</v>
      </c>
      <c r="AI109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{"issue":{"subject":"","project_id":79,"tracker_id":40,"status_id":1,"priority_id":2,"assigned_to_id":23,"start_date":"2016-12-04","description":"","custom_fields":[{"id":1,"name":"Subdivision","value":"EC"},{"id":4,"name":"Milepost","value":"0.1109"},{"id":17,"name":"Train ID","value":"195-04"},{"id":16,"name":"Locomotive ID","value":"4003"},{"id":130,"name":"Impact","value":""},{"id":150,"name":"Time of Event (Mountain Time)","value":"15:30:55"},{"id":151,"name":"Denver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s="21" customFormat="1" x14ac:dyDescent="0.25">
      <c r="A110" s="37" t="s">
        <v>584</v>
      </c>
      <c r="B110" s="7">
        <v>4004</v>
      </c>
      <c r="C110" s="22" t="s">
        <v>208</v>
      </c>
      <c r="D110" s="22" t="s">
        <v>257</v>
      </c>
      <c r="E110" s="13">
        <v>42708.677268518521</v>
      </c>
      <c r="F110" s="13">
        <v>42708.684918981482</v>
      </c>
      <c r="G110" s="7">
        <v>1</v>
      </c>
      <c r="H110" s="22" t="s">
        <v>239</v>
      </c>
      <c r="I110" s="13">
        <v>42708.712627314817</v>
      </c>
      <c r="J110" s="7">
        <v>0</v>
      </c>
      <c r="K110" s="109" t="str">
        <f t="shared" si="58"/>
        <v>4003/4004</v>
      </c>
      <c r="L110" s="22" t="str">
        <f>VLOOKUP(A110,'Trips&amp;Operators'!$C$1:$G$99999,5,FALSE)</f>
        <v>YOUNG ELIZABETH</v>
      </c>
      <c r="M110" s="6">
        <f t="shared" si="59"/>
        <v>2.7708333334885538E-2</v>
      </c>
      <c r="N110" s="7">
        <f t="shared" ref="N110:N148" si="69">24*60*SUM($M110:$M110)</f>
        <v>39.900000002235174</v>
      </c>
      <c r="O110" s="7"/>
      <c r="P110" s="7"/>
      <c r="Q110" s="23"/>
      <c r="R110" s="23"/>
      <c r="S110" s="35">
        <f t="shared" ref="S110:S141" si="70">SUM(U110:U110)/IF(AG110="EC",12,1)</f>
        <v>1</v>
      </c>
      <c r="T110" s="50" t="str">
        <f t="shared" si="60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15:15:16-700',mode:absolute,to:'2016-12-04 18:06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0" s="52" t="str">
        <f t="shared" si="62"/>
        <v>N</v>
      </c>
      <c r="X110" s="177">
        <f t="shared" si="57"/>
        <v>1</v>
      </c>
      <c r="Y110" s="67">
        <f t="shared" si="63"/>
        <v>23.2989</v>
      </c>
      <c r="Z110" s="67">
        <f t="shared" ref="Z110:Z141" si="71">RIGHT(H110,LEN(H110)-4)/10000</f>
        <v>1.6500000000000001E-2</v>
      </c>
      <c r="AA110" s="67">
        <f t="shared" si="64"/>
        <v>23.282399999999999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65"/>
        <v>0196-04</v>
      </c>
      <c r="AE110" s="91" t="str">
        <f t="shared" si="66"/>
        <v>aws s3 cp s3://rtdc.mdm.uploadarchive.raw/RTDC4004/ "%USERPROFILE%\AppData\Local\Temp\OnboardLogs"\RTDC4004\2016-12-04 --exclude "*" --recursive --include "*20161204*" &amp; "%USERPROFILE%\Documents\GitHub\mrs-test-scripts\Headless Mode &amp; Sideloading\WalkAndUnGZ.bat" "%USERPROFILE%\AppData\Local\Temp\OnboardLogs"\RTDC4004\2016-12-04 &amp; aws s3 cp s3://rtdc.mdm.uploadarchive.raw/RTDC4004/ "%USERPROFILE%\AppData\Local\Temp\OnboardLogs"\RTDC4004\2016-12-05 --exclude "*" --recursive --include "*20161205*" &amp; "%USERPROFILE%\Documents\GitHub\mrs-test-scripts\Headless Mode &amp; Sideloading\WalkAndUnGZ.bat" "%USERPROFILE%\AppData\Local\Temp\OnboardLogs"\RTDC4004\2016-12-05</v>
      </c>
      <c r="AF110" s="88" t="str">
        <f t="shared" si="67"/>
        <v>"C:\Program Files (x86)\AstroGrep\AstroGrep.exe" /spath="%USERPROFILE%\AppData\Local\Temp\OnboardLogs" /stypes="app*4004*20161205*" /stext=" 00:.+((SYSTEM_STATE.+slice.+state.+changed )|(ment ac)|(multiple cpu faults)|(system.+state.+changed )|(\[timeout)|(PRM\|1\|D)|(kpr)|(kdp)|(\|lc)|(penalty))" /e /r /s</v>
      </c>
      <c r="AG110" s="1" t="str">
        <f t="shared" si="68"/>
        <v>EC</v>
      </c>
      <c r="AH110" s="92" t="str">
        <f t="shared" si="49"/>
        <v>"%USERPROFILE%\Documents\GitHub\eaglep3\Utilities\RefineRTDCRunTimes.py" --tripid 196-04 --locoid 4004 --swversion DE.1.0.8.0 --startMP 204:232989 --initTime 2016-12-04T16:15:16 --startdatetime 2016-12-04T16:26:17 --delay 1 --endMP 204:165 --enddatetime 2016-12-04T17:06:11 --enforcementcount 0 &gt;&gt;C:\Users\stu\Documents\GitHub\eaglep3-reporting\EC\2016-12-04-refined-times.txt</v>
      </c>
      <c r="AI110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{"issue":{"subject":"","project_id":79,"tracker_id":40,"status_id":1,"priority_id":2,"assigned_to_id":23,"start_date":"2016-12-04","description":"","custom_fields":[{"id":1,"name":"Subdivision","value":"EC"},{"id":4,"name":"Milepost","value":"0.0165"},{"id":17,"name":"Train ID","value":"196-04"},{"id":16,"name":"Locomotive ID","value":"4004"},{"id":130,"name":"Impact","value":""},{"id":150,"name":"Time of Event (Mountain Time)","value":"17:06:11"},{"id":151,"name":"Denver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575</v>
      </c>
      <c r="B111" s="7">
        <v>4042</v>
      </c>
      <c r="C111" s="22" t="s">
        <v>208</v>
      </c>
      <c r="D111" s="22" t="s">
        <v>245</v>
      </c>
      <c r="E111" s="13">
        <v>42708.653379629628</v>
      </c>
      <c r="F111" s="13">
        <v>42708.656412037039</v>
      </c>
      <c r="G111" s="7">
        <v>1</v>
      </c>
      <c r="H111" s="22" t="s">
        <v>751</v>
      </c>
      <c r="I111" s="13">
        <v>42708.682511574072</v>
      </c>
      <c r="J111" s="7">
        <v>0</v>
      </c>
      <c r="K111" s="109" t="str">
        <f t="shared" si="58"/>
        <v>4041/4042</v>
      </c>
      <c r="L111" s="22" t="str">
        <f>VLOOKUP(A111,'Trips&amp;Operators'!$C$1:$G$99999,5,FALSE)</f>
        <v>SMITH MICHAEL</v>
      </c>
      <c r="M111" s="6">
        <f t="shared" si="59"/>
        <v>2.6099537033587694E-2</v>
      </c>
      <c r="N111" s="7">
        <f t="shared" si="69"/>
        <v>37.58333332836628</v>
      </c>
      <c r="O111" s="7"/>
      <c r="P111" s="7"/>
      <c r="Q111" s="23"/>
      <c r="R111" s="23"/>
      <c r="S111" s="35">
        <f t="shared" si="70"/>
        <v>1</v>
      </c>
      <c r="T111" s="50" t="str">
        <f t="shared" si="60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14:40:52-700',mode:absolute,to:'2016-12-04 17:22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1" s="52" t="str">
        <f t="shared" si="62"/>
        <v>N</v>
      </c>
      <c r="X111" s="177">
        <f t="shared" si="57"/>
        <v>1</v>
      </c>
      <c r="Y111" s="67">
        <f t="shared" si="63"/>
        <v>4.5999999999999999E-2</v>
      </c>
      <c r="Z111" s="67">
        <f t="shared" si="71"/>
        <v>23.328399999999998</v>
      </c>
      <c r="AA111" s="67">
        <f t="shared" si="64"/>
        <v>23.282399999999999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65"/>
        <v>0197-04</v>
      </c>
      <c r="AE111" s="91" t="str">
        <f t="shared" si="66"/>
        <v>aws s3 cp s3://rtdc.mdm.uploadarchive.raw/RTDC4042/ "%USERPROFILE%\AppData\Local\Temp\OnboardLogs"\RTDC4042\2016-12-04 --exclude "*" --recursive --include "*20161204*" &amp; "%USERPROFILE%\Documents\GitHub\mrs-test-scripts\Headless Mode &amp; Sideloading\WalkAndUnGZ.bat" "%USERPROFILE%\AppData\Local\Temp\OnboardLogs"\RTDC4042\2016-12-04 &amp; aws s3 cp s3://rtdc.mdm.uploadarchive.raw/RTDC4042/ "%USERPROFILE%\AppData\Local\Temp\OnboardLogs"\RTDC4042\2016-12-05 --exclude "*" --recursive --include "*20161205*" &amp; "%USERPROFILE%\Documents\GitHub\mrs-test-scripts\Headless Mode &amp; Sideloading\WalkAndUnGZ.bat" "%USERPROFILE%\AppData\Local\Temp\OnboardLogs"\RTDC4042\2016-12-05</v>
      </c>
      <c r="AF111" s="88" t="str">
        <f t="shared" si="67"/>
        <v>"C:\Program Files (x86)\AstroGrep\AstroGrep.exe" /spath="%USERPROFILE%\AppData\Local\Temp\OnboardLogs" /stypes="app*4042*20161204*" /stext=" 23:.+((SYSTEM_STATE.+slice.+state.+changed )|(ment ac)|(multiple cpu faults)|(system.+state.+changed )|(\[timeout)|(PRM\|1\|D)|(kpr)|(kdp)|(\|lc)|(penalty))" /e /r /s</v>
      </c>
      <c r="AG111" s="1" t="str">
        <f t="shared" si="68"/>
        <v>EC</v>
      </c>
      <c r="AH111" s="92" t="str">
        <f t="shared" si="49"/>
        <v>"%USERPROFILE%\Documents\GitHub\eaglep3\Utilities\RefineRTDCRunTimes.py" --tripid 197-04 --locoid 4042 --swversion DE.1.0.8.0 --startMP 204:460 --initTime 2016-12-04T15:40:52 --startdatetime 2016-12-04T15:45:14 --delay 1 --endMP 204:233284 --enddatetime 2016-12-04T16:22:49 --enforcementcount 0 &gt;&gt;C:\Users\stu\Documents\GitHub\eaglep3-reporting\EC\2016-12-04-refined-times.txt</v>
      </c>
      <c r="AI111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{"issue":{"subject":"","project_id":79,"tracker_id":40,"status_id":1,"priority_id":2,"assigned_to_id":23,"start_date":"2016-12-04","description":"","custom_fields":[{"id":1,"name":"Subdivision","value":"EC"},{"id":4,"name":"Milepost","value":"23.3284"},{"id":17,"name":"Train ID","value":"197-04"},{"id":16,"name":"Locomotive ID","value":"4042"},{"id":130,"name":"Impact","value":""},{"id":150,"name":"Time of Event (Mountain Time)","value":"16:22:49"},{"id":151,"name":"Denver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454</v>
      </c>
      <c r="B112" s="7">
        <v>4041</v>
      </c>
      <c r="C112" s="22" t="s">
        <v>208</v>
      </c>
      <c r="D112" s="22" t="s">
        <v>378</v>
      </c>
      <c r="E112" s="13">
        <v>42708.688981481479</v>
      </c>
      <c r="F112" s="13">
        <v>42708.6953587963</v>
      </c>
      <c r="G112" s="7">
        <v>1</v>
      </c>
      <c r="H112" s="22" t="s">
        <v>752</v>
      </c>
      <c r="I112" s="13">
        <v>42708.722997685189</v>
      </c>
      <c r="J112" s="7">
        <v>0</v>
      </c>
      <c r="K112" s="109" t="str">
        <f t="shared" si="58"/>
        <v>4041/4042</v>
      </c>
      <c r="L112" s="22" t="str">
        <f>VLOOKUP(A112,'Trips&amp;Operators'!$C$1:$G$99999,5,FALSE)</f>
        <v>SMITH MICHAEL</v>
      </c>
      <c r="M112" s="6">
        <f t="shared" si="59"/>
        <v>2.7638888888759539E-2</v>
      </c>
      <c r="N112" s="7">
        <f t="shared" si="69"/>
        <v>39.799999999813735</v>
      </c>
      <c r="O112" s="7"/>
      <c r="P112" s="7"/>
      <c r="Q112" s="23"/>
      <c r="R112" s="23"/>
      <c r="S112" s="35">
        <f t="shared" si="70"/>
        <v>1</v>
      </c>
      <c r="T112" s="50" t="str">
        <f t="shared" si="60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15:32:08-700',mode:absolute,to:'2016-12-04 18:21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2" s="52" t="str">
        <f t="shared" si="62"/>
        <v>N</v>
      </c>
      <c r="X112" s="177">
        <f t="shared" si="57"/>
        <v>1</v>
      </c>
      <c r="Y112" s="67">
        <f t="shared" si="63"/>
        <v>23.296700000000001</v>
      </c>
      <c r="Z112" s="67">
        <f t="shared" si="71"/>
        <v>1.78E-2</v>
      </c>
      <c r="AA112" s="67">
        <f t="shared" si="64"/>
        <v>23.2789</v>
      </c>
      <c r="AB112" s="64" t="str">
        <f>VLOOKUP(A112,Enforcements!$C$7:$K$20,8,0)</f>
        <v>Form based authority (4)</v>
      </c>
      <c r="AC112" s="60" t="str">
        <f>VLOOKUP(A112,Enforcements!$C$7:$E$20,3,0)</f>
        <v>TRACK WARRANT AUTHORITY</v>
      </c>
      <c r="AD112" s="61" t="str">
        <f t="shared" si="65"/>
        <v>0198-04</v>
      </c>
      <c r="AE112" s="91" t="str">
        <f t="shared" si="66"/>
        <v>aws s3 cp s3://rtdc.mdm.uploadarchive.raw/RTDC4041/ "%USERPROFILE%\AppData\Local\Temp\OnboardLogs"\RTDC4041\2016-12-04 --exclude "*" --recursive --include "*20161204*" &amp; "%USERPROFILE%\Documents\GitHub\mrs-test-scripts\Headless Mode &amp; Sideloading\WalkAndUnGZ.bat" "%USERPROFILE%\AppData\Local\Temp\OnboardLogs"\RTDC4041\2016-12-04 &amp; aws s3 cp s3://rtdc.mdm.uploadarchive.raw/RTDC4041/ "%USERPROFILE%\AppData\Local\Temp\OnboardLogs"\RTDC4041\2016-12-05 --exclude "*" --recursive --include "*20161205*" &amp; "%USERPROFILE%\Documents\GitHub\mrs-test-scripts\Headless Mode &amp; Sideloading\WalkAndUnGZ.bat" "%USERPROFILE%\AppData\Local\Temp\OnboardLogs"\RTDC4041\2016-12-05</v>
      </c>
      <c r="AF112" s="88" t="str">
        <f t="shared" si="67"/>
        <v>"C:\Program Files (x86)\AstroGrep\AstroGrep.exe" /spath="%USERPROFILE%\AppData\Local\Temp\OnboardLogs" /stypes="app*4041*20161205*" /stext=" 00:.+((SYSTEM_STATE.+slice.+state.+changed )|(ment ac)|(multiple cpu faults)|(system.+state.+changed )|(\[timeout)|(PRM\|1\|D)|(kpr)|(kdp)|(\|lc)|(penalty))" /e /r /s</v>
      </c>
      <c r="AG112" s="1" t="str">
        <f t="shared" si="68"/>
        <v>EC</v>
      </c>
      <c r="AH112" s="92" t="str">
        <f t="shared" si="49"/>
        <v>"%USERPROFILE%\Documents\GitHub\eaglep3\Utilities\RefineRTDCRunTimes.py" --tripid 198-04 --locoid 4041 --swversion DE.1.0.8.0 --startMP 204:232967 --initTime 2016-12-04T16:32:08 --startdatetime 2016-12-04T16:41:19 --delay 1 --endMP 204:178 --enddatetime 2016-12-04T17:21:07 --enforcementcount 0 &gt;&gt;C:\Users\stu\Documents\GitHub\eaglep3-reporting\EC\2016-12-04-refined-times.txt</v>
      </c>
      <c r="AI112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{"issue":{"subject":"","project_id":79,"tracker_id":40,"status_id":1,"priority_id":2,"assigned_to_id":23,"start_date":"2016-12-04","description":"","custom_fields":[{"id":1,"name":"Subdivision","value":"EC"},{"id":4,"name":"Milepost","value":"0.0178"},{"id":17,"name":"Train ID","value":"198-04"},{"id":16,"name":"Locomotive ID","value":"4041"},{"id":130,"name":"Impact","value":""},{"id":150,"name":"Time of Event (Mountain Time)","value":"17:21:07"},{"id":151,"name":"Denver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578</v>
      </c>
      <c r="B113" s="7">
        <v>4031</v>
      </c>
      <c r="C113" s="22" t="s">
        <v>208</v>
      </c>
      <c r="D113" s="22" t="s">
        <v>371</v>
      </c>
      <c r="E113" s="13">
        <v>42708.661296296297</v>
      </c>
      <c r="F113" s="13">
        <v>42708.666956018518</v>
      </c>
      <c r="G113" s="7">
        <v>1</v>
      </c>
      <c r="H113" s="22" t="s">
        <v>426</v>
      </c>
      <c r="I113" s="13">
        <v>42708.692164351851</v>
      </c>
      <c r="J113" s="7">
        <v>0</v>
      </c>
      <c r="K113" s="109" t="str">
        <f t="shared" si="58"/>
        <v>4031/4032</v>
      </c>
      <c r="L113" s="22" t="str">
        <f>VLOOKUP(A113,'Trips&amp;Operators'!$C$1:$G$99999,5,FALSE)</f>
        <v>SHOOK JOHN</v>
      </c>
      <c r="M113" s="6">
        <f t="shared" si="59"/>
        <v>2.5208333332557231E-2</v>
      </c>
      <c r="N113" s="7">
        <f t="shared" si="69"/>
        <v>36.299999998882413</v>
      </c>
      <c r="O113" s="7"/>
      <c r="P113" s="7"/>
      <c r="Q113" s="23"/>
      <c r="R113" s="23"/>
      <c r="S113" s="35">
        <f t="shared" si="70"/>
        <v>1</v>
      </c>
      <c r="T113" s="50" t="str">
        <f t="shared" si="60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14:52:16-700',mode:absolute,to:'2016-12-04 17:36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3" s="52" t="str">
        <f t="shared" si="62"/>
        <v>N</v>
      </c>
      <c r="X113" s="177">
        <f t="shared" si="57"/>
        <v>1</v>
      </c>
      <c r="Y113" s="67">
        <f t="shared" si="63"/>
        <v>4.6899999999999997E-2</v>
      </c>
      <c r="Z113" s="67">
        <f t="shared" si="71"/>
        <v>23.336300000000001</v>
      </c>
      <c r="AA113" s="67">
        <f t="shared" si="64"/>
        <v>23.289400000000001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65"/>
        <v>0199-04</v>
      </c>
      <c r="AE113" s="91" t="str">
        <f t="shared" si="66"/>
        <v>aws s3 cp s3://rtdc.mdm.uploadarchive.raw/RTDC4031/ "%USERPROFILE%\AppData\Local\Temp\OnboardLogs"\RTDC4031\2016-12-04 --exclude "*" --recursive --include "*20161204*" &amp; "%USERPROFILE%\Documents\GitHub\mrs-test-scripts\Headless Mode &amp; Sideloading\WalkAndUnGZ.bat" "%USERPROFILE%\AppData\Local\Temp\OnboardLogs"\RTDC4031\2016-12-04 &amp; aws s3 cp s3://rtdc.mdm.uploadarchive.raw/RTDC4031/ "%USERPROFILE%\AppData\Local\Temp\OnboardLogs"\RTDC4031\2016-12-05 --exclude "*" --recursive --include "*20161205*" &amp; "%USERPROFILE%\Documents\GitHub\mrs-test-scripts\Headless Mode &amp; Sideloading\WalkAndUnGZ.bat" "%USERPROFILE%\AppData\Local\Temp\OnboardLogs"\RTDC4031\2016-12-05</v>
      </c>
      <c r="AF113" s="88" t="str">
        <f t="shared" si="67"/>
        <v>"C:\Program Files (x86)\AstroGrep\AstroGrep.exe" /spath="%USERPROFILE%\AppData\Local\Temp\OnboardLogs" /stypes="app*4031*20161204*" /stext=" 23:.+((SYSTEM_STATE.+slice.+state.+changed )|(ment ac)|(multiple cpu faults)|(system.+state.+changed )|(\[timeout)|(PRM\|1\|D)|(kpr)|(kdp)|(\|lc)|(penalty))" /e /r /s</v>
      </c>
      <c r="AG113" s="1" t="str">
        <f t="shared" si="68"/>
        <v>EC</v>
      </c>
      <c r="AH113" s="92" t="str">
        <f t="shared" si="49"/>
        <v>"%USERPROFILE%\Documents\GitHub\eaglep3\Utilities\RefineRTDCRunTimes.py" --tripid 199-04 --locoid 4031 --swversion DE.1.0.8.0 --startMP 204:469 --initTime 2016-12-04T15:52:16 --startdatetime 2016-12-04T16:00:25 --delay 1 --endMP 204:233363 --enddatetime 2016-12-04T16:36:43 --enforcementcount 0 &gt;&gt;C:\Users\stu\Documents\GitHub\eaglep3-reporting\EC\2016-12-04-refined-times.txt</v>
      </c>
      <c r="AI113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{"issue":{"subject":"","project_id":79,"tracker_id":40,"status_id":1,"priority_id":2,"assigned_to_id":23,"start_date":"2016-12-04","description":"","custom_fields":[{"id":1,"name":"Subdivision","value":"EC"},{"id":4,"name":"Milepost","value":"23.3363"},{"id":17,"name":"Train ID","value":"199-04"},{"id":16,"name":"Locomotive ID","value":"4031"},{"id":130,"name":"Impact","value":""},{"id":150,"name":"Time of Event (Mountain Time)","value":"16:36:43"},{"id":151,"name":"Denver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588</v>
      </c>
      <c r="B114" s="7">
        <v>4032</v>
      </c>
      <c r="C114" s="22" t="s">
        <v>208</v>
      </c>
      <c r="D114" s="22" t="s">
        <v>753</v>
      </c>
      <c r="E114" s="13">
        <v>42708.700821759259</v>
      </c>
      <c r="F114" s="13">
        <v>42708.705787037034</v>
      </c>
      <c r="G114" s="7">
        <v>0</v>
      </c>
      <c r="H114" s="22" t="s">
        <v>237</v>
      </c>
      <c r="I114" s="13">
        <v>42708.731956018521</v>
      </c>
      <c r="J114" s="7">
        <v>0</v>
      </c>
      <c r="K114" s="109" t="str">
        <f t="shared" si="58"/>
        <v>4031/4032</v>
      </c>
      <c r="L114" s="22" t="str">
        <f>VLOOKUP(A114,'Trips&amp;Operators'!$C$1:$G$99999,5,FALSE)</f>
        <v>SHOOK JOHN</v>
      </c>
      <c r="M114" s="6">
        <f t="shared" si="59"/>
        <v>2.6168981486989651E-2</v>
      </c>
      <c r="N114" s="7">
        <f t="shared" si="69"/>
        <v>37.683333341265097</v>
      </c>
      <c r="O114" s="7"/>
      <c r="P114" s="7"/>
      <c r="Q114" s="23"/>
      <c r="R114" s="23"/>
      <c r="S114" s="35">
        <f t="shared" si="70"/>
        <v>1</v>
      </c>
      <c r="T114" s="50" t="str">
        <f t="shared" si="60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15:49:11-700',mode:absolute,to:'2016-12-04 18:34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4" s="52" t="str">
        <f t="shared" si="62"/>
        <v>N</v>
      </c>
      <c r="X114" s="177">
        <f t="shared" si="57"/>
        <v>1</v>
      </c>
      <c r="Y114" s="67">
        <f t="shared" si="63"/>
        <v>23.303999999999998</v>
      </c>
      <c r="Z114" s="67">
        <f t="shared" si="71"/>
        <v>1.47E-2</v>
      </c>
      <c r="AA114" s="67">
        <f t="shared" si="64"/>
        <v>23.289299999999997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65"/>
        <v>0200-04</v>
      </c>
      <c r="AE114" s="91" t="str">
        <f t="shared" si="66"/>
        <v>aws s3 cp s3://rtdc.mdm.uploadarchive.raw/RTDC4032/ "%USERPROFILE%\AppData\Local\Temp\OnboardLogs"\RTDC4032\2016-12-04 --exclude "*" --recursive --include "*20161204*" &amp; "%USERPROFILE%\Documents\GitHub\mrs-test-scripts\Headless Mode &amp; Sideloading\WalkAndUnGZ.bat" "%USERPROFILE%\AppData\Local\Temp\OnboardLogs"\RTDC4032\2016-12-04 &amp; aws s3 cp s3://rtdc.mdm.uploadarchive.raw/RTDC4032/ "%USERPROFILE%\AppData\Local\Temp\OnboardLogs"\RTDC4032\2016-12-05 --exclude "*" --recursive --include "*20161205*" &amp; "%USERPROFILE%\Documents\GitHub\mrs-test-scripts\Headless Mode &amp; Sideloading\WalkAndUnGZ.bat" "%USERPROFILE%\AppData\Local\Temp\OnboardLogs"\RTDC4032\2016-12-05</v>
      </c>
      <c r="AF114" s="88" t="str">
        <f t="shared" si="67"/>
        <v>"C:\Program Files (x86)\AstroGrep\AstroGrep.exe" /spath="%USERPROFILE%\AppData\Local\Temp\OnboardLogs" /stypes="app*4032*20161205*" /stext=" 00:.+((SYSTEM_STATE.+slice.+state.+changed )|(ment ac)|(multiple cpu faults)|(system.+state.+changed )|(\[timeout)|(PRM\|1\|D)|(kpr)|(kdp)|(\|lc)|(penalty))" /e /r /s</v>
      </c>
      <c r="AG114" s="1" t="str">
        <f t="shared" si="68"/>
        <v>EC</v>
      </c>
      <c r="AH114" s="92" t="str">
        <f t="shared" si="49"/>
        <v>"%USERPROFILE%\Documents\GitHub\eaglep3\Utilities\RefineRTDCRunTimes.py" --tripid 200-04 --locoid 4032 --swversion DE.1.0.8.0 --startMP 204:233040 --initTime 2016-12-04T16:49:11 --startdatetime 2016-12-04T16:56:20 --delay 0 --endMP 204:147 --enddatetime 2016-12-04T17:34:01 --enforcementcount 0 &gt;&gt;C:\Users\stu\Documents\GitHub\eaglep3-reporting\EC\2016-12-04-refined-times.txt</v>
      </c>
      <c r="AI114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{"issue":{"subject":"","project_id":79,"tracker_id":40,"status_id":1,"priority_id":2,"assigned_to_id":23,"start_date":"2016-12-04","description":"","custom_fields":[{"id":1,"name":"Subdivision","value":"EC"},{"id":4,"name":"Milepost","value":"0.0147"},{"id":17,"name":"Train ID","value":"200-04"},{"id":16,"name":"Locomotive ID","value":"4032"},{"id":130,"name":"Impact","value":""},{"id":150,"name":"Time of Event (Mountain Time)","value":"17:34:01"},{"id":151,"name":"Denver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580</v>
      </c>
      <c r="B115" s="7">
        <v>4038</v>
      </c>
      <c r="C115" s="22" t="s">
        <v>208</v>
      </c>
      <c r="D115" s="22" t="s">
        <v>420</v>
      </c>
      <c r="E115" s="13">
        <v>42708.671516203707</v>
      </c>
      <c r="F115" s="13">
        <v>42708.677384259259</v>
      </c>
      <c r="G115" s="7">
        <v>1</v>
      </c>
      <c r="H115" s="22" t="s">
        <v>754</v>
      </c>
      <c r="I115" s="13">
        <v>42708.702314814815</v>
      </c>
      <c r="J115" s="7">
        <v>0</v>
      </c>
      <c r="K115" s="109" t="str">
        <f t="shared" si="58"/>
        <v>4037/4038</v>
      </c>
      <c r="L115" s="22" t="str">
        <f>VLOOKUP(A115,'Trips&amp;Operators'!$C$1:$G$99999,5,FALSE)</f>
        <v>STEWART MICHAEL</v>
      </c>
      <c r="M115" s="6">
        <f t="shared" si="59"/>
        <v>2.4930555555329192E-2</v>
      </c>
      <c r="N115" s="7">
        <f t="shared" si="69"/>
        <v>35.899999999674037</v>
      </c>
      <c r="O115" s="7"/>
      <c r="P115" s="7"/>
      <c r="Q115" s="23"/>
      <c r="R115" s="23"/>
      <c r="S115" s="35">
        <f t="shared" si="70"/>
        <v>1</v>
      </c>
      <c r="T115" s="50" t="str">
        <f t="shared" si="60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15:06:59-700',mode:absolute,to:'2016-12-04 17:51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5" s="52" t="str">
        <f t="shared" si="62"/>
        <v>N</v>
      </c>
      <c r="X115" s="177">
        <f t="shared" si="57"/>
        <v>1</v>
      </c>
      <c r="Y115" s="67">
        <f t="shared" si="63"/>
        <v>4.7500000000000001E-2</v>
      </c>
      <c r="Z115" s="67">
        <f t="shared" si="71"/>
        <v>23.326599999999999</v>
      </c>
      <c r="AA115" s="67">
        <f t="shared" si="64"/>
        <v>23.2791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65"/>
        <v>0201-04</v>
      </c>
      <c r="AE115" s="91" t="str">
        <f t="shared" si="66"/>
        <v>aws s3 cp s3://rtdc.mdm.uploadarchive.raw/RTDC4038/ "%USERPROFILE%\AppData\Local\Temp\OnboardLogs"\RTDC4038\2016-12-04 --exclude "*" --recursive --include "*20161204*" &amp; "%USERPROFILE%\Documents\GitHub\mrs-test-scripts\Headless Mode &amp; Sideloading\WalkAndUnGZ.bat" "%USERPROFILE%\AppData\Local\Temp\OnboardLogs"\RTDC4038\2016-12-04 &amp; 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</v>
      </c>
      <c r="AF115" s="88" t="str">
        <f t="shared" si="67"/>
        <v>"C:\Program Files (x86)\AstroGrep\AstroGrep.exe" /spath="%USERPROFILE%\AppData\Local\Temp\OnboardLogs" /stypes="app*4038*20161204*" /stext=" 23:.+((SYSTEM_STATE.+slice.+state.+changed )|(ment ac)|(multiple cpu faults)|(system.+state.+changed )|(\[timeout)|(PRM\|1\|D)|(kpr)|(kdp)|(\|lc)|(penalty))" /e /r /s</v>
      </c>
      <c r="AG115" s="1" t="str">
        <f t="shared" si="68"/>
        <v>EC</v>
      </c>
      <c r="AH115" s="92" t="str">
        <f t="shared" si="49"/>
        <v>"%USERPROFILE%\Documents\GitHub\eaglep3\Utilities\RefineRTDCRunTimes.py" --tripid 201-04 --locoid 4038 --swversion DE.1.0.8.0 --startMP 204:475 --initTime 2016-12-04T16:06:59 --startdatetime 2016-12-04T16:15:26 --delay 1 --endMP 204:233266 --enddatetime 2016-12-04T16:51:20 --enforcementcount 0 &gt;&gt;C:\Users\stu\Documents\GitHub\eaglep3-reporting\EC\2016-12-04-refined-times.txt</v>
      </c>
      <c r="AI115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{"issue":{"subject":"","project_id":79,"tracker_id":40,"status_id":1,"priority_id":2,"assigned_to_id":23,"start_date":"2016-12-04","description":"","custom_fields":[{"id":1,"name":"Subdivision","value":"EC"},{"id":4,"name":"Milepost","value":"23.3266"},{"id":17,"name":"Train ID","value":"201-04"},{"id":16,"name":"Locomotive ID","value":"4038"},{"id":130,"name":"Impact","value":""},{"id":150,"name":"Time of Event (Mountain Time)","value":"16:51:20"},{"id":151,"name":"Denver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590</v>
      </c>
      <c r="B116" s="7">
        <v>4037</v>
      </c>
      <c r="C116" s="22" t="s">
        <v>208</v>
      </c>
      <c r="D116" s="22" t="s">
        <v>755</v>
      </c>
      <c r="E116" s="13">
        <v>42708.713171296295</v>
      </c>
      <c r="F116" s="13">
        <v>42708.716203703705</v>
      </c>
      <c r="G116" s="7">
        <v>1</v>
      </c>
      <c r="H116" s="22" t="s">
        <v>656</v>
      </c>
      <c r="I116" s="13">
        <v>42708.742928240739</v>
      </c>
      <c r="J116" s="7">
        <v>0</v>
      </c>
      <c r="K116" s="109" t="str">
        <f t="shared" si="58"/>
        <v>4037/4038</v>
      </c>
      <c r="L116" s="22" t="str">
        <f>VLOOKUP(A116,'Trips&amp;Operators'!$C$1:$G$99999,5,FALSE)</f>
        <v>STEWART MICHAEL</v>
      </c>
      <c r="M116" s="6">
        <f t="shared" si="59"/>
        <v>2.6724537034169771E-2</v>
      </c>
      <c r="N116" s="7">
        <f t="shared" si="69"/>
        <v>38.48333332920447</v>
      </c>
      <c r="O116" s="7"/>
      <c r="P116" s="7"/>
      <c r="Q116" s="23"/>
      <c r="R116" s="23"/>
      <c r="S116" s="35">
        <f t="shared" si="70"/>
        <v>1</v>
      </c>
      <c r="T116" s="50" t="str">
        <f t="shared" si="60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16:06:58-700',mode:absolute,to:'2016-12-04 18:49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6" s="52" t="str">
        <f t="shared" si="62"/>
        <v>N</v>
      </c>
      <c r="X116" s="177">
        <f t="shared" si="57"/>
        <v>1</v>
      </c>
      <c r="Y116" s="67">
        <f t="shared" si="63"/>
        <v>23.296500000000002</v>
      </c>
      <c r="Z116" s="67">
        <f t="shared" si="71"/>
        <v>1.52E-2</v>
      </c>
      <c r="AA116" s="67">
        <f t="shared" si="64"/>
        <v>23.281300000000002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65"/>
        <v>0202-04</v>
      </c>
      <c r="AE116" s="91" t="str">
        <f t="shared" si="66"/>
        <v>aws s3 cp s3://rtdc.mdm.uploadarchive.raw/RTDC4037/ "%USERPROFILE%\AppData\Local\Temp\OnboardLogs"\RTDC4037\2016-12-04 --exclude "*" --recursive --include "*20161204*" &amp; "%USERPROFILE%\Documents\GitHub\mrs-test-scripts\Headless Mode &amp; Sideloading\WalkAndUnGZ.bat" "%USERPROFILE%\AppData\Local\Temp\OnboardLogs"\RTDC4037\2016-12-04 &amp; 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</v>
      </c>
      <c r="AF116" s="88" t="str">
        <f t="shared" si="67"/>
        <v>"C:\Program Files (x86)\AstroGrep\AstroGrep.exe" /spath="%USERPROFILE%\AppData\Local\Temp\OnboardLogs" /stypes="app*4037*20161205*" /stext=" 00:.+((SYSTEM_STATE.+slice.+state.+changed )|(ment ac)|(multiple cpu faults)|(system.+state.+changed )|(\[timeout)|(PRM\|1\|D)|(kpr)|(kdp)|(\|lc)|(penalty))" /e /r /s</v>
      </c>
      <c r="AG116" s="1" t="str">
        <f t="shared" si="68"/>
        <v>EC</v>
      </c>
      <c r="AH116" s="92" t="str">
        <f t="shared" si="49"/>
        <v>"%USERPROFILE%\Documents\GitHub\eaglep3\Utilities\RefineRTDCRunTimes.py" --tripid 202-04 --locoid 4037 --swversion DE.1.0.8.0 --startMP 204:232965 --initTime 2016-12-04T17:06:58 --startdatetime 2016-12-04T17:11:20 --delay 1 --endMP 204:152 --enddatetime 2016-12-04T17:49:49 --enforcementcount 0 &gt;&gt;C:\Users\stu\Documents\GitHub\eaglep3-reporting\EC\2016-12-04-refined-times.txt</v>
      </c>
      <c r="AI116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{"issue":{"subject":"","project_id":79,"tracker_id":40,"status_id":1,"priority_id":2,"assigned_to_id":23,"start_date":"2016-12-04","description":"","custom_fields":[{"id":1,"name":"Subdivision","value":"EC"},{"id":4,"name":"Milepost","value":"0.0152"},{"id":17,"name":"Train ID","value":"202-04"},{"id":16,"name":"Locomotive ID","value":"4037"},{"id":130,"name":"Impact","value":""},{"id":150,"name":"Time of Event (Mountain Time)","value":"17:49:49"},{"id":151,"name":"Denver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585</v>
      </c>
      <c r="B117" s="7">
        <v>4029</v>
      </c>
      <c r="C117" s="22" t="s">
        <v>208</v>
      </c>
      <c r="D117" s="22" t="s">
        <v>229</v>
      </c>
      <c r="E117" s="13">
        <v>42708.682858796295</v>
      </c>
      <c r="F117" s="13">
        <v>42708.687685185185</v>
      </c>
      <c r="G117" s="7">
        <v>1</v>
      </c>
      <c r="H117" s="22" t="s">
        <v>421</v>
      </c>
      <c r="I117" s="13">
        <v>42708.713125000002</v>
      </c>
      <c r="J117" s="7">
        <v>0</v>
      </c>
      <c r="K117" s="109" t="str">
        <f t="shared" si="58"/>
        <v>4029/4030</v>
      </c>
      <c r="L117" s="22" t="str">
        <f>VLOOKUP(A117,'Trips&amp;Operators'!$C$1:$G$99999,5,FALSE)</f>
        <v>BARTLETT KIANDRA</v>
      </c>
      <c r="M117" s="6">
        <f t="shared" si="59"/>
        <v>2.5439814817218576E-2</v>
      </c>
      <c r="N117" s="7">
        <f t="shared" si="69"/>
        <v>36.633333336794749</v>
      </c>
      <c r="O117" s="7"/>
      <c r="P117" s="7"/>
      <c r="Q117" s="23"/>
      <c r="R117" s="23"/>
      <c r="S117" s="35">
        <f t="shared" si="70"/>
        <v>1</v>
      </c>
      <c r="T117" s="50" t="str">
        <f t="shared" si="60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15:23:19-700',mode:absolute,to:'2016-12-04 18:06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7" s="52" t="str">
        <f t="shared" si="62"/>
        <v>N</v>
      </c>
      <c r="X117" s="177">
        <f t="shared" si="57"/>
        <v>1</v>
      </c>
      <c r="Y117" s="67">
        <f t="shared" si="63"/>
        <v>4.6600000000000003E-2</v>
      </c>
      <c r="Z117" s="67">
        <f t="shared" si="71"/>
        <v>23.3293</v>
      </c>
      <c r="AA117" s="67">
        <f t="shared" si="64"/>
        <v>23.282699999999998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65"/>
        <v>0203-04</v>
      </c>
      <c r="AE117" s="91" t="str">
        <f t="shared" si="66"/>
        <v>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 &amp; aws s3 cp s3://rtdc.mdm.uploadarchive.raw/RTDC4029/ "%USERPROFILE%\AppData\Local\Temp\OnboardLogs"\RTDC4029\2016-12-05 --exclude "*" --recursive --include "*20161205*" &amp; "%USERPROFILE%\Documents\GitHub\mrs-test-scripts\Headless Mode &amp; Sideloading\WalkAndUnGZ.bat" "%USERPROFILE%\AppData\Local\Temp\OnboardLogs"\RTDC4029\2016-12-05</v>
      </c>
      <c r="AF117" s="88" t="str">
        <f t="shared" si="67"/>
        <v>"C:\Program Files (x86)\AstroGrep\AstroGrep.exe" /spath="%USERPROFILE%\AppData\Local\Temp\OnboardLogs" /stypes="app*4029*20161205*" /stext=" 00:.+((SYSTEM_STATE.+slice.+state.+changed )|(ment ac)|(multiple cpu faults)|(system.+state.+changed )|(\[timeout)|(PRM\|1\|D)|(kpr)|(kdp)|(\|lc)|(penalty))" /e /r /s</v>
      </c>
      <c r="AG117" s="1" t="str">
        <f t="shared" si="68"/>
        <v>EC</v>
      </c>
      <c r="AH117" s="92" t="str">
        <f t="shared" si="49"/>
        <v>"%USERPROFILE%\Documents\GitHub\eaglep3\Utilities\RefineRTDCRunTimes.py" --tripid 203-04 --locoid 4029 --swversion DE.1.0.8.0 --startMP 204:466 --initTime 2016-12-04T16:23:19 --startdatetime 2016-12-04T16:30:16 --delay 1 --endMP 204:233293 --enddatetime 2016-12-04T17:06:54 --enforcementcount 0 &gt;&gt;C:\Users\stu\Documents\GitHub\eaglep3-reporting\EC\2016-12-04-refined-times.txt</v>
      </c>
      <c r="AI117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{"issue":{"subject":"","project_id":79,"tracker_id":40,"status_id":1,"priority_id":2,"assigned_to_id":23,"start_date":"2016-12-04","description":"","custom_fields":[{"id":1,"name":"Subdivision","value":"EC"},{"id":4,"name":"Milepost","value":"23.3293"},{"id":17,"name":"Train ID","value":"203-04"},{"id":16,"name":"Locomotive ID","value":"4029"},{"id":130,"name":"Impact","value":""},{"id":150,"name":"Time of Event (Mountain Time)","value":"17:06:54"},{"id":151,"name":"Denver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591</v>
      </c>
      <c r="B118" s="7">
        <v>4030</v>
      </c>
      <c r="C118" s="22" t="s">
        <v>208</v>
      </c>
      <c r="D118" s="22" t="s">
        <v>666</v>
      </c>
      <c r="E118" s="13">
        <v>42708.715405092589</v>
      </c>
      <c r="F118" s="13">
        <v>42708.7266087963</v>
      </c>
      <c r="G118" s="7">
        <v>1</v>
      </c>
      <c r="H118" s="22" t="s">
        <v>752</v>
      </c>
      <c r="I118" s="13">
        <v>42708.752268518518</v>
      </c>
      <c r="J118" s="7">
        <v>0</v>
      </c>
      <c r="K118" s="109" t="str">
        <f t="shared" si="58"/>
        <v>4029/4030</v>
      </c>
      <c r="L118" s="22" t="str">
        <f>VLOOKUP(A118,'Trips&amp;Operators'!$C$1:$G$99999,5,FALSE)</f>
        <v>BARTLETT KIANDRA</v>
      </c>
      <c r="M118" s="6">
        <f t="shared" si="59"/>
        <v>2.565972221782431E-2</v>
      </c>
      <c r="N118" s="7">
        <f t="shared" si="69"/>
        <v>36.949999993667006</v>
      </c>
      <c r="O118" s="7"/>
      <c r="P118" s="7"/>
      <c r="Q118" s="23"/>
      <c r="R118" s="23"/>
      <c r="S118" s="35">
        <f t="shared" si="70"/>
        <v>1</v>
      </c>
      <c r="T118" s="50" t="str">
        <f t="shared" si="60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16:10:11-700',mode:absolute,to:'2016-12-04 19:03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8" s="52" t="str">
        <f t="shared" si="62"/>
        <v>N</v>
      </c>
      <c r="X118" s="177">
        <f t="shared" si="57"/>
        <v>1</v>
      </c>
      <c r="Y118" s="67">
        <f t="shared" si="63"/>
        <v>23.298300000000001</v>
      </c>
      <c r="Z118" s="67">
        <f t="shared" si="71"/>
        <v>1.78E-2</v>
      </c>
      <c r="AA118" s="67">
        <f t="shared" si="64"/>
        <v>23.2805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65"/>
        <v>0204-04</v>
      </c>
      <c r="AE118" s="91" t="str">
        <f t="shared" si="66"/>
        <v>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 &amp; aws s3 cp s3://rtdc.mdm.uploadarchive.raw/RTDC4030/ "%USERPROFILE%\AppData\Local\Temp\OnboardLogs"\RTDC4030\2016-12-05 --exclude "*" --recursive --include "*20161205*" &amp; "%USERPROFILE%\Documents\GitHub\mrs-test-scripts\Headless Mode &amp; Sideloading\WalkAndUnGZ.bat" "%USERPROFILE%\AppData\Local\Temp\OnboardLogs"\RTDC4030\2016-12-05</v>
      </c>
      <c r="AF118" s="88" t="str">
        <f t="shared" si="67"/>
        <v>"C:\Program Files (x86)\AstroGrep\AstroGrep.exe" /spath="%USERPROFILE%\AppData\Local\Temp\OnboardLogs" /stypes="app*4030*20161205*" /stext=" 01:.+((SYSTEM_STATE.+slice.+state.+changed )|(ment ac)|(multiple cpu faults)|(system.+state.+changed )|(\[timeout)|(PRM\|1\|D)|(kpr)|(kdp)|(\|lc)|(penalty))" /e /r /s</v>
      </c>
      <c r="AG118" s="1" t="str">
        <f t="shared" si="68"/>
        <v>EC</v>
      </c>
      <c r="AH118" s="92" t="str">
        <f t="shared" si="49"/>
        <v>"%USERPROFILE%\Documents\GitHub\eaglep3\Utilities\RefineRTDCRunTimes.py" --tripid 204-04 --locoid 4030 --swversion DE.1.0.8.0 --startMP 204:232983 --initTime 2016-12-04T17:10:11 --startdatetime 2016-12-04T17:26:19 --delay 1 --endMP 204:178 --enddatetime 2016-12-04T18:03:16 --enforcementcount 0 &gt;&gt;C:\Users\stu\Documents\GitHub\eaglep3-reporting\EC\2016-12-04-refined-times.txt</v>
      </c>
      <c r="AI118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{"issue":{"subject":"","project_id":79,"tracker_id":40,"status_id":1,"priority_id":2,"assigned_to_id":23,"start_date":"2016-12-04","description":"","custom_fields":[{"id":1,"name":"Subdivision","value":"EC"},{"id":4,"name":"Milepost","value":"0.0178"},{"id":17,"name":"Train ID","value":"204-04"},{"id":16,"name":"Locomotive ID","value":"4030"},{"id":130,"name":"Impact","value":""},{"id":150,"name":"Time of Event (Mountain Time)","value":"18:03:16"},{"id":151,"name":"Denver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587</v>
      </c>
      <c r="B119" s="7">
        <v>4027</v>
      </c>
      <c r="C119" s="22" t="s">
        <v>208</v>
      </c>
      <c r="D119" s="22" t="s">
        <v>240</v>
      </c>
      <c r="E119" s="13">
        <v>42708.693171296298</v>
      </c>
      <c r="F119" s="13">
        <v>42708.698101851849</v>
      </c>
      <c r="G119" s="7">
        <v>1</v>
      </c>
      <c r="H119" s="22" t="s">
        <v>253</v>
      </c>
      <c r="I119" s="13">
        <v>42708.722372685188</v>
      </c>
      <c r="J119" s="7">
        <v>0</v>
      </c>
      <c r="K119" s="109" t="str">
        <f t="shared" si="58"/>
        <v>4027/4028</v>
      </c>
      <c r="L119" s="22" t="str">
        <f>VLOOKUP(A119,'Trips&amp;Operators'!$C$1:$G$99999,5,FALSE)</f>
        <v>BRUDER RICHARD</v>
      </c>
      <c r="M119" s="6">
        <f t="shared" si="59"/>
        <v>2.4270833338960074E-2</v>
      </c>
      <c r="N119" s="7">
        <f t="shared" si="69"/>
        <v>34.950000008102506</v>
      </c>
      <c r="O119" s="7"/>
      <c r="P119" s="7"/>
      <c r="Q119" s="23"/>
      <c r="R119" s="23"/>
      <c r="S119" s="35">
        <f t="shared" si="70"/>
        <v>1</v>
      </c>
      <c r="T119" s="50" t="str">
        <f t="shared" si="60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15:38:10-700',mode:absolute,to:'2016-12-04 18:20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9" s="52" t="str">
        <f t="shared" si="62"/>
        <v>N</v>
      </c>
      <c r="X119" s="177">
        <f t="shared" si="57"/>
        <v>1</v>
      </c>
      <c r="Y119" s="67">
        <f t="shared" si="63"/>
        <v>4.5499999999999999E-2</v>
      </c>
      <c r="Z119" s="67">
        <f t="shared" si="71"/>
        <v>23.3307</v>
      </c>
      <c r="AA119" s="67">
        <f t="shared" si="64"/>
        <v>23.2852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65"/>
        <v>0205-04</v>
      </c>
      <c r="AE119" s="91" t="str">
        <f t="shared" si="66"/>
        <v>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 &amp; aws s3 cp s3://rtdc.mdm.uploadarchive.raw/RTDC4027/ "%USERPROFILE%\AppData\Local\Temp\OnboardLogs"\RTDC4027\2016-12-05 --exclude "*" --recursive --include "*20161205*" &amp; "%USERPROFILE%\Documents\GitHub\mrs-test-scripts\Headless Mode &amp; Sideloading\WalkAndUnGZ.bat" "%USERPROFILE%\AppData\Local\Temp\OnboardLogs"\RTDC4027\2016-12-05</v>
      </c>
      <c r="AF119" s="88" t="str">
        <f t="shared" si="67"/>
        <v>"C:\Program Files (x86)\AstroGrep\AstroGrep.exe" /spath="%USERPROFILE%\AppData\Local\Temp\OnboardLogs" /stypes="app*4027*20161205*" /stext=" 00:.+((SYSTEM_STATE.+slice.+state.+changed )|(ment ac)|(multiple cpu faults)|(system.+state.+changed )|(\[timeout)|(PRM\|1\|D)|(kpr)|(kdp)|(\|lc)|(penalty))" /e /r /s</v>
      </c>
      <c r="AG119" s="1" t="str">
        <f t="shared" si="68"/>
        <v>EC</v>
      </c>
      <c r="AH119" s="92" t="str">
        <f t="shared" si="49"/>
        <v>"%USERPROFILE%\Documents\GitHub\eaglep3\Utilities\RefineRTDCRunTimes.py" --tripid 205-04 --locoid 4027 --swversion DE.1.0.8.0 --startMP 204:455 --initTime 2016-12-04T16:38:10 --startdatetime 2016-12-04T16:45:16 --delay 1 --endMP 204:233307 --enddatetime 2016-12-04T17:20:13 --enforcementcount 0 &gt;&gt;C:\Users\stu\Documents\GitHub\eaglep3-reporting\EC\2016-12-04-refined-times.txt</v>
      </c>
      <c r="AI119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{"issue":{"subject":"","project_id":79,"tracker_id":40,"status_id":1,"priority_id":2,"assigned_to_id":23,"start_date":"2016-12-04","description":"","custom_fields":[{"id":1,"name":"Subdivision","value":"EC"},{"id":4,"name":"Milepost","value":"23.3307"},{"id":17,"name":"Train ID","value":"205-04"},{"id":16,"name":"Locomotive ID","value":"4027"},{"id":130,"name":"Impact","value":""},{"id":150,"name":"Time of Event (Mountain Time)","value":"17:20:13"},{"id":151,"name":"Denver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598</v>
      </c>
      <c r="B120" s="7">
        <v>4028</v>
      </c>
      <c r="C120" s="22" t="s">
        <v>208</v>
      </c>
      <c r="D120" s="22" t="s">
        <v>280</v>
      </c>
      <c r="E120" s="13">
        <v>42708.732604166667</v>
      </c>
      <c r="F120" s="13">
        <v>42708.737002314818</v>
      </c>
      <c r="G120" s="7">
        <v>1</v>
      </c>
      <c r="H120" s="22" t="s">
        <v>231</v>
      </c>
      <c r="I120" s="13">
        <v>42708.763842592591</v>
      </c>
      <c r="J120" s="7">
        <v>0</v>
      </c>
      <c r="K120" s="109" t="str">
        <f t="shared" si="58"/>
        <v>4027/4028</v>
      </c>
      <c r="L120" s="22" t="str">
        <f>VLOOKUP(A120,'Trips&amp;Operators'!$C$1:$G$99999,5,FALSE)</f>
        <v>BRUDER RICHARD</v>
      </c>
      <c r="M120" s="6">
        <f t="shared" si="59"/>
        <v>2.6840277772862464E-2</v>
      </c>
      <c r="N120" s="7">
        <f t="shared" si="69"/>
        <v>38.649999992921948</v>
      </c>
      <c r="O120" s="7"/>
      <c r="P120" s="7"/>
      <c r="Q120" s="23"/>
      <c r="R120" s="23"/>
      <c r="S120" s="35">
        <f t="shared" si="70"/>
        <v>1</v>
      </c>
      <c r="T120" s="50" t="str">
        <f t="shared" si="60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16:34:57-700',mode:absolute,to:'2016-12-04 19:19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0" s="52" t="str">
        <f t="shared" si="62"/>
        <v>N</v>
      </c>
      <c r="X120" s="177">
        <f t="shared" si="57"/>
        <v>1</v>
      </c>
      <c r="Y120" s="67">
        <f t="shared" si="63"/>
        <v>23.298200000000001</v>
      </c>
      <c r="Z120" s="67">
        <f t="shared" si="71"/>
        <v>1.41E-2</v>
      </c>
      <c r="AA120" s="67">
        <f t="shared" si="64"/>
        <v>23.284100000000002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65"/>
        <v>0206-04</v>
      </c>
      <c r="AE120" s="91" t="str">
        <f t="shared" si="66"/>
        <v>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 &amp; aws s3 cp s3://rtdc.mdm.uploadarchive.raw/RTDC4028/ "%USERPROFILE%\AppData\Local\Temp\OnboardLogs"\RTDC4028\2016-12-05 --exclude "*" --recursive --include "*20161205*" &amp; "%USERPROFILE%\Documents\GitHub\mrs-test-scripts\Headless Mode &amp; Sideloading\WalkAndUnGZ.bat" "%USERPROFILE%\AppData\Local\Temp\OnboardLogs"\RTDC4028\2016-12-05</v>
      </c>
      <c r="AF120" s="88" t="str">
        <f t="shared" si="67"/>
        <v>"C:\Program Files (x86)\AstroGrep\AstroGrep.exe" /spath="%USERPROFILE%\AppData\Local\Temp\OnboardLogs" /stypes="app*4028*20161205*" /stext=" 01:.+((SYSTEM_STATE.+slice.+state.+changed )|(ment ac)|(multiple cpu faults)|(system.+state.+changed )|(\[timeout)|(PRM\|1\|D)|(kpr)|(kdp)|(\|lc)|(penalty))" /e /r /s</v>
      </c>
      <c r="AG120" s="1" t="str">
        <f t="shared" si="68"/>
        <v>EC</v>
      </c>
      <c r="AH120" s="92" t="str">
        <f t="shared" si="49"/>
        <v>"%USERPROFILE%\Documents\GitHub\eaglep3\Utilities\RefineRTDCRunTimes.py" --tripid 206-04 --locoid 4028 --swversion DE.1.0.8.0 --startMP 204:232982 --initTime 2016-12-04T17:34:57 --startdatetime 2016-12-04T17:41:17 --delay 1 --endMP 204:141 --enddatetime 2016-12-04T18:19:56 --enforcementcount 0 &gt;&gt;C:\Users\stu\Documents\GitHub\eaglep3-reporting\EC\2016-12-04-refined-times.txt</v>
      </c>
      <c r="AI120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{"issue":{"subject":"","project_id":79,"tracker_id":40,"status_id":1,"priority_id":2,"assigned_to_id":23,"start_date":"2016-12-04","description":"","custom_fields":[{"id":1,"name":"Subdivision","value":"EC"},{"id":4,"name":"Milepost","value":"0.0141"},{"id":17,"name":"Train ID","value":"206-04"},{"id":16,"name":"Locomotive ID","value":"4028"},{"id":130,"name":"Impact","value":""},{"id":150,"name":"Time of Event (Mountain Time)","value":"18:19:56"},{"id":151,"name":"Denver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589</v>
      </c>
      <c r="B121" s="7">
        <v>4020</v>
      </c>
      <c r="C121" s="22" t="s">
        <v>208</v>
      </c>
      <c r="D121" s="22" t="s">
        <v>433</v>
      </c>
      <c r="E121" s="13">
        <v>42708.705243055556</v>
      </c>
      <c r="F121" s="13">
        <v>42708.708564814813</v>
      </c>
      <c r="G121" s="7">
        <v>1</v>
      </c>
      <c r="H121" s="22" t="s">
        <v>756</v>
      </c>
      <c r="I121" s="13">
        <v>42708.733923611115</v>
      </c>
      <c r="J121" s="7">
        <v>0</v>
      </c>
      <c r="K121" s="109" t="str">
        <f t="shared" si="58"/>
        <v>4019/4020</v>
      </c>
      <c r="L121" s="22" t="str">
        <f>VLOOKUP(A121,'Trips&amp;Operators'!$C$1:$G$99999,5,FALSE)</f>
        <v>MOSES BRADLEY</v>
      </c>
      <c r="M121" s="6">
        <f t="shared" si="59"/>
        <v>2.5358796301588882E-2</v>
      </c>
      <c r="N121" s="7">
        <f t="shared" si="69"/>
        <v>36.51666667428799</v>
      </c>
      <c r="O121" s="7"/>
      <c r="P121" s="7"/>
      <c r="Q121" s="23"/>
      <c r="R121" s="23"/>
      <c r="S121" s="35">
        <f t="shared" si="70"/>
        <v>1</v>
      </c>
      <c r="T121" s="50" t="str">
        <f t="shared" si="60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15:55:33-700',mode:absolute,to:'2016-12-04 18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21" s="52" t="str">
        <f t="shared" si="62"/>
        <v>N</v>
      </c>
      <c r="X121" s="177">
        <f t="shared" si="57"/>
        <v>1</v>
      </c>
      <c r="Y121" s="67">
        <f t="shared" si="63"/>
        <v>4.8000000000000001E-2</v>
      </c>
      <c r="Z121" s="67">
        <f t="shared" si="71"/>
        <v>23.327999999999999</v>
      </c>
      <c r="AA121" s="67">
        <f t="shared" si="64"/>
        <v>23.28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65"/>
        <v>0207-04</v>
      </c>
      <c r="AE121" s="91" t="str">
        <f t="shared" si="66"/>
        <v>aws s3 cp s3://rtdc.mdm.uploadarchive.raw/RTDC4020/ "%USERPROFILE%\AppData\Local\Temp\OnboardLogs"\RTDC4020\2016-12-04 --exclude "*" --recursive --include "*20161204*" &amp; "%USERPROFILE%\Documents\GitHub\mrs-test-scripts\Headless Mode &amp; Sideloading\WalkAndUnGZ.bat" "%USERPROFILE%\AppData\Local\Temp\OnboardLogs"\RTDC4020\2016-12-04 &amp; aws s3 cp s3://rtdc.mdm.uploadarchive.raw/RTDC4020/ "%USERPROFILE%\AppData\Local\Temp\OnboardLogs"\RTDC4020\2016-12-05 --exclude "*" --recursive --include "*20161205*" &amp; "%USERPROFILE%\Documents\GitHub\mrs-test-scripts\Headless Mode &amp; Sideloading\WalkAndUnGZ.bat" "%USERPROFILE%\AppData\Local\Temp\OnboardLogs"\RTDC4020\2016-12-05</v>
      </c>
      <c r="AF121" s="88" t="str">
        <f t="shared" si="67"/>
        <v>"C:\Program Files (x86)\AstroGrep\AstroGrep.exe" /spath="%USERPROFILE%\AppData\Local\Temp\OnboardLogs" /stypes="app*4020*20161205*" /stext=" 00:.+((SYSTEM_STATE.+slice.+state.+changed )|(ment ac)|(multiple cpu faults)|(system.+state.+changed )|(\[timeout)|(PRM\|1\|D)|(kpr)|(kdp)|(\|lc)|(penalty))" /e /r /s</v>
      </c>
      <c r="AG121" s="1" t="str">
        <f t="shared" si="68"/>
        <v>EC</v>
      </c>
      <c r="AH121" s="92" t="str">
        <f t="shared" si="49"/>
        <v>"%USERPROFILE%\Documents\GitHub\eaglep3\Utilities\RefineRTDCRunTimes.py" --tripid 207-04 --locoid 4020 --swversion DE.1.0.8.0 --startMP 204:480 --initTime 2016-12-04T16:55:33 --startdatetime 2016-12-04T17:00:20 --delay 1 --endMP 204:233280 --enddatetime 2016-12-04T17:36:51 --enforcementcount 0 &gt;&gt;C:\Users\stu\Documents\GitHub\eaglep3-reporting\EC\2016-12-04-refined-times.txt</v>
      </c>
      <c r="AI121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{"issue":{"subject":"","project_id":79,"tracker_id":40,"status_id":1,"priority_id":2,"assigned_to_id":23,"start_date":"2016-12-04","description":"","custom_fields":[{"id":1,"name":"Subdivision","value":"EC"},{"id":4,"name":"Milepost","value":"23.328"},{"id":17,"name":"Train ID","value":"207-04"},{"id":16,"name":"Locomotive ID","value":"4020"},{"id":130,"name":"Impact","value":""},{"id":150,"name":"Time of Event (Mountain Time)","value":"17:36:51"},{"id":151,"name":"Denver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600</v>
      </c>
      <c r="B122" s="7">
        <v>4019</v>
      </c>
      <c r="C122" s="22" t="s">
        <v>208</v>
      </c>
      <c r="D122" s="22" t="s">
        <v>309</v>
      </c>
      <c r="E122" s="13">
        <v>42708.743483796294</v>
      </c>
      <c r="F122" s="13">
        <v>42708.747581018521</v>
      </c>
      <c r="G122" s="7">
        <v>1</v>
      </c>
      <c r="H122" s="22" t="s">
        <v>757</v>
      </c>
      <c r="I122" s="13">
        <v>42708.774953703702</v>
      </c>
      <c r="J122" s="7">
        <v>0</v>
      </c>
      <c r="K122" s="109" t="str">
        <f t="shared" si="58"/>
        <v>4019/4020</v>
      </c>
      <c r="L122" s="22" t="str">
        <f>VLOOKUP(A122,'Trips&amp;Operators'!$C$1:$G$99999,5,FALSE)</f>
        <v>MOSES BRADLEY</v>
      </c>
      <c r="M122" s="6">
        <f t="shared" si="59"/>
        <v>2.7372685181035195E-2</v>
      </c>
      <c r="N122" s="7">
        <f t="shared" si="69"/>
        <v>39.41666666069068</v>
      </c>
      <c r="O122" s="7"/>
      <c r="P122" s="7"/>
      <c r="Q122" s="23"/>
      <c r="R122" s="23"/>
      <c r="S122" s="35">
        <f t="shared" si="70"/>
        <v>1</v>
      </c>
      <c r="T122" s="50" t="str">
        <f t="shared" si="60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16:50:37-700',mode:absolute,to:'2016-12-04 19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22" s="52" t="str">
        <f t="shared" si="62"/>
        <v>N</v>
      </c>
      <c r="X122" s="177">
        <f t="shared" si="57"/>
        <v>1</v>
      </c>
      <c r="Y122" s="67">
        <f t="shared" si="63"/>
        <v>23.297899999999998</v>
      </c>
      <c r="Z122" s="67">
        <f t="shared" si="71"/>
        <v>9.9000000000000008E-3</v>
      </c>
      <c r="AA122" s="67">
        <f t="shared" si="64"/>
        <v>23.288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65"/>
        <v>0208-04</v>
      </c>
      <c r="AE122" s="91" t="str">
        <f t="shared" si="66"/>
        <v>aws s3 cp s3://rtdc.mdm.uploadarchive.raw/RTDC4019/ "%USERPROFILE%\AppData\Local\Temp\OnboardLogs"\RTDC4019\2016-12-04 --exclude "*" --recursive --include "*20161204*" &amp; "%USERPROFILE%\Documents\GitHub\mrs-test-scripts\Headless Mode &amp; Sideloading\WalkAndUnGZ.bat" "%USERPROFILE%\AppData\Local\Temp\OnboardLogs"\RTDC4019\2016-12-04 &amp; aws s3 cp s3://rtdc.mdm.uploadarchive.raw/RTDC4019/ "%USERPROFILE%\AppData\Local\Temp\OnboardLogs"\RTDC4019\2016-12-05 --exclude "*" --recursive --include "*20161205*" &amp; "%USERPROFILE%\Documents\GitHub\mrs-test-scripts\Headless Mode &amp; Sideloading\WalkAndUnGZ.bat" "%USERPROFILE%\AppData\Local\Temp\OnboardLogs"\RTDC4019\2016-12-05</v>
      </c>
      <c r="AF122" s="88" t="str">
        <f t="shared" si="67"/>
        <v>"C:\Program Files (x86)\AstroGrep\AstroGrep.exe" /spath="%USERPROFILE%\AppData\Local\Temp\OnboardLogs" /stypes="app*4019*20161205*" /stext=" 01:.+((SYSTEM_STATE.+slice.+state.+changed )|(ment ac)|(multiple cpu faults)|(system.+state.+changed )|(\[timeout)|(PRM\|1\|D)|(kpr)|(kdp)|(\|lc)|(penalty))" /e /r /s</v>
      </c>
      <c r="AG122" s="1" t="str">
        <f t="shared" si="68"/>
        <v>EC</v>
      </c>
      <c r="AH122" s="92" t="str">
        <f t="shared" si="49"/>
        <v>"%USERPROFILE%\Documents\GitHub\eaglep3\Utilities\RefineRTDCRunTimes.py" --tripid 208-04 --locoid 4019 --swversion DE.1.0.8.0 --startMP 204:232979 --initTime 2016-12-04T17:50:37 --startdatetime 2016-12-04T17:56:31 --delay 1 --endMP 204:99 --enddatetime 2016-12-04T18:35:56 --enforcementcount 0 &gt;&gt;C:\Users\stu\Documents\GitHub\eaglep3-reporting\EC\2016-12-04-refined-times.txt</v>
      </c>
      <c r="AI122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{"issue":{"subject":"","project_id":79,"tracker_id":40,"status_id":1,"priority_id":2,"assigned_to_id":23,"start_date":"2016-12-04","description":"","custom_fields":[{"id":1,"name":"Subdivision","value":"EC"},{"id":4,"name":"Milepost","value":"0.0099"},{"id":17,"name":"Train ID","value":"208-04"},{"id":16,"name":"Locomotive ID","value":"4019"},{"id":130,"name":"Impact","value":""},{"id":150,"name":"Time of Event (Mountain Time)","value":"18:35:56"},{"id":151,"name":"Denver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592</v>
      </c>
      <c r="B123" s="7">
        <v>4003</v>
      </c>
      <c r="C123" s="22" t="s">
        <v>208</v>
      </c>
      <c r="D123" s="22" t="s">
        <v>661</v>
      </c>
      <c r="E123" s="13">
        <v>42708.715428240743</v>
      </c>
      <c r="F123" s="13">
        <v>42708.719027777777</v>
      </c>
      <c r="G123" s="7">
        <v>1</v>
      </c>
      <c r="H123" s="22" t="s">
        <v>311</v>
      </c>
      <c r="I123" s="13">
        <v>42708.744444444441</v>
      </c>
      <c r="J123" s="7">
        <v>0</v>
      </c>
      <c r="K123" s="109" t="str">
        <f t="shared" si="58"/>
        <v>4003/4004</v>
      </c>
      <c r="L123" s="22" t="str">
        <f>VLOOKUP(A123,'Trips&amp;Operators'!$C$1:$G$99999,5,FALSE)</f>
        <v>LEVERE CRAIG</v>
      </c>
      <c r="M123" s="6">
        <f t="shared" si="59"/>
        <v>2.5416666663659271E-2</v>
      </c>
      <c r="N123" s="7">
        <f t="shared" si="69"/>
        <v>36.59999999566935</v>
      </c>
      <c r="O123" s="7"/>
      <c r="P123" s="7"/>
      <c r="Q123" s="23"/>
      <c r="R123" s="23"/>
      <c r="S123" s="35">
        <f t="shared" si="70"/>
        <v>1</v>
      </c>
      <c r="T123" s="50" t="str">
        <f t="shared" si="60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16:10:13-700',mode:absolute,to:'2016-12-04 18:52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3" s="52" t="str">
        <f t="shared" si="62"/>
        <v>N</v>
      </c>
      <c r="X123" s="177">
        <f t="shared" si="57"/>
        <v>1</v>
      </c>
      <c r="Y123" s="67">
        <f t="shared" si="63"/>
        <v>4.82E-2</v>
      </c>
      <c r="Z123" s="67">
        <f t="shared" si="71"/>
        <v>23.329899999999999</v>
      </c>
      <c r="AA123" s="67">
        <f t="shared" si="64"/>
        <v>23.281699999999997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65"/>
        <v>0209-04</v>
      </c>
      <c r="AE123" s="91" t="str">
        <f t="shared" si="66"/>
        <v>aws s3 cp s3://rtdc.mdm.uploadarchive.raw/RTDC4003/ "%USERPROFILE%\AppData\Local\Temp\OnboardLogs"\RTDC4003\2016-12-04 --exclude "*" --recursive --include "*20161204*" &amp; "%USERPROFILE%\Documents\GitHub\mrs-test-scripts\Headless Mode &amp; Sideloading\WalkAndUnGZ.bat" "%USERPROFILE%\AppData\Local\Temp\OnboardLogs"\RTDC4003\2016-12-04 &amp; aws s3 cp s3://rtdc.mdm.uploadarchive.raw/RTDC4003/ "%USERPROFILE%\AppData\Local\Temp\OnboardLogs"\RTDC4003\2016-12-05 --exclude "*" --recursive --include "*20161205*" &amp; "%USERPROFILE%\Documents\GitHub\mrs-test-scripts\Headless Mode &amp; Sideloading\WalkAndUnGZ.bat" "%USERPROFILE%\AppData\Local\Temp\OnboardLogs"\RTDC4003\2016-12-05</v>
      </c>
      <c r="AF123" s="88" t="str">
        <f t="shared" si="67"/>
        <v>"C:\Program Files (x86)\AstroGrep\AstroGrep.exe" /spath="%USERPROFILE%\AppData\Local\Temp\OnboardLogs" /stypes="app*4003*20161205*" /stext=" 00:.+((SYSTEM_STATE.+slice.+state.+changed )|(ment ac)|(multiple cpu faults)|(system.+state.+changed )|(\[timeout)|(PRM\|1\|D)|(kpr)|(kdp)|(\|lc)|(penalty))" /e /r /s</v>
      </c>
      <c r="AG123" s="1" t="str">
        <f t="shared" si="68"/>
        <v>EC</v>
      </c>
      <c r="AH123" s="92" t="str">
        <f t="shared" si="49"/>
        <v>"%USERPROFILE%\Documents\GitHub\eaglep3\Utilities\RefineRTDCRunTimes.py" --tripid 209-04 --locoid 4003 --swversion DE.1.0.8.0 --startMP 204:482 --initTime 2016-12-04T17:10:13 --startdatetime 2016-12-04T17:15:24 --delay 1 --endMP 204:233299 --enddatetime 2016-12-04T17:52:00 --enforcementcount 0 &gt;&gt;C:\Users\stu\Documents\GitHub\eaglep3-reporting\EC\2016-12-04-refined-times.txt</v>
      </c>
      <c r="AI123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{"issue":{"subject":"","project_id":79,"tracker_id":40,"status_id":1,"priority_id":2,"assigned_to_id":23,"start_date":"2016-12-04","description":"","custom_fields":[{"id":1,"name":"Subdivision","value":"EC"},{"id":4,"name":"Milepost","value":"23.3299"},{"id":17,"name":"Train ID","value":"209-04"},{"id":16,"name":"Locomotive ID","value":"4003"},{"id":130,"name":"Impact","value":""},{"id":150,"name":"Time of Event (Mountain Time)","value":"17:52:00"},{"id":151,"name":"Denver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x14ac:dyDescent="0.25">
      <c r="A124" s="37" t="s">
        <v>605</v>
      </c>
      <c r="B124" s="7">
        <v>4004</v>
      </c>
      <c r="C124" s="22" t="s">
        <v>208</v>
      </c>
      <c r="D124" s="22" t="s">
        <v>375</v>
      </c>
      <c r="E124" s="13">
        <v>42708.751851851855</v>
      </c>
      <c r="F124" s="13">
        <v>42708.757986111108</v>
      </c>
      <c r="G124" s="7">
        <v>1</v>
      </c>
      <c r="H124" s="22" t="s">
        <v>210</v>
      </c>
      <c r="I124" s="13">
        <v>42708.784351851849</v>
      </c>
      <c r="J124" s="7">
        <v>0</v>
      </c>
      <c r="K124" s="109" t="str">
        <f t="shared" si="58"/>
        <v>4003/4004</v>
      </c>
      <c r="L124" s="22" t="str">
        <f>VLOOKUP(A124,'Trips&amp;Operators'!$C$1:$G$99999,5,FALSE)</f>
        <v>LEVERE CRAIG</v>
      </c>
      <c r="M124" s="6">
        <f t="shared" si="59"/>
        <v>2.6365740741312038E-2</v>
      </c>
      <c r="N124" s="7">
        <f t="shared" si="69"/>
        <v>37.966666667489335</v>
      </c>
      <c r="O124" s="7"/>
      <c r="P124" s="7"/>
      <c r="Q124" s="23"/>
      <c r="R124" s="23"/>
      <c r="S124" s="35">
        <f t="shared" si="70"/>
        <v>1</v>
      </c>
      <c r="T124" s="50" t="str">
        <f t="shared" si="60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17:02:40-700',mode:absolute,to:'2016-12-04 19:49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4" s="52" t="str">
        <f t="shared" si="62"/>
        <v>N</v>
      </c>
      <c r="X124" s="177">
        <f t="shared" si="57"/>
        <v>1</v>
      </c>
      <c r="Y124" s="67">
        <f t="shared" si="63"/>
        <v>23.297799999999999</v>
      </c>
      <c r="Z124" s="67">
        <f t="shared" si="71"/>
        <v>1.5800000000000002E-2</v>
      </c>
      <c r="AA124" s="67">
        <f t="shared" si="64"/>
        <v>23.282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65"/>
        <v>0210-04</v>
      </c>
      <c r="AE124" s="91" t="str">
        <f t="shared" si="66"/>
        <v>aws s3 cp s3://rtdc.mdm.uploadarchive.raw/RTDC4004/ "%USERPROFILE%\AppData\Local\Temp\OnboardLogs"\RTDC4004\2016-12-04 --exclude "*" --recursive --include "*20161204*" &amp; "%USERPROFILE%\Documents\GitHub\mrs-test-scripts\Headless Mode &amp; Sideloading\WalkAndUnGZ.bat" "%USERPROFILE%\AppData\Local\Temp\OnboardLogs"\RTDC4004\2016-12-04 &amp; aws s3 cp s3://rtdc.mdm.uploadarchive.raw/RTDC4004/ "%USERPROFILE%\AppData\Local\Temp\OnboardLogs"\RTDC4004\2016-12-05 --exclude "*" --recursive --include "*20161205*" &amp; "%USERPROFILE%\Documents\GitHub\mrs-test-scripts\Headless Mode &amp; Sideloading\WalkAndUnGZ.bat" "%USERPROFILE%\AppData\Local\Temp\OnboardLogs"\RTDC4004\2016-12-05</v>
      </c>
      <c r="AF124" s="88" t="str">
        <f t="shared" si="67"/>
        <v>"C:\Program Files (x86)\AstroGrep\AstroGrep.exe" /spath="%USERPROFILE%\AppData\Local\Temp\OnboardLogs" /stypes="app*4004*20161205*" /stext=" 01:.+((SYSTEM_STATE.+slice.+state.+changed )|(ment ac)|(multiple cpu faults)|(system.+state.+changed )|(\[timeout)|(PRM\|1\|D)|(kpr)|(kdp)|(\|lc)|(penalty))" /e /r /s</v>
      </c>
      <c r="AG124" s="1" t="str">
        <f t="shared" si="68"/>
        <v>EC</v>
      </c>
      <c r="AH124" s="92" t="str">
        <f t="shared" si="49"/>
        <v>"%USERPROFILE%\Documents\GitHub\eaglep3\Utilities\RefineRTDCRunTimes.py" --tripid 210-04 --locoid 4004 --swversion DE.1.0.8.0 --startMP 204:232978 --initTime 2016-12-04T18:02:40 --startdatetime 2016-12-04T18:11:30 --delay 1 --endMP 204:158 --enddatetime 2016-12-04T18:49:28 --enforcementcount 0 &gt;&gt;C:\Users\stu\Documents\GitHub\eaglep3-reporting\EC\2016-12-04-refined-times.txt</v>
      </c>
      <c r="AI124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{"issue":{"subject":"","project_id":79,"tracker_id":40,"status_id":1,"priority_id":2,"assigned_to_id":23,"start_date":"2016-12-04","description":"","custom_fields":[{"id":1,"name":"Subdivision","value":"EC"},{"id":4,"name":"Milepost","value":"0.0158"},{"id":17,"name":"Train ID","value":"210-04"},{"id":16,"name":"Locomotive ID","value":"4004"},{"id":130,"name":"Impact","value":""},{"id":150,"name":"Time of Event (Mountain Time)","value":"18:49:28"},{"id":151,"name":"Denver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</row>
    <row r="125" spans="1:91" s="21" customFormat="1" x14ac:dyDescent="0.25">
      <c r="A125" s="37" t="s">
        <v>594</v>
      </c>
      <c r="B125" s="7">
        <v>4042</v>
      </c>
      <c r="C125" s="22" t="s">
        <v>208</v>
      </c>
      <c r="D125" s="22" t="s">
        <v>371</v>
      </c>
      <c r="E125" s="13">
        <v>42708.725405092591</v>
      </c>
      <c r="F125" s="13">
        <v>42708.72934027778</v>
      </c>
      <c r="G125" s="7">
        <v>1</v>
      </c>
      <c r="H125" s="22" t="s">
        <v>262</v>
      </c>
      <c r="I125" s="13">
        <v>42708.75577546296</v>
      </c>
      <c r="J125" s="7">
        <v>0</v>
      </c>
      <c r="K125" s="109" t="str">
        <f t="shared" si="58"/>
        <v>4041/4042</v>
      </c>
      <c r="L125" s="22" t="str">
        <f>VLOOKUP(A125,'Trips&amp;Operators'!$C$1:$G$99999,5,FALSE)</f>
        <v>YOUNG ELIZABETH</v>
      </c>
      <c r="M125" s="6">
        <f t="shared" si="59"/>
        <v>2.643518518016208E-2</v>
      </c>
      <c r="N125" s="7">
        <f t="shared" si="69"/>
        <v>38.066666659433395</v>
      </c>
      <c r="O125" s="7"/>
      <c r="P125" s="7"/>
      <c r="Q125" s="23"/>
      <c r="R125" s="23"/>
      <c r="S125" s="35">
        <f t="shared" si="70"/>
        <v>1</v>
      </c>
      <c r="T125" s="50" t="str">
        <f t="shared" si="60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16:24:35-700',mode:absolute,to:'2016-12-04 19:08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5" s="52" t="str">
        <f t="shared" si="62"/>
        <v>N</v>
      </c>
      <c r="X125" s="177">
        <f t="shared" si="57"/>
        <v>1</v>
      </c>
      <c r="Y125" s="67">
        <f t="shared" si="63"/>
        <v>4.6899999999999997E-2</v>
      </c>
      <c r="Z125" s="67">
        <f t="shared" si="71"/>
        <v>23.329799999999999</v>
      </c>
      <c r="AA125" s="67">
        <f t="shared" si="64"/>
        <v>23.282899999999998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65"/>
        <v>0211-04</v>
      </c>
      <c r="AE125" s="91" t="str">
        <f t="shared" si="66"/>
        <v>aws s3 cp s3://rtdc.mdm.uploadarchive.raw/RTDC4042/ "%USERPROFILE%\AppData\Local\Temp\OnboardLogs"\RTDC4042\2016-12-04 --exclude "*" --recursive --include "*20161204*" &amp; "%USERPROFILE%\Documents\GitHub\mrs-test-scripts\Headless Mode &amp; Sideloading\WalkAndUnGZ.bat" "%USERPROFILE%\AppData\Local\Temp\OnboardLogs"\RTDC4042\2016-12-04 &amp; aws s3 cp s3://rtdc.mdm.uploadarchive.raw/RTDC4042/ "%USERPROFILE%\AppData\Local\Temp\OnboardLogs"\RTDC4042\2016-12-05 --exclude "*" --recursive --include "*20161205*" &amp; "%USERPROFILE%\Documents\GitHub\mrs-test-scripts\Headless Mode &amp; Sideloading\WalkAndUnGZ.bat" "%USERPROFILE%\AppData\Local\Temp\OnboardLogs"\RTDC4042\2016-12-05</v>
      </c>
      <c r="AF125" s="88" t="str">
        <f t="shared" si="67"/>
        <v>"C:\Program Files (x86)\AstroGrep\AstroGrep.exe" /spath="%USERPROFILE%\AppData\Local\Temp\OnboardLogs" /stypes="app*4042*20161205*" /stext=" 01:.+((SYSTEM_STATE.+slice.+state.+changed )|(ment ac)|(multiple cpu faults)|(system.+state.+changed )|(\[timeout)|(PRM\|1\|D)|(kpr)|(kdp)|(\|lc)|(penalty))" /e /r /s</v>
      </c>
      <c r="AG125" s="1" t="str">
        <f t="shared" si="68"/>
        <v>EC</v>
      </c>
      <c r="AH125" s="92" t="str">
        <f t="shared" si="49"/>
        <v>"%USERPROFILE%\Documents\GitHub\eaglep3\Utilities\RefineRTDCRunTimes.py" --tripid 211-04 --locoid 4042 --swversion DE.1.0.8.0 --startMP 204:469 --initTime 2016-12-04T17:24:35 --startdatetime 2016-12-04T17:30:15 --delay 1 --endMP 204:233298 --enddatetime 2016-12-04T18:08:19 --enforcementcount 0 &gt;&gt;C:\Users\stu\Documents\GitHub\eaglep3-reporting\EC\2016-12-04-refined-times.txt</v>
      </c>
      <c r="AI125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{"issue":{"subject":"","project_id":79,"tracker_id":40,"status_id":1,"priority_id":2,"assigned_to_id":23,"start_date":"2016-12-04","description":"","custom_fields":[{"id":1,"name":"Subdivision","value":"EC"},{"id":4,"name":"Milepost","value":"23.3298"},{"id":17,"name":"Train ID","value":"211-04"},{"id":16,"name":"Locomotive ID","value":"4042"},{"id":130,"name":"Impact","value":""},{"id":150,"name":"Time of Event (Mountain Time)","value":"18:08:19"},{"id":151,"name":"Denver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456</v>
      </c>
      <c r="B126" s="7">
        <v>4041</v>
      </c>
      <c r="C126" s="22" t="s">
        <v>208</v>
      </c>
      <c r="D126" s="22" t="s">
        <v>422</v>
      </c>
      <c r="E126" s="13">
        <v>42708.757650462961</v>
      </c>
      <c r="F126" s="13">
        <v>42708.768252314818</v>
      </c>
      <c r="G126" s="7">
        <v>1</v>
      </c>
      <c r="H126" s="22" t="s">
        <v>758</v>
      </c>
      <c r="I126" s="13">
        <v>42708.798402777778</v>
      </c>
      <c r="J126" s="7">
        <v>0</v>
      </c>
      <c r="K126" s="109" t="str">
        <f t="shared" si="58"/>
        <v>4041/4042</v>
      </c>
      <c r="L126" s="22" t="str">
        <f>VLOOKUP(A126,'Trips&amp;Operators'!$C$1:$G$99999,5,FALSE)</f>
        <v>YOUNG ELIZABETH</v>
      </c>
      <c r="M126" s="6">
        <f t="shared" si="59"/>
        <v>3.015046296059154E-2</v>
      </c>
      <c r="N126" s="7">
        <f t="shared" si="69"/>
        <v>43.416666663251817</v>
      </c>
      <c r="O126" s="7"/>
      <c r="P126" s="7"/>
      <c r="Q126" s="23"/>
      <c r="R126" s="23"/>
      <c r="S126" s="35">
        <f t="shared" si="70"/>
        <v>1</v>
      </c>
      <c r="T126" s="50" t="str">
        <f t="shared" si="60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17:11:01-700',mode:absolute,to:'2016-12-04 20:09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6" s="52" t="str">
        <f t="shared" si="62"/>
        <v>N</v>
      </c>
      <c r="X126" s="177">
        <f t="shared" si="57"/>
        <v>1</v>
      </c>
      <c r="Y126" s="67">
        <f t="shared" si="63"/>
        <v>23.298500000000001</v>
      </c>
      <c r="Z126" s="67">
        <f t="shared" si="71"/>
        <v>2.4E-2</v>
      </c>
      <c r="AA126" s="67">
        <f t="shared" si="64"/>
        <v>23.2745</v>
      </c>
      <c r="AB126" s="64" t="str">
        <f>VLOOKUP(A126,Enforcements!$C$7:$K$20,8,0)</f>
        <v>Speed (6)</v>
      </c>
      <c r="AC126" s="60" t="str">
        <f>VLOOKUP(A126,Enforcements!$C$7:$E$20,3,0)</f>
        <v>PERMANENT SPEED RESTRICTION</v>
      </c>
      <c r="AD126" s="61" t="str">
        <f t="shared" si="65"/>
        <v>0212-04</v>
      </c>
      <c r="AE126" s="91" t="str">
        <f t="shared" si="66"/>
        <v>aws s3 cp s3://rtdc.mdm.uploadarchive.raw/RTDC4041/ "%USERPROFILE%\AppData\Local\Temp\OnboardLogs"\RTDC4041\2016-12-04 --exclude "*" --recursive --include "*20161204*" &amp; "%USERPROFILE%\Documents\GitHub\mrs-test-scripts\Headless Mode &amp; Sideloading\WalkAndUnGZ.bat" "%USERPROFILE%\AppData\Local\Temp\OnboardLogs"\RTDC4041\2016-12-04 &amp; aws s3 cp s3://rtdc.mdm.uploadarchive.raw/RTDC4041/ "%USERPROFILE%\AppData\Local\Temp\OnboardLogs"\RTDC4041\2016-12-05 --exclude "*" --recursive --include "*20161205*" &amp; "%USERPROFILE%\Documents\GitHub\mrs-test-scripts\Headless Mode &amp; Sideloading\WalkAndUnGZ.bat" "%USERPROFILE%\AppData\Local\Temp\OnboardLogs"\RTDC4041\2016-12-05</v>
      </c>
      <c r="AF126" s="88" t="str">
        <f t="shared" si="67"/>
        <v>"C:\Program Files (x86)\AstroGrep\AstroGrep.exe" /spath="%USERPROFILE%\AppData\Local\Temp\OnboardLogs" /stypes="app*4041*20161205*" /stext=" 02:.+((SYSTEM_STATE.+slice.+state.+changed )|(ment ac)|(multiple cpu faults)|(system.+state.+changed )|(\[timeout)|(PRM\|1\|D)|(kpr)|(kdp)|(\|lc)|(penalty))" /e /r /s</v>
      </c>
      <c r="AG126" s="1" t="str">
        <f t="shared" si="68"/>
        <v>EC</v>
      </c>
      <c r="AH126" s="92" t="str">
        <f t="shared" si="49"/>
        <v>"%USERPROFILE%\Documents\GitHub\eaglep3\Utilities\RefineRTDCRunTimes.py" --tripid 212-04 --locoid 4041 --swversion DE.1.0.8.0 --startMP 204:232985 --initTime 2016-12-04T18:11:01 --startdatetime 2016-12-04T18:26:17 --delay 1 --endMP 204:240 --enddatetime 2016-12-04T19:09:42 --enforcementcount 0 &gt;&gt;C:\Users\stu\Documents\GitHub\eaglep3-reporting\EC\2016-12-04-refined-times.txt</v>
      </c>
      <c r="AI126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{"issue":{"subject":"","project_id":79,"tracker_id":40,"status_id":1,"priority_id":2,"assigned_to_id":23,"start_date":"2016-12-04","description":"","custom_fields":[{"id":1,"name":"Subdivision","value":"EC"},{"id":4,"name":"Milepost","value":"0.024"},{"id":17,"name":"Train ID","value":"212-04"},{"id":16,"name":"Locomotive ID","value":"4041"},{"id":130,"name":"Impact","value":""},{"id":150,"name":"Time of Event (Mountain Time)","value":"19:09:42"},{"id":151,"name":"Denver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599</v>
      </c>
      <c r="B127" s="7">
        <v>4031</v>
      </c>
      <c r="C127" s="22" t="s">
        <v>208</v>
      </c>
      <c r="D127" s="22" t="s">
        <v>194</v>
      </c>
      <c r="E127" s="13">
        <v>42708.735532407409</v>
      </c>
      <c r="F127" s="13">
        <v>42708.739884259259</v>
      </c>
      <c r="G127" s="7">
        <v>1</v>
      </c>
      <c r="H127" s="22" t="s">
        <v>759</v>
      </c>
      <c r="I127" s="13">
        <v>42708.764398148145</v>
      </c>
      <c r="J127" s="7">
        <v>0</v>
      </c>
      <c r="K127" s="109" t="str">
        <f t="shared" si="58"/>
        <v>4031/4032</v>
      </c>
      <c r="L127" s="22" t="str">
        <f>VLOOKUP(A127,'Trips&amp;Operators'!$C$1:$G$99999,5,FALSE)</f>
        <v>COOLAHAN JOHN</v>
      </c>
      <c r="M127" s="6">
        <f t="shared" si="59"/>
        <v>2.4513888885849155E-2</v>
      </c>
      <c r="N127" s="7">
        <f t="shared" si="69"/>
        <v>35.299999995622784</v>
      </c>
      <c r="O127" s="7"/>
      <c r="P127" s="7"/>
      <c r="Q127" s="23"/>
      <c r="R127" s="23"/>
      <c r="S127" s="35">
        <f t="shared" si="70"/>
        <v>1</v>
      </c>
      <c r="T127" s="50" t="str">
        <f t="shared" si="60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16:39:10-700',mode:absolute,to:'2016-12-04 19:20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7" s="52" t="str">
        <f t="shared" si="62"/>
        <v>N</v>
      </c>
      <c r="X127" s="177">
        <f t="shared" si="57"/>
        <v>1</v>
      </c>
      <c r="Y127" s="67">
        <f t="shared" si="63"/>
        <v>4.4699999999999997E-2</v>
      </c>
      <c r="Z127" s="67">
        <f t="shared" si="71"/>
        <v>23.3353</v>
      </c>
      <c r="AA127" s="67">
        <f t="shared" si="64"/>
        <v>23.290600000000001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65"/>
        <v>0213-04</v>
      </c>
      <c r="AE127" s="91" t="str">
        <f t="shared" si="66"/>
        <v>aws s3 cp s3://rtdc.mdm.uploadarchive.raw/RTDC4031/ "%USERPROFILE%\AppData\Local\Temp\OnboardLogs"\RTDC4031\2016-12-04 --exclude "*" --recursive --include "*20161204*" &amp; "%USERPROFILE%\Documents\GitHub\mrs-test-scripts\Headless Mode &amp; Sideloading\WalkAndUnGZ.bat" "%USERPROFILE%\AppData\Local\Temp\OnboardLogs"\RTDC4031\2016-12-04 &amp; aws s3 cp s3://rtdc.mdm.uploadarchive.raw/RTDC4031/ "%USERPROFILE%\AppData\Local\Temp\OnboardLogs"\RTDC4031\2016-12-05 --exclude "*" --recursive --include "*20161205*" &amp; "%USERPROFILE%\Documents\GitHub\mrs-test-scripts\Headless Mode &amp; Sideloading\WalkAndUnGZ.bat" "%USERPROFILE%\AppData\Local\Temp\OnboardLogs"\RTDC4031\2016-12-05</v>
      </c>
      <c r="AF127" s="88" t="str">
        <f t="shared" si="67"/>
        <v>"C:\Program Files (x86)\AstroGrep\AstroGrep.exe" /spath="%USERPROFILE%\AppData\Local\Temp\OnboardLogs" /stypes="app*4031*20161205*" /stext=" 01:.+((SYSTEM_STATE.+slice.+state.+changed )|(ment ac)|(multiple cpu faults)|(system.+state.+changed )|(\[timeout)|(PRM\|1\|D)|(kpr)|(kdp)|(\|lc)|(penalty))" /e /r /s</v>
      </c>
      <c r="AG127" s="1" t="str">
        <f t="shared" si="68"/>
        <v>EC</v>
      </c>
      <c r="AH127" s="92" t="str">
        <f t="shared" si="49"/>
        <v>"%USERPROFILE%\Documents\GitHub\eaglep3\Utilities\RefineRTDCRunTimes.py" --tripid 213-04 --locoid 4031 --swversion DE.1.0.8.0 --startMP 204:447 --initTime 2016-12-04T17:39:10 --startdatetime 2016-12-04T17:45:26 --delay 1 --endMP 204:233353 --enddatetime 2016-12-04T18:20:44 --enforcementcount 0 &gt;&gt;C:\Users\stu\Documents\GitHub\eaglep3-reporting\EC\2016-12-04-refined-times.txt</v>
      </c>
      <c r="AI127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{"issue":{"subject":"","project_id":79,"tracker_id":40,"status_id":1,"priority_id":2,"assigned_to_id":23,"start_date":"2016-12-04","description":"","custom_fields":[{"id":1,"name":"Subdivision","value":"EC"},{"id":4,"name":"Milepost","value":"23.3353"},{"id":17,"name":"Train ID","value":"213-04"},{"id":16,"name":"Locomotive ID","value":"4031"},{"id":130,"name":"Impact","value":""},{"id":150,"name":"Time of Event (Mountain Time)","value":"18:20:44"},{"id":151,"name":"Denver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611</v>
      </c>
      <c r="B128" s="7">
        <v>4032</v>
      </c>
      <c r="C128" s="22" t="s">
        <v>208</v>
      </c>
      <c r="D128" s="22" t="s">
        <v>760</v>
      </c>
      <c r="E128" s="13">
        <v>42708.77480324074</v>
      </c>
      <c r="F128" s="13">
        <v>42708.778854166667</v>
      </c>
      <c r="G128" s="7">
        <v>1</v>
      </c>
      <c r="H128" s="22" t="s">
        <v>215</v>
      </c>
      <c r="I128" s="13">
        <v>42708.804548611108</v>
      </c>
      <c r="J128" s="7">
        <v>0</v>
      </c>
      <c r="K128" s="109" t="str">
        <f t="shared" si="58"/>
        <v>4031/4032</v>
      </c>
      <c r="L128" s="22" t="str">
        <f>VLOOKUP(A128,'Trips&amp;Operators'!$C$1:$G$99999,5,FALSE)</f>
        <v>COOLAHAN JOHN</v>
      </c>
      <c r="M128" s="6">
        <f t="shared" si="59"/>
        <v>2.569444444088731E-2</v>
      </c>
      <c r="N128" s="7">
        <f t="shared" si="69"/>
        <v>36.999999994877726</v>
      </c>
      <c r="O128" s="7"/>
      <c r="P128" s="7"/>
      <c r="Q128" s="23"/>
      <c r="R128" s="23"/>
      <c r="S128" s="35">
        <f t="shared" si="70"/>
        <v>1</v>
      </c>
      <c r="T128" s="50" t="str">
        <f t="shared" si="60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17:35:43-700',mode:absolute,to:'2016-12-04 20:18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8" s="52" t="str">
        <f t="shared" si="62"/>
        <v>N</v>
      </c>
      <c r="X128" s="177">
        <f t="shared" si="57"/>
        <v>1</v>
      </c>
      <c r="Y128" s="67">
        <f t="shared" si="63"/>
        <v>23.302099999999999</v>
      </c>
      <c r="Z128" s="67">
        <f t="shared" si="71"/>
        <v>1.4999999999999999E-2</v>
      </c>
      <c r="AA128" s="67">
        <f t="shared" si="64"/>
        <v>23.287099999999999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65"/>
        <v>0214-04</v>
      </c>
      <c r="AE128" s="91" t="str">
        <f t="shared" si="66"/>
        <v>aws s3 cp s3://rtdc.mdm.uploadarchive.raw/RTDC4032/ "%USERPROFILE%\AppData\Local\Temp\OnboardLogs"\RTDC4032\2016-12-04 --exclude "*" --recursive --include "*20161204*" &amp; "%USERPROFILE%\Documents\GitHub\mrs-test-scripts\Headless Mode &amp; Sideloading\WalkAndUnGZ.bat" "%USERPROFILE%\AppData\Local\Temp\OnboardLogs"\RTDC4032\2016-12-04 &amp; aws s3 cp s3://rtdc.mdm.uploadarchive.raw/RTDC4032/ "%USERPROFILE%\AppData\Local\Temp\OnboardLogs"\RTDC4032\2016-12-05 --exclude "*" --recursive --include "*20161205*" &amp; "%USERPROFILE%\Documents\GitHub\mrs-test-scripts\Headless Mode &amp; Sideloading\WalkAndUnGZ.bat" "%USERPROFILE%\AppData\Local\Temp\OnboardLogs"\RTDC4032\2016-12-05</v>
      </c>
      <c r="AF128" s="88" t="str">
        <f t="shared" si="67"/>
        <v>"C:\Program Files (x86)\AstroGrep\AstroGrep.exe" /spath="%USERPROFILE%\AppData\Local\Temp\OnboardLogs" /stypes="app*4032*20161205*" /stext=" 02:.+((SYSTEM_STATE.+slice.+state.+changed )|(ment ac)|(multiple cpu faults)|(system.+state.+changed )|(\[timeout)|(PRM\|1\|D)|(kpr)|(kdp)|(\|lc)|(penalty))" /e /r /s</v>
      </c>
      <c r="AG128" s="1" t="str">
        <f t="shared" si="68"/>
        <v>EC</v>
      </c>
      <c r="AH128" s="92" t="str">
        <f t="shared" si="49"/>
        <v>"%USERPROFILE%\Documents\GitHub\eaglep3\Utilities\RefineRTDCRunTimes.py" --tripid 214-04 --locoid 4032 --swversion DE.1.0.8.0 --startMP 204:233021 --initTime 2016-12-04T18:35:43 --startdatetime 2016-12-04T18:41:33 --delay 1 --endMP 204:150 --enddatetime 2016-12-04T19:18:33 --enforcementcount 0 &gt;&gt;C:\Users\stu\Documents\GitHub\eaglep3-reporting\EC\2016-12-04-refined-times.txt</v>
      </c>
      <c r="AI128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{"issue":{"subject":"","project_id":79,"tracker_id":40,"status_id":1,"priority_id":2,"assigned_to_id":23,"start_date":"2016-12-04","description":"","custom_fields":[{"id":1,"name":"Subdivision","value":"EC"},{"id":4,"name":"Milepost","value":"0.015"},{"id":17,"name":"Train ID","value":"214-04"},{"id":16,"name":"Locomotive ID","value":"4032"},{"id":130,"name":"Impact","value":""},{"id":150,"name":"Time of Event (Mountain Time)","value":"19:18:33"},{"id":151,"name":"Denver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601</v>
      </c>
      <c r="B129" s="7">
        <v>4038</v>
      </c>
      <c r="C129" s="22" t="s">
        <v>208</v>
      </c>
      <c r="D129" s="22" t="s">
        <v>674</v>
      </c>
      <c r="E129" s="13">
        <v>42708.746076388888</v>
      </c>
      <c r="F129" s="13">
        <v>42708.750208333331</v>
      </c>
      <c r="G129" s="7">
        <v>2</v>
      </c>
      <c r="H129" s="22" t="s">
        <v>426</v>
      </c>
      <c r="I129" s="13">
        <v>42708.775590277779</v>
      </c>
      <c r="J129" s="7">
        <v>0</v>
      </c>
      <c r="K129" s="109" t="str">
        <f t="shared" si="58"/>
        <v>4037/4038</v>
      </c>
      <c r="L129" s="22" t="str">
        <f>VLOOKUP(A129,'Trips&amp;Operators'!$C$1:$G$99999,5,FALSE)</f>
        <v>SHOOK JOHN</v>
      </c>
      <c r="M129" s="6">
        <f t="shared" si="59"/>
        <v>2.5381944447872229E-2</v>
      </c>
      <c r="N129" s="7">
        <f t="shared" si="69"/>
        <v>36.55000000493601</v>
      </c>
      <c r="O129" s="7"/>
      <c r="P129" s="7"/>
      <c r="Q129" s="23"/>
      <c r="R129" s="23"/>
      <c r="S129" s="35">
        <f t="shared" si="70"/>
        <v>1</v>
      </c>
      <c r="T129" s="50" t="str">
        <f t="shared" si="60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16:54:21-700',mode:absolute,to:'2016-12-04 19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9" s="52" t="str">
        <f t="shared" si="62"/>
        <v>N</v>
      </c>
      <c r="X129" s="177">
        <f t="shared" si="57"/>
        <v>1</v>
      </c>
      <c r="Y129" s="67">
        <f t="shared" si="63"/>
        <v>4.6399999999999997E-2</v>
      </c>
      <c r="Z129" s="67">
        <f t="shared" si="71"/>
        <v>23.336300000000001</v>
      </c>
      <c r="AA129" s="67">
        <f t="shared" si="64"/>
        <v>23.289900000000003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65"/>
        <v>0215-04</v>
      </c>
      <c r="AE129" s="91" t="str">
        <f t="shared" si="66"/>
        <v>aws s3 cp s3://rtdc.mdm.uploadarchive.raw/RTDC4038/ "%USERPROFILE%\AppData\Local\Temp\OnboardLogs"\RTDC4038\2016-12-04 --exclude "*" --recursive --include "*20161204*" &amp; "%USERPROFILE%\Documents\GitHub\mrs-test-scripts\Headless Mode &amp; Sideloading\WalkAndUnGZ.bat" "%USERPROFILE%\AppData\Local\Temp\OnboardLogs"\RTDC4038\2016-12-04 &amp; 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</v>
      </c>
      <c r="AF129" s="88" t="str">
        <f t="shared" si="67"/>
        <v>"C:\Program Files (x86)\AstroGrep\AstroGrep.exe" /spath="%USERPROFILE%\AppData\Local\Temp\OnboardLogs" /stypes="app*4038*20161205*" /stext=" 01:.+((SYSTEM_STATE.+slice.+state.+changed )|(ment ac)|(multiple cpu faults)|(system.+state.+changed )|(\[timeout)|(PRM\|1\|D)|(kpr)|(kdp)|(\|lc)|(penalty))" /e /r /s</v>
      </c>
      <c r="AG129" s="1" t="str">
        <f t="shared" si="68"/>
        <v>EC</v>
      </c>
      <c r="AH129" s="92" t="str">
        <f t="shared" si="49"/>
        <v>"%USERPROFILE%\Documents\GitHub\eaglep3\Utilities\RefineRTDCRunTimes.py" --tripid 215-04 --locoid 4038 --swversion DE.1.0.8.0 --startMP 204:464 --initTime 2016-12-04T17:54:21 --startdatetime 2016-12-04T18:00:18 --delay 2 --endMP 204:233363 --enddatetime 2016-12-04T18:36:51 --enforcementcount 0 &gt;&gt;C:\Users\stu\Documents\GitHub\eaglep3-reporting\EC\2016-12-04-refined-times.txt</v>
      </c>
      <c r="AI129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{"issue":{"subject":"","project_id":79,"tracker_id":40,"status_id":1,"priority_id":2,"assigned_to_id":23,"start_date":"2016-12-04","description":"","custom_fields":[{"id":1,"name":"Subdivision","value":"EC"},{"id":4,"name":"Milepost","value":"23.3363"},{"id":17,"name":"Train ID","value":"215-04"},{"id":16,"name":"Locomotive ID","value":"4038"},{"id":130,"name":"Impact","value":""},{"id":150,"name":"Time of Event (Mountain Time)","value":"18:36:51"},{"id":151,"name":"Denver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614</v>
      </c>
      <c r="B130" s="7">
        <v>4037</v>
      </c>
      <c r="C130" s="22" t="s">
        <v>208</v>
      </c>
      <c r="D130" s="22" t="s">
        <v>761</v>
      </c>
      <c r="E130" s="13">
        <v>42708.78396990741</v>
      </c>
      <c r="F130" s="13">
        <v>42708.7891087963</v>
      </c>
      <c r="G130" s="7">
        <v>1</v>
      </c>
      <c r="H130" s="22" t="s">
        <v>762</v>
      </c>
      <c r="I130" s="13">
        <v>42708.815150462964</v>
      </c>
      <c r="J130" s="7">
        <v>0</v>
      </c>
      <c r="K130" s="109" t="str">
        <f t="shared" si="58"/>
        <v>4037/4038</v>
      </c>
      <c r="L130" s="22" t="str">
        <f>VLOOKUP(A130,'Trips&amp;Operators'!$C$1:$G$99999,5,FALSE)</f>
        <v>SHOOK JOHN</v>
      </c>
      <c r="M130" s="6">
        <f t="shared" si="59"/>
        <v>2.6041666664241347E-2</v>
      </c>
      <c r="N130" s="7">
        <f t="shared" si="69"/>
        <v>37.49999999650754</v>
      </c>
      <c r="O130" s="7"/>
      <c r="P130" s="7"/>
      <c r="Q130" s="23"/>
      <c r="R130" s="23"/>
      <c r="S130" s="35">
        <f t="shared" si="70"/>
        <v>1</v>
      </c>
      <c r="T130" s="50" t="str">
        <f t="shared" si="60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17:48:55-700',mode:absolute,to:'2016-12-04 20:33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0" s="52" t="str">
        <f t="shared" si="62"/>
        <v>N</v>
      </c>
      <c r="X130" s="177">
        <f t="shared" si="57"/>
        <v>1</v>
      </c>
      <c r="Y130" s="67">
        <f t="shared" si="63"/>
        <v>23.304500000000001</v>
      </c>
      <c r="Z130" s="67">
        <f t="shared" si="71"/>
        <v>1.6199999999999999E-2</v>
      </c>
      <c r="AA130" s="67">
        <f t="shared" si="64"/>
        <v>23.2883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65"/>
        <v>0216-04</v>
      </c>
      <c r="AE130" s="91" t="str">
        <f t="shared" si="66"/>
        <v>aws s3 cp s3://rtdc.mdm.uploadarchive.raw/RTDC4037/ "%USERPROFILE%\AppData\Local\Temp\OnboardLogs"\RTDC4037\2016-12-04 --exclude "*" --recursive --include "*20161204*" &amp; "%USERPROFILE%\Documents\GitHub\mrs-test-scripts\Headless Mode &amp; Sideloading\WalkAndUnGZ.bat" "%USERPROFILE%\AppData\Local\Temp\OnboardLogs"\RTDC4037\2016-12-04 &amp; 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</v>
      </c>
      <c r="AF130" s="88" t="str">
        <f t="shared" si="67"/>
        <v>"C:\Program Files (x86)\AstroGrep\AstroGrep.exe" /spath="%USERPROFILE%\AppData\Local\Temp\OnboardLogs" /stypes="app*4037*20161205*" /stext=" 02:.+((SYSTEM_STATE.+slice.+state.+changed )|(ment ac)|(multiple cpu faults)|(system.+state.+changed )|(\[timeout)|(PRM\|1\|D)|(kpr)|(kdp)|(\|lc)|(penalty))" /e /r /s</v>
      </c>
      <c r="AG130" s="1" t="str">
        <f t="shared" si="68"/>
        <v>EC</v>
      </c>
      <c r="AH130" s="92" t="str">
        <f t="shared" si="49"/>
        <v>"%USERPROFILE%\Documents\GitHub\eaglep3\Utilities\RefineRTDCRunTimes.py" --tripid 216-04 --locoid 4037 --swversion DE.1.0.8.0 --startMP 204:233045 --initTime 2016-12-04T18:48:55 --startdatetime 2016-12-04T18:56:19 --delay 1 --endMP 204:162 --enddatetime 2016-12-04T19:33:49 --enforcementcount 0 &gt;&gt;C:\Users\stu\Documents\GitHub\eaglep3-reporting\EC\2016-12-04-refined-times.txt</v>
      </c>
      <c r="AI130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{"issue":{"subject":"","project_id":79,"tracker_id":40,"status_id":1,"priority_id":2,"assigned_to_id":23,"start_date":"2016-12-04","description":"","custom_fields":[{"id":1,"name":"Subdivision","value":"EC"},{"id":4,"name":"Milepost","value":"0.0162"},{"id":17,"name":"Train ID","value":"216-04"},{"id":16,"name":"Locomotive ID","value":"4037"},{"id":130,"name":"Impact","value":""},{"id":150,"name":"Time of Event (Mountain Time)","value":"19:33:49"},{"id":151,"name":"Denver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606</v>
      </c>
      <c r="B131" s="7">
        <v>4029</v>
      </c>
      <c r="C131" s="22" t="s">
        <v>208</v>
      </c>
      <c r="D131" s="22" t="s">
        <v>433</v>
      </c>
      <c r="E131" s="13">
        <v>42708.754537037035</v>
      </c>
      <c r="F131" s="13">
        <v>42708.760578703703</v>
      </c>
      <c r="G131" s="7">
        <v>1</v>
      </c>
      <c r="H131" s="22" t="s">
        <v>424</v>
      </c>
      <c r="I131" s="13">
        <v>42708.784618055557</v>
      </c>
      <c r="J131" s="7">
        <v>0</v>
      </c>
      <c r="K131" s="109" t="str">
        <f t="shared" si="58"/>
        <v>4029/4030</v>
      </c>
      <c r="L131" s="22" t="str">
        <f>VLOOKUP(A131,'Trips&amp;Operators'!$C$1:$G$99999,5,FALSE)</f>
        <v>NEWELL JAMES</v>
      </c>
      <c r="M131" s="6">
        <f t="shared" si="59"/>
        <v>2.4039351854298729E-2</v>
      </c>
      <c r="N131" s="7">
        <f t="shared" si="69"/>
        <v>34.61666667019017</v>
      </c>
      <c r="O131" s="7"/>
      <c r="P131" s="7"/>
      <c r="Q131" s="23"/>
      <c r="R131" s="23"/>
      <c r="S131" s="35">
        <f t="shared" si="70"/>
        <v>1</v>
      </c>
      <c r="T131" s="50" t="str">
        <f t="shared" si="60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17:06:32-700',mode:absolute,to:'2016-12-04 19:49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1" s="52" t="str">
        <f t="shared" si="62"/>
        <v>N</v>
      </c>
      <c r="X131" s="177">
        <f t="shared" ref="X131:X155" si="72">VALUE(LEFT(AD131,4))-VALUE(LEFT(AD130,4))</f>
        <v>1</v>
      </c>
      <c r="Y131" s="67">
        <f t="shared" si="63"/>
        <v>4.8000000000000001E-2</v>
      </c>
      <c r="Z131" s="67">
        <f t="shared" si="71"/>
        <v>23.329499999999999</v>
      </c>
      <c r="AA131" s="67">
        <f t="shared" si="64"/>
        <v>23.281500000000001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65"/>
        <v>0217-04</v>
      </c>
      <c r="AE131" s="91" t="str">
        <f t="shared" si="66"/>
        <v>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 &amp; aws s3 cp s3://rtdc.mdm.uploadarchive.raw/RTDC4029/ "%USERPROFILE%\AppData\Local\Temp\OnboardLogs"\RTDC4029\2016-12-05 --exclude "*" --recursive --include "*20161205*" &amp; "%USERPROFILE%\Documents\GitHub\mrs-test-scripts\Headless Mode &amp; Sideloading\WalkAndUnGZ.bat" "%USERPROFILE%\AppData\Local\Temp\OnboardLogs"\RTDC4029\2016-12-05</v>
      </c>
      <c r="AF131" s="88" t="str">
        <f t="shared" si="67"/>
        <v>"C:\Program Files (x86)\AstroGrep\AstroGrep.exe" /spath="%USERPROFILE%\AppData\Local\Temp\OnboardLogs" /stypes="app*4029*20161205*" /stext=" 01:.+((SYSTEM_STATE.+slice.+state.+changed )|(ment ac)|(multiple cpu faults)|(system.+state.+changed )|(\[timeout)|(PRM\|1\|D)|(kpr)|(kdp)|(\|lc)|(penalty))" /e /r /s</v>
      </c>
      <c r="AG131" s="1" t="str">
        <f t="shared" si="68"/>
        <v>EC</v>
      </c>
      <c r="AH131" s="92" t="str">
        <f t="shared" si="49"/>
        <v>"%USERPROFILE%\Documents\GitHub\eaglep3\Utilities\RefineRTDCRunTimes.py" --tripid 217-04 --locoid 4029 --swversion DE.1.0.8.0 --startMP 204:480 --initTime 2016-12-04T18:06:32 --startdatetime 2016-12-04T18:15:14 --delay 1 --endMP 204:233295 --enddatetime 2016-12-04T18:49:51 --enforcementcount 0 &gt;&gt;C:\Users\stu\Documents\GitHub\eaglep3-reporting\EC\2016-12-04-refined-times.txt</v>
      </c>
      <c r="AI131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{"issue":{"subject":"","project_id":79,"tracker_id":40,"status_id":1,"priority_id":2,"assigned_to_id":23,"start_date":"2016-12-04","description":"","custom_fields":[{"id":1,"name":"Subdivision","value":"EC"},{"id":4,"name":"Milepost","value":"23.3295"},{"id":17,"name":"Train ID","value":"217-04"},{"id":16,"name":"Locomotive ID","value":"4029"},{"id":130,"name":"Impact","value":""},{"id":150,"name":"Time of Event (Mountain Time)","value":"18:49:51"},{"id":151,"name":"Denver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616</v>
      </c>
      <c r="B132" s="7">
        <v>4030</v>
      </c>
      <c r="C132" s="22" t="s">
        <v>208</v>
      </c>
      <c r="D132" s="22" t="s">
        <v>280</v>
      </c>
      <c r="E132" s="13">
        <v>42708.789259259262</v>
      </c>
      <c r="F132" s="13">
        <v>42708.799560185187</v>
      </c>
      <c r="G132" s="7">
        <v>1</v>
      </c>
      <c r="H132" s="22" t="s">
        <v>210</v>
      </c>
      <c r="I132" s="13">
        <v>42708.825115740743</v>
      </c>
      <c r="J132" s="7">
        <v>0</v>
      </c>
      <c r="K132" s="109" t="str">
        <f t="shared" si="58"/>
        <v>4029/4030</v>
      </c>
      <c r="L132" s="22" t="str">
        <f>VLOOKUP(A132,'Trips&amp;Operators'!$C$1:$G$99999,5,FALSE)</f>
        <v>NEWELL JAMES</v>
      </c>
      <c r="M132" s="6">
        <f t="shared" si="59"/>
        <v>2.5555555555911269E-2</v>
      </c>
      <c r="N132" s="7">
        <f t="shared" si="69"/>
        <v>36.800000000512227</v>
      </c>
      <c r="O132" s="7"/>
      <c r="P132" s="7"/>
      <c r="Q132" s="23"/>
      <c r="R132" s="23"/>
      <c r="S132" s="35">
        <f t="shared" si="70"/>
        <v>1</v>
      </c>
      <c r="T132" s="50" t="str">
        <f t="shared" si="60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17:56:32-700',mode:absolute,to:'2016-12-04 20:48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2" s="52" t="str">
        <f t="shared" si="62"/>
        <v>N</v>
      </c>
      <c r="X132" s="177">
        <f t="shared" si="72"/>
        <v>1</v>
      </c>
      <c r="Y132" s="67">
        <f t="shared" si="63"/>
        <v>23.298200000000001</v>
      </c>
      <c r="Z132" s="67">
        <f t="shared" si="71"/>
        <v>1.5800000000000002E-2</v>
      </c>
      <c r="AA132" s="67">
        <f t="shared" si="64"/>
        <v>23.282400000000003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65"/>
        <v>0218-04</v>
      </c>
      <c r="AE132" s="91" t="str">
        <f t="shared" si="66"/>
        <v>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 &amp; aws s3 cp s3://rtdc.mdm.uploadarchive.raw/RTDC4030/ "%USERPROFILE%\AppData\Local\Temp\OnboardLogs"\RTDC4030\2016-12-05 --exclude "*" --recursive --include "*20161205*" &amp; "%USERPROFILE%\Documents\GitHub\mrs-test-scripts\Headless Mode &amp; Sideloading\WalkAndUnGZ.bat" "%USERPROFILE%\AppData\Local\Temp\OnboardLogs"\RTDC4030\2016-12-05</v>
      </c>
      <c r="AF132" s="88" t="str">
        <f t="shared" si="67"/>
        <v>"C:\Program Files (x86)\AstroGrep\AstroGrep.exe" /spath="%USERPROFILE%\AppData\Local\Temp\OnboardLogs" /stypes="app*4030*20161205*" /stext=" 02:.+((SYSTEM_STATE.+slice.+state.+changed )|(ment ac)|(multiple cpu faults)|(system.+state.+changed )|(\[timeout)|(PRM\|1\|D)|(kpr)|(kdp)|(\|lc)|(penalty))" /e /r /s</v>
      </c>
      <c r="AG132" s="1" t="str">
        <f t="shared" si="68"/>
        <v>EC</v>
      </c>
      <c r="AH132" s="92" t="str">
        <f t="shared" si="49"/>
        <v>"%USERPROFILE%\Documents\GitHub\eaglep3\Utilities\RefineRTDCRunTimes.py" --tripid 218-04 --locoid 4030 --swversion DE.1.0.8.0 --startMP 204:232982 --initTime 2016-12-04T18:56:32 --startdatetime 2016-12-04T19:11:22 --delay 1 --endMP 204:158 --enddatetime 2016-12-04T19:48:10 --enforcementcount 0 &gt;&gt;C:\Users\stu\Documents\GitHub\eaglep3-reporting\EC\2016-12-04-refined-times.txt</v>
      </c>
      <c r="AI132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{"issue":{"subject":"","project_id":79,"tracker_id":40,"status_id":1,"priority_id":2,"assigned_to_id":23,"start_date":"2016-12-04","description":"","custom_fields":[{"id":1,"name":"Subdivision","value":"EC"},{"id":4,"name":"Milepost","value":"0.0158"},{"id":17,"name":"Train ID","value":"218-04"},{"id":16,"name":"Locomotive ID","value":"4030"},{"id":130,"name":"Impact","value":""},{"id":150,"name":"Time of Event (Mountain Time)","value":"19:48:10"},{"id":151,"name":"Denver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610</v>
      </c>
      <c r="B133" s="7">
        <v>4027</v>
      </c>
      <c r="C133" s="22" t="s">
        <v>208</v>
      </c>
      <c r="D133" s="22" t="s">
        <v>310</v>
      </c>
      <c r="E133" s="13">
        <v>42708.769120370373</v>
      </c>
      <c r="F133" s="13">
        <v>42708.771099537036</v>
      </c>
      <c r="G133" s="7">
        <v>1</v>
      </c>
      <c r="H133" s="22" t="s">
        <v>287</v>
      </c>
      <c r="I133" s="13">
        <v>42708.795868055553</v>
      </c>
      <c r="J133" s="7">
        <v>0</v>
      </c>
      <c r="K133" s="109" t="str">
        <f t="shared" si="58"/>
        <v>4027/4028</v>
      </c>
      <c r="L133" s="22" t="str">
        <f>VLOOKUP(A133,'Trips&amp;Operators'!$C$1:$G$99999,5,FALSE)</f>
        <v>CHANDLER KELVIN</v>
      </c>
      <c r="M133" s="6">
        <f t="shared" si="59"/>
        <v>2.4768518516793847E-2</v>
      </c>
      <c r="N133" s="7">
        <f t="shared" si="69"/>
        <v>35.66666666418314</v>
      </c>
      <c r="O133" s="7"/>
      <c r="P133" s="7"/>
      <c r="Q133" s="23"/>
      <c r="R133" s="23"/>
      <c r="S133" s="35">
        <f t="shared" si="70"/>
        <v>1</v>
      </c>
      <c r="T133" s="50" t="str">
        <f t="shared" si="60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17:27:32-700',mode:absolute,to:'2016-12-04 20:06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3" s="52" t="str">
        <f t="shared" si="62"/>
        <v>N</v>
      </c>
      <c r="X133" s="177">
        <f t="shared" si="72"/>
        <v>1</v>
      </c>
      <c r="Y133" s="67">
        <f t="shared" si="63"/>
        <v>4.4600000000000001E-2</v>
      </c>
      <c r="Z133" s="67">
        <f t="shared" si="71"/>
        <v>23.328900000000001</v>
      </c>
      <c r="AA133" s="67">
        <f t="shared" si="64"/>
        <v>23.284300000000002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65"/>
        <v>0219-04</v>
      </c>
      <c r="AE133" s="91" t="str">
        <f t="shared" si="66"/>
        <v>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 &amp; aws s3 cp s3://rtdc.mdm.uploadarchive.raw/RTDC4027/ "%USERPROFILE%\AppData\Local\Temp\OnboardLogs"\RTDC4027\2016-12-05 --exclude "*" --recursive --include "*20161205*" &amp; "%USERPROFILE%\Documents\GitHub\mrs-test-scripts\Headless Mode &amp; Sideloading\WalkAndUnGZ.bat" "%USERPROFILE%\AppData\Local\Temp\OnboardLogs"\RTDC4027\2016-12-05</v>
      </c>
      <c r="AF133" s="88" t="str">
        <f t="shared" si="67"/>
        <v>"C:\Program Files (x86)\AstroGrep\AstroGrep.exe" /spath="%USERPROFILE%\AppData\Local\Temp\OnboardLogs" /stypes="app*4027*20161205*" /stext=" 02:.+((SYSTEM_STATE.+slice.+state.+changed )|(ment ac)|(multiple cpu faults)|(system.+state.+changed )|(\[timeout)|(PRM\|1\|D)|(kpr)|(kdp)|(\|lc)|(penalty))" /e /r /s</v>
      </c>
      <c r="AG133" s="1" t="str">
        <f t="shared" si="68"/>
        <v>EC</v>
      </c>
      <c r="AH133" s="92" t="str">
        <f t="shared" si="49"/>
        <v>"%USERPROFILE%\Documents\GitHub\eaglep3\Utilities\RefineRTDCRunTimes.py" --tripid 219-04 --locoid 4027 --swversion DE.1.0.8.0 --startMP 204:446 --initTime 2016-12-04T18:27:32 --startdatetime 2016-12-04T18:30:23 --delay 1 --endMP 204:233289 --enddatetime 2016-12-04T19:06:03 --enforcementcount 0 &gt;&gt;C:\Users\stu\Documents\GitHub\eaglep3-reporting\EC\2016-12-04-refined-times.txt</v>
      </c>
      <c r="AI133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{"issue":{"subject":"","project_id":79,"tracker_id":40,"status_id":1,"priority_id":2,"assigned_to_id":23,"start_date":"2016-12-04","description":"","custom_fields":[{"id":1,"name":"Subdivision","value":"EC"},{"id":4,"name":"Milepost","value":"23.3289"},{"id":17,"name":"Train ID","value":"219-04"},{"id":16,"name":"Locomotive ID","value":"4027"},{"id":130,"name":"Impact","value":""},{"id":150,"name":"Time of Event (Mountain Time)","value":"19:06:03"},{"id":151,"name":"Denver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x14ac:dyDescent="0.25">
      <c r="A134" s="37" t="s">
        <v>619</v>
      </c>
      <c r="B134" s="7">
        <v>4028</v>
      </c>
      <c r="C134" s="22" t="s">
        <v>208</v>
      </c>
      <c r="D134" s="22" t="s">
        <v>763</v>
      </c>
      <c r="E134" s="13">
        <v>42708.806481481479</v>
      </c>
      <c r="F134" s="13">
        <v>42708.810196759259</v>
      </c>
      <c r="G134" s="7">
        <v>1</v>
      </c>
      <c r="H134" s="22" t="s">
        <v>434</v>
      </c>
      <c r="I134" s="13">
        <v>42708.837071759262</v>
      </c>
      <c r="J134" s="7">
        <v>0</v>
      </c>
      <c r="K134" s="109" t="str">
        <f t="shared" si="58"/>
        <v>4027/4028</v>
      </c>
      <c r="L134" s="22" t="str">
        <f>VLOOKUP(A134,'Trips&amp;Operators'!$C$1:$G$99999,5,FALSE)</f>
        <v>CHANDLER KELVIN</v>
      </c>
      <c r="M134" s="6">
        <f t="shared" si="59"/>
        <v>2.6875000003201421E-2</v>
      </c>
      <c r="N134" s="7">
        <f t="shared" si="69"/>
        <v>38.700000004610047</v>
      </c>
      <c r="O134" s="7"/>
      <c r="P134" s="7"/>
      <c r="Q134" s="23"/>
      <c r="R134" s="23"/>
      <c r="S134" s="35">
        <f t="shared" si="70"/>
        <v>1</v>
      </c>
      <c r="T134" s="50" t="str">
        <f t="shared" si="60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18:21:20-700',mode:absolute,to:'2016-12-04 21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34" s="52" t="str">
        <f t="shared" si="62"/>
        <v>N</v>
      </c>
      <c r="X134" s="177">
        <f t="shared" si="72"/>
        <v>1</v>
      </c>
      <c r="Y134" s="67">
        <f t="shared" si="63"/>
        <v>23.2972</v>
      </c>
      <c r="Z134" s="67">
        <f t="shared" si="71"/>
        <v>1.34E-2</v>
      </c>
      <c r="AA134" s="67">
        <f t="shared" si="64"/>
        <v>23.283799999999999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65"/>
        <v>0220-04</v>
      </c>
      <c r="AE134" s="91" t="str">
        <f t="shared" si="66"/>
        <v>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 &amp; aws s3 cp s3://rtdc.mdm.uploadarchive.raw/RTDC4028/ "%USERPROFILE%\AppData\Local\Temp\OnboardLogs"\RTDC4028\2016-12-05 --exclude "*" --recursive --include "*20161205*" &amp; "%USERPROFILE%\Documents\GitHub\mrs-test-scripts\Headless Mode &amp; Sideloading\WalkAndUnGZ.bat" "%USERPROFILE%\AppData\Local\Temp\OnboardLogs"\RTDC4028\2016-12-05</v>
      </c>
      <c r="AF134" s="88" t="str">
        <f t="shared" si="67"/>
        <v>"C:\Program Files (x86)\AstroGrep\AstroGrep.exe" /spath="%USERPROFILE%\AppData\Local\Temp\OnboardLogs" /stypes="app*4028*20161205*" /stext=" 03:.+((SYSTEM_STATE.+slice.+state.+changed )|(ment ac)|(multiple cpu faults)|(system.+state.+changed )|(\[timeout)|(PRM\|1\|D)|(kpr)|(kdp)|(\|lc)|(penalty))" /e /r /s</v>
      </c>
      <c r="AG134" s="1" t="str">
        <f t="shared" si="68"/>
        <v>EC</v>
      </c>
      <c r="AH134" s="92" t="str">
        <f t="shared" si="49"/>
        <v>"%USERPROFILE%\Documents\GitHub\eaglep3\Utilities\RefineRTDCRunTimes.py" --tripid 220-04 --locoid 4028 --swversion DE.1.0.8.0 --startMP 204:232972 --initTime 2016-12-04T19:21:20 --startdatetime 2016-12-04T19:26:41 --delay 1 --endMP 204:134 --enddatetime 2016-12-04T20:05:23 --enforcementcount 0 &gt;&gt;C:\Users\stu\Documents\GitHub\eaglep3-reporting\EC\2016-12-04-refined-times.txt</v>
      </c>
      <c r="AI134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{"issue":{"subject":"","project_id":79,"tracker_id":40,"status_id":1,"priority_id":2,"assigned_to_id":23,"start_date":"2016-12-04","description":"","custom_fields":[{"id":1,"name":"Subdivision","value":"EC"},{"id":4,"name":"Milepost","value":"0.0134"},{"id":17,"name":"Train ID","value":"220-04"},{"id":16,"name":"Locomotive ID","value":"4028"},{"id":130,"name":"Impact","value":""},{"id":150,"name":"Time of Event (Mountain Time)","value":"20:05:23"},{"id":151,"name":"Denver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</row>
    <row r="135" spans="1:91" x14ac:dyDescent="0.25">
      <c r="A135" s="37" t="s">
        <v>615</v>
      </c>
      <c r="B135" s="7">
        <v>4003</v>
      </c>
      <c r="C135" s="22" t="s">
        <v>208</v>
      </c>
      <c r="D135" s="22" t="s">
        <v>310</v>
      </c>
      <c r="E135" s="13">
        <v>42708.786574074074</v>
      </c>
      <c r="F135" s="13">
        <v>42708.791875000003</v>
      </c>
      <c r="G135" s="7">
        <v>1</v>
      </c>
      <c r="H135" s="22" t="s">
        <v>303</v>
      </c>
      <c r="I135" s="13">
        <v>42708.816932870373</v>
      </c>
      <c r="J135" s="7">
        <v>0</v>
      </c>
      <c r="K135" s="109" t="str">
        <f t="shared" si="58"/>
        <v>4003/4004</v>
      </c>
      <c r="L135" s="22" t="str">
        <f>VLOOKUP(A135,'Trips&amp;Operators'!$C$1:$G$99999,5,FALSE)</f>
        <v>LEVERE CRAIG</v>
      </c>
      <c r="M135" s="6">
        <f t="shared" si="59"/>
        <v>2.5057870370801538E-2</v>
      </c>
      <c r="N135" s="7">
        <f t="shared" si="69"/>
        <v>36.083333333954215</v>
      </c>
      <c r="O135" s="7"/>
      <c r="P135" s="7"/>
      <c r="Q135" s="23"/>
      <c r="R135" s="23"/>
      <c r="S135" s="35">
        <f t="shared" si="70"/>
        <v>1</v>
      </c>
      <c r="T135" s="50" t="str">
        <f t="shared" si="60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17:52:40-700',mode:absolute,to:'2016-12-04 20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5" s="52" t="str">
        <f t="shared" si="62"/>
        <v>N</v>
      </c>
      <c r="X135" s="177">
        <f t="shared" si="72"/>
        <v>1</v>
      </c>
      <c r="Y135" s="67">
        <f t="shared" si="63"/>
        <v>4.4600000000000001E-2</v>
      </c>
      <c r="Z135" s="67">
        <f t="shared" si="71"/>
        <v>23.331</v>
      </c>
      <c r="AA135" s="67">
        <f t="shared" si="64"/>
        <v>23.2864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65"/>
        <v>0221-04</v>
      </c>
      <c r="AE135" s="91" t="str">
        <f t="shared" si="66"/>
        <v>aws s3 cp s3://rtdc.mdm.uploadarchive.raw/RTDC4003/ "%USERPROFILE%\AppData\Local\Temp\OnboardLogs"\RTDC4003\2016-12-04 --exclude "*" --recursive --include "*20161204*" &amp; "%USERPROFILE%\Documents\GitHub\mrs-test-scripts\Headless Mode &amp; Sideloading\WalkAndUnGZ.bat" "%USERPROFILE%\AppData\Local\Temp\OnboardLogs"\RTDC4003\2016-12-04 &amp; aws s3 cp s3://rtdc.mdm.uploadarchive.raw/RTDC4003/ "%USERPROFILE%\AppData\Local\Temp\OnboardLogs"\RTDC4003\2016-12-05 --exclude "*" --recursive --include "*20161205*" &amp; "%USERPROFILE%\Documents\GitHub\mrs-test-scripts\Headless Mode &amp; Sideloading\WalkAndUnGZ.bat" "%USERPROFILE%\AppData\Local\Temp\OnboardLogs"\RTDC4003\2016-12-05</v>
      </c>
      <c r="AF135" s="88" t="str">
        <f t="shared" si="67"/>
        <v>"C:\Program Files (x86)\AstroGrep\AstroGrep.exe" /spath="%USERPROFILE%\AppData\Local\Temp\OnboardLogs" /stypes="app*4003*20161205*" /stext=" 02:.+((SYSTEM_STATE.+slice.+state.+changed )|(ment ac)|(multiple cpu faults)|(system.+state.+changed )|(\[timeout)|(PRM\|1\|D)|(kpr)|(kdp)|(\|lc)|(penalty))" /e /r /s</v>
      </c>
      <c r="AG135" s="1" t="str">
        <f t="shared" si="68"/>
        <v>EC</v>
      </c>
      <c r="AH135" s="92" t="str">
        <f t="shared" si="49"/>
        <v>"%USERPROFILE%\Documents\GitHub\eaglep3\Utilities\RefineRTDCRunTimes.py" --tripid 221-04 --locoid 4003 --swversion DE.1.0.8.0 --startMP 204:446 --initTime 2016-12-04T18:52:40 --startdatetime 2016-12-04T19:00:18 --delay 1 --endMP 204:233310 --enddatetime 2016-12-04T19:36:23 --enforcementcount 0 &gt;&gt;C:\Users\stu\Documents\GitHub\eaglep3-reporting\EC\2016-12-04-refined-times.txt</v>
      </c>
      <c r="AI135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{"issue":{"subject":"","project_id":79,"tracker_id":40,"status_id":1,"priority_id":2,"assigned_to_id":23,"start_date":"2016-12-04","description":"","custom_fields":[{"id":1,"name":"Subdivision","value":"EC"},{"id":4,"name":"Milepost","value":"23.331"},{"id":17,"name":"Train ID","value":"221-04"},{"id":16,"name":"Locomotive ID","value":"4003"},{"id":130,"name":"Impact","value":""},{"id":150,"name":"Time of Event (Mountain Time)","value":"19:36:23"},{"id":151,"name":"Denver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91" x14ac:dyDescent="0.25">
      <c r="A136" s="37" t="s">
        <v>623</v>
      </c>
      <c r="B136" s="7">
        <v>4004</v>
      </c>
      <c r="C136" s="22" t="s">
        <v>208</v>
      </c>
      <c r="D136" s="22" t="s">
        <v>666</v>
      </c>
      <c r="E136" s="13">
        <v>42708.825196759259</v>
      </c>
      <c r="F136" s="13">
        <v>42708.830914351849</v>
      </c>
      <c r="G136" s="7">
        <v>1</v>
      </c>
      <c r="H136" s="22" t="s">
        <v>427</v>
      </c>
      <c r="I136" s="13">
        <v>42708.857303240744</v>
      </c>
      <c r="J136" s="7">
        <v>0</v>
      </c>
      <c r="K136" s="109" t="str">
        <f t="shared" si="58"/>
        <v>4003/4004</v>
      </c>
      <c r="L136" s="22" t="str">
        <f>VLOOKUP(A136,'Trips&amp;Operators'!$C$1:$G$99999,5,FALSE)</f>
        <v>LEVERE CRAIG</v>
      </c>
      <c r="M136" s="6">
        <f t="shared" si="59"/>
        <v>2.6388888894871343E-2</v>
      </c>
      <c r="N136" s="7">
        <f t="shared" si="69"/>
        <v>38.000000008614734</v>
      </c>
      <c r="O136" s="7"/>
      <c r="P136" s="7"/>
      <c r="Q136" s="23"/>
      <c r="R136" s="23"/>
      <c r="S136" s="35">
        <f t="shared" si="70"/>
        <v>1</v>
      </c>
      <c r="T136" s="50" t="str">
        <f t="shared" si="60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18:48:17-700',mode:absolute,to:'2016-12-04 21:34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6" s="52" t="str">
        <f t="shared" si="62"/>
        <v>N</v>
      </c>
      <c r="X136" s="177">
        <f t="shared" si="72"/>
        <v>1</v>
      </c>
      <c r="Y136" s="67">
        <f t="shared" si="63"/>
        <v>23.298300000000001</v>
      </c>
      <c r="Z136" s="67">
        <f t="shared" si="71"/>
        <v>1.3599999999999999E-2</v>
      </c>
      <c r="AA136" s="67">
        <f t="shared" si="64"/>
        <v>23.284700000000001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65"/>
        <v>0222-04</v>
      </c>
      <c r="AE136" s="91" t="str">
        <f t="shared" si="66"/>
        <v>aws s3 cp s3://rtdc.mdm.uploadarchive.raw/RTDC4004/ "%USERPROFILE%\AppData\Local\Temp\OnboardLogs"\RTDC4004\2016-12-04 --exclude "*" --recursive --include "*20161204*" &amp; "%USERPROFILE%\Documents\GitHub\mrs-test-scripts\Headless Mode &amp; Sideloading\WalkAndUnGZ.bat" "%USERPROFILE%\AppData\Local\Temp\OnboardLogs"\RTDC4004\2016-12-04 &amp; aws s3 cp s3://rtdc.mdm.uploadarchive.raw/RTDC4004/ "%USERPROFILE%\AppData\Local\Temp\OnboardLogs"\RTDC4004\2016-12-05 --exclude "*" --recursive --include "*20161205*" &amp; "%USERPROFILE%\Documents\GitHub\mrs-test-scripts\Headless Mode &amp; Sideloading\WalkAndUnGZ.bat" "%USERPROFILE%\AppData\Local\Temp\OnboardLogs"\RTDC4004\2016-12-05</v>
      </c>
      <c r="AF136" s="88" t="str">
        <f t="shared" si="67"/>
        <v>"C:\Program Files (x86)\AstroGrep\AstroGrep.exe" /spath="%USERPROFILE%\AppData\Local\Temp\OnboardLogs" /stypes="app*4004*20161205*" /stext=" 03:.+((SYSTEM_STATE.+slice.+state.+changed )|(ment ac)|(multiple cpu faults)|(system.+state.+changed )|(\[timeout)|(PRM\|1\|D)|(kpr)|(kdp)|(\|lc)|(penalty))" /e /r /s</v>
      </c>
      <c r="AG136" s="1" t="str">
        <f t="shared" si="68"/>
        <v>EC</v>
      </c>
      <c r="AH136" s="92" t="str">
        <f t="shared" si="49"/>
        <v>"%USERPROFILE%\Documents\GitHub\eaglep3\Utilities\RefineRTDCRunTimes.py" --tripid 222-04 --locoid 4004 --swversion DE.1.0.8.0 --startMP 204:232983 --initTime 2016-12-04T19:48:17 --startdatetime 2016-12-04T19:56:31 --delay 1 --endMP 204:136 --enddatetime 2016-12-04T20:34:31 --enforcementcount 0 &gt;&gt;C:\Users\stu\Documents\GitHub\eaglep3-reporting\EC\2016-12-04-refined-times.txt</v>
      </c>
      <c r="AI136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{"issue":{"subject":"","project_id":79,"tracker_id":40,"status_id":1,"priority_id":2,"assigned_to_id":23,"start_date":"2016-12-04","description":"","custom_fields":[{"id":1,"name":"Subdivision","value":"EC"},{"id":4,"name":"Milepost","value":"0.0136"},{"id":17,"name":"Train ID","value":"222-04"},{"id":16,"name":"Locomotive ID","value":"4004"},{"id":130,"name":"Impact","value":""},{"id":150,"name":"Time of Event (Mountain Time)","value":"20:34:31"},{"id":151,"name":"Denver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91" s="21" customFormat="1" x14ac:dyDescent="0.25">
      <c r="A137" s="37" t="s">
        <v>620</v>
      </c>
      <c r="B137" s="7">
        <v>4031</v>
      </c>
      <c r="C137" s="22" t="s">
        <v>208</v>
      </c>
      <c r="D137" s="22" t="s">
        <v>261</v>
      </c>
      <c r="E137" s="13">
        <v>42708.807858796295</v>
      </c>
      <c r="F137" s="13">
        <v>42708.812835648147</v>
      </c>
      <c r="G137" s="7">
        <v>1</v>
      </c>
      <c r="H137" s="22" t="s">
        <v>304</v>
      </c>
      <c r="I137" s="13">
        <v>42708.837291666663</v>
      </c>
      <c r="J137" s="7">
        <v>0</v>
      </c>
      <c r="K137" s="109" t="str">
        <f t="shared" si="58"/>
        <v>4031/4032</v>
      </c>
      <c r="L137" s="22" t="str">
        <f>VLOOKUP(A137,'Trips&amp;Operators'!$C$1:$G$99999,5,FALSE)</f>
        <v>COOLAHAN JOHN</v>
      </c>
      <c r="M137" s="6">
        <f t="shared" si="59"/>
        <v>2.4456018516502809E-2</v>
      </c>
      <c r="N137" s="7">
        <f t="shared" si="69"/>
        <v>35.216666663764045</v>
      </c>
      <c r="O137" s="7"/>
      <c r="P137" s="7"/>
      <c r="Q137" s="23"/>
      <c r="R137" s="23"/>
      <c r="S137" s="35">
        <f t="shared" si="70"/>
        <v>1</v>
      </c>
      <c r="T137" s="50" t="str">
        <f t="shared" si="60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18:23:19-700',mode:absolute,to:'2016-12-04 21:05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7" s="52" t="str">
        <f t="shared" si="62"/>
        <v>N</v>
      </c>
      <c r="X137" s="177">
        <f t="shared" si="72"/>
        <v>1</v>
      </c>
      <c r="Y137" s="67">
        <f t="shared" si="63"/>
        <v>4.6699999999999998E-2</v>
      </c>
      <c r="Z137" s="67">
        <f t="shared" si="71"/>
        <v>23.331199999999999</v>
      </c>
      <c r="AA137" s="67">
        <f t="shared" si="64"/>
        <v>23.284499999999998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65"/>
        <v>0223-04</v>
      </c>
      <c r="AE137" s="91" t="str">
        <f t="shared" si="66"/>
        <v>aws s3 cp s3://rtdc.mdm.uploadarchive.raw/RTDC4031/ "%USERPROFILE%\AppData\Local\Temp\OnboardLogs"\RTDC4031\2016-12-04 --exclude "*" --recursive --include "*20161204*" &amp; "%USERPROFILE%\Documents\GitHub\mrs-test-scripts\Headless Mode &amp; Sideloading\WalkAndUnGZ.bat" "%USERPROFILE%\AppData\Local\Temp\OnboardLogs"\RTDC4031\2016-12-04 &amp; aws s3 cp s3://rtdc.mdm.uploadarchive.raw/RTDC4031/ "%USERPROFILE%\AppData\Local\Temp\OnboardLogs"\RTDC4031\2016-12-05 --exclude "*" --recursive --include "*20161205*" &amp; "%USERPROFILE%\Documents\GitHub\mrs-test-scripts\Headless Mode &amp; Sideloading\WalkAndUnGZ.bat" "%USERPROFILE%\AppData\Local\Temp\OnboardLogs"\RTDC4031\2016-12-05</v>
      </c>
      <c r="AF137" s="88" t="str">
        <f t="shared" si="67"/>
        <v>"C:\Program Files (x86)\AstroGrep\AstroGrep.exe" /spath="%USERPROFILE%\AppData\Local\Temp\OnboardLogs" /stypes="app*4031*20161205*" /stext=" 03:.+((SYSTEM_STATE.+slice.+state.+changed )|(ment ac)|(multiple cpu faults)|(system.+state.+changed )|(\[timeout)|(PRM\|1\|D)|(kpr)|(kdp)|(\|lc)|(penalty))" /e /r /s</v>
      </c>
      <c r="AG137" s="1" t="str">
        <f t="shared" si="68"/>
        <v>EC</v>
      </c>
      <c r="AH137" s="92" t="str">
        <f t="shared" si="49"/>
        <v>"%USERPROFILE%\Documents\GitHub\eaglep3\Utilities\RefineRTDCRunTimes.py" --tripid 223-04 --locoid 4031 --swversion DE.1.0.8.0 --startMP 204:467 --initTime 2016-12-04T19:23:19 --startdatetime 2016-12-04T19:30:29 --delay 1 --endMP 204:233312 --enddatetime 2016-12-04T20:05:42 --enforcementcount 0 &gt;&gt;C:\Users\stu\Documents\GitHub\eaglep3-reporting\EC\2016-12-04-refined-times.txt</v>
      </c>
      <c r="AI137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{"issue":{"subject":"","project_id":79,"tracker_id":40,"status_id":1,"priority_id":2,"assigned_to_id":23,"start_date":"2016-12-04","description":"","custom_fields":[{"id":1,"name":"Subdivision","value":"EC"},{"id":4,"name":"Milepost","value":"23.3312"},{"id":17,"name":"Train ID","value":"223-04"},{"id":16,"name":"Locomotive ID","value":"4031"},{"id":130,"name":"Impact","value":""},{"id":150,"name":"Time of Event (Mountain Time)","value":"20:05:42"},{"id":151,"name":"Denver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626</v>
      </c>
      <c r="B138" s="7">
        <v>4032</v>
      </c>
      <c r="C138" s="22" t="s">
        <v>208</v>
      </c>
      <c r="D138" s="22" t="s">
        <v>314</v>
      </c>
      <c r="E138" s="13">
        <v>42708.846817129626</v>
      </c>
      <c r="F138" s="13">
        <v>42708.851921296293</v>
      </c>
      <c r="G138" s="7">
        <v>1</v>
      </c>
      <c r="H138" s="22" t="s">
        <v>379</v>
      </c>
      <c r="I138" s="13">
        <v>42708.877488425926</v>
      </c>
      <c r="J138" s="7">
        <v>0</v>
      </c>
      <c r="K138" s="109" t="str">
        <f t="shared" si="58"/>
        <v>4031/4032</v>
      </c>
      <c r="L138" s="22" t="str">
        <f>VLOOKUP(A138,'Trips&amp;Operators'!$C$1:$G$99999,5,FALSE)</f>
        <v>COOLAHAN JOHN</v>
      </c>
      <c r="M138" s="6">
        <f t="shared" si="59"/>
        <v>2.5567129632690921E-2</v>
      </c>
      <c r="N138" s="7">
        <f t="shared" si="69"/>
        <v>36.816666671074927</v>
      </c>
      <c r="O138" s="7"/>
      <c r="P138" s="7"/>
      <c r="Q138" s="23"/>
      <c r="R138" s="23"/>
      <c r="S138" s="35">
        <f t="shared" si="70"/>
        <v>1</v>
      </c>
      <c r="T138" s="50" t="str">
        <f t="shared" si="60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19:19:25-700',mode:absolute,to:'2016-12-04 22:03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38" s="52" t="str">
        <f t="shared" si="62"/>
        <v>N</v>
      </c>
      <c r="X138" s="177">
        <f t="shared" si="72"/>
        <v>1</v>
      </c>
      <c r="Y138" s="67">
        <f t="shared" si="63"/>
        <v>23.301500000000001</v>
      </c>
      <c r="Z138" s="67">
        <f t="shared" si="71"/>
        <v>1.2699999999999999E-2</v>
      </c>
      <c r="AA138" s="67">
        <f t="shared" si="64"/>
        <v>23.288800000000002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65"/>
        <v>0224-04</v>
      </c>
      <c r="AE138" s="91" t="str">
        <f t="shared" si="66"/>
        <v>aws s3 cp s3://rtdc.mdm.uploadarchive.raw/RTDC4032/ "%USERPROFILE%\AppData\Local\Temp\OnboardLogs"\RTDC4032\2016-12-04 --exclude "*" --recursive --include "*20161204*" &amp; "%USERPROFILE%\Documents\GitHub\mrs-test-scripts\Headless Mode &amp; Sideloading\WalkAndUnGZ.bat" "%USERPROFILE%\AppData\Local\Temp\OnboardLogs"\RTDC4032\2016-12-04 &amp; aws s3 cp s3://rtdc.mdm.uploadarchive.raw/RTDC4032/ "%USERPROFILE%\AppData\Local\Temp\OnboardLogs"\RTDC4032\2016-12-05 --exclude "*" --recursive --include "*20161205*" &amp; "%USERPROFILE%\Documents\GitHub\mrs-test-scripts\Headless Mode &amp; Sideloading\WalkAndUnGZ.bat" "%USERPROFILE%\AppData\Local\Temp\OnboardLogs"\RTDC4032\2016-12-05</v>
      </c>
      <c r="AF138" s="88" t="str">
        <f t="shared" si="67"/>
        <v>"C:\Program Files (x86)\AstroGrep\AstroGrep.exe" /spath="%USERPROFILE%\AppData\Local\Temp\OnboardLogs" /stypes="app*4032*20161205*" /stext=" 04:.+((SYSTEM_STATE.+slice.+state.+changed )|(ment ac)|(multiple cpu faults)|(system.+state.+changed )|(\[timeout)|(PRM\|1\|D)|(kpr)|(kdp)|(\|lc)|(penalty))" /e /r /s</v>
      </c>
      <c r="AG138" s="1" t="str">
        <f t="shared" si="68"/>
        <v>EC</v>
      </c>
      <c r="AH138" s="92" t="str">
        <f t="shared" si="49"/>
        <v>"%USERPROFILE%\Documents\GitHub\eaglep3\Utilities\RefineRTDCRunTimes.py" --tripid 224-04 --locoid 4032 --swversion DE.1.0.8.0 --startMP 204:233015 --initTime 2016-12-04T20:19:25 --startdatetime 2016-12-04T20:26:46 --delay 1 --endMP 204:127 --enddatetime 2016-12-04T21:03:35 --enforcementcount 0 &gt;&gt;C:\Users\stu\Documents\GitHub\eaglep3-reporting\EC\2016-12-04-refined-times.txt</v>
      </c>
      <c r="AI138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{"issue":{"subject":"","project_id":79,"tracker_id":40,"status_id":1,"priority_id":2,"assigned_to_id":23,"start_date":"2016-12-04","description":"","custom_fields":[{"id":1,"name":"Subdivision","value":"EC"},{"id":4,"name":"Milepost","value":"0.0127"},{"id":17,"name":"Train ID","value":"224-04"},{"id":16,"name":"Locomotive ID","value":"4032"},{"id":130,"name":"Impact","value":""},{"id":150,"name":"Time of Event (Mountain Time)","value":"21:03:35"},{"id":151,"name":"Denver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624</v>
      </c>
      <c r="B139" s="7">
        <v>4029</v>
      </c>
      <c r="C139" s="22" t="s">
        <v>208</v>
      </c>
      <c r="D139" s="22" t="s">
        <v>416</v>
      </c>
      <c r="E139" s="13">
        <v>42708.830266203702</v>
      </c>
      <c r="F139" s="13">
        <v>42708.833483796298</v>
      </c>
      <c r="G139" s="7">
        <v>1</v>
      </c>
      <c r="H139" s="22" t="s">
        <v>684</v>
      </c>
      <c r="I139" s="13">
        <v>42708.857685185183</v>
      </c>
      <c r="J139" s="7">
        <v>0</v>
      </c>
      <c r="K139" s="109" t="str">
        <f t="shared" si="58"/>
        <v>4029/4030</v>
      </c>
      <c r="L139" s="22" t="str">
        <f>VLOOKUP(A139,'Trips&amp;Operators'!$C$1:$G$99999,5,FALSE)</f>
        <v>NEWELL JAMES</v>
      </c>
      <c r="M139" s="6">
        <f t="shared" si="59"/>
        <v>2.4201388885558117E-2</v>
      </c>
      <c r="N139" s="7">
        <f t="shared" si="69"/>
        <v>34.849999995203689</v>
      </c>
      <c r="O139" s="7"/>
      <c r="P139" s="7"/>
      <c r="Q139" s="23"/>
      <c r="R139" s="23"/>
      <c r="S139" s="35">
        <f t="shared" si="70"/>
        <v>1</v>
      </c>
      <c r="T139" s="50" t="str">
        <f t="shared" si="60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18:55:35-700',mode:absolute,to:'2016-12-04 21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9" s="52" t="str">
        <f t="shared" si="62"/>
        <v>N</v>
      </c>
      <c r="X139" s="177">
        <f t="shared" si="72"/>
        <v>1</v>
      </c>
      <c r="Y139" s="67">
        <f t="shared" si="63"/>
        <v>4.4400000000000002E-2</v>
      </c>
      <c r="Z139" s="67">
        <f t="shared" si="71"/>
        <v>23.33</v>
      </c>
      <c r="AA139" s="67">
        <f t="shared" si="64"/>
        <v>23.285599999999999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65"/>
        <v>0225-04</v>
      </c>
      <c r="AE139" s="91" t="str">
        <f t="shared" si="66"/>
        <v>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 &amp; aws s3 cp s3://rtdc.mdm.uploadarchive.raw/RTDC4029/ "%USERPROFILE%\AppData\Local\Temp\OnboardLogs"\RTDC4029\2016-12-05 --exclude "*" --recursive --include "*20161205*" &amp; "%USERPROFILE%\Documents\GitHub\mrs-test-scripts\Headless Mode &amp; Sideloading\WalkAndUnGZ.bat" "%USERPROFILE%\AppData\Local\Temp\OnboardLogs"\RTDC4029\2016-12-05</v>
      </c>
      <c r="AF139" s="88" t="str">
        <f t="shared" si="67"/>
        <v>"C:\Program Files (x86)\AstroGrep\AstroGrep.exe" /spath="%USERPROFILE%\AppData\Local\Temp\OnboardLogs" /stypes="app*4029*20161205*" /stext=" 03:.+((SYSTEM_STATE.+slice.+state.+changed )|(ment ac)|(multiple cpu faults)|(system.+state.+changed )|(\[timeout)|(PRM\|1\|D)|(kpr)|(kdp)|(\|lc)|(penalty))" /e /r /s</v>
      </c>
      <c r="AG139" s="1" t="str">
        <f t="shared" si="68"/>
        <v>EC</v>
      </c>
      <c r="AH139" s="92" t="str">
        <f t="shared" si="49"/>
        <v>"%USERPROFILE%\Documents\GitHub\eaglep3\Utilities\RefineRTDCRunTimes.py" --tripid 225-04 --locoid 4029 --swversion DE.1.0.8.0 --startMP 204:444 --initTime 2016-12-04T19:55:35 --startdatetime 2016-12-04T20:00:13 --delay 1 --endMP 204:233300 --enddatetime 2016-12-04T20:35:04 --enforcementcount 0 &gt;&gt;C:\Users\stu\Documents\GitHub\eaglep3-reporting\EC\2016-12-04-refined-times.txt</v>
      </c>
      <c r="AI139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{"issue":{"subject":"","project_id":79,"tracker_id":40,"status_id":1,"priority_id":2,"assigned_to_id":23,"start_date":"2016-12-04","description":"","custom_fields":[{"id":1,"name":"Subdivision","value":"EC"},{"id":4,"name":"Milepost","value":"23.33"},{"id":17,"name":"Train ID","value":"225-04"},{"id":16,"name":"Locomotive ID","value":"4029"},{"id":130,"name":"Impact","value":""},{"id":150,"name":"Time of Event (Mountain Time)","value":"20:35:04"},{"id":151,"name":"Denver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630</v>
      </c>
      <c r="B140" s="7">
        <v>4030</v>
      </c>
      <c r="C140" s="22" t="s">
        <v>208</v>
      </c>
      <c r="D140" s="22" t="s">
        <v>238</v>
      </c>
      <c r="E140" s="13">
        <v>42708.868090277778</v>
      </c>
      <c r="F140" s="13">
        <v>42708.872384259259</v>
      </c>
      <c r="G140" s="7">
        <v>1</v>
      </c>
      <c r="H140" s="22" t="s">
        <v>206</v>
      </c>
      <c r="I140" s="13">
        <v>42708.898125</v>
      </c>
      <c r="J140" s="7">
        <v>0</v>
      </c>
      <c r="K140" s="109" t="str">
        <f t="shared" si="58"/>
        <v>4029/4030</v>
      </c>
      <c r="L140" s="22" t="str">
        <f>VLOOKUP(A140,'Trips&amp;Operators'!$C$1:$G$99999,5,FALSE)</f>
        <v>NEWELL JAMES</v>
      </c>
      <c r="M140" s="6">
        <f t="shared" si="59"/>
        <v>2.5740740740729962E-2</v>
      </c>
      <c r="N140" s="7">
        <f t="shared" si="69"/>
        <v>37.066666666651145</v>
      </c>
      <c r="O140" s="7"/>
      <c r="P140" s="7"/>
      <c r="Q140" s="23"/>
      <c r="R140" s="23"/>
      <c r="S140" s="35">
        <f t="shared" si="70"/>
        <v>1</v>
      </c>
      <c r="T140" s="50" t="str">
        <f t="shared" si="60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61"/>
        <v>https://search-rtdc-monitor-bjffxe2xuh6vdkpspy63sjmuny.us-east-1.es.amazonaws.com/_plugin/kibana/#/discover/Steve-Slow-Train-Analysis-(2080s-and-2083s)?_g=(refreshInterval:(display:Off,section:0,value:0),time:(from:'2016-12-04 19:50:03-700',mode:absolute,to:'2016-12-04 22:33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0" s="52" t="str">
        <f t="shared" si="62"/>
        <v>N</v>
      </c>
      <c r="X140" s="177">
        <f t="shared" si="72"/>
        <v>1</v>
      </c>
      <c r="Y140" s="67">
        <f t="shared" si="63"/>
        <v>23.299299999999999</v>
      </c>
      <c r="Z140" s="67">
        <f t="shared" si="71"/>
        <v>1.5599999999999999E-2</v>
      </c>
      <c r="AA140" s="67">
        <f t="shared" si="64"/>
        <v>23.2837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65"/>
        <v>0226-04</v>
      </c>
      <c r="AE140" s="91" t="str">
        <f t="shared" si="66"/>
        <v>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 &amp; aws s3 cp s3://rtdc.mdm.uploadarchive.raw/RTDC4030/ "%USERPROFILE%\AppData\Local\Temp\OnboardLogs"\RTDC4030\2016-12-05 --exclude "*" --recursive --include "*20161205*" &amp; "%USERPROFILE%\Documents\GitHub\mrs-test-scripts\Headless Mode &amp; Sideloading\WalkAndUnGZ.bat" "%USERPROFILE%\AppData\Local\Temp\OnboardLogs"\RTDC4030\2016-12-05</v>
      </c>
      <c r="AF140" s="88" t="str">
        <f t="shared" si="67"/>
        <v>"C:\Program Files (x86)\AstroGrep\AstroGrep.exe" /spath="%USERPROFILE%\AppData\Local\Temp\OnboardLogs" /stypes="app*4030*20161205*" /stext=" 04:.+((SYSTEM_STATE.+slice.+state.+changed )|(ment ac)|(multiple cpu faults)|(system.+state.+changed )|(\[timeout)|(PRM\|1\|D)|(kpr)|(kdp)|(\|lc)|(penalty))" /e /r /s</v>
      </c>
      <c r="AG140" s="1" t="str">
        <f t="shared" si="68"/>
        <v>EC</v>
      </c>
      <c r="AH140" s="92" t="str">
        <f t="shared" si="49"/>
        <v>"%USERPROFILE%\Documents\GitHub\eaglep3\Utilities\RefineRTDCRunTimes.py" --tripid 226-04 --locoid 4030 --swversion DE.1.0.8.0 --startMP 204:232993 --initTime 2016-12-04T20:50:03 --startdatetime 2016-12-04T20:56:14 --delay 1 --endMP 204:156 --enddatetime 2016-12-04T21:33:18 --enforcementcount 0 &gt;&gt;C:\Users\stu\Documents\GitHub\eaglep3-reporting\EC\2016-12-04-refined-times.txt</v>
      </c>
      <c r="AI140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{"issue":{"subject":"","project_id":79,"tracker_id":40,"status_id":1,"priority_id":2,"assigned_to_id":23,"start_date":"2016-12-04","description":"","custom_fields":[{"id":1,"name":"Subdivision","value":"EC"},{"id":4,"name":"Milepost","value":"0.0156"},{"id":17,"name":"Train ID","value":"226-04"},{"id":16,"name":"Locomotive ID","value":"4030"},{"id":130,"name":"Impact","value":""},{"id":150,"name":"Time of Event (Mountain Time)","value":"21:33:18"},{"id":151,"name":"Denver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627</v>
      </c>
      <c r="B141" s="7">
        <v>4027</v>
      </c>
      <c r="C141" s="22" t="s">
        <v>208</v>
      </c>
      <c r="D141" s="22" t="s">
        <v>230</v>
      </c>
      <c r="E141" s="13">
        <v>42708.850925925923</v>
      </c>
      <c r="F141" s="13">
        <v>42708.854942129627</v>
      </c>
      <c r="G141" s="7">
        <v>1</v>
      </c>
      <c r="H141" s="22" t="s">
        <v>304</v>
      </c>
      <c r="I141" s="13">
        <v>42708.880706018521</v>
      </c>
      <c r="J141" s="7">
        <v>0</v>
      </c>
      <c r="K141" s="109" t="str">
        <f t="shared" ref="K141:K172" si="73">IF(ISEVEN(B141),(B141-1)&amp;"/"&amp;B141,B141&amp;"/"&amp;(B141+1))</f>
        <v>4027/4028</v>
      </c>
      <c r="L141" s="22" t="str">
        <f>VLOOKUP(A141,'Trips&amp;Operators'!$C$1:$G$99999,5,FALSE)</f>
        <v>CHANDLER KELVIN</v>
      </c>
      <c r="M141" s="6">
        <f t="shared" ref="M141:M172" si="74">I141-F141</f>
        <v>2.5763888894289266E-2</v>
      </c>
      <c r="N141" s="7">
        <f t="shared" si="69"/>
        <v>37.100000007776543</v>
      </c>
      <c r="O141" s="7"/>
      <c r="P141" s="7"/>
      <c r="Q141" s="23"/>
      <c r="R141" s="23"/>
      <c r="S141" s="35">
        <f t="shared" si="70"/>
        <v>1</v>
      </c>
      <c r="T141" s="50" t="str">
        <f t="shared" ref="T141:T172" si="75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172" si="76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https://search-rtdc-monitor-bjffxe2xuh6vdkpspy63sjmuny.us-east-1.es.amazonaws.com/_plugin/kibana/#/discover/Steve-Slow-Train-Analysis-(2080s-and-2083s)?_g=(refreshInterval:(display:Off,section:0,value:0),time:(from:'2016-12-04 19:25:20-700',mode:absolute,to:'2016-12-04 22:08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1" s="52" t="str">
        <f t="shared" ref="W141:W172" si="77">IF(AA141&lt;IF(AG141="EC",23,5.65),"Y","N")</f>
        <v>N</v>
      </c>
      <c r="X141" s="177">
        <f t="shared" si="72"/>
        <v>1</v>
      </c>
      <c r="Y141" s="67">
        <f t="shared" ref="Y141:Y172" si="78">RIGHT(D141,LEN(D141)-4)/10000</f>
        <v>4.4900000000000002E-2</v>
      </c>
      <c r="Z141" s="67">
        <f t="shared" si="71"/>
        <v>23.331199999999999</v>
      </c>
      <c r="AA141" s="67">
        <f t="shared" ref="AA141:AA172" si="79">ABS(Z141-Y141)</f>
        <v>23.286300000000001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ref="AD141:AD172" si="80">IF(LEN(A141)=6,"0"&amp;A141,A141)</f>
        <v>0227-04</v>
      </c>
      <c r="AE141" s="91" t="str">
        <f t="shared" ref="AE141:AE172" si="8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 &amp; aws s3 cp s3://rtdc.mdm.uploadarchive.raw/RTDC4027/ "%USERPROFILE%\AppData\Local\Temp\OnboardLogs"\RTDC4027\2016-12-05 --exclude "*" --recursive --include "*20161205*" &amp; "%USERPROFILE%\Documents\GitHub\mrs-test-scripts\Headless Mode &amp; Sideloading\WalkAndUnGZ.bat" "%USERPROFILE%\AppData\Local\Temp\OnboardLogs"\RTDC4027\2016-12-05</v>
      </c>
      <c r="AF141" s="88" t="str">
        <f t="shared" ref="AF141:AF172" si="82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/stypes="app*4027*20161205*" /stext=" 04:.+((SYSTEM_STATE.+slice.+state.+changed )|(ment ac)|(multiple cpu faults)|(system.+state.+changed )|(\[timeout)|(PRM\|1\|D)|(kpr)|(kdp)|(\|lc)|(penalty))" /e /r /s</v>
      </c>
      <c r="AG141" s="1" t="str">
        <f t="shared" ref="AG141:AG172" si="83">IFERROR(IF(VALUE(LEFT(AD141,2))&lt;=2,"EC",IF(OR(VALUE(LEFT(AD141,2))=8,VALUE(LEFT(AD141,2))=18),"NW","Other")),"Other")</f>
        <v>EC</v>
      </c>
      <c r="AH141" s="92" t="str">
        <f t="shared" si="49"/>
        <v>"%USERPROFILE%\Documents\GitHub\eaglep3\Utilities\RefineRTDCRunTimes.py" --tripid 227-04 --locoid 4027 --swversion DE.1.0.8.0 --startMP 204:449 --initTime 2016-12-04T20:25:20 --startdatetime 2016-12-04T20:31:07 --delay 1 --endMP 204:233312 --enddatetime 2016-12-04T21:08:13 --enforcementcount 0 &gt;&gt;C:\Users\stu\Documents\GitHub\eaglep3-reporting\EC\2016-12-04-refined-times.txt</v>
      </c>
      <c r="AI141" s="119" t="str">
        <f t="shared" si="50"/>
        <v>echo {"issue":{"subject":"","project_id":79,"tracker_id":40,"status_id":1,"priority_id":2,"assigned_to_id":23,"start_date":"2016-12-04","description":"","custom_fields":[{"id":1,"name":"Subdivision","value":"EC"},{"id":4,"name":"Milepost","value":"23.3312"},{"id":17,"name":"Train ID","value":"227-04"},{"id":16,"name":"Locomotive ID","value":"4027"},{"id":130,"name":"Impact","value":""},{"id":150,"name":"Time of Event (Mountain Time)","value":"21:08:13"},{"id":151,"name":"Denver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632</v>
      </c>
      <c r="B142" s="7">
        <v>4028</v>
      </c>
      <c r="C142" s="22" t="s">
        <v>208</v>
      </c>
      <c r="D142" s="22" t="s">
        <v>312</v>
      </c>
      <c r="E142" s="13">
        <v>42708.891342592593</v>
      </c>
      <c r="F142" s="13">
        <v>42708.893541666665</v>
      </c>
      <c r="G142" s="7">
        <v>1</v>
      </c>
      <c r="H142" s="22" t="s">
        <v>206</v>
      </c>
      <c r="I142" s="13">
        <v>42708.920613425929</v>
      </c>
      <c r="J142" s="7">
        <v>0</v>
      </c>
      <c r="K142" s="109" t="str">
        <f t="shared" si="73"/>
        <v>4027/4028</v>
      </c>
      <c r="L142" s="22" t="str">
        <f>VLOOKUP(A142,'Trips&amp;Operators'!$C$1:$G$99999,5,FALSE)</f>
        <v>CHANDLER KELVIN</v>
      </c>
      <c r="M142" s="6">
        <f t="shared" si="74"/>
        <v>2.7071759264799766E-2</v>
      </c>
      <c r="N142" s="7">
        <f t="shared" si="69"/>
        <v>38.983333341311663</v>
      </c>
      <c r="O142" s="7"/>
      <c r="P142" s="7"/>
      <c r="Q142" s="23"/>
      <c r="R142" s="23"/>
      <c r="S142" s="35">
        <f t="shared" ref="S142:S173" si="84">SUM(U142:U142)/IF(AG142="EC",12,1)</f>
        <v>1</v>
      </c>
      <c r="T142" s="50" t="str">
        <f t="shared" si="75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20:23:32-700',mode:absolute,to:'2016-12-04 23:05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2" s="52" t="str">
        <f t="shared" si="77"/>
        <v>N</v>
      </c>
      <c r="X142" s="177">
        <f t="shared" si="72"/>
        <v>1</v>
      </c>
      <c r="Y142" s="67">
        <f t="shared" si="78"/>
        <v>23.2987</v>
      </c>
      <c r="Z142" s="67">
        <f t="shared" ref="Z142:Z173" si="85">RIGHT(H142,LEN(H142)-4)/10000</f>
        <v>1.5599999999999999E-2</v>
      </c>
      <c r="AA142" s="67">
        <f t="shared" si="79"/>
        <v>23.283100000000001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80"/>
        <v>0228-04</v>
      </c>
      <c r="AE142" s="91" t="str">
        <f t="shared" si="81"/>
        <v>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 &amp; aws s3 cp s3://rtdc.mdm.uploadarchive.raw/RTDC4028/ "%USERPROFILE%\AppData\Local\Temp\OnboardLogs"\RTDC4028\2016-12-05 --exclude "*" --recursive --include "*20161205*" &amp; "%USERPROFILE%\Documents\GitHub\mrs-test-scripts\Headless Mode &amp; Sideloading\WalkAndUnGZ.bat" "%USERPROFILE%\AppData\Local\Temp\OnboardLogs"\RTDC4028\2016-12-05</v>
      </c>
      <c r="AF142" s="88" t="str">
        <f t="shared" si="82"/>
        <v>"C:\Program Files (x86)\AstroGrep\AstroGrep.exe" /spath="%USERPROFILE%\AppData\Local\Temp\OnboardLogs" /stypes="app*4028*20161205*" /stext=" 05:.+((SYSTEM_STATE.+slice.+state.+changed )|(ment ac)|(multiple cpu faults)|(system.+state.+changed )|(\[timeout)|(PRM\|1\|D)|(kpr)|(kdp)|(\|lc)|(penalty))" /e /r /s</v>
      </c>
      <c r="AG142" s="1" t="str">
        <f t="shared" si="83"/>
        <v>EC</v>
      </c>
      <c r="AH142" s="92" t="str">
        <f t="shared" ref="AH142:AH202" si="86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228-04 --locoid 4028 --swversion DE.1.0.8.0 --startMP 204:232987 --initTime 2016-12-04T21:23:32 --startdatetime 2016-12-04T21:26:42 --delay 1 --endMP 204:156 --enddatetime 2016-12-04T22:05:41 --enforcementcount 0 &gt;&gt;C:\Users\stu\Documents\GitHub\eaglep3-reporting\EC\2016-12-04-refined-times.txt</v>
      </c>
      <c r="AI142" s="119" t="str">
        <f t="shared" ref="AI142:AI202" si="87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{"issue":{"subject":"","project_id":79,"tracker_id":40,"status_id":1,"priority_id":2,"assigned_to_id":23,"start_date":"2016-12-04","description":"","custom_fields":[{"id":1,"name":"Subdivision","value":"EC"},{"id":4,"name":"Milepost","value":"0.0156"},{"id":17,"name":"Train ID","value":"228-04"},{"id":16,"name":"Locomotive ID","value":"4028"},{"id":130,"name":"Impact","value":""},{"id":150,"name":"Time of Event (Mountain Time)","value":"22:05:41"},{"id":151,"name":"Denver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629</v>
      </c>
      <c r="B143" s="7">
        <v>4003</v>
      </c>
      <c r="C143" s="22" t="s">
        <v>208</v>
      </c>
      <c r="D143" s="22" t="s">
        <v>691</v>
      </c>
      <c r="E143" s="13">
        <v>42708.866249999999</v>
      </c>
      <c r="F143" s="13">
        <v>42708.875208333331</v>
      </c>
      <c r="G143" s="7">
        <v>1</v>
      </c>
      <c r="H143" s="22" t="s">
        <v>668</v>
      </c>
      <c r="I143" s="13">
        <v>42708.900451388887</v>
      </c>
      <c r="J143" s="7">
        <v>0</v>
      </c>
      <c r="K143" s="109" t="str">
        <f t="shared" si="73"/>
        <v>4003/4004</v>
      </c>
      <c r="L143" s="22" t="str">
        <f>VLOOKUP(A143,'Trips&amp;Operators'!$C$1:$G$99999,5,FALSE)</f>
        <v>LEVERE CRAIG</v>
      </c>
      <c r="M143" s="6">
        <f t="shared" si="74"/>
        <v>2.5243055555620231E-2</v>
      </c>
      <c r="N143" s="7">
        <f t="shared" si="69"/>
        <v>36.350000000093132</v>
      </c>
      <c r="O143" s="7"/>
      <c r="P143" s="7"/>
      <c r="Q143" s="23"/>
      <c r="R143" s="23"/>
      <c r="S143" s="35">
        <f t="shared" si="84"/>
        <v>1</v>
      </c>
      <c r="T143" s="50" t="str">
        <f t="shared" si="75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19:47:24-700',mode:absolute,to:'2016-12-04 22:36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3" s="52" t="str">
        <f t="shared" si="77"/>
        <v>N</v>
      </c>
      <c r="X143" s="177">
        <f t="shared" si="72"/>
        <v>1</v>
      </c>
      <c r="Y143" s="67">
        <f t="shared" si="78"/>
        <v>4.7300000000000002E-2</v>
      </c>
      <c r="Z143" s="67">
        <f t="shared" si="85"/>
        <v>23.328499999999998</v>
      </c>
      <c r="AA143" s="67">
        <f t="shared" si="79"/>
        <v>23.281199999999998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80"/>
        <v>0229-04</v>
      </c>
      <c r="AE143" s="91" t="str">
        <f t="shared" si="81"/>
        <v>aws s3 cp s3://rtdc.mdm.uploadarchive.raw/RTDC4003/ "%USERPROFILE%\AppData\Local\Temp\OnboardLogs"\RTDC4003\2016-12-04 --exclude "*" --recursive --include "*20161204*" &amp; "%USERPROFILE%\Documents\GitHub\mrs-test-scripts\Headless Mode &amp; Sideloading\WalkAndUnGZ.bat" "%USERPROFILE%\AppData\Local\Temp\OnboardLogs"\RTDC4003\2016-12-04 &amp; aws s3 cp s3://rtdc.mdm.uploadarchive.raw/RTDC4003/ "%USERPROFILE%\AppData\Local\Temp\OnboardLogs"\RTDC4003\2016-12-05 --exclude "*" --recursive --include "*20161205*" &amp; "%USERPROFILE%\Documents\GitHub\mrs-test-scripts\Headless Mode &amp; Sideloading\WalkAndUnGZ.bat" "%USERPROFILE%\AppData\Local\Temp\OnboardLogs"\RTDC4003\2016-12-05</v>
      </c>
      <c r="AF143" s="88" t="str">
        <f t="shared" si="82"/>
        <v>"C:\Program Files (x86)\AstroGrep\AstroGrep.exe" /spath="%USERPROFILE%\AppData\Local\Temp\OnboardLogs" /stypes="app*4003*20161205*" /stext=" 04:.+((SYSTEM_STATE.+slice.+state.+changed )|(ment ac)|(multiple cpu faults)|(system.+state.+changed )|(\[timeout)|(PRM\|1\|D)|(kpr)|(kdp)|(\|lc)|(penalty))" /e /r /s</v>
      </c>
      <c r="AG143" s="1" t="str">
        <f t="shared" si="83"/>
        <v>EC</v>
      </c>
      <c r="AH143" s="92" t="str">
        <f t="shared" si="86"/>
        <v>"%USERPROFILE%\Documents\GitHub\eaglep3\Utilities\RefineRTDCRunTimes.py" --tripid 229-04 --locoid 4003 --swversion DE.1.0.8.0 --startMP 204:473 --initTime 2016-12-04T20:47:24 --startdatetime 2016-12-04T21:00:18 --delay 1 --endMP 204:233285 --enddatetime 2016-12-04T21:36:39 --enforcementcount 0 &gt;&gt;C:\Users\stu\Documents\GitHub\eaglep3-reporting\EC\2016-12-04-refined-times.txt</v>
      </c>
      <c r="AI143" s="119" t="str">
        <f t="shared" si="87"/>
        <v>echo {"issue":{"subject":"","project_id":79,"tracker_id":40,"status_id":1,"priority_id":2,"assigned_to_id":23,"start_date":"2016-12-04","description":"","custom_fields":[{"id":1,"name":"Subdivision","value":"EC"},{"id":4,"name":"Milepost","value":"23.3285"},{"id":17,"name":"Train ID","value":"229-04"},{"id":16,"name":"Locomotive ID","value":"4003"},{"id":130,"name":"Impact","value":""},{"id":150,"name":"Time of Event (Mountain Time)","value":"21:36:39"},{"id":151,"name":"Denver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636</v>
      </c>
      <c r="B144" s="7">
        <v>4004</v>
      </c>
      <c r="C144" s="22" t="s">
        <v>208</v>
      </c>
      <c r="D144" s="22" t="s">
        <v>312</v>
      </c>
      <c r="E144" s="13">
        <v>42708.906539351854</v>
      </c>
      <c r="F144" s="13">
        <v>42708.914131944446</v>
      </c>
      <c r="G144" s="7">
        <v>1</v>
      </c>
      <c r="H144" s="22" t="s">
        <v>244</v>
      </c>
      <c r="I144" s="13">
        <v>42708.941562499997</v>
      </c>
      <c r="J144" s="7">
        <v>0</v>
      </c>
      <c r="K144" s="109" t="str">
        <f t="shared" si="73"/>
        <v>4003/4004</v>
      </c>
      <c r="L144" s="22" t="str">
        <f>VLOOKUP(A144,'Trips&amp;Operators'!$C$1:$G$99999,5,FALSE)</f>
        <v>LEVERE CRAIG</v>
      </c>
      <c r="M144" s="6">
        <f t="shared" si="74"/>
        <v>2.7430555550381541E-2</v>
      </c>
      <c r="N144" s="7">
        <f t="shared" si="69"/>
        <v>39.499999992549419</v>
      </c>
      <c r="O144" s="7"/>
      <c r="P144" s="7"/>
      <c r="Q144" s="23"/>
      <c r="R144" s="23"/>
      <c r="S144" s="35">
        <f t="shared" si="84"/>
        <v>1</v>
      </c>
      <c r="T144" s="50" t="str">
        <f t="shared" si="75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20:45:25-700',mode:absolute,to:'2016-12-04 23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4" s="52" t="str">
        <f t="shared" si="77"/>
        <v>N</v>
      </c>
      <c r="X144" s="177">
        <f t="shared" si="72"/>
        <v>1</v>
      </c>
      <c r="Y144" s="67">
        <f t="shared" si="78"/>
        <v>23.2987</v>
      </c>
      <c r="Z144" s="67">
        <f t="shared" si="85"/>
        <v>1.61E-2</v>
      </c>
      <c r="AA144" s="67">
        <f t="shared" si="79"/>
        <v>23.282599999999999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80"/>
        <v>0230-04</v>
      </c>
      <c r="AE144" s="91" t="str">
        <f t="shared" si="81"/>
        <v>aws s3 cp s3://rtdc.mdm.uploadarchive.raw/RTDC4004/ "%USERPROFILE%\AppData\Local\Temp\OnboardLogs"\RTDC4004\2016-12-04 --exclude "*" --recursive --include "*20161204*" &amp; "%USERPROFILE%\Documents\GitHub\mrs-test-scripts\Headless Mode &amp; Sideloading\WalkAndUnGZ.bat" "%USERPROFILE%\AppData\Local\Temp\OnboardLogs"\RTDC4004\2016-12-04 &amp; aws s3 cp s3://rtdc.mdm.uploadarchive.raw/RTDC4004/ "%USERPROFILE%\AppData\Local\Temp\OnboardLogs"\RTDC4004\2016-12-05 --exclude "*" --recursive --include "*20161205*" &amp; "%USERPROFILE%\Documents\GitHub\mrs-test-scripts\Headless Mode &amp; Sideloading\WalkAndUnGZ.bat" "%USERPROFILE%\AppData\Local\Temp\OnboardLogs"\RTDC4004\2016-12-05</v>
      </c>
      <c r="AF144" s="88" t="str">
        <f t="shared" si="82"/>
        <v>"C:\Program Files (x86)\AstroGrep\AstroGrep.exe" /spath="%USERPROFILE%\AppData\Local\Temp\OnboardLogs" /stypes="app*4004*20161205*" /stext=" 05:.+((SYSTEM_STATE.+slice.+state.+changed )|(ment ac)|(multiple cpu faults)|(system.+state.+changed )|(\[timeout)|(PRM\|1\|D)|(kpr)|(kdp)|(\|lc)|(penalty))" /e /r /s</v>
      </c>
      <c r="AG144" s="1" t="str">
        <f t="shared" si="83"/>
        <v>EC</v>
      </c>
      <c r="AH144" s="92" t="str">
        <f t="shared" si="86"/>
        <v>"%USERPROFILE%\Documents\GitHub\eaglep3\Utilities\RefineRTDCRunTimes.py" --tripid 230-04 --locoid 4004 --swversion DE.1.0.8.0 --startMP 204:232987 --initTime 2016-12-04T21:45:25 --startdatetime 2016-12-04T21:56:21 --delay 1 --endMP 204:161 --enddatetime 2016-12-04T22:35:51 --enforcementcount 0 &gt;&gt;C:\Users\stu\Documents\GitHub\eaglep3-reporting\EC\2016-12-04-refined-times.txt</v>
      </c>
      <c r="AI144" s="119" t="str">
        <f t="shared" si="87"/>
        <v>echo {"issue":{"subject":"","project_id":79,"tracker_id":40,"status_id":1,"priority_id":2,"assigned_to_id":23,"start_date":"2016-12-04","description":"","custom_fields":[{"id":1,"name":"Subdivision","value":"EC"},{"id":4,"name":"Milepost","value":"0.0161"},{"id":17,"name":"Train ID","value":"230-04"},{"id":16,"name":"Locomotive ID","value":"4004"},{"id":130,"name":"Impact","value":""},{"id":150,"name":"Time of Event (Mountain Time)","value":"22:35:51"},{"id":151,"name":"Denver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633</v>
      </c>
      <c r="B145" s="7">
        <v>4031</v>
      </c>
      <c r="C145" s="22" t="s">
        <v>208</v>
      </c>
      <c r="D145" s="22" t="s">
        <v>292</v>
      </c>
      <c r="E145" s="13">
        <v>42708.891643518517</v>
      </c>
      <c r="F145" s="13">
        <v>42708.896180555559</v>
      </c>
      <c r="G145" s="7">
        <v>1</v>
      </c>
      <c r="H145" s="22" t="s">
        <v>428</v>
      </c>
      <c r="I145" s="13">
        <v>42708.920648148145</v>
      </c>
      <c r="J145" s="7">
        <v>0</v>
      </c>
      <c r="K145" s="109" t="str">
        <f t="shared" si="73"/>
        <v>4031/4032</v>
      </c>
      <c r="L145" s="22" t="str">
        <f>VLOOKUP(A145,'Trips&amp;Operators'!$C$1:$G$99999,5,FALSE)</f>
        <v>COOLAHAN JOHN</v>
      </c>
      <c r="M145" s="6">
        <f t="shared" si="74"/>
        <v>2.4467592586006504E-2</v>
      </c>
      <c r="N145" s="7">
        <f t="shared" si="69"/>
        <v>35.233333323849365</v>
      </c>
      <c r="O145" s="7"/>
      <c r="P145" s="7"/>
      <c r="Q145" s="23"/>
      <c r="R145" s="23"/>
      <c r="S145" s="35">
        <f t="shared" si="84"/>
        <v>1</v>
      </c>
      <c r="T145" s="50" t="str">
        <f t="shared" si="75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20:23:58-700',mode:absolute,to:'2016-12-04 23:05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5" s="52" t="str">
        <f t="shared" si="77"/>
        <v>N</v>
      </c>
      <c r="X145" s="177">
        <f t="shared" si="72"/>
        <v>1</v>
      </c>
      <c r="Y145" s="67">
        <f t="shared" si="78"/>
        <v>4.3799999999999999E-2</v>
      </c>
      <c r="Z145" s="67">
        <f t="shared" si="85"/>
        <v>23.335699999999999</v>
      </c>
      <c r="AA145" s="67">
        <f t="shared" si="79"/>
        <v>23.291899999999998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80"/>
        <v>0231-04</v>
      </c>
      <c r="AE145" s="91" t="str">
        <f t="shared" si="81"/>
        <v>aws s3 cp s3://rtdc.mdm.uploadarchive.raw/RTDC4031/ "%USERPROFILE%\AppData\Local\Temp\OnboardLogs"\RTDC4031\2016-12-04 --exclude "*" --recursive --include "*20161204*" &amp; "%USERPROFILE%\Documents\GitHub\mrs-test-scripts\Headless Mode &amp; Sideloading\WalkAndUnGZ.bat" "%USERPROFILE%\AppData\Local\Temp\OnboardLogs"\RTDC4031\2016-12-04 &amp; aws s3 cp s3://rtdc.mdm.uploadarchive.raw/RTDC4031/ "%USERPROFILE%\AppData\Local\Temp\OnboardLogs"\RTDC4031\2016-12-05 --exclude "*" --recursive --include "*20161205*" &amp; "%USERPROFILE%\Documents\GitHub\mrs-test-scripts\Headless Mode &amp; Sideloading\WalkAndUnGZ.bat" "%USERPROFILE%\AppData\Local\Temp\OnboardLogs"\RTDC4031\2016-12-05</v>
      </c>
      <c r="AF145" s="88" t="str">
        <f t="shared" si="82"/>
        <v>"C:\Program Files (x86)\AstroGrep\AstroGrep.exe" /spath="%USERPROFILE%\AppData\Local\Temp\OnboardLogs" /stypes="app*4031*20161205*" /stext=" 05:.+((SYSTEM_STATE.+slice.+state.+changed )|(ment ac)|(multiple cpu faults)|(system.+state.+changed )|(\[timeout)|(PRM\|1\|D)|(kpr)|(kdp)|(\|lc)|(penalty))" /e /r /s</v>
      </c>
      <c r="AG145" s="1" t="str">
        <f t="shared" si="83"/>
        <v>EC</v>
      </c>
      <c r="AH145" s="92" t="str">
        <f t="shared" si="86"/>
        <v>"%USERPROFILE%\Documents\GitHub\eaglep3\Utilities\RefineRTDCRunTimes.py" --tripid 231-04 --locoid 4031 --swversion DE.1.0.8.0 --startMP 204:438 --initTime 2016-12-04T21:23:58 --startdatetime 2016-12-04T21:30:30 --delay 1 --endMP 204:233357 --enddatetime 2016-12-04T22:05:44 --enforcementcount 0 &gt;&gt;C:\Users\stu\Documents\GitHub\eaglep3-reporting\EC\2016-12-04-refined-times.txt</v>
      </c>
      <c r="AI145" s="119" t="str">
        <f t="shared" si="87"/>
        <v>echo {"issue":{"subject":"","project_id":79,"tracker_id":40,"status_id":1,"priority_id":2,"assigned_to_id":23,"start_date":"2016-12-04","description":"","custom_fields":[{"id":1,"name":"Subdivision","value":"EC"},{"id":4,"name":"Milepost","value":"23.3357"},{"id":17,"name":"Train ID","value":"231-04"},{"id":16,"name":"Locomotive ID","value":"4031"},{"id":130,"name":"Impact","value":""},{"id":150,"name":"Time of Event (Mountain Time)","value":"22:05:44"},{"id":151,"name":"Denver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638</v>
      </c>
      <c r="B146" s="7">
        <v>4032</v>
      </c>
      <c r="C146" s="22" t="s">
        <v>208</v>
      </c>
      <c r="D146" s="22" t="s">
        <v>764</v>
      </c>
      <c r="E146" s="13">
        <v>42708.930810185186</v>
      </c>
      <c r="F146" s="13">
        <v>42708.935046296298</v>
      </c>
      <c r="G146" s="7">
        <v>1</v>
      </c>
      <c r="H146" s="22" t="s">
        <v>765</v>
      </c>
      <c r="I146" s="13">
        <v>42708.960694444446</v>
      </c>
      <c r="J146" s="7">
        <v>0</v>
      </c>
      <c r="K146" s="109" t="str">
        <f t="shared" si="73"/>
        <v>4031/4032</v>
      </c>
      <c r="L146" s="22" t="str">
        <f>VLOOKUP(A146,'Trips&amp;Operators'!$C$1:$G$99999,5,FALSE)</f>
        <v>COOLAHAN JOHN</v>
      </c>
      <c r="M146" s="6">
        <f t="shared" si="74"/>
        <v>2.5648148148320615E-2</v>
      </c>
      <c r="N146" s="7">
        <f t="shared" si="69"/>
        <v>36.933333333581686</v>
      </c>
      <c r="O146" s="7"/>
      <c r="P146" s="7"/>
      <c r="Q146" s="23"/>
      <c r="R146" s="23"/>
      <c r="S146" s="35">
        <f t="shared" si="84"/>
        <v>1</v>
      </c>
      <c r="T146" s="50" t="str">
        <f t="shared" si="75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21:20:22-700',mode:absolute,to:'2016-12-05 00:03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6" s="52" t="str">
        <f t="shared" si="77"/>
        <v>N</v>
      </c>
      <c r="X146" s="177">
        <f t="shared" si="72"/>
        <v>1</v>
      </c>
      <c r="Y146" s="67">
        <f t="shared" si="78"/>
        <v>23.3064</v>
      </c>
      <c r="Z146" s="67">
        <f t="shared" si="85"/>
        <v>8.5000000000000006E-3</v>
      </c>
      <c r="AA146" s="67">
        <f t="shared" si="79"/>
        <v>23.297899999999998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80"/>
        <v>0232-04</v>
      </c>
      <c r="AE146" s="91" t="str">
        <f t="shared" si="81"/>
        <v>aws s3 cp s3://rtdc.mdm.uploadarchive.raw/RTDC4032/ "%USERPROFILE%\AppData\Local\Temp\OnboardLogs"\RTDC4032\2016-12-04 --exclude "*" --recursive --include "*20161204*" &amp; "%USERPROFILE%\Documents\GitHub\mrs-test-scripts\Headless Mode &amp; Sideloading\WalkAndUnGZ.bat" "%USERPROFILE%\AppData\Local\Temp\OnboardLogs"\RTDC4032\2016-12-04 &amp; aws s3 cp s3://rtdc.mdm.uploadarchive.raw/RTDC4032/ "%USERPROFILE%\AppData\Local\Temp\OnboardLogs"\RTDC4032\2016-12-05 --exclude "*" --recursive --include "*20161205*" &amp; "%USERPROFILE%\Documents\GitHub\mrs-test-scripts\Headless Mode &amp; Sideloading\WalkAndUnGZ.bat" "%USERPROFILE%\AppData\Local\Temp\OnboardLogs"\RTDC4032\2016-12-05</v>
      </c>
      <c r="AF146" s="88" t="str">
        <f t="shared" si="82"/>
        <v>"C:\Program Files (x86)\AstroGrep\AstroGrep.exe" /spath="%USERPROFILE%\AppData\Local\Temp\OnboardLogs" /stypes="app*4032*20161205*" /stext=" 06:.+((SYSTEM_STATE.+slice.+state.+changed )|(ment ac)|(multiple cpu faults)|(system.+state.+changed )|(\[timeout)|(PRM\|1\|D)|(kpr)|(kdp)|(\|lc)|(penalty))" /e /r /s</v>
      </c>
      <c r="AG146" s="1" t="str">
        <f t="shared" si="83"/>
        <v>EC</v>
      </c>
      <c r="AH146" s="92" t="str">
        <f t="shared" si="86"/>
        <v>"%USERPROFILE%\Documents\GitHub\eaglep3\Utilities\RefineRTDCRunTimes.py" --tripid 232-04 --locoid 4032 --swversion DE.1.0.8.0 --startMP 204:233064 --initTime 2016-12-04T22:20:22 --startdatetime 2016-12-04T22:26:28 --delay 1 --endMP 204:85 --enddatetime 2016-12-04T23:03:24 --enforcementcount 0 &gt;&gt;C:\Users\stu\Documents\GitHub\eaglep3-reporting\EC\2016-12-04-refined-times.txt</v>
      </c>
      <c r="AI146" s="119" t="str">
        <f t="shared" si="87"/>
        <v>echo {"issue":{"subject":"","project_id":79,"tracker_id":40,"status_id":1,"priority_id":2,"assigned_to_id":23,"start_date":"2016-12-04","description":"","custom_fields":[{"id":1,"name":"Subdivision","value":"EC"},{"id":4,"name":"Milepost","value":"0.0085"},{"id":17,"name":"Train ID","value":"232-04"},{"id":16,"name":"Locomotive ID","value":"4032"},{"id":130,"name":"Impact","value":""},{"id":150,"name":"Time of Event (Mountain Time)","value":"23:03:24"},{"id":151,"name":"Denver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635</v>
      </c>
      <c r="B147" s="7">
        <v>4029</v>
      </c>
      <c r="C147" s="22" t="s">
        <v>208</v>
      </c>
      <c r="D147" s="22" t="s">
        <v>674</v>
      </c>
      <c r="E147" s="13">
        <v>42708.901898148149</v>
      </c>
      <c r="F147" s="13">
        <v>42708.916828703703</v>
      </c>
      <c r="G147" s="7">
        <v>1</v>
      </c>
      <c r="H147" s="22" t="s">
        <v>303</v>
      </c>
      <c r="I147" s="13">
        <v>42708.941030092596</v>
      </c>
      <c r="J147" s="7">
        <v>0</v>
      </c>
      <c r="K147" s="109" t="str">
        <f t="shared" si="73"/>
        <v>4029/4030</v>
      </c>
      <c r="L147" s="22" t="str">
        <f>VLOOKUP(A147,'Trips&amp;Operators'!$C$1:$G$99999,5,FALSE)</f>
        <v>NEWELL JAMES</v>
      </c>
      <c r="M147" s="6">
        <f t="shared" si="74"/>
        <v>2.4201388892834075E-2</v>
      </c>
      <c r="N147" s="7">
        <f t="shared" si="69"/>
        <v>34.850000005681068</v>
      </c>
      <c r="O147" s="7"/>
      <c r="P147" s="7"/>
      <c r="Q147" s="23"/>
      <c r="R147" s="23"/>
      <c r="S147" s="35">
        <f t="shared" si="84"/>
        <v>1</v>
      </c>
      <c r="T147" s="50" t="str">
        <f t="shared" si="75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20:38:44-700',mode:absolute,to:'2016-12-04 23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7" s="52" t="str">
        <f t="shared" si="77"/>
        <v>N</v>
      </c>
      <c r="X147" s="177">
        <f t="shared" si="72"/>
        <v>1</v>
      </c>
      <c r="Y147" s="67">
        <f t="shared" si="78"/>
        <v>4.6399999999999997E-2</v>
      </c>
      <c r="Z147" s="67">
        <f t="shared" si="85"/>
        <v>23.331</v>
      </c>
      <c r="AA147" s="67">
        <f t="shared" si="79"/>
        <v>23.284600000000001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80"/>
        <v>0233-04</v>
      </c>
      <c r="AE147" s="91" t="str">
        <f t="shared" si="81"/>
        <v>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 &amp; aws s3 cp s3://rtdc.mdm.uploadarchive.raw/RTDC4029/ "%USERPROFILE%\AppData\Local\Temp\OnboardLogs"\RTDC4029\2016-12-05 --exclude "*" --recursive --include "*20161205*" &amp; "%USERPROFILE%\Documents\GitHub\mrs-test-scripts\Headless Mode &amp; Sideloading\WalkAndUnGZ.bat" "%USERPROFILE%\AppData\Local\Temp\OnboardLogs"\RTDC4029\2016-12-05</v>
      </c>
      <c r="AF147" s="88" t="str">
        <f t="shared" si="82"/>
        <v>"C:\Program Files (x86)\AstroGrep\AstroGrep.exe" /spath="%USERPROFILE%\AppData\Local\Temp\OnboardLogs" /stypes="app*4029*20161205*" /stext=" 05:.+((SYSTEM_STATE.+slice.+state.+changed )|(ment ac)|(multiple cpu faults)|(system.+state.+changed )|(\[timeout)|(PRM\|1\|D)|(kpr)|(kdp)|(\|lc)|(penalty))" /e /r /s</v>
      </c>
      <c r="AG147" s="1" t="str">
        <f t="shared" si="83"/>
        <v>EC</v>
      </c>
      <c r="AH147" s="92" t="str">
        <f t="shared" si="86"/>
        <v>"%USERPROFILE%\Documents\GitHub\eaglep3\Utilities\RefineRTDCRunTimes.py" --tripid 233-04 --locoid 4029 --swversion DE.1.0.8.0 --startMP 204:464 --initTime 2016-12-04T21:38:44 --startdatetime 2016-12-04T22:00:14 --delay 1 --endMP 204:233310 --enddatetime 2016-12-04T22:35:05 --enforcementcount 0 &gt;&gt;C:\Users\stu\Documents\GitHub\eaglep3-reporting\EC\2016-12-04-refined-times.txt</v>
      </c>
      <c r="AI147" s="119" t="str">
        <f t="shared" si="87"/>
        <v>echo {"issue":{"subject":"","project_id":79,"tracker_id":40,"status_id":1,"priority_id":2,"assigned_to_id":23,"start_date":"2016-12-04","description":"","custom_fields":[{"id":1,"name":"Subdivision","value":"EC"},{"id":4,"name":"Milepost","value":"23.331"},{"id":17,"name":"Train ID","value":"233-04"},{"id":16,"name":"Locomotive ID","value":"4029"},{"id":130,"name":"Impact","value":""},{"id":150,"name":"Time of Event (Mountain Time)","value":"22:35:05"},{"id":151,"name":"Denver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7" t="s">
        <v>640</v>
      </c>
      <c r="B148" s="7">
        <v>4030</v>
      </c>
      <c r="C148" s="22" t="s">
        <v>208</v>
      </c>
      <c r="D148" s="22" t="s">
        <v>257</v>
      </c>
      <c r="E148" s="13">
        <v>42708.952511574076</v>
      </c>
      <c r="F148" s="13">
        <v>42708.955706018518</v>
      </c>
      <c r="G148" s="7">
        <v>1</v>
      </c>
      <c r="H148" s="22" t="s">
        <v>286</v>
      </c>
      <c r="I148" s="13">
        <v>42708.981238425928</v>
      </c>
      <c r="J148" s="7">
        <v>0</v>
      </c>
      <c r="K148" s="109" t="str">
        <f t="shared" si="73"/>
        <v>4029/4030</v>
      </c>
      <c r="L148" s="22" t="str">
        <f>VLOOKUP(A148,'Trips&amp;Operators'!$C$1:$G$99999,5,FALSE)</f>
        <v>NEWELL JAMES</v>
      </c>
      <c r="M148" s="6">
        <f t="shared" si="74"/>
        <v>2.5532407409627922E-2</v>
      </c>
      <c r="N148" s="7">
        <f t="shared" si="69"/>
        <v>36.766666669864208</v>
      </c>
      <c r="O148" s="7"/>
      <c r="P148" s="7"/>
      <c r="Q148" s="23"/>
      <c r="R148" s="23"/>
      <c r="S148" s="35">
        <f t="shared" si="84"/>
        <v>1</v>
      </c>
      <c r="T148" s="50" t="str">
        <f t="shared" si="75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21:51:37-700',mode:absolute,to:'2016-12-05 00:32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8" s="52" t="str">
        <f t="shared" si="77"/>
        <v>N</v>
      </c>
      <c r="X148" s="177">
        <f t="shared" si="72"/>
        <v>1</v>
      </c>
      <c r="Y148" s="67">
        <f t="shared" si="78"/>
        <v>23.2989</v>
      </c>
      <c r="Z148" s="67">
        <f t="shared" si="85"/>
        <v>1.6299999999999999E-2</v>
      </c>
      <c r="AA148" s="67">
        <f t="shared" si="79"/>
        <v>23.282599999999999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80"/>
        <v>0234-04</v>
      </c>
      <c r="AE148" s="91" t="str">
        <f t="shared" si="81"/>
        <v>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 &amp; aws s3 cp s3://rtdc.mdm.uploadarchive.raw/RTDC4030/ "%USERPROFILE%\AppData\Local\Temp\OnboardLogs"\RTDC4030\2016-12-05 --exclude "*" --recursive --include "*20161205*" &amp; "%USERPROFILE%\Documents\GitHub\mrs-test-scripts\Headless Mode &amp; Sideloading\WalkAndUnGZ.bat" "%USERPROFILE%\AppData\Local\Temp\OnboardLogs"\RTDC4030\2016-12-05</v>
      </c>
      <c r="AF148" s="88" t="str">
        <f t="shared" si="82"/>
        <v>"C:\Program Files (x86)\AstroGrep\AstroGrep.exe" /spath="%USERPROFILE%\AppData\Local\Temp\OnboardLogs" /stypes="app*4030*20161205*" /stext=" 06:.+((SYSTEM_STATE.+slice.+state.+changed )|(ment ac)|(multiple cpu faults)|(system.+state.+changed )|(\[timeout)|(PRM\|1\|D)|(kpr)|(kdp)|(\|lc)|(penalty))" /e /r /s</v>
      </c>
      <c r="AG148" s="1" t="str">
        <f t="shared" si="83"/>
        <v>EC</v>
      </c>
      <c r="AH148" s="92" t="str">
        <f t="shared" si="86"/>
        <v>"%USERPROFILE%\Documents\GitHub\eaglep3\Utilities\RefineRTDCRunTimes.py" --tripid 234-04 --locoid 4030 --swversion DE.1.0.8.0 --startMP 204:232989 --initTime 2016-12-04T22:51:37 --startdatetime 2016-12-04T22:56:13 --delay 1 --endMP 204:163 --enddatetime 2016-12-04T23:32:59 --enforcementcount 0 &gt;&gt;C:\Users\stu\Documents\GitHub\eaglep3-reporting\EC\2016-12-04-refined-times.txt</v>
      </c>
      <c r="AI148" s="119" t="str">
        <f t="shared" si="87"/>
        <v>echo {"issue":{"subject":"","project_id":79,"tracker_id":40,"status_id":1,"priority_id":2,"assigned_to_id":23,"start_date":"2016-12-04","description":"","custom_fields":[{"id":1,"name":"Subdivision","value":"EC"},{"id":4,"name":"Milepost","value":"0.0163"},{"id":17,"name":"Train ID","value":"234-04"},{"id":16,"name":"Locomotive ID","value":"4030"},{"id":130,"name":"Impact","value":""},{"id":150,"name":"Time of Event (Mountain Time)","value":"23:32:59"},{"id":151,"name":"Denver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91" s="21" customFormat="1" x14ac:dyDescent="0.25">
      <c r="A149" s="37" t="s">
        <v>457</v>
      </c>
      <c r="B149" s="7">
        <v>4027</v>
      </c>
      <c r="C149" s="22" t="s">
        <v>208</v>
      </c>
      <c r="D149" s="22" t="s">
        <v>766</v>
      </c>
      <c r="E149" s="13">
        <v>42708.953090277777</v>
      </c>
      <c r="F149" s="13">
        <v>42708.954247685186</v>
      </c>
      <c r="G149" s="7">
        <v>1</v>
      </c>
      <c r="H149" s="22" t="s">
        <v>767</v>
      </c>
      <c r="I149" s="13">
        <v>42708.969907407409</v>
      </c>
      <c r="J149" s="7">
        <v>0</v>
      </c>
      <c r="K149" s="109" t="str">
        <f t="shared" si="73"/>
        <v>4027/4028</v>
      </c>
      <c r="L149" s="22" t="str">
        <f>VLOOKUP(A149,'Trips&amp;Operators'!$C$1:$G$99999,5,FALSE)</f>
        <v>CHANDLER KELVIN</v>
      </c>
      <c r="M149" s="6">
        <f t="shared" si="74"/>
        <v>1.5659722223063E-2</v>
      </c>
      <c r="N149" s="7"/>
      <c r="O149" s="7"/>
      <c r="P149" s="7">
        <f>24*60*SUM($M149:$M149)</f>
        <v>22.550000001210719</v>
      </c>
      <c r="Q149" s="23"/>
      <c r="R149" s="23" t="s">
        <v>802</v>
      </c>
      <c r="S149" s="35">
        <f t="shared" si="84"/>
        <v>0.25</v>
      </c>
      <c r="T149" s="50" t="str">
        <f t="shared" si="75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3</v>
      </c>
      <c r="V149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21:52:27-700',mode:absolute,to:'2016-12-05 00:16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9" s="52" t="str">
        <f t="shared" si="77"/>
        <v>Y</v>
      </c>
      <c r="X149" s="177">
        <f t="shared" si="72"/>
        <v>1</v>
      </c>
      <c r="Y149" s="67">
        <f t="shared" si="78"/>
        <v>6.4702000000000002</v>
      </c>
      <c r="Z149" s="67">
        <f t="shared" si="85"/>
        <v>23.328099999999999</v>
      </c>
      <c r="AA149" s="67">
        <f t="shared" si="79"/>
        <v>16.857900000000001</v>
      </c>
      <c r="AB149" s="64" t="str">
        <f>VLOOKUP(A149,Enforcements!$C$7:$K$20,8,0)</f>
        <v>Signal based authority (5)</v>
      </c>
      <c r="AC149" s="60" t="str">
        <f>VLOOKUP(A149,Enforcements!$C$7:$E$20,3,0)</f>
        <v>SIGNAL</v>
      </c>
      <c r="AD149" s="61" t="str">
        <f t="shared" si="80"/>
        <v>0235-04</v>
      </c>
      <c r="AE149" s="91" t="str">
        <f t="shared" si="81"/>
        <v>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 &amp; aws s3 cp s3://rtdc.mdm.uploadarchive.raw/RTDC4027/ "%USERPROFILE%\AppData\Local\Temp\OnboardLogs"\RTDC4027\2016-12-05 --exclude "*" --recursive --include "*20161205*" &amp; "%USERPROFILE%\Documents\GitHub\mrs-test-scripts\Headless Mode &amp; Sideloading\WalkAndUnGZ.bat" "%USERPROFILE%\AppData\Local\Temp\OnboardLogs"\RTDC4027\2016-12-05</v>
      </c>
      <c r="AF149" s="88" t="str">
        <f t="shared" si="82"/>
        <v>"C:\Program Files (x86)\AstroGrep\AstroGrep.exe" /spath="%USERPROFILE%\AppData\Local\Temp\OnboardLogs" /stypes="app*4027*20161205*" /stext=" 06:.+((SYSTEM_STATE.+slice.+state.+changed )|(ment ac)|(multiple cpu faults)|(system.+state.+changed )|(\[timeout)|(PRM\|1\|D)|(kpr)|(kdp)|(\|lc)|(penalty))" /e /r /s</v>
      </c>
      <c r="AG149" s="1" t="str">
        <f t="shared" si="83"/>
        <v>EC</v>
      </c>
      <c r="AH149" s="92" t="str">
        <f t="shared" si="86"/>
        <v>"%USERPROFILE%\Documents\GitHub\eaglep3\Utilities\RefineRTDCRunTimes.py" --tripid 235-04 --locoid 4027 --swversion DE.1.0.8.0 --startMP 204:64702 --initTime 2016-12-04T22:52:27 --startdatetime 2016-12-04T22:54:07 --delay 1 --endMP 204:233281 --enddatetime 2016-12-04T23:16:40 --enforcementcount 0 &gt;&gt;C:\Users\stu\Documents\GitHub\eaglep3-reporting\EC\2016-12-04-refined-times.txt</v>
      </c>
      <c r="AI149" s="119" t="str">
        <f t="shared" si="87"/>
        <v>echo {"issue":{"subject":"Onboard in-route failure","project_id":79,"tracker_id":40,"status_id":1,"priority_id":2,"assigned_to_id":23,"start_date":"2016-12-04","description":"","custom_fields":[{"id":1,"name":"Subdivision","value":"EC"},{"id":4,"name":"Milepost","value":"23.3281"},{"id":17,"name":"Train ID","value":"235-04"},{"id":16,"name":"Locomotive ID","value":"4027"},{"id":130,"name":"Impact","value":""},{"id":150,"name":"Time of Event (Mountain Time)","value":"23:16:40"},{"id":151,"name":"Denver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7" t="s">
        <v>642</v>
      </c>
      <c r="B150" s="7">
        <v>4028</v>
      </c>
      <c r="C150" s="22" t="s">
        <v>208</v>
      </c>
      <c r="D150" s="22" t="s">
        <v>374</v>
      </c>
      <c r="E150" s="13">
        <v>42708.973923611113</v>
      </c>
      <c r="F150" s="13">
        <v>42708.976724537039</v>
      </c>
      <c r="G150" s="7">
        <v>1</v>
      </c>
      <c r="H150" s="22" t="s">
        <v>231</v>
      </c>
      <c r="I150" s="13">
        <v>42709.003703703704</v>
      </c>
      <c r="J150" s="7">
        <v>0</v>
      </c>
      <c r="K150" s="109" t="str">
        <f t="shared" si="73"/>
        <v>4027/4028</v>
      </c>
      <c r="L150" s="22" t="str">
        <f>VLOOKUP(A150,'Trips&amp;Operators'!$C$1:$G$99999,5,FALSE)</f>
        <v>CHANDLER KELVIN</v>
      </c>
      <c r="M150" s="6">
        <f t="shared" si="74"/>
        <v>2.6979166665114462E-2</v>
      </c>
      <c r="N150" s="7">
        <f t="shared" ref="N150:N155" si="88">24*60*SUM($M150:$M150)</f>
        <v>38.849999997764826</v>
      </c>
      <c r="O150" s="7"/>
      <c r="P150" s="7"/>
      <c r="Q150" s="23"/>
      <c r="R150" s="23"/>
      <c r="S150" s="35">
        <f t="shared" si="84"/>
        <v>1</v>
      </c>
      <c r="T150" s="50" t="str">
        <f t="shared" si="75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22:22:27-700',mode:absolute,to:'2016-12-05 01:05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0" s="52" t="str">
        <f t="shared" si="77"/>
        <v>N</v>
      </c>
      <c r="X150" s="177">
        <f t="shared" si="72"/>
        <v>1</v>
      </c>
      <c r="Y150" s="67">
        <f t="shared" si="78"/>
        <v>23.3</v>
      </c>
      <c r="Z150" s="67">
        <f t="shared" si="85"/>
        <v>1.41E-2</v>
      </c>
      <c r="AA150" s="67">
        <f t="shared" si="79"/>
        <v>23.285900000000002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80"/>
        <v>0236-04</v>
      </c>
      <c r="AE150" s="91" t="str">
        <f t="shared" si="81"/>
        <v>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 &amp; aws s3 cp s3://rtdc.mdm.uploadarchive.raw/RTDC4028/ "%USERPROFILE%\AppData\Local\Temp\OnboardLogs"\RTDC4028\2016-12-05 --exclude "*" --recursive --include "*20161205*" &amp; "%USERPROFILE%\Documents\GitHub\mrs-test-scripts\Headless Mode &amp; Sideloading\WalkAndUnGZ.bat" "%USERPROFILE%\AppData\Local\Temp\OnboardLogs"\RTDC4028\2016-12-05</v>
      </c>
      <c r="AF150" s="88" t="str">
        <f t="shared" si="82"/>
        <v>"C:\Program Files (x86)\AstroGrep\AstroGrep.exe" /spath="%USERPROFILE%\AppData\Local\Temp\OnboardLogs" /stypes="app*4028*20161205*" /stext=" 07:.+((SYSTEM_STATE.+slice.+state.+changed )|(ment ac)|(multiple cpu faults)|(system.+state.+changed )|(\[timeout)|(PRM\|1\|D)|(kpr)|(kdp)|(\|lc)|(penalty))" /e /r /s</v>
      </c>
      <c r="AG150" s="1" t="str">
        <f t="shared" si="83"/>
        <v>EC</v>
      </c>
      <c r="AH150" s="92" t="str">
        <f t="shared" si="86"/>
        <v>"%USERPROFILE%\Documents\GitHub\eaglep3\Utilities\RefineRTDCRunTimes.py" --tripid 236-04 --locoid 4028 --swversion DE.1.0.8.0 --startMP 204:233000 --initTime 2016-12-04T23:22:27 --startdatetime 2016-12-04T23:26:29 --delay 1 --endMP 204:141 --enddatetime 2016-12-05T00:05:20 --enforcementcount 0 &gt;&gt;C:\Users\stu\Documents\GitHub\eaglep3-reporting\EC\2016-12-04-refined-times.txt</v>
      </c>
      <c r="AI150" s="119" t="str">
        <f t="shared" si="87"/>
        <v>echo {"issue":{"subject":"","project_id":79,"tracker_id":40,"status_id":1,"priority_id":2,"assigned_to_id":23,"start_date":"2016-12-05","description":"","custom_fields":[{"id":1,"name":"Subdivision","value":"EC"},{"id":4,"name":"Milepost","value":"0.0141"},{"id":17,"name":"Train ID","value":"236-04"},{"id":16,"name":"Locomotive ID","value":"4028"},{"id":130,"name":"Impact","value":""},{"id":150,"name":"Time of Event (Mountain Time)","value":"00:05:20"},{"id":151,"name":"Denver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x14ac:dyDescent="0.25">
      <c r="A151" s="37" t="s">
        <v>641</v>
      </c>
      <c r="B151" s="7">
        <v>4003</v>
      </c>
      <c r="C151" s="22" t="s">
        <v>208</v>
      </c>
      <c r="D151" s="22" t="s">
        <v>229</v>
      </c>
      <c r="E151" s="13">
        <v>42708.952499999999</v>
      </c>
      <c r="F151" s="13">
        <v>42708.958611111113</v>
      </c>
      <c r="G151" s="7">
        <v>1</v>
      </c>
      <c r="H151" s="22" t="s">
        <v>304</v>
      </c>
      <c r="I151" s="13">
        <v>42708.983680555553</v>
      </c>
      <c r="J151" s="7">
        <v>0</v>
      </c>
      <c r="K151" s="109" t="str">
        <f t="shared" si="73"/>
        <v>4003/4004</v>
      </c>
      <c r="L151" s="22" t="str">
        <f>VLOOKUP(A151,'Trips&amp;Operators'!$C$1:$G$99999,5,FALSE)</f>
        <v>LEVERE CRAIG</v>
      </c>
      <c r="M151" s="6">
        <f t="shared" si="74"/>
        <v>2.5069444440305233E-2</v>
      </c>
      <c r="N151" s="7">
        <f t="shared" si="88"/>
        <v>36.099999994039536</v>
      </c>
      <c r="O151" s="7"/>
      <c r="P151" s="7"/>
      <c r="Q151" s="23"/>
      <c r="R151" s="23"/>
      <c r="S151" s="35">
        <f t="shared" si="84"/>
        <v>1</v>
      </c>
      <c r="T151" s="50" t="str">
        <f t="shared" si="75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21:51:36-700',mode:absolute,to:'2016-12-05 00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1" s="52" t="str">
        <f t="shared" si="77"/>
        <v>N</v>
      </c>
      <c r="X151" s="177">
        <f t="shared" si="72"/>
        <v>1</v>
      </c>
      <c r="Y151" s="67">
        <f t="shared" si="78"/>
        <v>4.6600000000000003E-2</v>
      </c>
      <c r="Z151" s="67">
        <f t="shared" si="85"/>
        <v>23.331199999999999</v>
      </c>
      <c r="AA151" s="67">
        <f t="shared" si="79"/>
        <v>23.284599999999998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80"/>
        <v>0237-04</v>
      </c>
      <c r="AE151" s="91" t="str">
        <f t="shared" si="81"/>
        <v>aws s3 cp s3://rtdc.mdm.uploadarchive.raw/RTDC4003/ "%USERPROFILE%\AppData\Local\Temp\OnboardLogs"\RTDC4003\2016-12-04 --exclude "*" --recursive --include "*20161204*" &amp; "%USERPROFILE%\Documents\GitHub\mrs-test-scripts\Headless Mode &amp; Sideloading\WalkAndUnGZ.bat" "%USERPROFILE%\AppData\Local\Temp\OnboardLogs"\RTDC4003\2016-12-04 &amp; aws s3 cp s3://rtdc.mdm.uploadarchive.raw/RTDC4003/ "%USERPROFILE%\AppData\Local\Temp\OnboardLogs"\RTDC4003\2016-12-05 --exclude "*" --recursive --include "*20161205*" &amp; "%USERPROFILE%\Documents\GitHub\mrs-test-scripts\Headless Mode &amp; Sideloading\WalkAndUnGZ.bat" "%USERPROFILE%\AppData\Local\Temp\OnboardLogs"\RTDC4003\2016-12-05</v>
      </c>
      <c r="AF151" s="88" t="str">
        <f t="shared" si="82"/>
        <v>"C:\Program Files (x86)\AstroGrep\AstroGrep.exe" /spath="%USERPROFILE%\AppData\Local\Temp\OnboardLogs" /stypes="app*4003*20161205*" /stext=" 06:.+((SYSTEM_STATE.+slice.+state.+changed )|(ment ac)|(multiple cpu faults)|(system.+state.+changed )|(\[timeout)|(PRM\|1\|D)|(kpr)|(kdp)|(\|lc)|(penalty))" /e /r /s</v>
      </c>
      <c r="AG151" s="1" t="str">
        <f t="shared" si="83"/>
        <v>EC</v>
      </c>
      <c r="AH151" s="92" t="str">
        <f t="shared" si="86"/>
        <v>"%USERPROFILE%\Documents\GitHub\eaglep3\Utilities\RefineRTDCRunTimes.py" --tripid 237-04 --locoid 4003 --swversion DE.1.0.8.0 --startMP 204:466 --initTime 2016-12-04T22:51:36 --startdatetime 2016-12-04T23:00:24 --delay 1 --endMP 204:233312 --enddatetime 2016-12-04T23:36:30 --enforcementcount 0 &gt;&gt;C:\Users\stu\Documents\GitHub\eaglep3-reporting\EC\2016-12-04-refined-times.txt</v>
      </c>
      <c r="AI151" s="119" t="str">
        <f t="shared" si="87"/>
        <v>echo {"issue":{"subject":"","project_id":79,"tracker_id":40,"status_id":1,"priority_id":2,"assigned_to_id":23,"start_date":"2016-12-04","description":"","custom_fields":[{"id":1,"name":"Subdivision","value":"EC"},{"id":4,"name":"Milepost","value":"23.3312"},{"id":17,"name":"Train ID","value":"237-04"},{"id":16,"name":"Locomotive ID","value":"4003"},{"id":130,"name":"Impact","value":""},{"id":150,"name":"Time of Event (Mountain Time)","value":"23:36:30"},{"id":151,"name":"Denver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91" s="21" customFormat="1" x14ac:dyDescent="0.25">
      <c r="A152" s="37" t="s">
        <v>645</v>
      </c>
      <c r="B152" s="7">
        <v>4004</v>
      </c>
      <c r="C152" s="22" t="s">
        <v>208</v>
      </c>
      <c r="D152" s="22" t="s">
        <v>313</v>
      </c>
      <c r="E152" s="13">
        <v>42708.990567129629</v>
      </c>
      <c r="F152" s="13">
        <v>42708.997766203705</v>
      </c>
      <c r="G152" s="7">
        <v>1</v>
      </c>
      <c r="H152" s="22" t="s">
        <v>228</v>
      </c>
      <c r="I152" s="13">
        <v>42709.025081018517</v>
      </c>
      <c r="J152" s="7">
        <v>0</v>
      </c>
      <c r="K152" s="109" t="str">
        <f t="shared" si="73"/>
        <v>4003/4004</v>
      </c>
      <c r="L152" s="22" t="str">
        <f>VLOOKUP(A152,'Trips&amp;Operators'!$C$1:$G$99999,5,FALSE)</f>
        <v>LEVERE CRAIG</v>
      </c>
      <c r="M152" s="6">
        <f t="shared" si="74"/>
        <v>2.7314814811688848E-2</v>
      </c>
      <c r="N152" s="7">
        <f t="shared" si="88"/>
        <v>39.333333328831941</v>
      </c>
      <c r="O152" s="7"/>
      <c r="P152" s="7"/>
      <c r="Q152" s="23"/>
      <c r="R152" s="23"/>
      <c r="S152" s="35">
        <f t="shared" si="84"/>
        <v>1</v>
      </c>
      <c r="T152" s="50" t="str">
        <f t="shared" si="75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22:46:25-700',mode:absolute,to:'2016-12-05 01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2" s="52" t="str">
        <f t="shared" si="77"/>
        <v>N</v>
      </c>
      <c r="X152" s="177">
        <f t="shared" si="72"/>
        <v>1</v>
      </c>
      <c r="Y152" s="67">
        <f t="shared" si="78"/>
        <v>23.300599999999999</v>
      </c>
      <c r="Z152" s="67">
        <f t="shared" si="85"/>
        <v>1.54E-2</v>
      </c>
      <c r="AA152" s="67">
        <f t="shared" si="79"/>
        <v>23.2852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80"/>
        <v>0238-04</v>
      </c>
      <c r="AE152" s="91" t="str">
        <f t="shared" si="81"/>
        <v>aws s3 cp s3://rtdc.mdm.uploadarchive.raw/RTDC4004/ "%USERPROFILE%\AppData\Local\Temp\OnboardLogs"\RTDC4004\2016-12-04 --exclude "*" --recursive --include "*20161204*" &amp; "%USERPROFILE%\Documents\GitHub\mrs-test-scripts\Headless Mode &amp; Sideloading\WalkAndUnGZ.bat" "%USERPROFILE%\AppData\Local\Temp\OnboardLogs"\RTDC4004\2016-12-04 &amp; aws s3 cp s3://rtdc.mdm.uploadarchive.raw/RTDC4004/ "%USERPROFILE%\AppData\Local\Temp\OnboardLogs"\RTDC4004\2016-12-05 --exclude "*" --recursive --include "*20161205*" &amp; "%USERPROFILE%\Documents\GitHub\mrs-test-scripts\Headless Mode &amp; Sideloading\WalkAndUnGZ.bat" "%USERPROFILE%\AppData\Local\Temp\OnboardLogs"\RTDC4004\2016-12-05</v>
      </c>
      <c r="AF152" s="88" t="str">
        <f t="shared" si="82"/>
        <v>"C:\Program Files (x86)\AstroGrep\AstroGrep.exe" /spath="%USERPROFILE%\AppData\Local\Temp\OnboardLogs" /stypes="app*4004*20161205*" /stext=" 07:.+((SYSTEM_STATE.+slice.+state.+changed )|(ment ac)|(multiple cpu faults)|(system.+state.+changed )|(\[timeout)|(PRM\|1\|D)|(kpr)|(kdp)|(\|lc)|(penalty))" /e /r /s</v>
      </c>
      <c r="AG152" s="1" t="str">
        <f t="shared" si="83"/>
        <v>EC</v>
      </c>
      <c r="AH152" s="92" t="str">
        <f t="shared" si="86"/>
        <v>"%USERPROFILE%\Documents\GitHub\eaglep3\Utilities\RefineRTDCRunTimes.py" --tripid 238-04 --locoid 4004 --swversion DE.1.0.8.0 --startMP 204:233006 --initTime 2016-12-04T23:46:25 --startdatetime 2016-12-04T23:56:47 --delay 1 --endMP 204:154 --enddatetime 2016-12-05T00:36:07 --enforcementcount 0 &gt;&gt;C:\Users\stu\Documents\GitHub\eaglep3-reporting\EC\2016-12-04-refined-times.txt</v>
      </c>
      <c r="AI152" s="119" t="str">
        <f t="shared" si="87"/>
        <v>echo {"issue":{"subject":"","project_id":79,"tracker_id":40,"status_id":1,"priority_id":2,"assigned_to_id":23,"start_date":"2016-12-05","description":"","custom_fields":[{"id":1,"name":"Subdivision","value":"EC"},{"id":4,"name":"Milepost","value":"0.0154"},{"id":17,"name":"Train ID","value":"238-04"},{"id":16,"name":"Locomotive ID","value":"4004"},{"id":130,"name":"Impact","value":""},{"id":150,"name":"Time of Event (Mountain Time)","value":"00:36:07"},{"id":151,"name":"Denver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643</v>
      </c>
      <c r="B153" s="7">
        <v>4031</v>
      </c>
      <c r="C153" s="22" t="s">
        <v>208</v>
      </c>
      <c r="D153" s="22" t="s">
        <v>768</v>
      </c>
      <c r="E153" s="13">
        <v>42708.974942129629</v>
      </c>
      <c r="F153" s="13">
        <v>42708.979432870372</v>
      </c>
      <c r="G153" s="7">
        <v>1</v>
      </c>
      <c r="H153" s="22" t="s">
        <v>769</v>
      </c>
      <c r="I153" s="13">
        <v>42709.003946759258</v>
      </c>
      <c r="J153" s="7">
        <v>0</v>
      </c>
      <c r="K153" s="109" t="str">
        <f t="shared" si="73"/>
        <v>4031/4032</v>
      </c>
      <c r="L153" s="22" t="str">
        <f>VLOOKUP(A153,'Trips&amp;Operators'!$C$1:$G$99999,5,FALSE)</f>
        <v>COOLAHAN JOHN</v>
      </c>
      <c r="M153" s="6">
        <f t="shared" si="74"/>
        <v>2.4513888885849155E-2</v>
      </c>
      <c r="N153" s="7">
        <f t="shared" si="88"/>
        <v>35.299999995622784</v>
      </c>
      <c r="O153" s="7"/>
      <c r="P153" s="7"/>
      <c r="Q153" s="23"/>
      <c r="R153" s="23"/>
      <c r="S153" s="35">
        <f t="shared" si="84"/>
        <v>1</v>
      </c>
      <c r="T153" s="50" t="str">
        <f t="shared" si="75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22:23:55-700',mode:absolute,to:'2016-12-05 01:05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3" s="52" t="str">
        <f t="shared" si="77"/>
        <v>N</v>
      </c>
      <c r="X153" s="177">
        <f t="shared" si="72"/>
        <v>1</v>
      </c>
      <c r="Y153" s="67">
        <f t="shared" si="78"/>
        <v>4.02E-2</v>
      </c>
      <c r="Z153" s="67">
        <f t="shared" si="85"/>
        <v>23.3338</v>
      </c>
      <c r="AA153" s="67">
        <f t="shared" si="79"/>
        <v>23.293600000000001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80"/>
        <v>0239-04</v>
      </c>
      <c r="AE153" s="91" t="str">
        <f t="shared" si="81"/>
        <v>aws s3 cp s3://rtdc.mdm.uploadarchive.raw/RTDC4031/ "%USERPROFILE%\AppData\Local\Temp\OnboardLogs"\RTDC4031\2016-12-04 --exclude "*" --recursive --include "*20161204*" &amp; "%USERPROFILE%\Documents\GitHub\mrs-test-scripts\Headless Mode &amp; Sideloading\WalkAndUnGZ.bat" "%USERPROFILE%\AppData\Local\Temp\OnboardLogs"\RTDC4031\2016-12-04 &amp; aws s3 cp s3://rtdc.mdm.uploadarchive.raw/RTDC4031/ "%USERPROFILE%\AppData\Local\Temp\OnboardLogs"\RTDC4031\2016-12-05 --exclude "*" --recursive --include "*20161205*" &amp; "%USERPROFILE%\Documents\GitHub\mrs-test-scripts\Headless Mode &amp; Sideloading\WalkAndUnGZ.bat" "%USERPROFILE%\AppData\Local\Temp\OnboardLogs"\RTDC4031\2016-12-05</v>
      </c>
      <c r="AF153" s="88" t="str">
        <f t="shared" si="82"/>
        <v>"C:\Program Files (x86)\AstroGrep\AstroGrep.exe" /spath="%USERPROFILE%\AppData\Local\Temp\OnboardLogs" /stypes="app*4031*20161205*" /stext=" 07:.+((SYSTEM_STATE.+slice.+state.+changed )|(ment ac)|(multiple cpu faults)|(system.+state.+changed )|(\[timeout)|(PRM\|1\|D)|(kpr)|(kdp)|(\|lc)|(penalty))" /e /r /s</v>
      </c>
      <c r="AG153" s="1" t="str">
        <f t="shared" si="83"/>
        <v>EC</v>
      </c>
      <c r="AH153" s="92" t="str">
        <f t="shared" si="86"/>
        <v>"%USERPROFILE%\Documents\GitHub\eaglep3\Utilities\RefineRTDCRunTimes.py" --tripid 239-04 --locoid 4031 --swversion DE.1.0.8.0 --startMP 204:402 --initTime 2016-12-04T23:23:55 --startdatetime 2016-12-04T23:30:23 --delay 1 --endMP 204:233338 --enddatetime 2016-12-05T00:05:41 --enforcementcount 0 &gt;&gt;C:\Users\stu\Documents\GitHub\eaglep3-reporting\EC\2016-12-04-refined-times.txt</v>
      </c>
      <c r="AI153" s="119" t="str">
        <f t="shared" si="87"/>
        <v>echo {"issue":{"subject":"","project_id":79,"tracker_id":40,"status_id":1,"priority_id":2,"assigned_to_id":23,"start_date":"2016-12-05","description":"","custom_fields":[{"id":1,"name":"Subdivision","value":"EC"},{"id":4,"name":"Milepost","value":"23.3338"},{"id":17,"name":"Train ID","value":"239-04"},{"id":16,"name":"Locomotive ID","value":"4031"},{"id":130,"name":"Impact","value":""},{"id":150,"name":"Time of Event (Mountain Time)","value":"00:05:41"},{"id":151,"name":"Denver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646</v>
      </c>
      <c r="B154" s="7">
        <v>4032</v>
      </c>
      <c r="C154" s="22" t="s">
        <v>208</v>
      </c>
      <c r="D154" s="22" t="s">
        <v>760</v>
      </c>
      <c r="E154" s="13">
        <v>42709.01421296296</v>
      </c>
      <c r="F154" s="13">
        <v>42709.018495370372</v>
      </c>
      <c r="G154" s="7">
        <v>1</v>
      </c>
      <c r="H154" s="22" t="s">
        <v>206</v>
      </c>
      <c r="I154" s="13">
        <v>42709.044768518521</v>
      </c>
      <c r="J154" s="7">
        <v>0</v>
      </c>
      <c r="K154" s="109" t="str">
        <f t="shared" si="73"/>
        <v>4031/4032</v>
      </c>
      <c r="L154" s="22" t="str">
        <f>VLOOKUP(A154,'Trips&amp;Operators'!$C$1:$G$99999,5,FALSE)</f>
        <v>COOLAHAN JOHN</v>
      </c>
      <c r="M154" s="6">
        <f t="shared" si="74"/>
        <v>2.6273148148902692E-2</v>
      </c>
      <c r="N154" s="7">
        <f t="shared" si="88"/>
        <v>37.833333334419876</v>
      </c>
      <c r="O154" s="7"/>
      <c r="P154" s="7"/>
      <c r="Q154" s="23"/>
      <c r="R154" s="23"/>
      <c r="S154" s="35">
        <f t="shared" si="84"/>
        <v>1</v>
      </c>
      <c r="T154" s="50" t="str">
        <f t="shared" si="75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23:20:28-700',mode:absolute,to:'2016-12-05 02:04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4" s="52" t="str">
        <f t="shared" si="77"/>
        <v>N</v>
      </c>
      <c r="X154" s="177">
        <f t="shared" si="72"/>
        <v>1</v>
      </c>
      <c r="Y154" s="67">
        <f t="shared" si="78"/>
        <v>23.302099999999999</v>
      </c>
      <c r="Z154" s="67">
        <f t="shared" si="85"/>
        <v>1.5599999999999999E-2</v>
      </c>
      <c r="AA154" s="67">
        <f t="shared" si="79"/>
        <v>23.2865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80"/>
        <v>0240-04</v>
      </c>
      <c r="AE154" s="91" t="str">
        <f t="shared" si="81"/>
        <v>aws s3 cp s3://rtdc.mdm.uploadarchive.raw/RTDC4032/ "%USERPROFILE%\AppData\Local\Temp\OnboardLogs"\RTDC4032\2016-12-05 --exclude "*" --recursive --include "*20161205*" &amp; "%USERPROFILE%\Documents\GitHub\mrs-test-scripts\Headless Mode &amp; Sideloading\WalkAndUnGZ.bat" "%USERPROFILE%\AppData\Local\Temp\OnboardLogs"\RTDC4032\2016-12-05 &amp; aws s3 cp s3://rtdc.mdm.uploadarchive.raw/RTDC4032/ "%USERPROFILE%\AppData\Local\Temp\OnboardLogs"\RTDC4032\2016-12-06 --exclude "*" --recursive --include "*20161206*" &amp; "%USERPROFILE%\Documents\GitHub\mrs-test-scripts\Headless Mode &amp; Sideloading\WalkAndUnGZ.bat" "%USERPROFILE%\AppData\Local\Temp\OnboardLogs"\RTDC4032\2016-12-06</v>
      </c>
      <c r="AF154" s="88" t="str">
        <f t="shared" si="82"/>
        <v>"C:\Program Files (x86)\AstroGrep\AstroGrep.exe" /spath="%USERPROFILE%\AppData\Local\Temp\OnboardLogs" /stypes="app*4032*20161205*" /stext=" 08:.+((SYSTEM_STATE.+slice.+state.+changed )|(ment ac)|(multiple cpu faults)|(system.+state.+changed )|(\[timeout)|(PRM\|1\|D)|(kpr)|(kdp)|(\|lc)|(penalty))" /e /r /s</v>
      </c>
      <c r="AG154" s="1" t="str">
        <f t="shared" si="83"/>
        <v>EC</v>
      </c>
      <c r="AH154" s="92" t="str">
        <f t="shared" si="86"/>
        <v>"%USERPROFILE%\Documents\GitHub\eaglep3\Utilities\RefineRTDCRunTimes.py" --tripid 240-04 --locoid 4032 --swversion DE.1.0.8.0 --startMP 204:233021 --initTime 2016-12-05T00:20:28 --startdatetime 2016-12-05T00:26:38 --delay 1 --endMP 204:156 --enddatetime 2016-12-05T01:04:28 --enforcementcount 0 &gt;&gt;C:\Users\stu\Documents\GitHub\eaglep3-reporting\EC\2016-12-04-refined-times.txt</v>
      </c>
      <c r="AI154" s="119" t="str">
        <f t="shared" si="87"/>
        <v>echo {"issue":{"subject":"","project_id":79,"tracker_id":40,"status_id":1,"priority_id":2,"assigned_to_id":23,"start_date":"2016-12-05","description":"","custom_fields":[{"id":1,"name":"Subdivision","value":"EC"},{"id":4,"name":"Milepost","value":"0.0156"},{"id":17,"name":"Train ID","value":"240-04"},{"id":16,"name":"Locomotive ID","value":"4032"},{"id":130,"name":"Impact","value":""},{"id":150,"name":"Time of Event (Mountain Time)","value":"01:04:28"},{"id":151,"name":"Denver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644</v>
      </c>
      <c r="B155" s="7">
        <v>4029</v>
      </c>
      <c r="C155" s="22" t="s">
        <v>208</v>
      </c>
      <c r="D155" s="22" t="s">
        <v>245</v>
      </c>
      <c r="E155" s="13">
        <v>42708.984317129631</v>
      </c>
      <c r="F155" s="13">
        <v>42709.000162037039</v>
      </c>
      <c r="G155" s="7">
        <v>1</v>
      </c>
      <c r="H155" s="22" t="s">
        <v>684</v>
      </c>
      <c r="I155" s="13">
        <v>42709.024351851855</v>
      </c>
      <c r="J155" s="7">
        <v>0</v>
      </c>
      <c r="K155" s="109" t="str">
        <f t="shared" si="73"/>
        <v>4029/4030</v>
      </c>
      <c r="L155" s="22" t="str">
        <f>VLOOKUP(A155,'Trips&amp;Operators'!$C$1:$G$99999,5,FALSE)</f>
        <v>NEWELL JAMES</v>
      </c>
      <c r="M155" s="6">
        <f t="shared" si="74"/>
        <v>2.4189814816054422E-2</v>
      </c>
      <c r="N155" s="7">
        <f t="shared" si="88"/>
        <v>34.833333335118368</v>
      </c>
      <c r="O155" s="7"/>
      <c r="P155" s="7"/>
      <c r="Q155" s="23"/>
      <c r="R155" s="23"/>
      <c r="S155" s="35">
        <f t="shared" si="84"/>
        <v>1</v>
      </c>
      <c r="T155" s="50" t="str">
        <f t="shared" si="75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22:37:25-700',mode:absolute,to:'2016-12-05 01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5" s="52" t="str">
        <f t="shared" si="77"/>
        <v>N</v>
      </c>
      <c r="X155" s="177">
        <f t="shared" si="72"/>
        <v>1</v>
      </c>
      <c r="Y155" s="67">
        <f t="shared" si="78"/>
        <v>4.5999999999999999E-2</v>
      </c>
      <c r="Z155" s="67">
        <f t="shared" si="85"/>
        <v>23.33</v>
      </c>
      <c r="AA155" s="67">
        <f t="shared" si="79"/>
        <v>23.283999999999999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80"/>
        <v>0241-04</v>
      </c>
      <c r="AE155" s="91" t="str">
        <f t="shared" si="81"/>
        <v>aws s3 cp s3://rtdc.mdm.uploadarchive.raw/RTDC4029/ "%USERPROFILE%\AppData\Local\Temp\OnboardLogs"\RTDC4029\2016-12-05 --exclude "*" --recursive --include "*20161205*" &amp; "%USERPROFILE%\Documents\GitHub\mrs-test-scripts\Headless Mode &amp; Sideloading\WalkAndUnGZ.bat" "%USERPROFILE%\AppData\Local\Temp\OnboardLogs"\RTDC4029\2016-12-05 &amp; aws s3 cp s3://rtdc.mdm.uploadarchive.raw/RTDC4029/ "%USERPROFILE%\AppData\Local\Temp\OnboardLogs"\RTDC4029\2016-12-06 --exclude "*" --recursive --include "*20161206*" &amp; "%USERPROFILE%\Documents\GitHub\mrs-test-scripts\Headless Mode &amp; Sideloading\WalkAndUnGZ.bat" "%USERPROFILE%\AppData\Local\Temp\OnboardLogs"\RTDC4029\2016-12-06</v>
      </c>
      <c r="AF155" s="88" t="str">
        <f t="shared" si="82"/>
        <v>"C:\Program Files (x86)\AstroGrep\AstroGrep.exe" /spath="%USERPROFILE%\AppData\Local\Temp\OnboardLogs" /stypes="app*4029*20161205*" /stext=" 07:.+((SYSTEM_STATE.+slice.+state.+changed )|(ment ac)|(multiple cpu faults)|(system.+state.+changed )|(\[timeout)|(PRM\|1\|D)|(kpr)|(kdp)|(\|lc)|(penalty))" /e /r /s</v>
      </c>
      <c r="AG155" s="1" t="str">
        <f t="shared" si="83"/>
        <v>EC</v>
      </c>
      <c r="AH155" s="92" t="str">
        <f t="shared" si="86"/>
        <v>"%USERPROFILE%\Documents\GitHub\eaglep3\Utilities\RefineRTDCRunTimes.py" --tripid 241-04 --locoid 4029 --swversion DE.1.0.8.0 --startMP 204:460 --initTime 2016-12-04T23:37:25 --startdatetime 2016-12-05T00:00:14 --delay 1 --endMP 204:233300 --enddatetime 2016-12-05T00:35:04 --enforcementcount 0 &gt;&gt;C:\Users\stu\Documents\GitHub\eaglep3-reporting\EC\2016-12-04-refined-times.txt</v>
      </c>
      <c r="AI155" s="119" t="str">
        <f t="shared" si="87"/>
        <v>echo {"issue":{"subject":"","project_id":79,"tracker_id":40,"status_id":1,"priority_id":2,"assigned_to_id":23,"start_date":"2016-12-05","description":"","custom_fields":[{"id":1,"name":"Subdivision","value":"EC"},{"id":4,"name":"Milepost","value":"23.33"},{"id":17,"name":"Train ID","value":"241-04"},{"id":16,"name":"Locomotive ID","value":"4029"},{"id":130,"name":"Impact","value":""},{"id":150,"name":"Time of Event (Mountain Time)","value":"00:35:04"},{"id":151,"name":"Denver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649</v>
      </c>
      <c r="B156" s="7">
        <v>4030</v>
      </c>
      <c r="C156" s="22" t="s">
        <v>208</v>
      </c>
      <c r="D156" s="22" t="s">
        <v>770</v>
      </c>
      <c r="E156" s="13">
        <v>42709.048888888887</v>
      </c>
      <c r="F156" s="13">
        <v>42709.049826388888</v>
      </c>
      <c r="G156" s="7">
        <v>1</v>
      </c>
      <c r="H156" s="22" t="s">
        <v>656</v>
      </c>
      <c r="I156" s="13">
        <v>42709.066192129627</v>
      </c>
      <c r="J156" s="7">
        <v>0</v>
      </c>
      <c r="K156" s="109" t="str">
        <f t="shared" si="73"/>
        <v>4029/4030</v>
      </c>
      <c r="L156" s="22" t="str">
        <f>VLOOKUP(A156,'Trips&amp;Operators'!$C$1:$G$99999,5,FALSE)</f>
        <v>NEWELL JAMES</v>
      </c>
      <c r="M156" s="6">
        <f t="shared" si="74"/>
        <v>1.636574073927477E-2</v>
      </c>
      <c r="N156" s="7"/>
      <c r="O156" s="7"/>
      <c r="P156" s="7">
        <f>24*60*SUM($M156:$M156)</f>
        <v>23.566666664555669</v>
      </c>
      <c r="Q156" s="23"/>
      <c r="R156" s="23" t="s">
        <v>802</v>
      </c>
      <c r="S156" s="35">
        <f t="shared" si="84"/>
        <v>1</v>
      </c>
      <c r="T156" s="50" t="str">
        <f t="shared" si="75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https://search-rtdc-monitor-bjffxe2xuh6vdkpspy63sjmuny.us-east-1.es.amazonaws.com/_plugin/kibana/#/discover/Steve-Slow-Train-Analysis-(2080s-and-2083s)?_g=(refreshInterval:(display:Off,section:0,value:0),time:(from:'2016-12-05 00:10:24-700',mode:absolute,to:'2016-12-05 02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6" s="52" t="str">
        <f t="shared" si="77"/>
        <v>Y</v>
      </c>
      <c r="X156" s="177">
        <f t="shared" ref="X156:X160" si="89">VALUE(LEFT(AD156,4))-VALUE(LEFT(AD155,4))</f>
        <v>1</v>
      </c>
      <c r="Y156" s="67">
        <f t="shared" si="78"/>
        <v>12.786099999999999</v>
      </c>
      <c r="Z156" s="67">
        <f t="shared" si="85"/>
        <v>1.52E-2</v>
      </c>
      <c r="AA156" s="67">
        <f t="shared" si="79"/>
        <v>12.770899999999999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80"/>
        <v>0242-04</v>
      </c>
      <c r="AE156" s="91" t="str">
        <f t="shared" si="81"/>
        <v>aws s3 cp s3://rtdc.mdm.uploadarchive.raw/RTDC4030/ "%USERPROFILE%\AppData\Local\Temp\OnboardLogs"\RTDC4030\2016-12-05 --exclude "*" --recursive --include "*20161205*" &amp; "%USERPROFILE%\Documents\GitHub\mrs-test-scripts\Headless Mode &amp; Sideloading\WalkAndUnGZ.bat" "%USERPROFILE%\AppData\Local\Temp\OnboardLogs"\RTDC4030\2016-12-05 &amp; aws s3 cp s3://rtdc.mdm.uploadarchive.raw/RTDC4030/ "%USERPROFILE%\AppData\Local\Temp\OnboardLogs"\RTDC4030\2016-12-06 --exclude "*" --recursive --include "*20161206*" &amp; "%USERPROFILE%\Documents\GitHub\mrs-test-scripts\Headless Mode &amp; Sideloading\WalkAndUnGZ.bat" "%USERPROFILE%\AppData\Local\Temp\OnboardLogs"\RTDC4030\2016-12-06</v>
      </c>
      <c r="AF156" s="88" t="str">
        <f t="shared" si="82"/>
        <v>"C:\Program Files (x86)\AstroGrep\AstroGrep.exe" /spath="%USERPROFILE%\AppData\Local\Temp\OnboardLogs" /stypes="app*4030*20161205*" /stext=" 08:.+((SYSTEM_STATE.+slice.+state.+changed )|(ment ac)|(multiple cpu faults)|(system.+state.+changed )|(\[timeout)|(PRM\|1\|D)|(kpr)|(kdp)|(\|lc)|(penalty))" /e /r /s</v>
      </c>
      <c r="AG156" s="1" t="str">
        <f t="shared" si="83"/>
        <v>EC</v>
      </c>
      <c r="AH156" s="92" t="str">
        <f t="shared" si="86"/>
        <v>"%USERPROFILE%\Documents\GitHub\eaglep3\Utilities\RefineRTDCRunTimes.py" --tripid 242-04 --locoid 4030 --swversion DE.1.0.8.0 --startMP 204:127861 --initTime 2016-12-05T01:10:24 --startdatetime 2016-12-05T01:11:45 --delay 1 --endMP 204:152 --enddatetime 2016-12-05T01:35:19 --enforcementcount 0 &gt;&gt;C:\Users\stu\Documents\GitHub\eaglep3-reporting\EC\2016-12-04-refined-times.txt</v>
      </c>
      <c r="AI156" s="119" t="str">
        <f t="shared" si="87"/>
        <v>echo {"issue":{"subject":"Onboard in-route failure","project_id":79,"tracker_id":40,"status_id":1,"priority_id":2,"assigned_to_id":23,"start_date":"2016-12-05","description":"","custom_fields":[{"id":1,"name":"Subdivision","value":"EC"},{"id":4,"name":"Milepost","value":"0.0152"},{"id":17,"name":"Train ID","value":"242-04"},{"id":16,"name":"Locomotive ID","value":"4030"},{"id":130,"name":"Impact","value":""},{"id":150,"name":"Time of Event (Mountain Time)","value":"01:35:19"},{"id":151,"name":"Denver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647</v>
      </c>
      <c r="B157" s="7">
        <v>4027</v>
      </c>
      <c r="C157" s="22" t="s">
        <v>208</v>
      </c>
      <c r="D157" s="22" t="s">
        <v>248</v>
      </c>
      <c r="E157" s="13">
        <v>42709.019201388888</v>
      </c>
      <c r="F157" s="13">
        <v>42709.021203703705</v>
      </c>
      <c r="G157" s="7">
        <v>1</v>
      </c>
      <c r="H157" s="22" t="s">
        <v>287</v>
      </c>
      <c r="I157" s="13">
        <v>42709.046215277776</v>
      </c>
      <c r="J157" s="7">
        <v>0</v>
      </c>
      <c r="K157" s="109" t="str">
        <f t="shared" si="73"/>
        <v>4027/4028</v>
      </c>
      <c r="L157" s="22" t="str">
        <f>VLOOKUP(A157,'Trips&amp;Operators'!$C$1:$G$99999,5,FALSE)</f>
        <v>CHANDLER KELVIN</v>
      </c>
      <c r="M157" s="6">
        <f t="shared" si="74"/>
        <v>2.5011574070958886E-2</v>
      </c>
      <c r="N157" s="7">
        <f t="shared" ref="N157:N188" si="90">24*60*SUM($M157:$M157)</f>
        <v>36.016666662180796</v>
      </c>
      <c r="O157" s="7"/>
      <c r="P157" s="7"/>
      <c r="Q157" s="23"/>
      <c r="R157" s="23"/>
      <c r="S157" s="35">
        <f t="shared" si="84"/>
        <v>1</v>
      </c>
      <c r="T157" s="50" t="str">
        <f t="shared" si="75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23:27:39-700',mode:absolute,to:'2016-12-05 02:06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7" s="52" t="str">
        <f t="shared" si="77"/>
        <v>N</v>
      </c>
      <c r="X157" s="177">
        <f t="shared" si="89"/>
        <v>1</v>
      </c>
      <c r="Y157" s="67">
        <f t="shared" si="78"/>
        <v>4.7100000000000003E-2</v>
      </c>
      <c r="Z157" s="67">
        <f t="shared" si="85"/>
        <v>23.328900000000001</v>
      </c>
      <c r="AA157" s="67">
        <f t="shared" si="79"/>
        <v>23.2818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80"/>
        <v>0243-04</v>
      </c>
      <c r="AE157" s="91" t="str">
        <f t="shared" si="81"/>
        <v>aws s3 cp s3://rtdc.mdm.uploadarchive.raw/RTDC4027/ "%USERPROFILE%\AppData\Local\Temp\OnboardLogs"\RTDC4027\2016-12-05 --exclude "*" --recursive --include "*20161205*" &amp; "%USERPROFILE%\Documents\GitHub\mrs-test-scripts\Headless Mode &amp; Sideloading\WalkAndUnGZ.bat" "%USERPROFILE%\AppData\Local\Temp\OnboardLogs"\RTDC4027\2016-12-05 &amp; aws s3 cp s3://rtdc.mdm.uploadarchive.raw/RTDC4027/ "%USERPROFILE%\AppData\Local\Temp\OnboardLogs"\RTDC4027\2016-12-06 --exclude "*" --recursive --include "*20161206*" &amp; "%USERPROFILE%\Documents\GitHub\mrs-test-scripts\Headless Mode &amp; Sideloading\WalkAndUnGZ.bat" "%USERPROFILE%\AppData\Local\Temp\OnboardLogs"\RTDC4027\2016-12-06</v>
      </c>
      <c r="AF157" s="88" t="str">
        <f t="shared" si="82"/>
        <v>"C:\Program Files (x86)\AstroGrep\AstroGrep.exe" /spath="%USERPROFILE%\AppData\Local\Temp\OnboardLogs" /stypes="app*4027*20161205*" /stext=" 08:.+((SYSTEM_STATE.+slice.+state.+changed )|(ment ac)|(multiple cpu faults)|(system.+state.+changed )|(\[timeout)|(PRM\|1\|D)|(kpr)|(kdp)|(\|lc)|(penalty))" /e /r /s</v>
      </c>
      <c r="AG157" s="1" t="str">
        <f t="shared" si="83"/>
        <v>EC</v>
      </c>
      <c r="AH157" s="92" t="str">
        <f t="shared" si="86"/>
        <v>"%USERPROFILE%\Documents\GitHub\eaglep3\Utilities\RefineRTDCRunTimes.py" --tripid 243-04 --locoid 4027 --swversion DE.1.0.8.0 --startMP 204:471 --initTime 2016-12-05T00:27:39 --startdatetime 2016-12-05T00:30:32 --delay 1 --endMP 204:233289 --enddatetime 2016-12-05T01:06:33 --enforcementcount 0 &gt;&gt;C:\Users\stu\Documents\GitHub\eaglep3-reporting\EC\2016-12-04-refined-times.txt</v>
      </c>
      <c r="AI157" s="119" t="str">
        <f t="shared" si="87"/>
        <v>echo {"issue":{"subject":"","project_id":79,"tracker_id":40,"status_id":1,"priority_id":2,"assigned_to_id":23,"start_date":"2016-12-05","description":"","custom_fields":[{"id":1,"name":"Subdivision","value":"EC"},{"id":4,"name":"Milepost","value":"23.3289"},{"id":17,"name":"Train ID","value":"243-04"},{"id":16,"name":"Locomotive ID","value":"4027"},{"id":130,"name":"Impact","value":""},{"id":150,"name":"Time of Event (Mountain Time)","value":"01:06:33"},{"id":151,"name":"Denver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651</v>
      </c>
      <c r="B158" s="7">
        <v>4028</v>
      </c>
      <c r="C158" s="22" t="s">
        <v>208</v>
      </c>
      <c r="D158" s="22" t="s">
        <v>680</v>
      </c>
      <c r="E158" s="13">
        <v>42709.056909722225</v>
      </c>
      <c r="F158" s="13">
        <v>42709.060243055559</v>
      </c>
      <c r="G158" s="7">
        <v>1</v>
      </c>
      <c r="H158" s="22" t="s">
        <v>215</v>
      </c>
      <c r="I158" s="13">
        <v>42709.087025462963</v>
      </c>
      <c r="J158" s="7">
        <v>0</v>
      </c>
      <c r="K158" s="109" t="str">
        <f t="shared" si="73"/>
        <v>4027/4028</v>
      </c>
      <c r="L158" s="22" t="str">
        <f>VLOOKUP(A158,'Trips&amp;Operators'!$C$1:$G$99999,5,FALSE)</f>
        <v>CHANDLER KELVIN</v>
      </c>
      <c r="M158" s="6">
        <f t="shared" si="74"/>
        <v>2.6782407403516117E-2</v>
      </c>
      <c r="N158" s="7">
        <f t="shared" si="90"/>
        <v>38.566666661063209</v>
      </c>
      <c r="O158" s="7"/>
      <c r="P158" s="7"/>
      <c r="Q158" s="23"/>
      <c r="R158" s="23"/>
      <c r="S158" s="35">
        <f t="shared" si="84"/>
        <v>1</v>
      </c>
      <c r="T158" s="50" t="str">
        <f t="shared" si="75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https://search-rtdc-monitor-bjffxe2xuh6vdkpspy63sjmuny.us-east-1.es.amazonaws.com/_plugin/kibana/#/discover/Steve-Slow-Train-Analysis-(2080s-and-2083s)?_g=(refreshInterval:(display:Off,section:0,value:0),time:(from:'2016-12-05 00:21:57-700',mode:absolute,to:'2016-12-05 03:05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8" s="52" t="str">
        <f t="shared" si="77"/>
        <v>N</v>
      </c>
      <c r="X158" s="177">
        <f t="shared" si="89"/>
        <v>1</v>
      </c>
      <c r="Y158" s="67">
        <f t="shared" si="78"/>
        <v>23.298100000000002</v>
      </c>
      <c r="Z158" s="67">
        <f t="shared" si="85"/>
        <v>1.4999999999999999E-2</v>
      </c>
      <c r="AA158" s="67">
        <f t="shared" si="79"/>
        <v>23.283100000000001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80"/>
        <v>0244-04</v>
      </c>
      <c r="AE158" s="91" t="str">
        <f t="shared" si="81"/>
        <v>aws s3 cp s3://rtdc.mdm.uploadarchive.raw/RTDC4028/ "%USERPROFILE%\AppData\Local\Temp\OnboardLogs"\RTDC4028\2016-12-05 --exclude "*" --recursive --include "*20161205*" &amp; "%USERPROFILE%\Documents\GitHub\mrs-test-scripts\Headless Mode &amp; Sideloading\WalkAndUnGZ.bat" "%USERPROFILE%\AppData\Local\Temp\OnboardLogs"\RTDC4028\2016-12-05 &amp; aws s3 cp s3://rtdc.mdm.uploadarchive.raw/RTDC4028/ "%USERPROFILE%\AppData\Local\Temp\OnboardLogs"\RTDC4028\2016-12-06 --exclude "*" --recursive --include "*20161206*" &amp; "%USERPROFILE%\Documents\GitHub\mrs-test-scripts\Headless Mode &amp; Sideloading\WalkAndUnGZ.bat" "%USERPROFILE%\AppData\Local\Temp\OnboardLogs"\RTDC4028\2016-12-06</v>
      </c>
      <c r="AF158" s="88" t="str">
        <f t="shared" si="82"/>
        <v>"C:\Program Files (x86)\AstroGrep\AstroGrep.exe" /spath="%USERPROFILE%\AppData\Local\Temp\OnboardLogs" /stypes="app*4028*20161205*" /stext=" 09:.+((SYSTEM_STATE.+slice.+state.+changed )|(ment ac)|(multiple cpu faults)|(system.+state.+changed )|(\[timeout)|(PRM\|1\|D)|(kpr)|(kdp)|(\|lc)|(penalty))" /e /r /s</v>
      </c>
      <c r="AG158" s="1" t="str">
        <f t="shared" si="83"/>
        <v>EC</v>
      </c>
      <c r="AH158" s="92" t="str">
        <f t="shared" si="86"/>
        <v>"%USERPROFILE%\Documents\GitHub\eaglep3\Utilities\RefineRTDCRunTimes.py" --tripid 244-04 --locoid 4028 --swversion DE.1.0.8.0 --startMP 204:232981 --initTime 2016-12-05T01:21:57 --startdatetime 2016-12-05T01:26:45 --delay 1 --endMP 204:150 --enddatetime 2016-12-05T02:05:19 --enforcementcount 0 &gt;&gt;C:\Users\stu\Documents\GitHub\eaglep3-reporting\EC\2016-12-04-refined-times.txt</v>
      </c>
      <c r="AI158" s="119" t="str">
        <f t="shared" si="87"/>
        <v>echo {"issue":{"subject":"","project_id":79,"tracker_id":40,"status_id":1,"priority_id":2,"assigned_to_id":23,"start_date":"2016-12-05","description":"","custom_fields":[{"id":1,"name":"Subdivision","value":"EC"},{"id":4,"name":"Milepost","value":"0.015"},{"id":17,"name":"Train ID","value":"244-04"},{"id":16,"name":"Locomotive ID","value":"4028"},{"id":130,"name":"Impact","value":""},{"id":150,"name":"Time of Event (Mountain Time)","value":"02:05:19"},{"id":151,"name":"Denver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477</v>
      </c>
      <c r="B159" s="7">
        <v>4043</v>
      </c>
      <c r="C159" s="22" t="s">
        <v>208</v>
      </c>
      <c r="D159" s="22" t="s">
        <v>317</v>
      </c>
      <c r="E159" s="13">
        <v>42708.238159722219</v>
      </c>
      <c r="F159" s="13">
        <v>42708.240023148152</v>
      </c>
      <c r="G159" s="7">
        <v>1</v>
      </c>
      <c r="H159" s="22" t="s">
        <v>696</v>
      </c>
      <c r="I159" s="13">
        <v>42708.249525462961</v>
      </c>
      <c r="J159" s="7">
        <v>0</v>
      </c>
      <c r="K159" s="109" t="str">
        <f t="shared" si="73"/>
        <v>4043/4044</v>
      </c>
      <c r="L159" s="22" t="str">
        <f>VLOOKUP(A159,'Trips&amp;Operators'!$C$1:$G$99999,5,FALSE)</f>
        <v>STARKS ANGELINA</v>
      </c>
      <c r="M159" s="6">
        <f t="shared" si="74"/>
        <v>9.5023148096515797E-3</v>
      </c>
      <c r="N159" s="7">
        <f t="shared" si="90"/>
        <v>13.683333325898275</v>
      </c>
      <c r="O159" s="7"/>
      <c r="P159" s="7"/>
      <c r="Q159" s="23"/>
      <c r="R159" s="23"/>
      <c r="S159" s="35">
        <f t="shared" si="84"/>
        <v>1</v>
      </c>
      <c r="T159" s="50" t="str">
        <f t="shared" si="75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04:42:57-700',mode:absolute,to:'2016-12-04 06:59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9" s="52" t="str">
        <f t="shared" si="77"/>
        <v>N</v>
      </c>
      <c r="X159" s="177">
        <f t="shared" si="89"/>
        <v>1556</v>
      </c>
      <c r="Y159" s="67">
        <f t="shared" si="78"/>
        <v>5.8638000000000003</v>
      </c>
      <c r="Z159" s="67">
        <f t="shared" si="85"/>
        <v>8.0100000000000005E-2</v>
      </c>
      <c r="AA159" s="67">
        <f t="shared" si="79"/>
        <v>5.7837000000000005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80"/>
        <v>1800-04</v>
      </c>
      <c r="AE159" s="91" t="str">
        <f t="shared" si="81"/>
        <v>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 &amp; 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</v>
      </c>
      <c r="AF159" s="88" t="str">
        <f t="shared" si="82"/>
        <v>"C:\Program Files (x86)\AstroGrep\AstroGrep.exe" /spath="%USERPROFILE%\AppData\Local\Temp\OnboardLogs" /stypes="app*4043*20161204*" /stext=" 12:.+((SYSTEM_STATE.+slice.+state.+changed )|(ment ac)|(multiple cpu faults)|(system.+state.+changed )|(\[timeout)|(PRM\|1\|D)|(kpr)|(kdp)|(\|lc)|(penalty))" /e /r /s</v>
      </c>
      <c r="AG159" s="1" t="str">
        <f t="shared" si="83"/>
        <v>NW</v>
      </c>
      <c r="AH159" s="92" t="str">
        <f t="shared" si="86"/>
        <v>"%USERPROFILE%\Documents\GitHub\eaglep3\Utilities\RefineRTDCRunTimes.py" --tripid 1800-04 --locoid 4043 --swversion DE.1.0.8.0 --startMP 300:58638 --initTime 2016-12-04T05:42:57 --startdatetime 2016-12-04T05:45:38 --delay 1 --endMP 204:801 --enddatetime 2016-12-04T05:59:19 --enforcementcount 0 &gt;&gt;C:\Users\stu\Documents\GitHub\eaglep3-reporting\EC\2016-12-04-refined-times.txt</v>
      </c>
      <c r="AI159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{"issue":{"subject":"","project_id":79,"tracker_id":40,"status_id":1,"priority_id":2,"assigned_to_id":23,"start_date":"2016-12-04","description":"","custom_fields":[{"id":1,"name":"Subdivision","value":"NW"},{"id":4,"name":"Milepost","value":"0.0801"},{"id":17,"name":"Train ID","value":"1800-04"},{"id":16,"name":"Locomotive ID","value":"4043"},{"id":130,"name":"Impact","value":""},{"id":150,"name":"Time of Event (Mountain Time)","value":"05:59:19"},{"id":151,"name":"Denver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483</v>
      </c>
      <c r="B160" s="7">
        <v>4044</v>
      </c>
      <c r="C160" s="22" t="s">
        <v>208</v>
      </c>
      <c r="D160" s="22" t="s">
        <v>697</v>
      </c>
      <c r="E160" s="13">
        <v>42708.261863425927</v>
      </c>
      <c r="F160" s="13">
        <v>42708.264768518522</v>
      </c>
      <c r="G160" s="7">
        <v>1</v>
      </c>
      <c r="H160" s="22" t="s">
        <v>698</v>
      </c>
      <c r="I160" s="13">
        <v>42708.274189814816</v>
      </c>
      <c r="J160" s="7">
        <v>0</v>
      </c>
      <c r="K160" s="109" t="str">
        <f t="shared" si="73"/>
        <v>4043/4044</v>
      </c>
      <c r="L160" s="22" t="str">
        <f>VLOOKUP(A160,'Trips&amp;Operators'!$C$1:$G$99999,5,FALSE)</f>
        <v>STARKS ANGELINA</v>
      </c>
      <c r="M160" s="6">
        <f t="shared" si="74"/>
        <v>9.4212962940218858E-3</v>
      </c>
      <c r="N160" s="7">
        <f t="shared" si="90"/>
        <v>13.566666663391516</v>
      </c>
      <c r="O160" s="7"/>
      <c r="P160" s="7"/>
      <c r="Q160" s="23"/>
      <c r="R160" s="23"/>
      <c r="S160" s="35">
        <f t="shared" si="84"/>
        <v>1</v>
      </c>
      <c r="T160" s="50" t="str">
        <f t="shared" si="75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05:17:05-700',mode:absolute,to:'2016-12-04 07:34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0" s="52" t="str">
        <f t="shared" si="77"/>
        <v>N</v>
      </c>
      <c r="X160" s="177">
        <f t="shared" si="89"/>
        <v>1</v>
      </c>
      <c r="Y160" s="67">
        <f t="shared" si="78"/>
        <v>0.10829999999999999</v>
      </c>
      <c r="Z160" s="67">
        <f t="shared" si="85"/>
        <v>5.8968999999999996</v>
      </c>
      <c r="AA160" s="67">
        <f t="shared" si="79"/>
        <v>5.7885999999999997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80"/>
        <v>1801-04</v>
      </c>
      <c r="AE160" s="91" t="str">
        <f t="shared" si="81"/>
        <v>aws s3 cp s3://rtdc.mdm.uploadarchive.raw/RTDC4044/ "%USERPROFILE%\AppData\Local\Temp\OnboardLogs"\RTDC4044\2016-12-04 --exclude "*" --recursive --include "*20161204*" &amp; "%USERPROFILE%\Documents\GitHub\mrs-test-scripts\Headless Mode &amp; Sideloading\WalkAndUnGZ.bat" "%USERPROFILE%\AppData\Local\Temp\OnboardLogs"\RTDC4044\2016-12-04 &amp; 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</v>
      </c>
      <c r="AF160" s="88" t="str">
        <f t="shared" si="82"/>
        <v>"C:\Program Files (x86)\AstroGrep\AstroGrep.exe" /spath="%USERPROFILE%\AppData\Local\Temp\OnboardLogs" /stypes="app*4044*20161204*" /stext=" 13:.+((SYSTEM_STATE.+slice.+state.+changed )|(ment ac)|(multiple cpu faults)|(system.+state.+changed )|(\[timeout)|(PRM\|1\|D)|(kpr)|(kdp)|(\|lc)|(penalty))" /e /r /s</v>
      </c>
      <c r="AG160" s="1" t="str">
        <f t="shared" si="83"/>
        <v>NW</v>
      </c>
      <c r="AH160" s="92" t="str">
        <f t="shared" si="86"/>
        <v>"%USERPROFILE%\Documents\GitHub\eaglep3\Utilities\RefineRTDCRunTimes.py" --tripid 1801-04 --locoid 4044 --swversion DE.1.0.8.0 --startMP 204:1083 --initTime 2016-12-04T06:17:05 --startdatetime 2016-12-04T06:21:16 --delay 1 --endMP 300:58969 --enddatetime 2016-12-04T06:34:50 --enforcementcount 0 &gt;&gt;C:\Users\stu\Documents\GitHub\eaglep3-reporting\EC\2016-12-04-refined-times.txt</v>
      </c>
      <c r="AI160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{"issue":{"subject":"","project_id":79,"tracker_id":40,"status_id":1,"priority_id":2,"assigned_to_id":23,"start_date":"2016-12-04","description":"","custom_fields":[{"id":1,"name":"Subdivision","value":"NW"},{"id":4,"name":"Milepost","value":"5.8969"},{"id":17,"name":"Train ID","value":"1801-04"},{"id":16,"name":"Locomotive ID","value":"4044"},{"id":130,"name":"Impact","value":""},{"id":150,"name":"Time of Event (Mountain Time)","value":"06:34:50"},{"id":151,"name":"Denver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485</v>
      </c>
      <c r="B161" s="7">
        <v>4043</v>
      </c>
      <c r="C161" s="22" t="s">
        <v>208</v>
      </c>
      <c r="D161" s="22" t="s">
        <v>699</v>
      </c>
      <c r="E161" s="13">
        <v>42708.275312500002</v>
      </c>
      <c r="F161" s="13">
        <v>42708.277499999997</v>
      </c>
      <c r="G161" s="7">
        <v>3</v>
      </c>
      <c r="H161" s="22" t="s">
        <v>700</v>
      </c>
      <c r="I161" s="13">
        <v>42708.289988425924</v>
      </c>
      <c r="J161" s="7">
        <v>0</v>
      </c>
      <c r="K161" s="109" t="str">
        <f t="shared" si="73"/>
        <v>4043/4044</v>
      </c>
      <c r="L161" s="22" t="str">
        <f>VLOOKUP(A161,'Trips&amp;Operators'!$C$1:$G$99999,5,FALSE)</f>
        <v>STARKS ANGELINA</v>
      </c>
      <c r="M161" s="6">
        <f t="shared" si="74"/>
        <v>1.2488425927585922E-2</v>
      </c>
      <c r="N161" s="7">
        <f t="shared" si="90"/>
        <v>17.983333335723728</v>
      </c>
      <c r="O161" s="7"/>
      <c r="P161" s="7"/>
      <c r="Q161" s="23"/>
      <c r="R161" s="23"/>
      <c r="S161" s="35">
        <f t="shared" si="84"/>
        <v>1</v>
      </c>
      <c r="T161" s="50" t="str">
        <f t="shared" si="75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05:36:27-700',mode:absolute,to:'2016-12-04 07:57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1" s="52" t="str">
        <f t="shared" si="77"/>
        <v>N</v>
      </c>
      <c r="X161" s="177">
        <f t="shared" ref="X161" si="91">VALUE(LEFT(AD161,4))-VALUE(LEFT(AD160,4))</f>
        <v>1</v>
      </c>
      <c r="Y161" s="67">
        <f t="shared" si="78"/>
        <v>5.85</v>
      </c>
      <c r="Z161" s="67">
        <f t="shared" si="85"/>
        <v>8.1799999999999998E-2</v>
      </c>
      <c r="AA161" s="67">
        <f t="shared" si="79"/>
        <v>5.7681999999999993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80"/>
        <v>1802-04</v>
      </c>
      <c r="AE161" s="91" t="str">
        <f t="shared" si="81"/>
        <v>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 &amp; 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</v>
      </c>
      <c r="AF161" s="88" t="str">
        <f t="shared" si="82"/>
        <v>"C:\Program Files (x86)\AstroGrep\AstroGrep.exe" /spath="%USERPROFILE%\AppData\Local\Temp\OnboardLogs" /stypes="app*4043*20161204*" /stext=" 13:.+((SYSTEM_STATE.+slice.+state.+changed )|(ment ac)|(multiple cpu faults)|(system.+state.+changed )|(\[timeout)|(PRM\|1\|D)|(kpr)|(kdp)|(\|lc)|(penalty))" /e /r /s</v>
      </c>
      <c r="AG161" s="1" t="str">
        <f t="shared" si="83"/>
        <v>NW</v>
      </c>
      <c r="AH161" s="92" t="str">
        <f t="shared" si="86"/>
        <v>"%USERPROFILE%\Documents\GitHub\eaglep3\Utilities\RefineRTDCRunTimes.py" --tripid 1802-04 --locoid 4043 --swversion DE.1.0.8.0 --startMP 300:58500 --initTime 2016-12-04T06:36:27 --startdatetime 2016-12-04T06:39:36 --delay 3 --endMP 204:818 --enddatetime 2016-12-04T06:57:35 --enforcementcount 0 &gt;&gt;C:\Users\stu\Documents\GitHub\eaglep3-reporting\EC\2016-12-04-refined-times.txt</v>
      </c>
      <c r="AI161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{"issue":{"subject":"","project_id":79,"tracker_id":40,"status_id":1,"priority_id":2,"assigned_to_id":23,"start_date":"2016-12-04","description":"","custom_fields":[{"id":1,"name":"Subdivision","value":"NW"},{"id":4,"name":"Milepost","value":"0.0818"},{"id":17,"name":"Train ID","value":"1802-04"},{"id":16,"name":"Locomotive ID","value":"4043"},{"id":130,"name":"Impact","value":""},{"id":150,"name":"Time of Event (Mountain Time)","value":"06:57:35"},{"id":151,"name":"Denver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492</v>
      </c>
      <c r="B162" s="7">
        <v>4044</v>
      </c>
      <c r="C162" s="22" t="s">
        <v>208</v>
      </c>
      <c r="D162" s="22" t="s">
        <v>701</v>
      </c>
      <c r="E162" s="13">
        <v>42708.30265046296</v>
      </c>
      <c r="F162" s="13">
        <v>42708.30641203704</v>
      </c>
      <c r="G162" s="7">
        <v>1</v>
      </c>
      <c r="H162" s="22" t="s">
        <v>702</v>
      </c>
      <c r="I162" s="13">
        <v>42708.315729166665</v>
      </c>
      <c r="J162" s="7">
        <v>0</v>
      </c>
      <c r="K162" s="109" t="str">
        <f t="shared" si="73"/>
        <v>4043/4044</v>
      </c>
      <c r="L162" s="22" t="str">
        <f>VLOOKUP(A162,'Trips&amp;Operators'!$C$1:$G$99999,5,FALSE)</f>
        <v>STARKS ANGELINA</v>
      </c>
      <c r="M162" s="6">
        <f t="shared" si="74"/>
        <v>9.3171296248328872E-3</v>
      </c>
      <c r="N162" s="7">
        <f t="shared" si="90"/>
        <v>13.416666659759358</v>
      </c>
      <c r="O162" s="7"/>
      <c r="P162" s="7"/>
      <c r="Q162" s="23"/>
      <c r="R162" s="23"/>
      <c r="S162" s="35">
        <f t="shared" si="84"/>
        <v>1</v>
      </c>
      <c r="T162" s="50" t="str">
        <f t="shared" si="75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06:15:49-700',mode:absolute,to:'2016-12-04 08:34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2" s="52" t="str">
        <f t="shared" si="77"/>
        <v>N</v>
      </c>
      <c r="X162" s="177">
        <f>VALUE(LEFT(AD162,4))-VALUE(LEFT(AD161,4))</f>
        <v>1</v>
      </c>
      <c r="Y162" s="67">
        <f t="shared" si="78"/>
        <v>0.1095</v>
      </c>
      <c r="Z162" s="67">
        <f t="shared" si="85"/>
        <v>5.8943000000000003</v>
      </c>
      <c r="AA162" s="67">
        <f t="shared" si="79"/>
        <v>5.7848000000000006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80"/>
        <v>1803-04</v>
      </c>
      <c r="AE162" s="91" t="str">
        <f t="shared" si="81"/>
        <v>aws s3 cp s3://rtdc.mdm.uploadarchive.raw/RTDC4044/ "%USERPROFILE%\AppData\Local\Temp\OnboardLogs"\RTDC4044\2016-12-04 --exclude "*" --recursive --include "*20161204*" &amp; "%USERPROFILE%\Documents\GitHub\mrs-test-scripts\Headless Mode &amp; Sideloading\WalkAndUnGZ.bat" "%USERPROFILE%\AppData\Local\Temp\OnboardLogs"\RTDC4044\2016-12-04 &amp; 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</v>
      </c>
      <c r="AF162" s="88" t="str">
        <f t="shared" si="82"/>
        <v>"C:\Program Files (x86)\AstroGrep\AstroGrep.exe" /spath="%USERPROFILE%\AppData\Local\Temp\OnboardLogs" /stypes="app*4044*20161204*" /stext=" 14:.+((SYSTEM_STATE.+slice.+state.+changed )|(ment ac)|(multiple cpu faults)|(system.+state.+changed )|(\[timeout)|(PRM\|1\|D)|(kpr)|(kdp)|(\|lc)|(penalty))" /e /r /s</v>
      </c>
      <c r="AG162" s="1" t="str">
        <f t="shared" si="83"/>
        <v>NW</v>
      </c>
      <c r="AH162" s="92" t="str">
        <f t="shared" si="86"/>
        <v>"%USERPROFILE%\Documents\GitHub\eaglep3\Utilities\RefineRTDCRunTimes.py" --tripid 1803-04 --locoid 4044 --swversion DE.1.0.8.0 --startMP 204:1095 --initTime 2016-12-04T07:15:49 --startdatetime 2016-12-04T07:21:14 --delay 1 --endMP 300:58943 --enddatetime 2016-12-04T07:34:39 --enforcementcount 0 &gt;&gt;C:\Users\stu\Documents\GitHub\eaglep3-reporting\EC\2016-12-04-refined-times.txt</v>
      </c>
      <c r="AI162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{"issue":{"subject":"","project_id":79,"tracker_id":40,"status_id":1,"priority_id":2,"assigned_to_id":23,"start_date":"2016-12-04","description":"","custom_fields":[{"id":1,"name":"Subdivision","value":"NW"},{"id":4,"name":"Milepost","value":"5.8943"},{"id":17,"name":"Train ID","value":"1803-04"},{"id":16,"name":"Locomotive ID","value":"4044"},{"id":130,"name":"Impact","value":""},{"id":150,"name":"Time of Event (Mountain Time)","value":"07:34:39"},{"id":151,"name":"Denver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7" t="s">
        <v>443</v>
      </c>
      <c r="B163" s="7">
        <v>4043</v>
      </c>
      <c r="C163" s="22" t="s">
        <v>208</v>
      </c>
      <c r="D163" s="22" t="s">
        <v>383</v>
      </c>
      <c r="E163" s="13">
        <v>42708.316689814812</v>
      </c>
      <c r="F163" s="13">
        <v>42708.318101851852</v>
      </c>
      <c r="G163" s="7">
        <v>1</v>
      </c>
      <c r="H163" s="22" t="s">
        <v>703</v>
      </c>
      <c r="I163" s="13">
        <v>42708.330821759257</v>
      </c>
      <c r="J163" s="7">
        <v>0</v>
      </c>
      <c r="K163" s="109" t="str">
        <f t="shared" si="73"/>
        <v>4043/4044</v>
      </c>
      <c r="L163" s="22" t="str">
        <f>VLOOKUP(A163,'Trips&amp;Operators'!$C$1:$G$99999,5,FALSE)</f>
        <v>STARKS ANGELINA</v>
      </c>
      <c r="M163" s="6">
        <f t="shared" si="74"/>
        <v>1.2719907404971309E-2</v>
      </c>
      <c r="N163" s="7">
        <f t="shared" si="90"/>
        <v>18.316666663158685</v>
      </c>
      <c r="O163" s="7"/>
      <c r="P163" s="7"/>
      <c r="Q163" s="23"/>
      <c r="R163" s="23"/>
      <c r="S163" s="35">
        <f t="shared" si="84"/>
        <v>1</v>
      </c>
      <c r="T163" s="50" t="str">
        <f t="shared" si="75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06:36:02-700',mode:absolute,to:'2016-12-04 08:56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3" s="52" t="str">
        <f t="shared" si="77"/>
        <v>N</v>
      </c>
      <c r="X163" s="177">
        <f>VALUE(LEFT(AD163,4))-VALUE(LEFT(AD162,4))</f>
        <v>1</v>
      </c>
      <c r="Y163" s="67">
        <f t="shared" si="78"/>
        <v>5.8616999999999999</v>
      </c>
      <c r="Z163" s="67">
        <f t="shared" si="85"/>
        <v>7.9699999999999993E-2</v>
      </c>
      <c r="AA163" s="67">
        <f t="shared" si="79"/>
        <v>5.782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80"/>
        <v>1804-04</v>
      </c>
      <c r="AE163" s="91" t="str">
        <f t="shared" si="81"/>
        <v>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 &amp; 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</v>
      </c>
      <c r="AF163" s="88" t="str">
        <f t="shared" si="82"/>
        <v>"C:\Program Files (x86)\AstroGrep\AstroGrep.exe" /spath="%USERPROFILE%\AppData\Local\Temp\OnboardLogs" /stypes="app*4043*20161204*" /stext=" 14:.+((SYSTEM_STATE.+slice.+state.+changed )|(ment ac)|(multiple cpu faults)|(system.+state.+changed )|(\[timeout)|(PRM\|1\|D)|(kpr)|(kdp)|(\|lc)|(penalty))" /e /r /s</v>
      </c>
      <c r="AG163" s="1" t="str">
        <f t="shared" si="83"/>
        <v>NW</v>
      </c>
      <c r="AH163" s="92" t="str">
        <f t="shared" si="86"/>
        <v>"%USERPROFILE%\Documents\GitHub\eaglep3\Utilities\RefineRTDCRunTimes.py" --tripid 1804-04 --locoid 4043 --swversion DE.1.0.8.0 --startMP 300:58617 --initTime 2016-12-04T07:36:02 --startdatetime 2016-12-04T07:38:04 --delay 1 --endMP 204:797 --enddatetime 2016-12-04T07:56:23 --enforcementcount 0 &gt;&gt;C:\Users\stu\Documents\GitHub\eaglep3-reporting\EC\2016-12-04-refined-times.txt</v>
      </c>
      <c r="AI163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{"issue":{"subject":"","project_id":79,"tracker_id":40,"status_id":1,"priority_id":2,"assigned_to_id":23,"start_date":"2016-12-04","description":"","custom_fields":[{"id":1,"name":"Subdivision","value":"NW"},{"id":4,"name":"Milepost","value":"0.0797"},{"id":17,"name":"Train ID","value":"1804-04"},{"id":16,"name":"Locomotive ID","value":"4043"},{"id":130,"name":"Impact","value":""},{"id":150,"name":"Time of Event (Mountain Time)","value":"07:56:23"},{"id":151,"name":"Denver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s="21" customFormat="1" x14ac:dyDescent="0.25">
      <c r="A164" s="37" t="s">
        <v>444</v>
      </c>
      <c r="B164" s="7">
        <v>4044</v>
      </c>
      <c r="C164" s="22" t="s">
        <v>208</v>
      </c>
      <c r="D164" s="22" t="s">
        <v>704</v>
      </c>
      <c r="E164" s="13">
        <v>42708.344826388886</v>
      </c>
      <c r="F164" s="13">
        <v>42708.349189814813</v>
      </c>
      <c r="G164" s="7">
        <v>1</v>
      </c>
      <c r="H164" s="22" t="s">
        <v>705</v>
      </c>
      <c r="I164" s="13">
        <v>42708.359270833331</v>
      </c>
      <c r="J164" s="7">
        <v>0</v>
      </c>
      <c r="K164" s="109" t="str">
        <f t="shared" si="73"/>
        <v>4043/4044</v>
      </c>
      <c r="L164" s="22" t="str">
        <f>VLOOKUP(A164,'Trips&amp;Operators'!$C$1:$G$99999,5,FALSE)</f>
        <v>STARKS ANGELINA</v>
      </c>
      <c r="M164" s="6">
        <f t="shared" si="74"/>
        <v>1.0081018517666962E-2</v>
      </c>
      <c r="N164" s="7">
        <f t="shared" si="90"/>
        <v>14.516666665440425</v>
      </c>
      <c r="O164" s="7"/>
      <c r="P164" s="7"/>
      <c r="Q164" s="23"/>
      <c r="R164" s="23"/>
      <c r="S164" s="35">
        <f t="shared" si="84"/>
        <v>1</v>
      </c>
      <c r="T164" s="50" t="str">
        <f t="shared" si="75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07:16:33-700',mode:absolute,to:'2016-12-04 09:37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4" s="52" t="str">
        <f t="shared" si="77"/>
        <v>N</v>
      </c>
      <c r="X164" s="177">
        <f>VALUE(LEFT(AD164,4))-VALUE(LEFT(AD163,4))</f>
        <v>1</v>
      </c>
      <c r="Y164" s="67">
        <f t="shared" si="78"/>
        <v>0.107</v>
      </c>
      <c r="Z164" s="67">
        <f t="shared" si="85"/>
        <v>5.8945999999999996</v>
      </c>
      <c r="AA164" s="67">
        <f t="shared" si="79"/>
        <v>5.7875999999999994</v>
      </c>
      <c r="AB164" s="64" t="str">
        <f>VLOOKUP(A164,Enforcements!$C$7:$K$20,8,0)</f>
        <v>Speed (6)</v>
      </c>
      <c r="AC164" s="60" t="str">
        <f>VLOOKUP(A164,Enforcements!$C$7:$E$20,3,0)</f>
        <v>PERMANENT SPEED RESTRICTION</v>
      </c>
      <c r="AD164" s="61" t="str">
        <f t="shared" si="80"/>
        <v>1805-04</v>
      </c>
      <c r="AE164" s="91" t="str">
        <f t="shared" si="81"/>
        <v>aws s3 cp s3://rtdc.mdm.uploadarchive.raw/RTDC4044/ "%USERPROFILE%\AppData\Local\Temp\OnboardLogs"\RTDC4044\2016-12-04 --exclude "*" --recursive --include "*20161204*" &amp; "%USERPROFILE%\Documents\GitHub\mrs-test-scripts\Headless Mode &amp; Sideloading\WalkAndUnGZ.bat" "%USERPROFILE%\AppData\Local\Temp\OnboardLogs"\RTDC4044\2016-12-04 &amp; 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</v>
      </c>
      <c r="AF164" s="88" t="str">
        <f t="shared" si="82"/>
        <v>"C:\Program Files (x86)\AstroGrep\AstroGrep.exe" /spath="%USERPROFILE%\AppData\Local\Temp\OnboardLogs" /stypes="app*4044*20161204*" /stext=" 15:.+((SYSTEM_STATE.+slice.+state.+changed )|(ment ac)|(multiple cpu faults)|(system.+state.+changed )|(\[timeout)|(PRM\|1\|D)|(kpr)|(kdp)|(\|lc)|(penalty))" /e /r /s</v>
      </c>
      <c r="AG164" s="1" t="str">
        <f t="shared" si="83"/>
        <v>NW</v>
      </c>
      <c r="AH164" s="92" t="str">
        <f t="shared" si="86"/>
        <v>"%USERPROFILE%\Documents\GitHub\eaglep3\Utilities\RefineRTDCRunTimes.py" --tripid 1805-04 --locoid 4044 --swversion DE.1.0.8.0 --startMP 204:1070 --initTime 2016-12-04T08:16:33 --startdatetime 2016-12-04T08:22:50 --delay 1 --endMP 300:58946 --enddatetime 2016-12-04T08:37:21 --enforcementcount 0 &gt;&gt;C:\Users\stu\Documents\GitHub\eaglep3-reporting\EC\2016-12-04-refined-times.txt</v>
      </c>
      <c r="AI164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{"issue":{"subject":"","project_id":79,"tracker_id":40,"status_id":1,"priority_id":2,"assigned_to_id":23,"start_date":"2016-12-04","description":"","custom_fields":[{"id":1,"name":"Subdivision","value":"NW"},{"id":4,"name":"Milepost","value":"5.8946"},{"id":17,"name":"Train ID","value":"1805-04"},{"id":16,"name":"Locomotive ID","value":"4044"},{"id":130,"name":"Impact","value":""},{"id":150,"name":"Time of Event (Mountain Time)","value":"08:37:21"},{"id":151,"name":"Denver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7" t="s">
        <v>503</v>
      </c>
      <c r="B165" s="7">
        <v>4043</v>
      </c>
      <c r="C165" s="22" t="s">
        <v>208</v>
      </c>
      <c r="D165" s="22" t="s">
        <v>294</v>
      </c>
      <c r="E165" s="13">
        <v>42708.360196759262</v>
      </c>
      <c r="F165" s="13">
        <v>42708.361296296294</v>
      </c>
      <c r="G165" s="7">
        <v>1</v>
      </c>
      <c r="H165" s="22" t="s">
        <v>706</v>
      </c>
      <c r="I165" s="13">
        <v>42708.371944444443</v>
      </c>
      <c r="J165" s="7">
        <v>0</v>
      </c>
      <c r="K165" s="109" t="str">
        <f t="shared" si="73"/>
        <v>4043/4044</v>
      </c>
      <c r="L165" s="22" t="str">
        <f>VLOOKUP(A165,'Trips&amp;Operators'!$C$1:$G$99999,5,FALSE)</f>
        <v>STARKS ANGELINA</v>
      </c>
      <c r="M165" s="6">
        <f t="shared" si="74"/>
        <v>1.0648148148902692E-2</v>
      </c>
      <c r="N165" s="7">
        <f t="shared" si="90"/>
        <v>15.333333334419876</v>
      </c>
      <c r="O165" s="7"/>
      <c r="P165" s="7"/>
      <c r="Q165" s="23"/>
      <c r="R165" s="23"/>
      <c r="S165" s="35">
        <f t="shared" si="84"/>
        <v>1</v>
      </c>
      <c r="T165" s="50" t="str">
        <f t="shared" si="75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07:38:41-700',mode:absolute,to:'2016-12-04 09:55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5" s="52" t="str">
        <f t="shared" si="77"/>
        <v>N</v>
      </c>
      <c r="X165" s="177">
        <f>VALUE(LEFT(AD165,4))-VALUE(LEFT(AD164,4))</f>
        <v>1</v>
      </c>
      <c r="Y165" s="67">
        <f t="shared" si="78"/>
        <v>5.8635999999999999</v>
      </c>
      <c r="Z165" s="67">
        <f t="shared" si="85"/>
        <v>7.9399999999999998E-2</v>
      </c>
      <c r="AA165" s="67">
        <f t="shared" si="79"/>
        <v>5.7842000000000002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80"/>
        <v>1806-04</v>
      </c>
      <c r="AE165" s="91" t="str">
        <f t="shared" si="81"/>
        <v>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 &amp; 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</v>
      </c>
      <c r="AF165" s="88" t="str">
        <f t="shared" si="82"/>
        <v>"C:\Program Files (x86)\AstroGrep\AstroGrep.exe" /spath="%USERPROFILE%\AppData\Local\Temp\OnboardLogs" /stypes="app*4043*20161204*" /stext=" 15:.+((SYSTEM_STATE.+slice.+state.+changed )|(ment ac)|(multiple cpu faults)|(system.+state.+changed )|(\[timeout)|(PRM\|1\|D)|(kpr)|(kdp)|(\|lc)|(penalty))" /e /r /s</v>
      </c>
      <c r="AG165" s="1" t="str">
        <f t="shared" si="83"/>
        <v>NW</v>
      </c>
      <c r="AH165" s="92" t="str">
        <f t="shared" si="86"/>
        <v>"%USERPROFILE%\Documents\GitHub\eaglep3\Utilities\RefineRTDCRunTimes.py" --tripid 1806-04 --locoid 4043 --swversion DE.1.0.8.0 --startMP 300:58636 --initTime 2016-12-04T08:38:41 --startdatetime 2016-12-04T08:40:16 --delay 1 --endMP 204:794 --enddatetime 2016-12-04T08:55:36 --enforcementcount 0 &gt;&gt;C:\Users\stu\Documents\GitHub\eaglep3-reporting\EC\2016-12-04-refined-times.txt</v>
      </c>
      <c r="AI165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{"issue":{"subject":"","project_id":79,"tracker_id":40,"status_id":1,"priority_id":2,"assigned_to_id":23,"start_date":"2016-12-04","description":"","custom_fields":[{"id":1,"name":"Subdivision","value":"NW"},{"id":4,"name":"Milepost","value":"0.0794"},{"id":17,"name":"Train ID","value":"1806-04"},{"id":16,"name":"Locomotive ID","value":"4043"},{"id":130,"name":"Impact","value":""},{"id":150,"name":"Time of Event (Mountain Time)","value":"08:55:36"},{"id":151,"name":"Denver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91" x14ac:dyDescent="0.25">
      <c r="A166" s="37" t="s">
        <v>506</v>
      </c>
      <c r="B166" s="7">
        <v>4044</v>
      </c>
      <c r="C166" s="22" t="s">
        <v>208</v>
      </c>
      <c r="D166" s="22" t="s">
        <v>707</v>
      </c>
      <c r="E166" s="13">
        <v>42708.386400462965</v>
      </c>
      <c r="F166" s="13">
        <v>42708.389756944445</v>
      </c>
      <c r="G166" s="7">
        <v>1</v>
      </c>
      <c r="H166" s="22" t="s">
        <v>708</v>
      </c>
      <c r="I166" s="13">
        <v>42708.399537037039</v>
      </c>
      <c r="J166" s="7">
        <v>0</v>
      </c>
      <c r="K166" s="109" t="str">
        <f t="shared" si="73"/>
        <v>4043/4044</v>
      </c>
      <c r="L166" s="22" t="str">
        <f>VLOOKUP(A166,'Trips&amp;Operators'!$C$1:$G$99999,5,FALSE)</f>
        <v>STARKS ANGELINA</v>
      </c>
      <c r="M166" s="6">
        <f t="shared" si="74"/>
        <v>9.7800925941555761E-3</v>
      </c>
      <c r="N166" s="7">
        <f t="shared" si="90"/>
        <v>14.08333333558403</v>
      </c>
      <c r="O166" s="7"/>
      <c r="P166" s="7"/>
      <c r="Q166" s="23"/>
      <c r="R166" s="23"/>
      <c r="S166" s="35">
        <f t="shared" si="84"/>
        <v>1</v>
      </c>
      <c r="T166" s="50" t="str">
        <f t="shared" si="75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08:16:25-700',mode:absolute,to:'2016-12-04 10:35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6" s="52" t="str">
        <f t="shared" si="77"/>
        <v>N</v>
      </c>
      <c r="X166" s="177">
        <f>VALUE(LEFT(AD166,4))-VALUE(LEFT(AD165,4))</f>
        <v>1</v>
      </c>
      <c r="Y166" s="67">
        <f t="shared" si="78"/>
        <v>0.1081</v>
      </c>
      <c r="Z166" s="67">
        <f t="shared" si="85"/>
        <v>5.8958000000000004</v>
      </c>
      <c r="AA166" s="67">
        <f t="shared" si="79"/>
        <v>5.7877000000000001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80"/>
        <v>1807-04</v>
      </c>
      <c r="AE166" s="91" t="str">
        <f t="shared" si="81"/>
        <v>aws s3 cp s3://rtdc.mdm.uploadarchive.raw/RTDC4044/ "%USERPROFILE%\AppData\Local\Temp\OnboardLogs"\RTDC4044\2016-12-04 --exclude "*" --recursive --include "*20161204*" &amp; "%USERPROFILE%\Documents\GitHub\mrs-test-scripts\Headless Mode &amp; Sideloading\WalkAndUnGZ.bat" "%USERPROFILE%\AppData\Local\Temp\OnboardLogs"\RTDC4044\2016-12-04 &amp; 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</v>
      </c>
      <c r="AF166" s="88" t="str">
        <f t="shared" si="82"/>
        <v>"C:\Program Files (x86)\AstroGrep\AstroGrep.exe" /spath="%USERPROFILE%\AppData\Local\Temp\OnboardLogs" /stypes="app*4044*20161204*" /stext=" 16:.+((SYSTEM_STATE.+slice.+state.+changed )|(ment ac)|(multiple cpu faults)|(system.+state.+changed )|(\[timeout)|(PRM\|1\|D)|(kpr)|(kdp)|(\|lc)|(penalty))" /e /r /s</v>
      </c>
      <c r="AG166" s="1" t="str">
        <f t="shared" si="83"/>
        <v>NW</v>
      </c>
      <c r="AH166" s="92" t="str">
        <f t="shared" si="86"/>
        <v>"%USERPROFILE%\Documents\GitHub\eaglep3\Utilities\RefineRTDCRunTimes.py" --tripid 1807-04 --locoid 4044 --swversion DE.1.0.8.0 --startMP 204:1081 --initTime 2016-12-04T09:16:25 --startdatetime 2016-12-04T09:21:15 --delay 1 --endMP 300:58958 --enddatetime 2016-12-04T09:35:20 --enforcementcount 0 &gt;&gt;C:\Users\stu\Documents\GitHub\eaglep3-reporting\EC\2016-12-04-refined-times.txt</v>
      </c>
      <c r="AI166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{"issue":{"subject":"","project_id":79,"tracker_id":40,"status_id":1,"priority_id":2,"assigned_to_id":23,"start_date":"2016-12-04","description":"","custom_fields":[{"id":1,"name":"Subdivision","value":"NW"},{"id":4,"name":"Milepost","value":"5.8958"},{"id":17,"name":"Train ID","value":"1807-04"},{"id":16,"name":"Locomotive ID","value":"4044"},{"id":130,"name":"Impact","value":""},{"id":150,"name":"Time of Event (Mountain Time)","value":"09:35:20"},{"id":151,"name":"Denver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</row>
    <row r="167" spans="1:91" s="21" customFormat="1" x14ac:dyDescent="0.25">
      <c r="A167" s="37" t="s">
        <v>447</v>
      </c>
      <c r="B167" s="7">
        <v>4043</v>
      </c>
      <c r="C167" s="22" t="s">
        <v>208</v>
      </c>
      <c r="D167" s="22" t="s">
        <v>709</v>
      </c>
      <c r="E167" s="13">
        <v>42708.403229166666</v>
      </c>
      <c r="F167" s="13">
        <v>42708.405034722222</v>
      </c>
      <c r="G167" s="7">
        <v>0</v>
      </c>
      <c r="H167" s="22" t="s">
        <v>710</v>
      </c>
      <c r="I167" s="13">
        <v>42708.415162037039</v>
      </c>
      <c r="J167" s="7">
        <v>0</v>
      </c>
      <c r="K167" s="109" t="str">
        <f t="shared" si="73"/>
        <v>4043/4044</v>
      </c>
      <c r="L167" s="22" t="str">
        <f>VLOOKUP(A167,'Trips&amp;Operators'!$C$1:$G$99999,5,FALSE)</f>
        <v>STARKS ANGELINA</v>
      </c>
      <c r="M167" s="6">
        <f t="shared" si="74"/>
        <v>1.0127314817509614E-2</v>
      </c>
      <c r="N167" s="7">
        <f t="shared" si="90"/>
        <v>14.583333337213844</v>
      </c>
      <c r="O167" s="7"/>
      <c r="P167" s="7"/>
      <c r="Q167" s="23"/>
      <c r="R167" s="23"/>
      <c r="S167" s="35">
        <f t="shared" si="84"/>
        <v>1</v>
      </c>
      <c r="T167" s="50" t="str">
        <f t="shared" si="75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08:40:39-700',mode:absolute,to:'2016-12-04 10:57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7" s="52" t="str">
        <f t="shared" si="77"/>
        <v>N</v>
      </c>
      <c r="X167" s="177">
        <f t="shared" ref="X167:X173" si="92">VALUE(LEFT(AD167,4))-VALUE(LEFT(AD166,4))</f>
        <v>1</v>
      </c>
      <c r="Y167" s="67">
        <f t="shared" si="78"/>
        <v>5.7344999999999997</v>
      </c>
      <c r="Z167" s="67">
        <f t="shared" si="85"/>
        <v>7.85E-2</v>
      </c>
      <c r="AA167" s="67">
        <f t="shared" si="79"/>
        <v>5.6559999999999997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80"/>
        <v>1808-04</v>
      </c>
      <c r="AE167" s="91" t="str">
        <f t="shared" si="81"/>
        <v>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 &amp; 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</v>
      </c>
      <c r="AF167" s="88" t="str">
        <f t="shared" si="82"/>
        <v>"C:\Program Files (x86)\AstroGrep\AstroGrep.exe" /spath="%USERPROFILE%\AppData\Local\Temp\OnboardLogs" /stypes="app*4043*20161204*" /stext=" 16:.+((SYSTEM_STATE.+slice.+state.+changed )|(ment ac)|(multiple cpu faults)|(system.+state.+changed )|(\[timeout)|(PRM\|1\|D)|(kpr)|(kdp)|(\|lc)|(penalty))" /e /r /s</v>
      </c>
      <c r="AG167" s="1" t="str">
        <f t="shared" si="83"/>
        <v>NW</v>
      </c>
      <c r="AH167" s="92" t="str">
        <f t="shared" si="86"/>
        <v>"%USERPROFILE%\Documents\GitHub\eaglep3\Utilities\RefineRTDCRunTimes.py" --tripid 1808-04 --locoid 4043 --swversion DE.1.0.8.0 --startMP 300:57345 --initTime 2016-12-04T09:40:39 --startdatetime 2016-12-04T09:43:15 --delay 0 --endMP 204:785 --enddatetime 2016-12-04T09:57:50 --enforcementcount 0 &gt;&gt;C:\Users\stu\Documents\GitHub\eaglep3-reporting\EC\2016-12-04-refined-times.txt</v>
      </c>
      <c r="AI167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{"issue":{"subject":"","project_id":79,"tracker_id":40,"status_id":1,"priority_id":2,"assigned_to_id":23,"start_date":"2016-12-04","description":"","custom_fields":[{"id":1,"name":"Subdivision","value":"NW"},{"id":4,"name":"Milepost","value":"0.0785"},{"id":17,"name":"Train ID","value":"1808-04"},{"id":16,"name":"Locomotive ID","value":"4043"},{"id":130,"name":"Impact","value":""},{"id":150,"name":"Time of Event (Mountain Time)","value":"09:57:50"},{"id":151,"name":"Denver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514</v>
      </c>
      <c r="B168" s="7">
        <v>4044</v>
      </c>
      <c r="C168" s="22" t="s">
        <v>208</v>
      </c>
      <c r="D168" s="22" t="s">
        <v>711</v>
      </c>
      <c r="E168" s="13">
        <v>42708.428460648145</v>
      </c>
      <c r="F168" s="13">
        <v>42708.431481481479</v>
      </c>
      <c r="G168" s="7">
        <v>1</v>
      </c>
      <c r="H168" s="22" t="s">
        <v>712</v>
      </c>
      <c r="I168" s="13">
        <v>42708.441608796296</v>
      </c>
      <c r="J168" s="7">
        <v>0</v>
      </c>
      <c r="K168" s="109" t="str">
        <f t="shared" si="73"/>
        <v>4043/4044</v>
      </c>
      <c r="L168" s="22" t="str">
        <f>VLOOKUP(A168,'Trips&amp;Operators'!$C$1:$G$99999,5,FALSE)</f>
        <v>STARKS ANGELINA</v>
      </c>
      <c r="M168" s="6">
        <f t="shared" si="74"/>
        <v>1.0127314817509614E-2</v>
      </c>
      <c r="N168" s="7">
        <f t="shared" si="90"/>
        <v>14.583333337213844</v>
      </c>
      <c r="O168" s="7"/>
      <c r="P168" s="7"/>
      <c r="Q168" s="23"/>
      <c r="R168" s="23"/>
      <c r="S168" s="35">
        <f t="shared" si="84"/>
        <v>1</v>
      </c>
      <c r="T168" s="50" t="str">
        <f t="shared" si="75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09:16:59-700',mode:absolute,to:'2016-12-04 11:35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8" s="52" t="str">
        <f t="shared" si="77"/>
        <v>N</v>
      </c>
      <c r="X168" s="177">
        <f t="shared" si="92"/>
        <v>1</v>
      </c>
      <c r="Y168" s="67">
        <f t="shared" si="78"/>
        <v>0.1072</v>
      </c>
      <c r="Z168" s="67">
        <f t="shared" si="85"/>
        <v>5.8960999999999997</v>
      </c>
      <c r="AA168" s="67">
        <f t="shared" si="79"/>
        <v>5.7888999999999999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80"/>
        <v>1809-04</v>
      </c>
      <c r="AE168" s="91" t="str">
        <f t="shared" si="81"/>
        <v>aws s3 cp s3://rtdc.mdm.uploadarchive.raw/RTDC4044/ "%USERPROFILE%\AppData\Local\Temp\OnboardLogs"\RTDC4044\2016-12-04 --exclude "*" --recursive --include "*20161204*" &amp; "%USERPROFILE%\Documents\GitHub\mrs-test-scripts\Headless Mode &amp; Sideloading\WalkAndUnGZ.bat" "%USERPROFILE%\AppData\Local\Temp\OnboardLogs"\RTDC4044\2016-12-04 &amp; 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</v>
      </c>
      <c r="AF168" s="88" t="str">
        <f t="shared" si="82"/>
        <v>"C:\Program Files (x86)\AstroGrep\AstroGrep.exe" /spath="%USERPROFILE%\AppData\Local\Temp\OnboardLogs" /stypes="app*4044*20161204*" /stext=" 17:.+((SYSTEM_STATE.+slice.+state.+changed )|(ment ac)|(multiple cpu faults)|(system.+state.+changed )|(\[timeout)|(PRM\|1\|D)|(kpr)|(kdp)|(\|lc)|(penalty))" /e /r /s</v>
      </c>
      <c r="AG168" s="1" t="str">
        <f t="shared" si="83"/>
        <v>NW</v>
      </c>
      <c r="AH168" s="92" t="str">
        <f t="shared" si="86"/>
        <v>"%USERPROFILE%\Documents\GitHub\eaglep3\Utilities\RefineRTDCRunTimes.py" --tripid 1809-04 --locoid 4044 --swversion DE.1.0.8.0 --startMP 204:1072 --initTime 2016-12-04T10:16:59 --startdatetime 2016-12-04T10:21:20 --delay 1 --endMP 300:58961 --enddatetime 2016-12-04T10:35:55 --enforcementcount 0 &gt;&gt;C:\Users\stu\Documents\GitHub\eaglep3-reporting\EC\2016-12-04-refined-times.txt</v>
      </c>
      <c r="AI168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{"issue":{"subject":"","project_id":79,"tracker_id":40,"status_id":1,"priority_id":2,"assigned_to_id":23,"start_date":"2016-12-04","description":"","custom_fields":[{"id":1,"name":"Subdivision","value":"NW"},{"id":4,"name":"Milepost","value":"5.8961"},{"id":17,"name":"Train ID","value":"1809-04"},{"id":16,"name":"Locomotive ID","value":"4044"},{"id":130,"name":"Impact","value":""},{"id":150,"name":"Time of Event (Mountain Time)","value":"10:35:55"},{"id":151,"name":"Denver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517</v>
      </c>
      <c r="B169" s="7">
        <v>4043</v>
      </c>
      <c r="C169" s="22" t="s">
        <v>208</v>
      </c>
      <c r="D169" s="22" t="s">
        <v>714</v>
      </c>
      <c r="E169" s="13">
        <v>42708.442499999997</v>
      </c>
      <c r="F169" s="13">
        <v>42708.443749999999</v>
      </c>
      <c r="G169" s="7">
        <v>1</v>
      </c>
      <c r="H169" s="22" t="s">
        <v>715</v>
      </c>
      <c r="I169" s="13">
        <v>42708.455243055556</v>
      </c>
      <c r="J169" s="7">
        <v>0</v>
      </c>
      <c r="K169" s="109" t="str">
        <f t="shared" si="73"/>
        <v>4043/4044</v>
      </c>
      <c r="L169" s="22" t="str">
        <f>VLOOKUP(A169,'Trips&amp;Operators'!$C$1:$G$99999,5,FALSE)</f>
        <v>STARKS ANGELINA</v>
      </c>
      <c r="M169" s="6">
        <f t="shared" si="74"/>
        <v>1.1493055557366461E-2</v>
      </c>
      <c r="N169" s="7">
        <f t="shared" si="90"/>
        <v>16.550000002607703</v>
      </c>
      <c r="O169" s="7"/>
      <c r="P169" s="7"/>
      <c r="Q169" s="23"/>
      <c r="R169" s="23"/>
      <c r="S169" s="35">
        <f t="shared" si="84"/>
        <v>1</v>
      </c>
      <c r="T169" s="50" t="str">
        <f t="shared" si="75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09:37:12-700',mode:absolute,to:'2016-12-04 11:55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9" s="52" t="str">
        <f t="shared" si="77"/>
        <v>N</v>
      </c>
      <c r="X169" s="177">
        <f t="shared" si="92"/>
        <v>1</v>
      </c>
      <c r="Y169" s="67">
        <f t="shared" si="78"/>
        <v>5.8654999999999999</v>
      </c>
      <c r="Z169" s="67">
        <f t="shared" si="85"/>
        <v>7.8899999999999998E-2</v>
      </c>
      <c r="AA169" s="67">
        <f t="shared" si="79"/>
        <v>5.7866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80"/>
        <v>1810-04</v>
      </c>
      <c r="AE169" s="91" t="str">
        <f t="shared" si="81"/>
        <v>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 &amp; 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</v>
      </c>
      <c r="AF169" s="88" t="str">
        <f t="shared" si="82"/>
        <v>"C:\Program Files (x86)\AstroGrep\AstroGrep.exe" /spath="%USERPROFILE%\AppData\Local\Temp\OnboardLogs" /stypes="app*4043*20161204*" /stext=" 17:.+((SYSTEM_STATE.+slice.+state.+changed )|(ment ac)|(multiple cpu faults)|(system.+state.+changed )|(\[timeout)|(PRM\|1\|D)|(kpr)|(kdp)|(\|lc)|(penalty))" /e /r /s</v>
      </c>
      <c r="AG169" s="1" t="str">
        <f t="shared" si="83"/>
        <v>NW</v>
      </c>
      <c r="AH169" s="92" t="str">
        <f t="shared" si="86"/>
        <v>"%USERPROFILE%\Documents\GitHub\eaglep3\Utilities\RefineRTDCRunTimes.py" --tripid 1810-04 --locoid 4043 --swversion DE.1.0.8.0 --startMP 300:58655 --initTime 2016-12-04T10:37:12 --startdatetime 2016-12-04T10:39:00 --delay 1 --endMP 204:789 --enddatetime 2016-12-04T10:55:33 --enforcementcount 0 &gt;&gt;C:\Users\stu\Documents\GitHub\eaglep3-reporting\EC\2016-12-04-refined-times.txt</v>
      </c>
      <c r="AI169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{"issue":{"subject":"","project_id":79,"tracker_id":40,"status_id":1,"priority_id":2,"assigned_to_id":23,"start_date":"2016-12-04","description":"","custom_fields":[{"id":1,"name":"Subdivision","value":"NW"},{"id":4,"name":"Milepost","value":"0.0789"},{"id":17,"name":"Train ID","value":"1810-04"},{"id":16,"name":"Locomotive ID","value":"4043"},{"id":130,"name":"Impact","value":""},{"id":150,"name":"Time of Event (Mountain Time)","value":"10:55:33"},{"id":151,"name":"Denver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s="21" customFormat="1" x14ac:dyDescent="0.25">
      <c r="A170" s="37" t="s">
        <v>522</v>
      </c>
      <c r="B170" s="7">
        <v>4044</v>
      </c>
      <c r="C170" s="22" t="s">
        <v>208</v>
      </c>
      <c r="D170" s="22" t="s">
        <v>716</v>
      </c>
      <c r="E170" s="13">
        <v>42708.471087962964</v>
      </c>
      <c r="F170" s="13">
        <v>42708.473090277781</v>
      </c>
      <c r="G170" s="7">
        <v>1</v>
      </c>
      <c r="H170" s="22" t="s">
        <v>712</v>
      </c>
      <c r="I170" s="13">
        <v>42708.483043981483</v>
      </c>
      <c r="J170" s="7">
        <v>0</v>
      </c>
      <c r="K170" s="109" t="str">
        <f t="shared" si="73"/>
        <v>4043/4044</v>
      </c>
      <c r="L170" s="22" t="str">
        <f>VLOOKUP(A170,'Trips&amp;Operators'!$C$1:$G$99999,5,FALSE)</f>
        <v>STARKS ANGELINA</v>
      </c>
      <c r="M170" s="6">
        <f t="shared" si="74"/>
        <v>9.9537037021946162E-3</v>
      </c>
      <c r="N170" s="7">
        <f t="shared" si="90"/>
        <v>14.333333331160247</v>
      </c>
      <c r="O170" s="7"/>
      <c r="P170" s="7"/>
      <c r="Q170" s="23"/>
      <c r="R170" s="23"/>
      <c r="S170" s="35">
        <f t="shared" si="84"/>
        <v>1</v>
      </c>
      <c r="T170" s="50" t="str">
        <f t="shared" si="75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10:18:22-700',mode:absolute,to:'2016-12-04 12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0" s="52" t="str">
        <f t="shared" si="77"/>
        <v>N</v>
      </c>
      <c r="X170" s="177">
        <f t="shared" si="92"/>
        <v>1</v>
      </c>
      <c r="Y170" s="67">
        <f t="shared" si="78"/>
        <v>0.1074</v>
      </c>
      <c r="Z170" s="67">
        <f t="shared" si="85"/>
        <v>5.8960999999999997</v>
      </c>
      <c r="AA170" s="67">
        <f t="shared" si="79"/>
        <v>5.7886999999999995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80"/>
        <v>1811-04</v>
      </c>
      <c r="AE170" s="91" t="str">
        <f t="shared" si="81"/>
        <v>aws s3 cp s3://rtdc.mdm.uploadarchive.raw/RTDC4044/ "%USERPROFILE%\AppData\Local\Temp\OnboardLogs"\RTDC4044\2016-12-04 --exclude "*" --recursive --include "*20161204*" &amp; "%USERPROFILE%\Documents\GitHub\mrs-test-scripts\Headless Mode &amp; Sideloading\WalkAndUnGZ.bat" "%USERPROFILE%\AppData\Local\Temp\OnboardLogs"\RTDC4044\2016-12-04 &amp; 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</v>
      </c>
      <c r="AF170" s="88" t="str">
        <f t="shared" si="82"/>
        <v>"C:\Program Files (x86)\AstroGrep\AstroGrep.exe" /spath="%USERPROFILE%\AppData\Local\Temp\OnboardLogs" /stypes="app*4044*20161204*" /stext=" 18:.+((SYSTEM_STATE.+slice.+state.+changed )|(ment ac)|(multiple cpu faults)|(system.+state.+changed )|(\[timeout)|(PRM\|1\|D)|(kpr)|(kdp)|(\|lc)|(penalty))" /e /r /s</v>
      </c>
      <c r="AG170" s="1" t="str">
        <f t="shared" si="83"/>
        <v>NW</v>
      </c>
      <c r="AH170" s="92" t="str">
        <f t="shared" si="86"/>
        <v>"%USERPROFILE%\Documents\GitHub\eaglep3\Utilities\RefineRTDCRunTimes.py" --tripid 1811-04 --locoid 4044 --swversion DE.1.0.8.0 --startMP 204:1074 --initTime 2016-12-04T11:18:22 --startdatetime 2016-12-04T11:21:15 --delay 1 --endMP 300:58961 --enddatetime 2016-12-04T11:35:35 --enforcementcount 0 &gt;&gt;C:\Users\stu\Documents\GitHub\eaglep3-reporting\EC\2016-12-04-refined-times.txt</v>
      </c>
      <c r="AI170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{"issue":{"subject":"","project_id":79,"tracker_id":40,"status_id":1,"priority_id":2,"assigned_to_id":23,"start_date":"2016-12-04","description":"","custom_fields":[{"id":1,"name":"Subdivision","value":"NW"},{"id":4,"name":"Milepost","value":"5.8961"},{"id":17,"name":"Train ID","value":"1811-04"},{"id":16,"name":"Locomotive ID","value":"4044"},{"id":130,"name":"Impact","value":""},{"id":150,"name":"Time of Event (Mountain Time)","value":"11:35:35"},{"id":151,"name":"Denver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526</v>
      </c>
      <c r="B171" s="7">
        <v>4043</v>
      </c>
      <c r="C171" s="22" t="s">
        <v>208</v>
      </c>
      <c r="D171" s="22" t="s">
        <v>717</v>
      </c>
      <c r="E171" s="13">
        <v>42708.484363425923</v>
      </c>
      <c r="F171" s="13">
        <v>42708.485532407409</v>
      </c>
      <c r="G171" s="7">
        <v>1</v>
      </c>
      <c r="H171" s="22" t="s">
        <v>718</v>
      </c>
      <c r="I171" s="13">
        <v>42708.497233796297</v>
      </c>
      <c r="J171" s="7">
        <v>0</v>
      </c>
      <c r="K171" s="109" t="str">
        <f t="shared" si="73"/>
        <v>4043/4044</v>
      </c>
      <c r="L171" s="22" t="str">
        <f>VLOOKUP(A171,'Trips&amp;Operators'!$C$1:$G$99999,5,FALSE)</f>
        <v>STARKS ANGELINA</v>
      </c>
      <c r="M171" s="6">
        <f t="shared" si="74"/>
        <v>1.17013888884685E-2</v>
      </c>
      <c r="N171" s="7">
        <f t="shared" si="90"/>
        <v>16.84999999939464</v>
      </c>
      <c r="O171" s="7"/>
      <c r="P171" s="7"/>
      <c r="Q171" s="23"/>
      <c r="R171" s="23"/>
      <c r="S171" s="35">
        <f t="shared" si="84"/>
        <v>1</v>
      </c>
      <c r="T171" s="50" t="str">
        <f t="shared" si="75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10:37:29-700',mode:absolute,to:'2016-12-04 12:56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1" s="52" t="str">
        <f t="shared" si="77"/>
        <v>N</v>
      </c>
      <c r="X171" s="177">
        <f t="shared" si="92"/>
        <v>1</v>
      </c>
      <c r="Y171" s="67">
        <f t="shared" si="78"/>
        <v>5.8480999999999996</v>
      </c>
      <c r="Z171" s="67">
        <f t="shared" si="85"/>
        <v>7.9000000000000001E-2</v>
      </c>
      <c r="AA171" s="67">
        <f t="shared" si="79"/>
        <v>5.7690999999999999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80"/>
        <v>1812-04</v>
      </c>
      <c r="AE171" s="91" t="str">
        <f t="shared" si="81"/>
        <v>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 &amp; 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</v>
      </c>
      <c r="AF171" s="88" t="str">
        <f t="shared" si="82"/>
        <v>"C:\Program Files (x86)\AstroGrep\AstroGrep.exe" /spath="%USERPROFILE%\AppData\Local\Temp\OnboardLogs" /stypes="app*4043*20161204*" /stext=" 18:.+((SYSTEM_STATE.+slice.+state.+changed )|(ment ac)|(multiple cpu faults)|(system.+state.+changed )|(\[timeout)|(PRM\|1\|D)|(kpr)|(kdp)|(\|lc)|(penalty))" /e /r /s</v>
      </c>
      <c r="AG171" s="1" t="str">
        <f t="shared" si="83"/>
        <v>NW</v>
      </c>
      <c r="AH171" s="92" t="str">
        <f t="shared" si="86"/>
        <v>"%USERPROFILE%\Documents\GitHub\eaglep3\Utilities\RefineRTDCRunTimes.py" --tripid 1812-04 --locoid 4043 --swversion DE.1.0.8.0 --startMP 300:58481 --initTime 2016-12-04T11:37:29 --startdatetime 2016-12-04T11:39:10 --delay 1 --endMP 204:790 --enddatetime 2016-12-04T11:56:01 --enforcementcount 0 &gt;&gt;C:\Users\stu\Documents\GitHub\eaglep3-reporting\EC\2016-12-04-refined-times.txt</v>
      </c>
      <c r="AI171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{"issue":{"subject":"","project_id":79,"tracker_id":40,"status_id":1,"priority_id":2,"assigned_to_id":23,"start_date":"2016-12-04","description":"","custom_fields":[{"id":1,"name":"Subdivision","value":"NW"},{"id":4,"name":"Milepost","value":"0.079"},{"id":17,"name":"Train ID","value":"1812-04"},{"id":16,"name":"Locomotive ID","value":"4043"},{"id":130,"name":"Impact","value":""},{"id":150,"name":"Time of Event (Mountain Time)","value":"11:56:01"},{"id":151,"name":"Denver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534</v>
      </c>
      <c r="B172" s="7">
        <v>4044</v>
      </c>
      <c r="C172" s="22" t="s">
        <v>208</v>
      </c>
      <c r="D172" s="22" t="s">
        <v>719</v>
      </c>
      <c r="E172" s="13">
        <v>42708.512083333335</v>
      </c>
      <c r="F172" s="13">
        <v>42708.514768518522</v>
      </c>
      <c r="G172" s="7">
        <v>1</v>
      </c>
      <c r="H172" s="22" t="s">
        <v>712</v>
      </c>
      <c r="I172" s="13">
        <v>42708.523935185185</v>
      </c>
      <c r="J172" s="7">
        <v>0</v>
      </c>
      <c r="K172" s="109" t="str">
        <f t="shared" si="73"/>
        <v>4043/4044</v>
      </c>
      <c r="L172" s="22" t="str">
        <f>VLOOKUP(A172,'Trips&amp;Operators'!$C$1:$G$99999,5,FALSE)</f>
        <v>STARKS ANGELINA</v>
      </c>
      <c r="M172" s="6">
        <f t="shared" si="74"/>
        <v>9.1666666630771942E-3</v>
      </c>
      <c r="N172" s="7">
        <f t="shared" si="90"/>
        <v>13.19999999483116</v>
      </c>
      <c r="O172" s="7"/>
      <c r="P172" s="7"/>
      <c r="Q172" s="23"/>
      <c r="R172" s="23"/>
      <c r="S172" s="35">
        <f t="shared" si="84"/>
        <v>1</v>
      </c>
      <c r="T172" s="50" t="str">
        <f t="shared" si="75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76"/>
        <v>https://search-rtdc-monitor-bjffxe2xuh6vdkpspy63sjmuny.us-east-1.es.amazonaws.com/_plugin/kibana/#/discover/Steve-Slow-Train-Analysis-(2080s-and-2083s)?_g=(refreshInterval:(display:Off,section:0,value:0),time:(from:'2016-12-04 11:17:24-700',mode:absolute,to:'2016-12-04 13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2" s="52" t="str">
        <f t="shared" si="77"/>
        <v>N</v>
      </c>
      <c r="X172" s="177">
        <f t="shared" si="92"/>
        <v>1</v>
      </c>
      <c r="Y172" s="67">
        <f t="shared" si="78"/>
        <v>0.1077</v>
      </c>
      <c r="Z172" s="67">
        <f t="shared" si="85"/>
        <v>5.8960999999999997</v>
      </c>
      <c r="AA172" s="67">
        <f t="shared" si="79"/>
        <v>5.7883999999999993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80"/>
        <v>1813-04</v>
      </c>
      <c r="AE172" s="91" t="str">
        <f t="shared" si="81"/>
        <v>aws s3 cp s3://rtdc.mdm.uploadarchive.raw/RTDC4044/ "%USERPROFILE%\AppData\Local\Temp\OnboardLogs"\RTDC4044\2016-12-04 --exclude "*" --recursive --include "*20161204*" &amp; "%USERPROFILE%\Documents\GitHub\mrs-test-scripts\Headless Mode &amp; Sideloading\WalkAndUnGZ.bat" "%USERPROFILE%\AppData\Local\Temp\OnboardLogs"\RTDC4044\2016-12-04 &amp; 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</v>
      </c>
      <c r="AF172" s="88" t="str">
        <f t="shared" si="82"/>
        <v>"C:\Program Files (x86)\AstroGrep\AstroGrep.exe" /spath="%USERPROFILE%\AppData\Local\Temp\OnboardLogs" /stypes="app*4044*20161204*" /stext=" 19:.+((SYSTEM_STATE.+slice.+state.+changed )|(ment ac)|(multiple cpu faults)|(system.+state.+changed )|(\[timeout)|(PRM\|1\|D)|(kpr)|(kdp)|(\|lc)|(penalty))" /e /r /s</v>
      </c>
      <c r="AG172" s="1" t="str">
        <f t="shared" si="83"/>
        <v>NW</v>
      </c>
      <c r="AH172" s="92" t="str">
        <f t="shared" si="86"/>
        <v>"%USERPROFILE%\Documents\GitHub\eaglep3\Utilities\RefineRTDCRunTimes.py" --tripid 1813-04 --locoid 4044 --swversion DE.1.0.8.0 --startMP 204:1077 --initTime 2016-12-04T12:17:24 --startdatetime 2016-12-04T12:21:16 --delay 1 --endMP 300:58961 --enddatetime 2016-12-04T12:34:28 --enforcementcount 0 &gt;&gt;C:\Users\stu\Documents\GitHub\eaglep3-reporting\EC\2016-12-04-refined-times.txt</v>
      </c>
      <c r="AI172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{"issue":{"subject":"","project_id":79,"tracker_id":40,"status_id":1,"priority_id":2,"assigned_to_id":23,"start_date":"2016-12-04","description":"","custom_fields":[{"id":1,"name":"Subdivision","value":"NW"},{"id":4,"name":"Milepost","value":"5.8961"},{"id":17,"name":"Train ID","value":"1813-04"},{"id":16,"name":"Locomotive ID","value":"4044"},{"id":130,"name":"Impact","value":""},{"id":150,"name":"Time of Event (Mountain Time)","value":"12:34:28"},{"id":151,"name":"Denver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7" t="s">
        <v>537</v>
      </c>
      <c r="B173" s="7">
        <v>4043</v>
      </c>
      <c r="C173" s="22" t="s">
        <v>208</v>
      </c>
      <c r="D173" s="22" t="s">
        <v>720</v>
      </c>
      <c r="E173" s="13">
        <v>42708.524918981479</v>
      </c>
      <c r="F173" s="13">
        <v>42708.526620370372</v>
      </c>
      <c r="G173" s="7">
        <v>1</v>
      </c>
      <c r="H173" s="22" t="s">
        <v>721</v>
      </c>
      <c r="I173" s="13">
        <v>42708.538263888891</v>
      </c>
      <c r="J173" s="7">
        <v>0</v>
      </c>
      <c r="K173" s="109" t="str">
        <f t="shared" ref="K173:K209" si="93">IF(ISEVEN(B173),(B173-1)&amp;"/"&amp;B173,B173&amp;"/"&amp;(B173+1))</f>
        <v>4043/4044</v>
      </c>
      <c r="L173" s="22" t="str">
        <f>VLOOKUP(A173,'Trips&amp;Operators'!$C$1:$G$99999,5,FALSE)</f>
        <v>STARKS ANGELINA</v>
      </c>
      <c r="M173" s="6">
        <f t="shared" ref="M173:M209" si="94">I173-F173</f>
        <v>1.1643518519122154E-2</v>
      </c>
      <c r="N173" s="7">
        <f t="shared" si="90"/>
        <v>16.766666667535901</v>
      </c>
      <c r="O173" s="7"/>
      <c r="P173" s="7"/>
      <c r="Q173" s="23"/>
      <c r="R173" s="23"/>
      <c r="S173" s="35">
        <f t="shared" si="84"/>
        <v>1</v>
      </c>
      <c r="T173" s="50" t="str">
        <f t="shared" ref="T173:T209" si="95">IF(ISEVEN(LEFT(AD173,4)),"Southbound","NorthBound")</f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ref="V173:V209" si="96">"https://search-rtdc-monitor-bjffxe2xuh6vdkpspy63sjmuny.us-east-1.es.amazonaws.com/_plugin/kibana/#/discover/Steve-Slow-Train-Analysis-(2080s-and-2083s)?_g=(refreshInterval:(display:Off,section:0,value:0),time:(from:'"&amp;TEXT(E173-1/24,"yyyy-MM-DD hh:mm:ss")&amp;utc_offset&amp;"00',mode:absolute,to:'"&amp;TEXT(I173+1/24,"yyyy-MM-DD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https://search-rtdc-monitor-bjffxe2xuh6vdkpspy63sjmuny.us-east-1.es.amazonaws.com/_plugin/kibana/#/discover/Steve-Slow-Train-Analysis-(2080s-and-2083s)?_g=(refreshInterval:(display:Off,section:0,value:0),time:(from:'2016-12-04 11:35:53-700',mode:absolute,to:'2016-12-04 13:55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3" s="52" t="str">
        <f t="shared" ref="W173:W209" si="97">IF(AA173&lt;IF(AG173="EC",23,5.65),"Y","N")</f>
        <v>N</v>
      </c>
      <c r="X173" s="177">
        <f t="shared" si="92"/>
        <v>1</v>
      </c>
      <c r="Y173" s="67">
        <f t="shared" ref="Y173:Y209" si="98">RIGHT(D173,LEN(D173)-4)/10000</f>
        <v>5.8648999999999996</v>
      </c>
      <c r="Z173" s="67">
        <f t="shared" si="85"/>
        <v>7.8200000000000006E-2</v>
      </c>
      <c r="AA173" s="67">
        <f t="shared" ref="AA173:AA204" si="99">ABS(Z173-Y173)</f>
        <v>5.7866999999999997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ref="AD173:AD209" si="100">IF(LEN(A173)=6,"0"&amp;A173,A173)</f>
        <v>1814-04</v>
      </c>
      <c r="AE173" s="91" t="str">
        <f t="shared" ref="AE173:AE209" si="101"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 &amp; 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</v>
      </c>
      <c r="AF173" s="88" t="str">
        <f t="shared" ref="AF173:AF209" si="102"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/stypes="app*4043*20161204*" /stext=" 19:.+((SYSTEM_STATE.+slice.+state.+changed )|(ment ac)|(multiple cpu faults)|(system.+state.+changed )|(\[timeout)|(PRM\|1\|D)|(kpr)|(kdp)|(\|lc)|(penalty))" /e /r /s</v>
      </c>
      <c r="AG173" s="1" t="str">
        <f t="shared" ref="AG173:AG209" si="103">IFERROR(IF(VALUE(LEFT(AD173,2))&lt;=2,"EC",IF(OR(VALUE(LEFT(AD173,2))=8,VALUE(LEFT(AD173,2))=18),"NW","Other")),"Other")</f>
        <v>NW</v>
      </c>
      <c r="AH173" s="92" t="str">
        <f t="shared" si="86"/>
        <v>"%USERPROFILE%\Documents\GitHub\eaglep3\Utilities\RefineRTDCRunTimes.py" --tripid 1814-04 --locoid 4043 --swversion DE.1.0.8.0 --startMP 300:58649 --initTime 2016-12-04T12:35:53 --startdatetime 2016-12-04T12:38:20 --delay 1 --endMP 204:782 --enddatetime 2016-12-04T12:55:06 --enforcementcount 0 &gt;&gt;C:\Users\stu\Documents\GitHub\eaglep3-reporting\EC\2016-12-04-refined-times.txt</v>
      </c>
      <c r="AI173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{"issue":{"subject":"","project_id":79,"tracker_id":40,"status_id":1,"priority_id":2,"assigned_to_id":23,"start_date":"2016-12-04","description":"","custom_fields":[{"id":1,"name":"Subdivision","value":"NW"},{"id":4,"name":"Milepost","value":"0.0782"},{"id":17,"name":"Train ID","value":"1814-04"},{"id":16,"name":"Locomotive ID","value":"4043"},{"id":130,"name":"Impact","value":""},{"id":150,"name":"Time of Event (Mountain Time)","value":"12:55:06"},{"id":151,"name":"Denver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s="21" customFormat="1" x14ac:dyDescent="0.25">
      <c r="A174" s="37" t="s">
        <v>544</v>
      </c>
      <c r="B174" s="7">
        <v>4044</v>
      </c>
      <c r="C174" s="22" t="s">
        <v>208</v>
      </c>
      <c r="D174" s="22" t="s">
        <v>722</v>
      </c>
      <c r="E174" s="13">
        <v>42708.554097222222</v>
      </c>
      <c r="F174" s="13">
        <v>42708.556435185186</v>
      </c>
      <c r="G174" s="7">
        <v>1</v>
      </c>
      <c r="H174" s="22" t="s">
        <v>723</v>
      </c>
      <c r="I174" s="13">
        <v>42708.565787037034</v>
      </c>
      <c r="J174" s="7">
        <v>0</v>
      </c>
      <c r="K174" s="109" t="str">
        <f t="shared" si="93"/>
        <v>4043/4044</v>
      </c>
      <c r="L174" s="22" t="str">
        <f>VLOOKUP(A174,'Trips&amp;Operators'!$C$1:$G$99999,5,FALSE)</f>
        <v>STARKS ANGELINA</v>
      </c>
      <c r="M174" s="6">
        <f t="shared" si="94"/>
        <v>9.3518518478958867E-3</v>
      </c>
      <c r="N174" s="7">
        <f t="shared" si="90"/>
        <v>13.466666660970077</v>
      </c>
      <c r="O174" s="7"/>
      <c r="P174" s="7"/>
      <c r="Q174" s="23"/>
      <c r="R174" s="23"/>
      <c r="S174" s="35">
        <f t="shared" ref="S174:S209" si="104">SUM(U174:U174)/IF(AG174="EC",12,1)</f>
        <v>1</v>
      </c>
      <c r="T174" s="50" t="str">
        <f t="shared" si="95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12:17:54-700',mode:absolute,to:'2016-12-04 14:34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4" s="52" t="str">
        <f t="shared" si="97"/>
        <v>N</v>
      </c>
      <c r="X174" s="177">
        <f t="shared" ref="X174:X209" si="105">VALUE(LEFT(AD174,4))-VALUE(LEFT(AD173,4))</f>
        <v>1</v>
      </c>
      <c r="Y174" s="67">
        <f t="shared" si="98"/>
        <v>0.10630000000000001</v>
      </c>
      <c r="Z174" s="67">
        <f t="shared" ref="Z174:Z209" si="106">RIGHT(H174,LEN(H174)-4)/10000</f>
        <v>5.8944000000000001</v>
      </c>
      <c r="AA174" s="67">
        <f t="shared" si="99"/>
        <v>5.7881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100"/>
        <v>1815-04</v>
      </c>
      <c r="AE174" s="91" t="str">
        <f t="shared" si="101"/>
        <v>aws s3 cp s3://rtdc.mdm.uploadarchive.raw/RTDC4044/ "%USERPROFILE%\AppData\Local\Temp\OnboardLogs"\RTDC4044\2016-12-04 --exclude "*" --recursive --include "*20161204*" &amp; "%USERPROFILE%\Documents\GitHub\mrs-test-scripts\Headless Mode &amp; Sideloading\WalkAndUnGZ.bat" "%USERPROFILE%\AppData\Local\Temp\OnboardLogs"\RTDC4044\2016-12-04 &amp; 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</v>
      </c>
      <c r="AF174" s="88" t="str">
        <f t="shared" si="102"/>
        <v>"C:\Program Files (x86)\AstroGrep\AstroGrep.exe" /spath="%USERPROFILE%\AppData\Local\Temp\OnboardLogs" /stypes="app*4044*20161204*" /stext=" 20:.+((SYSTEM_STATE.+slice.+state.+changed )|(ment ac)|(multiple cpu faults)|(system.+state.+changed )|(\[timeout)|(PRM\|1\|D)|(kpr)|(kdp)|(\|lc)|(penalty))" /e /r /s</v>
      </c>
      <c r="AG174" s="1" t="str">
        <f t="shared" si="103"/>
        <v>NW</v>
      </c>
      <c r="AH174" s="92" t="str">
        <f t="shared" si="86"/>
        <v>"%USERPROFILE%\Documents\GitHub\eaglep3\Utilities\RefineRTDCRunTimes.py" --tripid 1815-04 --locoid 4044 --swversion DE.1.0.8.0 --startMP 204:1063 --initTime 2016-12-04T13:17:54 --startdatetime 2016-12-04T13:21:16 --delay 1 --endMP 300:58944 --enddatetime 2016-12-04T13:34:44 --enforcementcount 0 &gt;&gt;C:\Users\stu\Documents\GitHub\eaglep3-reporting\EC\2016-12-04-refined-times.txt</v>
      </c>
      <c r="AI174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{"issue":{"subject":"","project_id":79,"tracker_id":40,"status_id":1,"priority_id":2,"assigned_to_id":23,"start_date":"2016-12-04","description":"","custom_fields":[{"id":1,"name":"Subdivision","value":"NW"},{"id":4,"name":"Milepost","value":"5.8944"},{"id":17,"name":"Train ID","value":"1815-04"},{"id":16,"name":"Locomotive ID","value":"4044"},{"id":130,"name":"Impact","value":""},{"id":150,"name":"Time of Event (Mountain Time)","value":"13:34:44"},{"id":151,"name":"Denver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548</v>
      </c>
      <c r="B175" s="7">
        <v>4043</v>
      </c>
      <c r="C175" s="22" t="s">
        <v>208</v>
      </c>
      <c r="D175" s="22" t="s">
        <v>724</v>
      </c>
      <c r="E175" s="13">
        <v>42708.567199074074</v>
      </c>
      <c r="F175" s="13">
        <v>42708.568472222221</v>
      </c>
      <c r="G175" s="7">
        <v>1</v>
      </c>
      <c r="H175" s="22" t="s">
        <v>710</v>
      </c>
      <c r="I175" s="13">
        <v>42708.580023148148</v>
      </c>
      <c r="J175" s="7">
        <v>0</v>
      </c>
      <c r="K175" s="109" t="str">
        <f t="shared" si="93"/>
        <v>4043/4044</v>
      </c>
      <c r="L175" s="22" t="str">
        <f>VLOOKUP(A175,'Trips&amp;Operators'!$C$1:$G$99999,5,FALSE)</f>
        <v>STARKS ANGELINA</v>
      </c>
      <c r="M175" s="6">
        <f t="shared" si="94"/>
        <v>1.1550925926712807E-2</v>
      </c>
      <c r="N175" s="7">
        <f t="shared" si="90"/>
        <v>16.633333334466442</v>
      </c>
      <c r="O175" s="7"/>
      <c r="P175" s="7"/>
      <c r="Q175" s="23"/>
      <c r="R175" s="23"/>
      <c r="S175" s="35">
        <f t="shared" si="104"/>
        <v>1</v>
      </c>
      <c r="T175" s="50" t="str">
        <f t="shared" si="95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12:36:46-700',mode:absolute,to:'2016-12-04 14:55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5" s="52" t="str">
        <f t="shared" si="97"/>
        <v>N</v>
      </c>
      <c r="X175" s="177">
        <f t="shared" si="105"/>
        <v>1</v>
      </c>
      <c r="Y175" s="67">
        <f t="shared" si="98"/>
        <v>5.8624000000000001</v>
      </c>
      <c r="Z175" s="67">
        <f t="shared" si="106"/>
        <v>7.85E-2</v>
      </c>
      <c r="AA175" s="67">
        <f t="shared" si="99"/>
        <v>5.7839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100"/>
        <v>1816-04</v>
      </c>
      <c r="AE175" s="91" t="str">
        <f t="shared" si="101"/>
        <v>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 &amp; 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</v>
      </c>
      <c r="AF175" s="88" t="str">
        <f t="shared" si="102"/>
        <v>"C:\Program Files (x86)\AstroGrep\AstroGrep.exe" /spath="%USERPROFILE%\AppData\Local\Temp\OnboardLogs" /stypes="app*4043*20161204*" /stext=" 20:.+((SYSTEM_STATE.+slice.+state.+changed )|(ment ac)|(multiple cpu faults)|(system.+state.+changed )|(\[timeout)|(PRM\|1\|D)|(kpr)|(kdp)|(\|lc)|(penalty))" /e /r /s</v>
      </c>
      <c r="AG175" s="1" t="str">
        <f t="shared" si="103"/>
        <v>NW</v>
      </c>
      <c r="AH175" s="92" t="str">
        <f t="shared" si="86"/>
        <v>"%USERPROFILE%\Documents\GitHub\eaglep3\Utilities\RefineRTDCRunTimes.py" --tripid 1816-04 --locoid 4043 --swversion DE.1.0.8.0 --startMP 300:58624 --initTime 2016-12-04T13:36:46 --startdatetime 2016-12-04T13:38:36 --delay 1 --endMP 204:785 --enddatetime 2016-12-04T13:55:14 --enforcementcount 0 &gt;&gt;C:\Users\stu\Documents\GitHub\eaglep3-reporting\EC\2016-12-04-refined-times.txt</v>
      </c>
      <c r="AI175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{"issue":{"subject":"","project_id":79,"tracker_id":40,"status_id":1,"priority_id":2,"assigned_to_id":23,"start_date":"2016-12-04","description":"","custom_fields":[{"id":1,"name":"Subdivision","value":"NW"},{"id":4,"name":"Milepost","value":"0.0785"},{"id":17,"name":"Train ID","value":"1816-04"},{"id":16,"name":"Locomotive ID","value":"4043"},{"id":130,"name":"Impact","value":""},{"id":150,"name":"Time of Event (Mountain Time)","value":"13:55:14"},{"id":151,"name":"Denver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554</v>
      </c>
      <c r="B176" s="7">
        <v>4044</v>
      </c>
      <c r="C176" s="22" t="s">
        <v>208</v>
      </c>
      <c r="D176" s="22" t="s">
        <v>716</v>
      </c>
      <c r="E176" s="13">
        <v>42708.585347222222</v>
      </c>
      <c r="F176" s="13">
        <v>42708.598101851851</v>
      </c>
      <c r="G176" s="7">
        <v>1</v>
      </c>
      <c r="H176" s="22" t="s">
        <v>388</v>
      </c>
      <c r="I176" s="13">
        <v>42708.607662037037</v>
      </c>
      <c r="J176" s="7">
        <v>0</v>
      </c>
      <c r="K176" s="109" t="str">
        <f t="shared" si="93"/>
        <v>4043/4044</v>
      </c>
      <c r="L176" s="22" t="str">
        <f>VLOOKUP(A176,'Trips&amp;Operators'!$C$1:$G$99999,5,FALSE)</f>
        <v>LOPES KIMBERLY</v>
      </c>
      <c r="M176" s="6">
        <f t="shared" si="94"/>
        <v>9.560185186273884E-3</v>
      </c>
      <c r="N176" s="7">
        <f t="shared" si="90"/>
        <v>13.766666668234393</v>
      </c>
      <c r="O176" s="7"/>
      <c r="P176" s="7"/>
      <c r="Q176" s="23"/>
      <c r="R176" s="23"/>
      <c r="S176" s="35">
        <f t="shared" si="104"/>
        <v>1</v>
      </c>
      <c r="T176" s="50" t="str">
        <f t="shared" si="95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13:02:54-700',mode:absolute,to:'2016-12-04 15:35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6" s="52" t="str">
        <f t="shared" si="97"/>
        <v>N</v>
      </c>
      <c r="X176" s="177">
        <f t="shared" si="105"/>
        <v>1</v>
      </c>
      <c r="Y176" s="67">
        <f t="shared" si="98"/>
        <v>0.1074</v>
      </c>
      <c r="Z176" s="67">
        <f t="shared" si="106"/>
        <v>5.8930999999999996</v>
      </c>
      <c r="AA176" s="67">
        <f t="shared" si="99"/>
        <v>5.7856999999999994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100"/>
        <v>1817-04</v>
      </c>
      <c r="AE176" s="91" t="str">
        <f t="shared" si="101"/>
        <v>aws s3 cp s3://rtdc.mdm.uploadarchive.raw/RTDC4044/ "%USERPROFILE%\AppData\Local\Temp\OnboardLogs"\RTDC4044\2016-12-04 --exclude "*" --recursive --include "*20161204*" &amp; "%USERPROFILE%\Documents\GitHub\mrs-test-scripts\Headless Mode &amp; Sideloading\WalkAndUnGZ.bat" "%USERPROFILE%\AppData\Local\Temp\OnboardLogs"\RTDC4044\2016-12-04 &amp; 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</v>
      </c>
      <c r="AF176" s="88" t="str">
        <f t="shared" si="102"/>
        <v>"C:\Program Files (x86)\AstroGrep\AstroGrep.exe" /spath="%USERPROFILE%\AppData\Local\Temp\OnboardLogs" /stypes="app*4044*20161204*" /stext=" 21:.+((SYSTEM_STATE.+slice.+state.+changed )|(ment ac)|(multiple cpu faults)|(system.+state.+changed )|(\[timeout)|(PRM\|1\|D)|(kpr)|(kdp)|(\|lc)|(penalty))" /e /r /s</v>
      </c>
      <c r="AG176" s="1" t="str">
        <f t="shared" si="103"/>
        <v>NW</v>
      </c>
      <c r="AH176" s="92" t="str">
        <f t="shared" si="86"/>
        <v>"%USERPROFILE%\Documents\GitHub\eaglep3\Utilities\RefineRTDCRunTimes.py" --tripid 1817-04 --locoid 4044 --swversion DE.1.0.8.0 --startMP 204:1074 --initTime 2016-12-04T14:02:54 --startdatetime 2016-12-04T14:21:16 --delay 1 --endMP 300:58931 --enddatetime 2016-12-04T14:35:02 --enforcementcount 0 &gt;&gt;C:\Users\stu\Documents\GitHub\eaglep3-reporting\EC\2016-12-04-refined-times.txt</v>
      </c>
      <c r="AI176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{"issue":{"subject":"","project_id":79,"tracker_id":40,"status_id":1,"priority_id":2,"assigned_to_id":23,"start_date":"2016-12-04","description":"","custom_fields":[{"id":1,"name":"Subdivision","value":"NW"},{"id":4,"name":"Milepost","value":"5.8931"},{"id":17,"name":"Train ID","value":"1817-04"},{"id":16,"name":"Locomotive ID","value":"4044"},{"id":130,"name":"Impact","value":""},{"id":150,"name":"Time of Event (Mountain Time)","value":"14:35:02"},{"id":151,"name":"Denver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562</v>
      </c>
      <c r="B177" s="7">
        <v>4043</v>
      </c>
      <c r="C177" s="22" t="s">
        <v>208</v>
      </c>
      <c r="D177" s="22" t="s">
        <v>725</v>
      </c>
      <c r="E177" s="13">
        <v>42708.60864583333</v>
      </c>
      <c r="F177" s="13">
        <v>42708.610046296293</v>
      </c>
      <c r="G177" s="7">
        <v>2</v>
      </c>
      <c r="H177" s="22" t="s">
        <v>430</v>
      </c>
      <c r="I177" s="13">
        <v>42708.621388888889</v>
      </c>
      <c r="J177" s="7">
        <v>0</v>
      </c>
      <c r="K177" s="109" t="str">
        <f t="shared" si="93"/>
        <v>4043/4044</v>
      </c>
      <c r="L177" s="22" t="str">
        <f>VLOOKUP(A177,'Trips&amp;Operators'!$C$1:$G$99999,5,FALSE)</f>
        <v>LOPES KIMBERLY</v>
      </c>
      <c r="M177" s="6">
        <f t="shared" si="94"/>
        <v>1.1342592595610768E-2</v>
      </c>
      <c r="N177" s="7">
        <f t="shared" si="90"/>
        <v>16.333333337679505</v>
      </c>
      <c r="O177" s="7"/>
      <c r="P177" s="7"/>
      <c r="Q177" s="23"/>
      <c r="R177" s="23"/>
      <c r="S177" s="35">
        <f t="shared" si="104"/>
        <v>1</v>
      </c>
      <c r="T177" s="50" t="str">
        <f t="shared" si="95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13:36:27-700',mode:absolute,to:'2016-12-04 15:54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7" s="52" t="str">
        <f t="shared" si="97"/>
        <v>N</v>
      </c>
      <c r="X177" s="177">
        <f t="shared" si="105"/>
        <v>1</v>
      </c>
      <c r="Y177" s="67">
        <f t="shared" si="98"/>
        <v>5.7324000000000002</v>
      </c>
      <c r="Z177" s="67">
        <f t="shared" si="106"/>
        <v>7.4700000000000003E-2</v>
      </c>
      <c r="AA177" s="67">
        <f t="shared" si="99"/>
        <v>5.6577000000000002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100"/>
        <v>1818-04</v>
      </c>
      <c r="AE177" s="91" t="str">
        <f t="shared" si="101"/>
        <v>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 &amp; 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</v>
      </c>
      <c r="AF177" s="88" t="str">
        <f t="shared" si="102"/>
        <v>"C:\Program Files (x86)\AstroGrep\AstroGrep.exe" /spath="%USERPROFILE%\AppData\Local\Temp\OnboardLogs" /stypes="app*4043*20161204*" /stext=" 21:.+((SYSTEM_STATE.+slice.+state.+changed )|(ment ac)|(multiple cpu faults)|(system.+state.+changed )|(\[timeout)|(PRM\|1\|D)|(kpr)|(kdp)|(\|lc)|(penalty))" /e /r /s</v>
      </c>
      <c r="AG177" s="1" t="str">
        <f t="shared" si="103"/>
        <v>NW</v>
      </c>
      <c r="AH177" s="92" t="str">
        <f t="shared" si="86"/>
        <v>"%USERPROFILE%\Documents\GitHub\eaglep3\Utilities\RefineRTDCRunTimes.py" --tripid 1818-04 --locoid 4043 --swversion DE.1.0.8.0 --startMP 300:57324 --initTime 2016-12-04T14:36:27 --startdatetime 2016-12-04T14:38:28 --delay 2 --endMP 204:747 --enddatetime 2016-12-04T14:54:48 --enforcementcount 0 &gt;&gt;C:\Users\stu\Documents\GitHub\eaglep3-reporting\EC\2016-12-04-refined-times.txt</v>
      </c>
      <c r="AI177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{"issue":{"subject":"","project_id":79,"tracker_id":40,"status_id":1,"priority_id":2,"assigned_to_id":23,"start_date":"2016-12-04","description":"","custom_fields":[{"id":1,"name":"Subdivision","value":"NW"},{"id":4,"name":"Milepost","value":"0.0747"},{"id":17,"name":"Train ID","value":"1818-04"},{"id":16,"name":"Locomotive ID","value":"4043"},{"id":130,"name":"Impact","value":""},{"id":150,"name":"Time of Event (Mountain Time)","value":"14:54:48"},{"id":151,"name":"Denver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568</v>
      </c>
      <c r="B178" s="7">
        <v>4044</v>
      </c>
      <c r="C178" s="22" t="s">
        <v>208</v>
      </c>
      <c r="D178" s="22" t="s">
        <v>726</v>
      </c>
      <c r="E178" s="13">
        <v>42708.622407407405</v>
      </c>
      <c r="F178" s="13">
        <v>42708.639814814815</v>
      </c>
      <c r="G178" s="7">
        <v>2</v>
      </c>
      <c r="H178" s="22" t="s">
        <v>388</v>
      </c>
      <c r="I178" s="13">
        <v>42708.649178240739</v>
      </c>
      <c r="J178" s="7">
        <v>0</v>
      </c>
      <c r="K178" s="109" t="str">
        <f t="shared" si="93"/>
        <v>4043/4044</v>
      </c>
      <c r="L178" s="22" t="str">
        <f>VLOOKUP(A178,'Trips&amp;Operators'!$C$1:$G$99999,5,FALSE)</f>
        <v>LOPES KIMBERLY</v>
      </c>
      <c r="M178" s="6">
        <f t="shared" si="94"/>
        <v>9.3634259246755391E-3</v>
      </c>
      <c r="N178" s="7">
        <f t="shared" si="90"/>
        <v>13.483333331532776</v>
      </c>
      <c r="O178" s="7"/>
      <c r="P178" s="7"/>
      <c r="Q178" s="23"/>
      <c r="R178" s="23"/>
      <c r="S178" s="35">
        <f t="shared" si="104"/>
        <v>1</v>
      </c>
      <c r="T178" s="50" t="str">
        <f t="shared" si="95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13:56:16-700',mode:absolute,to:'2016-12-04 16:34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8" s="52" t="str">
        <f t="shared" si="97"/>
        <v>N</v>
      </c>
      <c r="X178" s="177">
        <f t="shared" si="105"/>
        <v>1</v>
      </c>
      <c r="Y178" s="67">
        <f t="shared" si="98"/>
        <v>0.1037</v>
      </c>
      <c r="Z178" s="67">
        <f t="shared" si="106"/>
        <v>5.8930999999999996</v>
      </c>
      <c r="AA178" s="67">
        <f t="shared" si="99"/>
        <v>5.7893999999999997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100"/>
        <v>1819-04</v>
      </c>
      <c r="AE178" s="91" t="str">
        <f t="shared" si="101"/>
        <v>aws s3 cp s3://rtdc.mdm.uploadarchive.raw/RTDC4044/ "%USERPROFILE%\AppData\Local\Temp\OnboardLogs"\RTDC4044\2016-12-04 --exclude "*" --recursive --include "*20161204*" &amp; "%USERPROFILE%\Documents\GitHub\mrs-test-scripts\Headless Mode &amp; Sideloading\WalkAndUnGZ.bat" "%USERPROFILE%\AppData\Local\Temp\OnboardLogs"\RTDC4044\2016-12-04 &amp; 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</v>
      </c>
      <c r="AF178" s="88" t="str">
        <f t="shared" si="102"/>
        <v>"C:\Program Files (x86)\AstroGrep\AstroGrep.exe" /spath="%USERPROFILE%\AppData\Local\Temp\OnboardLogs" /stypes="app*4044*20161204*" /stext=" 22:.+((SYSTEM_STATE.+slice.+state.+changed )|(ment ac)|(multiple cpu faults)|(system.+state.+changed )|(\[timeout)|(PRM\|1\|D)|(kpr)|(kdp)|(\|lc)|(penalty))" /e /r /s</v>
      </c>
      <c r="AG178" s="1" t="str">
        <f t="shared" si="103"/>
        <v>NW</v>
      </c>
      <c r="AH178" s="92" t="str">
        <f t="shared" si="86"/>
        <v>"%USERPROFILE%\Documents\GitHub\eaglep3\Utilities\RefineRTDCRunTimes.py" --tripid 1819-04 --locoid 4044 --swversion DE.1.0.8.0 --startMP 204:1037 --initTime 2016-12-04T14:56:16 --startdatetime 2016-12-04T15:21:20 --delay 2 --endMP 300:58931 --enddatetime 2016-12-04T15:34:49 --enforcementcount 0 &gt;&gt;C:\Users\stu\Documents\GitHub\eaglep3-reporting\EC\2016-12-04-refined-times.txt</v>
      </c>
      <c r="AI178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{"issue":{"subject":"","project_id":79,"tracker_id":40,"status_id":1,"priority_id":2,"assigned_to_id":23,"start_date":"2016-12-04","description":"","custom_fields":[{"id":1,"name":"Subdivision","value":"NW"},{"id":4,"name":"Milepost","value":"5.8931"},{"id":17,"name":"Train ID","value":"1819-04"},{"id":16,"name":"Locomotive ID","value":"4044"},{"id":130,"name":"Impact","value":""},{"id":150,"name":"Time of Event (Mountain Time)","value":"15:34:49"},{"id":151,"name":"Denver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7" t="s">
        <v>574</v>
      </c>
      <c r="B179" s="7">
        <v>4043</v>
      </c>
      <c r="C179" s="22" t="s">
        <v>208</v>
      </c>
      <c r="D179" s="22" t="s">
        <v>296</v>
      </c>
      <c r="E179" s="13">
        <v>42708.650069444448</v>
      </c>
      <c r="F179" s="13">
        <v>42708.651400462964</v>
      </c>
      <c r="G179" s="7">
        <v>1</v>
      </c>
      <c r="H179" s="22" t="s">
        <v>386</v>
      </c>
      <c r="I179" s="13">
        <v>42708.663090277776</v>
      </c>
      <c r="J179" s="7">
        <v>0</v>
      </c>
      <c r="K179" s="109" t="str">
        <f t="shared" si="93"/>
        <v>4043/4044</v>
      </c>
      <c r="L179" s="22" t="str">
        <f>VLOOKUP(A179,'Trips&amp;Operators'!$C$1:$G$99999,5,FALSE)</f>
        <v>LOPES KIMBERLY</v>
      </c>
      <c r="M179" s="6">
        <f t="shared" si="94"/>
        <v>1.1689814811688848E-2</v>
      </c>
      <c r="N179" s="7">
        <f t="shared" si="90"/>
        <v>16.833333328831941</v>
      </c>
      <c r="O179" s="7"/>
      <c r="P179" s="7"/>
      <c r="Q179" s="23"/>
      <c r="R179" s="23"/>
      <c r="S179" s="35">
        <f t="shared" si="104"/>
        <v>1</v>
      </c>
      <c r="T179" s="50" t="str">
        <f t="shared" si="95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14:36:06-700',mode:absolute,to:'2016-12-04 16:54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9" s="52" t="str">
        <f t="shared" si="97"/>
        <v>N</v>
      </c>
      <c r="X179" s="177">
        <f t="shared" si="105"/>
        <v>1</v>
      </c>
      <c r="Y179" s="67">
        <f t="shared" si="98"/>
        <v>5.8623000000000003</v>
      </c>
      <c r="Z179" s="67">
        <f t="shared" si="106"/>
        <v>7.5399999999999995E-2</v>
      </c>
      <c r="AA179" s="67">
        <f t="shared" si="99"/>
        <v>5.7869000000000002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100"/>
        <v>1820-04</v>
      </c>
      <c r="AE179" s="91" t="str">
        <f t="shared" si="101"/>
        <v>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 &amp; 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</v>
      </c>
      <c r="AF179" s="88" t="str">
        <f t="shared" si="102"/>
        <v>"C:\Program Files (x86)\AstroGrep\AstroGrep.exe" /spath="%USERPROFILE%\AppData\Local\Temp\OnboardLogs" /stypes="app*4043*20161204*" /stext=" 22:.+((SYSTEM_STATE.+slice.+state.+changed )|(ment ac)|(multiple cpu faults)|(system.+state.+changed )|(\[timeout)|(PRM\|1\|D)|(kpr)|(kdp)|(\|lc)|(penalty))" /e /r /s</v>
      </c>
      <c r="AG179" s="1" t="str">
        <f t="shared" si="103"/>
        <v>NW</v>
      </c>
      <c r="AH179" s="92" t="str">
        <f t="shared" si="86"/>
        <v>"%USERPROFILE%\Documents\GitHub\eaglep3\Utilities\RefineRTDCRunTimes.py" --tripid 1820-04 --locoid 4043 --swversion DE.1.0.8.0 --startMP 300:58623 --initTime 2016-12-04T15:36:06 --startdatetime 2016-12-04T15:38:01 --delay 1 --endMP 204:754 --enddatetime 2016-12-04T15:54:51 --enforcementcount 0 &gt;&gt;C:\Users\stu\Documents\GitHub\eaglep3-reporting\EC\2016-12-04-refined-times.txt</v>
      </c>
      <c r="AI179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{"issue":{"subject":"","project_id":79,"tracker_id":40,"status_id":1,"priority_id":2,"assigned_to_id":23,"start_date":"2016-12-04","description":"","custom_fields":[{"id":1,"name":"Subdivision","value":"NW"},{"id":4,"name":"Milepost","value":"0.0754"},{"id":17,"name":"Train ID","value":"1820-04"},{"id":16,"name":"Locomotive ID","value":"4043"},{"id":130,"name":"Impact","value":""},{"id":150,"name":"Time of Event (Mountain Time)","value":"15:54:51"},{"id":151,"name":"Denver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581</v>
      </c>
      <c r="B180" s="7">
        <v>4044</v>
      </c>
      <c r="C180" s="22" t="s">
        <v>208</v>
      </c>
      <c r="D180" s="22" t="s">
        <v>728</v>
      </c>
      <c r="E180" s="13">
        <v>42708.674571759257</v>
      </c>
      <c r="F180" s="13">
        <v>42708.681516203702</v>
      </c>
      <c r="G180" s="7">
        <v>1</v>
      </c>
      <c r="H180" s="22" t="s">
        <v>729</v>
      </c>
      <c r="I180" s="13">
        <v>42708.691192129627</v>
      </c>
      <c r="J180" s="7">
        <v>0</v>
      </c>
      <c r="K180" s="109" t="str">
        <f t="shared" si="93"/>
        <v>4043/4044</v>
      </c>
      <c r="L180" s="22" t="str">
        <f>VLOOKUP(A180,'Trips&amp;Operators'!$C$1:$G$99999,5,FALSE)</f>
        <v>BERLING GARY</v>
      </c>
      <c r="M180" s="6">
        <f t="shared" si="94"/>
        <v>9.6759259249665774E-3</v>
      </c>
      <c r="N180" s="7">
        <f t="shared" si="90"/>
        <v>13.933333331951872</v>
      </c>
      <c r="O180" s="7"/>
      <c r="P180" s="7"/>
      <c r="Q180" s="23"/>
      <c r="R180" s="23"/>
      <c r="S180" s="35">
        <f t="shared" si="104"/>
        <v>1</v>
      </c>
      <c r="T180" s="50" t="str">
        <f t="shared" si="95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15:11:23-700',mode:absolute,to:'2016-12-04 17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0" s="52" t="str">
        <f t="shared" si="97"/>
        <v>N</v>
      </c>
      <c r="X180" s="177">
        <f t="shared" si="105"/>
        <v>1</v>
      </c>
      <c r="Y180" s="67">
        <f t="shared" si="98"/>
        <v>0.10390000000000001</v>
      </c>
      <c r="Z180" s="67">
        <f t="shared" si="106"/>
        <v>5.8939000000000004</v>
      </c>
      <c r="AA180" s="67">
        <f t="shared" si="99"/>
        <v>5.79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100"/>
        <v>1821-04</v>
      </c>
      <c r="AE180" s="91" t="str">
        <f t="shared" si="101"/>
        <v>aws s3 cp s3://rtdc.mdm.uploadarchive.raw/RTDC4044/ "%USERPROFILE%\AppData\Local\Temp\OnboardLogs"\RTDC4044\2016-12-04 --exclude "*" --recursive --include "*20161204*" &amp; "%USERPROFILE%\Documents\GitHub\mrs-test-scripts\Headless Mode &amp; Sideloading\WalkAndUnGZ.bat" "%USERPROFILE%\AppData\Local\Temp\OnboardLogs"\RTDC4044\2016-12-04 &amp; 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</v>
      </c>
      <c r="AF180" s="88" t="str">
        <f t="shared" si="102"/>
        <v>"C:\Program Files (x86)\AstroGrep\AstroGrep.exe" /spath="%USERPROFILE%\AppData\Local\Temp\OnboardLogs" /stypes="app*4044*20161204*" /stext=" 23:.+((SYSTEM_STATE.+slice.+state.+changed )|(ment ac)|(multiple cpu faults)|(system.+state.+changed )|(\[timeout)|(PRM\|1\|D)|(kpr)|(kdp)|(\|lc)|(penalty))" /e /r /s</v>
      </c>
      <c r="AG180" s="1" t="str">
        <f t="shared" si="103"/>
        <v>NW</v>
      </c>
      <c r="AH180" s="92" t="str">
        <f t="shared" si="86"/>
        <v>"%USERPROFILE%\Documents\GitHub\eaglep3\Utilities\RefineRTDCRunTimes.py" --tripid 1821-04 --locoid 4044 --swversion DE.1.0.8.0 --startMP 204:1039 --initTime 2016-12-04T16:11:23 --startdatetime 2016-12-04T16:21:23 --delay 1 --endMP 300:58939 --enddatetime 2016-12-04T16:35:19 --enforcementcount 0 &gt;&gt;C:\Users\stu\Documents\GitHub\eaglep3-reporting\EC\2016-12-04-refined-times.txt</v>
      </c>
      <c r="AI180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{"issue":{"subject":"","project_id":79,"tracker_id":40,"status_id":1,"priority_id":2,"assigned_to_id":23,"start_date":"2016-12-04","description":"","custom_fields":[{"id":1,"name":"Subdivision","value":"NW"},{"id":4,"name":"Milepost","value":"5.8939"},{"id":17,"name":"Train ID","value":"1821-04"},{"id":16,"name":"Locomotive ID","value":"4044"},{"id":130,"name":"Impact","value":""},{"id":150,"name":"Time of Event (Mountain Time)","value":"16:35:19"},{"id":151,"name":"Denver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586</v>
      </c>
      <c r="B181" s="7">
        <v>4043</v>
      </c>
      <c r="C181" s="22" t="s">
        <v>208</v>
      </c>
      <c r="D181" s="22" t="s">
        <v>296</v>
      </c>
      <c r="E181" s="13">
        <v>42708.692476851851</v>
      </c>
      <c r="F181" s="13">
        <v>42708.69394675926</v>
      </c>
      <c r="G181" s="7">
        <v>1</v>
      </c>
      <c r="H181" s="22" t="s">
        <v>730</v>
      </c>
      <c r="I181" s="13">
        <v>42708.704872685186</v>
      </c>
      <c r="J181" s="7">
        <v>0</v>
      </c>
      <c r="K181" s="109" t="str">
        <f t="shared" si="93"/>
        <v>4043/4044</v>
      </c>
      <c r="L181" s="22" t="str">
        <f>VLOOKUP(A181,'Trips&amp;Operators'!$C$1:$G$99999,5,FALSE)</f>
        <v>BERLING GARY</v>
      </c>
      <c r="M181" s="6">
        <f t="shared" si="94"/>
        <v>1.0925925926130731E-2</v>
      </c>
      <c r="N181" s="7">
        <f t="shared" si="90"/>
        <v>15.733333333628252</v>
      </c>
      <c r="O181" s="7"/>
      <c r="P181" s="7"/>
      <c r="Q181" s="23"/>
      <c r="R181" s="23"/>
      <c r="S181" s="35">
        <f t="shared" si="104"/>
        <v>1</v>
      </c>
      <c r="T181" s="50" t="str">
        <f t="shared" si="95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15:37:10-700',mode:absolute,to:'2016-12-04 17:55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1" s="52" t="str">
        <f t="shared" si="97"/>
        <v>N</v>
      </c>
      <c r="X181" s="177">
        <f t="shared" si="105"/>
        <v>1</v>
      </c>
      <c r="Y181" s="67">
        <f t="shared" si="98"/>
        <v>5.8623000000000003</v>
      </c>
      <c r="Z181" s="67">
        <f t="shared" si="106"/>
        <v>6.7500000000000004E-2</v>
      </c>
      <c r="AA181" s="67">
        <f t="shared" si="99"/>
        <v>5.7948000000000004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100"/>
        <v>1822-04</v>
      </c>
      <c r="AE181" s="91" t="str">
        <f t="shared" si="101"/>
        <v>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 &amp; 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</v>
      </c>
      <c r="AF181" s="88" t="str">
        <f t="shared" si="102"/>
        <v>"C:\Program Files (x86)\AstroGrep\AstroGrep.exe" /spath="%USERPROFILE%\AppData\Local\Temp\OnboardLogs" /stypes="app*4043*20161204*" /stext=" 23:.+((SYSTEM_STATE.+slice.+state.+changed )|(ment ac)|(multiple cpu faults)|(system.+state.+changed )|(\[timeout)|(PRM\|1\|D)|(kpr)|(kdp)|(\|lc)|(penalty))" /e /r /s</v>
      </c>
      <c r="AG181" s="1" t="str">
        <f t="shared" si="103"/>
        <v>NW</v>
      </c>
      <c r="AH181" s="92" t="str">
        <f t="shared" si="86"/>
        <v>"%USERPROFILE%\Documents\GitHub\eaglep3\Utilities\RefineRTDCRunTimes.py" --tripid 1822-04 --locoid 4043 --swversion DE.1.0.8.0 --startMP 300:58623 --initTime 2016-12-04T16:37:10 --startdatetime 2016-12-04T16:39:17 --delay 1 --endMP 204:675 --enddatetime 2016-12-04T16:55:01 --enforcementcount 0 &gt;&gt;C:\Users\stu\Documents\GitHub\eaglep3-reporting\EC\2016-12-04-refined-times.txt</v>
      </c>
      <c r="AI181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{"issue":{"subject":"","project_id":79,"tracker_id":40,"status_id":1,"priority_id":2,"assigned_to_id":23,"start_date":"2016-12-04","description":"","custom_fields":[{"id":1,"name":"Subdivision","value":"NW"},{"id":4,"name":"Milepost","value":"0.0675"},{"id":17,"name":"Train ID","value":"1822-04"},{"id":16,"name":"Locomotive ID","value":"4043"},{"id":130,"name":"Impact","value":""},{"id":150,"name":"Time of Event (Mountain Time)","value":"16:55:01"},{"id":151,"name":"Denver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593</v>
      </c>
      <c r="B182" s="7">
        <v>4044</v>
      </c>
      <c r="C182" s="22" t="s">
        <v>208</v>
      </c>
      <c r="D182" s="22" t="s">
        <v>731</v>
      </c>
      <c r="E182" s="13">
        <v>42708.715810185182</v>
      </c>
      <c r="F182" s="13">
        <v>42708.723078703704</v>
      </c>
      <c r="G182" s="7">
        <v>2</v>
      </c>
      <c r="H182" s="22" t="s">
        <v>388</v>
      </c>
      <c r="I182" s="13">
        <v>42708.732106481482</v>
      </c>
      <c r="J182" s="7">
        <v>0</v>
      </c>
      <c r="K182" s="109" t="str">
        <f t="shared" si="93"/>
        <v>4043/4044</v>
      </c>
      <c r="L182" s="22" t="str">
        <f>VLOOKUP(A182,'Trips&amp;Operators'!$C$1:$G$99999,5,FALSE)</f>
        <v>LOPES KIMBERLY</v>
      </c>
      <c r="M182" s="6">
        <f t="shared" si="94"/>
        <v>9.0277777781011537E-3</v>
      </c>
      <c r="N182" s="7">
        <f t="shared" si="90"/>
        <v>13.000000000465661</v>
      </c>
      <c r="O182" s="7"/>
      <c r="P182" s="7"/>
      <c r="Q182" s="23"/>
      <c r="R182" s="23"/>
      <c r="S182" s="35">
        <f t="shared" si="104"/>
        <v>1</v>
      </c>
      <c r="T182" s="50" t="str">
        <f t="shared" si="95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16:10:46-700',mode:absolute,to:'2016-12-04 18:34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2" s="52" t="str">
        <f t="shared" si="97"/>
        <v>N</v>
      </c>
      <c r="X182" s="177">
        <f t="shared" si="105"/>
        <v>1</v>
      </c>
      <c r="Y182" s="67">
        <f t="shared" si="98"/>
        <v>9.5500000000000002E-2</v>
      </c>
      <c r="Z182" s="67">
        <f t="shared" si="106"/>
        <v>5.8930999999999996</v>
      </c>
      <c r="AA182" s="67">
        <f t="shared" si="99"/>
        <v>5.7975999999999992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100"/>
        <v>1823-04</v>
      </c>
      <c r="AE182" s="91" t="str">
        <f t="shared" si="101"/>
        <v>aws s3 cp s3://rtdc.mdm.uploadarchive.raw/RTDC4044/ "%USERPROFILE%\AppData\Local\Temp\OnboardLogs"\RTDC4044\2016-12-04 --exclude "*" --recursive --include "*20161204*" &amp; "%USERPROFILE%\Documents\GitHub\mrs-test-scripts\Headless Mode &amp; Sideloading\WalkAndUnGZ.bat" "%USERPROFILE%\AppData\Local\Temp\OnboardLogs"\RTDC4044\2016-12-04 &amp; 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</v>
      </c>
      <c r="AF182" s="88" t="str">
        <f t="shared" si="102"/>
        <v>"C:\Program Files (x86)\AstroGrep\AstroGrep.exe" /spath="%USERPROFILE%\AppData\Local\Temp\OnboardLogs" /stypes="app*4044*20161205*" /stext=" 00:.+((SYSTEM_STATE.+slice.+state.+changed )|(ment ac)|(multiple cpu faults)|(system.+state.+changed )|(\[timeout)|(PRM\|1\|D)|(kpr)|(kdp)|(\|lc)|(penalty))" /e /r /s</v>
      </c>
      <c r="AG182" s="1" t="str">
        <f t="shared" si="103"/>
        <v>NW</v>
      </c>
      <c r="AH182" s="92" t="str">
        <f t="shared" si="86"/>
        <v>"%USERPROFILE%\Documents\GitHub\eaglep3\Utilities\RefineRTDCRunTimes.py" --tripid 1823-04 --locoid 4044 --swversion DE.1.0.8.0 --startMP 204:955 --initTime 2016-12-04T17:10:46 --startdatetime 2016-12-04T17:21:14 --delay 2 --endMP 300:58931 --enddatetime 2016-12-04T17:34:14 --enforcementcount 0 &gt;&gt;C:\Users\stu\Documents\GitHub\eaglep3-reporting\EC\2016-12-04-refined-times.txt</v>
      </c>
      <c r="AI182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{"issue":{"subject":"","project_id":79,"tracker_id":40,"status_id":1,"priority_id":2,"assigned_to_id":23,"start_date":"2016-12-04","description":"","custom_fields":[{"id":1,"name":"Subdivision","value":"NW"},{"id":4,"name":"Milepost","value":"5.8931"},{"id":17,"name":"Train ID","value":"1823-04"},{"id":16,"name":"Locomotive ID","value":"4044"},{"id":130,"name":"Impact","value":""},{"id":150,"name":"Time of Event (Mountain Time)","value":"17:34:14"},{"id":151,"name":"Denver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455</v>
      </c>
      <c r="B183" s="7">
        <v>4043</v>
      </c>
      <c r="C183" s="22" t="s">
        <v>208</v>
      </c>
      <c r="D183" s="22" t="s">
        <v>382</v>
      </c>
      <c r="E183" s="13">
        <v>42708.733043981483</v>
      </c>
      <c r="F183" s="13">
        <v>42708.734502314815</v>
      </c>
      <c r="G183" s="7">
        <v>1</v>
      </c>
      <c r="H183" s="22" t="s">
        <v>429</v>
      </c>
      <c r="I183" s="13">
        <v>42708.749861111108</v>
      </c>
      <c r="J183" s="7">
        <v>0</v>
      </c>
      <c r="K183" s="109" t="str">
        <f t="shared" si="93"/>
        <v>4043/4044</v>
      </c>
      <c r="L183" s="22" t="str">
        <f>VLOOKUP(A183,'Trips&amp;Operators'!$C$1:$G$99999,5,FALSE)</f>
        <v>LOPES KIMBERLY</v>
      </c>
      <c r="M183" s="6">
        <f t="shared" si="94"/>
        <v>1.5358796292275656E-2</v>
      </c>
      <c r="N183" s="7">
        <f t="shared" si="90"/>
        <v>22.116666660876945</v>
      </c>
      <c r="O183" s="7"/>
      <c r="P183" s="7"/>
      <c r="Q183" s="23"/>
      <c r="R183" s="23"/>
      <c r="S183" s="35">
        <f t="shared" si="104"/>
        <v>1</v>
      </c>
      <c r="T183" s="50" t="str">
        <f t="shared" si="95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16:35:35-700',mode:absolute,to:'2016-12-04 18:59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3" s="52" t="str">
        <f t="shared" si="97"/>
        <v>N</v>
      </c>
      <c r="X183" s="177">
        <f t="shared" si="105"/>
        <v>1</v>
      </c>
      <c r="Y183" s="67">
        <f t="shared" si="98"/>
        <v>5.8619000000000003</v>
      </c>
      <c r="Z183" s="67">
        <f t="shared" si="106"/>
        <v>7.3800000000000004E-2</v>
      </c>
      <c r="AA183" s="67">
        <f t="shared" si="99"/>
        <v>5.7881</v>
      </c>
      <c r="AB183" s="64" t="str">
        <f>VLOOKUP(A183,Enforcements!$C$7:$K$20,8,0)</f>
        <v>Bulletin (2)</v>
      </c>
      <c r="AC183" s="60" t="str">
        <f>VLOOKUP(A183,Enforcements!$C$7:$E$20,3,0)</f>
        <v>GRADE CROSSING</v>
      </c>
      <c r="AD183" s="61" t="str">
        <f t="shared" si="100"/>
        <v>1824-04</v>
      </c>
      <c r="AE183" s="91" t="str">
        <f t="shared" si="101"/>
        <v>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 &amp; 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</v>
      </c>
      <c r="AF183" s="88" t="str">
        <f t="shared" si="102"/>
        <v>"C:\Program Files (x86)\AstroGrep\AstroGrep.exe" /spath="%USERPROFILE%\AppData\Local\Temp\OnboardLogs" /stypes="app*4043*20161205*" /stext=" 00:.+((SYSTEM_STATE.+slice.+state.+changed )|(ment ac)|(multiple cpu faults)|(system.+state.+changed )|(\[timeout)|(PRM\|1\|D)|(kpr)|(kdp)|(\|lc)|(penalty))" /e /r /s</v>
      </c>
      <c r="AG183" s="1" t="str">
        <f t="shared" si="103"/>
        <v>NW</v>
      </c>
      <c r="AH183" s="92" t="str">
        <f t="shared" si="86"/>
        <v>"%USERPROFILE%\Documents\GitHub\eaglep3\Utilities\RefineRTDCRunTimes.py" --tripid 1824-04 --locoid 4043 --swversion DE.1.0.8.0 --startMP 300:58619 --initTime 2016-12-04T17:35:35 --startdatetime 2016-12-04T17:37:41 --delay 1 --endMP 204:738 --enddatetime 2016-12-04T17:59:48 --enforcementcount 0 &gt;&gt;C:\Users\stu\Documents\GitHub\eaglep3-reporting\EC\2016-12-04-refined-times.txt</v>
      </c>
      <c r="AI183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{"issue":{"subject":"","project_id":79,"tracker_id":40,"status_id":1,"priority_id":2,"assigned_to_id":23,"start_date":"2016-12-04","description":"","custom_fields":[{"id":1,"name":"Subdivision","value":"NW"},{"id":4,"name":"Milepost","value":"0.0738"},{"id":17,"name":"Train ID","value":"1824-04"},{"id":16,"name":"Locomotive ID","value":"4043"},{"id":130,"name":"Impact","value":""},{"id":150,"name":"Time of Event (Mountain Time)","value":"17:59:48"},{"id":151,"name":"Denver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s="21" customFormat="1" x14ac:dyDescent="0.25">
      <c r="A184" s="37" t="s">
        <v>607</v>
      </c>
      <c r="B184" s="7">
        <v>4044</v>
      </c>
      <c r="C184" s="22" t="s">
        <v>208</v>
      </c>
      <c r="D184" s="22" t="s">
        <v>732</v>
      </c>
      <c r="E184" s="13">
        <v>42708.755856481483</v>
      </c>
      <c r="F184" s="13">
        <v>42708.764780092592</v>
      </c>
      <c r="G184" s="7">
        <v>1</v>
      </c>
      <c r="H184" s="22" t="s">
        <v>729</v>
      </c>
      <c r="I184" s="13">
        <v>42708.775266203702</v>
      </c>
      <c r="J184" s="7">
        <v>0</v>
      </c>
      <c r="K184" s="109" t="str">
        <f t="shared" si="93"/>
        <v>4043/4044</v>
      </c>
      <c r="L184" s="22" t="str">
        <f>VLOOKUP(A184,'Trips&amp;Operators'!$C$1:$G$99999,5,FALSE)</f>
        <v>WHITED DUSTIN</v>
      </c>
      <c r="M184" s="6">
        <f t="shared" si="94"/>
        <v>1.0486111110367347E-2</v>
      </c>
      <c r="N184" s="7">
        <f t="shared" si="90"/>
        <v>15.099999998928979</v>
      </c>
      <c r="O184" s="7"/>
      <c r="P184" s="7"/>
      <c r="Q184" s="23"/>
      <c r="R184" s="23"/>
      <c r="S184" s="35">
        <f t="shared" si="104"/>
        <v>1</v>
      </c>
      <c r="T184" s="50" t="str">
        <f t="shared" si="95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17:08:26-700',mode:absolute,to:'2016-12-04 19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4" s="52" t="str">
        <f t="shared" si="97"/>
        <v>N</v>
      </c>
      <c r="X184" s="177">
        <f t="shared" si="105"/>
        <v>1</v>
      </c>
      <c r="Y184" s="67">
        <f t="shared" si="98"/>
        <v>0.1042</v>
      </c>
      <c r="Z184" s="67">
        <f t="shared" si="106"/>
        <v>5.8939000000000004</v>
      </c>
      <c r="AA184" s="67">
        <f t="shared" si="99"/>
        <v>5.7897000000000007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100"/>
        <v>1825-04</v>
      </c>
      <c r="AE184" s="91" t="str">
        <f t="shared" si="101"/>
        <v>aws s3 cp s3://rtdc.mdm.uploadarchive.raw/RTDC4044/ "%USERPROFILE%\AppData\Local\Temp\OnboardLogs"\RTDC4044\2016-12-04 --exclude "*" --recursive --include "*20161204*" &amp; "%USERPROFILE%\Documents\GitHub\mrs-test-scripts\Headless Mode &amp; Sideloading\WalkAndUnGZ.bat" "%USERPROFILE%\AppData\Local\Temp\OnboardLogs"\RTDC4044\2016-12-04 &amp; 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</v>
      </c>
      <c r="AF184" s="88" t="str">
        <f t="shared" si="102"/>
        <v>"C:\Program Files (x86)\AstroGrep\AstroGrep.exe" /spath="%USERPROFILE%\AppData\Local\Temp\OnboardLogs" /stypes="app*4044*20161205*" /stext=" 01:.+((SYSTEM_STATE.+slice.+state.+changed )|(ment ac)|(multiple cpu faults)|(system.+state.+changed )|(\[timeout)|(PRM\|1\|D)|(kpr)|(kdp)|(\|lc)|(penalty))" /e /r /s</v>
      </c>
      <c r="AG184" s="1" t="str">
        <f t="shared" si="103"/>
        <v>NW</v>
      </c>
      <c r="AH184" s="92" t="str">
        <f t="shared" si="86"/>
        <v>"%USERPROFILE%\Documents\GitHub\eaglep3\Utilities\RefineRTDCRunTimes.py" --tripid 1825-04 --locoid 4044 --swversion DE.1.0.8.0 --startMP 204:1042 --initTime 2016-12-04T18:08:26 --startdatetime 2016-12-04T18:21:17 --delay 1 --endMP 300:58939 --enddatetime 2016-12-04T18:36:23 --enforcementcount 0 &gt;&gt;C:\Users\stu\Documents\GitHub\eaglep3-reporting\EC\2016-12-04-refined-times.txt</v>
      </c>
      <c r="AI184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{"issue":{"subject":"","project_id":79,"tracker_id":40,"status_id":1,"priority_id":2,"assigned_to_id":23,"start_date":"2016-12-04","description":"","custom_fields":[{"id":1,"name":"Subdivision","value":"NW"},{"id":4,"name":"Milepost","value":"5.8939"},{"id":17,"name":"Train ID","value":"1825-04"},{"id":16,"name":"Locomotive ID","value":"4044"},{"id":130,"name":"Impact","value":""},{"id":150,"name":"Time of Event (Mountain Time)","value":"18:36:23"},{"id":151,"name":"Denver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7" t="s">
        <v>612</v>
      </c>
      <c r="B185" s="7">
        <v>4043</v>
      </c>
      <c r="C185" s="22" t="s">
        <v>208</v>
      </c>
      <c r="D185" s="22" t="s">
        <v>387</v>
      </c>
      <c r="E185" s="13">
        <v>42708.776180555556</v>
      </c>
      <c r="F185" s="13">
        <v>42708.777951388889</v>
      </c>
      <c r="G185" s="7">
        <v>1</v>
      </c>
      <c r="H185" s="22" t="s">
        <v>733</v>
      </c>
      <c r="I185" s="13">
        <v>42708.789050925923</v>
      </c>
      <c r="J185" s="7">
        <v>0</v>
      </c>
      <c r="K185" s="109" t="str">
        <f t="shared" si="93"/>
        <v>4043/4044</v>
      </c>
      <c r="L185" s="22" t="str">
        <f>VLOOKUP(A185,'Trips&amp;Operators'!$C$1:$G$99999,5,FALSE)</f>
        <v>WHITED DUSTIN</v>
      </c>
      <c r="M185" s="6">
        <f t="shared" si="94"/>
        <v>1.1099537034169771E-2</v>
      </c>
      <c r="N185" s="7">
        <f t="shared" si="90"/>
        <v>15.98333332920447</v>
      </c>
      <c r="O185" s="7"/>
      <c r="P185" s="7"/>
      <c r="Q185" s="23"/>
      <c r="R185" s="23"/>
      <c r="S185" s="35">
        <f t="shared" si="104"/>
        <v>1</v>
      </c>
      <c r="T185" s="50" t="str">
        <f t="shared" si="95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17:37:42-700',mode:absolute,to:'2016-12-04 19:56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5" s="52" t="str">
        <f t="shared" si="97"/>
        <v>N</v>
      </c>
      <c r="X185" s="177">
        <f t="shared" si="105"/>
        <v>1</v>
      </c>
      <c r="Y185" s="67">
        <f t="shared" si="98"/>
        <v>5.8620999999999999</v>
      </c>
      <c r="Z185" s="67">
        <f t="shared" si="106"/>
        <v>6.8000000000000005E-2</v>
      </c>
      <c r="AA185" s="67">
        <f t="shared" si="99"/>
        <v>5.7941000000000003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100"/>
        <v>1826-04</v>
      </c>
      <c r="AE185" s="91" t="str">
        <f t="shared" si="101"/>
        <v>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 &amp; 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</v>
      </c>
      <c r="AF185" s="88" t="str">
        <f t="shared" si="102"/>
        <v>"C:\Program Files (x86)\AstroGrep\AstroGrep.exe" /spath="%USERPROFILE%\AppData\Local\Temp\OnboardLogs" /stypes="app*4043*20161205*" /stext=" 01:.+((SYSTEM_STATE.+slice.+state.+changed )|(ment ac)|(multiple cpu faults)|(system.+state.+changed )|(\[timeout)|(PRM\|1\|D)|(kpr)|(kdp)|(\|lc)|(penalty))" /e /r /s</v>
      </c>
      <c r="AG185" s="1" t="str">
        <f t="shared" si="103"/>
        <v>NW</v>
      </c>
      <c r="AH185" s="92" t="str">
        <f t="shared" si="86"/>
        <v>"%USERPROFILE%\Documents\GitHub\eaglep3\Utilities\RefineRTDCRunTimes.py" --tripid 1826-04 --locoid 4043 --swversion DE.1.0.8.0 --startMP 300:58621 --initTime 2016-12-04T18:37:42 --startdatetime 2016-12-04T18:40:15 --delay 1 --endMP 204:680 --enddatetime 2016-12-04T18:56:14 --enforcementcount 0 &gt;&gt;C:\Users\stu\Documents\GitHub\eaglep3-reporting\EC\2016-12-04-refined-times.txt</v>
      </c>
      <c r="AI185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{"issue":{"subject":"","project_id":79,"tracker_id":40,"status_id":1,"priority_id":2,"assigned_to_id":23,"start_date":"2016-12-04","description":"","custom_fields":[{"id":1,"name":"Subdivision","value":"NW"},{"id":4,"name":"Milepost","value":"0.068"},{"id":17,"name":"Train ID","value":"1826-04"},{"id":16,"name":"Locomotive ID","value":"4043"},{"id":130,"name":"Impact","value":""},{"id":150,"name":"Time of Event (Mountain Time)","value":"18:56:14"},{"id":151,"name":"Denver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617</v>
      </c>
      <c r="B186" s="7">
        <v>4044</v>
      </c>
      <c r="C186" s="22" t="s">
        <v>208</v>
      </c>
      <c r="D186" s="22" t="s">
        <v>731</v>
      </c>
      <c r="E186" s="13">
        <v>42708.790254629632</v>
      </c>
      <c r="F186" s="13">
        <v>42708.806469907409</v>
      </c>
      <c r="G186" s="7">
        <v>4</v>
      </c>
      <c r="H186" s="22" t="s">
        <v>734</v>
      </c>
      <c r="I186" s="13">
        <v>42708.816168981481</v>
      </c>
      <c r="J186" s="7">
        <v>0</v>
      </c>
      <c r="K186" s="109" t="str">
        <f t="shared" si="93"/>
        <v>4043/4044</v>
      </c>
      <c r="L186" s="22" t="str">
        <f>VLOOKUP(A186,'Trips&amp;Operators'!$C$1:$G$99999,5,FALSE)</f>
        <v>WHITED DUSTIN</v>
      </c>
      <c r="M186" s="6">
        <f t="shared" si="94"/>
        <v>9.6990740712499246E-3</v>
      </c>
      <c r="N186" s="7">
        <f t="shared" si="90"/>
        <v>13.966666662599891</v>
      </c>
      <c r="O186" s="7"/>
      <c r="P186" s="7"/>
      <c r="Q186" s="23"/>
      <c r="R186" s="23"/>
      <c r="S186" s="35">
        <f t="shared" si="104"/>
        <v>1</v>
      </c>
      <c r="T186" s="50" t="str">
        <f t="shared" si="95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17:57:58-700',mode:absolute,to:'2016-12-04 20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6" s="52" t="str">
        <f t="shared" si="97"/>
        <v>N</v>
      </c>
      <c r="X186" s="177">
        <f t="shared" si="105"/>
        <v>1</v>
      </c>
      <c r="Y186" s="67">
        <f t="shared" si="98"/>
        <v>9.5500000000000002E-2</v>
      </c>
      <c r="Z186" s="67">
        <f t="shared" si="106"/>
        <v>5.8949999999999996</v>
      </c>
      <c r="AA186" s="67">
        <f t="shared" si="99"/>
        <v>5.7994999999999992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100"/>
        <v>1827-04</v>
      </c>
      <c r="AE186" s="91" t="str">
        <f t="shared" si="101"/>
        <v>aws s3 cp s3://rtdc.mdm.uploadarchive.raw/RTDC4044/ "%USERPROFILE%\AppData\Local\Temp\OnboardLogs"\RTDC4044\2016-12-04 --exclude "*" --recursive --include "*20161204*" &amp; "%USERPROFILE%\Documents\GitHub\mrs-test-scripts\Headless Mode &amp; Sideloading\WalkAndUnGZ.bat" "%USERPROFILE%\AppData\Local\Temp\OnboardLogs"\RTDC4044\2016-12-04 &amp; 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</v>
      </c>
      <c r="AF186" s="88" t="str">
        <f t="shared" si="102"/>
        <v>"C:\Program Files (x86)\AstroGrep\AstroGrep.exe" /spath="%USERPROFILE%\AppData\Local\Temp\OnboardLogs" /stypes="app*4044*20161205*" /stext=" 02:.+((SYSTEM_STATE.+slice.+state.+changed )|(ment ac)|(multiple cpu faults)|(system.+state.+changed )|(\[timeout)|(PRM\|1\|D)|(kpr)|(kdp)|(\|lc)|(penalty))" /e /r /s</v>
      </c>
      <c r="AG186" s="1" t="str">
        <f t="shared" si="103"/>
        <v>NW</v>
      </c>
      <c r="AH186" s="92" t="str">
        <f t="shared" si="86"/>
        <v>"%USERPROFILE%\Documents\GitHub\eaglep3\Utilities\RefineRTDCRunTimes.py" --tripid 1827-04 --locoid 4044 --swversion DE.1.0.8.0 --startMP 204:955 --initTime 2016-12-04T18:57:58 --startdatetime 2016-12-04T19:21:19 --delay 4 --endMP 300:58950 --enddatetime 2016-12-04T19:35:17 --enforcementcount 0 &gt;&gt;C:\Users\stu\Documents\GitHub\eaglep3-reporting\EC\2016-12-04-refined-times.txt</v>
      </c>
      <c r="AI186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{"issue":{"subject":"","project_id":79,"tracker_id":40,"status_id":1,"priority_id":2,"assigned_to_id":23,"start_date":"2016-12-04","description":"","custom_fields":[{"id":1,"name":"Subdivision","value":"NW"},{"id":4,"name":"Milepost","value":"5.895"},{"id":17,"name":"Train ID","value":"1827-04"},{"id":16,"name":"Locomotive ID","value":"4044"},{"id":130,"name":"Impact","value":""},{"id":150,"name":"Time of Event (Mountain Time)","value":"19:35:17"},{"id":151,"name":"Denver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621</v>
      </c>
      <c r="B187" s="7">
        <v>4043</v>
      </c>
      <c r="C187" s="22" t="s">
        <v>208</v>
      </c>
      <c r="D187" s="22" t="s">
        <v>384</v>
      </c>
      <c r="E187" s="13">
        <v>42708.817164351851</v>
      </c>
      <c r="F187" s="13">
        <v>42708.81931712963</v>
      </c>
      <c r="G187" s="7">
        <v>2</v>
      </c>
      <c r="H187" s="22" t="s">
        <v>389</v>
      </c>
      <c r="I187" s="13">
        <v>42708.830347222225</v>
      </c>
      <c r="J187" s="7">
        <v>0</v>
      </c>
      <c r="K187" s="109" t="str">
        <f t="shared" si="93"/>
        <v>4043/4044</v>
      </c>
      <c r="L187" s="22" t="str">
        <f>VLOOKUP(A187,'Trips&amp;Operators'!$C$1:$G$99999,5,FALSE)</f>
        <v>WHITED DUSTIN</v>
      </c>
      <c r="M187" s="6">
        <f t="shared" si="94"/>
        <v>1.1030092595319729E-2</v>
      </c>
      <c r="N187" s="7">
        <f t="shared" si="90"/>
        <v>15.88333333726041</v>
      </c>
      <c r="O187" s="7"/>
      <c r="P187" s="7"/>
      <c r="Q187" s="23"/>
      <c r="R187" s="23"/>
      <c r="S187" s="35">
        <f t="shared" si="104"/>
        <v>1</v>
      </c>
      <c r="T187" s="50" t="str">
        <f t="shared" si="95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18:36:43-700',mode:absolute,to:'2016-12-04 20:55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7" s="52" t="str">
        <f t="shared" si="97"/>
        <v>N</v>
      </c>
      <c r="X187" s="177">
        <f t="shared" si="105"/>
        <v>1</v>
      </c>
      <c r="Y187" s="67">
        <f t="shared" si="98"/>
        <v>5.8625999999999996</v>
      </c>
      <c r="Z187" s="67">
        <f t="shared" si="106"/>
        <v>6.6299999999999998E-2</v>
      </c>
      <c r="AA187" s="67">
        <f t="shared" si="99"/>
        <v>5.7962999999999996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100"/>
        <v>1828-04</v>
      </c>
      <c r="AE187" s="91" t="str">
        <f t="shared" si="101"/>
        <v>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 &amp; 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</v>
      </c>
      <c r="AF187" s="88" t="str">
        <f t="shared" si="102"/>
        <v>"C:\Program Files (x86)\AstroGrep\AstroGrep.exe" /spath="%USERPROFILE%\AppData\Local\Temp\OnboardLogs" /stypes="app*4043*20161205*" /stext=" 02:.+((SYSTEM_STATE.+slice.+state.+changed )|(ment ac)|(multiple cpu faults)|(system.+state.+changed )|(\[timeout)|(PRM\|1\|D)|(kpr)|(kdp)|(\|lc)|(penalty))" /e /r /s</v>
      </c>
      <c r="AG187" s="1" t="str">
        <f t="shared" si="103"/>
        <v>NW</v>
      </c>
      <c r="AH187" s="92" t="str">
        <f t="shared" si="86"/>
        <v>"%USERPROFILE%\Documents\GitHub\eaglep3\Utilities\RefineRTDCRunTimes.py" --tripid 1828-04 --locoid 4043 --swversion DE.1.0.8.0 --startMP 300:58626 --initTime 2016-12-04T19:36:43 --startdatetime 2016-12-04T19:39:49 --delay 2 --endMP 204:663 --enddatetime 2016-12-04T19:55:42 --enforcementcount 0 &gt;&gt;C:\Users\stu\Documents\GitHub\eaglep3-reporting\EC\2016-12-04-refined-times.txt</v>
      </c>
      <c r="AI187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{"issue":{"subject":"","project_id":79,"tracker_id":40,"status_id":1,"priority_id":2,"assigned_to_id":23,"start_date":"2016-12-04","description":"","custom_fields":[{"id":1,"name":"Subdivision","value":"NW"},{"id":4,"name":"Milepost","value":"0.0663"},{"id":17,"name":"Train ID","value":"1828-04"},{"id":16,"name":"Locomotive ID","value":"4043"},{"id":130,"name":"Impact","value":""},{"id":150,"name":"Time of Event (Mountain Time)","value":"19:55:42"},{"id":151,"name":"Denver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625</v>
      </c>
      <c r="B188" s="7">
        <v>4044</v>
      </c>
      <c r="C188" s="22" t="s">
        <v>208</v>
      </c>
      <c r="D188" s="22" t="s">
        <v>735</v>
      </c>
      <c r="E188" s="13">
        <v>42708.831689814811</v>
      </c>
      <c r="F188" s="13">
        <v>42708.848101851851</v>
      </c>
      <c r="G188" s="7">
        <v>1</v>
      </c>
      <c r="H188" s="22" t="s">
        <v>736</v>
      </c>
      <c r="I188" s="13">
        <v>42708.857627314814</v>
      </c>
      <c r="J188" s="7">
        <v>0</v>
      </c>
      <c r="K188" s="109" t="str">
        <f t="shared" si="93"/>
        <v>4043/4044</v>
      </c>
      <c r="L188" s="22" t="str">
        <f>VLOOKUP(A188,'Trips&amp;Operators'!$C$1:$G$99999,5,FALSE)</f>
        <v>LOPES KIMBERLY</v>
      </c>
      <c r="M188" s="6">
        <f t="shared" si="94"/>
        <v>9.5254629632108845E-3</v>
      </c>
      <c r="N188" s="7">
        <f t="shared" si="90"/>
        <v>13.716666667023674</v>
      </c>
      <c r="O188" s="7"/>
      <c r="P188" s="7"/>
      <c r="Q188" s="23"/>
      <c r="R188" s="23"/>
      <c r="S188" s="35">
        <f t="shared" si="104"/>
        <v>1</v>
      </c>
      <c r="T188" s="50" t="str">
        <f t="shared" si="95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18:57:38-700',mode:absolute,to:'2016-12-04 21:34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8" s="52" t="str">
        <f t="shared" si="97"/>
        <v>N</v>
      </c>
      <c r="X188" s="177">
        <f t="shared" si="105"/>
        <v>1</v>
      </c>
      <c r="Y188" s="67">
        <f t="shared" si="98"/>
        <v>9.3600000000000003E-2</v>
      </c>
      <c r="Z188" s="67">
        <f t="shared" si="106"/>
        <v>5.8940999999999999</v>
      </c>
      <c r="AA188" s="67">
        <f t="shared" si="99"/>
        <v>5.8004999999999995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100"/>
        <v>1829-04</v>
      </c>
      <c r="AE188" s="91" t="str">
        <f t="shared" si="101"/>
        <v>aws s3 cp s3://rtdc.mdm.uploadarchive.raw/RTDC4044/ "%USERPROFILE%\AppData\Local\Temp\OnboardLogs"\RTDC4044\2016-12-04 --exclude "*" --recursive --include "*20161204*" &amp; "%USERPROFILE%\Documents\GitHub\mrs-test-scripts\Headless Mode &amp; Sideloading\WalkAndUnGZ.bat" "%USERPROFILE%\AppData\Local\Temp\OnboardLogs"\RTDC4044\2016-12-04 &amp; 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</v>
      </c>
      <c r="AF188" s="88" t="str">
        <f t="shared" si="102"/>
        <v>"C:\Program Files (x86)\AstroGrep\AstroGrep.exe" /spath="%USERPROFILE%\AppData\Local\Temp\OnboardLogs" /stypes="app*4044*20161205*" /stext=" 03:.+((SYSTEM_STATE.+slice.+state.+changed )|(ment ac)|(multiple cpu faults)|(system.+state.+changed )|(\[timeout)|(PRM\|1\|D)|(kpr)|(kdp)|(\|lc)|(penalty))" /e /r /s</v>
      </c>
      <c r="AG188" s="1" t="str">
        <f t="shared" si="103"/>
        <v>NW</v>
      </c>
      <c r="AH188" s="92" t="str">
        <f t="shared" si="86"/>
        <v>"%USERPROFILE%\Documents\GitHub\eaglep3\Utilities\RefineRTDCRunTimes.py" --tripid 1829-04 --locoid 4044 --swversion DE.1.0.8.0 --startMP 204:936 --initTime 2016-12-04T19:57:38 --startdatetime 2016-12-04T20:21:16 --delay 1 --endMP 300:58941 --enddatetime 2016-12-04T20:34:59 --enforcementcount 0 &gt;&gt;C:\Users\stu\Documents\GitHub\eaglep3-reporting\EC\2016-12-04-refined-times.txt</v>
      </c>
      <c r="AI188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{"issue":{"subject":"","project_id":79,"tracker_id":40,"status_id":1,"priority_id":2,"assigned_to_id":23,"start_date":"2016-12-04","description":"","custom_fields":[{"id":1,"name":"Subdivision","value":"NW"},{"id":4,"name":"Milepost","value":"5.8941"},{"id":17,"name":"Train ID","value":"1829-04"},{"id":16,"name":"Locomotive ID","value":"4044"},{"id":130,"name":"Impact","value":""},{"id":150,"name":"Time of Event (Mountain Time)","value":"20:34:59"},{"id":151,"name":"Denver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628</v>
      </c>
      <c r="B189" s="7">
        <v>4043</v>
      </c>
      <c r="C189" s="22" t="s">
        <v>208</v>
      </c>
      <c r="D189" s="22" t="s">
        <v>738</v>
      </c>
      <c r="E189" s="13">
        <v>42708.858564814815</v>
      </c>
      <c r="F189" s="13">
        <v>42708.859895833331</v>
      </c>
      <c r="G189" s="7">
        <v>1</v>
      </c>
      <c r="H189" s="22" t="s">
        <v>431</v>
      </c>
      <c r="I189" s="13">
        <v>42708.871678240743</v>
      </c>
      <c r="J189" s="7">
        <v>0</v>
      </c>
      <c r="K189" s="109" t="str">
        <f t="shared" si="93"/>
        <v>4043/4044</v>
      </c>
      <c r="L189" s="22" t="str">
        <f>VLOOKUP(A189,'Trips&amp;Operators'!$C$1:$G$99999,5,FALSE)</f>
        <v>LOPES KIMBERLY</v>
      </c>
      <c r="M189" s="6">
        <f t="shared" si="94"/>
        <v>1.1782407411374152E-2</v>
      </c>
      <c r="N189" s="7">
        <f t="shared" ref="N189:P210" si="107">24*60*SUM($M189:$M189)</f>
        <v>16.966666672378778</v>
      </c>
      <c r="O189" s="7"/>
      <c r="P189" s="7"/>
      <c r="Q189" s="23"/>
      <c r="R189" s="23"/>
      <c r="S189" s="35">
        <f t="shared" si="104"/>
        <v>1</v>
      </c>
      <c r="T189" s="50" t="str">
        <f t="shared" si="95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19:36:20-700',mode:absolute,to:'2016-12-04 21:55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9" s="52" t="str">
        <f t="shared" si="97"/>
        <v>N</v>
      </c>
      <c r="X189" s="177">
        <f t="shared" si="105"/>
        <v>1</v>
      </c>
      <c r="Y189" s="67">
        <f t="shared" si="98"/>
        <v>5.8628</v>
      </c>
      <c r="Z189" s="67">
        <f t="shared" si="106"/>
        <v>6.8900000000000003E-2</v>
      </c>
      <c r="AA189" s="67">
        <f t="shared" si="99"/>
        <v>5.7938999999999998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100"/>
        <v>1830-04</v>
      </c>
      <c r="AE189" s="91" t="str">
        <f t="shared" si="101"/>
        <v>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 &amp; 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</v>
      </c>
      <c r="AF189" s="88" t="str">
        <f t="shared" si="102"/>
        <v>"C:\Program Files (x86)\AstroGrep\AstroGrep.exe" /spath="%USERPROFILE%\AppData\Local\Temp\OnboardLogs" /stypes="app*4043*20161205*" /stext=" 03:.+((SYSTEM_STATE.+slice.+state.+changed )|(ment ac)|(multiple cpu faults)|(system.+state.+changed )|(\[timeout)|(PRM\|1\|D)|(kpr)|(kdp)|(\|lc)|(penalty))" /e /r /s</v>
      </c>
      <c r="AG189" s="1" t="str">
        <f t="shared" si="103"/>
        <v>NW</v>
      </c>
      <c r="AH189" s="92" t="str">
        <f t="shared" si="86"/>
        <v>"%USERPROFILE%\Documents\GitHub\eaglep3\Utilities\RefineRTDCRunTimes.py" --tripid 1830-04 --locoid 4043 --swversion DE.1.0.8.0 --startMP 300:58628 --initTime 2016-12-04T20:36:20 --startdatetime 2016-12-04T20:38:15 --delay 1 --endMP 204:689 --enddatetime 2016-12-04T20:55:13 --enforcementcount 0 &gt;&gt;C:\Users\stu\Documents\GitHub\eaglep3-reporting\EC\2016-12-04-refined-times.txt</v>
      </c>
      <c r="AI189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{"issue":{"subject":"","project_id":79,"tracker_id":40,"status_id":1,"priority_id":2,"assigned_to_id":23,"start_date":"2016-12-04","description":"","custom_fields":[{"id":1,"name":"Subdivision","value":"NW"},{"id":4,"name":"Milepost","value":"0.0689"},{"id":17,"name":"Train ID","value":"1830-04"},{"id":16,"name":"Locomotive ID","value":"4043"},{"id":130,"name":"Impact","value":""},{"id":150,"name":"Time of Event (Mountain Time)","value":"20:55:13"},{"id":151,"name":"Denver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s="21" customFormat="1" x14ac:dyDescent="0.25">
      <c r="A190" s="37" t="s">
        <v>631</v>
      </c>
      <c r="B190" s="7">
        <v>4044</v>
      </c>
      <c r="C190" s="22" t="s">
        <v>208</v>
      </c>
      <c r="D190" s="22" t="s">
        <v>385</v>
      </c>
      <c r="E190" s="13">
        <v>42708.873171296298</v>
      </c>
      <c r="F190" s="13">
        <v>42708.902905092589</v>
      </c>
      <c r="G190" s="7">
        <v>1</v>
      </c>
      <c r="H190" s="22" t="s">
        <v>388</v>
      </c>
      <c r="I190" s="13">
        <v>42708.913645833331</v>
      </c>
      <c r="J190" s="7">
        <v>0</v>
      </c>
      <c r="K190" s="109" t="str">
        <f t="shared" si="93"/>
        <v>4043/4044</v>
      </c>
      <c r="L190" s="22" t="str">
        <f>VLOOKUP(A190,'Trips&amp;Operators'!$C$1:$G$99999,5,FALSE)</f>
        <v>LOPES KIMBERLY</v>
      </c>
      <c r="M190" s="6">
        <f t="shared" si="94"/>
        <v>1.0740740741312038E-2</v>
      </c>
      <c r="N190" s="7">
        <f t="shared" si="107"/>
        <v>15.466666667489335</v>
      </c>
      <c r="O190" s="7"/>
      <c r="P190" s="7"/>
      <c r="Q190" s="23"/>
      <c r="R190" s="23"/>
      <c r="S190" s="35">
        <f t="shared" si="104"/>
        <v>1</v>
      </c>
      <c r="T190" s="50" t="str">
        <f t="shared" si="95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19:57:22-700',mode:absolute,to:'2016-12-04 22:55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0" s="52" t="str">
        <f t="shared" si="97"/>
        <v>N</v>
      </c>
      <c r="X190" s="177">
        <f t="shared" si="105"/>
        <v>1</v>
      </c>
      <c r="Y190" s="67">
        <f t="shared" si="98"/>
        <v>9.74E-2</v>
      </c>
      <c r="Z190" s="67">
        <f t="shared" si="106"/>
        <v>5.8930999999999996</v>
      </c>
      <c r="AA190" s="67">
        <f t="shared" si="99"/>
        <v>5.7956999999999992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100"/>
        <v>1831-04</v>
      </c>
      <c r="AE190" s="91" t="str">
        <f t="shared" si="101"/>
        <v>aws s3 cp s3://rtdc.mdm.uploadarchive.raw/RTDC4044/ "%USERPROFILE%\AppData\Local\Temp\OnboardLogs"\RTDC4044\2016-12-04 --exclude "*" --recursive --include "*20161204*" &amp; "%USERPROFILE%\Documents\GitHub\mrs-test-scripts\Headless Mode &amp; Sideloading\WalkAndUnGZ.bat" "%USERPROFILE%\AppData\Local\Temp\OnboardLogs"\RTDC4044\2016-12-04 &amp; 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</v>
      </c>
      <c r="AF190" s="88" t="str">
        <f t="shared" si="102"/>
        <v>"C:\Program Files (x86)\AstroGrep\AstroGrep.exe" /spath="%USERPROFILE%\AppData\Local\Temp\OnboardLogs" /stypes="app*4044*20161205*" /stext=" 04:.+((SYSTEM_STATE.+slice.+state.+changed )|(ment ac)|(multiple cpu faults)|(system.+state.+changed )|(\[timeout)|(PRM\|1\|D)|(kpr)|(kdp)|(\|lc)|(penalty))" /e /r /s</v>
      </c>
      <c r="AG190" s="1" t="str">
        <f t="shared" si="103"/>
        <v>NW</v>
      </c>
      <c r="AH190" s="92" t="str">
        <f t="shared" si="86"/>
        <v>"%USERPROFILE%\Documents\GitHub\eaglep3\Utilities\RefineRTDCRunTimes.py" --tripid 1831-04 --locoid 4044 --swversion DE.1.0.8.0 --startMP 204:974 --initTime 2016-12-04T20:57:22 --startdatetime 2016-12-04T21:40:11 --delay 1 --endMP 300:58931 --enddatetime 2016-12-04T21:55:39 --enforcementcount 0 &gt;&gt;C:\Users\stu\Documents\GitHub\eaglep3-reporting\EC\2016-12-04-refined-times.txt</v>
      </c>
      <c r="AI190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{"issue":{"subject":"","project_id":79,"tracker_id":40,"status_id":1,"priority_id":2,"assigned_to_id":23,"start_date":"2016-12-04","description":"","custom_fields":[{"id":1,"name":"Subdivision","value":"NW"},{"id":4,"name":"Milepost","value":"5.8931"},{"id":17,"name":"Train ID","value":"1831-04"},{"id":16,"name":"Locomotive ID","value":"4044"},{"id":130,"name":"Impact","value":""},{"id":150,"name":"Time of Event (Mountain Time)","value":"21:55:39"},{"id":151,"name":"Denver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634</v>
      </c>
      <c r="B191" s="7">
        <v>4043</v>
      </c>
      <c r="C191" s="22" t="s">
        <v>208</v>
      </c>
      <c r="D191" s="22" t="s">
        <v>384</v>
      </c>
      <c r="E191" s="13">
        <v>42708.901620370372</v>
      </c>
      <c r="F191" s="13">
        <v>42708.902905092589</v>
      </c>
      <c r="G191" s="7">
        <v>1</v>
      </c>
      <c r="H191" s="22" t="s">
        <v>739</v>
      </c>
      <c r="I191" s="13">
        <v>42708.913645833331</v>
      </c>
      <c r="J191" s="7">
        <v>0</v>
      </c>
      <c r="K191" s="109" t="str">
        <f t="shared" si="93"/>
        <v>4043/4044</v>
      </c>
      <c r="L191" s="22" t="str">
        <f>VLOOKUP(A191,'Trips&amp;Operators'!$C$1:$G$99999,5,FALSE)</f>
        <v>LOPES KIMBERLY</v>
      </c>
      <c r="M191" s="6">
        <f t="shared" si="94"/>
        <v>1.0740740741312038E-2</v>
      </c>
      <c r="N191" s="7">
        <f t="shared" si="107"/>
        <v>15.466666667489335</v>
      </c>
      <c r="O191" s="7"/>
      <c r="P191" s="7"/>
      <c r="Q191" s="23"/>
      <c r="R191" s="23"/>
      <c r="S191" s="35">
        <f t="shared" si="104"/>
        <v>1</v>
      </c>
      <c r="T191" s="50" t="str">
        <f t="shared" si="95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20:38:20-700',mode:absolute,to:'2016-12-04 22:55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1" s="52" t="str">
        <f t="shared" si="97"/>
        <v>N</v>
      </c>
      <c r="X191" s="177">
        <f t="shared" si="105"/>
        <v>1</v>
      </c>
      <c r="Y191" s="67">
        <f t="shared" si="98"/>
        <v>5.8625999999999996</v>
      </c>
      <c r="Z191" s="67">
        <f t="shared" si="106"/>
        <v>6.7299999999999999E-2</v>
      </c>
      <c r="AA191" s="67">
        <f t="shared" si="99"/>
        <v>5.7952999999999992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100"/>
        <v>1832-04</v>
      </c>
      <c r="AE191" s="91" t="str">
        <f t="shared" si="101"/>
        <v>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 &amp; 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</v>
      </c>
      <c r="AF191" s="88" t="str">
        <f t="shared" si="102"/>
        <v>"C:\Program Files (x86)\AstroGrep\AstroGrep.exe" /spath="%USERPROFILE%\AppData\Local\Temp\OnboardLogs" /stypes="app*4043*20161205*" /stext=" 04:.+((SYSTEM_STATE.+slice.+state.+changed )|(ment ac)|(multiple cpu faults)|(system.+state.+changed )|(\[timeout)|(PRM\|1\|D)|(kpr)|(kdp)|(\|lc)|(penalty))" /e /r /s</v>
      </c>
      <c r="AG191" s="1" t="str">
        <f t="shared" si="103"/>
        <v>NW</v>
      </c>
      <c r="AH191" s="92" t="str">
        <f t="shared" si="86"/>
        <v>"%USERPROFILE%\Documents\GitHub\eaglep3\Utilities\RefineRTDCRunTimes.py" --tripid 1832-04 --locoid 4043 --swversion DE.1.0.8.0 --startMP 300:58626 --initTime 2016-12-04T21:38:20 --startdatetime 2016-12-04T21:40:11 --delay 1 --endMP 204:673 --enddatetime 2016-12-04T21:55:39 --enforcementcount 0 &gt;&gt;C:\Users\stu\Documents\GitHub\eaglep3-reporting\EC\2016-12-04-refined-times.txt</v>
      </c>
      <c r="AI191" s="119" t="str">
        <f t="shared" si="87"/>
        <v>echo {"issue":{"subject":"","project_id":79,"tracker_id":40,"status_id":1,"priority_id":2,"assigned_to_id":23,"start_date":"2016-12-04","description":"","custom_fields":[{"id":1,"name":"Subdivision","value":"NW"},{"id":4,"name":"Milepost","value":"0.0673"},{"id":17,"name":"Train ID","value":"1832-04"},{"id":16,"name":"Locomotive ID","value":"4043"},{"id":130,"name":"Impact","value":""},{"id":150,"name":"Time of Event (Mountain Time)","value":"21:55:39"},{"id":151,"name":"Denver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458</v>
      </c>
      <c r="B192" s="7">
        <v>4021</v>
      </c>
      <c r="C192" s="22" t="s">
        <v>208</v>
      </c>
      <c r="D192" s="22" t="s">
        <v>771</v>
      </c>
      <c r="E192" s="13">
        <v>42708.119108796294</v>
      </c>
      <c r="F192" s="13">
        <v>42708.121192129627</v>
      </c>
      <c r="G192" s="7">
        <v>2</v>
      </c>
      <c r="H192" s="22" t="s">
        <v>215</v>
      </c>
      <c r="I192" s="13">
        <v>42708.127372685187</v>
      </c>
      <c r="J192" s="7">
        <v>0</v>
      </c>
      <c r="K192" s="109" t="str">
        <f t="shared" si="93"/>
        <v>4021/4022</v>
      </c>
      <c r="L192" s="22" t="str">
        <f>VLOOKUP(A192,'Trips&amp;Operators'!$C$1:$G$99999,5,FALSE)</f>
        <v>KILLION DAVID</v>
      </c>
      <c r="M192" s="6">
        <f t="shared" si="94"/>
        <v>6.180555559694767E-3</v>
      </c>
      <c r="N192" s="7">
        <f t="shared" si="107"/>
        <v>8.9000000059604645</v>
      </c>
      <c r="O192" s="7"/>
      <c r="P192" s="7"/>
      <c r="Q192" s="23"/>
      <c r="R192" s="23"/>
      <c r="S192" s="35">
        <f t="shared" si="104"/>
        <v>1</v>
      </c>
      <c r="T192" s="50" t="str">
        <f t="shared" si="95"/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01:51:31-700',mode:absolute,to:'2016-12-04 04:03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2" s="52" t="str">
        <f t="shared" si="97"/>
        <v>Y</v>
      </c>
      <c r="X192" s="177">
        <f t="shared" si="105"/>
        <v>-1530</v>
      </c>
      <c r="Y192" s="67">
        <f t="shared" si="98"/>
        <v>2.3195999999999999</v>
      </c>
      <c r="Z192" s="67">
        <f t="shared" si="106"/>
        <v>1.4999999999999999E-2</v>
      </c>
      <c r="AA192" s="67">
        <f t="shared" si="99"/>
        <v>2.3045999999999998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100"/>
        <v>0302-04</v>
      </c>
      <c r="AE192" s="91" t="str">
        <f t="shared" si="101"/>
        <v>aws s3 cp s3://rtdc.mdm.uploadarchive.raw/RTDC4021/ "%USERPROFILE%\AppData\Local\Temp\OnboardLogs"\RTDC4021\2016-12-04 --exclude "*" --recursive --include "*20161204*" &amp; "%USERPROFILE%\Documents\GitHub\mrs-test-scripts\Headless Mode &amp; Sideloading\WalkAndUnGZ.bat" "%USERPROFILE%\AppData\Local\Temp\OnboardLogs"\RTDC4021\2016-12-04 &amp; aws s3 cp s3://rtdc.mdm.uploadarchive.raw/RTDC4021/ "%USERPROFILE%\AppData\Local\Temp\OnboardLogs"\RTDC4021\2016-12-05 --exclude "*" --recursive --include "*20161205*" &amp; "%USERPROFILE%\Documents\GitHub\mrs-test-scripts\Headless Mode &amp; Sideloading\WalkAndUnGZ.bat" "%USERPROFILE%\AppData\Local\Temp\OnboardLogs"\RTDC4021\2016-12-05</v>
      </c>
      <c r="AF192" s="88" t="str">
        <f t="shared" si="102"/>
        <v>"C:\Program Files (x86)\AstroGrep\AstroGrep.exe" /spath="%USERPROFILE%\AppData\Local\Temp\OnboardLogs" /stypes="app*4021*20161204*" /stext=" 10:.+((SYSTEM_STATE.+slice.+state.+changed )|(ment ac)|(multiple cpu faults)|(system.+state.+changed )|(\[timeout)|(PRM\|1\|D)|(kpr)|(kdp)|(\|lc)|(penalty))" /e /r /s</v>
      </c>
      <c r="AG192" s="1" t="str">
        <f t="shared" si="103"/>
        <v>Other</v>
      </c>
      <c r="AH192" s="92" t="str">
        <f t="shared" si="86"/>
        <v>"%USERPROFILE%\Documents\GitHub\eaglep3\Utilities\RefineRTDCRunTimes.py" --tripid 302-04 --locoid 4021 --swversion DE.1.0.8.0 --startMP 300:23196 --initTime 2016-12-04T02:51:31 --startdatetime 2016-12-04T02:54:31 --delay 2 --endMP 204:150 --enddatetime 2016-12-04T03:03:25 --enforcementcount 0 &gt;&gt;C:\Users\stu\Documents\GitHub\eaglep3-reporting\EC\2016-12-04-refined-times.txt</v>
      </c>
      <c r="AI192" s="119" t="str">
        <f t="shared" si="87"/>
        <v>echo {"issue":{"subject":"","project_id":79,"tracker_id":40,"status_id":1,"priority_id":2,"assigned_to_id":23,"start_date":"2016-12-04","description":"","custom_fields":[{"id":1,"name":"Subdivision","value":"Other"},{"id":4,"name":"Milepost","value":"0.015"},{"id":17,"name":"Train ID","value":"302-04"},{"id":16,"name":"Locomotive ID","value":"4021"},{"id":130,"name":"Impact","value":""},{"id":150,"name":"Time of Event (Mountain Time)","value":"03:03:25"},{"id":151,"name":"Denver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38" x14ac:dyDescent="0.25">
      <c r="A193" s="37" t="s">
        <v>613</v>
      </c>
      <c r="B193" s="7">
        <v>4020</v>
      </c>
      <c r="C193" s="22" t="s">
        <v>208</v>
      </c>
      <c r="D193" s="22" t="s">
        <v>772</v>
      </c>
      <c r="E193" s="13">
        <v>42708.777094907404</v>
      </c>
      <c r="F193" s="13">
        <v>25568.708333333332</v>
      </c>
      <c r="G193" s="7">
        <v>1</v>
      </c>
      <c r="H193" s="22" t="s">
        <v>773</v>
      </c>
      <c r="I193" s="13">
        <v>25568.708333333332</v>
      </c>
      <c r="J193" s="7">
        <v>0</v>
      </c>
      <c r="K193" s="109" t="str">
        <f t="shared" si="93"/>
        <v>4019/4020</v>
      </c>
      <c r="L193" s="22" t="str">
        <f>VLOOKUP(A193,'Trips&amp;Operators'!$C$1:$G$99999,5,FALSE)</f>
        <v>MOSES BRADLEY</v>
      </c>
      <c r="M193" s="6">
        <f t="shared" si="94"/>
        <v>0</v>
      </c>
      <c r="N193" s="7">
        <f t="shared" si="107"/>
        <v>0</v>
      </c>
      <c r="O193" s="7"/>
      <c r="P193" s="7"/>
      <c r="Q193" s="23"/>
      <c r="R193" s="23"/>
      <c r="S193" s="35">
        <f t="shared" si="104"/>
        <v>1</v>
      </c>
      <c r="T193" s="50" t="str">
        <f t="shared" si="95"/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17:39:01-700',mode:absolute,to:'1969-12-31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93" s="52" t="str">
        <f t="shared" si="97"/>
        <v>Y</v>
      </c>
      <c r="X193" s="177">
        <f t="shared" si="105"/>
        <v>1</v>
      </c>
      <c r="Y193" s="67">
        <f t="shared" si="98"/>
        <v>3.9399999999999998E-2</v>
      </c>
      <c r="Z193" s="67">
        <f t="shared" si="106"/>
        <v>2.3306</v>
      </c>
      <c r="AA193" s="67">
        <f t="shared" si="99"/>
        <v>2.2911999999999999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100"/>
        <v>0303-04</v>
      </c>
      <c r="AE193" s="91" t="str">
        <f t="shared" si="101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193" s="88" t="str">
        <f t="shared" si="102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193" s="1" t="str">
        <f t="shared" si="103"/>
        <v>Other</v>
      </c>
      <c r="AH193" s="92" t="str">
        <f t="shared" si="86"/>
        <v>"%USERPROFILE%\Documents\GitHub\eaglep3\Utilities\RefineRTDCRunTimes.py" --tripid 303-04 --locoid 4020 --swversion DE.1.0.8.0 --startMP 204:394 --initTime 2016-12-04T18:39:01 --startdatetime 1969-12-31T17:00:00 --delay 1 --endMP 300:23306 --enddatetime 1969-12-31T17:00:00 --enforcementcount 0 &gt;&gt;C:\Users\stu\Documents\GitHub\eaglep3-reporting\EC\2016-12-04-refined-times.txt</v>
      </c>
      <c r="AI193" s="119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ID","value":"303-04"},{"id":16,"name":"Locomotive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38" x14ac:dyDescent="0.25">
      <c r="A194" s="37" t="s">
        <v>439</v>
      </c>
      <c r="B194" s="7">
        <v>4037</v>
      </c>
      <c r="C194" s="22" t="s">
        <v>208</v>
      </c>
      <c r="D194" s="22" t="s">
        <v>774</v>
      </c>
      <c r="E194" s="13">
        <v>42708.140335648146</v>
      </c>
      <c r="F194" s="13">
        <v>42708.141574074078</v>
      </c>
      <c r="G194" s="7">
        <v>1</v>
      </c>
      <c r="H194" s="22" t="s">
        <v>381</v>
      </c>
      <c r="I194" s="13">
        <v>42708.147662037038</v>
      </c>
      <c r="J194" s="7">
        <v>0</v>
      </c>
      <c r="K194" s="109" t="str">
        <f t="shared" si="93"/>
        <v>4037/4038</v>
      </c>
      <c r="L194" s="22" t="str">
        <f>VLOOKUP(A194,'Trips&amp;Operators'!$C$1:$G$99999,5,FALSE)</f>
        <v>ACKERMAN JARED</v>
      </c>
      <c r="M194" s="6">
        <f t="shared" si="94"/>
        <v>6.0879629600094631E-3</v>
      </c>
      <c r="N194" s="7">
        <f t="shared" si="107"/>
        <v>8.7666666624136269</v>
      </c>
      <c r="O194" s="7"/>
      <c r="P194" s="7"/>
      <c r="Q194" s="23"/>
      <c r="R194" s="23"/>
      <c r="S194" s="35">
        <f t="shared" si="104"/>
        <v>1</v>
      </c>
      <c r="T194" s="50" t="str">
        <f t="shared" si="95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02:22:05-700',mode:absolute,to:'2016-12-04 04:32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94" s="52" t="str">
        <f t="shared" si="97"/>
        <v>Y</v>
      </c>
      <c r="X194" s="177">
        <f t="shared" si="105"/>
        <v>1</v>
      </c>
      <c r="Y194" s="67">
        <f t="shared" si="98"/>
        <v>2.234</v>
      </c>
      <c r="Z194" s="67">
        <f t="shared" si="106"/>
        <v>1.14E-2</v>
      </c>
      <c r="AA194" s="67">
        <f t="shared" si="99"/>
        <v>2.2225999999999999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100"/>
        <v>0304-04</v>
      </c>
      <c r="AE194" s="91" t="str">
        <f t="shared" si="101"/>
        <v>aws s3 cp s3://rtdc.mdm.uploadarchive.raw/RTDC4037/ "%USERPROFILE%\AppData\Local\Temp\OnboardLogs"\RTDC4037\2016-12-04 --exclude "*" --recursive --include "*20161204*" &amp; "%USERPROFILE%\Documents\GitHub\mrs-test-scripts\Headless Mode &amp; Sideloading\WalkAndUnGZ.bat" "%USERPROFILE%\AppData\Local\Temp\OnboardLogs"\RTDC4037\2016-12-04 &amp; 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</v>
      </c>
      <c r="AF194" s="88" t="str">
        <f t="shared" si="102"/>
        <v>"C:\Program Files (x86)\AstroGrep\AstroGrep.exe" /spath="%USERPROFILE%\AppData\Local\Temp\OnboardLogs" /stypes="app*4037*20161204*" /stext=" 10:.+((SYSTEM_STATE.+slice.+state.+changed )|(ment ac)|(multiple cpu faults)|(system.+state.+changed )|(\[timeout)|(PRM\|1\|D)|(kpr)|(kdp)|(\|lc)|(penalty))" /e /r /s</v>
      </c>
      <c r="AG194" s="1" t="str">
        <f t="shared" si="103"/>
        <v>Other</v>
      </c>
      <c r="AH194" s="92" t="str">
        <f t="shared" si="86"/>
        <v>"%USERPROFILE%\Documents\GitHub\eaglep3\Utilities\RefineRTDCRunTimes.py" --tripid 304-04 --locoid 4037 --swversion DE.1.0.8.0 --startMP 300:22340 --initTime 2016-12-04T03:22:05 --startdatetime 2016-12-04T03:23:52 --delay 1 --endMP 204:114 --enddatetime 2016-12-04T03:32:38 --enforcementcount 0 &gt;&gt;C:\Users\stu\Documents\GitHub\eaglep3-reporting\EC\2016-12-04-refined-times.txt</v>
      </c>
      <c r="AI194" s="119" t="str">
        <f t="shared" si="87"/>
        <v>echo {"issue":{"subject":"","project_id":79,"tracker_id":40,"status_id":1,"priority_id":2,"assigned_to_id":23,"start_date":"2016-12-04","description":"","custom_fields":[{"id":1,"name":"Subdivision","value":"Other"},{"id":4,"name":"Milepost","value":"0.0114"},{"id":17,"name":"Train ID","value":"304-04"},{"id":16,"name":"Locomotive ID","value":"4037"},{"id":130,"name":"Impact","value":""},{"id":150,"name":"Time of Event (Mountain Time)","value":"03:32:38"},{"id":151,"name":"Denver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38" x14ac:dyDescent="0.25">
      <c r="A195" s="37" t="s">
        <v>618</v>
      </c>
      <c r="B195" s="7">
        <v>4042</v>
      </c>
      <c r="C195" s="22" t="s">
        <v>208</v>
      </c>
      <c r="D195" s="22" t="s">
        <v>775</v>
      </c>
      <c r="E195" s="13">
        <v>42708.800671296296</v>
      </c>
      <c r="F195" s="13">
        <v>42708.803263888891</v>
      </c>
      <c r="G195" s="7">
        <v>1</v>
      </c>
      <c r="H195" s="22" t="s">
        <v>776</v>
      </c>
      <c r="I195" s="13">
        <v>42708.810104166667</v>
      </c>
      <c r="J195" s="7">
        <v>0</v>
      </c>
      <c r="K195" s="109" t="str">
        <f t="shared" si="93"/>
        <v>4041/4042</v>
      </c>
      <c r="L195" s="22" t="str">
        <f>VLOOKUP(A195,'Trips&amp;Operators'!$C$1:$G$99999,5,FALSE)</f>
        <v>YOUNG ELIZABETH</v>
      </c>
      <c r="M195" s="6">
        <f t="shared" si="94"/>
        <v>6.8402777760638855E-3</v>
      </c>
      <c r="N195" s="7">
        <f t="shared" si="107"/>
        <v>9.8499999975319952</v>
      </c>
      <c r="O195" s="7"/>
      <c r="P195" s="7"/>
      <c r="Q195" s="23"/>
      <c r="R195" s="23"/>
      <c r="S195" s="35">
        <f t="shared" si="104"/>
        <v>1</v>
      </c>
      <c r="T195" s="50" t="str">
        <f t="shared" si="95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18:12:58-700',mode:absolute,to:'2016-12-04 20:26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5" s="52" t="str">
        <f t="shared" si="97"/>
        <v>Y</v>
      </c>
      <c r="X195" s="177">
        <f t="shared" si="105"/>
        <v>1</v>
      </c>
      <c r="Y195" s="67">
        <f t="shared" si="98"/>
        <v>5.4600000000000003E-2</v>
      </c>
      <c r="Z195" s="67">
        <f t="shared" si="106"/>
        <v>2.2856000000000001</v>
      </c>
      <c r="AA195" s="67">
        <f t="shared" si="99"/>
        <v>2.2309999999999999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100"/>
        <v>0305-04</v>
      </c>
      <c r="AE195" s="91" t="str">
        <f t="shared" si="101"/>
        <v>aws s3 cp s3://rtdc.mdm.uploadarchive.raw/RTDC4042/ "%USERPROFILE%\AppData\Local\Temp\OnboardLogs"\RTDC4042\2016-12-04 --exclude "*" --recursive --include "*20161204*" &amp; "%USERPROFILE%\Documents\GitHub\mrs-test-scripts\Headless Mode &amp; Sideloading\WalkAndUnGZ.bat" "%USERPROFILE%\AppData\Local\Temp\OnboardLogs"\RTDC4042\2016-12-04 &amp; aws s3 cp s3://rtdc.mdm.uploadarchive.raw/RTDC4042/ "%USERPROFILE%\AppData\Local\Temp\OnboardLogs"\RTDC4042\2016-12-05 --exclude "*" --recursive --include "*20161205*" &amp; "%USERPROFILE%\Documents\GitHub\mrs-test-scripts\Headless Mode &amp; Sideloading\WalkAndUnGZ.bat" "%USERPROFILE%\AppData\Local\Temp\OnboardLogs"\RTDC4042\2016-12-05</v>
      </c>
      <c r="AF195" s="88" t="str">
        <f t="shared" si="102"/>
        <v>"C:\Program Files (x86)\AstroGrep\AstroGrep.exe" /spath="%USERPROFILE%\AppData\Local\Temp\OnboardLogs" /stypes="app*4042*20161205*" /stext=" 02:.+((SYSTEM_STATE.+slice.+state.+changed )|(ment ac)|(multiple cpu faults)|(system.+state.+changed )|(\[timeout)|(PRM\|1\|D)|(kpr)|(kdp)|(\|lc)|(penalty))" /e /r /s</v>
      </c>
      <c r="AG195" s="1" t="str">
        <f t="shared" si="103"/>
        <v>Other</v>
      </c>
      <c r="AH195" s="92" t="str">
        <f t="shared" si="86"/>
        <v>"%USERPROFILE%\Documents\GitHub\eaglep3\Utilities\RefineRTDCRunTimes.py" --tripid 305-04 --locoid 4042 --swversion DE.1.0.8.0 --startMP 204:546 --initTime 2016-12-04T19:12:58 --startdatetime 2016-12-04T19:16:42 --delay 1 --endMP 300:22856 --enddatetime 2016-12-04T19:26:33 --enforcementcount 0 &gt;&gt;C:\Users\stu\Documents\GitHub\eaglep3-reporting\EC\2016-12-04-refined-times.txt</v>
      </c>
      <c r="AI195" s="119" t="str">
        <f t="shared" si="87"/>
        <v>echo {"issue":{"subject":"","project_id":79,"tracker_id":40,"status_id":1,"priority_id":2,"assigned_to_id":23,"start_date":"2016-12-04","description":"","custom_fields":[{"id":1,"name":"Subdivision","value":"Other"},{"id":4,"name":"Milepost","value":"2.2856"},{"id":17,"name":"Train ID","value":"305-04"},{"id":16,"name":"Locomotive ID","value":"4042"},{"id":130,"name":"Impact","value":""},{"id":150,"name":"Time of Event (Mountain Time)","value":"19:26:33"},{"id":151,"name":"Denver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38" x14ac:dyDescent="0.25">
      <c r="A196" s="37" t="s">
        <v>440</v>
      </c>
      <c r="B196" s="7">
        <v>4041</v>
      </c>
      <c r="C196" s="22" t="s">
        <v>208</v>
      </c>
      <c r="D196" s="22" t="s">
        <v>777</v>
      </c>
      <c r="E196" s="13">
        <v>42708.165150462963</v>
      </c>
      <c r="F196" s="13">
        <v>42708.166562500002</v>
      </c>
      <c r="G196" s="7">
        <v>1</v>
      </c>
      <c r="H196" s="22" t="s">
        <v>192</v>
      </c>
      <c r="I196" s="13">
        <v>42708.171944444446</v>
      </c>
      <c r="J196" s="7">
        <v>0</v>
      </c>
      <c r="K196" s="109" t="str">
        <f t="shared" si="93"/>
        <v>4041/4042</v>
      </c>
      <c r="L196" s="22" t="str">
        <f>VLOOKUP(A196,'Trips&amp;Operators'!$C$1:$G$99999,5,FALSE)</f>
        <v>MAELZER KURT</v>
      </c>
      <c r="M196" s="6">
        <f t="shared" si="94"/>
        <v>5.3819444437976927E-3</v>
      </c>
      <c r="N196" s="7">
        <f t="shared" si="107"/>
        <v>7.7499999990686774</v>
      </c>
      <c r="O196" s="7"/>
      <c r="P196" s="7"/>
      <c r="Q196" s="23"/>
      <c r="R196" s="23"/>
      <c r="S196" s="35">
        <f t="shared" si="104"/>
        <v>1</v>
      </c>
      <c r="T196" s="50" t="str">
        <f t="shared" si="95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02:57:49-700',mode:absolute,to:'2016-12-04 05:07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6" s="52" t="str">
        <f t="shared" si="97"/>
        <v>Y</v>
      </c>
      <c r="X196" s="177">
        <f t="shared" si="105"/>
        <v>1</v>
      </c>
      <c r="Y196" s="67">
        <f t="shared" si="98"/>
        <v>2.1023999999999998</v>
      </c>
      <c r="Z196" s="67">
        <f t="shared" si="106"/>
        <v>1.49E-2</v>
      </c>
      <c r="AA196" s="67">
        <f t="shared" si="99"/>
        <v>2.0874999999999999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100"/>
        <v>0306-04</v>
      </c>
      <c r="AE196" s="91" t="str">
        <f t="shared" si="101"/>
        <v>aws s3 cp s3://rtdc.mdm.uploadarchive.raw/RTDC4041/ "%USERPROFILE%\AppData\Local\Temp\OnboardLogs"\RTDC4041\2016-12-04 --exclude "*" --recursive --include "*20161204*" &amp; "%USERPROFILE%\Documents\GitHub\mrs-test-scripts\Headless Mode &amp; Sideloading\WalkAndUnGZ.bat" "%USERPROFILE%\AppData\Local\Temp\OnboardLogs"\RTDC4041\2016-12-04 &amp; aws s3 cp s3://rtdc.mdm.uploadarchive.raw/RTDC4041/ "%USERPROFILE%\AppData\Local\Temp\OnboardLogs"\RTDC4041\2016-12-05 --exclude "*" --recursive --include "*20161205*" &amp; "%USERPROFILE%\Documents\GitHub\mrs-test-scripts\Headless Mode &amp; Sideloading\WalkAndUnGZ.bat" "%USERPROFILE%\AppData\Local\Temp\OnboardLogs"\RTDC4041\2016-12-05</v>
      </c>
      <c r="AF196" s="88" t="str">
        <f t="shared" si="102"/>
        <v>"C:\Program Files (x86)\AstroGrep\AstroGrep.exe" /spath="%USERPROFILE%\AppData\Local\Temp\OnboardLogs" /stypes="app*4041*20161204*" /stext=" 11:.+((SYSTEM_STATE.+slice.+state.+changed )|(ment ac)|(multiple cpu faults)|(system.+state.+changed )|(\[timeout)|(PRM\|1\|D)|(kpr)|(kdp)|(\|lc)|(penalty))" /e /r /s</v>
      </c>
      <c r="AG196" s="1" t="str">
        <f t="shared" si="103"/>
        <v>Other</v>
      </c>
      <c r="AH196" s="92" t="str">
        <f t="shared" si="86"/>
        <v>"%USERPROFILE%\Documents\GitHub\eaglep3\Utilities\RefineRTDCRunTimes.py" --tripid 306-04 --locoid 4041 --swversion DE.1.0.8.0 --startMP 300:21024 --initTime 2016-12-04T03:57:49 --startdatetime 2016-12-04T03:59:51 --delay 1 --endMP 204:149 --enddatetime 2016-12-04T04:07:36 --enforcementcount 0 &gt;&gt;C:\Users\stu\Documents\GitHub\eaglep3-reporting\EC\2016-12-04-refined-times.txt</v>
      </c>
      <c r="AI196" s="119" t="str">
        <f t="shared" si="87"/>
        <v>echo {"issue":{"subject":"","project_id":79,"tracker_id":40,"status_id":1,"priority_id":2,"assigned_to_id":23,"start_date":"2016-12-04","description":"","custom_fields":[{"id":1,"name":"Subdivision","value":"Other"},{"id":4,"name":"Milepost","value":"0.0149"},{"id":17,"name":"Train ID","value":"306-04"},{"id":16,"name":"Locomotive ID","value":"4041"},{"id":130,"name":"Impact","value":""},{"id":150,"name":"Time of Event (Mountain Time)","value":"04:07:36"},{"id":151,"name":"Denver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38" x14ac:dyDescent="0.25">
      <c r="A197" s="37" t="s">
        <v>622</v>
      </c>
      <c r="B197" s="7">
        <v>4038</v>
      </c>
      <c r="C197" s="22" t="s">
        <v>208</v>
      </c>
      <c r="D197" s="22" t="s">
        <v>674</v>
      </c>
      <c r="E197" s="13">
        <v>42708.817858796298</v>
      </c>
      <c r="F197" s="13">
        <v>42708.830324074072</v>
      </c>
      <c r="G197" s="7">
        <v>1</v>
      </c>
      <c r="H197" s="22" t="s">
        <v>438</v>
      </c>
      <c r="I197" s="13">
        <v>42708.836087962962</v>
      </c>
      <c r="J197" s="7">
        <v>0</v>
      </c>
      <c r="K197" s="109" t="str">
        <f t="shared" si="93"/>
        <v>4037/4038</v>
      </c>
      <c r="L197" s="22" t="str">
        <f>VLOOKUP(A197,'Trips&amp;Operators'!$C$1:$G$99999,5,FALSE)</f>
        <v>SHOOK JOHN</v>
      </c>
      <c r="M197" s="6">
        <f t="shared" si="94"/>
        <v>5.7638888902147301E-3</v>
      </c>
      <c r="N197" s="7">
        <f t="shared" si="107"/>
        <v>8.3000000019092113</v>
      </c>
      <c r="O197" s="7"/>
      <c r="P197" s="7"/>
      <c r="Q197" s="23"/>
      <c r="R197" s="23"/>
      <c r="S197" s="35">
        <f t="shared" si="104"/>
        <v>1</v>
      </c>
      <c r="T197" s="50" t="str">
        <f t="shared" si="95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18:37:43-700',mode:absolute,to:'2016-12-04 21:03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97" s="52" t="str">
        <f t="shared" si="97"/>
        <v>Y</v>
      </c>
      <c r="X197" s="177">
        <f t="shared" si="105"/>
        <v>1</v>
      </c>
      <c r="Y197" s="67">
        <f t="shared" si="98"/>
        <v>4.6399999999999997E-2</v>
      </c>
      <c r="Z197" s="67">
        <f t="shared" si="106"/>
        <v>2.3298999999999999</v>
      </c>
      <c r="AA197" s="67">
        <f t="shared" si="99"/>
        <v>2.2835000000000001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100"/>
        <v>0307-04</v>
      </c>
      <c r="AE197" s="91" t="str">
        <f t="shared" si="101"/>
        <v>aws s3 cp s3://rtdc.mdm.uploadarchive.raw/RTDC4038/ "%USERPROFILE%\AppData\Local\Temp\OnboardLogs"\RTDC4038\2016-12-04 --exclude "*" --recursive --include "*20161204*" &amp; "%USERPROFILE%\Documents\GitHub\mrs-test-scripts\Headless Mode &amp; Sideloading\WalkAndUnGZ.bat" "%USERPROFILE%\AppData\Local\Temp\OnboardLogs"\RTDC4038\2016-12-04 &amp; aws s3 cp s3://rtdc.mdm.uploadarchive.raw/RTDC4038/ "%USERPROFILE%\AppData\Local\Temp\OnboardLogs"\RTDC4038\2016-12-05 --exclude "*" --recursive --include "*20161205*" &amp; "%USERPROFILE%\Documents\GitHub\mrs-test-scripts\Headless Mode &amp; Sideloading\WalkAndUnGZ.bat" "%USERPROFILE%\AppData\Local\Temp\OnboardLogs"\RTDC4038\2016-12-05</v>
      </c>
      <c r="AF197" s="88" t="str">
        <f t="shared" si="102"/>
        <v>"C:\Program Files (x86)\AstroGrep\AstroGrep.exe" /spath="%USERPROFILE%\AppData\Local\Temp\OnboardLogs" /stypes="app*4038*20161205*" /stext=" 03:.+((SYSTEM_STATE.+slice.+state.+changed )|(ment ac)|(multiple cpu faults)|(system.+state.+changed )|(\[timeout)|(PRM\|1\|D)|(kpr)|(kdp)|(\|lc)|(penalty))" /e /r /s</v>
      </c>
      <c r="AG197" s="1" t="str">
        <f t="shared" si="103"/>
        <v>Other</v>
      </c>
      <c r="AH197" s="92" t="str">
        <f t="shared" si="86"/>
        <v>"%USERPROFILE%\Documents\GitHub\eaglep3\Utilities\RefineRTDCRunTimes.py" --tripid 307-04 --locoid 4038 --swversion DE.1.0.8.0 --startMP 204:464 --initTime 2016-12-04T19:37:43 --startdatetime 2016-12-04T19:55:40 --delay 1 --endMP 300:23299 --enddatetime 2016-12-04T20:03:58 --enforcementcount 0 &gt;&gt;C:\Users\stu\Documents\GitHub\eaglep3-reporting\EC\2016-12-04-refined-times.txt</v>
      </c>
      <c r="AI197" s="119" t="str">
        <f t="shared" si="87"/>
        <v>echo {"issue":{"subject":"","project_id":79,"tracker_id":40,"status_id":1,"priority_id":2,"assigned_to_id":23,"start_date":"2016-12-04","description":"","custom_fields":[{"id":1,"name":"Subdivision","value":"Other"},{"id":4,"name":"Milepost","value":"2.3299"},{"id":17,"name":"Train ID","value":"307-04"},{"id":16,"name":"Locomotive ID","value":"4038"},{"id":130,"name":"Impact","value":""},{"id":150,"name":"Time of Event (Mountain Time)","value":"20:03:58"},{"id":151,"name":"Denver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38" x14ac:dyDescent="0.25">
      <c r="A198" s="37" t="s">
        <v>461</v>
      </c>
      <c r="B198" s="7">
        <v>4028</v>
      </c>
      <c r="C198" s="22" t="s">
        <v>208</v>
      </c>
      <c r="D198" s="22" t="s">
        <v>778</v>
      </c>
      <c r="E198" s="13">
        <v>42708.168819444443</v>
      </c>
      <c r="F198" s="13">
        <v>42708.170613425929</v>
      </c>
      <c r="G198" s="7">
        <v>1</v>
      </c>
      <c r="H198" s="22" t="s">
        <v>193</v>
      </c>
      <c r="I198" s="13">
        <v>42708.17664351852</v>
      </c>
      <c r="J198" s="7">
        <v>0</v>
      </c>
      <c r="K198" s="109" t="str">
        <f t="shared" si="93"/>
        <v>4027/4028</v>
      </c>
      <c r="L198" s="22" t="str">
        <f>VLOOKUP(A198,'Trips&amp;Operators'!$C$1:$G$99999,5,FALSE)</f>
        <v>HAITHCOX MICHAEL</v>
      </c>
      <c r="M198" s="6">
        <f t="shared" si="94"/>
        <v>6.0300925906631164E-3</v>
      </c>
      <c r="N198" s="7">
        <f t="shared" si="107"/>
        <v>8.6833333305548877</v>
      </c>
      <c r="O198" s="7"/>
      <c r="P198" s="7"/>
      <c r="Q198" s="23"/>
      <c r="R198" s="23"/>
      <c r="S198" s="35">
        <f t="shared" si="104"/>
        <v>1</v>
      </c>
      <c r="T198" s="50" t="str">
        <f t="shared" si="95"/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03:03:06-700',mode:absolute,to:'2016-12-04 05:14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98" s="52" t="str">
        <f t="shared" si="97"/>
        <v>Y</v>
      </c>
      <c r="X198" s="177">
        <f t="shared" si="105"/>
        <v>1</v>
      </c>
      <c r="Y198" s="67">
        <f t="shared" si="98"/>
        <v>2.3555000000000001</v>
      </c>
      <c r="Z198" s="67">
        <f t="shared" si="106"/>
        <v>1.43E-2</v>
      </c>
      <c r="AA198" s="67">
        <f t="shared" si="99"/>
        <v>2.3412000000000002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100"/>
        <v>0308-04</v>
      </c>
      <c r="AE198" s="91" t="str">
        <f t="shared" si="101"/>
        <v>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 &amp; aws s3 cp s3://rtdc.mdm.uploadarchive.raw/RTDC4028/ "%USERPROFILE%\AppData\Local\Temp\OnboardLogs"\RTDC4028\2016-12-05 --exclude "*" --recursive --include "*20161205*" &amp; "%USERPROFILE%\Documents\GitHub\mrs-test-scripts\Headless Mode &amp; Sideloading\WalkAndUnGZ.bat" "%USERPROFILE%\AppData\Local\Temp\OnboardLogs"\RTDC4028\2016-12-05</v>
      </c>
      <c r="AF198" s="88" t="str">
        <f t="shared" si="102"/>
        <v>"C:\Program Files (x86)\AstroGrep\AstroGrep.exe" /spath="%USERPROFILE%\AppData\Local\Temp\OnboardLogs" /stypes="app*4028*20161204*" /stext=" 11:.+((SYSTEM_STATE.+slice.+state.+changed )|(ment ac)|(multiple cpu faults)|(system.+state.+changed )|(\[timeout)|(PRM\|1\|D)|(kpr)|(kdp)|(\|lc)|(penalty))" /e /r /s</v>
      </c>
      <c r="AG198" s="1" t="str">
        <f t="shared" si="103"/>
        <v>Other</v>
      </c>
      <c r="AH198" s="92" t="str">
        <f t="shared" si="86"/>
        <v>"%USERPROFILE%\Documents\GitHub\eaglep3\Utilities\RefineRTDCRunTimes.py" --tripid 308-04 --locoid 4028 --swversion DE.1.0.8.0 --startMP 300:23555 --initTime 2016-12-04T04:03:06 --startdatetime 2016-12-04T04:05:41 --delay 1 --endMP 204:143 --enddatetime 2016-12-04T04:14:22 --enforcementcount 0 &gt;&gt;C:\Users\stu\Documents\GitHub\eaglep3-reporting\EC\2016-12-04-refined-times.txt</v>
      </c>
      <c r="AI198" s="119" t="str">
        <f t="shared" si="87"/>
        <v>echo {"issue":{"subject":"","project_id":79,"tracker_id":40,"status_id":1,"priority_id":2,"assigned_to_id":23,"start_date":"2016-12-04","description":"","custom_fields":[{"id":1,"name":"Subdivision","value":"Other"},{"id":4,"name":"Milepost","value":"0.0143"},{"id":17,"name":"Train ID","value":"308-04"},{"id":16,"name":"Locomotive ID","value":"4028"},{"id":130,"name":"Impact","value":""},{"id":150,"name":"Time of Event (Mountain Time)","value":"04:14:22"},{"id":151,"name":"Denver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38" x14ac:dyDescent="0.25">
      <c r="A199" s="37" t="s">
        <v>648</v>
      </c>
      <c r="B199" s="7">
        <v>4003</v>
      </c>
      <c r="C199" s="22" t="s">
        <v>208</v>
      </c>
      <c r="D199" s="22" t="s">
        <v>281</v>
      </c>
      <c r="E199" s="13">
        <v>42709.027106481481</v>
      </c>
      <c r="F199" s="13">
        <v>42709.03056712963</v>
      </c>
      <c r="G199" s="7">
        <v>1</v>
      </c>
      <c r="H199" s="22" t="s">
        <v>779</v>
      </c>
      <c r="I199" s="13">
        <v>42709.03738425926</v>
      </c>
      <c r="J199" s="7">
        <v>0</v>
      </c>
      <c r="K199" s="109" t="str">
        <f t="shared" si="93"/>
        <v>4003/4004</v>
      </c>
      <c r="L199" s="22" t="str">
        <f>VLOOKUP(A199,'Trips&amp;Operators'!$C$1:$G$99999,5,FALSE)</f>
        <v>LEVERE CRAIG</v>
      </c>
      <c r="M199" s="6">
        <f t="shared" si="94"/>
        <v>6.8171296297805384E-3</v>
      </c>
      <c r="N199" s="7">
        <f t="shared" si="107"/>
        <v>9.8166666668839753</v>
      </c>
      <c r="O199" s="7"/>
      <c r="P199" s="7"/>
      <c r="Q199" s="23"/>
      <c r="R199" s="23"/>
      <c r="S199" s="35">
        <f t="shared" si="104"/>
        <v>1</v>
      </c>
      <c r="T199" s="50" t="str">
        <f t="shared" si="95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23:39:02-700',mode:absolute,to:'2016-12-05 01:53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9" s="52" t="str">
        <f t="shared" si="97"/>
        <v>Y</v>
      </c>
      <c r="X199" s="177">
        <f t="shared" si="105"/>
        <v>1</v>
      </c>
      <c r="Y199" s="67">
        <f t="shared" si="98"/>
        <v>4.58E-2</v>
      </c>
      <c r="Z199" s="67">
        <f t="shared" si="106"/>
        <v>2.2829000000000002</v>
      </c>
      <c r="AA199" s="67">
        <f t="shared" si="99"/>
        <v>2.2371000000000003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100"/>
        <v>0309-04</v>
      </c>
      <c r="AE199" s="91" t="str">
        <f t="shared" si="101"/>
        <v>aws s3 cp s3://rtdc.mdm.uploadarchive.raw/RTDC4003/ "%USERPROFILE%\AppData\Local\Temp\OnboardLogs"\RTDC4003\2016-12-05 --exclude "*" --recursive --include "*20161205*" &amp; "%USERPROFILE%\Documents\GitHub\mrs-test-scripts\Headless Mode &amp; Sideloading\WalkAndUnGZ.bat" "%USERPROFILE%\AppData\Local\Temp\OnboardLogs"\RTDC4003\2016-12-05 &amp; aws s3 cp s3://rtdc.mdm.uploadarchive.raw/RTDC4003/ "%USERPROFILE%\AppData\Local\Temp\OnboardLogs"\RTDC4003\2016-12-06 --exclude "*" --recursive --include "*20161206*" &amp; "%USERPROFILE%\Documents\GitHub\mrs-test-scripts\Headless Mode &amp; Sideloading\WalkAndUnGZ.bat" "%USERPROFILE%\AppData\Local\Temp\OnboardLogs"\RTDC4003\2016-12-06</v>
      </c>
      <c r="AF199" s="88" t="str">
        <f t="shared" si="102"/>
        <v>"C:\Program Files (x86)\AstroGrep\AstroGrep.exe" /spath="%USERPROFILE%\AppData\Local\Temp\OnboardLogs" /stypes="app*4003*20161205*" /stext=" 07:.+((SYSTEM_STATE.+slice.+state.+changed )|(ment ac)|(multiple cpu faults)|(system.+state.+changed )|(\[timeout)|(PRM\|1\|D)|(kpr)|(kdp)|(\|lc)|(penalty))" /e /r /s</v>
      </c>
      <c r="AG199" s="1" t="str">
        <f t="shared" si="103"/>
        <v>Other</v>
      </c>
      <c r="AH199" s="92" t="str">
        <f t="shared" si="86"/>
        <v>"%USERPROFILE%\Documents\GitHub\eaglep3\Utilities\RefineRTDCRunTimes.py" --tripid 309-04 --locoid 4003 --swversion DE.1.0.8.0 --startMP 204:458 --initTime 2016-12-05T00:39:02 --startdatetime 2016-12-05T00:44:01 --delay 1 --endMP 300:22829 --enddatetime 2016-12-05T00:53:50 --enforcementcount 0 &gt;&gt;C:\Users\stu\Documents\GitHub\eaglep3-reporting\EC\2016-12-04-refined-times.txt</v>
      </c>
      <c r="AI199" s="119" t="str">
        <f t="shared" si="87"/>
        <v>echo {"issue":{"subject":"","project_id":79,"tracker_id":40,"status_id":1,"priority_id":2,"assigned_to_id":23,"start_date":"2016-12-05","description":"","custom_fields":[{"id":1,"name":"Subdivision","value":"Other"},{"id":4,"name":"Milepost","value":"2.2829"},{"id":17,"name":"Train ID","value":"309-04"},{"id":16,"name":"Locomotive ID","value":"4003"},{"id":130,"name":"Impact","value":""},{"id":150,"name":"Time of Event (Mountain Time)","value":"00:53:50"},{"id":151,"name":"Denver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38" x14ac:dyDescent="0.25">
      <c r="A200" s="37" t="s">
        <v>464</v>
      </c>
      <c r="B200" s="7">
        <v>4019</v>
      </c>
      <c r="C200" s="22" t="s">
        <v>208</v>
      </c>
      <c r="D200" s="22" t="s">
        <v>780</v>
      </c>
      <c r="E200" s="13">
        <v>42708.179652777777</v>
      </c>
      <c r="F200" s="13">
        <v>42708.180879629632</v>
      </c>
      <c r="G200" s="7">
        <v>1</v>
      </c>
      <c r="H200" s="22" t="s">
        <v>427</v>
      </c>
      <c r="I200" s="13">
        <v>42708.187210648146</v>
      </c>
      <c r="J200" s="7">
        <v>0</v>
      </c>
      <c r="K200" s="109" t="str">
        <f t="shared" si="93"/>
        <v>4019/4020</v>
      </c>
      <c r="L200" s="22" t="str">
        <f>VLOOKUP(A200,'Trips&amp;Operators'!$C$1:$G$99999,5,FALSE)</f>
        <v>ROBINSON KADDIBA</v>
      </c>
      <c r="M200" s="6">
        <f t="shared" si="94"/>
        <v>6.3310185141745023E-3</v>
      </c>
      <c r="N200" s="7">
        <f t="shared" si="107"/>
        <v>9.1166666604112834</v>
      </c>
      <c r="O200" s="7"/>
      <c r="P200" s="7"/>
      <c r="Q200" s="23"/>
      <c r="R200" s="23"/>
      <c r="S200" s="35">
        <f t="shared" si="104"/>
        <v>1</v>
      </c>
      <c r="T200" s="50" t="str">
        <f t="shared" si="95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03:18:42-700',mode:absolute,to:'2016-12-04 05:29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00" s="52" t="str">
        <f t="shared" si="97"/>
        <v>Y</v>
      </c>
      <c r="X200" s="177">
        <f t="shared" si="105"/>
        <v>1</v>
      </c>
      <c r="Y200" s="67">
        <f t="shared" si="98"/>
        <v>2.3351000000000002</v>
      </c>
      <c r="Z200" s="67">
        <f t="shared" si="106"/>
        <v>1.3599999999999999E-2</v>
      </c>
      <c r="AA200" s="67">
        <f t="shared" si="99"/>
        <v>2.3215000000000003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100"/>
        <v>0310-04</v>
      </c>
      <c r="AE200" s="91" t="str">
        <f t="shared" si="101"/>
        <v>aws s3 cp s3://rtdc.mdm.uploadarchive.raw/RTDC4019/ "%USERPROFILE%\AppData\Local\Temp\OnboardLogs"\RTDC4019\2016-12-04 --exclude "*" --recursive --include "*20161204*" &amp; "%USERPROFILE%\Documents\GitHub\mrs-test-scripts\Headless Mode &amp; Sideloading\WalkAndUnGZ.bat" "%USERPROFILE%\AppData\Local\Temp\OnboardLogs"\RTDC4019\2016-12-04 &amp; aws s3 cp s3://rtdc.mdm.uploadarchive.raw/RTDC4019/ "%USERPROFILE%\AppData\Local\Temp\OnboardLogs"\RTDC4019\2016-12-05 --exclude "*" --recursive --include "*20161205*" &amp; "%USERPROFILE%\Documents\GitHub\mrs-test-scripts\Headless Mode &amp; Sideloading\WalkAndUnGZ.bat" "%USERPROFILE%\AppData\Local\Temp\OnboardLogs"\RTDC4019\2016-12-05</v>
      </c>
      <c r="AF200" s="88" t="str">
        <f t="shared" si="102"/>
        <v>"C:\Program Files (x86)\AstroGrep\AstroGrep.exe" /spath="%USERPROFILE%\AppData\Local\Temp\OnboardLogs" /stypes="app*4019*20161204*" /stext=" 11:.+((SYSTEM_STATE.+slice.+state.+changed )|(ment ac)|(multiple cpu faults)|(system.+state.+changed )|(\[timeout)|(PRM\|1\|D)|(kpr)|(kdp)|(\|lc)|(penalty))" /e /r /s</v>
      </c>
      <c r="AG200" s="1" t="str">
        <f t="shared" si="103"/>
        <v>Other</v>
      </c>
      <c r="AH200" s="92" t="str">
        <f t="shared" si="86"/>
        <v>"%USERPROFILE%\Documents\GitHub\eaglep3\Utilities\RefineRTDCRunTimes.py" --tripid 310-04 --locoid 4019 --swversion DE.1.0.8.0 --startMP 300:23351 --initTime 2016-12-04T04:18:42 --startdatetime 2016-12-04T04:20:28 --delay 1 --endMP 204:136 --enddatetime 2016-12-04T04:29:35 --enforcementcount 0 &gt;&gt;C:\Users\stu\Documents\GitHub\eaglep3-reporting\EC\2016-12-04-refined-times.txt</v>
      </c>
      <c r="AI200" s="119" t="str">
        <f t="shared" si="87"/>
        <v>echo {"issue":{"subject":"","project_id":79,"tracker_id":40,"status_id":1,"priority_id":2,"assigned_to_id":23,"start_date":"2016-12-04","description":"","custom_fields":[{"id":1,"name":"Subdivision","value":"Other"},{"id":4,"name":"Milepost","value":"0.0136"},{"id":17,"name":"Train ID","value":"310-04"},{"id":16,"name":"Locomotive ID","value":"4019"},{"id":130,"name":"Impact","value":""},{"id":150,"name":"Time of Event (Mountain Time)","value":"04:29:35"},{"id":151,"name":"Denver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38" x14ac:dyDescent="0.25">
      <c r="A201" s="37" t="s">
        <v>410</v>
      </c>
      <c r="B201" s="7">
        <v>4011</v>
      </c>
      <c r="C201" s="22" t="s">
        <v>208</v>
      </c>
      <c r="D201" s="22" t="s">
        <v>437</v>
      </c>
      <c r="E201" s="13">
        <v>42708.088645833333</v>
      </c>
      <c r="F201" s="13">
        <v>25568.708333333332</v>
      </c>
      <c r="G201" s="7">
        <v>2</v>
      </c>
      <c r="H201" s="22" t="s">
        <v>436</v>
      </c>
      <c r="I201" s="13">
        <v>25568.708333333332</v>
      </c>
      <c r="J201" s="7">
        <v>0</v>
      </c>
      <c r="K201" s="109" t="str">
        <f t="shared" si="93"/>
        <v>4011/4012</v>
      </c>
      <c r="L201" s="22" t="str">
        <f>VLOOKUP(A201,'Trips&amp;Operators'!$C$1:$G$99999,5,FALSE)</f>
        <v>STAMBAUGH JAMES</v>
      </c>
      <c r="M201" s="6">
        <f t="shared" si="94"/>
        <v>0</v>
      </c>
      <c r="N201" s="7">
        <f t="shared" si="107"/>
        <v>0</v>
      </c>
      <c r="O201" s="7"/>
      <c r="P201" s="7"/>
      <c r="Q201" s="23"/>
      <c r="R201" s="23"/>
      <c r="S201" s="35">
        <f t="shared" si="104"/>
        <v>1</v>
      </c>
      <c r="T201" s="50" t="str">
        <f t="shared" si="95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01:07:39-700',mode:absolute,to:'1969-12-31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1" s="52" t="str">
        <f t="shared" si="97"/>
        <v>Y</v>
      </c>
      <c r="X201" s="177">
        <f t="shared" si="105"/>
        <v>3</v>
      </c>
      <c r="Y201" s="67">
        <f t="shared" si="98"/>
        <v>7.4399999999999994E-2</v>
      </c>
      <c r="Z201" s="67">
        <f t="shared" si="106"/>
        <v>2.3302</v>
      </c>
      <c r="AA201" s="67">
        <f t="shared" si="99"/>
        <v>2.2558000000000002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100"/>
        <v>0313-03</v>
      </c>
      <c r="AE201" s="91" t="str">
        <f t="shared" si="101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1" s="88" t="str">
        <f t="shared" si="102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01" s="1" t="str">
        <f t="shared" si="103"/>
        <v>Other</v>
      </c>
      <c r="AH201" s="92" t="str">
        <f t="shared" si="86"/>
        <v>"%USERPROFILE%\Documents\GitHub\eaglep3\Utilities\RefineRTDCRunTimes.py" --tripid 313-03 --locoid 4011 --swversion DE.1.0.8.0 --startMP 204:744 --initTime 2016-12-04T02:07:39 --startdatetime 1969-12-31T17:00:00 --delay 2 --endMP 300:23302 --enddatetime 1969-12-31T17:00:00 --enforcementcount 0 &gt;&gt;C:\Users\stu\Documents\GitHub\eaglep3-reporting\EC\2016-12-04-refined-times.txt</v>
      </c>
      <c r="AI201" s="119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ID","value":"313-03"},{"id":16,"name":"Locomotive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38" x14ac:dyDescent="0.25">
      <c r="A202" s="37" t="s">
        <v>652</v>
      </c>
      <c r="B202" s="7">
        <v>4029</v>
      </c>
      <c r="C202" s="22" t="s">
        <v>208</v>
      </c>
      <c r="D202" s="22" t="s">
        <v>261</v>
      </c>
      <c r="E202" s="13">
        <v>42709.069675925923</v>
      </c>
      <c r="F202" s="13">
        <v>25568.708333333332</v>
      </c>
      <c r="G202" s="7">
        <v>1</v>
      </c>
      <c r="H202" s="22" t="s">
        <v>781</v>
      </c>
      <c r="I202" s="13">
        <v>25568.708333333332</v>
      </c>
      <c r="J202" s="7">
        <v>0</v>
      </c>
      <c r="K202" s="109" t="str">
        <f t="shared" si="93"/>
        <v>4029/4030</v>
      </c>
      <c r="L202" s="22" t="str">
        <f>VLOOKUP(A202,'Trips&amp;Operators'!$C$1:$G$99999,5,FALSE)</f>
        <v>NEWELL JAMES</v>
      </c>
      <c r="M202" s="6">
        <f t="shared" si="94"/>
        <v>0</v>
      </c>
      <c r="N202" s="7">
        <f t="shared" si="107"/>
        <v>0</v>
      </c>
      <c r="O202" s="7"/>
      <c r="P202" s="7"/>
      <c r="Q202" s="23"/>
      <c r="R202" s="23"/>
      <c r="S202" s="35">
        <f t="shared" si="104"/>
        <v>1</v>
      </c>
      <c r="T202" s="50" t="str">
        <f t="shared" si="95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https://search-rtdc-monitor-bjffxe2xuh6vdkpspy63sjmuny.us-east-1.es.amazonaws.com/_plugin/kibana/#/discover/Steve-Slow-Train-Analysis-(2080s-and-2083s)?_g=(refreshInterval:(display:Off,section:0,value:0),time:(from:'2016-12-05 00:40:20-700',mode:absolute,to:'1969-12-31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2" s="52" t="str">
        <f t="shared" si="97"/>
        <v>Y</v>
      </c>
      <c r="X202" s="177">
        <f t="shared" si="105"/>
        <v>0</v>
      </c>
      <c r="Y202" s="67">
        <f t="shared" si="98"/>
        <v>4.6699999999999998E-2</v>
      </c>
      <c r="Z202" s="67">
        <f t="shared" si="106"/>
        <v>2.3304</v>
      </c>
      <c r="AA202" s="67">
        <f t="shared" si="99"/>
        <v>2.2837000000000001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100"/>
        <v>0313-04</v>
      </c>
      <c r="AE202" s="91" t="str">
        <f t="shared" si="101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2" s="88" t="str">
        <f t="shared" si="102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02" s="1" t="str">
        <f t="shared" si="103"/>
        <v>Other</v>
      </c>
      <c r="AH202" s="92" t="str">
        <f t="shared" si="86"/>
        <v>"%USERPROFILE%\Documents\GitHub\eaglep3\Utilities\RefineRTDCRunTimes.py" --tripid 313-04 --locoid 4029 --swversion DE.1.0.8.0 --startMP 204:467 --initTime 2016-12-05T01:40:20 --startdatetime 1969-12-31T17:00:00 --delay 1 --endMP 300:23304 --enddatetime 1969-12-31T17:00:00 --enforcementcount 0 &gt;&gt;C:\Users\stu\Documents\GitHub\eaglep3-reporting\EC\2016-12-04-refined-times.txt</v>
      </c>
      <c r="AI202" s="119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ID","value":"313-04"},{"id":16,"name":"Locomotive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38" x14ac:dyDescent="0.25">
      <c r="A203" s="37" t="s">
        <v>411</v>
      </c>
      <c r="B203" s="7">
        <v>4016</v>
      </c>
      <c r="C203" s="22" t="s">
        <v>208</v>
      </c>
      <c r="D203" s="22" t="s">
        <v>386</v>
      </c>
      <c r="E203" s="13">
        <v>42708.109826388885</v>
      </c>
      <c r="F203" s="13">
        <v>25568.708333333332</v>
      </c>
      <c r="G203" s="7">
        <v>1</v>
      </c>
      <c r="H203" s="22" t="s">
        <v>316</v>
      </c>
      <c r="I203" s="13">
        <v>25568.708333333332</v>
      </c>
      <c r="J203" s="7">
        <v>0</v>
      </c>
      <c r="K203" s="109" t="str">
        <f t="shared" si="93"/>
        <v>4015/4016</v>
      </c>
      <c r="L203" s="22" t="str">
        <f>VLOOKUP(A203,'Trips&amp;Operators'!$C$1:$G$99999,5,FALSE)</f>
        <v>LEVIN SCOTT</v>
      </c>
      <c r="M203" s="6">
        <f t="shared" si="94"/>
        <v>0</v>
      </c>
      <c r="N203" s="7">
        <f t="shared" si="107"/>
        <v>0</v>
      </c>
      <c r="O203" s="7"/>
      <c r="P203" s="7"/>
      <c r="Q203" s="23"/>
      <c r="R203" s="23"/>
      <c r="S203" s="35">
        <f t="shared" si="104"/>
        <v>1</v>
      </c>
      <c r="T203" s="50" t="str">
        <f t="shared" si="95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01:38:09-700',mode:absolute,to:'1969-12-31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3" s="52" t="str">
        <f t="shared" si="97"/>
        <v>Y</v>
      </c>
      <c r="X203" s="177">
        <f t="shared" si="105"/>
        <v>2</v>
      </c>
      <c r="Y203" s="67">
        <f t="shared" si="98"/>
        <v>7.5399999999999995E-2</v>
      </c>
      <c r="Z203" s="67">
        <f t="shared" si="106"/>
        <v>2.3346</v>
      </c>
      <c r="AA203" s="67">
        <f t="shared" si="99"/>
        <v>2.2591999999999999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100"/>
        <v>0315-03</v>
      </c>
      <c r="AE203" s="91" t="str">
        <f t="shared" si="101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03" s="88" t="str">
        <f t="shared" si="102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03" s="1" t="str">
        <f t="shared" si="103"/>
        <v>Other</v>
      </c>
      <c r="AH203" s="92" t="str">
        <f t="shared" ref="AH203:AH209" si="108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315-03 --locoid 4016 --swversion DE.1.0.8.0 --startMP 204:754 --initTime 2016-12-04T02:38:09 --startdatetime 1969-12-31T17:00:00 --delay 1 --endMP 300:23346 --enddatetime 1969-12-31T17:00:00 --enforcementcount 0 &gt;&gt;C:\Users\stu\Documents\GitHub\eaglep3-reporting\EC\2016-12-04-refined-times.txt</v>
      </c>
      <c r="AI203" s="119" t="str">
        <f t="shared" ref="AI203:AI209" si="109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ID","value":"315-03"},{"id":16,"name":"Locomotive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38" x14ac:dyDescent="0.25">
      <c r="A204" s="37" t="s">
        <v>653</v>
      </c>
      <c r="B204" s="7">
        <v>4027</v>
      </c>
      <c r="C204" s="22" t="s">
        <v>208</v>
      </c>
      <c r="D204" s="22" t="s">
        <v>292</v>
      </c>
      <c r="E204" s="13">
        <v>42709.089513888888</v>
      </c>
      <c r="F204" s="13">
        <v>42709.091296296298</v>
      </c>
      <c r="G204" s="7">
        <v>1</v>
      </c>
      <c r="H204" s="22" t="s">
        <v>782</v>
      </c>
      <c r="I204" s="13">
        <v>42709.09746527778</v>
      </c>
      <c r="J204" s="7">
        <v>0</v>
      </c>
      <c r="K204" s="109" t="str">
        <f t="shared" si="93"/>
        <v>4027/4028</v>
      </c>
      <c r="L204" s="22" t="str">
        <f>VLOOKUP(A204,'Trips&amp;Operators'!$C$1:$G$99999,5,FALSE)</f>
        <v>CHANDLER KELVIN</v>
      </c>
      <c r="M204" s="6">
        <f t="shared" si="94"/>
        <v>6.1689814829151146E-3</v>
      </c>
      <c r="N204" s="7">
        <f t="shared" si="107"/>
        <v>8.883333335397765</v>
      </c>
      <c r="O204" s="7"/>
      <c r="P204" s="7"/>
      <c r="Q204" s="23"/>
      <c r="R204" s="23"/>
      <c r="S204" s="35">
        <f t="shared" si="104"/>
        <v>1</v>
      </c>
      <c r="T204" s="50" t="str">
        <f t="shared" si="95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https://search-rtdc-monitor-bjffxe2xuh6vdkpspy63sjmuny.us-east-1.es.amazonaws.com/_plugin/kibana/#/discover/Steve-Slow-Train-Analysis-(2080s-and-2083s)?_g=(refreshInterval:(display:Off,section:0,value:0),time:(from:'2016-12-05 01:08:54-700',mode:absolute,to:'2016-12-05 03:20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4" s="52" t="str">
        <f t="shared" si="97"/>
        <v>Y</v>
      </c>
      <c r="X204" s="177">
        <f t="shared" si="105"/>
        <v>0</v>
      </c>
      <c r="Y204" s="67">
        <f t="shared" si="98"/>
        <v>4.3799999999999999E-2</v>
      </c>
      <c r="Z204" s="67">
        <f t="shared" si="106"/>
        <v>2.2843</v>
      </c>
      <c r="AA204" s="67">
        <f t="shared" si="99"/>
        <v>2.2404999999999999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100"/>
        <v>0315-04</v>
      </c>
      <c r="AE204" s="91" t="str">
        <f t="shared" si="101"/>
        <v>aws s3 cp s3://rtdc.mdm.uploadarchive.raw/RTDC4027/ "%USERPROFILE%\AppData\Local\Temp\OnboardLogs"\RTDC4027\2016-12-05 --exclude "*" --recursive --include "*20161205*" &amp; "%USERPROFILE%\Documents\GitHub\mrs-test-scripts\Headless Mode &amp; Sideloading\WalkAndUnGZ.bat" "%USERPROFILE%\AppData\Local\Temp\OnboardLogs"\RTDC4027\2016-12-05 &amp; aws s3 cp s3://rtdc.mdm.uploadarchive.raw/RTDC4027/ "%USERPROFILE%\AppData\Local\Temp\OnboardLogs"\RTDC4027\2016-12-06 --exclude "*" --recursive --include "*20161206*" &amp; "%USERPROFILE%\Documents\GitHub\mrs-test-scripts\Headless Mode &amp; Sideloading\WalkAndUnGZ.bat" "%USERPROFILE%\AppData\Local\Temp\OnboardLogs"\RTDC4027\2016-12-06</v>
      </c>
      <c r="AF204" s="88" t="str">
        <f t="shared" si="102"/>
        <v>"C:\Program Files (x86)\AstroGrep\AstroGrep.exe" /spath="%USERPROFILE%\AppData\Local\Temp\OnboardLogs" /stypes="app*4027*20161205*" /stext=" 09:.+((SYSTEM_STATE.+slice.+state.+changed )|(ment ac)|(multiple cpu faults)|(system.+state.+changed )|(\[timeout)|(PRM\|1\|D)|(kpr)|(kdp)|(\|lc)|(penalty))" /e /r /s</v>
      </c>
      <c r="AG204" s="1" t="str">
        <f t="shared" si="103"/>
        <v>Other</v>
      </c>
      <c r="AH204" s="92" t="str">
        <f t="shared" si="108"/>
        <v>"%USERPROFILE%\Documents\GitHub\eaglep3\Utilities\RefineRTDCRunTimes.py" --tripid 315-04 --locoid 4027 --swversion DE.1.0.8.0 --startMP 204:438 --initTime 2016-12-05T02:08:54 --startdatetime 2016-12-05T02:11:28 --delay 1 --endMP 300:22843 --enddatetime 2016-12-05T02:20:21 --enforcementcount 0 &gt;&gt;C:\Users\stu\Documents\GitHub\eaglep3-reporting\EC\2016-12-04-refined-times.txt</v>
      </c>
      <c r="AI204" s="119" t="str">
        <f t="shared" si="109"/>
        <v>echo {"issue":{"subject":"","project_id":79,"tracker_id":40,"status_id":1,"priority_id":2,"assigned_to_id":23,"start_date":"2016-12-05","description":"","custom_fields":[{"id":1,"name":"Subdivision","value":"Other"},{"id":4,"name":"Milepost","value":"2.2843"},{"id":17,"name":"Train ID","value":"315-04"},{"id":16,"name":"Locomotive ID","value":"4027"},{"id":130,"name":"Impact","value":""},{"id":150,"name":"Time of Event (Mountain Time)","value":"02:20:21"},{"id":151,"name":"Denver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38" x14ac:dyDescent="0.25">
      <c r="A205" s="37" t="s">
        <v>441</v>
      </c>
      <c r="B205" s="7">
        <v>4044</v>
      </c>
      <c r="C205" s="22" t="s">
        <v>208</v>
      </c>
      <c r="D205" s="22" t="s">
        <v>745</v>
      </c>
      <c r="E205" s="13">
        <v>42708.222650462965</v>
      </c>
      <c r="F205" s="13">
        <v>42708.230381944442</v>
      </c>
      <c r="G205" s="7">
        <v>11</v>
      </c>
      <c r="H205" s="22" t="s">
        <v>746</v>
      </c>
      <c r="I205" s="13">
        <v>42708.231898148151</v>
      </c>
      <c r="J205" s="7">
        <v>0</v>
      </c>
      <c r="K205" s="109" t="str">
        <f t="shared" si="93"/>
        <v>4043/4044</v>
      </c>
      <c r="L205" s="22" t="str">
        <f>VLOOKUP(A205,'Trips&amp;Operators'!$C$1:$G$99999,5,FALSE)</f>
        <v>STARKS ANGELINA</v>
      </c>
      <c r="M205" s="6">
        <f t="shared" si="94"/>
        <v>1.5162037088884972E-3</v>
      </c>
      <c r="N205" s="7">
        <f t="shared" si="107"/>
        <v>2.183333340799436</v>
      </c>
      <c r="O205" s="7"/>
      <c r="P205" s="7"/>
      <c r="Q205" s="23"/>
      <c r="R205" s="23"/>
      <c r="S205" s="35">
        <f t="shared" si="104"/>
        <v>0</v>
      </c>
      <c r="T205" s="50" t="str">
        <f t="shared" si="95"/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04:20:37-700',mode:absolute,to:'2016-12-04 06:33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5" s="52" t="str">
        <f t="shared" si="97"/>
        <v>Y</v>
      </c>
      <c r="X205" s="177">
        <f t="shared" si="105"/>
        <v>1586</v>
      </c>
      <c r="Y205" s="67">
        <f t="shared" si="98"/>
        <v>2.9483000000000001</v>
      </c>
      <c r="Z205" s="67">
        <f t="shared" si="106"/>
        <v>3.3106</v>
      </c>
      <c r="AA205" s="67">
        <f t="shared" ref="AA205:AA209" si="110">ABS(Z205-Y205)</f>
        <v>0.36229999999999984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si="100"/>
        <v>1901-04</v>
      </c>
      <c r="AE205" s="91" t="str">
        <f t="shared" si="101"/>
        <v>aws s3 cp s3://rtdc.mdm.uploadarchive.raw/RTDC4044/ "%USERPROFILE%\AppData\Local\Temp\OnboardLogs"\RTDC4044\2016-12-04 --exclude "*" --recursive --include "*20161204*" &amp; "%USERPROFILE%\Documents\GitHub\mrs-test-scripts\Headless Mode &amp; Sideloading\WalkAndUnGZ.bat" "%USERPROFILE%\AppData\Local\Temp\OnboardLogs"\RTDC4044\2016-12-04 &amp; 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</v>
      </c>
      <c r="AF205" s="88" t="str">
        <f t="shared" si="102"/>
        <v>"C:\Program Files (x86)\AstroGrep\AstroGrep.exe" /spath="%USERPROFILE%\AppData\Local\Temp\OnboardLogs" /stypes="app*4044*20161204*" /stext=" 12:.+((SYSTEM_STATE.+slice.+state.+changed )|(ment ac)|(multiple cpu faults)|(system.+state.+changed )|(\[timeout)|(PRM\|1\|D)|(kpr)|(kdp)|(\|lc)|(penalty))" /e /r /s</v>
      </c>
      <c r="AG205" s="1" t="str">
        <f t="shared" si="103"/>
        <v>Other</v>
      </c>
      <c r="AH205" s="92" t="str">
        <f t="shared" si="108"/>
        <v>"%USERPROFILE%\Documents\GitHub\eaglep3\Utilities\RefineRTDCRunTimes.py" --tripid 1901-04 --locoid 4044 --swversion DE.1.0.8.0 --startMP 300:29483 --initTime 2016-12-04T05:20:37 --startdatetime 2016-12-04T05:31:45 --delay 11 --endMP 300:33106 --enddatetime 2016-12-04T05:33:56 --enforcementcount 0 &gt;&gt;C:\Users\stu\Documents\GitHub\eaglep3-reporting\EC\2016-12-04-refined-times.txt</v>
      </c>
      <c r="AI205" s="119" t="str">
        <f t="shared" si="109"/>
        <v>echo {"issue":{"subject":"","project_id":79,"tracker_id":40,"status_id":1,"priority_id":2,"assigned_to_id":23,"start_date":"2016-12-04","description":"","custom_fields":[{"id":1,"name":"Subdivision","value":"Other"},{"id":4,"name":"Milepost","value":"3.3106"},{"id":17,"name":"Train ID","value":"1901-04"},{"id":16,"name":"Locomotive ID","value":"4044"},{"id":130,"name":"Impact","value":""},{"id":150,"name":"Time of Event (Mountain Time)","value":"05:33:56"},{"id":151,"name":"Denver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38" x14ac:dyDescent="0.25">
      <c r="A206" s="37" t="s">
        <v>637</v>
      </c>
      <c r="B206" s="7">
        <v>4044</v>
      </c>
      <c r="C206" s="22" t="s">
        <v>208</v>
      </c>
      <c r="D206" s="22" t="s">
        <v>295</v>
      </c>
      <c r="E206" s="13">
        <v>42708.916284722225</v>
      </c>
      <c r="F206" s="13">
        <v>42708.931435185186</v>
      </c>
      <c r="G206" s="7">
        <v>2</v>
      </c>
      <c r="H206" s="22" t="s">
        <v>388</v>
      </c>
      <c r="I206" s="13">
        <v>42708.940486111111</v>
      </c>
      <c r="J206" s="7">
        <v>0</v>
      </c>
      <c r="K206" s="109" t="str">
        <f t="shared" si="93"/>
        <v>4043/4044</v>
      </c>
      <c r="L206" s="22" t="str">
        <f>VLOOKUP(A206,'Trips&amp;Operators'!$C$1:$G$99999,5,FALSE)</f>
        <v>LOPES KIMBERLY</v>
      </c>
      <c r="M206" s="6">
        <f t="shared" si="94"/>
        <v>9.0509259243845008E-3</v>
      </c>
      <c r="N206" s="7">
        <f t="shared" si="107"/>
        <v>13.033333331113681</v>
      </c>
      <c r="O206" s="7"/>
      <c r="P206" s="7"/>
      <c r="Q206" s="23"/>
      <c r="R206" s="23"/>
      <c r="S206" s="35">
        <f t="shared" si="104"/>
        <v>0</v>
      </c>
      <c r="T206" s="50" t="e">
        <f t="shared" si="95"/>
        <v>#VALUE!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20:59:27-700',mode:absolute,to:'2016-12-04 23:34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6" s="52" t="str">
        <f t="shared" si="97"/>
        <v>N</v>
      </c>
      <c r="X206" s="177" t="e">
        <f t="shared" si="105"/>
        <v>#VALUE!</v>
      </c>
      <c r="Y206" s="67">
        <f t="shared" si="98"/>
        <v>9.7100000000000006E-2</v>
      </c>
      <c r="Z206" s="67">
        <f t="shared" si="106"/>
        <v>5.8930999999999996</v>
      </c>
      <c r="AA206" s="67">
        <f t="shared" si="110"/>
        <v>5.7959999999999994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100"/>
        <v>53-04</v>
      </c>
      <c r="AE206" s="91" t="str">
        <f t="shared" si="101"/>
        <v>aws s3 cp s3://rtdc.mdm.uploadarchive.raw/RTDC4044/ "%USERPROFILE%\AppData\Local\Temp\OnboardLogs"\RTDC4044\2016-12-04 --exclude "*" --recursive --include "*20161204*" &amp; "%USERPROFILE%\Documents\GitHub\mrs-test-scripts\Headless Mode &amp; Sideloading\WalkAndUnGZ.bat" "%USERPROFILE%\AppData\Local\Temp\OnboardLogs"\RTDC4044\2016-12-04 &amp; 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</v>
      </c>
      <c r="AF206" s="88" t="str">
        <f t="shared" si="102"/>
        <v>"C:\Program Files (x86)\AstroGrep\AstroGrep.exe" /spath="%USERPROFILE%\AppData\Local\Temp\OnboardLogs" /stypes="app*4044*20161205*" /stext=" 05:.+((SYSTEM_STATE.+slice.+state.+changed )|(ment ac)|(multiple cpu faults)|(system.+state.+changed )|(\[timeout)|(PRM\|1\|D)|(kpr)|(kdp)|(\|lc)|(penalty))" /e /r /s</v>
      </c>
      <c r="AG206" s="1" t="str">
        <f t="shared" si="103"/>
        <v>Other</v>
      </c>
      <c r="AH206" s="92" t="str">
        <f t="shared" si="108"/>
        <v>"%USERPROFILE%\Documents\GitHub\eaglep3\Utilities\RefineRTDCRunTimes.py" --tripid 53-04 --locoid 4044 --swversion DE.1.0.8.0 --startMP 204:971 --initTime 2016-12-04T21:59:27 --startdatetime 2016-12-04T22:21:16 --delay 2 --endMP 300:58931 --enddatetime 2016-12-04T22:34:18 --enforcementcount 0 &gt;&gt;C:\Users\stu\Documents\GitHub\eaglep3-reporting\EC\2016-12-04-refined-times.txt</v>
      </c>
      <c r="AI206" s="119" t="str">
        <f t="shared" si="109"/>
        <v>echo {"issue":{"subject":"","project_id":79,"tracker_id":40,"status_id":1,"priority_id":2,"assigned_to_id":23,"start_date":"2016-12-04","description":"","custom_fields":[{"id":1,"name":"Subdivision","value":"Other"},{"id":4,"name":"Milepost","value":"5.8931"},{"id":17,"name":"Train ID","value":"53-04"},{"id":16,"name":"Locomotive ID","value":"4044"},{"id":130,"name":"Impact","value":""},{"id":150,"name":"Time of Event (Mountain Time)","value":"22:34:18"},{"id":151,"name":"Denver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38" x14ac:dyDescent="0.25">
      <c r="A207" s="37" t="s">
        <v>595</v>
      </c>
      <c r="B207" s="7">
        <v>4022</v>
      </c>
      <c r="C207" s="22" t="s">
        <v>208</v>
      </c>
      <c r="D207" s="22" t="s">
        <v>783</v>
      </c>
      <c r="E207" s="13">
        <v>42708.726226851853</v>
      </c>
      <c r="F207" s="13">
        <v>25568.708333333332</v>
      </c>
      <c r="G207" s="7">
        <v>1</v>
      </c>
      <c r="H207" s="22" t="s">
        <v>784</v>
      </c>
      <c r="I207" s="13">
        <v>25568.708333333332</v>
      </c>
      <c r="J207" s="7">
        <v>0</v>
      </c>
      <c r="K207" s="109" t="str">
        <f t="shared" si="93"/>
        <v>4021/4022</v>
      </c>
      <c r="L207" s="22" t="str">
        <f>VLOOKUP(A207,'Trips&amp;Operators'!$C$1:$G$99999,5,FALSE)</f>
        <v>ARVIDSON DANIEL</v>
      </c>
      <c r="M207" s="6">
        <f t="shared" si="94"/>
        <v>0</v>
      </c>
      <c r="N207" s="7">
        <f t="shared" si="107"/>
        <v>0</v>
      </c>
      <c r="O207" s="7"/>
      <c r="P207" s="7"/>
      <c r="Q207" s="23"/>
      <c r="R207" s="23"/>
      <c r="S207" s="35">
        <f t="shared" si="104"/>
        <v>0</v>
      </c>
      <c r="T207" s="50" t="e">
        <f t="shared" si="95"/>
        <v>#VALUE!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16:25:46-700',mode:absolute,to:'1969-12-31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7" s="52" t="str">
        <f t="shared" si="97"/>
        <v>Y</v>
      </c>
      <c r="X207" s="177" t="e">
        <f t="shared" si="105"/>
        <v>#VALUE!</v>
      </c>
      <c r="Y207" s="67">
        <f t="shared" si="98"/>
        <v>0.14729999999999999</v>
      </c>
      <c r="Z207" s="67">
        <f t="shared" si="106"/>
        <v>2.3083</v>
      </c>
      <c r="AA207" s="67">
        <f t="shared" si="110"/>
        <v>2.161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100"/>
        <v>55-04</v>
      </c>
      <c r="AE207" s="91" t="str">
        <f t="shared" si="101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07" s="88" t="str">
        <f t="shared" si="102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07" s="1" t="str">
        <f t="shared" si="103"/>
        <v>Other</v>
      </c>
      <c r="AH207" s="92" t="str">
        <f t="shared" si="108"/>
        <v>"%USERPROFILE%\Documents\GitHub\eaglep3\Utilities\RefineRTDCRunTimes.py" --tripid 55-04 --locoid 4022 --swversion DE.1.0.8.0 --startMP 204:1473 --initTime 2016-12-04T17:25:46 --startdatetime 1969-12-31T17:00:00 --delay 1 --endMP 300:23083 --enddatetime 1969-12-31T17:00:00 --enforcementcount 0 &gt;&gt;C:\Users\stu\Documents\GitHub\eaglep3-reporting\EC\2016-12-04-refined-times.txt</v>
      </c>
      <c r="AI207" s="119" t="str">
        <f t="shared" si="109"/>
        <v>echo {"issue":{"subject":"","project_id":79,"tracker_id":40,"status_id":1,"priority_id":2,"assigned_to_id":23,"start_date":"1969-12-31","description":"","custom_fields":[{"id":1,"name":"Subdivision","value":"Other"},{"id":4,"name":"Milepost","value":"2.3083"},{"id":17,"name":"Train ID","value":"55-04"},{"id":16,"name":"Locomotive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38" x14ac:dyDescent="0.25">
      <c r="A208" s="37" t="s">
        <v>597</v>
      </c>
      <c r="B208" s="7">
        <v>4054</v>
      </c>
      <c r="C208" s="22" t="s">
        <v>208</v>
      </c>
      <c r="D208" s="22" t="s">
        <v>785</v>
      </c>
      <c r="E208" s="13">
        <v>42708.727743055555</v>
      </c>
      <c r="F208" s="13">
        <v>42708.729675925926</v>
      </c>
      <c r="G208" s="7">
        <v>2</v>
      </c>
      <c r="H208" s="22" t="s">
        <v>786</v>
      </c>
      <c r="I208" s="13">
        <v>42708.735185185185</v>
      </c>
      <c r="J208" s="7">
        <v>0</v>
      </c>
      <c r="K208" s="109" t="str">
        <f t="shared" si="93"/>
        <v>4053/4054</v>
      </c>
      <c r="L208" s="22" t="str">
        <f>VLOOKUP(A208,'Trips&amp;Operators'!$C$1:$G$99999,5,FALSE)</f>
        <v>NEWELL JAMES</v>
      </c>
      <c r="M208" s="6">
        <f t="shared" si="94"/>
        <v>5.5092592592700385E-3</v>
      </c>
      <c r="N208" s="7">
        <f t="shared" si="107"/>
        <v>7.9333333333488554</v>
      </c>
      <c r="O208" s="7"/>
      <c r="P208" s="7"/>
      <c r="Q208" s="23"/>
      <c r="R208" s="23"/>
      <c r="S208" s="35">
        <f t="shared" si="104"/>
        <v>0</v>
      </c>
      <c r="T208" s="50" t="e">
        <f t="shared" si="95"/>
        <v>#VALUE!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16:27:57-700',mode:absolute,to:'2016-12-04 18:38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08" s="52" t="str">
        <f t="shared" si="97"/>
        <v>Y</v>
      </c>
      <c r="X208" s="177" t="e">
        <f t="shared" si="105"/>
        <v>#VALUE!</v>
      </c>
      <c r="Y208" s="67">
        <f t="shared" si="98"/>
        <v>2.3679999999999999</v>
      </c>
      <c r="Z208" s="67">
        <f t="shared" si="106"/>
        <v>9.0200000000000002E-2</v>
      </c>
      <c r="AA208" s="67">
        <f t="shared" si="110"/>
        <v>2.2778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100"/>
        <v>60-04</v>
      </c>
      <c r="AE208" s="91" t="str">
        <f t="shared" si="101"/>
        <v>aws s3 cp s3://rtdc.mdm.uploadarchive.raw/RTDC4054/ "%USERPROFILE%\AppData\Local\Temp\OnboardLogs"\RTDC4054\2016-12-04 --exclude "*" --recursive --include "*20161204*" &amp; "%USERPROFILE%\Documents\GitHub\mrs-test-scripts\Headless Mode &amp; Sideloading\WalkAndUnGZ.bat" "%USERPROFILE%\AppData\Local\Temp\OnboardLogs"\RTDC4054\2016-12-04 &amp; aws s3 cp s3://rtdc.mdm.uploadarchive.raw/RTDC4054/ "%USERPROFILE%\AppData\Local\Temp\OnboardLogs"\RTDC4054\2016-12-05 --exclude "*" --recursive --include "*20161205*" &amp; "%USERPROFILE%\Documents\GitHub\mrs-test-scripts\Headless Mode &amp; Sideloading\WalkAndUnGZ.bat" "%USERPROFILE%\AppData\Local\Temp\OnboardLogs"\RTDC4054\2016-12-05</v>
      </c>
      <c r="AF208" s="88" t="str">
        <f t="shared" si="102"/>
        <v>"C:\Program Files (x86)\AstroGrep\AstroGrep.exe" /spath="%USERPROFILE%\AppData\Local\Temp\OnboardLogs" /stypes="app*4054*20161205*" /stext=" 00:.+((SYSTEM_STATE.+slice.+state.+changed )|(ment ac)|(multiple cpu faults)|(system.+state.+changed )|(\[timeout)|(PRM\|1\|D)|(kpr)|(kdp)|(\|lc)|(penalty))" /e /r /s</v>
      </c>
      <c r="AG208" s="1" t="str">
        <f t="shared" si="103"/>
        <v>Other</v>
      </c>
      <c r="AH208" s="92" t="str">
        <f t="shared" si="108"/>
        <v>"%USERPROFILE%\Documents\GitHub\eaglep3\Utilities\RefineRTDCRunTimes.py" --tripid 60-04 --locoid 4054 --swversion DE.1.0.8.0 --startMP 300:23680 --initTime 2016-12-04T17:27:57 --startdatetime 2016-12-04T17:30:44 --delay 2 --endMP 204:902 --enddatetime 2016-12-04T17:38:40 --enforcementcount 0 &gt;&gt;C:\Users\stu\Documents\GitHub\eaglep3-reporting\EC\2016-12-04-refined-times.txt</v>
      </c>
      <c r="AI208" s="119" t="str">
        <f t="shared" si="109"/>
        <v>echo {"issue":{"subject":"","project_id":79,"tracker_id":40,"status_id":1,"priority_id":2,"assigned_to_id":23,"start_date":"2016-12-04","description":"","custom_fields":[{"id":1,"name":"Subdivision","value":"Other"},{"id":4,"name":"Milepost","value":"0.0902"},{"id":17,"name":"Train ID","value":"60-04"},{"id":16,"name":"Locomotive ID","value":"4054"},{"id":130,"name":"Impact","value":""},{"id":150,"name":"Time of Event (Mountain Time)","value":"17:38:40"},{"id":151,"name":"Denver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609</v>
      </c>
      <c r="B209" s="7">
        <v>4053</v>
      </c>
      <c r="C209" s="22" t="s">
        <v>208</v>
      </c>
      <c r="D209" s="22" t="s">
        <v>692</v>
      </c>
      <c r="E209" s="13">
        <v>42708.760868055557</v>
      </c>
      <c r="F209" s="13">
        <v>25568.708333333332</v>
      </c>
      <c r="G209" s="7">
        <v>1</v>
      </c>
      <c r="H209" s="22" t="s">
        <v>787</v>
      </c>
      <c r="I209" s="13">
        <v>25568.708333333332</v>
      </c>
      <c r="J209" s="7">
        <v>0</v>
      </c>
      <c r="K209" s="109" t="str">
        <f t="shared" si="93"/>
        <v>4053/4054</v>
      </c>
      <c r="L209" s="22" t="str">
        <f>VLOOKUP(A209,'Trips&amp;Operators'!$C$1:$G$99999,5,FALSE)</f>
        <v>BARTLETT KIANDRA</v>
      </c>
      <c r="M209" s="6">
        <f t="shared" si="94"/>
        <v>0</v>
      </c>
      <c r="N209" s="7">
        <f t="shared" si="107"/>
        <v>0</v>
      </c>
      <c r="O209" s="7"/>
      <c r="P209" s="7"/>
      <c r="Q209" s="23"/>
      <c r="R209" s="23"/>
      <c r="S209" s="35">
        <f t="shared" si="104"/>
        <v>0</v>
      </c>
      <c r="T209" s="50" t="e">
        <f t="shared" si="95"/>
        <v>#VALUE!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96"/>
        <v>https://search-rtdc-monitor-bjffxe2xuh6vdkpspy63sjmuny.us-east-1.es.amazonaws.com/_plugin/kibana/#/discover/Steve-Slow-Train-Analysis-(2080s-and-2083s)?_g=(refreshInterval:(display:Off,section:0,value:0),time:(from:'2016-12-04 17:15:39-700',mode:absolute,to:'1969-12-31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9" s="52" t="str">
        <f t="shared" si="97"/>
        <v>Y</v>
      </c>
      <c r="X209" s="177" t="e">
        <f t="shared" si="105"/>
        <v>#VALUE!</v>
      </c>
      <c r="Y209" s="67">
        <f t="shared" si="98"/>
        <v>0.122</v>
      </c>
      <c r="Z209" s="67">
        <f t="shared" si="106"/>
        <v>2.4241000000000001</v>
      </c>
      <c r="AA209" s="67">
        <f t="shared" si="110"/>
        <v>2.3021000000000003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100"/>
        <v>61-04</v>
      </c>
      <c r="AE209" s="91" t="str">
        <f t="shared" si="101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09" s="88" t="str">
        <f t="shared" si="102"/>
        <v>"C:\Program Files (x86)\AstroGrep\AstroGrep.exe" /spath="%USERPROFILE%\AppData\Local\Temp\OnboardLogs" /stypes="app*4053*19700101*" /stext=" 00:.+((SYSTEM_STATE.+slice.+state.+changed )|(ment ac)|(multiple cpu faults)|(system.+state.+changed )|(\[timeout)|(PRM\|1\|D)|(kpr)|(kdp)|(\|lc)|(penalty))" /e /r /s</v>
      </c>
      <c r="AG209" s="1" t="str">
        <f t="shared" si="103"/>
        <v>Other</v>
      </c>
      <c r="AH209" s="92" t="str">
        <f t="shared" si="108"/>
        <v>"%USERPROFILE%\Documents\GitHub\eaglep3\Utilities\RefineRTDCRunTimes.py" --tripid 61-04 --locoid 4053 --swversion DE.1.0.8.0 --startMP 204:1220 --initTime 2016-12-04T18:15:39 --startdatetime 1969-12-31T17:00:00 --delay 1 --endMP 300:24241 --enddatetime 1969-12-31T17:00:00 --enforcementcount 0 &gt;&gt;C:\Users\stu\Documents\GitHub\eaglep3-reporting\EC\2016-12-04-refined-times.txt</v>
      </c>
      <c r="AI209" s="119" t="str">
        <f t="shared" si="109"/>
        <v>echo {"issue":{"subject":"","project_id":79,"tracker_id":40,"status_id":1,"priority_id":2,"assigned_to_id":23,"start_date":"1969-12-31","description":"","custom_fields":[{"id":1,"name":"Subdivision","value":"Other"},{"id":4,"name":"Milepost","value":"2.4241"},{"id":17,"name":"Train ID","value":"61-04"},{"id":16,"name":"Locomotive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s="21" customFormat="1" x14ac:dyDescent="0.25">
      <c r="A210" s="37" t="s">
        <v>639</v>
      </c>
      <c r="B210" s="7">
        <v>4043</v>
      </c>
      <c r="C210" s="22" t="s">
        <v>208</v>
      </c>
      <c r="D210" s="22" t="s">
        <v>692</v>
      </c>
      <c r="E210" s="13">
        <v>42708.760868055557</v>
      </c>
      <c r="F210" s="13">
        <v>42708.941678240742</v>
      </c>
      <c r="G210" s="7">
        <v>1</v>
      </c>
      <c r="H210" s="22" t="s">
        <v>787</v>
      </c>
      <c r="I210" s="13">
        <v>42708.943379629629</v>
      </c>
      <c r="J210" s="7">
        <v>0</v>
      </c>
      <c r="K210" s="109" t="str">
        <f t="shared" ref="K210" si="111">IF(ISEVEN(B210),(B210-1)&amp;"/"&amp;B210,B210&amp;"/"&amp;(B210+1))</f>
        <v>4043/4044</v>
      </c>
      <c r="L210" s="22" t="str">
        <f>VLOOKUP(A210,'Trips&amp;Operators'!$C$1:$G$99999,5,FALSE)</f>
        <v>LOPES KIMBERLY</v>
      </c>
      <c r="M210" s="6">
        <f t="shared" ref="M210" si="112">I210-F210</f>
        <v>1.7013888864312321E-3</v>
      </c>
      <c r="N210" s="7"/>
      <c r="O210" s="7"/>
      <c r="P210" s="7">
        <f t="shared" si="107"/>
        <v>2.4499999964609742</v>
      </c>
      <c r="Q210" s="23"/>
      <c r="R210" s="23" t="s">
        <v>802</v>
      </c>
      <c r="S210" s="35">
        <f t="shared" ref="S210" si="113">SUM(U210:U210)/IF(AG210="EC",12,1)</f>
        <v>0</v>
      </c>
      <c r="T210" s="50" t="str">
        <f t="shared" ref="T210" si="114">IF(ISEVEN(LEFT(AD210,4)),"Southbound","NorthBound")</f>
        <v>Southbound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ref="V210" si="115">"https://search-rtdc-monitor-bjffxe2xuh6vdkpspy63sjmuny.us-east-1.es.amazonaws.com/_plugin/kibana/#/discover/Steve-Slow-Train-Analysis-(2080s-and-2083s)?_g=(refreshInterval:(display:Off,section:0,value:0),time:(from:'"&amp;TEXT(E210-1/24,"yyyy-MM-DD hh:mm:ss")&amp;utc_offset&amp;"00',mode:absolute,to:'"&amp;TEXT(I210+1/24,"yyyy-MM-DD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210&amp;"%22')),sort:!(Time,asc))"</f>
        <v>https://search-rtdc-monitor-bjffxe2xuh6vdkpspy63sjmuny.us-east-1.es.amazonaws.com/_plugin/kibana/#/discover/Steve-Slow-Train-Analysis-(2080s-and-2083s)?_g=(refreshInterval:(display:Off,section:0,value:0),time:(from:'2016-12-04 17:15:39-700',mode:absolute,to:'2016-12-04 23:38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10" s="52" t="str">
        <f t="shared" ref="W210" si="116">IF(AA210&lt;IF(AG210="EC",23,5.65),"Y","N")</f>
        <v>Y</v>
      </c>
      <c r="X210" s="177" t="e">
        <f t="shared" ref="X210" si="117">VALUE(LEFT(AD210,4))-VALUE(LEFT(AD209,4))</f>
        <v>#VALUE!</v>
      </c>
      <c r="Y210" s="67">
        <f t="shared" ref="Y210" si="118">RIGHT(D210,LEN(D210)-4)/10000</f>
        <v>0.122</v>
      </c>
      <c r="Z210" s="67">
        <f t="shared" ref="Z210" si="119">RIGHT(H210,LEN(H210)-4)/10000</f>
        <v>2.4241000000000001</v>
      </c>
      <c r="AA210" s="67">
        <f t="shared" ref="AA210" si="120">ABS(Z210-Y210)</f>
        <v>2.3021000000000003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ref="AD210" si="121">IF(LEN(A210)=6,"0"&amp;A210,A210)</f>
        <v>1902-04</v>
      </c>
      <c r="AE210" s="91" t="str">
        <f t="shared" ref="AE210" si="122"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 &amp; 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</v>
      </c>
      <c r="AF210" s="88" t="str">
        <f t="shared" ref="AF210" si="123"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/stypes="app*4043*20161205*" /stext=" 05:.+((SYSTEM_STATE.+slice.+state.+changed )|(ment ac)|(multiple cpu faults)|(system.+state.+changed )|(\[timeout)|(PRM\|1\|D)|(kpr)|(kdp)|(\|lc)|(penalty))" /e /r /s</v>
      </c>
      <c r="AG210" s="1" t="str">
        <f t="shared" ref="AG210" si="124">IFERROR(IF(VALUE(LEFT(AD210,2))&lt;=2,"EC",IF(OR(VALUE(LEFT(AD210,2))=8,VALUE(LEFT(AD210,2))=18),"NW","Other")),"Other")</f>
        <v>Other</v>
      </c>
      <c r="AH210" s="92" t="str">
        <f t="shared" ref="AH210" si="125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1902-04 --locoid 4043 --swversion DE.1.0.8.0 --startMP 204:1220 --initTime 2016-12-04T18:15:39 --startdatetime 2016-12-04T22:36:01 --delay 1 --endMP 300:24241 --enddatetime 2016-12-04T22:38:28 --enforcementcount 0 &gt;&gt;C:\Users\stu\Documents\GitHub\eaglep3-reporting\EC\2016-12-04-refined-times.txt</v>
      </c>
      <c r="AI210" s="119" t="str">
        <f t="shared" ref="AI210" si="126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failure","project_id":79,"tracker_id":40,"status_id":1,"priority_id":2,"assigned_to_id":23,"start_date":"2016-12-04","description":"","custom_fields":[{"id":1,"name":"Subdivision","value":"Other"},{"id":4,"name":"Milepost","value":"2.4241"},{"id":17,"name":"Train ID","value":"1902-04"},{"id":16,"name":"Locomotive ID","value":"4043"},{"id":130,"name":"Impact","value":""},{"id":150,"name":"Time of Event (Mountain Time)","value":"22:38:28"},{"id":151,"name":"Denver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S211"/>
      <c r="U211"/>
      <c r="V211"/>
      <c r="W211"/>
      <c r="X211"/>
      <c r="Y211"/>
      <c r="Z211"/>
      <c r="AA211"/>
      <c r="AB211"/>
      <c r="AC211"/>
      <c r="AD211"/>
      <c r="AE211"/>
      <c r="AF211"/>
      <c r="AH211"/>
      <c r="AI211"/>
    </row>
    <row r="212" spans="1:3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S212"/>
      <c r="U212"/>
      <c r="V212"/>
      <c r="W212"/>
      <c r="X212"/>
      <c r="Y212"/>
      <c r="Z212"/>
      <c r="AA212"/>
      <c r="AB212"/>
      <c r="AC212"/>
      <c r="AD212"/>
      <c r="AE212"/>
      <c r="AF212"/>
      <c r="AH212"/>
      <c r="AI212"/>
    </row>
    <row r="213" spans="1:3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S213"/>
      <c r="U213"/>
      <c r="V213"/>
      <c r="W213"/>
      <c r="X213"/>
      <c r="Y213"/>
      <c r="Z213"/>
      <c r="AA213"/>
      <c r="AB213"/>
      <c r="AC213"/>
      <c r="AD213"/>
      <c r="AE213"/>
      <c r="AF213"/>
      <c r="AH213"/>
      <c r="AI213"/>
    </row>
    <row r="214" spans="1:3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S214"/>
      <c r="U214"/>
      <c r="V214"/>
      <c r="W214"/>
      <c r="X214"/>
      <c r="Y214"/>
      <c r="Z214"/>
      <c r="AA214"/>
      <c r="AB214"/>
      <c r="AC214"/>
      <c r="AD214"/>
      <c r="AE214"/>
      <c r="AF214"/>
      <c r="AH214"/>
      <c r="AI214"/>
    </row>
    <row r="215" spans="1:3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S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</row>
    <row r="216" spans="1:3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</row>
    <row r="217" spans="1:3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</row>
    <row r="218" spans="1:3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</row>
    <row r="219" spans="1:3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</row>
    <row r="220" spans="1:3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</row>
    <row r="221" spans="1:3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3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3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3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</sheetData>
  <autoFilter ref="A12:AG235"/>
  <sortState ref="A13:AH200">
    <sortCondition ref="AG13:AG200"/>
    <sortCondition ref="AD13:AD200"/>
  </sortState>
  <mergeCells count="1">
    <mergeCell ref="A11:P11"/>
  </mergeCells>
  <conditionalFormatting sqref="W11:W12 W245:X1048576 W13:X210">
    <cfRule type="cellIs" dxfId="10" priority="344" operator="equal">
      <formula>"Y"</formula>
    </cfRule>
  </conditionalFormatting>
  <conditionalFormatting sqref="X245:X1048576 X13:X210">
    <cfRule type="cellIs" dxfId="9" priority="327" operator="greaterThan">
      <formula>1</formula>
    </cfRule>
  </conditionalFormatting>
  <conditionalFormatting sqref="X245:X1048576 X12:X210">
    <cfRule type="cellIs" dxfId="8" priority="324" operator="equal">
      <formula>0</formula>
    </cfRule>
  </conditionalFormatting>
  <conditionalFormatting sqref="A13:S210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A13:S210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AK13:AK210</xm:sqref>
        </x14:dataValidation>
        <x14:dataValidation type="list" allowBlank="1" showInputMessage="1" showErrorMessage="1">
          <x14:formula1>
            <xm:f>'Redmine List Values'!$C$2:$C$15</xm:f>
          </x14:formula1>
          <xm:sqref>AL13:AL210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5"/>
  <sheetViews>
    <sheetView topLeftCell="A2" workbookViewId="0">
      <selection activeCell="P8" sqref="P8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COUNTIF($O$7:$O$334,"=Y")</f>
        <v>3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COUNTA($O$7:$O$334)-O2</f>
        <v>18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3" t="str">
        <f>"Eagle P3 Braking Events - "&amp;TEXT(Variables!$A$2,"YYYY-mm-dd")</f>
        <v>Eagle P3 Braking Events - 2016-12-04</v>
      </c>
      <c r="B5" s="183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234</v>
      </c>
    </row>
    <row r="7" spans="1:30" s="1" customFormat="1" x14ac:dyDescent="0.25">
      <c r="A7" s="36">
        <v>42708.769942129627</v>
      </c>
      <c r="B7" s="31" t="s">
        <v>250</v>
      </c>
      <c r="C7" s="31" t="s">
        <v>456</v>
      </c>
      <c r="D7" s="31" t="s">
        <v>98</v>
      </c>
      <c r="E7" s="31" t="s">
        <v>197</v>
      </c>
      <c r="F7" s="47">
        <v>350</v>
      </c>
      <c r="G7" s="47">
        <v>400</v>
      </c>
      <c r="H7" s="47">
        <v>224563</v>
      </c>
      <c r="I7" s="47">
        <v>223231</v>
      </c>
      <c r="J7" s="31" t="s">
        <v>198</v>
      </c>
      <c r="K7" s="47">
        <v>232107</v>
      </c>
      <c r="L7" s="154" t="s">
        <v>51</v>
      </c>
      <c r="M7" s="155">
        <f t="shared" ref="M7:M27" si="0">CONVERT((I7-K7)/10000,"mi","ft")*IF(L7="Increasing Mileposts (1)",-1,1)</f>
        <v>-4686.5280000000002</v>
      </c>
      <c r="N7" s="156" t="str">
        <f>VLOOKUP(C7,'Trips&amp;Operators'!$C$1:$G$99999,5,FALSE)</f>
        <v>YOUNG ELIZABETH</v>
      </c>
      <c r="O7" s="182" t="s">
        <v>196</v>
      </c>
      <c r="P7" s="157"/>
      <c r="Q7" s="31"/>
      <c r="R7" s="100" t="str">
        <f>VLOOKUP(C7,'Train Runs'!$A$13:$AE$9979,31,0)</f>
        <v>aws s3 cp s3://rtdc.mdm.uploadarchive.raw/RTDC4041/ "%USERPROFILE%\AppData\Local\Temp\OnboardLogs"\RTDC4041\2016-12-04 --exclude "*" --recursive --include "*20161204*" &amp; "%USERPROFILE%\Documents\GitHub\mrs-test-scripts\Headless Mode &amp; Sideloading\WalkAndUnGZ.bat" "%USERPROFILE%\AppData\Local\Temp\OnboardLogs"\RTDC4041\2016-12-04 &amp; aws s3 cp s3://rtdc.mdm.uploadarchive.raw/RTDC4041/ "%USERPROFILE%\AppData\Local\Temp\OnboardLogs"\RTDC4041\2016-12-05 --exclude "*" --recursive --include "*20161205*" &amp; "%USERPROFILE%\Documents\GitHub\mrs-test-scripts\Headless Mode &amp; Sideloading\WalkAndUnGZ.bat" "%USERPROFILE%\AppData\Local\Temp\OnboardLogs"\RTDC4041\2016-12-05</v>
      </c>
      <c r="S7" s="103" t="str">
        <f>VLOOKUP(C7,'Train Runs'!$A$13:$AE$9979,22,0)</f>
        <v>https://search-rtdc-monitor-bjffxe2xuh6vdkpspy63sjmuny.us-east-1.es.amazonaws.com/_plugin/kibana/#/discover/Steve-Slow-Train-Analysis-(2080s-and-2083s)?_g=(refreshInterval:(display:Off,section:0,value:0),time:(from:'2016-12-04 17:11:01-700',mode:absolute,to:'2016-12-04 20:09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7" s="105" t="str">
        <f t="shared" ref="T7:T27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/stypes="*4041*201612050*" /stext=" 01:.+((SYSTEM_STATE.+slice.+state.+changed )|(ment ac)|(multiple cpu faults)|(system.+state.+changed )|(\[timeout)|(PRM\|1\|D)|(kpr)|(kdp)|(\|lc)|(penalty))" /e /r /s</v>
      </c>
      <c r="U7" s="9" t="str">
        <f t="shared" ref="U7:U27" si="2">MID(B7,13,4)</f>
        <v>4041</v>
      </c>
      <c r="V7" s="36">
        <f t="shared" ref="V7:V27" si="3">A7-utc_offset/24</f>
        <v>42709.061608796292</v>
      </c>
      <c r="W7" s="50" t="str">
        <f t="shared" ref="W7:W27" si="4">IF(VALUE(LEFT(IF(LEN(C7)=6,"0"&amp;C7,C7),2))&lt;=2,"EC",IF(OR(VALUE(LEFT(IF(LEN(C7)=6,"0"&amp;C7,C7),2))=8,VALUE(LEFT(IF(LEN(C7)=6,"0"&amp;C7,C7),2))=18),"NW","Other"))</f>
        <v>EC</v>
      </c>
      <c r="X7" s="50" t="str">
        <f t="shared" ref="X7:X27" si="5">IF(AND(E7="TRACK WARRANT AUTHORITY",G7&lt;10),"OMIT","KEEP")</f>
        <v>KEEP</v>
      </c>
      <c r="Y7" s="119" t="str">
        <f t="shared" ref="Y7:Y2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{"issue":{"subject":"","project_id":79,"tracker_id":40,"status_id":1,"priority_id":2,"assigned_to_id":23,"start_date":"2016-12-04","description":"","custom_fields":[{"id":1,"name":"Subdivision","value":"EC"},{"id":4,"name":"Milepost","value":"23.2107"},{"id":17,"name":"Train ID","value":"212-04"},{"id":16,"name":"Locomotive ID","value":"4041"},{"id":130,"name":"Impact","value":""},{"id":150,"name":"Time of Event (Mountain Time)","value":"18:28:43"},{"id":151,"name":"Denver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27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"%USERPROFILE%\AppData\Local\Temp\OnboardLogs"\RTDC4041\*4041*201612050*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"%USERPROFILE%\AppData\Local\Temp\OnboardLogs"\RTDC4041\*4041*201612050* &gt;&gt; 42708-slicedisagreementcheck.txt</v>
      </c>
    </row>
    <row r="8" spans="1:30" s="1" customFormat="1" x14ac:dyDescent="0.25">
      <c r="A8" s="36">
        <v>42708.450104166666</v>
      </c>
      <c r="B8" s="31" t="s">
        <v>241</v>
      </c>
      <c r="C8" s="31" t="s">
        <v>451</v>
      </c>
      <c r="D8" s="31" t="s">
        <v>49</v>
      </c>
      <c r="E8" s="31" t="s">
        <v>199</v>
      </c>
      <c r="F8" s="47">
        <v>0</v>
      </c>
      <c r="G8" s="47">
        <v>400</v>
      </c>
      <c r="H8" s="47">
        <v>9145</v>
      </c>
      <c r="I8" s="47">
        <v>10208</v>
      </c>
      <c r="J8" s="31" t="s">
        <v>200</v>
      </c>
      <c r="K8" s="47">
        <v>10800</v>
      </c>
      <c r="L8" s="154" t="s">
        <v>50</v>
      </c>
      <c r="M8" s="155">
        <f t="shared" si="0"/>
        <v>312.57600000000002</v>
      </c>
      <c r="N8" s="156" t="str">
        <f>VLOOKUP(C8,'Trips&amp;Operators'!$C$1:$G$99999,5,FALSE)</f>
        <v>YORK EDGAR</v>
      </c>
      <c r="O8" s="182" t="s">
        <v>236</v>
      </c>
      <c r="P8" s="157" t="s">
        <v>809</v>
      </c>
      <c r="Q8" s="31"/>
      <c r="R8" s="100" t="str">
        <f>VLOOKUP(C8,'Train Runs'!$A$13:$AE$9979,31,0)</f>
        <v>aws s3 cp s3://rtdc.mdm.uploadarchive.raw/RTDC4031/ "%USERPROFILE%\AppData\Local\Temp\OnboardLogs"\RTDC4031\2016-12-04 --exclude "*" --recursive --include "*20161204*" &amp; "%USERPROFILE%\Documents\GitHub\mrs-test-scripts\Headless Mode &amp; Sideloading\WalkAndUnGZ.bat" "%USERPROFILE%\AppData\Local\Temp\OnboardLogs"\RTDC4031\2016-12-04 &amp; aws s3 cp s3://rtdc.mdm.uploadarchive.raw/RTDC4031/ "%USERPROFILE%\AppData\Local\Temp\OnboardLogs"\RTDC4031\2016-12-05 --exclude "*" --recursive --include "*20161205*" &amp; "%USERPROFILE%\Documents\GitHub\mrs-test-scripts\Headless Mode &amp; Sideloading\WalkAndUnGZ.bat" "%USERPROFILE%\AppData\Local\Temp\OnboardLogs"\RTDC4031\2016-12-05</v>
      </c>
      <c r="S8" s="103" t="str">
        <f>VLOOKUP(C8,'Train Runs'!$A$13:$AE$9979,22,0)</f>
        <v>https://search-rtdc-monitor-bjffxe2xuh6vdkpspy63sjmuny.us-east-1.es.amazonaws.com/_plugin/kibana/#/discover/Steve-Slow-Train-Analysis-(2080s-and-2083s)?_g=(refreshInterval:(display:Off,section:0,value:0),time:(from:'2016-12-04 09:42:40-700',mode:absolute,to:'2016-12-04 12:20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8" s="105" t="str">
        <f t="shared" si="1"/>
        <v>"C:\Program Files (x86)\AstroGrep\AstroGrep.exe" /spath="%USERPROFILE%\AppData\Local\Temp\OnboardLogs" /stypes="*4031*201612041*" /stext=" 17:.+((SYSTEM_STATE.+slice.+state.+changed )|(ment ac)|(multiple cpu faults)|(system.+state.+changed )|(\[timeout)|(PRM\|1\|D)|(kpr)|(kdp)|(\|lc)|(penalty))" /e /r /s</v>
      </c>
      <c r="U8" s="9" t="str">
        <f t="shared" si="2"/>
        <v>4031</v>
      </c>
      <c r="V8" s="36">
        <f t="shared" si="3"/>
        <v>42708.741770833331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{"issue":{"subject":"Wi-MAX data drop","project_id":79,"tracker_id":40,"status_id":1,"priority_id":2,"assigned_to_id":23,"start_date":"2016-12-04","description":"","custom_fields":[{"id":1,"name":"Subdivision","value":"EC"},{"id":4,"name":"Milepost","value":"1.08"},{"id":17,"name":"Train ID","value":"157-04"},{"id":16,"name":"Locomotive ID","value":"4031"},{"id":130,"name":"Impact","value":""},{"id":150,"name":"Time of Event (Mountain Time)","value":"10:48:09"},{"id":151,"name":"Denver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"%USERPROFILE%\AppData\Local\Temp\OnboardLogs"\RTDC4031\*4031*201612041*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"%USERPROFILE%\AppData\Local\Temp\OnboardLogs"\RTDC4031\*4031*201612041* &gt;&gt; 42708-slicedisagreementcheck.txt</v>
      </c>
    </row>
    <row r="9" spans="1:30" s="1" customFormat="1" x14ac:dyDescent="0.25">
      <c r="A9" s="36">
        <v>42708.954444444447</v>
      </c>
      <c r="B9" s="31" t="s">
        <v>337</v>
      </c>
      <c r="C9" s="31" t="s">
        <v>457</v>
      </c>
      <c r="D9" s="31" t="s">
        <v>98</v>
      </c>
      <c r="E9" s="31" t="s">
        <v>199</v>
      </c>
      <c r="F9" s="47">
        <v>200</v>
      </c>
      <c r="G9" s="47">
        <v>273</v>
      </c>
      <c r="H9" s="47">
        <v>65468</v>
      </c>
      <c r="I9" s="47">
        <v>66294</v>
      </c>
      <c r="J9" s="31" t="s">
        <v>200</v>
      </c>
      <c r="K9" s="47">
        <v>63995</v>
      </c>
      <c r="L9" s="154" t="s">
        <v>50</v>
      </c>
      <c r="M9" s="155">
        <f t="shared" si="0"/>
        <v>-1213.8720000000001</v>
      </c>
      <c r="N9" s="156" t="str">
        <f>VLOOKUP(C9,'Trips&amp;Operators'!$C$1:$G$99999,5,FALSE)</f>
        <v>CHANDLER KELVIN</v>
      </c>
      <c r="O9" s="182" t="s">
        <v>196</v>
      </c>
      <c r="P9" s="157" t="s">
        <v>808</v>
      </c>
      <c r="Q9" s="31"/>
      <c r="R9" s="100" t="str">
        <f>VLOOKUP(C9,'Train Runs'!$A$13:$AE$9979,31,0)</f>
        <v>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 &amp; aws s3 cp s3://rtdc.mdm.uploadarchive.raw/RTDC4027/ "%USERPROFILE%\AppData\Local\Temp\OnboardLogs"\RTDC4027\2016-12-05 --exclude "*" --recursive --include "*20161205*" &amp; "%USERPROFILE%\Documents\GitHub\mrs-test-scripts\Headless Mode &amp; Sideloading\WalkAndUnGZ.bat" "%USERPROFILE%\AppData\Local\Temp\OnboardLogs"\RTDC4027\2016-12-05</v>
      </c>
      <c r="S9" s="103" t="str">
        <f>VLOOKUP(C9,'Train Runs'!$A$13:$AE$9979,22,0)</f>
        <v>https://search-rtdc-monitor-bjffxe2xuh6vdkpspy63sjmuny.us-east-1.es.amazonaws.com/_plugin/kibana/#/discover/Steve-Slow-Train-Analysis-(2080s-and-2083s)?_g=(refreshInterval:(display:Off,section:0,value:0),time:(from:'2016-12-04 21:52:27-700',mode:absolute,to:'2016-12-05 00:16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9" s="105" t="str">
        <f t="shared" si="1"/>
        <v>"C:\Program Files (x86)\AstroGrep\AstroGrep.exe" /spath="%USERPROFILE%\AppData\Local\Temp\OnboardLogs" /stypes="*4027*201612050*" /stext=" 05:.+((SYSTEM_STATE.+slice.+state.+changed )|(ment ac)|(multiple cpu faults)|(system.+state.+changed )|(\[timeout)|(PRM\|1\|D)|(kpr)|(kdp)|(\|lc)|(penalty))" /e /r /s</v>
      </c>
      <c r="U9" s="9" t="str">
        <f t="shared" si="2"/>
        <v>4027</v>
      </c>
      <c r="V9" s="36">
        <f t="shared" si="3"/>
        <v>42709.246111111112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Overspeed","project_id":79,"tracker_id":40,"status_id":1,"priority_id":2,"assigned_to_id":23,"start_date":"2016-12-04","description":"","custom_fields":[{"id":1,"name":"Subdivision","value":"EC"},{"id":4,"name":"Milepost","value":"6.3995"},{"id":17,"name":"Train ID","value":"235-04"},{"id":16,"name":"Locomotive ID","value":"4027"},{"id":130,"name":"Impact","value":""},{"id":150,"name":"Time of Event (Mountain Time)","value":"22:54:24"},{"id":151,"name":"Denver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"%USERPROFILE%\AppData\Local\Temp\OnboardLogs"\RTDC4027\*4027*201612050*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"%USERPROFILE%\AppData\Local\Temp\OnboardLogs"\RTDC4027\*4027*201612050* &gt;&gt; 42708-slicedisagreementcheck.txt</v>
      </c>
    </row>
    <row r="10" spans="1:30" s="1" customFormat="1" x14ac:dyDescent="0.25">
      <c r="A10" s="36">
        <v>42708.414930555555</v>
      </c>
      <c r="B10" s="31" t="s">
        <v>300</v>
      </c>
      <c r="C10" s="31" t="s">
        <v>449</v>
      </c>
      <c r="D10" s="31" t="s">
        <v>49</v>
      </c>
      <c r="E10" s="31" t="s">
        <v>199</v>
      </c>
      <c r="F10" s="47">
        <v>0</v>
      </c>
      <c r="G10" s="47">
        <v>354</v>
      </c>
      <c r="H10" s="47">
        <v>106327</v>
      </c>
      <c r="I10" s="47">
        <v>107115</v>
      </c>
      <c r="J10" s="31" t="s">
        <v>200</v>
      </c>
      <c r="K10" s="47">
        <v>107939</v>
      </c>
      <c r="L10" s="154" t="s">
        <v>50</v>
      </c>
      <c r="M10" s="155">
        <f t="shared" si="0"/>
        <v>435.072</v>
      </c>
      <c r="N10" s="156" t="str">
        <f>VLOOKUP(C10,'Trips&amp;Operators'!$C$1:$G$99999,5,FALSE)</f>
        <v>MAELZER KURT</v>
      </c>
      <c r="O10" s="182" t="s">
        <v>196</v>
      </c>
      <c r="P10" s="157" t="s">
        <v>810</v>
      </c>
      <c r="Q10" s="31"/>
      <c r="R10" s="100" t="str">
        <f>VLOOKUP(C10,'Train Runs'!$A$13:$AE$9979,31,0)</f>
        <v>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 &amp; aws s3 cp s3://rtdc.mdm.uploadarchive.raw/RTDC4029/ "%USERPROFILE%\AppData\Local\Temp\OnboardLogs"\RTDC4029\2016-12-05 --exclude "*" --recursive --include "*20161205*" &amp; "%USERPROFILE%\Documents\GitHub\mrs-test-scripts\Headless Mode &amp; Sideloading\WalkAndUnGZ.bat" "%USERPROFILE%\AppData\Local\Temp\OnboardLogs"\RTDC4029\2016-12-05</v>
      </c>
      <c r="S10" s="103" t="str">
        <f>VLOOKUP(C10,'Train Runs'!$A$13:$AE$9979,22,0)</f>
        <v>https://search-rtdc-monitor-bjffxe2xuh6vdkpspy63sjmuny.us-east-1.es.amazonaws.com/_plugin/kibana/#/discover/Steve-Slow-Train-Analysis-(2080s-and-2083s)?_g=(refreshInterval:(display:Off,section:0,value:0),time:(from:'2016-12-04 08:22:50-700',mode:absolute,to:'2016-12-04 11:16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0" s="105" t="str">
        <f t="shared" si="1"/>
        <v>"C:\Program Files (x86)\AstroGrep\AstroGrep.exe" /spath="%USERPROFILE%\AppData\Local\Temp\OnboardLogs" /stypes="*4029*201612041*" /stext=" 16:.+((SYSTEM_STATE.+slice.+state.+changed )|(ment ac)|(multiple cpu faults)|(system.+state.+changed )|(\[timeout)|(PRM\|1\|D)|(kpr)|(kdp)|(\|lc)|(penalty))" /e /r /s</v>
      </c>
      <c r="U10" s="9" t="str">
        <f t="shared" si="2"/>
        <v>4029</v>
      </c>
      <c r="V10" s="36">
        <f t="shared" si="3"/>
        <v>42708.706597222219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{"issue":{"subject":"Chambers 2N STOP","project_id":79,"tracker_id":40,"status_id":1,"priority_id":2,"assigned_to_id":23,"start_date":"2016-12-04","description":"","custom_fields":[{"id":1,"name":"Subdivision","value":"EC"},{"id":4,"name":"Milepost","value":"10.7939"},{"id":17,"name":"Train ID","value":"147-04"},{"id":16,"name":"Locomotive ID","value":"4029"},{"id":130,"name":"Impact","value":""},{"id":150,"name":"Time of Event (Mountain Time)","value":"09:57:30"},{"id":151,"name":"Denver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"%USERPROFILE%\AppData\Local\Temp\OnboardLogs"\RTDC4029\*4029*201612041*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"%USERPROFILE%\AppData\Local\Temp\OnboardLogs"\RTDC4029\*4029*201612041* &gt;&gt; 42708-slicedisagreementcheck.txt</v>
      </c>
    </row>
    <row r="11" spans="1:30" s="1" customFormat="1" x14ac:dyDescent="0.25">
      <c r="A11" s="36">
        <v>42708.590648148151</v>
      </c>
      <c r="B11" s="31" t="s">
        <v>297</v>
      </c>
      <c r="C11" s="31" t="s">
        <v>453</v>
      </c>
      <c r="D11" s="31" t="s">
        <v>49</v>
      </c>
      <c r="E11" s="31" t="s">
        <v>199</v>
      </c>
      <c r="F11" s="47">
        <v>0</v>
      </c>
      <c r="G11" s="47">
        <v>121</v>
      </c>
      <c r="H11" s="47">
        <v>128032</v>
      </c>
      <c r="I11" s="47">
        <v>127915</v>
      </c>
      <c r="J11" s="31" t="s">
        <v>200</v>
      </c>
      <c r="K11" s="47">
        <v>127587</v>
      </c>
      <c r="L11" s="154" t="s">
        <v>51</v>
      </c>
      <c r="M11" s="155">
        <f t="shared" si="0"/>
        <v>173.18400000000003</v>
      </c>
      <c r="N11" s="156" t="str">
        <f>VLOOKUP(C11,'Trips&amp;Operators'!$C$1:$G$99999,5,FALSE)</f>
        <v>BARTLETT KIANDRA</v>
      </c>
      <c r="O11" s="182" t="s">
        <v>196</v>
      </c>
      <c r="P11" s="157" t="s">
        <v>806</v>
      </c>
      <c r="Q11" s="31"/>
      <c r="R11" s="100" t="str">
        <f>VLOOKUP(C11,'Train Runs'!$A$13:$AE$9979,31,0)</f>
        <v>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 &amp; aws s3 cp s3://rtdc.mdm.uploadarchive.raw/RTDC4030/ "%USERPROFILE%\AppData\Local\Temp\OnboardLogs"\RTDC4030\2016-12-05 --exclude "*" --recursive --include "*20161205*" &amp; "%USERPROFILE%\Documents\GitHub\mrs-test-scripts\Headless Mode &amp; Sideloading\WalkAndUnGZ.bat" "%USERPROFILE%\AppData\Local\Temp\OnboardLogs"\RTDC4030\2016-12-05</v>
      </c>
      <c r="S11" s="103" t="str">
        <f>VLOOKUP(C11,'Train Runs'!$A$13:$AE$9979,22,0)</f>
        <v>https://search-rtdc-monitor-bjffxe2xuh6vdkpspy63sjmuny.us-east-1.es.amazonaws.com/_plugin/kibana/#/discover/Steve-Slow-Train-Analysis-(2080s-and-2083s)?_g=(refreshInterval:(display:Off,section:0,value:0),time:(from:'2016-12-04 12:40:43-700',mode:absolute,to:'2016-12-04 15:36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11" s="105" t="str">
        <f t="shared" si="1"/>
        <v>"C:\Program Files (x86)\AstroGrep\AstroGrep.exe" /spath="%USERPROFILE%\AppData\Local\Temp\OnboardLogs" /stypes="*4030*201612042*" /stext=" 21:.+((SYSTEM_STATE.+slice.+state.+changed )|(ment ac)|(multiple cpu faults)|(system.+state.+changed )|(\[timeout)|(PRM\|1\|D)|(kpr)|(kdp)|(\|lc)|(penalty))" /e /r /s</v>
      </c>
      <c r="U11" s="9" t="str">
        <f t="shared" si="2"/>
        <v>4030</v>
      </c>
      <c r="V11" s="36">
        <f t="shared" si="3"/>
        <v>42708.882314814815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{"issue":{"subject":"40th 4S STOP","project_id":79,"tracker_id":40,"status_id":1,"priority_id":2,"assigned_to_id":23,"start_date":"2016-12-04","description":"","custom_fields":[{"id":1,"name":"Subdivision","value":"EC"},{"id":4,"name":"Milepost","value":"12.7587"},{"id":17,"name":"Train ID","value":"176-04"},{"id":16,"name":"Locomotive ID","value":"4030"},{"id":130,"name":"Impact","value":""},{"id":150,"name":"Time of Event (Mountain Time)","value":"14:10:32"},{"id":151,"name":"Denver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"%USERPROFILE%\AppData\Local\Temp\OnboardLogs"\RTDC4030\*4030*201612042*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"%USERPROFILE%\AppData\Local\Temp\OnboardLogs"\RTDC4030\*4030*201612042* &gt;&gt; 42708-slicedisagreementcheck.txt</v>
      </c>
    </row>
    <row r="12" spans="1:30" s="1" customFormat="1" x14ac:dyDescent="0.25">
      <c r="A12" s="36">
        <v>42708.394791666666</v>
      </c>
      <c r="B12" s="31" t="s">
        <v>241</v>
      </c>
      <c r="C12" s="31" t="s">
        <v>446</v>
      </c>
      <c r="D12" s="31" t="s">
        <v>49</v>
      </c>
      <c r="E12" s="31" t="s">
        <v>199</v>
      </c>
      <c r="F12" s="47">
        <v>0</v>
      </c>
      <c r="G12" s="47">
        <v>702</v>
      </c>
      <c r="H12" s="47">
        <v>172547</v>
      </c>
      <c r="I12" s="47">
        <v>175972</v>
      </c>
      <c r="J12" s="31" t="s">
        <v>200</v>
      </c>
      <c r="K12" s="47">
        <v>175383</v>
      </c>
      <c r="L12" s="154" t="s">
        <v>50</v>
      </c>
      <c r="M12" s="155">
        <f t="shared" si="0"/>
        <v>-310.99200000000002</v>
      </c>
      <c r="N12" s="156" t="str">
        <f>VLOOKUP(C12,'Trips&amp;Operators'!$C$1:$G$99999,5,FALSE)</f>
        <v>YORK EDGAR</v>
      </c>
      <c r="O12" s="182" t="s">
        <v>236</v>
      </c>
      <c r="P12" s="157" t="s">
        <v>811</v>
      </c>
      <c r="Q12" s="31"/>
      <c r="R12" s="100" t="str">
        <f>VLOOKUP(C12,'Train Runs'!$A$13:$AE$9979,31,0)</f>
        <v>aws s3 cp s3://rtdc.mdm.uploadarchive.raw/RTDC4031/ "%USERPROFILE%\AppData\Local\Temp\OnboardLogs"\RTDC4031\2016-12-04 --exclude "*" --recursive --include "*20161204*" &amp; "%USERPROFILE%\Documents\GitHub\mrs-test-scripts\Headless Mode &amp; Sideloading\WalkAndUnGZ.bat" "%USERPROFILE%\AppData\Local\Temp\OnboardLogs"\RTDC4031\2016-12-04 &amp; aws s3 cp s3://rtdc.mdm.uploadarchive.raw/RTDC4031/ "%USERPROFILE%\AppData\Local\Temp\OnboardLogs"\RTDC4031\2016-12-05 --exclude "*" --recursive --include "*20161205*" &amp; "%USERPROFILE%\Documents\GitHub\mrs-test-scripts\Headless Mode &amp; Sideloading\WalkAndUnGZ.bat" "%USERPROFILE%\AppData\Local\Temp\OnboardLogs"\RTDC4031\2016-12-05</v>
      </c>
      <c r="S12" s="103" t="str">
        <f>VLOOKUP(C12,'Train Runs'!$A$13:$AE$9979,22,0)</f>
        <v>https://search-rtdc-monitor-bjffxe2xuh6vdkpspy63sjmuny.us-east-1.es.amazonaws.com/_plugin/kibana/#/discover/Steve-Slow-Train-Analysis-(2080s-and-2083s)?_g=(refreshInterval:(display:Off,section:0,value:0),time:(from:'2016-12-04 07:51:09-700',mode:absolute,to:'2016-12-04 10:41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2" s="105" t="str">
        <f t="shared" si="1"/>
        <v>"C:\Program Files (x86)\AstroGrep\AstroGrep.exe" /spath="%USERPROFILE%\AppData\Local\Temp\OnboardLogs" /stypes="*4031*201612041*" /stext=" 16:.+((SYSTEM_STATE.+slice.+state.+changed )|(ment ac)|(multiple cpu faults)|(system.+state.+changed )|(\[timeout)|(PRM\|1\|D)|(kpr)|(kdp)|(\|lc)|(penalty))" /e /r /s</v>
      </c>
      <c r="U12" s="9" t="str">
        <f t="shared" si="2"/>
        <v>4031</v>
      </c>
      <c r="V12" s="36">
        <f t="shared" si="3"/>
        <v>42708.68645833333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{"issue":{"subject":"Premature downgrade at EC1752RH 167-1T 1N","project_id":79,"tracker_id":40,"status_id":1,"priority_id":2,"assigned_to_id":23,"start_date":"2016-12-04","description":"At 09:27:58, EC1752RH 167-1T 1N dropped from 270 to STOP &amp; PROCEED. Anything odd in the logs around this time?","custom_fields":[{"id":1,"name":"Subdivision","value":"EC"},{"id":4,"name":"Milepost","value":"17.5383"},{"id":17,"name":"Train ID","value":"143-04"},{"id":16,"name":"Locomotive ID","value":"4031"},{"id":130,"name":"Impact","value":"Enforcement"},{"id":150,"name":"Time of Event (Mountain Time)","value":"09:28:30"},{"id":151,"name":"Denver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2" s="53" t="s">
        <v>812</v>
      </c>
      <c r="AA12" s="53" t="s">
        <v>125</v>
      </c>
      <c r="AB12" s="53" t="s">
        <v>130</v>
      </c>
      <c r="AC12" s="138" t="str">
        <f t="shared" si="7"/>
        <v>grep -hSE -A100 "Enforcement Action" "%USERPROFILE%\AppData\Local\Temp\OnboardLogs"\RTDC4031\*4031*201612041*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"%USERPROFILE%\AppData\Local\Temp\OnboardLogs"\RTDC4031\*4031*201612041* &gt;&gt; 42708-slicedisagreementcheck.txt</v>
      </c>
    </row>
    <row r="13" spans="1:30" s="1" customFormat="1" x14ac:dyDescent="0.25">
      <c r="A13" s="36">
        <v>42708.449212962965</v>
      </c>
      <c r="B13" s="31" t="s">
        <v>336</v>
      </c>
      <c r="C13" s="31" t="s">
        <v>450</v>
      </c>
      <c r="D13" s="31" t="s">
        <v>49</v>
      </c>
      <c r="E13" s="31" t="s">
        <v>199</v>
      </c>
      <c r="F13" s="47">
        <v>0</v>
      </c>
      <c r="G13" s="47">
        <v>545</v>
      </c>
      <c r="H13" s="47">
        <v>194977</v>
      </c>
      <c r="I13" s="47">
        <v>193393</v>
      </c>
      <c r="J13" s="31" t="s">
        <v>200</v>
      </c>
      <c r="K13" s="47">
        <v>191723</v>
      </c>
      <c r="L13" s="154" t="s">
        <v>51</v>
      </c>
      <c r="M13" s="155">
        <f t="shared" si="0"/>
        <v>881.76</v>
      </c>
      <c r="N13" s="156" t="str">
        <f>VLOOKUP(C13,'Trips&amp;Operators'!$C$1:$G$99999,5,FALSE)</f>
        <v>HAITHCOX MICHAEL</v>
      </c>
      <c r="O13" s="182" t="s">
        <v>196</v>
      </c>
      <c r="P13" s="157" t="s">
        <v>805</v>
      </c>
      <c r="Q13" s="31"/>
      <c r="R13" s="100" t="str">
        <f>VLOOKUP(C13,'Train Runs'!$A$13:$AE$9979,31,0)</f>
        <v>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 &amp; aws s3 cp s3://rtdc.mdm.uploadarchive.raw/RTDC4028/ "%USERPROFILE%\AppData\Local\Temp\OnboardLogs"\RTDC4028\2016-12-05 --exclude "*" --recursive --include "*20161205*" &amp; "%USERPROFILE%\Documents\GitHub\mrs-test-scripts\Headless Mode &amp; Sideloading\WalkAndUnGZ.bat" "%USERPROFILE%\AppData\Local\Temp\OnboardLogs"\RTDC4028\2016-12-05</v>
      </c>
      <c r="S13" s="103" t="str">
        <f>VLOOKUP(C13,'Train Runs'!$A$13:$AE$9979,22,0)</f>
        <v>https://search-rtdc-monitor-bjffxe2xuh6vdkpspy63sjmuny.us-east-1.es.amazonaws.com/_plugin/kibana/#/discover/Steve-Slow-Train-Analysis-(2080s-and-2083s)?_g=(refreshInterval:(display:Off,section:0,value:0),time:(from:'2016-12-04 09:36:48-700',mode:absolute,to:'2016-12-04 12:20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3" s="105" t="str">
        <f t="shared" si="1"/>
        <v>"C:\Program Files (x86)\AstroGrep\AstroGrep.exe" /spath="%USERPROFILE%\AppData\Local\Temp\OnboardLogs" /stypes="*4028*201612041*" /stext=" 17:.+((SYSTEM_STATE.+slice.+state.+changed )|(ment ac)|(multiple cpu faults)|(system.+state.+changed )|(\[timeout)|(PRM\|1\|D)|(kpr)|(kdp)|(\|lc)|(penalty))" /e /r /s</v>
      </c>
      <c r="U13" s="9" t="str">
        <f t="shared" si="2"/>
        <v>4028</v>
      </c>
      <c r="V13" s="36">
        <f t="shared" si="3"/>
        <v>42708.740879629629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{"issue":{"subject":"Pena 4S STOP","project_id":79,"tracker_id":40,"status_id":1,"priority_id":2,"assigned_to_id":23,"start_date":"2016-12-04","description":"","custom_fields":[{"id":1,"name":"Subdivision","value":"EC"},{"id":4,"name":"Milepost","value":"19.1723"},{"id":17,"name":"Train ID","value":"150-04"},{"id":16,"name":"Locomotive ID","value":"4028"},{"id":130,"name":"Impact","value":""},{"id":150,"name":"Time of Event (Mountain Time)","value":"10:46:52"},{"id":151,"name":"Denver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"%USERPROFILE%\AppData\Local\Temp\OnboardLogs"\RTDC4028\*4028*201612041*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"%USERPROFILE%\AppData\Local\Temp\OnboardLogs"\RTDC4028\*4028*201612041* &gt;&gt; 42708-slicedisagreementcheck.txt</v>
      </c>
    </row>
    <row r="14" spans="1:30" s="1" customFormat="1" x14ac:dyDescent="0.25">
      <c r="A14" s="36">
        <v>42708.532777777778</v>
      </c>
      <c r="B14" s="31" t="s">
        <v>340</v>
      </c>
      <c r="C14" s="31" t="s">
        <v>452</v>
      </c>
      <c r="D14" s="31" t="s">
        <v>49</v>
      </c>
      <c r="E14" s="31" t="s">
        <v>199</v>
      </c>
      <c r="F14" s="47">
        <v>0</v>
      </c>
      <c r="G14" s="47">
        <v>524</v>
      </c>
      <c r="H14" s="47">
        <v>195403</v>
      </c>
      <c r="I14" s="47">
        <v>194029</v>
      </c>
      <c r="J14" s="31" t="s">
        <v>200</v>
      </c>
      <c r="K14" s="47">
        <v>191723</v>
      </c>
      <c r="L14" s="154" t="s">
        <v>51</v>
      </c>
      <c r="M14" s="155">
        <f t="shared" si="0"/>
        <v>1217.568</v>
      </c>
      <c r="N14" s="156" t="str">
        <f>VLOOKUP(C14,'Trips&amp;Operators'!$C$1:$G$99999,5,FALSE)</f>
        <v>MOSES BRADLEY</v>
      </c>
      <c r="O14" s="182" t="s">
        <v>196</v>
      </c>
      <c r="P14" s="157" t="s">
        <v>805</v>
      </c>
      <c r="Q14" s="31"/>
      <c r="R14" s="100" t="str">
        <f>VLOOKUP(C14,'Train Runs'!$A$13:$AE$9979,31,0)</f>
        <v>aws s3 cp s3://rtdc.mdm.uploadarchive.raw/RTDC4019/ "%USERPROFILE%\AppData\Local\Temp\OnboardLogs"\RTDC4019\2016-12-04 --exclude "*" --recursive --include "*20161204*" &amp; "%USERPROFILE%\Documents\GitHub\mrs-test-scripts\Headless Mode &amp; Sideloading\WalkAndUnGZ.bat" "%USERPROFILE%\AppData\Local\Temp\OnboardLogs"\RTDC4019\2016-12-04 &amp; aws s3 cp s3://rtdc.mdm.uploadarchive.raw/RTDC4019/ "%USERPROFILE%\AppData\Local\Temp\OnboardLogs"\RTDC4019\2016-12-05 --exclude "*" --recursive --include "*20161205*" &amp; "%USERPROFILE%\Documents\GitHub\mrs-test-scripts\Headless Mode &amp; Sideloading\WalkAndUnGZ.bat" "%USERPROFILE%\AppData\Local\Temp\OnboardLogs"\RTDC4019\2016-12-05</v>
      </c>
      <c r="S14" s="103" t="str">
        <f>VLOOKUP(C14,'Train Runs'!$A$13:$AE$9979,22,0)</f>
        <v>https://search-rtdc-monitor-bjffxe2xuh6vdkpspy63sjmuny.us-east-1.es.amazonaws.com/_plugin/kibana/#/discover/Steve-Slow-Train-Analysis-(2080s-and-2083s)?_g=(refreshInterval:(display:Off,section:0,value:0),time:(from:'2016-12-04 11:38:06-700',mode:absolute,to:'2016-12-04 14:22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14" s="105" t="str">
        <f t="shared" si="1"/>
        <v>"C:\Program Files (x86)\AstroGrep\AstroGrep.exe" /spath="%USERPROFILE%\AppData\Local\Temp\OnboardLogs" /stypes="*4019*201612041*" /stext=" 19:.+((SYSTEM_STATE.+slice.+state.+changed )|(ment ac)|(multiple cpu faults)|(system.+state.+changed )|(\[timeout)|(PRM\|1\|D)|(kpr)|(kdp)|(\|lc)|(penalty))" /e /r /s</v>
      </c>
      <c r="U14" s="9" t="str">
        <f t="shared" si="2"/>
        <v>4019</v>
      </c>
      <c r="V14" s="36">
        <f t="shared" si="3"/>
        <v>42708.824444444443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{"issue":{"subject":"Pena 4S STOP","project_id":79,"tracker_id":40,"status_id":1,"priority_id":2,"assigned_to_id":23,"start_date":"2016-12-04","description":"","custom_fields":[{"id":1,"name":"Subdivision","value":"EC"},{"id":4,"name":"Milepost","value":"19.1723"},{"id":17,"name":"Train ID","value":"166-04"},{"id":16,"name":"Locomotive ID","value":"4019"},{"id":130,"name":"Impact","value":""},{"id":150,"name":"Time of Event (Mountain Time)","value":"12:47:12"},{"id":151,"name":"Denver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"%USERPROFILE%\AppData\Local\Temp\OnboardLogs"\RTDC4019\*4019*201612041*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"%USERPROFILE%\AppData\Local\Temp\OnboardLogs"\RTDC4019\*4019*201612041* &gt;&gt; 42708-slicedisagreementcheck.txt</v>
      </c>
    </row>
    <row r="15" spans="1:30" s="1" customFormat="1" x14ac:dyDescent="0.25">
      <c r="A15" s="36">
        <v>42708.305069444446</v>
      </c>
      <c r="B15" s="31" t="s">
        <v>221</v>
      </c>
      <c r="C15" s="31" t="s">
        <v>442</v>
      </c>
      <c r="D15" s="31" t="s">
        <v>49</v>
      </c>
      <c r="E15" s="31" t="s">
        <v>201</v>
      </c>
      <c r="F15" s="47">
        <v>0</v>
      </c>
      <c r="G15" s="47">
        <v>50</v>
      </c>
      <c r="H15" s="47">
        <v>169</v>
      </c>
      <c r="I15" s="47">
        <v>123</v>
      </c>
      <c r="J15" s="31" t="s">
        <v>202</v>
      </c>
      <c r="K15" s="47">
        <v>1</v>
      </c>
      <c r="L15" s="154" t="s">
        <v>51</v>
      </c>
      <c r="M15" s="155">
        <f t="shared" si="0"/>
        <v>64.415999999999997</v>
      </c>
      <c r="N15" s="156" t="str">
        <f>VLOOKUP(C15,'Trips&amp;Operators'!$C$1:$G$99999,5,FALSE)</f>
        <v>ACKERMAN JARED</v>
      </c>
      <c r="O15" s="182" t="s">
        <v>196</v>
      </c>
      <c r="P15" s="157"/>
      <c r="Q15" s="31"/>
      <c r="R15" s="100" t="str">
        <f>VLOOKUP(C15,'Train Runs'!$A$13:$AE$9979,31,0)</f>
        <v>aws s3 cp s3://rtdc.mdm.uploadarchive.raw/RTDC4037/ "%USERPROFILE%\AppData\Local\Temp\OnboardLogs"\RTDC4037\2016-12-04 --exclude "*" --recursive --include "*20161204*" &amp; "%USERPROFILE%\Documents\GitHub\mrs-test-scripts\Headless Mode &amp; Sideloading\WalkAndUnGZ.bat" "%USERPROFILE%\AppData\Local\Temp\OnboardLogs"\RTDC4037\2016-12-04 &amp; 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</v>
      </c>
      <c r="S15" s="103" t="str">
        <f>VLOOKUP(C15,'Train Runs'!$A$13:$AE$9979,22,0)</f>
        <v>https://search-rtdc-monitor-bjffxe2xuh6vdkpspy63sjmuny.us-east-1.es.amazonaws.com/_plugin/kibana/#/discover/Steve-Slow-Train-Analysis-(2080s-and-2083s)?_g=(refreshInterval:(display:Off,section:0,value:0),time:(from:'2016-12-04 05:31:49-700',mode:absolute,to:'2016-12-04 08:19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5" s="105" t="str">
        <f t="shared" si="1"/>
        <v>"C:\Program Files (x86)\AstroGrep\AstroGrep.exe" /spath="%USERPROFILE%\AppData\Local\Temp\OnboardLogs" /stypes="*4037*201612041*" /stext=" 14:.+((SYSTEM_STATE.+slice.+state.+changed )|(ment ac)|(multiple cpu faults)|(system.+state.+changed )|(\[timeout)|(PRM\|1\|D)|(kpr)|(kdp)|(\|lc)|(penalty))" /e /r /s</v>
      </c>
      <c r="U15" s="9" t="str">
        <f t="shared" si="2"/>
        <v>4037</v>
      </c>
      <c r="V15" s="36">
        <f t="shared" si="3"/>
        <v>42708.596736111111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{"issue":{"subject":"","project_id":79,"tracker_id":40,"status_id":1,"priority_id":2,"assigned_to_id":23,"start_date":"2016-12-04","description":"","custom_fields":[{"id":1,"name":"Subdivision","value":"EC"},{"id":4,"name":"Milepost","value":"0.0001"},{"id":17,"name":"Train ID","value":"118-04"},{"id":16,"name":"Locomotive ID","value":"4037"},{"id":130,"name":"Impact","value":""},{"id":150,"name":"Time of Event (Mountain Time)","value":"07:19:18"},{"id":151,"name":"Denver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"%USERPROFILE%\AppData\Local\Temp\OnboardLogs"\RTDC4037\*4037*201612041*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"%USERPROFILE%\AppData\Local\Temp\OnboardLogs"\RTDC4037\*4037*201612041* &gt;&gt; 42708-slicedisagreementcheck.txt</v>
      </c>
    </row>
    <row r="16" spans="1:30" s="1" customFormat="1" x14ac:dyDescent="0.25">
      <c r="A16" s="36">
        <v>42708.409722222219</v>
      </c>
      <c r="B16" s="31" t="s">
        <v>340</v>
      </c>
      <c r="C16" s="31" t="s">
        <v>448</v>
      </c>
      <c r="D16" s="31" t="s">
        <v>49</v>
      </c>
      <c r="E16" s="31" t="s">
        <v>201</v>
      </c>
      <c r="F16" s="47">
        <v>0</v>
      </c>
      <c r="G16" s="47">
        <v>34</v>
      </c>
      <c r="H16" s="47">
        <v>121</v>
      </c>
      <c r="I16" s="47">
        <v>105</v>
      </c>
      <c r="J16" s="31" t="s">
        <v>202</v>
      </c>
      <c r="K16" s="47">
        <v>1</v>
      </c>
      <c r="L16" s="154" t="s">
        <v>51</v>
      </c>
      <c r="M16" s="155">
        <f t="shared" si="0"/>
        <v>54.911999999999999</v>
      </c>
      <c r="N16" s="156" t="str">
        <f>VLOOKUP(C16,'Trips&amp;Operators'!$C$1:$G$99999,5,FALSE)</f>
        <v>ROBINSON KADDIBA</v>
      </c>
      <c r="O16" s="182" t="s">
        <v>196</v>
      </c>
      <c r="P16" s="157"/>
      <c r="Q16" s="31"/>
      <c r="R16" s="100" t="str">
        <f>VLOOKUP(C16,'Train Runs'!$A$13:$AE$9979,31,0)</f>
        <v>aws s3 cp s3://rtdc.mdm.uploadarchive.raw/RTDC4019/ "%USERPROFILE%\AppData\Local\Temp\OnboardLogs"\RTDC4019\2016-12-04 --exclude "*" --recursive --include "*20161204*" &amp; "%USERPROFILE%\Documents\GitHub\mrs-test-scripts\Headless Mode &amp; Sideloading\WalkAndUnGZ.bat" "%USERPROFILE%\AppData\Local\Temp\OnboardLogs"\RTDC4019\2016-12-04 &amp; aws s3 cp s3://rtdc.mdm.uploadarchive.raw/RTDC4019/ "%USERPROFILE%\AppData\Local\Temp\OnboardLogs"\RTDC4019\2016-12-05 --exclude "*" --recursive --include "*20161205*" &amp; "%USERPROFILE%\Documents\GitHub\mrs-test-scripts\Headless Mode &amp; Sideloading\WalkAndUnGZ.bat" "%USERPROFILE%\AppData\Local\Temp\OnboardLogs"\RTDC4019\2016-12-05</v>
      </c>
      <c r="S16" s="103" t="str">
        <f>VLOOKUP(C16,'Train Runs'!$A$13:$AE$9979,22,0)</f>
        <v>https://search-rtdc-monitor-bjffxe2xuh6vdkpspy63sjmuny.us-east-1.es.amazonaws.com/_plugin/kibana/#/discover/Steve-Slow-Train-Analysis-(2080s-and-2083s)?_g=(refreshInterval:(display:Off,section:0,value:0),time:(from:'2016-12-04 07:52:47-700',mode:absolute,to:'2016-12-04 10:50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16" s="105" t="str">
        <f t="shared" si="1"/>
        <v>"C:\Program Files (x86)\AstroGrep\AstroGrep.exe" /spath="%USERPROFILE%\AppData\Local\Temp\OnboardLogs" /stypes="*4019*201612041*" /stext=" 16:.+((SYSTEM_STATE.+slice.+state.+changed )|(ment ac)|(multiple cpu faults)|(system.+state.+changed )|(\[timeout)|(PRM\|1\|D)|(kpr)|(kdp)|(\|lc)|(penalty))" /e /r /s</v>
      </c>
      <c r="U16" s="9" t="str">
        <f t="shared" si="2"/>
        <v>4019</v>
      </c>
      <c r="V16" s="36">
        <f t="shared" si="3"/>
        <v>42708.701388888883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{"issue":{"subject":"","project_id":79,"tracker_id":40,"status_id":1,"priority_id":2,"assigned_to_id":23,"start_date":"2016-12-04","description":"","custom_fields":[{"id":1,"name":"Subdivision","value":"EC"},{"id":4,"name":"Milepost","value":"0.0001"},{"id":17,"name":"Train ID","value":"138-04"},{"id":16,"name":"Locomotive ID","value":"4019"},{"id":130,"name":"Impact","value":""},{"id":150,"name":"Time of Event (Mountain Time)","value":"09:50:00"},{"id":151,"name":"Denver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"%USERPROFILE%\AppData\Local\Temp\OnboardLogs"\RTDC4019\*4019*201612041*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"%USERPROFILE%\AppData\Local\Temp\OnboardLogs"\RTDC4019\*4019*201612041* &gt;&gt; 42708-slicedisagreementcheck.txt</v>
      </c>
    </row>
    <row r="17" spans="1:30" s="1" customFormat="1" x14ac:dyDescent="0.25">
      <c r="A17" s="36">
        <v>42708.722997685189</v>
      </c>
      <c r="B17" s="31" t="s">
        <v>250</v>
      </c>
      <c r="C17" s="31" t="s">
        <v>454</v>
      </c>
      <c r="D17" s="31" t="s">
        <v>49</v>
      </c>
      <c r="E17" s="31" t="s">
        <v>201</v>
      </c>
      <c r="F17" s="47">
        <v>0</v>
      </c>
      <c r="G17" s="47">
        <v>50</v>
      </c>
      <c r="H17" s="47">
        <v>178</v>
      </c>
      <c r="I17" s="47">
        <v>141</v>
      </c>
      <c r="J17" s="31" t="s">
        <v>202</v>
      </c>
      <c r="K17" s="47">
        <v>1</v>
      </c>
      <c r="L17" s="154" t="s">
        <v>51</v>
      </c>
      <c r="M17" s="155">
        <f t="shared" si="0"/>
        <v>73.92</v>
      </c>
      <c r="N17" s="156" t="str">
        <f>VLOOKUP(C17,'Trips&amp;Operators'!$C$1:$G$99999,5,FALSE)</f>
        <v>SMITH MICHAEL</v>
      </c>
      <c r="O17" s="182" t="s">
        <v>196</v>
      </c>
      <c r="P17" s="157"/>
      <c r="Q17" s="31"/>
      <c r="R17" s="100" t="str">
        <f>VLOOKUP(C17,'Train Runs'!$A$13:$AE$9979,31,0)</f>
        <v>aws s3 cp s3://rtdc.mdm.uploadarchive.raw/RTDC4041/ "%USERPROFILE%\AppData\Local\Temp\OnboardLogs"\RTDC4041\2016-12-04 --exclude "*" --recursive --include "*20161204*" &amp; "%USERPROFILE%\Documents\GitHub\mrs-test-scripts\Headless Mode &amp; Sideloading\WalkAndUnGZ.bat" "%USERPROFILE%\AppData\Local\Temp\OnboardLogs"\RTDC4041\2016-12-04 &amp; aws s3 cp s3://rtdc.mdm.uploadarchive.raw/RTDC4041/ "%USERPROFILE%\AppData\Local\Temp\OnboardLogs"\RTDC4041\2016-12-05 --exclude "*" --recursive --include "*20161205*" &amp; "%USERPROFILE%\Documents\GitHub\mrs-test-scripts\Headless Mode &amp; Sideloading\WalkAndUnGZ.bat" "%USERPROFILE%\AppData\Local\Temp\OnboardLogs"\RTDC4041\2016-12-05</v>
      </c>
      <c r="S17" s="103" t="str">
        <f>VLOOKUP(C17,'Train Runs'!$A$13:$AE$9979,22,0)</f>
        <v>https://search-rtdc-monitor-bjffxe2xuh6vdkpspy63sjmuny.us-east-1.es.amazonaws.com/_plugin/kibana/#/discover/Steve-Slow-Train-Analysis-(2080s-and-2083s)?_g=(refreshInterval:(display:Off,section:0,value:0),time:(from:'2016-12-04 15:32:08-700',mode:absolute,to:'2016-12-04 18:21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7" s="105" t="str">
        <f t="shared" si="1"/>
        <v>"C:\Program Files (x86)\AstroGrep\AstroGrep.exe" /spath="%USERPROFILE%\AppData\Local\Temp\OnboardLogs" /stypes="*4041*201612050*" /stext=" 00:.+((SYSTEM_STATE.+slice.+state.+changed )|(ment ac)|(multiple cpu faults)|(system.+state.+changed )|(\[timeout)|(PRM\|1\|D)|(kpr)|(kdp)|(\|lc)|(penalty))" /e /r /s</v>
      </c>
      <c r="U17" s="9" t="str">
        <f t="shared" si="2"/>
        <v>4041</v>
      </c>
      <c r="V17" s="36">
        <f t="shared" si="3"/>
        <v>42709.014664351853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{"issue":{"subject":"","project_id":79,"tracker_id":40,"status_id":1,"priority_id":2,"assigned_to_id":23,"start_date":"2016-12-04","description":"","custom_fields":[{"id":1,"name":"Subdivision","value":"EC"},{"id":4,"name":"Milepost","value":"0.0001"},{"id":17,"name":"Train ID","value":"198-04"},{"id":16,"name":"Locomotive ID","value":"4041"},{"id":130,"name":"Impact","value":""},{"id":150,"name":"Time of Event (Mountain Time)","value":"17:21:07"},{"id":151,"name":"Denver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"%USERPROFILE%\AppData\Local\Temp\OnboardLogs"\RTDC4041\*4041*201612050*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"%USERPROFILE%\AppData\Local\Temp\OnboardLogs"\RTDC4041\*4041*201612050* &gt;&gt; 42708-slicedisagreementcheck.txt</v>
      </c>
    </row>
    <row r="18" spans="1:30" s="1" customFormat="1" x14ac:dyDescent="0.25">
      <c r="A18" s="36">
        <v>42708.38144675926</v>
      </c>
      <c r="B18" s="31" t="s">
        <v>255</v>
      </c>
      <c r="C18" s="31" t="s">
        <v>445</v>
      </c>
      <c r="D18" s="31" t="s">
        <v>49</v>
      </c>
      <c r="E18" s="31" t="s">
        <v>201</v>
      </c>
      <c r="F18" s="47">
        <v>0</v>
      </c>
      <c r="G18" s="47">
        <v>72</v>
      </c>
      <c r="H18" s="47">
        <v>233178</v>
      </c>
      <c r="I18" s="47">
        <v>233249</v>
      </c>
      <c r="J18" s="31" t="s">
        <v>202</v>
      </c>
      <c r="K18" s="47">
        <v>233491</v>
      </c>
      <c r="L18" s="154" t="s">
        <v>50</v>
      </c>
      <c r="M18" s="155">
        <f t="shared" si="0"/>
        <v>127.776</v>
      </c>
      <c r="N18" s="156" t="str">
        <f>VLOOKUP(C18,'Trips&amp;Operators'!$C$1:$G$99999,5,FALSE)</f>
        <v>STRICKLAND EVAN</v>
      </c>
      <c r="O18" s="182" t="s">
        <v>196</v>
      </c>
      <c r="P18" s="157"/>
      <c r="Q18" s="31"/>
      <c r="R18" s="100" t="str">
        <f>VLOOKUP(C18,'Train Runs'!$A$13:$AE$9979,31,0)</f>
        <v>aws s3 cp s3://rtdc.mdm.uploadarchive.raw/RTDC4003/ "%USERPROFILE%\AppData\Local\Temp\OnboardLogs"\RTDC4003\2016-12-04 --exclude "*" --recursive --include "*20161204*" &amp; "%USERPROFILE%\Documents\GitHub\mrs-test-scripts\Headless Mode &amp; Sideloading\WalkAndUnGZ.bat" "%USERPROFILE%\AppData\Local\Temp\OnboardLogs"\RTDC4003\2016-12-04 &amp; aws s3 cp s3://rtdc.mdm.uploadarchive.raw/RTDC4003/ "%USERPROFILE%\AppData\Local\Temp\OnboardLogs"\RTDC4003\2016-12-05 --exclude "*" --recursive --include "*20161205*" &amp; "%USERPROFILE%\Documents\GitHub\mrs-test-scripts\Headless Mode &amp; Sideloading\WalkAndUnGZ.bat" "%USERPROFILE%\AppData\Local\Temp\OnboardLogs"\RTDC4003\2016-12-05</v>
      </c>
      <c r="S18" s="103" t="str">
        <f>VLOOKUP(C18,'Train Runs'!$A$13:$AE$9979,22,0)</f>
        <v>https://search-rtdc-monitor-bjffxe2xuh6vdkpspy63sjmuny.us-east-1.es.amazonaws.com/_plugin/kibana/#/discover/Steve-Slow-Train-Analysis-(2080s-and-2083s)?_g=(refreshInterval:(display:Off,section:0,value:0),time:(from:'2016-12-04 07:23:56-700',mode:absolute,to:'2016-12-04 10:08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8" s="105" t="str">
        <f t="shared" si="1"/>
        <v>"C:\Program Files (x86)\AstroGrep\AstroGrep.exe" /spath="%USERPROFILE%\AppData\Local\Temp\OnboardLogs" /stypes="*4003*201612041*" /stext=" 16:.+((SYSTEM_STATE.+slice.+state.+changed )|(ment ac)|(multiple cpu faults)|(system.+state.+changed )|(\[timeout)|(PRM\|1\|D)|(kpr)|(kdp)|(\|lc)|(penalty))" /e /r /s</v>
      </c>
      <c r="U18" s="9" t="str">
        <f t="shared" si="2"/>
        <v>4003</v>
      </c>
      <c r="V18" s="36">
        <f t="shared" si="3"/>
        <v>42708.673113425924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{"issue":{"subject":"","project_id":79,"tracker_id":40,"status_id":1,"priority_id":2,"assigned_to_id":23,"start_date":"2016-12-04","description":"","custom_fields":[{"id":1,"name":"Subdivision","value":"EC"},{"id":4,"name":"Milepost","value":"23.3491"},{"id":17,"name":"Train ID","value":"139-04"},{"id":16,"name":"Locomotive ID","value":"4003"},{"id":130,"name":"Impact","value":""},{"id":150,"name":"Time of Event (Mountain Time)","value":"09:09:17"},{"id":151,"name":"Denver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"%USERPROFILE%\AppData\Local\Temp\OnboardLogs"\RTDC4003\*4003*201612041*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"%USERPROFILE%\AppData\Local\Temp\OnboardLogs"\RTDC4003\*4003*201612041* &gt;&gt; 42708-slicedisagreementcheck.txt</v>
      </c>
    </row>
    <row r="19" spans="1:30" s="1" customFormat="1" x14ac:dyDescent="0.25">
      <c r="A19" s="36">
        <v>42708.745243055557</v>
      </c>
      <c r="B19" s="31" t="s">
        <v>302</v>
      </c>
      <c r="C19" s="31" t="s">
        <v>455</v>
      </c>
      <c r="D19" s="31" t="s">
        <v>49</v>
      </c>
      <c r="E19" s="31" t="s">
        <v>298</v>
      </c>
      <c r="F19" s="47">
        <v>320</v>
      </c>
      <c r="G19" s="47">
        <v>479</v>
      </c>
      <c r="H19" s="47">
        <v>17608</v>
      </c>
      <c r="I19" s="47">
        <v>15864</v>
      </c>
      <c r="J19" s="31" t="s">
        <v>299</v>
      </c>
      <c r="K19" s="47">
        <v>15777</v>
      </c>
      <c r="L19" s="154" t="s">
        <v>51</v>
      </c>
      <c r="M19" s="155">
        <f t="shared" si="0"/>
        <v>45.936</v>
      </c>
      <c r="N19" s="156" t="str">
        <f>VLOOKUP(C19,'Trips&amp;Operators'!$C$1:$G$99999,5,FALSE)</f>
        <v>LOPES KIMBERLY</v>
      </c>
      <c r="O19" s="182" t="s">
        <v>236</v>
      </c>
      <c r="P19" s="157" t="s">
        <v>807</v>
      </c>
      <c r="Q19" s="31"/>
      <c r="R19" s="100" t="str">
        <f>VLOOKUP(C19,'Train Runs'!$A$13:$AE$9979,31,0)</f>
        <v>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 &amp; 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</v>
      </c>
      <c r="S19" s="103" t="str">
        <f>VLOOKUP(C19,'Train Runs'!$A$13:$AE$9979,22,0)</f>
        <v>https://search-rtdc-monitor-bjffxe2xuh6vdkpspy63sjmuny.us-east-1.es.amazonaws.com/_plugin/kibana/#/discover/Steve-Slow-Train-Analysis-(2080s-and-2083s)?_g=(refreshInterval:(display:Off,section:0,value:0),time:(from:'2016-12-04 16:35:35-700',mode:absolute,to:'2016-12-04 18:59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9" s="105" t="str">
        <f t="shared" si="1"/>
        <v>"C:\Program Files (x86)\AstroGrep\AstroGrep.exe" /spath="%USERPROFILE%\AppData\Local\Temp\OnboardLogs" /stypes="*4043*201612050*" /stext=" 00:.+((SYSTEM_STATE.+slice.+state.+changed )|(ment ac)|(multiple cpu faults)|(system.+state.+changed )|(\[timeout)|(PRM\|1\|D)|(kpr)|(kdp)|(\|lc)|(penalty))" /e /r /s</v>
      </c>
      <c r="U19" s="9" t="str">
        <f t="shared" si="2"/>
        <v>4043</v>
      </c>
      <c r="V19" s="36">
        <f t="shared" si="3"/>
        <v>42709.036909722221</v>
      </c>
      <c r="W19" s="50" t="str">
        <f t="shared" si="4"/>
        <v>NW</v>
      </c>
      <c r="X19" s="50" t="str">
        <f t="shared" si="5"/>
        <v>KEEP</v>
      </c>
      <c r="Y19" s="119" t="str">
        <f t="shared" si="6"/>
        <v>echo {"issue":{"subject":"Early arrival (41st)","project_id":79,"tracker_id":40,"status_id":1,"priority_id":2,"assigned_to_id":23,"start_date":"2016-12-04","description":"","custom_fields":[{"id":1,"name":"Subdivision","value":"NW"},{"id":4,"name":"Milepost","value":"1.5777"},{"id":17,"name":"Train ID","value":"1824-04"},{"id":16,"name":"Locomotive ID","value":"4043"},{"id":130,"name":"Impact","value":""},{"id":150,"name":"Time of Event (Mountain Time)","value":"17:53:09"},{"id":151,"name":"Denver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"%USERPROFILE%\AppData\Local\Temp\OnboardLogs"\RTDC4043\*4043*201612050*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"%USERPROFILE%\AppData\Local\Temp\OnboardLogs"\RTDC4043\*4043*201612050* &gt;&gt; 42708-slicedisagreementcheck.txt</v>
      </c>
    </row>
    <row r="20" spans="1:30" s="1" customFormat="1" x14ac:dyDescent="0.25">
      <c r="A20" s="36">
        <v>42708.35324074074</v>
      </c>
      <c r="B20" s="31" t="s">
        <v>184</v>
      </c>
      <c r="C20" s="31" t="s">
        <v>444</v>
      </c>
      <c r="D20" s="31" t="s">
        <v>49</v>
      </c>
      <c r="E20" s="31" t="s">
        <v>197</v>
      </c>
      <c r="F20" s="47">
        <v>300</v>
      </c>
      <c r="G20" s="47">
        <v>389</v>
      </c>
      <c r="H20" s="47">
        <v>20100</v>
      </c>
      <c r="I20" s="47">
        <v>21447</v>
      </c>
      <c r="J20" s="31" t="s">
        <v>198</v>
      </c>
      <c r="K20" s="47">
        <v>21299</v>
      </c>
      <c r="L20" s="154" t="s">
        <v>50</v>
      </c>
      <c r="M20" s="155">
        <f t="shared" si="0"/>
        <v>-78.144000000000005</v>
      </c>
      <c r="N20" s="156" t="str">
        <f>VLOOKUP(C20,'Trips&amp;Operators'!$C$1:$G$99999,5,FALSE)</f>
        <v>STARKS ANGELINA</v>
      </c>
      <c r="O20" s="182" t="s">
        <v>196</v>
      </c>
      <c r="P20" s="157"/>
      <c r="Q20" s="31"/>
      <c r="R20" s="100" t="str">
        <f>VLOOKUP(C20,'Train Runs'!$A$13:$AE$9979,31,0)</f>
        <v>aws s3 cp s3://rtdc.mdm.uploadarchive.raw/RTDC4044/ "%USERPROFILE%\AppData\Local\Temp\OnboardLogs"\RTDC4044\2016-12-04 --exclude "*" --recursive --include "*20161204*" &amp; "%USERPROFILE%\Documents\GitHub\mrs-test-scripts\Headless Mode &amp; Sideloading\WalkAndUnGZ.bat" "%USERPROFILE%\AppData\Local\Temp\OnboardLogs"\RTDC4044\2016-12-04 &amp; 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</v>
      </c>
      <c r="S20" s="103" t="str">
        <f>VLOOKUP(C20,'Train Runs'!$A$13:$AE$9979,22,0)</f>
        <v>https://search-rtdc-monitor-bjffxe2xuh6vdkpspy63sjmuny.us-east-1.es.amazonaws.com/_plugin/kibana/#/discover/Steve-Slow-Train-Analysis-(2080s-and-2083s)?_g=(refreshInterval:(display:Off,section:0,value:0),time:(from:'2016-12-04 07:16:33-700',mode:absolute,to:'2016-12-04 09:37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0" s="105" t="str">
        <f t="shared" si="1"/>
        <v>"C:\Program Files (x86)\AstroGrep\AstroGrep.exe" /spath="%USERPROFILE%\AppData\Local\Temp\OnboardLogs" /stypes="*4044*201612041*" /stext=" 15:.+((SYSTEM_STATE.+slice.+state.+changed )|(ment ac)|(multiple cpu faults)|(system.+state.+changed )|(\[timeout)|(PRM\|1\|D)|(kpr)|(kdp)|(\|lc)|(penalty))" /e /r /s</v>
      </c>
      <c r="U20" s="9" t="str">
        <f t="shared" si="2"/>
        <v>4044</v>
      </c>
      <c r="V20" s="36">
        <f t="shared" si="3"/>
        <v>42708.644907407404</v>
      </c>
      <c r="W20" s="50" t="str">
        <f t="shared" si="4"/>
        <v>NW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{"issue":{"subject":"","project_id":79,"tracker_id":40,"status_id":1,"priority_id":2,"assigned_to_id":23,"start_date":"2016-12-04","description":"","custom_fields":[{"id":1,"name":"Subdivision","value":"NW"},{"id":4,"name":"Milepost","value":"2.1299"},{"id":17,"name":"Train ID","value":"1805-04"},{"id":16,"name":"Locomotive ID","value":"4044"},{"id":130,"name":"Impact","value":""},{"id":150,"name":"Time of Event (Mountain Time)","value":"08:28:40"},{"id":151,"name":"Denver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"%USERPROFILE%\AppData\Local\Temp\OnboardLogs"\RTDC4044\*4044*201612041*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"%USERPROFILE%\AppData\Local\Temp\OnboardLogs"\RTDC4044\*4044*201612041* &gt;&gt; 42708-slicedisagreementcheck.txt</v>
      </c>
    </row>
    <row r="21" spans="1:30" x14ac:dyDescent="0.25">
      <c r="A21" s="36">
        <v>42708.357268518521</v>
      </c>
      <c r="B21" s="31" t="s">
        <v>184</v>
      </c>
      <c r="C21" s="31" t="s">
        <v>444</v>
      </c>
      <c r="D21" s="31" t="s">
        <v>49</v>
      </c>
      <c r="E21" s="31" t="s">
        <v>197</v>
      </c>
      <c r="F21" s="47">
        <v>150</v>
      </c>
      <c r="G21" s="47">
        <v>359</v>
      </c>
      <c r="H21" s="47">
        <v>55951</v>
      </c>
      <c r="I21" s="47">
        <v>56680</v>
      </c>
      <c r="J21" s="31" t="s">
        <v>198</v>
      </c>
      <c r="K21" s="47">
        <v>57008</v>
      </c>
      <c r="L21" s="154" t="s">
        <v>50</v>
      </c>
      <c r="M21" s="155">
        <f t="shared" si="0"/>
        <v>173.18400000000003</v>
      </c>
      <c r="N21" s="156" t="str">
        <f>VLOOKUP(C21,'Trips&amp;Operators'!$C$1:$G$99999,5,FALSE)</f>
        <v>STARKS ANGELINA</v>
      </c>
      <c r="O21" s="182" t="s">
        <v>196</v>
      </c>
      <c r="P21" s="157"/>
      <c r="Q21" s="31"/>
      <c r="R21" s="100" t="str">
        <f>VLOOKUP(C21,'Train Runs'!$A$13:$AE$9979,31,0)</f>
        <v>aws s3 cp s3://rtdc.mdm.uploadarchive.raw/RTDC4044/ "%USERPROFILE%\AppData\Local\Temp\OnboardLogs"\RTDC4044\2016-12-04 --exclude "*" --recursive --include "*20161204*" &amp; "%USERPROFILE%\Documents\GitHub\mrs-test-scripts\Headless Mode &amp; Sideloading\WalkAndUnGZ.bat" "%USERPROFILE%\AppData\Local\Temp\OnboardLogs"\RTDC4044\2016-12-04 &amp; 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</v>
      </c>
      <c r="S21" s="103" t="str">
        <f>VLOOKUP(C21,'Train Runs'!$A$13:$AE$9979,22,0)</f>
        <v>https://search-rtdc-monitor-bjffxe2xuh6vdkpspy63sjmuny.us-east-1.es.amazonaws.com/_plugin/kibana/#/discover/Steve-Slow-Train-Analysis-(2080s-and-2083s)?_g=(refreshInterval:(display:Off,section:0,value:0),time:(from:'2016-12-04 07:16:33-700',mode:absolute,to:'2016-12-04 09:37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1" s="105" t="str">
        <f t="shared" si="1"/>
        <v>"C:\Program Files (x86)\AstroGrep\AstroGrep.exe" /spath="%USERPROFILE%\AppData\Local\Temp\OnboardLogs" /stypes="*4044*201612041*" /stext=" 15:.+((SYSTEM_STATE.+slice.+state.+changed )|(ment ac)|(multiple cpu faults)|(system.+state.+changed )|(\[timeout)|(PRM\|1\|D)|(kpr)|(kdp)|(\|lc)|(penalty))" /e /r /s</v>
      </c>
      <c r="U21" s="9" t="str">
        <f t="shared" si="2"/>
        <v>4044</v>
      </c>
      <c r="V21" s="36">
        <f t="shared" si="3"/>
        <v>42708.648935185185</v>
      </c>
      <c r="W21" s="50" t="str">
        <f t="shared" si="4"/>
        <v>NW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{"issue":{"subject":"","project_id":79,"tracker_id":40,"status_id":1,"priority_id":2,"assigned_to_id":23,"start_date":"2016-12-04","description":"","custom_fields":[{"id":1,"name":"Subdivision","value":"NW"},{"id":4,"name":"Milepost","value":"5.7008"},{"id":17,"name":"Train ID","value":"1805-04"},{"id":16,"name":"Locomotive ID","value":"4044"},{"id":130,"name":"Impact","value":""},{"id":150,"name":"Time of Event (Mountain Time)","value":"08:34:28"},{"id":151,"name":"Denver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"%USERPROFILE%\AppData\Local\Temp\OnboardLogs"\RTDC4044\*4044*201612041*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"%USERPROFILE%\AppData\Local\Temp\OnboardLogs"\RTDC4044\*4044*201612041* &gt;&gt; 42708-slicedisagreementcheck.txt</v>
      </c>
    </row>
    <row r="22" spans="1:30" x14ac:dyDescent="0.25">
      <c r="A22" s="36">
        <v>42708.324618055558</v>
      </c>
      <c r="B22" s="31" t="s">
        <v>302</v>
      </c>
      <c r="C22" s="31" t="s">
        <v>443</v>
      </c>
      <c r="D22" s="31" t="s">
        <v>49</v>
      </c>
      <c r="E22" s="31" t="s">
        <v>199</v>
      </c>
      <c r="F22" s="47">
        <v>0</v>
      </c>
      <c r="G22" s="47">
        <v>212</v>
      </c>
      <c r="H22" s="47">
        <v>34451</v>
      </c>
      <c r="I22" s="47">
        <v>34018</v>
      </c>
      <c r="J22" s="31" t="s">
        <v>200</v>
      </c>
      <c r="K22" s="47">
        <v>33261</v>
      </c>
      <c r="L22" s="154" t="s">
        <v>51</v>
      </c>
      <c r="M22" s="155">
        <f t="shared" si="0"/>
        <v>399.69600000000003</v>
      </c>
      <c r="N22" s="156" t="str">
        <f>VLOOKUP(C22,'Trips&amp;Operators'!$C$1:$G$99999,5,FALSE)</f>
        <v>STARKS ANGELINA</v>
      </c>
      <c r="O22" s="182" t="s">
        <v>196</v>
      </c>
      <c r="P22" s="157" t="s">
        <v>813</v>
      </c>
      <c r="Q22" s="31"/>
      <c r="R22" s="100" t="str">
        <f>VLOOKUP(C22,'Train Runs'!$A$13:$AE$9979,31,0)</f>
        <v>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 &amp; 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</v>
      </c>
      <c r="S22" s="103" t="str">
        <f>VLOOKUP(C22,'Train Runs'!$A$13:$AE$9979,22,0)</f>
        <v>https://search-rtdc-monitor-bjffxe2xuh6vdkpspy63sjmuny.us-east-1.es.amazonaws.com/_plugin/kibana/#/discover/Steve-Slow-Train-Analysis-(2080s-and-2083s)?_g=(refreshInterval:(display:Off,section:0,value:0),time:(from:'2016-12-04 06:36:02-700',mode:absolute,to:'2016-12-04 08:56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2" s="105" t="str">
        <f t="shared" si="1"/>
        <v>"C:\Program Files (x86)\AstroGrep\AstroGrep.exe" /spath="%USERPROFILE%\AppData\Local\Temp\OnboardLogs" /stypes="*4043*201612041*" /stext=" 14:.+((SYSTEM_STATE.+slice.+state.+changed )|(ment ac)|(multiple cpu faults)|(system.+state.+changed )|(\[timeout)|(PRM\|1\|D)|(kpr)|(kdp)|(\|lc)|(penalty))" /e /r /s</v>
      </c>
      <c r="U22" s="9" t="str">
        <f t="shared" si="2"/>
        <v>4043</v>
      </c>
      <c r="V22" s="36">
        <f t="shared" si="3"/>
        <v>42708.616284722222</v>
      </c>
      <c r="W22" s="50" t="str">
        <f t="shared" si="4"/>
        <v>NW</v>
      </c>
      <c r="X22" s="50" t="str">
        <f t="shared" si="5"/>
        <v>KEEP</v>
      </c>
      <c r="Y22" s="119" t="str">
        <f t="shared" si="6"/>
        <v>echo {"issue":{"subject":"RESTRICTED aspect","project_id":79,"tracker_id":40,"status_id":1,"priority_id":2,"assigned_to_id":23,"start_date":"2016-12-04","description":"","custom_fields":[{"id":1,"name":"Subdivision","value":"NW"},{"id":4,"name":"Milepost","value":"3.3261"},{"id":17,"name":"Train ID","value":"1804-04"},{"id":16,"name":"Locomotive ID","value":"4043"},{"id":130,"name":"Impact","value":""},{"id":150,"name":"Time of Event (Mountain Time)","value":"07:47:27"},{"id":151,"name":"Denver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"%USERPROFILE%\AppData\Local\Temp\OnboardLogs"\RTDC4043\*4043*201612041*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"%USERPROFILE%\AppData\Local\Temp\OnboardLogs"\RTDC4043\*4043*201612041* &gt;&gt; 42708-slicedisagreementcheck.txt</v>
      </c>
    </row>
    <row r="23" spans="1:30" x14ac:dyDescent="0.25">
      <c r="A23" s="36">
        <v>42708.402245370373</v>
      </c>
      <c r="B23" s="31" t="s">
        <v>302</v>
      </c>
      <c r="C23" s="31" t="s">
        <v>447</v>
      </c>
      <c r="D23" s="31" t="s">
        <v>98</v>
      </c>
      <c r="E23" s="31" t="s">
        <v>199</v>
      </c>
      <c r="F23" s="47">
        <v>0</v>
      </c>
      <c r="G23" s="47">
        <v>86</v>
      </c>
      <c r="H23" s="47">
        <v>58251</v>
      </c>
      <c r="I23" s="47">
        <v>58108</v>
      </c>
      <c r="J23" s="31" t="s">
        <v>200</v>
      </c>
      <c r="K23" s="47">
        <v>58472</v>
      </c>
      <c r="L23" s="154" t="s">
        <v>51</v>
      </c>
      <c r="M23" s="155">
        <f t="shared" si="0"/>
        <v>-192.19200000000001</v>
      </c>
      <c r="N23" s="156" t="str">
        <f>VLOOKUP(C23,'Trips&amp;Operators'!$C$1:$G$99999,5,FALSE)</f>
        <v>STARKS ANGELINA</v>
      </c>
      <c r="O23" s="182" t="s">
        <v>196</v>
      </c>
      <c r="P23" s="157" t="s">
        <v>814</v>
      </c>
      <c r="Q23" s="31"/>
      <c r="R23" s="100" t="str">
        <f>VLOOKUP(C23,'Train Runs'!$A$13:$AE$9979,31,0)</f>
        <v>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 &amp; 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</v>
      </c>
      <c r="S23" s="103" t="str">
        <f>VLOOKUP(C23,'Train Runs'!$A$13:$AE$9979,22,0)</f>
        <v>https://search-rtdc-monitor-bjffxe2xuh6vdkpspy63sjmuny.us-east-1.es.amazonaws.com/_plugin/kibana/#/discover/Steve-Slow-Train-Analysis-(2080s-and-2083s)?_g=(refreshInterval:(display:Off,section:0,value:0),time:(from:'2016-12-04 08:40:39-700',mode:absolute,to:'2016-12-04 10:57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3" s="105" t="str">
        <f t="shared" si="1"/>
        <v>"C:\Program Files (x86)\AstroGrep\AstroGrep.exe" /spath="%USERPROFILE%\AppData\Local\Temp\OnboardLogs" /stypes="*4043*201612041*" /stext=" 16:.+((SYSTEM_STATE.+slice.+state.+changed )|(ment ac)|(multiple cpu faults)|(system.+state.+changed )|(\[timeout)|(PRM\|1\|D)|(kpr)|(kdp)|(\|lc)|(penalty))" /e /r /s</v>
      </c>
      <c r="U23" s="9" t="str">
        <f t="shared" si="2"/>
        <v>4043</v>
      </c>
      <c r="V23" s="36">
        <f t="shared" si="3"/>
        <v>42708.693912037037</v>
      </c>
      <c r="W23" s="50" t="str">
        <f t="shared" si="4"/>
        <v>NW</v>
      </c>
      <c r="X23" s="50" t="str">
        <f t="shared" si="5"/>
        <v>KEEP</v>
      </c>
      <c r="Y23" s="119" t="str">
        <f t="shared" si="6"/>
        <v>echo {"issue":{"subject":"Went active too close to signal","project_id":79,"tracker_id":40,"status_id":1,"priority_id":2,"assigned_to_id":23,"start_date":"2016-12-04","description":"","custom_fields":[{"id":1,"name":"Subdivision","value":"NW"},{"id":4,"name":"Milepost","value":"5.8472"},{"id":17,"name":"Train ID","value":"1808-04"},{"id":16,"name":"Locomotive ID","value":"4043"},{"id":130,"name":"Impact","value":""},{"id":150,"name":"Time of Event (Mountain Time)","value":"09:39:14"},{"id":151,"name":"Denver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"%USERPROFILE%\AppData\Local\Temp\OnboardLogs"\RTDC4043\*4043*201612041*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"%USERPROFILE%\AppData\Local\Temp\OnboardLogs"\RTDC4043\*4043*201612041* &gt;&gt; 42708-slicedisagreementcheck.txt</v>
      </c>
    </row>
    <row r="24" spans="1:30" ht="15" customHeight="1" x14ac:dyDescent="0.25">
      <c r="A24" s="36">
        <v>42708.231504629628</v>
      </c>
      <c r="B24" s="31" t="s">
        <v>184</v>
      </c>
      <c r="C24" s="31" t="s">
        <v>441</v>
      </c>
      <c r="D24" s="31" t="s">
        <v>49</v>
      </c>
      <c r="E24" s="31" t="s">
        <v>199</v>
      </c>
      <c r="F24" s="47">
        <v>0</v>
      </c>
      <c r="G24" s="47">
        <v>88</v>
      </c>
      <c r="H24" s="47">
        <v>32957</v>
      </c>
      <c r="I24" s="47">
        <v>33080</v>
      </c>
      <c r="J24" s="31" t="s">
        <v>200</v>
      </c>
      <c r="K24" s="47">
        <v>33252</v>
      </c>
      <c r="L24" s="154" t="s">
        <v>50</v>
      </c>
      <c r="M24" s="155">
        <f t="shared" si="0"/>
        <v>90.816000000000003</v>
      </c>
      <c r="N24" s="156" t="str">
        <f>VLOOKUP(C24,'Trips&amp;Operators'!$C$1:$G$99999,5,FALSE)</f>
        <v>STARKS ANGELINA</v>
      </c>
      <c r="O24" s="182" t="s">
        <v>196</v>
      </c>
      <c r="P24" s="157"/>
      <c r="Q24" s="31"/>
      <c r="R24" s="100" t="str">
        <f>VLOOKUP(C24,'Train Runs'!$A$13:$AE$9979,31,0)</f>
        <v>aws s3 cp s3://rtdc.mdm.uploadarchive.raw/RTDC4044/ "%USERPROFILE%\AppData\Local\Temp\OnboardLogs"\RTDC4044\2016-12-04 --exclude "*" --recursive --include "*20161204*" &amp; "%USERPROFILE%\Documents\GitHub\mrs-test-scripts\Headless Mode &amp; Sideloading\WalkAndUnGZ.bat" "%USERPROFILE%\AppData\Local\Temp\OnboardLogs"\RTDC4044\2016-12-04 &amp; 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</v>
      </c>
      <c r="S24" s="103" t="str">
        <f>VLOOKUP(C24,'Train Runs'!$A$13:$AE$9979,22,0)</f>
        <v>https://search-rtdc-monitor-bjffxe2xuh6vdkpspy63sjmuny.us-east-1.es.amazonaws.com/_plugin/kibana/#/discover/Steve-Slow-Train-Analysis-(2080s-and-2083s)?_g=(refreshInterval:(display:Off,section:0,value:0),time:(from:'2016-12-04 04:20:37-700',mode:absolute,to:'2016-12-04 06:33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4" s="105" t="str">
        <f t="shared" si="1"/>
        <v>"C:\Program Files (x86)\AstroGrep\AstroGrep.exe" /spath="%USERPROFILE%\AppData\Local\Temp\OnboardLogs" /stypes="*4044*201612041*" /stext=" 12:.+((SYSTEM_STATE.+slice.+state.+changed )|(ment ac)|(multiple cpu faults)|(system.+state.+changed )|(\[timeout)|(PRM\|1\|D)|(kpr)|(kdp)|(\|lc)|(penalty))" /e /r /s</v>
      </c>
      <c r="U24" s="9" t="str">
        <f t="shared" si="2"/>
        <v>4044</v>
      </c>
      <c r="V24" s="36">
        <f t="shared" si="3"/>
        <v>42708.523171296292</v>
      </c>
      <c r="W24" s="50" t="str">
        <f t="shared" si="4"/>
        <v>Other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{"issue":{"subject":"","project_id":79,"tracker_id":40,"status_id":1,"priority_id":2,"assigned_to_id":23,"start_date":"2016-12-04","description":"","custom_fields":[{"id":1,"name":"Subdivision","value":"Other"},{"id":4,"name":"Milepost","value":"3.3252"},{"id":17,"name":"Train ID","value":"1901-04"},{"id":16,"name":"Locomotive ID","value":"4044"},{"id":130,"name":"Impact","value":""},{"id":150,"name":"Time of Event (Mountain Time)","value":"05:33:22"},{"id":151,"name":"Denver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"%USERPROFILE%\AppData\Local\Temp\OnboardLogs"\RTDC4044\*4044*201612041*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"%USERPROFILE%\AppData\Local\Temp\OnboardLogs"\RTDC4044\*4044*201612041* &gt;&gt; 42708-slicedisagreementcheck.txt</v>
      </c>
    </row>
    <row r="25" spans="1:30" x14ac:dyDescent="0.25">
      <c r="A25" s="36">
        <v>42708.231898148151</v>
      </c>
      <c r="B25" s="31" t="s">
        <v>184</v>
      </c>
      <c r="C25" s="31" t="s">
        <v>441</v>
      </c>
      <c r="D25" s="31" t="s">
        <v>49</v>
      </c>
      <c r="E25" s="31" t="s">
        <v>199</v>
      </c>
      <c r="F25" s="47">
        <v>0</v>
      </c>
      <c r="G25" s="47">
        <v>37</v>
      </c>
      <c r="H25" s="47">
        <v>33112</v>
      </c>
      <c r="I25" s="47">
        <v>33136</v>
      </c>
      <c r="J25" s="31" t="s">
        <v>200</v>
      </c>
      <c r="K25" s="47">
        <v>33252</v>
      </c>
      <c r="L25" s="154" t="s">
        <v>50</v>
      </c>
      <c r="M25" s="155">
        <f t="shared" si="0"/>
        <v>61.247999999999998</v>
      </c>
      <c r="N25" s="156" t="str">
        <f>VLOOKUP(C25,'Trips&amp;Operators'!$C$1:$G$99999,5,FALSE)</f>
        <v>STARKS ANGELINA</v>
      </c>
      <c r="O25" s="182" t="s">
        <v>196</v>
      </c>
      <c r="P25" s="157"/>
      <c r="Q25" s="31"/>
      <c r="R25" s="100" t="str">
        <f>VLOOKUP(C25,'Train Runs'!$A$13:$AE$9979,31,0)</f>
        <v>aws s3 cp s3://rtdc.mdm.uploadarchive.raw/RTDC4044/ "%USERPROFILE%\AppData\Local\Temp\OnboardLogs"\RTDC4044\2016-12-04 --exclude "*" --recursive --include "*20161204*" &amp; "%USERPROFILE%\Documents\GitHub\mrs-test-scripts\Headless Mode &amp; Sideloading\WalkAndUnGZ.bat" "%USERPROFILE%\AppData\Local\Temp\OnboardLogs"\RTDC4044\2016-12-04 &amp; aws s3 cp s3://rtdc.mdm.uploadarchive.raw/RTDC4044/ "%USERPROFILE%\AppData\Local\Temp\OnboardLogs"\RTDC4044\2016-12-05 --exclude "*" --recursive --include "*20161205*" &amp; "%USERPROFILE%\Documents\GitHub\mrs-test-scripts\Headless Mode &amp; Sideloading\WalkAndUnGZ.bat" "%USERPROFILE%\AppData\Local\Temp\OnboardLogs"\RTDC4044\2016-12-05</v>
      </c>
      <c r="S25" s="103" t="str">
        <f>VLOOKUP(C25,'Train Runs'!$A$13:$AE$9979,22,0)</f>
        <v>https://search-rtdc-monitor-bjffxe2xuh6vdkpspy63sjmuny.us-east-1.es.amazonaws.com/_plugin/kibana/#/discover/Steve-Slow-Train-Analysis-(2080s-and-2083s)?_g=(refreshInterval:(display:Off,section:0,value:0),time:(from:'2016-12-04 04:20:37-700',mode:absolute,to:'2016-12-04 06:33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5" s="105" t="str">
        <f t="shared" si="1"/>
        <v>"C:\Program Files (x86)\AstroGrep\AstroGrep.exe" /spath="%USERPROFILE%\AppData\Local\Temp\OnboardLogs" /stypes="*4044*201612041*" /stext=" 12:.+((SYSTEM_STATE.+slice.+state.+changed )|(ment ac)|(multiple cpu faults)|(system.+state.+changed )|(\[timeout)|(PRM\|1\|D)|(kpr)|(kdp)|(\|lc)|(penalty))" /e /r /s</v>
      </c>
      <c r="U25" s="9" t="str">
        <f t="shared" si="2"/>
        <v>4044</v>
      </c>
      <c r="V25" s="36">
        <f t="shared" si="3"/>
        <v>42708.523564814815</v>
      </c>
      <c r="W25" s="50" t="str">
        <f t="shared" si="4"/>
        <v>Other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{"issue":{"subject":"","project_id":79,"tracker_id":40,"status_id":1,"priority_id":2,"assigned_to_id":23,"start_date":"2016-12-04","description":"","custom_fields":[{"id":1,"name":"Subdivision","value":"Other"},{"id":4,"name":"Milepost","value":"3.3252"},{"id":17,"name":"Train ID","value":"1901-04"},{"id":16,"name":"Locomotive ID","value":"4044"},{"id":130,"name":"Impact","value":""},{"id":150,"name":"Time of Event (Mountain Time)","value":"05:33:56"},{"id":151,"name":"Denver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"%USERPROFILE%\AppData\Local\Temp\OnboardLogs"\RTDC4044\*4044*201612041*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"%USERPROFILE%\AppData\Local\Temp\OnboardLogs"\RTDC4044\*4044*201612041* &gt;&gt; 42708-slicedisagreementcheck.txt</v>
      </c>
    </row>
    <row r="26" spans="1:30" x14ac:dyDescent="0.25">
      <c r="A26" s="36">
        <v>42708.147650462961</v>
      </c>
      <c r="B26" s="31" t="s">
        <v>221</v>
      </c>
      <c r="C26" s="31" t="s">
        <v>439</v>
      </c>
      <c r="D26" s="31" t="s">
        <v>49</v>
      </c>
      <c r="E26" s="31" t="s">
        <v>201</v>
      </c>
      <c r="F26" s="47">
        <v>0</v>
      </c>
      <c r="G26" s="47">
        <v>34</v>
      </c>
      <c r="H26" s="47">
        <v>103</v>
      </c>
      <c r="I26" s="47">
        <v>81</v>
      </c>
      <c r="J26" s="31" t="s">
        <v>202</v>
      </c>
      <c r="K26" s="47">
        <v>1</v>
      </c>
      <c r="L26" s="154" t="s">
        <v>51</v>
      </c>
      <c r="M26" s="155">
        <f t="shared" si="0"/>
        <v>42.24</v>
      </c>
      <c r="N26" s="156" t="str">
        <f>VLOOKUP(C26,'Trips&amp;Operators'!$C$1:$G$99999,5,FALSE)</f>
        <v>ACKERMAN JARED</v>
      </c>
      <c r="O26" s="182" t="s">
        <v>196</v>
      </c>
      <c r="P26" s="157"/>
      <c r="Q26" s="31"/>
      <c r="R26" s="100" t="str">
        <f>VLOOKUP(C26,'Train Runs'!$A$13:$AE$9979,31,0)</f>
        <v>aws s3 cp s3://rtdc.mdm.uploadarchive.raw/RTDC4037/ "%USERPROFILE%\AppData\Local\Temp\OnboardLogs"\RTDC4037\2016-12-04 --exclude "*" --recursive --include "*20161204*" &amp; "%USERPROFILE%\Documents\GitHub\mrs-test-scripts\Headless Mode &amp; Sideloading\WalkAndUnGZ.bat" "%USERPROFILE%\AppData\Local\Temp\OnboardLogs"\RTDC4037\2016-12-04 &amp; aws s3 cp s3://rtdc.mdm.uploadarchive.raw/RTDC4037/ "%USERPROFILE%\AppData\Local\Temp\OnboardLogs"\RTDC4037\2016-12-05 --exclude "*" --recursive --include "*20161205*" &amp; "%USERPROFILE%\Documents\GitHub\mrs-test-scripts\Headless Mode &amp; Sideloading\WalkAndUnGZ.bat" "%USERPROFILE%\AppData\Local\Temp\OnboardLogs"\RTDC4037\2016-12-05</v>
      </c>
      <c r="S26" s="103" t="str">
        <f>VLOOKUP(C26,'Train Runs'!$A$13:$AE$9979,22,0)</f>
        <v>https://search-rtdc-monitor-bjffxe2xuh6vdkpspy63sjmuny.us-east-1.es.amazonaws.com/_plugin/kibana/#/discover/Steve-Slow-Train-Analysis-(2080s-and-2083s)?_g=(refreshInterval:(display:Off,section:0,value:0),time:(from:'2016-12-04 02:22:05-700',mode:absolute,to:'2016-12-04 04:32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6" s="105" t="str">
        <f t="shared" si="1"/>
        <v>"C:\Program Files (x86)\AstroGrep\AstroGrep.exe" /spath="%USERPROFILE%\AppData\Local\Temp\OnboardLogs" /stypes="*4037*201612041*" /stext=" 10:.+((SYSTEM_STATE.+slice.+state.+changed )|(ment ac)|(multiple cpu faults)|(system.+state.+changed )|(\[timeout)|(PRM\|1\|D)|(kpr)|(kdp)|(\|lc)|(penalty))" /e /r /s</v>
      </c>
      <c r="U26" s="9" t="str">
        <f t="shared" si="2"/>
        <v>4037</v>
      </c>
      <c r="V26" s="36">
        <f t="shared" si="3"/>
        <v>42708.439317129625</v>
      </c>
      <c r="W26" s="50" t="str">
        <f t="shared" si="4"/>
        <v>Other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{"issue":{"subject":"","project_id":79,"tracker_id":40,"status_id":1,"priority_id":2,"assigned_to_id":23,"start_date":"2016-12-04","description":"","custom_fields":[{"id":1,"name":"Subdivision","value":"Other"},{"id":4,"name":"Milepost","value":"0.0001"},{"id":17,"name":"Train ID","value":"304-04"},{"id":16,"name":"Locomotive ID","value":"4037"},{"id":130,"name":"Impact","value":""},{"id":150,"name":"Time of Event (Mountain Time)","value":"03:32:37"},{"id":151,"name":"Denver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"%USERPROFILE%\AppData\Local\Temp\OnboardLogs"\RTDC4037\*4037*201612041*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"%USERPROFILE%\AppData\Local\Temp\OnboardLogs"\RTDC4037\*4037*201612041* &gt;&gt; 42708-slicedisagreementcheck.txt</v>
      </c>
    </row>
    <row r="27" spans="1:30" x14ac:dyDescent="0.25">
      <c r="A27" s="36">
        <v>42708.171944444446</v>
      </c>
      <c r="B27" s="31" t="s">
        <v>250</v>
      </c>
      <c r="C27" s="31" t="s">
        <v>440</v>
      </c>
      <c r="D27" s="31" t="s">
        <v>49</v>
      </c>
      <c r="E27" s="31" t="s">
        <v>201</v>
      </c>
      <c r="F27" s="47">
        <v>0</v>
      </c>
      <c r="G27" s="47">
        <v>37</v>
      </c>
      <c r="H27" s="47">
        <v>143</v>
      </c>
      <c r="I27" s="47">
        <v>118</v>
      </c>
      <c r="J27" s="31" t="s">
        <v>202</v>
      </c>
      <c r="K27" s="47">
        <v>1</v>
      </c>
      <c r="L27" s="154" t="s">
        <v>51</v>
      </c>
      <c r="M27" s="155">
        <f t="shared" si="0"/>
        <v>61.776000000000003</v>
      </c>
      <c r="N27" s="156" t="str">
        <f>VLOOKUP(C27,'Trips&amp;Operators'!$C$1:$G$99999,5,FALSE)</f>
        <v>MAELZER KURT</v>
      </c>
      <c r="O27" s="182" t="s">
        <v>196</v>
      </c>
      <c r="P27" s="157"/>
      <c r="Q27" s="31"/>
      <c r="R27" s="100" t="str">
        <f>VLOOKUP(C27,'Train Runs'!$A$13:$AE$9979,31,0)</f>
        <v>aws s3 cp s3://rtdc.mdm.uploadarchive.raw/RTDC4041/ "%USERPROFILE%\AppData\Local\Temp\OnboardLogs"\RTDC4041\2016-12-04 --exclude "*" --recursive --include "*20161204*" &amp; "%USERPROFILE%\Documents\GitHub\mrs-test-scripts\Headless Mode &amp; Sideloading\WalkAndUnGZ.bat" "%USERPROFILE%\AppData\Local\Temp\OnboardLogs"\RTDC4041\2016-12-04 &amp; aws s3 cp s3://rtdc.mdm.uploadarchive.raw/RTDC4041/ "%USERPROFILE%\AppData\Local\Temp\OnboardLogs"\RTDC4041\2016-12-05 --exclude "*" --recursive --include "*20161205*" &amp; "%USERPROFILE%\Documents\GitHub\mrs-test-scripts\Headless Mode &amp; Sideloading\WalkAndUnGZ.bat" "%USERPROFILE%\AppData\Local\Temp\OnboardLogs"\RTDC4041\2016-12-05</v>
      </c>
      <c r="S27" s="103" t="str">
        <f>VLOOKUP(C27,'Train Runs'!$A$13:$AE$9979,22,0)</f>
        <v>https://search-rtdc-monitor-bjffxe2xuh6vdkpspy63sjmuny.us-east-1.es.amazonaws.com/_plugin/kibana/#/discover/Steve-Slow-Train-Analysis-(2080s-and-2083s)?_g=(refreshInterval:(display:Off,section:0,value:0),time:(from:'2016-12-04 02:57:49-700',mode:absolute,to:'2016-12-04 05:07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7" s="105" t="str">
        <f t="shared" si="1"/>
        <v>"C:\Program Files (x86)\AstroGrep\AstroGrep.exe" /spath="%USERPROFILE%\AppData\Local\Temp\OnboardLogs" /stypes="*4041*201612041*" /stext=" 11:.+((SYSTEM_STATE.+slice.+state.+changed )|(ment ac)|(multiple cpu faults)|(system.+state.+changed )|(\[timeout)|(PRM\|1\|D)|(kpr)|(kdp)|(\|lc)|(penalty))" /e /r /s</v>
      </c>
      <c r="U27" s="9" t="str">
        <f t="shared" si="2"/>
        <v>4041</v>
      </c>
      <c r="V27" s="36">
        <f t="shared" si="3"/>
        <v>42708.46361111111</v>
      </c>
      <c r="W27" s="50" t="str">
        <f t="shared" si="4"/>
        <v>Other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{"issue":{"subject":"","project_id":79,"tracker_id":40,"status_id":1,"priority_id":2,"assigned_to_id":23,"start_date":"2016-12-04","description":"","custom_fields":[{"id":1,"name":"Subdivision","value":"Other"},{"id":4,"name":"Milepost","value":"0.0001"},{"id":17,"name":"Train ID","value":"306-04"},{"id":16,"name":"Locomotive ID","value":"4041"},{"id":130,"name":"Impact","value":""},{"id":150,"name":"Time of Event (Mountain Time)","value":"04:07:36"},{"id":151,"name":"Denver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"%USERPROFILE%\AppData\Local\Temp\OnboardLogs"\RTDC4041\*4041*201612041*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"%USERPROFILE%\AppData\Local\Temp\OnboardLogs"\RTDC4041\*4041*201612041* &gt;&gt; 42708-slicedisagreementcheck.txt</v>
      </c>
    </row>
    <row r="28" spans="1:30" x14ac:dyDescent="0.25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AC28"/>
    </row>
    <row r="29" spans="1:30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AC29"/>
    </row>
    <row r="30" spans="1:30" ht="15" customHeight="1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AC30"/>
    </row>
    <row r="31" spans="1:30" ht="15" customHeight="1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AC31"/>
    </row>
    <row r="32" spans="1:30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AC32"/>
    </row>
    <row r="33" spans="1:29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</row>
    <row r="34" spans="1:29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</row>
    <row r="35" spans="1:29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</row>
    <row r="36" spans="1:29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</row>
    <row r="37" spans="1:29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</row>
    <row r="38" spans="1:29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</row>
    <row r="39" spans="1:29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</row>
    <row r="40" spans="1:29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</row>
    <row r="41" spans="1:29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</row>
    <row r="42" spans="1:29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29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29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29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29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29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29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74" spans="1:29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AC74"/>
    </row>
    <row r="75" spans="1:29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AC75"/>
    </row>
  </sheetData>
  <autoFilter ref="A6:AC46">
    <sortState ref="A7:AC46">
      <sortCondition ref="W7:W27"/>
      <sortCondition ref="E7:E27"/>
      <sortCondition ref="K7:K27"/>
      <sortCondition ref="F7:F27"/>
    </sortState>
  </autoFilter>
  <sortState ref="A7:AD60">
    <sortCondition ref="W7:W60"/>
    <sortCondition ref="E7:E60"/>
    <sortCondition ref="K7:K60"/>
    <sortCondition ref="C7:C60"/>
    <sortCondition ref="F7:F60"/>
  </sortState>
  <mergeCells count="1">
    <mergeCell ref="A5:O5"/>
  </mergeCells>
  <conditionalFormatting sqref="O6:P6 R6 O76:O1048576 O7:O2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27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AA7:AA27</xm:sqref>
        </x14:dataValidation>
        <x14:dataValidation type="list" allowBlank="1" showInputMessage="1" showErrorMessage="1">
          <x14:formula1>
            <xm:f>'Redmine List Values'!$C$2:$C$15</xm:f>
          </x14:formula1>
          <xm:sqref>AB7:AB27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>
      <selection activeCell="I3" sqref="I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4" t="str">
        <f>"Trips that did not appear in PTC Data "&amp;TEXT(Variables!$A$2,"YYYY-mm-dd")</f>
        <v>Trips that did not appear in PTC Data 2016-12-04</v>
      </c>
      <c r="C1" s="184"/>
      <c r="D1" s="184"/>
      <c r="E1" s="184"/>
      <c r="F1" s="184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1902</v>
      </c>
      <c r="B3" s="47" t="str">
        <f>A3&amp;"-"&amp;IF(DAY(Variables!$A$2)&lt;10,0,"")&amp;DAY(Variables!$A$2)</f>
        <v>1902-04</v>
      </c>
      <c r="C3" s="158"/>
      <c r="D3" s="163"/>
      <c r="E3" s="31"/>
      <c r="F3" s="22" t="str">
        <f>VLOOKUP(B3,'Trips&amp;Operators'!$C$2:$E$10000,3,FALSE)</f>
        <v>LOPES</v>
      </c>
      <c r="G3" s="22" t="str">
        <f>VLOOKUP(B3,'Trips&amp;Operators'!$C$1:$F$10000,4,FALSE)</f>
        <v>KIMBERLY</v>
      </c>
      <c r="H3" s="30" t="str">
        <f>VLOOKUP(B3,'Trips&amp;Operators'!$C$1:$H$10000,5,FALSE)</f>
        <v>LOPES KIMBERLY</v>
      </c>
      <c r="I3" s="50" t="str">
        <f t="shared" ref="I3:I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221902-04%22)),sort:!(Time,asc))</v>
      </c>
      <c r="J3" s="31" t="str">
        <f>VLOOKUP(B3,'Train Runs'!$A$13:$A$99976,1,FALSE)</f>
        <v>1902-04</v>
      </c>
      <c r="K3" s="31" t="e">
        <f>IF(VLOOKUP(A3,$K$39:$K$62,1,FALSE),"Cancelled")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-04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4" s="31" t="e">
        <f>VLOOKUP(B4,'Train Runs'!$A$13:$A$99976,1,FALSE)</f>
        <v>#N/A</v>
      </c>
      <c r="K4" s="31" t="e">
        <f>IF(VLOOKUP(A4,$K$39:$K$62,1,FALSE),"Cancelled")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-04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ref="I5:I9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5" s="31" t="e">
        <f>VLOOKUP(B5,'Train Runs'!$A$13:$A$99976,1,FALSE)</f>
        <v>#N/A</v>
      </c>
      <c r="K5" s="31" t="e">
        <f t="shared" ref="K5:K9" si="2">IF(VLOOKUP(A5,$K$39:$K$62,1,FALSE),"Cancelled")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-04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6" s="31" t="e">
        <f>VLOOKUP(B6,'Train Runs'!$A$13:$A$99976,1,FALSE)</f>
        <v>#N/A</v>
      </c>
      <c r="K6" s="31" t="e">
        <f t="shared" si="2"/>
        <v>#N/A</v>
      </c>
    </row>
    <row r="7" spans="1:11" x14ac:dyDescent="0.25">
      <c r="A7" s="171"/>
      <c r="B7" s="47" t="str">
        <f>A7&amp;"-"&amp;IF(DAY(Variables!$A$2)&lt;10,0,"")&amp;DAY(Variables!$A$2)</f>
        <v>-04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7" s="31" t="e">
        <f>VLOOKUP(B7,'Train Runs'!$A$13:$A$99976,1,FALSE)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-04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8" s="31" t="e">
        <f>VLOOKUP(B8,'Train Runs'!$A$13:$A$99976,1,FALSE)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-04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9" s="31" t="e">
        <f>VLOOKUP(B9,'Train Runs'!$A$13:$A$99976,1,FALSE)</f>
        <v>#N/A</v>
      </c>
      <c r="K9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5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5" t="s">
        <v>179</v>
      </c>
      <c r="E1" s="21" t="s">
        <v>180</v>
      </c>
      <c r="F1" s="21" t="s">
        <v>328</v>
      </c>
      <c r="G1" s="8" t="s">
        <v>327</v>
      </c>
    </row>
    <row r="2" spans="1:7" x14ac:dyDescent="0.25">
      <c r="A2" s="8">
        <v>42708.035729166666</v>
      </c>
      <c r="B2" s="21" t="s">
        <v>340</v>
      </c>
      <c r="C2" s="21" t="s">
        <v>404</v>
      </c>
      <c r="D2" s="165">
        <v>1800000</v>
      </c>
      <c r="E2" s="21" t="s">
        <v>265</v>
      </c>
      <c r="F2" s="21" t="s">
        <v>390</v>
      </c>
      <c r="G2" s="8" t="str">
        <f>E2&amp;" "&amp;F2</f>
        <v>CHANDLER KELVIN</v>
      </c>
    </row>
    <row r="3" spans="1:7" x14ac:dyDescent="0.25">
      <c r="A3" s="8">
        <v>42708.037997685184</v>
      </c>
      <c r="B3" s="21" t="s">
        <v>282</v>
      </c>
      <c r="C3" s="21" t="s">
        <v>405</v>
      </c>
      <c r="D3" s="165">
        <v>1300000</v>
      </c>
      <c r="E3" s="21" t="s">
        <v>113</v>
      </c>
      <c r="F3" s="21" t="s">
        <v>325</v>
      </c>
      <c r="G3" s="8" t="str">
        <f t="shared" ref="G3:G66" si="0">E3&amp;" "&amp;F3</f>
        <v>LEVIN SCOTT</v>
      </c>
    </row>
    <row r="4" spans="1:7" x14ac:dyDescent="0.25">
      <c r="A4" s="8">
        <v>42708.046875</v>
      </c>
      <c r="B4" s="21" t="s">
        <v>337</v>
      </c>
      <c r="C4" s="21" t="s">
        <v>406</v>
      </c>
      <c r="D4" s="165">
        <v>1810000</v>
      </c>
      <c r="E4" s="21" t="s">
        <v>403</v>
      </c>
      <c r="F4" s="21" t="s">
        <v>326</v>
      </c>
      <c r="G4" s="8" t="str">
        <f t="shared" si="0"/>
        <v>NEWELL JAMES</v>
      </c>
    </row>
    <row r="5" spans="1:7" x14ac:dyDescent="0.25">
      <c r="A5" s="8">
        <v>42708.056666666664</v>
      </c>
      <c r="B5" s="21" t="s">
        <v>211</v>
      </c>
      <c r="C5" s="21" t="s">
        <v>407</v>
      </c>
      <c r="D5" s="165">
        <v>2000000</v>
      </c>
      <c r="E5" s="21" t="s">
        <v>213</v>
      </c>
      <c r="F5" s="21" t="s">
        <v>326</v>
      </c>
      <c r="G5" s="8" t="str">
        <f t="shared" si="0"/>
        <v>STAMBAUGH JAMES</v>
      </c>
    </row>
    <row r="6" spans="1:7" x14ac:dyDescent="0.25">
      <c r="A6" s="8">
        <v>42708.068576388891</v>
      </c>
      <c r="B6" s="21" t="s">
        <v>343</v>
      </c>
      <c r="C6" s="21" t="s">
        <v>408</v>
      </c>
      <c r="D6" s="165">
        <v>1800000</v>
      </c>
      <c r="E6" s="21" t="s">
        <v>265</v>
      </c>
      <c r="F6" s="21" t="s">
        <v>390</v>
      </c>
      <c r="G6" s="8" t="str">
        <f t="shared" si="0"/>
        <v>CHANDLER KELVIN</v>
      </c>
    </row>
    <row r="7" spans="1:7" x14ac:dyDescent="0.25">
      <c r="A7" s="8">
        <v>42708.07644675926</v>
      </c>
      <c r="B7" s="21" t="s">
        <v>283</v>
      </c>
      <c r="C7" s="21" t="s">
        <v>409</v>
      </c>
      <c r="D7" s="165">
        <v>1300000</v>
      </c>
      <c r="E7" s="21" t="s">
        <v>113</v>
      </c>
      <c r="F7" s="21" t="s">
        <v>325</v>
      </c>
      <c r="G7" s="8" t="str">
        <f t="shared" si="0"/>
        <v>LEVIN SCOTT</v>
      </c>
    </row>
    <row r="8" spans="1:7" x14ac:dyDescent="0.25">
      <c r="A8" s="8">
        <v>42708.089722222219</v>
      </c>
      <c r="B8" s="21" t="s">
        <v>207</v>
      </c>
      <c r="C8" s="21" t="s">
        <v>410</v>
      </c>
      <c r="D8" s="165">
        <v>2000000</v>
      </c>
      <c r="E8" s="21" t="s">
        <v>213</v>
      </c>
      <c r="F8" s="21" t="s">
        <v>326</v>
      </c>
      <c r="G8" s="8" t="str">
        <f t="shared" si="0"/>
        <v>STAMBAUGH JAMES</v>
      </c>
    </row>
    <row r="9" spans="1:7" ht="15.75" thickBot="1" x14ac:dyDescent="0.3">
      <c r="A9" s="25">
        <v>42708.109305555554</v>
      </c>
      <c r="B9" s="21" t="s">
        <v>282</v>
      </c>
      <c r="C9" s="21" t="s">
        <v>411</v>
      </c>
      <c r="D9" s="165">
        <v>1300000</v>
      </c>
      <c r="E9" s="21" t="s">
        <v>113</v>
      </c>
      <c r="F9" s="21" t="s">
        <v>325</v>
      </c>
      <c r="G9" s="8" t="str">
        <f t="shared" si="0"/>
        <v>LEVIN SCOTT</v>
      </c>
    </row>
    <row r="10" spans="1:7" x14ac:dyDescent="0.25">
      <c r="A10" s="8">
        <v>42708.110219907408</v>
      </c>
      <c r="B10" s="21" t="s">
        <v>282</v>
      </c>
      <c r="C10" s="21" t="s">
        <v>411</v>
      </c>
      <c r="D10" s="165">
        <v>1300000</v>
      </c>
      <c r="E10" s="21" t="s">
        <v>113</v>
      </c>
      <c r="F10" s="21" t="s">
        <v>325</v>
      </c>
      <c r="G10" s="8" t="str">
        <f t="shared" si="0"/>
        <v>LEVIN SCOTT</v>
      </c>
    </row>
    <row r="11" spans="1:7" x14ac:dyDescent="0.25">
      <c r="A11" s="8">
        <v>42708.120266203703</v>
      </c>
      <c r="B11" s="21" t="s">
        <v>301</v>
      </c>
      <c r="C11" s="21" t="s">
        <v>458</v>
      </c>
      <c r="D11" s="165">
        <v>2030000</v>
      </c>
      <c r="E11" s="21" t="s">
        <v>393</v>
      </c>
      <c r="F11" s="21" t="s">
        <v>322</v>
      </c>
      <c r="G11" s="8" t="str">
        <f t="shared" si="0"/>
        <v>KILLION DAVID</v>
      </c>
    </row>
    <row r="12" spans="1:7" x14ac:dyDescent="0.25">
      <c r="A12" s="8">
        <v>42708.130115740743</v>
      </c>
      <c r="B12" s="21" t="s">
        <v>255</v>
      </c>
      <c r="C12" s="21" t="s">
        <v>459</v>
      </c>
      <c r="D12" s="165">
        <v>2030000</v>
      </c>
      <c r="E12" s="21" t="s">
        <v>393</v>
      </c>
      <c r="F12" s="21" t="s">
        <v>322</v>
      </c>
      <c r="G12" s="8" t="str">
        <f t="shared" si="0"/>
        <v>KILLION DAVID</v>
      </c>
    </row>
    <row r="13" spans="1:7" x14ac:dyDescent="0.25">
      <c r="A13" s="8">
        <v>42708.140810185185</v>
      </c>
      <c r="B13" s="21" t="s">
        <v>221</v>
      </c>
      <c r="C13" s="21" t="s">
        <v>439</v>
      </c>
      <c r="D13" s="165">
        <v>1260000</v>
      </c>
      <c r="E13" s="21" t="s">
        <v>391</v>
      </c>
      <c r="F13" s="21" t="s">
        <v>392</v>
      </c>
      <c r="G13" s="8" t="str">
        <f t="shared" si="0"/>
        <v>ACKERMAN JARED</v>
      </c>
    </row>
    <row r="14" spans="1:7" x14ac:dyDescent="0.25">
      <c r="A14" s="8">
        <v>42708.152499999997</v>
      </c>
      <c r="B14" s="21" t="s">
        <v>241</v>
      </c>
      <c r="C14" s="21" t="s">
        <v>460</v>
      </c>
      <c r="D14" s="165">
        <v>1260000</v>
      </c>
      <c r="E14" s="21" t="s">
        <v>391</v>
      </c>
      <c r="F14" s="21" t="s">
        <v>392</v>
      </c>
      <c r="G14" s="8" t="str">
        <f t="shared" si="0"/>
        <v>ACKERMAN JARED</v>
      </c>
    </row>
    <row r="15" spans="1:7" x14ac:dyDescent="0.25">
      <c r="A15" s="8">
        <v>42708.164351851854</v>
      </c>
      <c r="B15" s="21" t="s">
        <v>250</v>
      </c>
      <c r="C15" s="21" t="s">
        <v>440</v>
      </c>
      <c r="D15" s="165">
        <v>2010000</v>
      </c>
      <c r="E15" s="21" t="s">
        <v>307</v>
      </c>
      <c r="F15" s="21" t="s">
        <v>320</v>
      </c>
      <c r="G15" s="8" t="str">
        <f t="shared" si="0"/>
        <v>MAELZER KURT</v>
      </c>
    </row>
    <row r="16" spans="1:7" x14ac:dyDescent="0.25">
      <c r="A16" s="8">
        <v>42708.165416666663</v>
      </c>
      <c r="B16" s="21" t="s">
        <v>250</v>
      </c>
      <c r="C16" s="21" t="s">
        <v>440</v>
      </c>
      <c r="D16" s="165">
        <v>2010000</v>
      </c>
      <c r="E16" s="21" t="s">
        <v>307</v>
      </c>
      <c r="F16" s="21" t="s">
        <v>320</v>
      </c>
      <c r="G16" s="8" t="str">
        <f t="shared" si="0"/>
        <v>MAELZER KURT</v>
      </c>
    </row>
    <row r="17" spans="1:7" x14ac:dyDescent="0.25">
      <c r="A17" s="8">
        <v>42708.169282407405</v>
      </c>
      <c r="B17" s="21" t="s">
        <v>336</v>
      </c>
      <c r="C17" s="21" t="s">
        <v>461</v>
      </c>
      <c r="D17" s="165">
        <v>2090000</v>
      </c>
      <c r="E17" s="21" t="s">
        <v>402</v>
      </c>
      <c r="F17" s="21" t="s">
        <v>321</v>
      </c>
      <c r="G17" s="8" t="str">
        <f t="shared" si="0"/>
        <v>HAITHCOX MICHAEL</v>
      </c>
    </row>
    <row r="18" spans="1:7" x14ac:dyDescent="0.25">
      <c r="A18" s="8">
        <v>42708.170023148145</v>
      </c>
      <c r="B18" s="21" t="s">
        <v>301</v>
      </c>
      <c r="C18" s="21" t="s">
        <v>462</v>
      </c>
      <c r="D18" s="165">
        <v>2030000</v>
      </c>
      <c r="E18" s="21" t="s">
        <v>393</v>
      </c>
      <c r="F18" s="21" t="s">
        <v>322</v>
      </c>
      <c r="G18" s="8" t="str">
        <f t="shared" si="0"/>
        <v>KILLION DAVID</v>
      </c>
    </row>
    <row r="19" spans="1:7" x14ac:dyDescent="0.25">
      <c r="A19" s="8">
        <v>42708.174502314818</v>
      </c>
      <c r="B19" s="21" t="s">
        <v>300</v>
      </c>
      <c r="C19" s="21" t="s">
        <v>463</v>
      </c>
      <c r="D19" s="165">
        <v>2010000</v>
      </c>
      <c r="E19" s="21" t="s">
        <v>307</v>
      </c>
      <c r="F19" s="21" t="s">
        <v>320</v>
      </c>
      <c r="G19" s="8" t="str">
        <f t="shared" si="0"/>
        <v>MAELZER KURT</v>
      </c>
    </row>
    <row r="20" spans="1:7" x14ac:dyDescent="0.25">
      <c r="A20" s="8">
        <v>42708.180092592593</v>
      </c>
      <c r="B20" s="21" t="s">
        <v>340</v>
      </c>
      <c r="C20" s="21" t="s">
        <v>464</v>
      </c>
      <c r="D20" s="165">
        <v>2140000</v>
      </c>
      <c r="E20" s="21" t="s">
        <v>332</v>
      </c>
      <c r="F20" s="21" t="s">
        <v>333</v>
      </c>
      <c r="G20" s="8" t="str">
        <f t="shared" si="0"/>
        <v>ROBINSON KADDIBA</v>
      </c>
    </row>
    <row r="21" spans="1:7" x14ac:dyDescent="0.25">
      <c r="A21" s="8">
        <v>42708.181898148148</v>
      </c>
      <c r="B21" s="21" t="s">
        <v>337</v>
      </c>
      <c r="C21" s="21" t="s">
        <v>465</v>
      </c>
      <c r="D21" s="165">
        <v>2090000</v>
      </c>
      <c r="E21" s="21" t="s">
        <v>402</v>
      </c>
      <c r="F21" s="21" t="s">
        <v>321</v>
      </c>
      <c r="G21" s="8" t="str">
        <f t="shared" si="0"/>
        <v>HAITHCOX MICHAEL</v>
      </c>
    </row>
    <row r="22" spans="1:7" x14ac:dyDescent="0.25">
      <c r="A22" s="27">
        <v>42708.190694444442</v>
      </c>
      <c r="B22" s="21" t="s">
        <v>221</v>
      </c>
      <c r="C22" s="21" t="s">
        <v>466</v>
      </c>
      <c r="D22" s="165">
        <v>1260000</v>
      </c>
      <c r="E22" s="21" t="s">
        <v>391</v>
      </c>
      <c r="F22" s="21" t="s">
        <v>392</v>
      </c>
      <c r="G22" s="8" t="str">
        <f t="shared" si="0"/>
        <v>ACKERMAN JARED</v>
      </c>
    </row>
    <row r="23" spans="1:7" x14ac:dyDescent="0.25">
      <c r="A23" s="8">
        <v>42708.193078703705</v>
      </c>
      <c r="B23" s="21" t="s">
        <v>343</v>
      </c>
      <c r="C23" s="21" t="s">
        <v>467</v>
      </c>
      <c r="D23" s="165">
        <v>2140000</v>
      </c>
      <c r="E23" s="21" t="s">
        <v>332</v>
      </c>
      <c r="F23" s="21" t="s">
        <v>333</v>
      </c>
      <c r="G23" s="8" t="str">
        <f t="shared" si="0"/>
        <v>ROBINSON KADDIBA</v>
      </c>
    </row>
    <row r="24" spans="1:7" x14ac:dyDescent="0.25">
      <c r="A24" s="8">
        <v>42708.206932870373</v>
      </c>
      <c r="B24" s="21" t="s">
        <v>255</v>
      </c>
      <c r="C24" s="21" t="s">
        <v>468</v>
      </c>
      <c r="D24" s="165">
        <v>1760000</v>
      </c>
      <c r="E24" s="21" t="s">
        <v>334</v>
      </c>
      <c r="F24" s="21" t="s">
        <v>335</v>
      </c>
      <c r="G24" s="8" t="str">
        <f t="shared" si="0"/>
        <v>STRICKLAND EVAN</v>
      </c>
    </row>
    <row r="25" spans="1:7" x14ac:dyDescent="0.25">
      <c r="A25" s="8">
        <v>42708.207650462966</v>
      </c>
      <c r="B25" s="21" t="s">
        <v>218</v>
      </c>
      <c r="C25" s="21" t="s">
        <v>469</v>
      </c>
      <c r="D25" s="165">
        <v>2030000</v>
      </c>
      <c r="E25" s="21" t="s">
        <v>393</v>
      </c>
      <c r="F25" s="21" t="s">
        <v>322</v>
      </c>
      <c r="G25" s="8" t="str">
        <f t="shared" si="0"/>
        <v>KILLION DAVID</v>
      </c>
    </row>
    <row r="26" spans="1:7" x14ac:dyDescent="0.25">
      <c r="A26" s="8">
        <v>42708.209097222221</v>
      </c>
      <c r="B26" s="21" t="s">
        <v>218</v>
      </c>
      <c r="C26" s="21" t="s">
        <v>469</v>
      </c>
      <c r="D26" s="165">
        <v>2030000</v>
      </c>
      <c r="E26" s="21" t="s">
        <v>393</v>
      </c>
      <c r="F26" s="21" t="s">
        <v>322</v>
      </c>
      <c r="G26" s="8" t="str">
        <f t="shared" si="0"/>
        <v>KILLION DAVID</v>
      </c>
    </row>
    <row r="27" spans="1:7" x14ac:dyDescent="0.25">
      <c r="A27" s="8">
        <v>42708.212824074071</v>
      </c>
      <c r="B27" s="21" t="s">
        <v>250</v>
      </c>
      <c r="C27" s="21" t="s">
        <v>470</v>
      </c>
      <c r="D27" s="165">
        <v>2010000</v>
      </c>
      <c r="E27" s="21" t="s">
        <v>307</v>
      </c>
      <c r="F27" s="21" t="s">
        <v>320</v>
      </c>
      <c r="G27" s="8" t="str">
        <f t="shared" si="0"/>
        <v>MAELZER KURT</v>
      </c>
    </row>
    <row r="28" spans="1:7" x14ac:dyDescent="0.25">
      <c r="A28" s="8">
        <v>42708.223101851851</v>
      </c>
      <c r="B28" s="21" t="s">
        <v>184</v>
      </c>
      <c r="C28" s="21" t="s">
        <v>441</v>
      </c>
      <c r="D28" s="165">
        <v>1110000</v>
      </c>
      <c r="E28" s="21" t="s">
        <v>471</v>
      </c>
      <c r="F28" s="21" t="s">
        <v>472</v>
      </c>
      <c r="G28" s="8" t="str">
        <f t="shared" si="0"/>
        <v>STARKS ANGELINA</v>
      </c>
    </row>
    <row r="29" spans="1:7" x14ac:dyDescent="0.25">
      <c r="A29" s="8">
        <v>42708.223298611112</v>
      </c>
      <c r="B29" s="21" t="s">
        <v>336</v>
      </c>
      <c r="C29" s="21" t="s">
        <v>473</v>
      </c>
      <c r="D29" s="165">
        <v>2090000</v>
      </c>
      <c r="E29" s="21" t="s">
        <v>402</v>
      </c>
      <c r="F29" s="21" t="s">
        <v>321</v>
      </c>
      <c r="G29" s="8" t="str">
        <f t="shared" si="0"/>
        <v>HAITHCOX MICHAEL</v>
      </c>
    </row>
    <row r="30" spans="1:7" x14ac:dyDescent="0.25">
      <c r="A30" s="8">
        <v>42708.225497685184</v>
      </c>
      <c r="B30" s="21" t="s">
        <v>241</v>
      </c>
      <c r="C30" s="21" t="s">
        <v>474</v>
      </c>
      <c r="D30" s="165">
        <v>1830000</v>
      </c>
      <c r="E30" s="21" t="s">
        <v>338</v>
      </c>
      <c r="F30" s="21" t="s">
        <v>339</v>
      </c>
      <c r="G30" s="8" t="str">
        <f t="shared" si="0"/>
        <v>YORK EDGAR</v>
      </c>
    </row>
    <row r="31" spans="1:7" x14ac:dyDescent="0.25">
      <c r="A31" s="8">
        <v>42708.228865740741</v>
      </c>
      <c r="B31" s="21" t="s">
        <v>340</v>
      </c>
      <c r="C31" s="21" t="s">
        <v>475</v>
      </c>
      <c r="D31" s="165">
        <v>2140000</v>
      </c>
      <c r="E31" s="21" t="s">
        <v>332</v>
      </c>
      <c r="F31" s="21" t="s">
        <v>333</v>
      </c>
      <c r="G31" s="8" t="str">
        <f t="shared" si="0"/>
        <v>ROBINSON KADDIBA</v>
      </c>
    </row>
    <row r="32" spans="1:7" x14ac:dyDescent="0.25">
      <c r="A32" s="8">
        <v>42708.231979166667</v>
      </c>
      <c r="B32" s="21" t="s">
        <v>220</v>
      </c>
      <c r="C32" s="21" t="s">
        <v>476</v>
      </c>
      <c r="D32" s="165">
        <v>1260000</v>
      </c>
      <c r="E32" s="21" t="s">
        <v>391</v>
      </c>
      <c r="F32" s="21" t="s">
        <v>392</v>
      </c>
      <c r="G32" s="8" t="str">
        <f t="shared" si="0"/>
        <v>ACKERMAN JARED</v>
      </c>
    </row>
    <row r="33" spans="1:7" x14ac:dyDescent="0.25">
      <c r="A33" s="8">
        <v>42708.238900462966</v>
      </c>
      <c r="B33" s="21" t="s">
        <v>302</v>
      </c>
      <c r="C33" s="21" t="s">
        <v>477</v>
      </c>
      <c r="D33" s="165">
        <v>1110000</v>
      </c>
      <c r="E33" s="21" t="s">
        <v>471</v>
      </c>
      <c r="F33" s="21" t="s">
        <v>472</v>
      </c>
      <c r="G33" s="8" t="str">
        <f t="shared" si="0"/>
        <v>STARKS ANGELINA</v>
      </c>
    </row>
    <row r="34" spans="1:7" x14ac:dyDescent="0.25">
      <c r="A34" s="8">
        <v>42708.243796296294</v>
      </c>
      <c r="B34" s="21" t="s">
        <v>256</v>
      </c>
      <c r="C34" s="21" t="s">
        <v>478</v>
      </c>
      <c r="D34" s="165">
        <v>1760000</v>
      </c>
      <c r="E34" s="21" t="s">
        <v>334</v>
      </c>
      <c r="F34" s="21" t="s">
        <v>335</v>
      </c>
      <c r="G34" s="8" t="str">
        <f t="shared" si="0"/>
        <v>STRICKLAND EVAN</v>
      </c>
    </row>
    <row r="35" spans="1:7" x14ac:dyDescent="0.25">
      <c r="A35" s="8">
        <v>42708.24628472222</v>
      </c>
      <c r="B35" s="21" t="s">
        <v>300</v>
      </c>
      <c r="C35" s="21" t="s">
        <v>479</v>
      </c>
      <c r="D35" s="165">
        <v>2010000</v>
      </c>
      <c r="E35" s="21" t="s">
        <v>307</v>
      </c>
      <c r="F35" s="21" t="s">
        <v>320</v>
      </c>
      <c r="G35" s="8" t="str">
        <f t="shared" si="0"/>
        <v>MAELZER KURT</v>
      </c>
    </row>
    <row r="36" spans="1:7" x14ac:dyDescent="0.25">
      <c r="A36" s="8">
        <v>42708.251284722224</v>
      </c>
      <c r="B36" s="21" t="s">
        <v>301</v>
      </c>
      <c r="C36" s="21" t="s">
        <v>480</v>
      </c>
      <c r="D36" s="165">
        <v>2030000</v>
      </c>
      <c r="E36" s="21" t="s">
        <v>393</v>
      </c>
      <c r="F36" s="21" t="s">
        <v>322</v>
      </c>
      <c r="G36" s="8" t="str">
        <f t="shared" si="0"/>
        <v>KILLION DAVID</v>
      </c>
    </row>
    <row r="37" spans="1:7" x14ac:dyDescent="0.25">
      <c r="A37" s="8">
        <v>42708.25577546296</v>
      </c>
      <c r="B37" s="21" t="s">
        <v>263</v>
      </c>
      <c r="C37" s="21" t="s">
        <v>481</v>
      </c>
      <c r="D37" s="165">
        <v>1830000</v>
      </c>
      <c r="E37" s="21" t="s">
        <v>338</v>
      </c>
      <c r="F37" s="21" t="s">
        <v>339</v>
      </c>
      <c r="G37" s="8" t="str">
        <f t="shared" si="0"/>
        <v>YORK EDGAR</v>
      </c>
    </row>
    <row r="38" spans="1:7" x14ac:dyDescent="0.25">
      <c r="A38" s="8">
        <v>42708.255798611113</v>
      </c>
      <c r="B38" s="21" t="s">
        <v>337</v>
      </c>
      <c r="C38" s="21" t="s">
        <v>482</v>
      </c>
      <c r="D38" s="165">
        <v>2090000</v>
      </c>
      <c r="E38" s="21" t="s">
        <v>402</v>
      </c>
      <c r="F38" s="21" t="s">
        <v>321</v>
      </c>
      <c r="G38" s="8" t="str">
        <f t="shared" si="0"/>
        <v>HAITHCOX MICHAEL</v>
      </c>
    </row>
    <row r="39" spans="1:7" x14ac:dyDescent="0.25">
      <c r="A39" s="8">
        <v>42708.262430555558</v>
      </c>
      <c r="B39" s="21" t="s">
        <v>184</v>
      </c>
      <c r="C39" s="21" t="s">
        <v>483</v>
      </c>
      <c r="D39" s="165">
        <v>1110000</v>
      </c>
      <c r="E39" s="21" t="s">
        <v>471</v>
      </c>
      <c r="F39" s="21" t="s">
        <v>472</v>
      </c>
      <c r="G39" s="8" t="str">
        <f t="shared" si="0"/>
        <v>STARKS ANGELINA</v>
      </c>
    </row>
    <row r="40" spans="1:7" x14ac:dyDescent="0.25">
      <c r="A40" s="8">
        <v>42708.266250000001</v>
      </c>
      <c r="B40" s="26" t="s">
        <v>343</v>
      </c>
      <c r="C40" s="21" t="s">
        <v>484</v>
      </c>
      <c r="D40" s="165">
        <v>2140000</v>
      </c>
      <c r="E40" s="21" t="s">
        <v>332</v>
      </c>
      <c r="F40" s="21" t="s">
        <v>333</v>
      </c>
      <c r="G40" s="8" t="str">
        <f t="shared" si="0"/>
        <v>ROBINSON KADDIBA</v>
      </c>
    </row>
    <row r="41" spans="1:7" x14ac:dyDescent="0.25">
      <c r="A41" s="8">
        <v>42708.272569444445</v>
      </c>
      <c r="B41" s="21" t="s">
        <v>221</v>
      </c>
      <c r="C41" s="21" t="s">
        <v>442</v>
      </c>
      <c r="D41" s="165">
        <v>1260000</v>
      </c>
      <c r="E41" s="21" t="s">
        <v>391</v>
      </c>
      <c r="F41" s="21" t="s">
        <v>392</v>
      </c>
      <c r="G41" s="8" t="str">
        <f t="shared" si="0"/>
        <v>ACKERMAN JARED</v>
      </c>
    </row>
    <row r="42" spans="1:7" x14ac:dyDescent="0.25">
      <c r="A42" s="8">
        <v>42708.275787037041</v>
      </c>
      <c r="B42" s="21" t="s">
        <v>302</v>
      </c>
      <c r="C42" s="21" t="s">
        <v>485</v>
      </c>
      <c r="D42" s="165">
        <v>1110000</v>
      </c>
      <c r="E42" s="21" t="s">
        <v>471</v>
      </c>
      <c r="F42" s="21" t="s">
        <v>472</v>
      </c>
      <c r="G42" s="8" t="str">
        <f t="shared" si="0"/>
        <v>STARKS ANGELINA</v>
      </c>
    </row>
    <row r="43" spans="1:7" x14ac:dyDescent="0.25">
      <c r="A43" s="8">
        <v>42708.27684027778</v>
      </c>
      <c r="B43" s="21" t="s">
        <v>255</v>
      </c>
      <c r="C43" s="21" t="s">
        <v>486</v>
      </c>
      <c r="D43" s="165">
        <v>1760000</v>
      </c>
      <c r="E43" s="21" t="s">
        <v>334</v>
      </c>
      <c r="F43" s="21" t="s">
        <v>335</v>
      </c>
      <c r="G43" s="8" t="str">
        <f t="shared" si="0"/>
        <v>STRICKLAND EVAN</v>
      </c>
    </row>
    <row r="44" spans="1:7" x14ac:dyDescent="0.25">
      <c r="A44" s="8">
        <v>42708.282384259262</v>
      </c>
      <c r="B44" s="21" t="s">
        <v>297</v>
      </c>
      <c r="C44" s="21" t="s">
        <v>487</v>
      </c>
      <c r="D44" s="165">
        <v>2010000</v>
      </c>
      <c r="E44" s="21" t="s">
        <v>307</v>
      </c>
      <c r="F44" s="21" t="s">
        <v>320</v>
      </c>
      <c r="G44" s="8" t="str">
        <f t="shared" si="0"/>
        <v>MAELZER KURT</v>
      </c>
    </row>
    <row r="45" spans="1:7" x14ac:dyDescent="0.25">
      <c r="A45" s="8">
        <v>42708.286597222221</v>
      </c>
      <c r="B45" s="21" t="s">
        <v>218</v>
      </c>
      <c r="C45" s="21" t="s">
        <v>488</v>
      </c>
      <c r="D45" s="165">
        <v>2030000</v>
      </c>
      <c r="E45" s="21" t="s">
        <v>393</v>
      </c>
      <c r="F45" s="21" t="s">
        <v>322</v>
      </c>
      <c r="G45" s="8" t="str">
        <f t="shared" si="0"/>
        <v>KILLION DAVID</v>
      </c>
    </row>
    <row r="46" spans="1:7" x14ac:dyDescent="0.25">
      <c r="A46" s="8">
        <v>42708.295543981483</v>
      </c>
      <c r="B46" s="21" t="s">
        <v>241</v>
      </c>
      <c r="C46" s="21" t="s">
        <v>489</v>
      </c>
      <c r="D46" s="165">
        <v>1830000</v>
      </c>
      <c r="E46" s="21" t="s">
        <v>338</v>
      </c>
      <c r="F46" s="21" t="s">
        <v>339</v>
      </c>
      <c r="G46" s="8" t="str">
        <f t="shared" si="0"/>
        <v>YORK EDGAR</v>
      </c>
    </row>
    <row r="47" spans="1:7" x14ac:dyDescent="0.25">
      <c r="A47" s="8">
        <v>42708.296840277777</v>
      </c>
      <c r="B47" s="21" t="s">
        <v>336</v>
      </c>
      <c r="C47" s="21" t="s">
        <v>490</v>
      </c>
      <c r="D47" s="165">
        <v>2090000</v>
      </c>
      <c r="E47" s="21" t="s">
        <v>402</v>
      </c>
      <c r="F47" s="21" t="s">
        <v>321</v>
      </c>
      <c r="G47" s="8" t="str">
        <f t="shared" si="0"/>
        <v>HAITHCOX MICHAEL</v>
      </c>
    </row>
    <row r="48" spans="1:7" x14ac:dyDescent="0.25">
      <c r="A48" s="8">
        <v>42708.302858796298</v>
      </c>
      <c r="B48" s="21" t="s">
        <v>340</v>
      </c>
      <c r="C48" s="21" t="s">
        <v>491</v>
      </c>
      <c r="D48" s="165">
        <v>2140000</v>
      </c>
      <c r="E48" s="21" t="s">
        <v>332</v>
      </c>
      <c r="F48" s="21" t="s">
        <v>333</v>
      </c>
      <c r="G48" s="8" t="str">
        <f t="shared" si="0"/>
        <v>ROBINSON KADDIBA</v>
      </c>
    </row>
    <row r="49" spans="1:7" x14ac:dyDescent="0.25">
      <c r="A49" s="8">
        <v>42708.303032407406</v>
      </c>
      <c r="B49" s="21" t="s">
        <v>184</v>
      </c>
      <c r="C49" s="21" t="s">
        <v>492</v>
      </c>
      <c r="D49" s="165">
        <v>1110000</v>
      </c>
      <c r="E49" s="21" t="s">
        <v>471</v>
      </c>
      <c r="F49" s="21" t="s">
        <v>472</v>
      </c>
      <c r="G49" s="8" t="str">
        <f t="shared" si="0"/>
        <v>STARKS ANGELINA</v>
      </c>
    </row>
    <row r="50" spans="1:7" x14ac:dyDescent="0.25">
      <c r="A50" s="8">
        <v>42708.30741898148</v>
      </c>
      <c r="B50" s="21" t="s">
        <v>220</v>
      </c>
      <c r="C50" s="21" t="s">
        <v>493</v>
      </c>
      <c r="D50" s="165">
        <v>1260000</v>
      </c>
      <c r="E50" s="21" t="s">
        <v>391</v>
      </c>
      <c r="F50" s="21" t="s">
        <v>392</v>
      </c>
      <c r="G50" s="8" t="str">
        <f t="shared" si="0"/>
        <v>ACKERMAN JARED</v>
      </c>
    </row>
    <row r="51" spans="1:7" x14ac:dyDescent="0.25">
      <c r="A51" s="8">
        <v>42708.317152777781</v>
      </c>
      <c r="B51" s="21" t="s">
        <v>302</v>
      </c>
      <c r="C51" s="21" t="s">
        <v>443</v>
      </c>
      <c r="D51" s="165">
        <v>1110000</v>
      </c>
      <c r="E51" s="21" t="s">
        <v>471</v>
      </c>
      <c r="F51" s="21" t="s">
        <v>472</v>
      </c>
      <c r="G51" s="8" t="str">
        <f t="shared" si="0"/>
        <v>STARKS ANGELINA</v>
      </c>
    </row>
    <row r="52" spans="1:7" x14ac:dyDescent="0.25">
      <c r="A52" s="8">
        <v>42708.317719907405</v>
      </c>
      <c r="B52" s="21" t="s">
        <v>256</v>
      </c>
      <c r="C52" s="21" t="s">
        <v>494</v>
      </c>
      <c r="D52" s="165">
        <v>1760000</v>
      </c>
      <c r="E52" s="21" t="s">
        <v>334</v>
      </c>
      <c r="F52" s="21" t="s">
        <v>335</v>
      </c>
      <c r="G52" s="8" t="str">
        <f t="shared" si="0"/>
        <v>STRICKLAND EVAN</v>
      </c>
    </row>
    <row r="53" spans="1:7" x14ac:dyDescent="0.25">
      <c r="A53" s="8">
        <v>42708.318101851852</v>
      </c>
      <c r="B53" s="21" t="s">
        <v>300</v>
      </c>
      <c r="C53" s="21" t="s">
        <v>495</v>
      </c>
      <c r="D53" s="165">
        <v>2010000</v>
      </c>
      <c r="E53" s="21" t="s">
        <v>307</v>
      </c>
      <c r="F53" s="21" t="s">
        <v>320</v>
      </c>
      <c r="G53" s="8" t="str">
        <f t="shared" si="0"/>
        <v>MAELZER KURT</v>
      </c>
    </row>
    <row r="54" spans="1:7" x14ac:dyDescent="0.25">
      <c r="A54" s="8">
        <v>42708.325428240743</v>
      </c>
      <c r="B54" s="21" t="s">
        <v>301</v>
      </c>
      <c r="C54" s="21" t="s">
        <v>496</v>
      </c>
      <c r="D54" s="165">
        <v>2030000</v>
      </c>
      <c r="E54" s="21" t="s">
        <v>393</v>
      </c>
      <c r="F54" s="21" t="s">
        <v>322</v>
      </c>
      <c r="G54" s="8" t="str">
        <f t="shared" si="0"/>
        <v>KILLION DAVID</v>
      </c>
    </row>
    <row r="55" spans="1:7" x14ac:dyDescent="0.25">
      <c r="A55" s="8">
        <v>42708.328043981484</v>
      </c>
      <c r="B55" s="21" t="s">
        <v>263</v>
      </c>
      <c r="C55" s="21" t="s">
        <v>497</v>
      </c>
      <c r="D55" s="165">
        <v>1830000</v>
      </c>
      <c r="E55" s="21" t="s">
        <v>338</v>
      </c>
      <c r="F55" s="21" t="s">
        <v>339</v>
      </c>
      <c r="G55" s="8" t="str">
        <f t="shared" si="0"/>
        <v>YORK EDGAR</v>
      </c>
    </row>
    <row r="56" spans="1:7" x14ac:dyDescent="0.25">
      <c r="A56" s="8">
        <v>42708.328692129631</v>
      </c>
      <c r="B56" s="21" t="s">
        <v>337</v>
      </c>
      <c r="C56" s="21" t="s">
        <v>498</v>
      </c>
      <c r="D56" s="165">
        <v>2090000</v>
      </c>
      <c r="E56" s="21" t="s">
        <v>402</v>
      </c>
      <c r="F56" s="21" t="s">
        <v>321</v>
      </c>
      <c r="G56" s="8" t="str">
        <f t="shared" si="0"/>
        <v>HAITHCOX MICHAEL</v>
      </c>
    </row>
    <row r="57" spans="1:7" x14ac:dyDescent="0.25">
      <c r="A57" s="8">
        <v>42708.338692129626</v>
      </c>
      <c r="B57" s="21" t="s">
        <v>343</v>
      </c>
      <c r="C57" s="21" t="s">
        <v>499</v>
      </c>
      <c r="D57" s="165">
        <v>2140000</v>
      </c>
      <c r="E57" s="21" t="s">
        <v>332</v>
      </c>
      <c r="F57" s="21" t="s">
        <v>333</v>
      </c>
      <c r="G57" s="8" t="str">
        <f t="shared" si="0"/>
        <v>ROBINSON KADDIBA</v>
      </c>
    </row>
    <row r="58" spans="1:7" x14ac:dyDescent="0.25">
      <c r="A58" s="8">
        <v>42708.345208333332</v>
      </c>
      <c r="B58" s="21" t="s">
        <v>184</v>
      </c>
      <c r="C58" s="21" t="s">
        <v>444</v>
      </c>
      <c r="D58" s="165">
        <v>1110000</v>
      </c>
      <c r="E58" s="21" t="s">
        <v>471</v>
      </c>
      <c r="F58" s="21" t="s">
        <v>472</v>
      </c>
      <c r="G58" s="8" t="str">
        <f t="shared" si="0"/>
        <v>STARKS ANGELINA</v>
      </c>
    </row>
    <row r="59" spans="1:7" x14ac:dyDescent="0.25">
      <c r="A59" s="8">
        <v>42708.345902777779</v>
      </c>
      <c r="B59" s="21" t="s">
        <v>221</v>
      </c>
      <c r="C59" s="21" t="s">
        <v>500</v>
      </c>
      <c r="D59" s="165">
        <v>1260000</v>
      </c>
      <c r="E59" s="21" t="s">
        <v>391</v>
      </c>
      <c r="F59" s="21" t="s">
        <v>392</v>
      </c>
      <c r="G59" s="8" t="str">
        <f t="shared" si="0"/>
        <v>ACKERMAN JARED</v>
      </c>
    </row>
    <row r="60" spans="1:7" x14ac:dyDescent="0.25">
      <c r="A60" s="8">
        <v>42708.350451388891</v>
      </c>
      <c r="B60" s="21" t="s">
        <v>255</v>
      </c>
      <c r="C60" s="21" t="s">
        <v>445</v>
      </c>
      <c r="D60" s="165">
        <v>1760000</v>
      </c>
      <c r="E60" s="21" t="s">
        <v>334</v>
      </c>
      <c r="F60" s="21" t="s">
        <v>335</v>
      </c>
      <c r="G60" s="8" t="str">
        <f t="shared" si="0"/>
        <v>STRICKLAND EVAN</v>
      </c>
    </row>
    <row r="61" spans="1:7" x14ac:dyDescent="0.25">
      <c r="A61" s="8">
        <v>42708.358171296299</v>
      </c>
      <c r="B61" s="21" t="s">
        <v>297</v>
      </c>
      <c r="C61" s="21" t="s">
        <v>501</v>
      </c>
      <c r="D61" s="165">
        <v>2010000</v>
      </c>
      <c r="E61" s="21" t="s">
        <v>307</v>
      </c>
      <c r="F61" s="21" t="s">
        <v>320</v>
      </c>
      <c r="G61" s="8" t="str">
        <f t="shared" si="0"/>
        <v>MAELZER KURT</v>
      </c>
    </row>
    <row r="62" spans="1:7" x14ac:dyDescent="0.25">
      <c r="A62" s="8">
        <v>42708.359305555554</v>
      </c>
      <c r="B62" s="21" t="s">
        <v>218</v>
      </c>
      <c r="C62" s="21" t="s">
        <v>502</v>
      </c>
      <c r="D62" s="165">
        <v>2030000</v>
      </c>
      <c r="E62" s="21" t="s">
        <v>393</v>
      </c>
      <c r="F62" s="21" t="s">
        <v>322</v>
      </c>
      <c r="G62" s="8" t="str">
        <f t="shared" si="0"/>
        <v>KILLION DAVID</v>
      </c>
    </row>
    <row r="63" spans="1:7" x14ac:dyDescent="0.25">
      <c r="A63" s="8">
        <v>42708.360590277778</v>
      </c>
      <c r="B63" s="21" t="s">
        <v>302</v>
      </c>
      <c r="C63" s="21" t="s">
        <v>503</v>
      </c>
      <c r="D63" s="165">
        <v>1110000</v>
      </c>
      <c r="E63" s="21" t="s">
        <v>471</v>
      </c>
      <c r="F63" s="21" t="s">
        <v>472</v>
      </c>
      <c r="G63" s="8" t="str">
        <f t="shared" si="0"/>
        <v>STARKS ANGELINA</v>
      </c>
    </row>
    <row r="64" spans="1:7" x14ac:dyDescent="0.25">
      <c r="A64" s="27">
        <v>42708.367314814815</v>
      </c>
      <c r="B64" s="21" t="s">
        <v>336</v>
      </c>
      <c r="C64" s="21" t="s">
        <v>504</v>
      </c>
      <c r="D64" s="165">
        <v>2090000</v>
      </c>
      <c r="E64" s="21" t="s">
        <v>402</v>
      </c>
      <c r="F64" s="21" t="s">
        <v>321</v>
      </c>
      <c r="G64" s="8" t="str">
        <f t="shared" si="0"/>
        <v>HAITHCOX MICHAEL</v>
      </c>
    </row>
    <row r="65" spans="1:7" x14ac:dyDescent="0.25">
      <c r="A65" s="8">
        <v>42708.369155092594</v>
      </c>
      <c r="B65" s="21" t="s">
        <v>241</v>
      </c>
      <c r="C65" s="21" t="s">
        <v>446</v>
      </c>
      <c r="D65" s="165">
        <v>1830000</v>
      </c>
      <c r="E65" s="21" t="s">
        <v>338</v>
      </c>
      <c r="F65" s="21" t="s">
        <v>339</v>
      </c>
      <c r="G65" s="8" t="str">
        <f t="shared" si="0"/>
        <v>YORK EDGAR</v>
      </c>
    </row>
    <row r="66" spans="1:7" x14ac:dyDescent="0.25">
      <c r="A66" s="8">
        <v>42708.37740740741</v>
      </c>
      <c r="B66" s="21" t="s">
        <v>340</v>
      </c>
      <c r="C66" s="21" t="s">
        <v>448</v>
      </c>
      <c r="D66" s="165">
        <v>2140000</v>
      </c>
      <c r="E66" s="21" t="s">
        <v>332</v>
      </c>
      <c r="F66" s="21" t="s">
        <v>333</v>
      </c>
      <c r="G66" s="8" t="str">
        <f t="shared" si="0"/>
        <v>ROBINSON KADDIBA</v>
      </c>
    </row>
    <row r="67" spans="1:7" x14ac:dyDescent="0.25">
      <c r="A67" s="8">
        <v>42708.38144675926</v>
      </c>
      <c r="B67" s="21" t="s">
        <v>220</v>
      </c>
      <c r="C67" s="21" t="s">
        <v>505</v>
      </c>
      <c r="D67" s="165">
        <v>1260000</v>
      </c>
      <c r="E67" s="21" t="s">
        <v>391</v>
      </c>
      <c r="F67" s="21" t="s">
        <v>392</v>
      </c>
      <c r="G67" s="8" t="str">
        <f t="shared" ref="G67:G130" si="1">E67&amp;" "&amp;F67</f>
        <v>ACKERMAN JARED</v>
      </c>
    </row>
    <row r="68" spans="1:7" x14ac:dyDescent="0.25">
      <c r="A68" s="8">
        <v>42708.386724537035</v>
      </c>
      <c r="B68" s="21" t="s">
        <v>184</v>
      </c>
      <c r="C68" s="21" t="s">
        <v>506</v>
      </c>
      <c r="D68" s="165">
        <v>1110000</v>
      </c>
      <c r="E68" s="21" t="s">
        <v>471</v>
      </c>
      <c r="F68" s="21" t="s">
        <v>472</v>
      </c>
      <c r="G68" s="8" t="str">
        <f t="shared" si="1"/>
        <v>STARKS ANGELINA</v>
      </c>
    </row>
    <row r="69" spans="1:7" x14ac:dyDescent="0.25">
      <c r="A69" s="8">
        <v>42708.389837962961</v>
      </c>
      <c r="B69" s="21" t="s">
        <v>256</v>
      </c>
      <c r="C69" s="21" t="s">
        <v>507</v>
      </c>
      <c r="D69" s="165">
        <v>1760000</v>
      </c>
      <c r="E69" s="21" t="s">
        <v>334</v>
      </c>
      <c r="F69" s="21" t="s">
        <v>335</v>
      </c>
      <c r="G69" s="8" t="str">
        <f t="shared" si="1"/>
        <v>STRICKLAND EVAN</v>
      </c>
    </row>
    <row r="70" spans="1:7" x14ac:dyDescent="0.25">
      <c r="A70" s="8">
        <v>42708.391712962963</v>
      </c>
      <c r="B70" s="21" t="s">
        <v>300</v>
      </c>
      <c r="C70" s="21" t="s">
        <v>449</v>
      </c>
      <c r="D70" s="165">
        <v>2010000</v>
      </c>
      <c r="E70" s="21" t="s">
        <v>307</v>
      </c>
      <c r="F70" s="21" t="s">
        <v>320</v>
      </c>
      <c r="G70" s="8" t="str">
        <f t="shared" si="1"/>
        <v>MAELZER KURT</v>
      </c>
    </row>
    <row r="71" spans="1:7" x14ac:dyDescent="0.25">
      <c r="A71" s="8">
        <v>42708.396215277775</v>
      </c>
      <c r="B71" s="21" t="s">
        <v>301</v>
      </c>
      <c r="C71" s="21" t="s">
        <v>508</v>
      </c>
      <c r="D71" s="165">
        <v>2030000</v>
      </c>
      <c r="E71" s="21" t="s">
        <v>393</v>
      </c>
      <c r="F71" s="21" t="s">
        <v>322</v>
      </c>
      <c r="G71" s="8" t="str">
        <f t="shared" si="1"/>
        <v>KILLION DAVID</v>
      </c>
    </row>
    <row r="72" spans="1:7" x14ac:dyDescent="0.25">
      <c r="A72" s="8">
        <v>42708.401435185187</v>
      </c>
      <c r="B72" s="21" t="s">
        <v>302</v>
      </c>
      <c r="C72" s="21" t="s">
        <v>447</v>
      </c>
      <c r="D72" s="165">
        <v>1110000</v>
      </c>
      <c r="E72" s="21" t="s">
        <v>471</v>
      </c>
      <c r="F72" s="21" t="s">
        <v>472</v>
      </c>
      <c r="G72" s="8" t="str">
        <f t="shared" si="1"/>
        <v>STARKS ANGELINA</v>
      </c>
    </row>
    <row r="73" spans="1:7" x14ac:dyDescent="0.25">
      <c r="A73" s="8">
        <v>42708.402337962965</v>
      </c>
      <c r="B73" s="21" t="s">
        <v>337</v>
      </c>
      <c r="C73" s="21" t="s">
        <v>509</v>
      </c>
      <c r="D73" s="165">
        <v>2090000</v>
      </c>
      <c r="E73" s="21" t="s">
        <v>402</v>
      </c>
      <c r="F73" s="21" t="s">
        <v>321</v>
      </c>
      <c r="G73" s="8" t="str">
        <f t="shared" si="1"/>
        <v>HAITHCOX MICHAEL</v>
      </c>
    </row>
    <row r="74" spans="1:7" x14ac:dyDescent="0.25">
      <c r="A74" s="8">
        <v>42708.403402777774</v>
      </c>
      <c r="B74" s="21" t="s">
        <v>302</v>
      </c>
      <c r="C74" s="21" t="s">
        <v>447</v>
      </c>
      <c r="D74" s="165">
        <v>1110000</v>
      </c>
      <c r="E74" s="21" t="s">
        <v>471</v>
      </c>
      <c r="F74" s="21" t="s">
        <v>472</v>
      </c>
      <c r="G74" s="8" t="str">
        <f t="shared" si="1"/>
        <v>STARKS ANGELINA</v>
      </c>
    </row>
    <row r="75" spans="1:7" x14ac:dyDescent="0.25">
      <c r="A75" s="8">
        <v>42708.411689814813</v>
      </c>
      <c r="B75" s="21" t="s">
        <v>343</v>
      </c>
      <c r="C75" s="21" t="s">
        <v>510</v>
      </c>
      <c r="D75" s="165">
        <v>2140000</v>
      </c>
      <c r="E75" s="21" t="s">
        <v>332</v>
      </c>
      <c r="F75" s="21" t="s">
        <v>333</v>
      </c>
      <c r="G75" s="8" t="str">
        <f t="shared" si="1"/>
        <v>ROBINSON KADDIBA</v>
      </c>
    </row>
    <row r="76" spans="1:7" x14ac:dyDescent="0.25">
      <c r="A76" s="8">
        <v>42708.413900462961</v>
      </c>
      <c r="B76" s="21" t="s">
        <v>263</v>
      </c>
      <c r="C76" s="21" t="s">
        <v>511</v>
      </c>
      <c r="D76" s="165">
        <v>1830000</v>
      </c>
      <c r="E76" s="21" t="s">
        <v>338</v>
      </c>
      <c r="F76" s="21" t="s">
        <v>339</v>
      </c>
      <c r="G76" s="8" t="str">
        <f t="shared" si="1"/>
        <v>YORK EDGAR</v>
      </c>
    </row>
    <row r="77" spans="1:7" x14ac:dyDescent="0.25">
      <c r="A77" s="8">
        <v>42708.41673611111</v>
      </c>
      <c r="B77" s="21" t="s">
        <v>221</v>
      </c>
      <c r="C77" s="21" t="s">
        <v>512</v>
      </c>
      <c r="D77" s="165">
        <v>1260000</v>
      </c>
      <c r="E77" s="21" t="s">
        <v>391</v>
      </c>
      <c r="F77" s="21" t="s">
        <v>392</v>
      </c>
      <c r="G77" s="8" t="str">
        <f t="shared" si="1"/>
        <v>ACKERMAN JARED</v>
      </c>
    </row>
    <row r="78" spans="1:7" x14ac:dyDescent="0.25">
      <c r="A78" s="8">
        <v>42708.424988425926</v>
      </c>
      <c r="B78" s="21" t="s">
        <v>255</v>
      </c>
      <c r="C78" s="21" t="s">
        <v>513</v>
      </c>
      <c r="D78" s="165">
        <v>1760000</v>
      </c>
      <c r="E78" s="21" t="s">
        <v>334</v>
      </c>
      <c r="F78" s="21" t="s">
        <v>335</v>
      </c>
      <c r="G78" s="8" t="str">
        <f t="shared" si="1"/>
        <v>STRICKLAND EVAN</v>
      </c>
    </row>
    <row r="79" spans="1:7" x14ac:dyDescent="0.25">
      <c r="A79" s="8">
        <v>42708.429085648146</v>
      </c>
      <c r="B79" s="21" t="s">
        <v>184</v>
      </c>
      <c r="C79" s="21" t="s">
        <v>514</v>
      </c>
      <c r="D79" s="165">
        <v>1110000</v>
      </c>
      <c r="E79" s="21" t="s">
        <v>471</v>
      </c>
      <c r="F79" s="21" t="s">
        <v>472</v>
      </c>
      <c r="G79" s="8" t="str">
        <f t="shared" si="1"/>
        <v>STARKS ANGELINA</v>
      </c>
    </row>
    <row r="80" spans="1:7" x14ac:dyDescent="0.25">
      <c r="A80" s="8">
        <v>42708.433298611111</v>
      </c>
      <c r="B80" s="21" t="s">
        <v>297</v>
      </c>
      <c r="C80" s="21" t="s">
        <v>515</v>
      </c>
      <c r="D80" s="165">
        <v>2010000</v>
      </c>
      <c r="E80" s="21" t="s">
        <v>307</v>
      </c>
      <c r="F80" s="21" t="s">
        <v>320</v>
      </c>
      <c r="G80" s="8" t="str">
        <f t="shared" si="1"/>
        <v>MAELZER KURT</v>
      </c>
    </row>
    <row r="81" spans="1:7" x14ac:dyDescent="0.25">
      <c r="A81" s="8">
        <v>42708.433472222219</v>
      </c>
      <c r="B81" s="21" t="s">
        <v>218</v>
      </c>
      <c r="C81" s="21" t="s">
        <v>516</v>
      </c>
      <c r="D81" s="165">
        <v>930000</v>
      </c>
      <c r="E81" s="21" t="s">
        <v>394</v>
      </c>
      <c r="F81" s="21" t="s">
        <v>395</v>
      </c>
      <c r="G81" s="8" t="str">
        <f t="shared" si="1"/>
        <v>CLARK KATHLEEN</v>
      </c>
    </row>
    <row r="82" spans="1:7" x14ac:dyDescent="0.25">
      <c r="A82" s="8">
        <v>42708.442615740743</v>
      </c>
      <c r="B82" s="21" t="s">
        <v>336</v>
      </c>
      <c r="C82" s="21" t="s">
        <v>450</v>
      </c>
      <c r="D82" s="165">
        <v>2090000</v>
      </c>
      <c r="E82" s="21" t="s">
        <v>402</v>
      </c>
      <c r="F82" s="21" t="s">
        <v>321</v>
      </c>
      <c r="G82" s="8" t="str">
        <f t="shared" si="1"/>
        <v>HAITHCOX MICHAEL</v>
      </c>
    </row>
    <row r="83" spans="1:7" x14ac:dyDescent="0.25">
      <c r="A83" s="8">
        <v>42708.442870370367</v>
      </c>
      <c r="B83" s="21" t="s">
        <v>302</v>
      </c>
      <c r="C83" s="21" t="s">
        <v>517</v>
      </c>
      <c r="D83" s="165">
        <v>1110000</v>
      </c>
      <c r="E83" s="21" t="s">
        <v>471</v>
      </c>
      <c r="F83" s="21" t="s">
        <v>472</v>
      </c>
      <c r="G83" s="8" t="str">
        <f t="shared" si="1"/>
        <v>STARKS ANGELINA</v>
      </c>
    </row>
    <row r="84" spans="1:7" x14ac:dyDescent="0.25">
      <c r="A84" s="8">
        <v>42708.44394675926</v>
      </c>
      <c r="B84" s="21" t="s">
        <v>340</v>
      </c>
      <c r="C84" s="21" t="s">
        <v>518</v>
      </c>
      <c r="D84" s="165">
        <v>2140000</v>
      </c>
      <c r="E84" s="21" t="s">
        <v>332</v>
      </c>
      <c r="F84" s="21" t="s">
        <v>333</v>
      </c>
      <c r="G84" s="8" t="str">
        <f t="shared" si="1"/>
        <v>ROBINSON KADDIBA</v>
      </c>
    </row>
    <row r="85" spans="1:7" x14ac:dyDescent="0.25">
      <c r="A85" s="8">
        <v>42708.446539351855</v>
      </c>
      <c r="B85" s="21" t="s">
        <v>241</v>
      </c>
      <c r="C85" s="21" t="s">
        <v>451</v>
      </c>
      <c r="D85" s="165">
        <v>1830000</v>
      </c>
      <c r="E85" s="21" t="s">
        <v>338</v>
      </c>
      <c r="F85" s="21" t="s">
        <v>339</v>
      </c>
      <c r="G85" s="8" t="str">
        <f t="shared" si="1"/>
        <v>YORK EDGAR</v>
      </c>
    </row>
    <row r="86" spans="1:7" x14ac:dyDescent="0.25">
      <c r="A86" s="8">
        <v>42708.45416666667</v>
      </c>
      <c r="B86" s="21" t="s">
        <v>220</v>
      </c>
      <c r="C86" s="21" t="s">
        <v>519</v>
      </c>
      <c r="D86" s="165">
        <v>880000</v>
      </c>
      <c r="E86" s="21" t="s">
        <v>396</v>
      </c>
      <c r="F86" s="21" t="s">
        <v>321</v>
      </c>
      <c r="G86" s="8" t="str">
        <f t="shared" si="1"/>
        <v>STEWART MICHAEL</v>
      </c>
    </row>
    <row r="87" spans="1:7" x14ac:dyDescent="0.25">
      <c r="A87" s="8">
        <v>42708.461053240739</v>
      </c>
      <c r="B87" s="21" t="s">
        <v>256</v>
      </c>
      <c r="C87" s="21" t="s">
        <v>520</v>
      </c>
      <c r="D87" s="165">
        <v>1760000</v>
      </c>
      <c r="E87" s="21" t="s">
        <v>334</v>
      </c>
      <c r="F87" s="21" t="s">
        <v>335</v>
      </c>
      <c r="G87" s="8" t="str">
        <f t="shared" si="1"/>
        <v>STRICKLAND EVAN</v>
      </c>
    </row>
    <row r="88" spans="1:7" x14ac:dyDescent="0.25">
      <c r="A88" s="8">
        <v>42708.463958333334</v>
      </c>
      <c r="B88" s="21" t="s">
        <v>300</v>
      </c>
      <c r="C88" s="21" t="s">
        <v>521</v>
      </c>
      <c r="D88" s="165">
        <v>1280000</v>
      </c>
      <c r="E88" s="21" t="s">
        <v>397</v>
      </c>
      <c r="F88" s="21" t="s">
        <v>398</v>
      </c>
      <c r="G88" s="8" t="str">
        <f t="shared" si="1"/>
        <v>BARTLETT KIANDRA</v>
      </c>
    </row>
    <row r="89" spans="1:7" x14ac:dyDescent="0.25">
      <c r="A89" s="8">
        <v>42708.471493055556</v>
      </c>
      <c r="B89" s="21" t="s">
        <v>184</v>
      </c>
      <c r="C89" s="21" t="s">
        <v>522</v>
      </c>
      <c r="D89" s="165">
        <v>1110000</v>
      </c>
      <c r="E89" s="21" t="s">
        <v>471</v>
      </c>
      <c r="F89" s="21" t="s">
        <v>472</v>
      </c>
      <c r="G89" s="8" t="str">
        <f t="shared" si="1"/>
        <v>STARKS ANGELINA</v>
      </c>
    </row>
    <row r="90" spans="1:7" x14ac:dyDescent="0.25">
      <c r="A90" s="8">
        <v>42708.471817129626</v>
      </c>
      <c r="B90" s="21" t="s">
        <v>301</v>
      </c>
      <c r="C90" s="21" t="s">
        <v>523</v>
      </c>
      <c r="D90" s="165">
        <v>930000</v>
      </c>
      <c r="E90" s="21" t="s">
        <v>394</v>
      </c>
      <c r="F90" s="21" t="s">
        <v>395</v>
      </c>
      <c r="G90" s="8" t="str">
        <f t="shared" si="1"/>
        <v>CLARK KATHLEEN</v>
      </c>
    </row>
    <row r="91" spans="1:7" x14ac:dyDescent="0.25">
      <c r="A91" s="8">
        <v>42708.474178240744</v>
      </c>
      <c r="B91" s="21" t="s">
        <v>263</v>
      </c>
      <c r="C91" s="21" t="s">
        <v>524</v>
      </c>
      <c r="D91" s="165">
        <v>1830000</v>
      </c>
      <c r="E91" s="21" t="s">
        <v>338</v>
      </c>
      <c r="F91" s="21" t="s">
        <v>339</v>
      </c>
      <c r="G91" s="8" t="str">
        <f t="shared" si="1"/>
        <v>YORK EDGAR</v>
      </c>
    </row>
    <row r="92" spans="1:7" x14ac:dyDescent="0.25">
      <c r="A92" s="8">
        <v>42708.477129629631</v>
      </c>
      <c r="B92" s="21" t="s">
        <v>337</v>
      </c>
      <c r="C92" s="21" t="s">
        <v>525</v>
      </c>
      <c r="D92" s="165">
        <v>1770000</v>
      </c>
      <c r="E92" s="21" t="s">
        <v>399</v>
      </c>
      <c r="F92" s="21" t="s">
        <v>400</v>
      </c>
      <c r="G92" s="8" t="str">
        <f t="shared" si="1"/>
        <v>BRUDER RICHARD</v>
      </c>
    </row>
    <row r="93" spans="1:7" x14ac:dyDescent="0.25">
      <c r="A93" s="8">
        <v>42708.484768518516</v>
      </c>
      <c r="B93" s="21" t="s">
        <v>302</v>
      </c>
      <c r="C93" s="21" t="s">
        <v>526</v>
      </c>
      <c r="D93" s="165">
        <v>1110000</v>
      </c>
      <c r="E93" s="21" t="s">
        <v>471</v>
      </c>
      <c r="F93" s="21" t="s">
        <v>472</v>
      </c>
      <c r="G93" s="8" t="str">
        <f t="shared" si="1"/>
        <v>STARKS ANGELINA</v>
      </c>
    </row>
    <row r="94" spans="1:7" x14ac:dyDescent="0.25">
      <c r="A94" s="8">
        <v>42708.486238425925</v>
      </c>
      <c r="B94" s="21" t="s">
        <v>343</v>
      </c>
      <c r="C94" s="21" t="s">
        <v>527</v>
      </c>
      <c r="D94" s="165">
        <v>2040000</v>
      </c>
      <c r="E94" s="21" t="s">
        <v>308</v>
      </c>
      <c r="F94" s="21" t="s">
        <v>323</v>
      </c>
      <c r="G94" s="8" t="str">
        <f t="shared" si="1"/>
        <v>MOSES BRADLEY</v>
      </c>
    </row>
    <row r="95" spans="1:7" x14ac:dyDescent="0.25">
      <c r="A95" s="8">
        <v>42708.494444444441</v>
      </c>
      <c r="B95" s="21" t="s">
        <v>221</v>
      </c>
      <c r="C95" s="21" t="s">
        <v>528</v>
      </c>
      <c r="D95" s="165">
        <v>880000</v>
      </c>
      <c r="E95" s="21" t="s">
        <v>396</v>
      </c>
      <c r="F95" s="21" t="s">
        <v>321</v>
      </c>
      <c r="G95" s="8" t="str">
        <f t="shared" si="1"/>
        <v>STEWART MICHAEL</v>
      </c>
    </row>
    <row r="96" spans="1:7" x14ac:dyDescent="0.25">
      <c r="A96" s="8">
        <v>42708.496759259258</v>
      </c>
      <c r="B96" s="21" t="s">
        <v>255</v>
      </c>
      <c r="C96" s="21" t="s">
        <v>529</v>
      </c>
      <c r="D96" s="165">
        <v>1140000</v>
      </c>
      <c r="E96" s="21" t="s">
        <v>530</v>
      </c>
      <c r="F96" s="21" t="s">
        <v>531</v>
      </c>
      <c r="G96" s="8" t="str">
        <f t="shared" si="1"/>
        <v>YOUNG ELIZABETH</v>
      </c>
    </row>
    <row r="97" spans="1:7" x14ac:dyDescent="0.25">
      <c r="A97" s="8">
        <v>42708.497384259259</v>
      </c>
      <c r="B97" s="21" t="s">
        <v>297</v>
      </c>
      <c r="C97" s="21" t="s">
        <v>532</v>
      </c>
      <c r="D97" s="165">
        <v>1280000</v>
      </c>
      <c r="E97" s="21" t="s">
        <v>397</v>
      </c>
      <c r="F97" s="21" t="s">
        <v>398</v>
      </c>
      <c r="G97" s="8" t="str">
        <f t="shared" si="1"/>
        <v>BARTLETT KIANDRA</v>
      </c>
    </row>
    <row r="98" spans="1:7" x14ac:dyDescent="0.25">
      <c r="A98" s="8">
        <v>42708.508946759262</v>
      </c>
      <c r="B98" s="21" t="s">
        <v>249</v>
      </c>
      <c r="C98" s="21" t="s">
        <v>533</v>
      </c>
      <c r="D98" s="165">
        <v>2260000</v>
      </c>
      <c r="E98" s="21" t="s">
        <v>345</v>
      </c>
      <c r="F98" s="21" t="s">
        <v>346</v>
      </c>
      <c r="G98" s="8" t="str">
        <f t="shared" si="1"/>
        <v>ARVIDSON DANIEL</v>
      </c>
    </row>
    <row r="99" spans="1:7" x14ac:dyDescent="0.25">
      <c r="A99" s="8">
        <v>42708.512407407405</v>
      </c>
      <c r="B99" s="21" t="s">
        <v>184</v>
      </c>
      <c r="C99" s="21" t="s">
        <v>534</v>
      </c>
      <c r="D99" s="165">
        <v>1110000</v>
      </c>
      <c r="E99" s="21" t="s">
        <v>471</v>
      </c>
      <c r="F99" s="21" t="s">
        <v>472</v>
      </c>
      <c r="G99" s="8" t="str">
        <f t="shared" si="1"/>
        <v>STARKS ANGELINA</v>
      </c>
    </row>
    <row r="100" spans="1:7" x14ac:dyDescent="0.25">
      <c r="A100" s="8">
        <v>42708.514710648145</v>
      </c>
      <c r="B100" s="21" t="s">
        <v>336</v>
      </c>
      <c r="C100" s="21" t="s">
        <v>535</v>
      </c>
      <c r="D100" s="165">
        <v>1770000</v>
      </c>
      <c r="E100" s="21" t="s">
        <v>399</v>
      </c>
      <c r="F100" s="21" t="s">
        <v>400</v>
      </c>
      <c r="G100" s="8" t="str">
        <f t="shared" si="1"/>
        <v>BRUDER RICHARD</v>
      </c>
    </row>
    <row r="101" spans="1:7" x14ac:dyDescent="0.25">
      <c r="A101" s="8">
        <v>42708.516562500001</v>
      </c>
      <c r="B101" s="21" t="s">
        <v>241</v>
      </c>
      <c r="C101" s="21" t="s">
        <v>536</v>
      </c>
      <c r="D101" s="165">
        <v>2020000</v>
      </c>
      <c r="E101" s="21" t="s">
        <v>342</v>
      </c>
      <c r="F101" s="21" t="s">
        <v>318</v>
      </c>
      <c r="G101" s="8" t="str">
        <f t="shared" si="1"/>
        <v>SHOOK JOHN</v>
      </c>
    </row>
    <row r="102" spans="1:7" x14ac:dyDescent="0.25">
      <c r="A102" s="8">
        <v>42708.525405092594</v>
      </c>
      <c r="B102" s="21" t="s">
        <v>302</v>
      </c>
      <c r="C102" s="21" t="s">
        <v>537</v>
      </c>
      <c r="D102" s="165">
        <v>1110000</v>
      </c>
      <c r="E102" s="21" t="s">
        <v>471</v>
      </c>
      <c r="F102" s="21" t="s">
        <v>472</v>
      </c>
      <c r="G102" s="8" t="str">
        <f t="shared" si="1"/>
        <v>STARKS ANGELINA</v>
      </c>
    </row>
    <row r="103" spans="1:7" x14ac:dyDescent="0.25">
      <c r="A103" s="8">
        <v>42708.526967592596</v>
      </c>
      <c r="B103" s="21" t="s">
        <v>340</v>
      </c>
      <c r="C103" s="21" t="s">
        <v>452</v>
      </c>
      <c r="D103" s="165">
        <v>2040000</v>
      </c>
      <c r="E103" s="21" t="s">
        <v>308</v>
      </c>
      <c r="F103" s="21" t="s">
        <v>323</v>
      </c>
      <c r="G103" s="8" t="str">
        <f t="shared" si="1"/>
        <v>MOSES BRADLEY</v>
      </c>
    </row>
    <row r="104" spans="1:7" x14ac:dyDescent="0.25">
      <c r="A104" s="8">
        <v>42708.527650462966</v>
      </c>
      <c r="B104" s="21" t="s">
        <v>220</v>
      </c>
      <c r="C104" s="21" t="s">
        <v>538</v>
      </c>
      <c r="D104" s="165">
        <v>880000</v>
      </c>
      <c r="E104" s="21" t="s">
        <v>396</v>
      </c>
      <c r="F104" s="21" t="s">
        <v>321</v>
      </c>
      <c r="G104" s="8" t="str">
        <f t="shared" si="1"/>
        <v>STEWART MICHAEL</v>
      </c>
    </row>
    <row r="105" spans="1:7" x14ac:dyDescent="0.25">
      <c r="A105" s="8">
        <v>42708.531585648147</v>
      </c>
      <c r="B105" s="21" t="s">
        <v>256</v>
      </c>
      <c r="C105" s="21" t="s">
        <v>539</v>
      </c>
      <c r="D105" s="165">
        <v>1140000</v>
      </c>
      <c r="E105" s="21" t="s">
        <v>530</v>
      </c>
      <c r="F105" s="21" t="s">
        <v>531</v>
      </c>
      <c r="G105" s="8" t="str">
        <f t="shared" si="1"/>
        <v>YOUNG ELIZABETH</v>
      </c>
    </row>
    <row r="106" spans="1:7" x14ac:dyDescent="0.25">
      <c r="A106" s="8">
        <v>42708.536840277775</v>
      </c>
      <c r="B106" s="21" t="s">
        <v>220</v>
      </c>
      <c r="C106" s="21" t="s">
        <v>538</v>
      </c>
      <c r="D106" s="165">
        <v>880000</v>
      </c>
      <c r="E106" s="21" t="s">
        <v>396</v>
      </c>
      <c r="F106" s="21" t="s">
        <v>321</v>
      </c>
      <c r="G106" s="8" t="str">
        <f t="shared" si="1"/>
        <v>STEWART MICHAEL</v>
      </c>
    </row>
    <row r="107" spans="1:7" x14ac:dyDescent="0.25">
      <c r="A107" s="8">
        <v>42708.538553240738</v>
      </c>
      <c r="B107" s="21" t="s">
        <v>300</v>
      </c>
      <c r="C107" s="21" t="s">
        <v>540</v>
      </c>
      <c r="D107" s="165">
        <v>1280000</v>
      </c>
      <c r="E107" s="21" t="s">
        <v>397</v>
      </c>
      <c r="F107" s="21" t="s">
        <v>398</v>
      </c>
      <c r="G107" s="8" t="str">
        <f t="shared" si="1"/>
        <v>BARTLETT KIANDRA</v>
      </c>
    </row>
    <row r="108" spans="1:7" x14ac:dyDescent="0.25">
      <c r="A108" s="8">
        <v>42708.546469907407</v>
      </c>
      <c r="B108" s="21" t="s">
        <v>337</v>
      </c>
      <c r="C108" s="21" t="s">
        <v>541</v>
      </c>
      <c r="D108" s="165">
        <v>1770000</v>
      </c>
      <c r="E108" s="21" t="s">
        <v>399</v>
      </c>
      <c r="F108" s="21" t="s">
        <v>400</v>
      </c>
      <c r="G108" s="8" t="str">
        <f t="shared" si="1"/>
        <v>BRUDER RICHARD</v>
      </c>
    </row>
    <row r="109" spans="1:7" x14ac:dyDescent="0.25">
      <c r="A109" s="8">
        <v>42708.547442129631</v>
      </c>
      <c r="B109" s="21" t="s">
        <v>250</v>
      </c>
      <c r="C109" s="21" t="s">
        <v>542</v>
      </c>
      <c r="D109" s="165">
        <v>2260000</v>
      </c>
      <c r="E109" s="21" t="s">
        <v>345</v>
      </c>
      <c r="F109" s="21" t="s">
        <v>346</v>
      </c>
      <c r="G109" s="8" t="str">
        <f t="shared" si="1"/>
        <v>ARVIDSON DANIEL</v>
      </c>
    </row>
    <row r="110" spans="1:7" x14ac:dyDescent="0.25">
      <c r="A110" s="8">
        <v>42708.550925925927</v>
      </c>
      <c r="B110" s="21" t="s">
        <v>301</v>
      </c>
      <c r="C110" s="21" t="s">
        <v>543</v>
      </c>
      <c r="D110" s="165">
        <v>930000</v>
      </c>
      <c r="E110" s="21" t="s">
        <v>394</v>
      </c>
      <c r="F110" s="21" t="s">
        <v>395</v>
      </c>
      <c r="G110" s="8" t="str">
        <f t="shared" si="1"/>
        <v>CLARK KATHLEEN</v>
      </c>
    </row>
    <row r="111" spans="1:7" x14ac:dyDescent="0.25">
      <c r="A111" s="8">
        <v>42708.554490740738</v>
      </c>
      <c r="B111" s="21" t="s">
        <v>184</v>
      </c>
      <c r="C111" s="21" t="s">
        <v>544</v>
      </c>
      <c r="D111" s="165">
        <v>1110000</v>
      </c>
      <c r="E111" s="21" t="s">
        <v>471</v>
      </c>
      <c r="F111" s="21" t="s">
        <v>472</v>
      </c>
      <c r="G111" s="8" t="str">
        <f t="shared" si="1"/>
        <v>STARKS ANGELINA</v>
      </c>
    </row>
    <row r="112" spans="1:7" x14ac:dyDescent="0.25">
      <c r="A112" s="8">
        <v>42708.555914351855</v>
      </c>
      <c r="B112" s="21" t="s">
        <v>263</v>
      </c>
      <c r="C112" s="21" t="s">
        <v>545</v>
      </c>
      <c r="D112" s="165">
        <v>2020000</v>
      </c>
      <c r="E112" s="21" t="s">
        <v>342</v>
      </c>
      <c r="F112" s="21" t="s">
        <v>318</v>
      </c>
      <c r="G112" s="8" t="str">
        <f t="shared" si="1"/>
        <v>SHOOK JOHN</v>
      </c>
    </row>
    <row r="113" spans="1:7" x14ac:dyDescent="0.25">
      <c r="A113" s="8">
        <v>42708.560474537036</v>
      </c>
      <c r="B113" s="21" t="s">
        <v>343</v>
      </c>
      <c r="C113" s="21" t="s">
        <v>546</v>
      </c>
      <c r="D113" s="165">
        <v>2040000</v>
      </c>
      <c r="E113" s="21" t="s">
        <v>308</v>
      </c>
      <c r="F113" s="21" t="s">
        <v>323</v>
      </c>
      <c r="G113" s="8" t="str">
        <f t="shared" si="1"/>
        <v>MOSES BRADLEY</v>
      </c>
    </row>
    <row r="114" spans="1:7" x14ac:dyDescent="0.25">
      <c r="A114" s="8">
        <v>42708.567326388889</v>
      </c>
      <c r="B114" s="21" t="s">
        <v>221</v>
      </c>
      <c r="C114" s="21" t="s">
        <v>547</v>
      </c>
      <c r="D114" s="165">
        <v>880000</v>
      </c>
      <c r="E114" s="21" t="s">
        <v>396</v>
      </c>
      <c r="F114" s="21" t="s">
        <v>321</v>
      </c>
      <c r="G114" s="8" t="str">
        <f t="shared" si="1"/>
        <v>STEWART MICHAEL</v>
      </c>
    </row>
    <row r="115" spans="1:7" x14ac:dyDescent="0.25">
      <c r="A115" s="8">
        <v>42708.567627314813</v>
      </c>
      <c r="B115" s="21" t="s">
        <v>302</v>
      </c>
      <c r="C115" s="21" t="s">
        <v>548</v>
      </c>
      <c r="D115" s="165">
        <v>1110000</v>
      </c>
      <c r="E115" s="21" t="s">
        <v>471</v>
      </c>
      <c r="F115" s="21" t="s">
        <v>472</v>
      </c>
      <c r="G115" s="8" t="str">
        <f t="shared" si="1"/>
        <v>STARKS ANGELINA</v>
      </c>
    </row>
    <row r="116" spans="1:7" x14ac:dyDescent="0.25">
      <c r="A116" s="8">
        <v>42708.5702662037</v>
      </c>
      <c r="B116" s="21" t="s">
        <v>255</v>
      </c>
      <c r="C116" s="21" t="s">
        <v>549</v>
      </c>
      <c r="D116" s="165">
        <v>1140000</v>
      </c>
      <c r="E116" s="21" t="s">
        <v>530</v>
      </c>
      <c r="F116" s="21" t="s">
        <v>531</v>
      </c>
      <c r="G116" s="8" t="str">
        <f t="shared" si="1"/>
        <v>YOUNG ELIZABETH</v>
      </c>
    </row>
    <row r="117" spans="1:7" x14ac:dyDescent="0.25">
      <c r="A117" s="8">
        <v>42708.570335648146</v>
      </c>
      <c r="B117" s="21" t="s">
        <v>297</v>
      </c>
      <c r="C117" s="21" t="s">
        <v>453</v>
      </c>
      <c r="D117" s="165">
        <v>1280000</v>
      </c>
      <c r="E117" s="21" t="s">
        <v>397</v>
      </c>
      <c r="F117" s="21" t="s">
        <v>398</v>
      </c>
      <c r="G117" s="8" t="str">
        <f t="shared" si="1"/>
        <v>BARTLETT KIANDRA</v>
      </c>
    </row>
    <row r="118" spans="1:7" x14ac:dyDescent="0.25">
      <c r="A118" s="8">
        <v>42708.5784375</v>
      </c>
      <c r="B118" s="21" t="s">
        <v>249</v>
      </c>
      <c r="C118" s="21" t="s">
        <v>550</v>
      </c>
      <c r="D118" s="165">
        <v>930000</v>
      </c>
      <c r="E118" s="21" t="s">
        <v>394</v>
      </c>
      <c r="F118" s="21" t="s">
        <v>395</v>
      </c>
      <c r="G118" s="8" t="str">
        <f t="shared" si="1"/>
        <v>CLARK KATHLEEN</v>
      </c>
    </row>
    <row r="119" spans="1:7" x14ac:dyDescent="0.25">
      <c r="A119" s="8">
        <v>42708.584270833337</v>
      </c>
      <c r="B119" s="21" t="s">
        <v>301</v>
      </c>
      <c r="C119" s="21" t="s">
        <v>551</v>
      </c>
      <c r="D119" s="165">
        <v>750000</v>
      </c>
      <c r="E119" s="21" t="s">
        <v>552</v>
      </c>
      <c r="F119" s="21" t="s">
        <v>553</v>
      </c>
      <c r="G119" s="8" t="str">
        <f t="shared" si="1"/>
        <v>NATION TRACI</v>
      </c>
    </row>
    <row r="120" spans="1:7" x14ac:dyDescent="0.25">
      <c r="A120" s="8">
        <v>42708.5856712963</v>
      </c>
      <c r="B120" s="21" t="s">
        <v>301</v>
      </c>
      <c r="C120" s="21" t="s">
        <v>551</v>
      </c>
      <c r="D120" s="165">
        <v>750000</v>
      </c>
      <c r="E120" s="21" t="s">
        <v>552</v>
      </c>
      <c r="F120" s="21" t="s">
        <v>553</v>
      </c>
      <c r="G120" s="8" t="str">
        <f t="shared" si="1"/>
        <v>NATION TRACI</v>
      </c>
    </row>
    <row r="121" spans="1:7" x14ac:dyDescent="0.25">
      <c r="A121" s="8">
        <v>42708.5859837963</v>
      </c>
      <c r="B121" s="21" t="s">
        <v>184</v>
      </c>
      <c r="C121" s="21" t="s">
        <v>554</v>
      </c>
      <c r="D121" s="165">
        <v>2440000</v>
      </c>
      <c r="E121" s="21" t="s">
        <v>555</v>
      </c>
      <c r="F121" s="21" t="s">
        <v>556</v>
      </c>
      <c r="G121" s="8" t="str">
        <f t="shared" si="1"/>
        <v>LOPES KIMBERLY</v>
      </c>
    </row>
    <row r="122" spans="1:7" x14ac:dyDescent="0.25">
      <c r="A122" s="8">
        <v>42708.586574074077</v>
      </c>
      <c r="B122" s="26" t="s">
        <v>336</v>
      </c>
      <c r="C122" s="21" t="s">
        <v>557</v>
      </c>
      <c r="D122" s="165">
        <v>1770000</v>
      </c>
      <c r="E122" s="21" t="s">
        <v>399</v>
      </c>
      <c r="F122" s="21" t="s">
        <v>400</v>
      </c>
      <c r="G122" s="8" t="str">
        <f t="shared" si="1"/>
        <v>BRUDER RICHARD</v>
      </c>
    </row>
    <row r="123" spans="1:7" x14ac:dyDescent="0.25">
      <c r="A123" s="8">
        <v>42708.588275462964</v>
      </c>
      <c r="B123" s="21" t="s">
        <v>241</v>
      </c>
      <c r="C123" s="21" t="s">
        <v>558</v>
      </c>
      <c r="D123" s="165">
        <v>2020000</v>
      </c>
      <c r="E123" s="21" t="s">
        <v>342</v>
      </c>
      <c r="F123" s="21" t="s">
        <v>318</v>
      </c>
      <c r="G123" s="8" t="str">
        <f t="shared" si="1"/>
        <v>SHOOK JOHN</v>
      </c>
    </row>
    <row r="124" spans="1:7" x14ac:dyDescent="0.25">
      <c r="A124" s="8">
        <v>42708.591099537036</v>
      </c>
      <c r="B124" s="21" t="s">
        <v>241</v>
      </c>
      <c r="C124" s="21" t="s">
        <v>558</v>
      </c>
      <c r="D124" s="165">
        <v>2020000</v>
      </c>
      <c r="E124" s="21" t="s">
        <v>342</v>
      </c>
      <c r="F124" s="21" t="s">
        <v>318</v>
      </c>
      <c r="G124" s="8" t="str">
        <f t="shared" si="1"/>
        <v>SHOOK JOHN</v>
      </c>
    </row>
    <row r="125" spans="1:7" x14ac:dyDescent="0.25">
      <c r="A125" s="8">
        <v>42708.599062499998</v>
      </c>
      <c r="B125" s="21" t="s">
        <v>220</v>
      </c>
      <c r="C125" s="21" t="s">
        <v>559</v>
      </c>
      <c r="D125" s="165">
        <v>880000</v>
      </c>
      <c r="E125" s="21" t="s">
        <v>396</v>
      </c>
      <c r="F125" s="21" t="s">
        <v>321</v>
      </c>
      <c r="G125" s="8" t="str">
        <f t="shared" si="1"/>
        <v>STEWART MICHAEL</v>
      </c>
    </row>
    <row r="126" spans="1:7" x14ac:dyDescent="0.25">
      <c r="A126" s="8">
        <v>42708.59952546296</v>
      </c>
      <c r="B126" s="21" t="s">
        <v>340</v>
      </c>
      <c r="C126" s="21" t="s">
        <v>560</v>
      </c>
      <c r="D126" s="165">
        <v>2040000</v>
      </c>
      <c r="E126" s="21" t="s">
        <v>308</v>
      </c>
      <c r="F126" s="21" t="s">
        <v>323</v>
      </c>
      <c r="G126" s="8" t="str">
        <f t="shared" si="1"/>
        <v>MOSES BRADLEY</v>
      </c>
    </row>
    <row r="127" spans="1:7" x14ac:dyDescent="0.25">
      <c r="A127" s="8">
        <v>42708.605775462966</v>
      </c>
      <c r="B127" s="21" t="s">
        <v>256</v>
      </c>
      <c r="C127" s="21" t="s">
        <v>561</v>
      </c>
      <c r="D127" s="165">
        <v>1140000</v>
      </c>
      <c r="E127" s="21" t="s">
        <v>530</v>
      </c>
      <c r="F127" s="21" t="s">
        <v>531</v>
      </c>
      <c r="G127" s="8" t="str">
        <f t="shared" si="1"/>
        <v>YOUNG ELIZABETH</v>
      </c>
    </row>
    <row r="128" spans="1:7" x14ac:dyDescent="0.25">
      <c r="A128" s="8">
        <v>42708.609212962961</v>
      </c>
      <c r="B128" s="21" t="s">
        <v>302</v>
      </c>
      <c r="C128" s="21" t="s">
        <v>562</v>
      </c>
      <c r="D128" s="165">
        <v>2440000</v>
      </c>
      <c r="E128" s="21" t="s">
        <v>555</v>
      </c>
      <c r="F128" s="21" t="s">
        <v>556</v>
      </c>
      <c r="G128" s="8" t="str">
        <f t="shared" si="1"/>
        <v>LOPES KIMBERLY</v>
      </c>
    </row>
    <row r="129" spans="1:7" x14ac:dyDescent="0.25">
      <c r="A129" s="8">
        <v>42708.611655092594</v>
      </c>
      <c r="B129" s="21" t="s">
        <v>300</v>
      </c>
      <c r="C129" s="21" t="s">
        <v>563</v>
      </c>
      <c r="D129" s="165">
        <v>1280000</v>
      </c>
      <c r="E129" s="21" t="s">
        <v>397</v>
      </c>
      <c r="F129" s="21" t="s">
        <v>398</v>
      </c>
      <c r="G129" s="8" t="str">
        <f t="shared" si="1"/>
        <v>BARTLETT KIANDRA</v>
      </c>
    </row>
    <row r="130" spans="1:7" x14ac:dyDescent="0.25">
      <c r="A130" s="8">
        <v>42708.617581018516</v>
      </c>
      <c r="B130" s="21" t="s">
        <v>250</v>
      </c>
      <c r="C130" s="21" t="s">
        <v>564</v>
      </c>
      <c r="D130" s="165">
        <v>930000</v>
      </c>
      <c r="E130" s="21" t="s">
        <v>394</v>
      </c>
      <c r="F130" s="21" t="s">
        <v>395</v>
      </c>
      <c r="G130" s="8" t="str">
        <f t="shared" si="1"/>
        <v>CLARK KATHLEEN</v>
      </c>
    </row>
    <row r="131" spans="1:7" x14ac:dyDescent="0.25">
      <c r="A131" s="8">
        <v>42708.621527777781</v>
      </c>
      <c r="B131" s="21" t="s">
        <v>337</v>
      </c>
      <c r="C131" s="21" t="s">
        <v>565</v>
      </c>
      <c r="D131" s="165">
        <v>2470000</v>
      </c>
      <c r="E131" s="21" t="s">
        <v>566</v>
      </c>
      <c r="F131" s="21" t="s">
        <v>567</v>
      </c>
      <c r="G131" s="8" t="str">
        <f t="shared" ref="G131:G194" si="2">E131&amp;" "&amp;F131</f>
        <v>ROMERO CHAD</v>
      </c>
    </row>
    <row r="132" spans="1:7" x14ac:dyDescent="0.25">
      <c r="A132" s="8">
        <v>42708.623773148145</v>
      </c>
      <c r="B132" s="21" t="s">
        <v>184</v>
      </c>
      <c r="C132" s="21" t="s">
        <v>568</v>
      </c>
      <c r="D132" s="165">
        <v>2440000</v>
      </c>
      <c r="E132" s="21" t="s">
        <v>555</v>
      </c>
      <c r="F132" s="21" t="s">
        <v>556</v>
      </c>
      <c r="G132" s="8" t="str">
        <f t="shared" si="2"/>
        <v>LOPES KIMBERLY</v>
      </c>
    </row>
    <row r="133" spans="1:7" x14ac:dyDescent="0.25">
      <c r="A133" s="8">
        <v>42708.629594907405</v>
      </c>
      <c r="B133" s="21" t="s">
        <v>263</v>
      </c>
      <c r="C133" s="21" t="s">
        <v>569</v>
      </c>
      <c r="D133" s="165">
        <v>2020000</v>
      </c>
      <c r="E133" s="21" t="s">
        <v>342</v>
      </c>
      <c r="F133" s="21" t="s">
        <v>318</v>
      </c>
      <c r="G133" s="8" t="str">
        <f t="shared" si="2"/>
        <v>SHOOK JOHN</v>
      </c>
    </row>
    <row r="134" spans="1:7" x14ac:dyDescent="0.25">
      <c r="A134" s="8">
        <v>42708.633043981485</v>
      </c>
      <c r="B134" s="21" t="s">
        <v>343</v>
      </c>
      <c r="C134" s="21" t="s">
        <v>570</v>
      </c>
      <c r="D134" s="165">
        <v>2040000</v>
      </c>
      <c r="E134" s="21" t="s">
        <v>308</v>
      </c>
      <c r="F134" s="21" t="s">
        <v>323</v>
      </c>
      <c r="G134" s="8" t="str">
        <f t="shared" si="2"/>
        <v>MOSES BRADLEY</v>
      </c>
    </row>
    <row r="135" spans="1:7" x14ac:dyDescent="0.25">
      <c r="A135" s="8">
        <v>42708.640763888892</v>
      </c>
      <c r="B135" s="21" t="s">
        <v>221</v>
      </c>
      <c r="C135" s="21" t="s">
        <v>571</v>
      </c>
      <c r="D135" s="165">
        <v>880000</v>
      </c>
      <c r="E135" s="21" t="s">
        <v>396</v>
      </c>
      <c r="F135" s="21" t="s">
        <v>321</v>
      </c>
      <c r="G135" s="8" t="str">
        <f t="shared" si="2"/>
        <v>STEWART MICHAEL</v>
      </c>
    </row>
    <row r="136" spans="1:7" x14ac:dyDescent="0.25">
      <c r="A136" s="8">
        <v>42708.642453703702</v>
      </c>
      <c r="B136" s="21" t="s">
        <v>255</v>
      </c>
      <c r="C136" s="21" t="s">
        <v>572</v>
      </c>
      <c r="D136" s="165">
        <v>1140000</v>
      </c>
      <c r="E136" s="21" t="s">
        <v>530</v>
      </c>
      <c r="F136" s="21" t="s">
        <v>531</v>
      </c>
      <c r="G136" s="8" t="str">
        <f t="shared" si="2"/>
        <v>YOUNG ELIZABETH</v>
      </c>
    </row>
    <row r="137" spans="1:7" x14ac:dyDescent="0.25">
      <c r="A137" s="8">
        <v>42708.64303240741</v>
      </c>
      <c r="B137" s="21" t="s">
        <v>297</v>
      </c>
      <c r="C137" s="21" t="s">
        <v>573</v>
      </c>
      <c r="D137" s="165">
        <v>1280000</v>
      </c>
      <c r="E137" s="21" t="s">
        <v>397</v>
      </c>
      <c r="F137" s="21" t="s">
        <v>398</v>
      </c>
      <c r="G137" s="8" t="str">
        <f t="shared" si="2"/>
        <v>BARTLETT KIANDRA</v>
      </c>
    </row>
    <row r="138" spans="1:7" x14ac:dyDescent="0.25">
      <c r="A138" s="8">
        <v>42708.650416666664</v>
      </c>
      <c r="B138" s="21" t="s">
        <v>255</v>
      </c>
      <c r="C138" s="21" t="s">
        <v>572</v>
      </c>
      <c r="D138" s="165">
        <v>1140000</v>
      </c>
      <c r="E138" s="21" t="s">
        <v>530</v>
      </c>
      <c r="F138" s="21" t="s">
        <v>531</v>
      </c>
      <c r="G138" s="8" t="str">
        <f t="shared" si="2"/>
        <v>YOUNG ELIZABETH</v>
      </c>
    </row>
    <row r="139" spans="1:7" x14ac:dyDescent="0.25">
      <c r="A139" s="8">
        <v>42708.650451388887</v>
      </c>
      <c r="B139" s="21" t="s">
        <v>302</v>
      </c>
      <c r="C139" s="21" t="s">
        <v>574</v>
      </c>
      <c r="D139" s="165">
        <v>2440000</v>
      </c>
      <c r="E139" s="21" t="s">
        <v>555</v>
      </c>
      <c r="F139" s="21" t="s">
        <v>556</v>
      </c>
      <c r="G139" s="8" t="str">
        <f t="shared" si="2"/>
        <v>LOPES KIMBERLY</v>
      </c>
    </row>
    <row r="140" spans="1:7" x14ac:dyDescent="0.25">
      <c r="A140" s="8">
        <v>42708.654016203705</v>
      </c>
      <c r="B140" s="21" t="s">
        <v>249</v>
      </c>
      <c r="C140" s="21" t="s">
        <v>575</v>
      </c>
      <c r="D140" s="165">
        <v>2230000</v>
      </c>
      <c r="E140" s="21" t="s">
        <v>576</v>
      </c>
      <c r="F140" s="21" t="s">
        <v>321</v>
      </c>
      <c r="G140" s="8" t="str">
        <f t="shared" si="2"/>
        <v>SMITH MICHAEL</v>
      </c>
    </row>
    <row r="141" spans="1:7" x14ac:dyDescent="0.25">
      <c r="A141" s="8">
        <v>42708.659641203703</v>
      </c>
      <c r="B141" s="21" t="s">
        <v>336</v>
      </c>
      <c r="C141" s="21" t="s">
        <v>577</v>
      </c>
      <c r="D141" s="165">
        <v>2470000</v>
      </c>
      <c r="E141" s="21" t="s">
        <v>566</v>
      </c>
      <c r="F141" s="21" t="s">
        <v>567</v>
      </c>
      <c r="G141" s="8" t="str">
        <f t="shared" si="2"/>
        <v>ROMERO CHAD</v>
      </c>
    </row>
    <row r="142" spans="1:7" x14ac:dyDescent="0.25">
      <c r="A142" s="8">
        <v>42708.661724537036</v>
      </c>
      <c r="B142" s="21" t="s">
        <v>241</v>
      </c>
      <c r="C142" s="21" t="s">
        <v>578</v>
      </c>
      <c r="D142" s="165">
        <v>2020000</v>
      </c>
      <c r="E142" s="21" t="s">
        <v>342</v>
      </c>
      <c r="F142" s="21" t="s">
        <v>318</v>
      </c>
      <c r="G142" s="8" t="str">
        <f t="shared" si="2"/>
        <v>SHOOK JOHN</v>
      </c>
    </row>
    <row r="143" spans="1:7" x14ac:dyDescent="0.25">
      <c r="A143" s="8">
        <v>42708.668726851851</v>
      </c>
      <c r="B143" s="21" t="s">
        <v>340</v>
      </c>
      <c r="C143" s="21" t="s">
        <v>579</v>
      </c>
      <c r="D143" s="165">
        <v>2040000</v>
      </c>
      <c r="E143" s="21" t="s">
        <v>308</v>
      </c>
      <c r="F143" s="21" t="s">
        <v>323</v>
      </c>
      <c r="G143" s="8" t="str">
        <f t="shared" si="2"/>
        <v>MOSES BRADLEY</v>
      </c>
    </row>
    <row r="144" spans="1:7" x14ac:dyDescent="0.25">
      <c r="A144" s="8">
        <v>42708.672083333331</v>
      </c>
      <c r="B144" s="21" t="s">
        <v>220</v>
      </c>
      <c r="C144" s="21" t="s">
        <v>580</v>
      </c>
      <c r="D144" s="165">
        <v>880000</v>
      </c>
      <c r="E144" s="21" t="s">
        <v>396</v>
      </c>
      <c r="F144" s="21" t="s">
        <v>321</v>
      </c>
      <c r="G144" s="8" t="str">
        <f t="shared" si="2"/>
        <v>STEWART MICHAEL</v>
      </c>
    </row>
    <row r="145" spans="1:7" x14ac:dyDescent="0.25">
      <c r="A145" s="8">
        <v>42708.67527777778</v>
      </c>
      <c r="B145" s="21" t="s">
        <v>184</v>
      </c>
      <c r="C145" s="21" t="s">
        <v>581</v>
      </c>
      <c r="D145" s="165">
        <v>2350000</v>
      </c>
      <c r="E145" s="21" t="s">
        <v>582</v>
      </c>
      <c r="F145" s="21" t="s">
        <v>583</v>
      </c>
      <c r="G145" s="8" t="str">
        <f t="shared" si="2"/>
        <v>BERLING GARY</v>
      </c>
    </row>
    <row r="146" spans="1:7" x14ac:dyDescent="0.25">
      <c r="A146" s="8">
        <v>42708.677673611113</v>
      </c>
      <c r="B146" s="21" t="s">
        <v>256</v>
      </c>
      <c r="C146" s="21" t="s">
        <v>584</v>
      </c>
      <c r="D146" s="165">
        <v>1140000</v>
      </c>
      <c r="E146" s="21" t="s">
        <v>530</v>
      </c>
      <c r="F146" s="21" t="s">
        <v>531</v>
      </c>
      <c r="G146" s="8" t="str">
        <f t="shared" si="2"/>
        <v>YOUNG ELIZABETH</v>
      </c>
    </row>
    <row r="147" spans="1:7" x14ac:dyDescent="0.25">
      <c r="A147" s="8">
        <v>42708.683356481481</v>
      </c>
      <c r="B147" s="21" t="s">
        <v>300</v>
      </c>
      <c r="C147" s="21" t="s">
        <v>585</v>
      </c>
      <c r="D147" s="165">
        <v>1280000</v>
      </c>
      <c r="E147" s="21" t="s">
        <v>397</v>
      </c>
      <c r="F147" s="21" t="s">
        <v>398</v>
      </c>
      <c r="G147" s="8" t="str">
        <f t="shared" si="2"/>
        <v>BARTLETT KIANDRA</v>
      </c>
    </row>
    <row r="148" spans="1:7" x14ac:dyDescent="0.25">
      <c r="A148" s="8">
        <v>42708.689803240741</v>
      </c>
      <c r="B148" s="21" t="s">
        <v>250</v>
      </c>
      <c r="C148" s="21" t="s">
        <v>454</v>
      </c>
      <c r="D148" s="165">
        <v>2230000</v>
      </c>
      <c r="E148" s="21" t="s">
        <v>576</v>
      </c>
      <c r="F148" s="21" t="s">
        <v>321</v>
      </c>
      <c r="G148" s="8" t="str">
        <f t="shared" si="2"/>
        <v>SMITH MICHAEL</v>
      </c>
    </row>
    <row r="149" spans="1:7" x14ac:dyDescent="0.25">
      <c r="A149" s="8">
        <v>42708.693020833336</v>
      </c>
      <c r="B149" s="21" t="s">
        <v>302</v>
      </c>
      <c r="C149" s="21" t="s">
        <v>586</v>
      </c>
      <c r="D149" s="165">
        <v>2350000</v>
      </c>
      <c r="E149" s="21" t="s">
        <v>582</v>
      </c>
      <c r="F149" s="21" t="s">
        <v>583</v>
      </c>
      <c r="G149" s="8" t="str">
        <f t="shared" si="2"/>
        <v>BERLING GARY</v>
      </c>
    </row>
    <row r="150" spans="1:7" x14ac:dyDescent="0.25">
      <c r="A150" s="8">
        <v>42708.693842592591</v>
      </c>
      <c r="B150" s="21" t="s">
        <v>337</v>
      </c>
      <c r="C150" s="21" t="s">
        <v>587</v>
      </c>
      <c r="D150" s="165">
        <v>1770000</v>
      </c>
      <c r="E150" s="21" t="s">
        <v>399</v>
      </c>
      <c r="F150" s="21" t="s">
        <v>400</v>
      </c>
      <c r="G150" s="8" t="str">
        <f t="shared" si="2"/>
        <v>BRUDER RICHARD</v>
      </c>
    </row>
    <row r="151" spans="1:7" x14ac:dyDescent="0.25">
      <c r="A151" s="8">
        <v>42708.701157407406</v>
      </c>
      <c r="B151" s="21" t="s">
        <v>263</v>
      </c>
      <c r="C151" s="21" t="s">
        <v>588</v>
      </c>
      <c r="D151" s="165">
        <v>2020000</v>
      </c>
      <c r="E151" s="21" t="s">
        <v>342</v>
      </c>
      <c r="F151" s="21" t="s">
        <v>318</v>
      </c>
      <c r="G151" s="8" t="str">
        <f t="shared" si="2"/>
        <v>SHOOK JOHN</v>
      </c>
    </row>
    <row r="152" spans="1:7" x14ac:dyDescent="0.25">
      <c r="A152" s="8">
        <v>42708.705590277779</v>
      </c>
      <c r="B152" s="21" t="s">
        <v>343</v>
      </c>
      <c r="C152" s="21" t="s">
        <v>589</v>
      </c>
      <c r="D152" s="165">
        <v>2040000</v>
      </c>
      <c r="E152" s="21" t="s">
        <v>308</v>
      </c>
      <c r="F152" s="21" t="s">
        <v>323</v>
      </c>
      <c r="G152" s="8" t="str">
        <f t="shared" si="2"/>
        <v>MOSES BRADLEY</v>
      </c>
    </row>
    <row r="153" spans="1:7" x14ac:dyDescent="0.25">
      <c r="A153" s="8">
        <v>42708.713750000003</v>
      </c>
      <c r="B153" s="21" t="s">
        <v>221</v>
      </c>
      <c r="C153" s="21" t="s">
        <v>590</v>
      </c>
      <c r="D153" s="165">
        <v>880000</v>
      </c>
      <c r="E153" s="21" t="s">
        <v>396</v>
      </c>
      <c r="F153" s="21" t="s">
        <v>321</v>
      </c>
      <c r="G153" s="8" t="str">
        <f t="shared" si="2"/>
        <v>STEWART MICHAEL</v>
      </c>
    </row>
    <row r="154" spans="1:7" x14ac:dyDescent="0.25">
      <c r="A154" s="8">
        <v>42708.71570601852</v>
      </c>
      <c r="B154" s="21" t="s">
        <v>297</v>
      </c>
      <c r="C154" s="21" t="s">
        <v>591</v>
      </c>
      <c r="D154" s="165">
        <v>1280000</v>
      </c>
      <c r="E154" s="21" t="s">
        <v>397</v>
      </c>
      <c r="F154" s="21" t="s">
        <v>398</v>
      </c>
      <c r="G154" s="8" t="str">
        <f t="shared" si="2"/>
        <v>BARTLETT KIANDRA</v>
      </c>
    </row>
    <row r="155" spans="1:7" x14ac:dyDescent="0.25">
      <c r="A155" s="8">
        <v>42708.715937499997</v>
      </c>
      <c r="B155" s="21" t="s">
        <v>255</v>
      </c>
      <c r="C155" s="21" t="s">
        <v>592</v>
      </c>
      <c r="D155" s="165">
        <v>1180000</v>
      </c>
      <c r="E155" s="21" t="s">
        <v>284</v>
      </c>
      <c r="F155" s="21" t="s">
        <v>324</v>
      </c>
      <c r="G155" s="8" t="str">
        <f t="shared" si="2"/>
        <v>LEVERE CRAIG</v>
      </c>
    </row>
    <row r="156" spans="1:7" x14ac:dyDescent="0.25">
      <c r="A156" s="8">
        <v>42708.716874999998</v>
      </c>
      <c r="B156" s="21" t="s">
        <v>184</v>
      </c>
      <c r="C156" s="21" t="s">
        <v>593</v>
      </c>
      <c r="D156" s="165">
        <v>2440000</v>
      </c>
      <c r="E156" s="21" t="s">
        <v>555</v>
      </c>
      <c r="F156" s="21" t="s">
        <v>556</v>
      </c>
      <c r="G156" s="8" t="str">
        <f t="shared" si="2"/>
        <v>LOPES KIMBERLY</v>
      </c>
    </row>
    <row r="157" spans="1:7" x14ac:dyDescent="0.25">
      <c r="A157" s="8">
        <v>42708.726018518515</v>
      </c>
      <c r="B157" s="21" t="s">
        <v>249</v>
      </c>
      <c r="C157" s="21" t="s">
        <v>594</v>
      </c>
      <c r="D157" s="165">
        <v>1140000</v>
      </c>
      <c r="E157" s="21" t="s">
        <v>530</v>
      </c>
      <c r="F157" s="21" t="s">
        <v>531</v>
      </c>
      <c r="G157" s="8" t="str">
        <f t="shared" si="2"/>
        <v>YOUNG ELIZABETH</v>
      </c>
    </row>
    <row r="158" spans="1:7" x14ac:dyDescent="0.25">
      <c r="A158" s="8">
        <v>42708.726701388892</v>
      </c>
      <c r="B158" s="21" t="s">
        <v>218</v>
      </c>
      <c r="C158" s="21" t="s">
        <v>595</v>
      </c>
      <c r="D158" s="165">
        <v>2260000</v>
      </c>
      <c r="E158" s="21" t="s">
        <v>345</v>
      </c>
      <c r="F158" s="21" t="s">
        <v>346</v>
      </c>
      <c r="G158" s="8" t="str">
        <f t="shared" si="2"/>
        <v>ARVIDSON DANIEL</v>
      </c>
    </row>
    <row r="159" spans="1:7" x14ac:dyDescent="0.25">
      <c r="A159" s="8">
        <v>42708.728391203702</v>
      </c>
      <c r="B159" s="21" t="s">
        <v>596</v>
      </c>
      <c r="C159" s="21" t="s">
        <v>597</v>
      </c>
      <c r="D159" s="165">
        <v>1810000</v>
      </c>
      <c r="E159" s="21" t="s">
        <v>403</v>
      </c>
      <c r="F159" s="21" t="s">
        <v>326</v>
      </c>
      <c r="G159" s="8" t="str">
        <f t="shared" si="2"/>
        <v>NEWELL JAMES</v>
      </c>
    </row>
    <row r="160" spans="1:7" x14ac:dyDescent="0.25">
      <c r="A160" s="8">
        <v>42708.733182870368</v>
      </c>
      <c r="B160" s="21" t="s">
        <v>336</v>
      </c>
      <c r="C160" s="21" t="s">
        <v>598</v>
      </c>
      <c r="D160" s="165">
        <v>1770000</v>
      </c>
      <c r="E160" s="21" t="s">
        <v>399</v>
      </c>
      <c r="F160" s="21" t="s">
        <v>400</v>
      </c>
      <c r="G160" s="8" t="str">
        <f t="shared" si="2"/>
        <v>BRUDER RICHARD</v>
      </c>
    </row>
    <row r="161" spans="1:7" x14ac:dyDescent="0.25">
      <c r="A161" s="8">
        <v>42708.733634259261</v>
      </c>
      <c r="B161" s="21" t="s">
        <v>302</v>
      </c>
      <c r="C161" s="21" t="s">
        <v>455</v>
      </c>
      <c r="D161" s="165">
        <v>2440000</v>
      </c>
      <c r="E161" s="21" t="s">
        <v>555</v>
      </c>
      <c r="F161" s="21" t="s">
        <v>556</v>
      </c>
      <c r="G161" s="8" t="str">
        <f t="shared" si="2"/>
        <v>LOPES KIMBERLY</v>
      </c>
    </row>
    <row r="162" spans="1:7" x14ac:dyDescent="0.25">
      <c r="A162" s="8">
        <v>42708.735972222225</v>
      </c>
      <c r="B162" s="21" t="s">
        <v>241</v>
      </c>
      <c r="C162" s="21" t="s">
        <v>599</v>
      </c>
      <c r="D162" s="165">
        <v>1290000</v>
      </c>
      <c r="E162" s="21" t="s">
        <v>285</v>
      </c>
      <c r="F162" s="21" t="s">
        <v>318</v>
      </c>
      <c r="G162" s="8" t="str">
        <f t="shared" si="2"/>
        <v>COOLAHAN JOHN</v>
      </c>
    </row>
    <row r="163" spans="1:7" x14ac:dyDescent="0.25">
      <c r="A163" s="8">
        <v>42708.743923611109</v>
      </c>
      <c r="B163" s="21" t="s">
        <v>340</v>
      </c>
      <c r="C163" s="21" t="s">
        <v>600</v>
      </c>
      <c r="D163" s="165">
        <v>2040000</v>
      </c>
      <c r="E163" s="21" t="s">
        <v>308</v>
      </c>
      <c r="F163" s="21" t="s">
        <v>323</v>
      </c>
      <c r="G163" s="8" t="str">
        <f t="shared" si="2"/>
        <v>MOSES BRADLEY</v>
      </c>
    </row>
    <row r="164" spans="1:7" x14ac:dyDescent="0.25">
      <c r="A164" s="8">
        <v>42708.74658564815</v>
      </c>
      <c r="B164" s="21" t="s">
        <v>220</v>
      </c>
      <c r="C164" s="21" t="s">
        <v>601</v>
      </c>
      <c r="D164" s="165">
        <v>2020000</v>
      </c>
      <c r="E164" s="21" t="s">
        <v>342</v>
      </c>
      <c r="F164" s="21" t="s">
        <v>318</v>
      </c>
      <c r="G164" s="8" t="str">
        <f t="shared" si="2"/>
        <v>SHOOK JOHN</v>
      </c>
    </row>
    <row r="165" spans="1:7" x14ac:dyDescent="0.25">
      <c r="A165" s="8">
        <v>42708.750231481485</v>
      </c>
      <c r="B165" s="21" t="s">
        <v>211</v>
      </c>
      <c r="C165" s="21" t="s">
        <v>602</v>
      </c>
      <c r="D165" s="165">
        <v>2560000</v>
      </c>
      <c r="E165" s="21" t="s">
        <v>603</v>
      </c>
      <c r="F165" s="21" t="s">
        <v>604</v>
      </c>
      <c r="G165" s="8" t="str">
        <f t="shared" si="2"/>
        <v>MACDONALD THOMAS</v>
      </c>
    </row>
    <row r="166" spans="1:7" x14ac:dyDescent="0.25">
      <c r="A166" s="8">
        <v>42708.75104166667</v>
      </c>
      <c r="B166" s="21" t="s">
        <v>211</v>
      </c>
      <c r="C166" s="21" t="s">
        <v>602</v>
      </c>
      <c r="D166" s="165">
        <v>2560000</v>
      </c>
      <c r="E166" s="21" t="s">
        <v>603</v>
      </c>
      <c r="F166" s="21" t="s">
        <v>604</v>
      </c>
      <c r="G166" s="8" t="str">
        <f t="shared" si="2"/>
        <v>MACDONALD THOMAS</v>
      </c>
    </row>
    <row r="167" spans="1:7" x14ac:dyDescent="0.25">
      <c r="A167" s="8">
        <v>42708.752372685187</v>
      </c>
      <c r="B167" s="21" t="s">
        <v>211</v>
      </c>
      <c r="C167" s="21" t="s">
        <v>602</v>
      </c>
      <c r="D167" s="165">
        <v>2560000</v>
      </c>
      <c r="E167" s="21" t="s">
        <v>603</v>
      </c>
      <c r="F167" s="21" t="s">
        <v>604</v>
      </c>
      <c r="G167" s="8" t="str">
        <f t="shared" si="2"/>
        <v>MACDONALD THOMAS</v>
      </c>
    </row>
    <row r="168" spans="1:7" x14ac:dyDescent="0.25">
      <c r="A168" s="8">
        <v>42708.752372685187</v>
      </c>
      <c r="B168" s="21" t="s">
        <v>256</v>
      </c>
      <c r="C168" s="21" t="s">
        <v>605</v>
      </c>
      <c r="D168" s="165">
        <v>1180000</v>
      </c>
      <c r="E168" s="21" t="s">
        <v>284</v>
      </c>
      <c r="F168" s="21" t="s">
        <v>324</v>
      </c>
      <c r="G168" s="8" t="str">
        <f t="shared" si="2"/>
        <v>LEVERE CRAIG</v>
      </c>
    </row>
    <row r="169" spans="1:7" x14ac:dyDescent="0.25">
      <c r="A169" s="8">
        <v>42708.755127314813</v>
      </c>
      <c r="B169" s="21" t="s">
        <v>300</v>
      </c>
      <c r="C169" s="21" t="s">
        <v>606</v>
      </c>
      <c r="D169" s="165">
        <v>1810000</v>
      </c>
      <c r="E169" s="21" t="s">
        <v>403</v>
      </c>
      <c r="F169" s="21" t="s">
        <v>326</v>
      </c>
      <c r="G169" s="8" t="str">
        <f t="shared" si="2"/>
        <v>NEWELL JAMES</v>
      </c>
    </row>
    <row r="170" spans="1:7" x14ac:dyDescent="0.25">
      <c r="A170" s="8">
        <v>42708.756331018521</v>
      </c>
      <c r="B170" s="21" t="s">
        <v>184</v>
      </c>
      <c r="C170" s="21" t="s">
        <v>607</v>
      </c>
      <c r="D170" s="165">
        <v>2480000</v>
      </c>
      <c r="E170" s="21" t="s">
        <v>401</v>
      </c>
      <c r="F170" s="21" t="s">
        <v>341</v>
      </c>
      <c r="G170" s="8" t="str">
        <f t="shared" si="2"/>
        <v>WHITED DUSTIN</v>
      </c>
    </row>
    <row r="171" spans="1:7" x14ac:dyDescent="0.25">
      <c r="A171" s="8">
        <v>42708.758356481485</v>
      </c>
      <c r="B171" s="21" t="s">
        <v>250</v>
      </c>
      <c r="C171" s="21" t="s">
        <v>456</v>
      </c>
      <c r="D171" s="165">
        <v>1140000</v>
      </c>
      <c r="E171" s="21" t="s">
        <v>530</v>
      </c>
      <c r="F171" s="21" t="s">
        <v>531</v>
      </c>
      <c r="G171" s="8" t="str">
        <f t="shared" si="2"/>
        <v>YOUNG ELIZABETH</v>
      </c>
    </row>
    <row r="172" spans="1:7" x14ac:dyDescent="0.25">
      <c r="A172" s="8">
        <v>42708.761412037034</v>
      </c>
      <c r="B172" s="21" t="s">
        <v>608</v>
      </c>
      <c r="C172" s="21" t="s">
        <v>609</v>
      </c>
      <c r="D172" s="165">
        <v>1280000</v>
      </c>
      <c r="E172" s="21" t="s">
        <v>397</v>
      </c>
      <c r="F172" s="21" t="s">
        <v>398</v>
      </c>
      <c r="G172" s="8" t="str">
        <f t="shared" si="2"/>
        <v>BARTLETT KIANDRA</v>
      </c>
    </row>
    <row r="173" spans="1:7" x14ac:dyDescent="0.25">
      <c r="A173" s="8">
        <v>42708.769618055558</v>
      </c>
      <c r="B173" s="21" t="s">
        <v>337</v>
      </c>
      <c r="C173" s="21" t="s">
        <v>610</v>
      </c>
      <c r="D173" s="165">
        <v>1800000</v>
      </c>
      <c r="E173" s="21" t="s">
        <v>265</v>
      </c>
      <c r="F173" s="21" t="s">
        <v>390</v>
      </c>
      <c r="G173" s="8" t="str">
        <f t="shared" si="2"/>
        <v>CHANDLER KELVIN</v>
      </c>
    </row>
    <row r="174" spans="1:7" x14ac:dyDescent="0.25">
      <c r="A174" s="8">
        <v>42708.775451388887</v>
      </c>
      <c r="B174" s="21" t="s">
        <v>263</v>
      </c>
      <c r="C174" s="21" t="s">
        <v>611</v>
      </c>
      <c r="D174" s="165">
        <v>1290000</v>
      </c>
      <c r="E174" s="21" t="s">
        <v>285</v>
      </c>
      <c r="F174" s="21" t="s">
        <v>318</v>
      </c>
      <c r="G174" s="8" t="str">
        <f t="shared" si="2"/>
        <v>COOLAHAN JOHN</v>
      </c>
    </row>
    <row r="175" spans="1:7" x14ac:dyDescent="0.25">
      <c r="A175" s="8">
        <v>42708.776828703703</v>
      </c>
      <c r="B175" s="21" t="s">
        <v>302</v>
      </c>
      <c r="C175" s="21" t="s">
        <v>612</v>
      </c>
      <c r="D175" s="165">
        <v>2480000</v>
      </c>
      <c r="E175" s="21" t="s">
        <v>401</v>
      </c>
      <c r="F175" s="21" t="s">
        <v>341</v>
      </c>
      <c r="G175" s="8" t="str">
        <f t="shared" si="2"/>
        <v>WHITED DUSTIN</v>
      </c>
    </row>
    <row r="176" spans="1:7" x14ac:dyDescent="0.25">
      <c r="A176" s="8">
        <v>42708.77747685185</v>
      </c>
      <c r="B176" s="21" t="s">
        <v>343</v>
      </c>
      <c r="C176" s="21" t="s">
        <v>613</v>
      </c>
      <c r="D176" s="165">
        <v>2040000</v>
      </c>
      <c r="E176" s="21" t="s">
        <v>308</v>
      </c>
      <c r="F176" s="21" t="s">
        <v>323</v>
      </c>
      <c r="G176" s="8" t="str">
        <f t="shared" si="2"/>
        <v>MOSES BRADLEY</v>
      </c>
    </row>
    <row r="177" spans="1:7" x14ac:dyDescent="0.25">
      <c r="A177" s="8">
        <v>42708.784525462965</v>
      </c>
      <c r="B177" s="21" t="s">
        <v>221</v>
      </c>
      <c r="C177" s="21" t="s">
        <v>614</v>
      </c>
      <c r="D177" s="165">
        <v>2020000</v>
      </c>
      <c r="E177" s="21" t="s">
        <v>342</v>
      </c>
      <c r="F177" s="21" t="s">
        <v>318</v>
      </c>
      <c r="G177" s="8" t="str">
        <f t="shared" si="2"/>
        <v>SHOOK JOHN</v>
      </c>
    </row>
    <row r="178" spans="1:7" x14ac:dyDescent="0.25">
      <c r="A178" s="8">
        <v>42708.786990740744</v>
      </c>
      <c r="B178" s="21" t="s">
        <v>255</v>
      </c>
      <c r="C178" s="21" t="s">
        <v>615</v>
      </c>
      <c r="D178" s="165">
        <v>1180000</v>
      </c>
      <c r="E178" s="21" t="s">
        <v>284</v>
      </c>
      <c r="F178" s="21" t="s">
        <v>324</v>
      </c>
      <c r="G178" s="8" t="str">
        <f t="shared" si="2"/>
        <v>LEVERE CRAIG</v>
      </c>
    </row>
    <row r="179" spans="1:7" x14ac:dyDescent="0.25">
      <c r="A179" s="8">
        <v>42708.789664351854</v>
      </c>
      <c r="B179" s="21" t="s">
        <v>297</v>
      </c>
      <c r="C179" s="21" t="s">
        <v>616</v>
      </c>
      <c r="D179" s="165">
        <v>1810000</v>
      </c>
      <c r="E179" s="21" t="s">
        <v>403</v>
      </c>
      <c r="F179" s="21" t="s">
        <v>326</v>
      </c>
      <c r="G179" s="8" t="str">
        <f t="shared" si="2"/>
        <v>NEWELL JAMES</v>
      </c>
    </row>
    <row r="180" spans="1:7" x14ac:dyDescent="0.25">
      <c r="A180" s="8">
        <v>42708.792627314811</v>
      </c>
      <c r="B180" s="21" t="s">
        <v>184</v>
      </c>
      <c r="C180" s="21" t="s">
        <v>617</v>
      </c>
      <c r="D180" s="165">
        <v>2480000</v>
      </c>
      <c r="E180" s="21" t="s">
        <v>401</v>
      </c>
      <c r="F180" s="21" t="s">
        <v>341</v>
      </c>
      <c r="G180" s="8" t="str">
        <f t="shared" si="2"/>
        <v>WHITED DUSTIN</v>
      </c>
    </row>
    <row r="181" spans="1:7" x14ac:dyDescent="0.25">
      <c r="A181" s="8">
        <v>42708.801215277781</v>
      </c>
      <c r="B181" s="21" t="s">
        <v>249</v>
      </c>
      <c r="C181" s="21" t="s">
        <v>618</v>
      </c>
      <c r="D181" s="165">
        <v>1140000</v>
      </c>
      <c r="E181" s="21" t="s">
        <v>530</v>
      </c>
      <c r="F181" s="21" t="s">
        <v>531</v>
      </c>
      <c r="G181" s="8" t="str">
        <f t="shared" si="2"/>
        <v>YOUNG ELIZABETH</v>
      </c>
    </row>
    <row r="182" spans="1:7" x14ac:dyDescent="0.25">
      <c r="A182" s="8">
        <v>42708.806875000002</v>
      </c>
      <c r="B182" s="21" t="s">
        <v>336</v>
      </c>
      <c r="C182" s="21" t="s">
        <v>619</v>
      </c>
      <c r="D182" s="165">
        <v>1800000</v>
      </c>
      <c r="E182" s="21" t="s">
        <v>265</v>
      </c>
      <c r="F182" s="21" t="s">
        <v>390</v>
      </c>
      <c r="G182" s="8" t="str">
        <f t="shared" si="2"/>
        <v>CHANDLER KELVIN</v>
      </c>
    </row>
    <row r="183" spans="1:7" x14ac:dyDescent="0.25">
      <c r="A183" s="8">
        <v>42708.808483796296</v>
      </c>
      <c r="B183" s="21" t="s">
        <v>241</v>
      </c>
      <c r="C183" s="21" t="s">
        <v>620</v>
      </c>
      <c r="D183" s="165">
        <v>1290000</v>
      </c>
      <c r="E183" s="21" t="s">
        <v>285</v>
      </c>
      <c r="F183" s="21" t="s">
        <v>318</v>
      </c>
      <c r="G183" s="8" t="str">
        <f t="shared" si="2"/>
        <v>COOLAHAN JOHN</v>
      </c>
    </row>
    <row r="184" spans="1:7" x14ac:dyDescent="0.25">
      <c r="A184" s="8">
        <v>42708.817881944444</v>
      </c>
      <c r="B184" s="21" t="s">
        <v>302</v>
      </c>
      <c r="C184" s="21" t="s">
        <v>621</v>
      </c>
      <c r="D184" s="165">
        <v>2480000</v>
      </c>
      <c r="E184" s="21" t="s">
        <v>401</v>
      </c>
      <c r="F184" s="21" t="s">
        <v>341</v>
      </c>
      <c r="G184" s="8" t="str">
        <f t="shared" si="2"/>
        <v>WHITED DUSTIN</v>
      </c>
    </row>
    <row r="185" spans="1:7" x14ac:dyDescent="0.25">
      <c r="A185" s="8">
        <v>42708.818240740744</v>
      </c>
      <c r="B185" s="21" t="s">
        <v>220</v>
      </c>
      <c r="C185" s="21" t="s">
        <v>622</v>
      </c>
      <c r="D185" s="165">
        <v>2020000</v>
      </c>
      <c r="E185" s="21" t="s">
        <v>342</v>
      </c>
      <c r="F185" s="21" t="s">
        <v>318</v>
      </c>
      <c r="G185" s="8" t="str">
        <f t="shared" si="2"/>
        <v>SHOOK JOHN</v>
      </c>
    </row>
    <row r="186" spans="1:7" x14ac:dyDescent="0.25">
      <c r="A186" s="8">
        <v>42708.82571759259</v>
      </c>
      <c r="B186" s="21" t="s">
        <v>256</v>
      </c>
      <c r="C186" s="21" t="s">
        <v>623</v>
      </c>
      <c r="D186" s="165">
        <v>1180000</v>
      </c>
      <c r="E186" s="21" t="s">
        <v>284</v>
      </c>
      <c r="F186" s="21" t="s">
        <v>324</v>
      </c>
      <c r="G186" s="8" t="str">
        <f t="shared" si="2"/>
        <v>LEVERE CRAIG</v>
      </c>
    </row>
    <row r="187" spans="1:7" x14ac:dyDescent="0.25">
      <c r="A187" s="8">
        <v>42708.830868055556</v>
      </c>
      <c r="B187" s="21" t="s">
        <v>300</v>
      </c>
      <c r="C187" s="21" t="s">
        <v>624</v>
      </c>
      <c r="D187" s="165">
        <v>1810000</v>
      </c>
      <c r="E187" s="21" t="s">
        <v>403</v>
      </c>
      <c r="F187" s="21" t="s">
        <v>326</v>
      </c>
      <c r="G187" s="8" t="str">
        <f t="shared" si="2"/>
        <v>NEWELL JAMES</v>
      </c>
    </row>
    <row r="188" spans="1:7" x14ac:dyDescent="0.25">
      <c r="A188" s="8">
        <v>42708.832199074073</v>
      </c>
      <c r="B188" s="21" t="s">
        <v>184</v>
      </c>
      <c r="C188" s="21" t="s">
        <v>625</v>
      </c>
      <c r="D188" s="165">
        <v>2440000</v>
      </c>
      <c r="E188" s="21" t="s">
        <v>555</v>
      </c>
      <c r="F188" s="21" t="s">
        <v>556</v>
      </c>
      <c r="G188" s="8" t="str">
        <f t="shared" si="2"/>
        <v>LOPES KIMBERLY</v>
      </c>
    </row>
    <row r="189" spans="1:7" x14ac:dyDescent="0.25">
      <c r="A189" s="8">
        <v>42708.847280092596</v>
      </c>
      <c r="B189" s="21" t="s">
        <v>263</v>
      </c>
      <c r="C189" s="21" t="s">
        <v>626</v>
      </c>
      <c r="D189" s="165">
        <v>1290000</v>
      </c>
      <c r="E189" s="21" t="s">
        <v>285</v>
      </c>
      <c r="F189" s="21" t="s">
        <v>318</v>
      </c>
      <c r="G189" s="8" t="str">
        <f t="shared" si="2"/>
        <v>COOLAHAN JOHN</v>
      </c>
    </row>
    <row r="190" spans="1:7" x14ac:dyDescent="0.25">
      <c r="A190" s="8">
        <v>42708.85125</v>
      </c>
      <c r="B190" s="21" t="s">
        <v>337</v>
      </c>
      <c r="C190" s="21" t="s">
        <v>627</v>
      </c>
      <c r="D190" s="165">
        <v>1800000</v>
      </c>
      <c r="E190" s="21" t="s">
        <v>265</v>
      </c>
      <c r="F190" s="21" t="s">
        <v>390</v>
      </c>
      <c r="G190" s="8" t="str">
        <f t="shared" si="2"/>
        <v>CHANDLER KELVIN</v>
      </c>
    </row>
    <row r="191" spans="1:7" x14ac:dyDescent="0.25">
      <c r="A191" s="8">
        <v>42708.858993055554</v>
      </c>
      <c r="B191" s="21" t="s">
        <v>302</v>
      </c>
      <c r="C191" s="21" t="s">
        <v>628</v>
      </c>
      <c r="D191" s="165">
        <v>2440000</v>
      </c>
      <c r="E191" s="21" t="s">
        <v>555</v>
      </c>
      <c r="F191" s="21" t="s">
        <v>556</v>
      </c>
      <c r="G191" s="8" t="str">
        <f t="shared" si="2"/>
        <v>LOPES KIMBERLY</v>
      </c>
    </row>
    <row r="192" spans="1:7" x14ac:dyDescent="0.25">
      <c r="A192" s="8">
        <v>42708.866793981484</v>
      </c>
      <c r="B192" s="21" t="s">
        <v>255</v>
      </c>
      <c r="C192" s="21" t="s">
        <v>629</v>
      </c>
      <c r="D192" s="165">
        <v>1180000</v>
      </c>
      <c r="E192" s="21" t="s">
        <v>284</v>
      </c>
      <c r="F192" s="21" t="s">
        <v>324</v>
      </c>
      <c r="G192" s="8" t="str">
        <f t="shared" si="2"/>
        <v>LEVERE CRAIG</v>
      </c>
    </row>
    <row r="193" spans="1:7" x14ac:dyDescent="0.25">
      <c r="A193" s="8">
        <v>42708.868472222224</v>
      </c>
      <c r="B193" s="21" t="s">
        <v>297</v>
      </c>
      <c r="C193" s="21" t="s">
        <v>630</v>
      </c>
      <c r="D193" s="165">
        <v>1810000</v>
      </c>
      <c r="E193" s="21" t="s">
        <v>403</v>
      </c>
      <c r="F193" s="21" t="s">
        <v>326</v>
      </c>
      <c r="G193" s="8" t="str">
        <f t="shared" si="2"/>
        <v>NEWELL JAMES</v>
      </c>
    </row>
    <row r="194" spans="1:7" x14ac:dyDescent="0.25">
      <c r="A194" s="8">
        <v>42708.873506944445</v>
      </c>
      <c r="B194" s="21" t="s">
        <v>184</v>
      </c>
      <c r="C194" s="21" t="s">
        <v>631</v>
      </c>
      <c r="D194" s="165">
        <v>2440000</v>
      </c>
      <c r="E194" s="21" t="s">
        <v>555</v>
      </c>
      <c r="F194" s="21" t="s">
        <v>556</v>
      </c>
      <c r="G194" s="8" t="str">
        <f t="shared" si="2"/>
        <v>LOPES KIMBERLY</v>
      </c>
    </row>
    <row r="195" spans="1:7" x14ac:dyDescent="0.25">
      <c r="A195" s="8">
        <v>42708.891689814816</v>
      </c>
      <c r="B195" s="21" t="s">
        <v>336</v>
      </c>
      <c r="C195" s="21" t="s">
        <v>632</v>
      </c>
      <c r="D195" s="165">
        <v>1800000</v>
      </c>
      <c r="E195" s="21" t="s">
        <v>265</v>
      </c>
      <c r="F195" s="21" t="s">
        <v>390</v>
      </c>
      <c r="G195" s="8" t="str">
        <f t="shared" ref="G195:G258" si="3">E195&amp;" "&amp;F195</f>
        <v>CHANDLER KELVIN</v>
      </c>
    </row>
    <row r="196" spans="1:7" x14ac:dyDescent="0.25">
      <c r="A196" s="8">
        <v>42708.892118055555</v>
      </c>
      <c r="B196" s="21" t="s">
        <v>241</v>
      </c>
      <c r="C196" s="21" t="s">
        <v>633</v>
      </c>
      <c r="D196" s="165">
        <v>1290000</v>
      </c>
      <c r="E196" s="21" t="s">
        <v>285</v>
      </c>
      <c r="F196" s="21" t="s">
        <v>318</v>
      </c>
      <c r="G196" s="8" t="str">
        <f t="shared" si="3"/>
        <v>COOLAHAN JOHN</v>
      </c>
    </row>
    <row r="197" spans="1:7" x14ac:dyDescent="0.25">
      <c r="A197" s="8">
        <v>42708.901145833333</v>
      </c>
      <c r="B197" s="21" t="s">
        <v>302</v>
      </c>
      <c r="C197" s="21" t="s">
        <v>631</v>
      </c>
      <c r="D197" s="165">
        <v>2440000</v>
      </c>
      <c r="E197" s="21" t="s">
        <v>555</v>
      </c>
      <c r="F197" s="21" t="s">
        <v>556</v>
      </c>
      <c r="G197" s="8" t="str">
        <f t="shared" si="3"/>
        <v>LOPES KIMBERLY</v>
      </c>
    </row>
    <row r="198" spans="1:7" x14ac:dyDescent="0.25">
      <c r="A198" s="8">
        <v>42708.901921296296</v>
      </c>
      <c r="B198" s="21" t="s">
        <v>302</v>
      </c>
      <c r="C198" s="21" t="s">
        <v>634</v>
      </c>
      <c r="D198" s="165">
        <v>2440000</v>
      </c>
      <c r="E198" s="21" t="s">
        <v>555</v>
      </c>
      <c r="F198" s="21" t="s">
        <v>556</v>
      </c>
      <c r="G198" s="8" t="str">
        <f t="shared" si="3"/>
        <v>LOPES KIMBERLY</v>
      </c>
    </row>
    <row r="199" spans="1:7" x14ac:dyDescent="0.25">
      <c r="A199" s="8">
        <v>42708.902199074073</v>
      </c>
      <c r="B199" s="21" t="s">
        <v>300</v>
      </c>
      <c r="C199" s="21" t="s">
        <v>635</v>
      </c>
      <c r="D199" s="165">
        <v>1810000</v>
      </c>
      <c r="E199" s="21" t="s">
        <v>403</v>
      </c>
      <c r="F199" s="21" t="s">
        <v>326</v>
      </c>
      <c r="G199" s="8" t="str">
        <f t="shared" si="3"/>
        <v>NEWELL JAMES</v>
      </c>
    </row>
    <row r="200" spans="1:7" x14ac:dyDescent="0.25">
      <c r="A200" s="8">
        <v>42708.907002314816</v>
      </c>
      <c r="B200" s="21" t="s">
        <v>256</v>
      </c>
      <c r="C200" s="21" t="s">
        <v>636</v>
      </c>
      <c r="D200" s="165">
        <v>1180000</v>
      </c>
      <c r="E200" s="21" t="s">
        <v>284</v>
      </c>
      <c r="F200" s="21" t="s">
        <v>324</v>
      </c>
      <c r="G200" s="8" t="str">
        <f t="shared" si="3"/>
        <v>LEVERE CRAIG</v>
      </c>
    </row>
    <row r="201" spans="1:7" x14ac:dyDescent="0.25">
      <c r="A201" s="8">
        <v>42708.917870370373</v>
      </c>
      <c r="B201" s="21" t="s">
        <v>184</v>
      </c>
      <c r="C201" s="21" t="s">
        <v>637</v>
      </c>
      <c r="D201" s="165">
        <v>2440000</v>
      </c>
      <c r="E201" s="21" t="s">
        <v>555</v>
      </c>
      <c r="F201" s="21" t="s">
        <v>556</v>
      </c>
      <c r="G201" s="8" t="str">
        <f t="shared" si="3"/>
        <v>LOPES KIMBERLY</v>
      </c>
    </row>
    <row r="202" spans="1:7" x14ac:dyDescent="0.25">
      <c r="A202" s="27">
        <v>42708.931377314817</v>
      </c>
      <c r="B202" s="21" t="s">
        <v>263</v>
      </c>
      <c r="C202" s="21" t="s">
        <v>638</v>
      </c>
      <c r="D202" s="165">
        <v>1290000</v>
      </c>
      <c r="E202" s="21" t="s">
        <v>285</v>
      </c>
      <c r="F202" s="21" t="s">
        <v>318</v>
      </c>
      <c r="G202" s="8" t="str">
        <f t="shared" si="3"/>
        <v>COOLAHAN JOHN</v>
      </c>
    </row>
    <row r="203" spans="1:7" x14ac:dyDescent="0.25">
      <c r="A203" s="8">
        <v>42708.936307870368</v>
      </c>
      <c r="B203" s="21" t="s">
        <v>337</v>
      </c>
      <c r="C203" s="21" t="s">
        <v>457</v>
      </c>
      <c r="D203" s="165">
        <v>1800000</v>
      </c>
      <c r="E203" s="21" t="s">
        <v>265</v>
      </c>
      <c r="F203" s="21" t="s">
        <v>390</v>
      </c>
      <c r="G203" s="8" t="str">
        <f t="shared" si="3"/>
        <v>CHANDLER KELVIN</v>
      </c>
    </row>
    <row r="204" spans="1:7" x14ac:dyDescent="0.25">
      <c r="A204" s="8">
        <v>42708.941747685189</v>
      </c>
      <c r="B204" s="21" t="s">
        <v>302</v>
      </c>
      <c r="C204" s="21" t="s">
        <v>639</v>
      </c>
      <c r="D204" s="165">
        <v>2440000</v>
      </c>
      <c r="E204" s="21" t="s">
        <v>555</v>
      </c>
      <c r="F204" s="21" t="s">
        <v>556</v>
      </c>
      <c r="G204" s="8" t="str">
        <f t="shared" si="3"/>
        <v>LOPES KIMBERLY</v>
      </c>
    </row>
    <row r="205" spans="1:7" x14ac:dyDescent="0.25">
      <c r="A205" s="8">
        <v>42708.952789351853</v>
      </c>
      <c r="B205" s="21" t="s">
        <v>297</v>
      </c>
      <c r="C205" s="21" t="s">
        <v>640</v>
      </c>
      <c r="D205" s="165">
        <v>1810000</v>
      </c>
      <c r="E205" s="21" t="s">
        <v>403</v>
      </c>
      <c r="F205" s="21" t="s">
        <v>326</v>
      </c>
      <c r="G205" s="8" t="str">
        <f t="shared" si="3"/>
        <v>NEWELL JAMES</v>
      </c>
    </row>
    <row r="206" spans="1:7" x14ac:dyDescent="0.25">
      <c r="A206" s="8">
        <v>42708.952905092592</v>
      </c>
      <c r="B206" s="21" t="s">
        <v>255</v>
      </c>
      <c r="C206" s="21" t="s">
        <v>641</v>
      </c>
      <c r="D206" s="165">
        <v>1180000</v>
      </c>
      <c r="E206" s="21" t="s">
        <v>284</v>
      </c>
      <c r="F206" s="21" t="s">
        <v>324</v>
      </c>
      <c r="G206" s="8" t="str">
        <f t="shared" si="3"/>
        <v>LEVERE CRAIG</v>
      </c>
    </row>
    <row r="207" spans="1:7" x14ac:dyDescent="0.25">
      <c r="A207" s="8">
        <v>42708.953506944446</v>
      </c>
      <c r="B207" s="21" t="s">
        <v>337</v>
      </c>
      <c r="C207" s="21" t="s">
        <v>457</v>
      </c>
      <c r="D207" s="165">
        <v>1800000</v>
      </c>
      <c r="E207" s="21" t="s">
        <v>265</v>
      </c>
      <c r="F207" s="21" t="s">
        <v>390</v>
      </c>
      <c r="G207" s="8" t="str">
        <f t="shared" si="3"/>
        <v>CHANDLER KELVIN</v>
      </c>
    </row>
    <row r="208" spans="1:7" x14ac:dyDescent="0.25">
      <c r="A208" s="8">
        <v>42708.974212962959</v>
      </c>
      <c r="B208" s="21" t="s">
        <v>336</v>
      </c>
      <c r="C208" s="21" t="s">
        <v>642</v>
      </c>
      <c r="D208" s="165">
        <v>1800000</v>
      </c>
      <c r="E208" s="21" t="s">
        <v>265</v>
      </c>
      <c r="F208" s="21" t="s">
        <v>390</v>
      </c>
      <c r="G208" s="8" t="str">
        <f t="shared" si="3"/>
        <v>CHANDLER KELVIN</v>
      </c>
    </row>
    <row r="209" spans="1:7" x14ac:dyDescent="0.25">
      <c r="A209" s="8">
        <v>42708.97550925926</v>
      </c>
      <c r="B209" s="21" t="s">
        <v>241</v>
      </c>
      <c r="C209" s="21" t="s">
        <v>643</v>
      </c>
      <c r="D209" s="165">
        <v>1290000</v>
      </c>
      <c r="E209" s="21" t="s">
        <v>285</v>
      </c>
      <c r="F209" s="21" t="s">
        <v>318</v>
      </c>
      <c r="G209" s="8" t="str">
        <f t="shared" si="3"/>
        <v>COOLAHAN JOHN</v>
      </c>
    </row>
    <row r="210" spans="1:7" x14ac:dyDescent="0.25">
      <c r="A210" s="8">
        <v>42708.984652777777</v>
      </c>
      <c r="B210" s="21" t="s">
        <v>300</v>
      </c>
      <c r="C210" s="21" t="s">
        <v>644</v>
      </c>
      <c r="D210" s="165">
        <v>1810000</v>
      </c>
      <c r="E210" s="21" t="s">
        <v>403</v>
      </c>
      <c r="F210" s="21" t="s">
        <v>326</v>
      </c>
      <c r="G210" s="8" t="str">
        <f t="shared" si="3"/>
        <v>NEWELL JAMES</v>
      </c>
    </row>
    <row r="211" spans="1:7" x14ac:dyDescent="0.25">
      <c r="A211" s="8">
        <v>42708.990949074076</v>
      </c>
      <c r="B211" s="21" t="s">
        <v>256</v>
      </c>
      <c r="C211" s="21" t="s">
        <v>645</v>
      </c>
      <c r="D211" s="165">
        <v>1180000</v>
      </c>
      <c r="E211" s="21" t="s">
        <v>284</v>
      </c>
      <c r="F211" s="21" t="s">
        <v>324</v>
      </c>
      <c r="G211" s="8" t="str">
        <f t="shared" si="3"/>
        <v>LEVERE CRAIG</v>
      </c>
    </row>
    <row r="212" spans="1:7" x14ac:dyDescent="0.25">
      <c r="A212" s="8">
        <v>42709.014687499999</v>
      </c>
      <c r="B212" s="21" t="s">
        <v>263</v>
      </c>
      <c r="C212" s="21" t="s">
        <v>646</v>
      </c>
      <c r="D212" s="165">
        <v>1290000</v>
      </c>
      <c r="E212" s="21" t="s">
        <v>285</v>
      </c>
      <c r="F212" s="21" t="s">
        <v>318</v>
      </c>
      <c r="G212" s="8" t="str">
        <f t="shared" si="3"/>
        <v>COOLAHAN JOHN</v>
      </c>
    </row>
    <row r="213" spans="1:7" x14ac:dyDescent="0.25">
      <c r="A213" s="8">
        <v>42709.019861111112</v>
      </c>
      <c r="B213" s="21" t="s">
        <v>337</v>
      </c>
      <c r="C213" s="21" t="s">
        <v>647</v>
      </c>
      <c r="D213" s="165">
        <v>1800000</v>
      </c>
      <c r="E213" s="21" t="s">
        <v>265</v>
      </c>
      <c r="F213" s="21" t="s">
        <v>390</v>
      </c>
      <c r="G213" s="8" t="str">
        <f t="shared" si="3"/>
        <v>CHANDLER KELVIN</v>
      </c>
    </row>
    <row r="214" spans="1:7" x14ac:dyDescent="0.25">
      <c r="A214" s="8">
        <v>42709.02747685185</v>
      </c>
      <c r="B214" s="21" t="s">
        <v>255</v>
      </c>
      <c r="C214" s="21" t="s">
        <v>648</v>
      </c>
      <c r="D214" s="165">
        <v>1180000</v>
      </c>
      <c r="E214" s="21" t="s">
        <v>284</v>
      </c>
      <c r="F214" s="21" t="s">
        <v>324</v>
      </c>
      <c r="G214" s="8" t="str">
        <f t="shared" si="3"/>
        <v>LEVERE CRAIG</v>
      </c>
    </row>
    <row r="215" spans="1:7" x14ac:dyDescent="0.25">
      <c r="A215" s="8">
        <v>42709.037094907406</v>
      </c>
      <c r="B215" s="21" t="s">
        <v>297</v>
      </c>
      <c r="C215" s="21" t="s">
        <v>649</v>
      </c>
      <c r="D215" s="165">
        <v>1810000</v>
      </c>
      <c r="E215" s="21" t="s">
        <v>403</v>
      </c>
      <c r="F215" s="21" t="s">
        <v>326</v>
      </c>
      <c r="G215" s="8" t="str">
        <f t="shared" si="3"/>
        <v>NEWELL JAMES</v>
      </c>
    </row>
    <row r="216" spans="1:7" x14ac:dyDescent="0.25">
      <c r="A216" s="8">
        <v>42709.047407407408</v>
      </c>
      <c r="B216" s="21" t="s">
        <v>241</v>
      </c>
      <c r="C216" s="21" t="s">
        <v>650</v>
      </c>
      <c r="D216" s="165">
        <v>1290000</v>
      </c>
      <c r="E216" s="21" t="s">
        <v>285</v>
      </c>
      <c r="F216" s="21" t="s">
        <v>318</v>
      </c>
      <c r="G216" s="8" t="str">
        <f t="shared" si="3"/>
        <v>COOLAHAN JOHN</v>
      </c>
    </row>
    <row r="217" spans="1:7" x14ac:dyDescent="0.25">
      <c r="A217" s="8">
        <v>42709.049317129633</v>
      </c>
      <c r="B217" s="21" t="s">
        <v>297</v>
      </c>
      <c r="C217" s="21" t="s">
        <v>649</v>
      </c>
      <c r="D217" s="165">
        <v>1810000</v>
      </c>
      <c r="E217" s="21" t="s">
        <v>403</v>
      </c>
      <c r="F217" s="21" t="s">
        <v>326</v>
      </c>
      <c r="G217" s="8" t="str">
        <f t="shared" si="3"/>
        <v>NEWELL JAMES</v>
      </c>
    </row>
    <row r="218" spans="1:7" x14ac:dyDescent="0.25">
      <c r="A218" s="8">
        <v>42709.057280092595</v>
      </c>
      <c r="B218" s="21" t="s">
        <v>336</v>
      </c>
      <c r="C218" s="21" t="s">
        <v>651</v>
      </c>
      <c r="D218" s="165">
        <v>1800000</v>
      </c>
      <c r="E218" s="21" t="s">
        <v>265</v>
      </c>
      <c r="F218" s="21" t="s">
        <v>390</v>
      </c>
      <c r="G218" s="8" t="str">
        <f t="shared" si="3"/>
        <v>CHANDLER KELVIN</v>
      </c>
    </row>
    <row r="219" spans="1:7" x14ac:dyDescent="0.25">
      <c r="A219" s="8">
        <v>42709.070069444446</v>
      </c>
      <c r="B219" s="21" t="s">
        <v>300</v>
      </c>
      <c r="C219" s="21" t="s">
        <v>652</v>
      </c>
      <c r="D219" s="165">
        <v>1810000</v>
      </c>
      <c r="E219" s="21" t="s">
        <v>403</v>
      </c>
      <c r="F219" s="21" t="s">
        <v>326</v>
      </c>
      <c r="G219" s="8" t="str">
        <f t="shared" si="3"/>
        <v>NEWELL JAMES</v>
      </c>
    </row>
    <row r="220" spans="1:7" x14ac:dyDescent="0.25">
      <c r="A220" s="8">
        <v>42709.089872685188</v>
      </c>
      <c r="B220" s="21" t="s">
        <v>337</v>
      </c>
      <c r="C220" s="21" t="s">
        <v>653</v>
      </c>
      <c r="D220" s="165">
        <v>1800000</v>
      </c>
      <c r="E220" s="21" t="s">
        <v>265</v>
      </c>
      <c r="F220" s="21" t="s">
        <v>390</v>
      </c>
      <c r="G220" s="8" t="str">
        <f t="shared" si="3"/>
        <v>CHANDLER KELVIN</v>
      </c>
    </row>
    <row r="221" spans="1:7" x14ac:dyDescent="0.25">
      <c r="A221" s="8">
        <v>42708.089722222219</v>
      </c>
      <c r="B221" s="21" t="s">
        <v>207</v>
      </c>
      <c r="C221" s="21" t="s">
        <v>410</v>
      </c>
      <c r="D221" s="165">
        <v>2000000</v>
      </c>
      <c r="E221" s="21" t="s">
        <v>213</v>
      </c>
      <c r="F221" s="21" t="s">
        <v>326</v>
      </c>
      <c r="G221" s="8" t="str">
        <f t="shared" si="3"/>
        <v>STAMBAUGH JAMES</v>
      </c>
    </row>
    <row r="222" spans="1:7" x14ac:dyDescent="0.25">
      <c r="A222" s="8">
        <v>42708.109305555554</v>
      </c>
      <c r="B222" s="21" t="s">
        <v>282</v>
      </c>
      <c r="C222" s="21" t="s">
        <v>411</v>
      </c>
      <c r="D222" s="165">
        <v>1300000</v>
      </c>
      <c r="E222" s="21" t="s">
        <v>113</v>
      </c>
      <c r="F222" s="21" t="s">
        <v>325</v>
      </c>
      <c r="G222" s="8" t="str">
        <f t="shared" si="3"/>
        <v>LEVIN SCOTT</v>
      </c>
    </row>
    <row r="223" spans="1:7" x14ac:dyDescent="0.25">
      <c r="A223" s="8">
        <v>42708.110219907408</v>
      </c>
      <c r="B223" s="21" t="s">
        <v>282</v>
      </c>
      <c r="C223" s="21" t="s">
        <v>411</v>
      </c>
      <c r="D223" s="165">
        <v>1300000</v>
      </c>
      <c r="E223" s="21" t="s">
        <v>113</v>
      </c>
      <c r="F223" s="21" t="s">
        <v>325</v>
      </c>
      <c r="G223" s="8" t="str">
        <f t="shared" si="3"/>
        <v>LEVIN SCOTT</v>
      </c>
    </row>
    <row r="224" spans="1:7" x14ac:dyDescent="0.25">
      <c r="A224" s="8">
        <v>42705.858946759261</v>
      </c>
      <c r="B224" t="s">
        <v>256</v>
      </c>
      <c r="C224" t="s">
        <v>347</v>
      </c>
      <c r="D224" s="165">
        <v>2600000</v>
      </c>
      <c r="E224" t="s">
        <v>251</v>
      </c>
      <c r="F224" s="21" t="s">
        <v>322</v>
      </c>
      <c r="G224" s="8" t="str">
        <f t="shared" si="3"/>
        <v>DAVIDSON DAVID</v>
      </c>
    </row>
    <row r="225" spans="1:7" x14ac:dyDescent="0.25">
      <c r="A225" s="8">
        <v>42705.868333333332</v>
      </c>
      <c r="B225" t="s">
        <v>263</v>
      </c>
      <c r="C225" t="s">
        <v>348</v>
      </c>
      <c r="D225" s="165">
        <v>1300000</v>
      </c>
      <c r="E225" t="s">
        <v>113</v>
      </c>
      <c r="F225" s="21" t="s">
        <v>325</v>
      </c>
      <c r="G225" s="8" t="str">
        <f t="shared" si="3"/>
        <v>LEVIN SCOTT</v>
      </c>
    </row>
    <row r="226" spans="1:7" x14ac:dyDescent="0.25">
      <c r="A226" s="8">
        <v>42705.872083333335</v>
      </c>
      <c r="B226" t="s">
        <v>344</v>
      </c>
      <c r="C226" t="s">
        <v>349</v>
      </c>
      <c r="D226" s="165">
        <v>1180000</v>
      </c>
      <c r="E226" t="s">
        <v>284</v>
      </c>
      <c r="F226" s="21" t="s">
        <v>324</v>
      </c>
      <c r="G226" s="8" t="str">
        <f t="shared" si="3"/>
        <v>LEVERE CRAIG</v>
      </c>
    </row>
    <row r="227" spans="1:7" x14ac:dyDescent="0.25">
      <c r="A227" s="8">
        <v>42705.872442129628</v>
      </c>
      <c r="B227" t="s">
        <v>255</v>
      </c>
      <c r="C227" t="s">
        <v>350</v>
      </c>
      <c r="D227" s="165">
        <v>1230000</v>
      </c>
      <c r="E227" t="s">
        <v>290</v>
      </c>
      <c r="F227" s="21" t="s">
        <v>319</v>
      </c>
      <c r="G227" s="8" t="str">
        <f t="shared" si="3"/>
        <v>YANAI IAN</v>
      </c>
    </row>
    <row r="228" spans="1:7" x14ac:dyDescent="0.25">
      <c r="A228" s="8">
        <v>42705.888680555552</v>
      </c>
      <c r="B228" t="s">
        <v>258</v>
      </c>
      <c r="C228" t="s">
        <v>351</v>
      </c>
      <c r="D228" s="165">
        <v>2000000</v>
      </c>
      <c r="E228" t="s">
        <v>213</v>
      </c>
      <c r="F228" s="21" t="s">
        <v>326</v>
      </c>
      <c r="G228" s="8" t="str">
        <f t="shared" si="3"/>
        <v>STAMBAUGH JAMES</v>
      </c>
    </row>
    <row r="229" spans="1:7" x14ac:dyDescent="0.25">
      <c r="A229" s="8">
        <v>42705.893194444441</v>
      </c>
      <c r="B229" t="s">
        <v>220</v>
      </c>
      <c r="C229" t="s">
        <v>352</v>
      </c>
      <c r="D229" s="165">
        <v>1290000</v>
      </c>
      <c r="E229" t="s">
        <v>285</v>
      </c>
      <c r="F229" s="21" t="s">
        <v>318</v>
      </c>
      <c r="G229" s="8" t="str">
        <f t="shared" si="3"/>
        <v>COOLAHAN JOHN</v>
      </c>
    </row>
    <row r="230" spans="1:7" x14ac:dyDescent="0.25">
      <c r="A230" s="8">
        <v>42705.901932870373</v>
      </c>
      <c r="B230" t="s">
        <v>256</v>
      </c>
      <c r="C230" t="s">
        <v>353</v>
      </c>
      <c r="D230" s="165">
        <v>1230000</v>
      </c>
      <c r="E230" t="s">
        <v>290</v>
      </c>
      <c r="F230" s="21" t="s">
        <v>319</v>
      </c>
      <c r="G230" s="8" t="str">
        <f t="shared" si="3"/>
        <v>YANAI IAN</v>
      </c>
    </row>
    <row r="231" spans="1:7" x14ac:dyDescent="0.25">
      <c r="A231" s="8">
        <v>42705.906342592592</v>
      </c>
      <c r="B231" t="s">
        <v>329</v>
      </c>
      <c r="C231" t="s">
        <v>354</v>
      </c>
      <c r="D231" s="165">
        <v>1180000</v>
      </c>
      <c r="E231" t="s">
        <v>284</v>
      </c>
      <c r="F231" s="21" t="s">
        <v>324</v>
      </c>
      <c r="G231" s="8" t="str">
        <f t="shared" si="3"/>
        <v>LEVERE CRAIG</v>
      </c>
    </row>
    <row r="232" spans="1:7" x14ac:dyDescent="0.25">
      <c r="A232" s="8">
        <v>42705.910381944443</v>
      </c>
      <c r="B232" t="s">
        <v>241</v>
      </c>
      <c r="C232" t="s">
        <v>355</v>
      </c>
      <c r="D232" s="165">
        <v>1300000</v>
      </c>
      <c r="E232" t="s">
        <v>113</v>
      </c>
      <c r="F232" s="21" t="s">
        <v>325</v>
      </c>
      <c r="G232" s="8" t="str">
        <f t="shared" si="3"/>
        <v>LEVIN SCOTT</v>
      </c>
    </row>
    <row r="233" spans="1:7" x14ac:dyDescent="0.25">
      <c r="A233" s="8">
        <v>42705.914166666669</v>
      </c>
      <c r="B233" t="s">
        <v>255</v>
      </c>
      <c r="C233" t="s">
        <v>356</v>
      </c>
      <c r="D233" s="165">
        <v>1230000</v>
      </c>
      <c r="E233" t="s">
        <v>290</v>
      </c>
      <c r="F233" s="21" t="s">
        <v>319</v>
      </c>
      <c r="G233" s="8" t="str">
        <f t="shared" si="3"/>
        <v>YANAI IAN</v>
      </c>
    </row>
    <row r="234" spans="1:7" x14ac:dyDescent="0.25">
      <c r="A234" s="8">
        <v>42705.921944444446</v>
      </c>
      <c r="B234" t="s">
        <v>183</v>
      </c>
      <c r="C234" t="s">
        <v>357</v>
      </c>
      <c r="D234" s="165">
        <v>2000000</v>
      </c>
      <c r="E234" t="s">
        <v>213</v>
      </c>
      <c r="F234" s="21" t="s">
        <v>326</v>
      </c>
      <c r="G234" s="8" t="str">
        <f t="shared" si="3"/>
        <v>STAMBAUGH JAMES</v>
      </c>
    </row>
    <row r="235" spans="1:7" x14ac:dyDescent="0.25">
      <c r="A235" s="8">
        <v>42705.929074074076</v>
      </c>
      <c r="B235" t="s">
        <v>221</v>
      </c>
      <c r="C235" t="s">
        <v>358</v>
      </c>
      <c r="D235" s="165">
        <v>1290000</v>
      </c>
      <c r="E235" t="s">
        <v>285</v>
      </c>
      <c r="F235" s="21" t="s">
        <v>318</v>
      </c>
      <c r="G235" s="8" t="str">
        <f t="shared" si="3"/>
        <v>COOLAHAN JOHN</v>
      </c>
    </row>
    <row r="236" spans="1:7" x14ac:dyDescent="0.25">
      <c r="A236" s="8">
        <v>42705.941400462965</v>
      </c>
      <c r="B236" t="s">
        <v>256</v>
      </c>
      <c r="C236" t="s">
        <v>359</v>
      </c>
      <c r="D236" s="165">
        <v>1230000</v>
      </c>
      <c r="E236" t="s">
        <v>290</v>
      </c>
      <c r="F236" s="21" t="s">
        <v>319</v>
      </c>
      <c r="G236" s="8" t="str">
        <f t="shared" si="3"/>
        <v>YANAI IAN</v>
      </c>
    </row>
    <row r="237" spans="1:7" x14ac:dyDescent="0.25">
      <c r="A237" s="8">
        <v>42705.951643518521</v>
      </c>
      <c r="B237" t="s">
        <v>344</v>
      </c>
      <c r="C237" t="s">
        <v>360</v>
      </c>
      <c r="D237" s="165">
        <v>1180000</v>
      </c>
      <c r="E237" t="s">
        <v>284</v>
      </c>
      <c r="F237" s="21" t="s">
        <v>324</v>
      </c>
      <c r="G237" s="8" t="str">
        <f t="shared" si="3"/>
        <v>LEVERE CRAIG</v>
      </c>
    </row>
    <row r="238" spans="1:7" x14ac:dyDescent="0.25">
      <c r="A238" s="8">
        <v>42705.952060185184</v>
      </c>
      <c r="B238" t="s">
        <v>263</v>
      </c>
      <c r="C238" t="s">
        <v>361</v>
      </c>
      <c r="D238" s="165">
        <v>1300000</v>
      </c>
      <c r="E238" t="s">
        <v>113</v>
      </c>
      <c r="F238" s="21" t="s">
        <v>325</v>
      </c>
      <c r="G238" s="8" t="str">
        <f t="shared" si="3"/>
        <v>LEVIN SCOTT</v>
      </c>
    </row>
    <row r="239" spans="1:7" x14ac:dyDescent="0.25">
      <c r="A239" s="8">
        <v>42705.97446759259</v>
      </c>
      <c r="B239" t="s">
        <v>258</v>
      </c>
      <c r="C239" t="s">
        <v>362</v>
      </c>
      <c r="D239" s="165">
        <v>2000000</v>
      </c>
      <c r="E239" t="s">
        <v>213</v>
      </c>
      <c r="F239" s="21" t="s">
        <v>326</v>
      </c>
      <c r="G239" s="8" t="str">
        <f t="shared" si="3"/>
        <v>STAMBAUGH JAMES</v>
      </c>
    </row>
    <row r="240" spans="1:7" x14ac:dyDescent="0.25">
      <c r="A240" s="8">
        <v>42705.976018518515</v>
      </c>
      <c r="B240" t="s">
        <v>220</v>
      </c>
      <c r="C240" t="s">
        <v>363</v>
      </c>
      <c r="D240" s="165">
        <v>1290000</v>
      </c>
      <c r="E240" t="s">
        <v>285</v>
      </c>
      <c r="F240" s="21" t="s">
        <v>318</v>
      </c>
      <c r="G240" s="8" t="str">
        <f t="shared" si="3"/>
        <v>COOLAHAN JOHN</v>
      </c>
    </row>
    <row r="241" spans="1:7" x14ac:dyDescent="0.25">
      <c r="A241" s="8">
        <v>42705.993807870371</v>
      </c>
      <c r="B241" t="s">
        <v>329</v>
      </c>
      <c r="C241" t="s">
        <v>364</v>
      </c>
      <c r="D241" s="165">
        <v>1180000</v>
      </c>
      <c r="E241" t="s">
        <v>284</v>
      </c>
      <c r="F241" s="21" t="s">
        <v>324</v>
      </c>
      <c r="G241" s="8" t="str">
        <f t="shared" si="3"/>
        <v>LEVERE CRAIG</v>
      </c>
    </row>
    <row r="242" spans="1:7" x14ac:dyDescent="0.25">
      <c r="A242" s="8">
        <v>42705.99627314815</v>
      </c>
      <c r="B242" t="s">
        <v>241</v>
      </c>
      <c r="C242" t="s">
        <v>365</v>
      </c>
      <c r="D242" s="165">
        <v>1300000</v>
      </c>
      <c r="E242" t="s">
        <v>113</v>
      </c>
      <c r="F242" s="21" t="s">
        <v>325</v>
      </c>
      <c r="G242" s="8" t="str">
        <f t="shared" si="3"/>
        <v>LEVIN SCOTT</v>
      </c>
    </row>
    <row r="243" spans="1:7" x14ac:dyDescent="0.25">
      <c r="A243" s="8">
        <v>42706.004305555558</v>
      </c>
      <c r="B243" t="s">
        <v>183</v>
      </c>
      <c r="C243" t="s">
        <v>366</v>
      </c>
      <c r="D243" s="165">
        <v>2000000</v>
      </c>
      <c r="E243" t="s">
        <v>213</v>
      </c>
      <c r="F243" s="21" t="s">
        <v>326</v>
      </c>
      <c r="G243" s="8" t="str">
        <f t="shared" si="3"/>
        <v>STAMBAUGH JAMES</v>
      </c>
    </row>
    <row r="244" spans="1:7" x14ac:dyDescent="0.25">
      <c r="A244" s="8">
        <v>42706.00990740741</v>
      </c>
      <c r="B244" t="s">
        <v>221</v>
      </c>
      <c r="C244" t="s">
        <v>331</v>
      </c>
      <c r="D244" s="165">
        <v>1290000</v>
      </c>
      <c r="E244" t="s">
        <v>285</v>
      </c>
      <c r="F244" s="21" t="s">
        <v>318</v>
      </c>
      <c r="G244" s="8" t="str">
        <f t="shared" si="3"/>
        <v>COOLAHAN JOHN</v>
      </c>
    </row>
    <row r="245" spans="1:7" x14ac:dyDescent="0.25">
      <c r="A245" s="8">
        <v>42706.026990740742</v>
      </c>
      <c r="B245" t="s">
        <v>344</v>
      </c>
      <c r="C245" t="s">
        <v>367</v>
      </c>
      <c r="D245" s="165">
        <v>1180000</v>
      </c>
      <c r="E245" t="s">
        <v>284</v>
      </c>
      <c r="F245" s="21" t="s">
        <v>324</v>
      </c>
      <c r="G245" s="8" t="str">
        <f t="shared" si="3"/>
        <v>LEVERE CRAIG</v>
      </c>
    </row>
    <row r="246" spans="1:7" x14ac:dyDescent="0.25">
      <c r="A246" s="8">
        <v>42706.035787037035</v>
      </c>
      <c r="B246" t="s">
        <v>263</v>
      </c>
      <c r="C246" t="s">
        <v>330</v>
      </c>
      <c r="D246" s="165">
        <v>1300000</v>
      </c>
      <c r="E246" t="s">
        <v>113</v>
      </c>
      <c r="F246" s="21" t="s">
        <v>325</v>
      </c>
      <c r="G246" s="8" t="str">
        <f t="shared" si="3"/>
        <v>LEVIN SCOTT</v>
      </c>
    </row>
    <row r="247" spans="1:7" x14ac:dyDescent="0.25">
      <c r="A247" s="8">
        <v>42706.04965277778</v>
      </c>
      <c r="B247" t="s">
        <v>300</v>
      </c>
      <c r="C247" t="s">
        <v>368</v>
      </c>
      <c r="D247" s="165">
        <v>1290000</v>
      </c>
      <c r="E247" t="s">
        <v>285</v>
      </c>
      <c r="F247" s="21" t="s">
        <v>318</v>
      </c>
      <c r="G247" s="8" t="str">
        <f t="shared" si="3"/>
        <v>COOLAHAN JOHN</v>
      </c>
    </row>
    <row r="248" spans="1:7" x14ac:dyDescent="0.25">
      <c r="A248" s="8">
        <v>42706.05704861111</v>
      </c>
      <c r="B248" t="s">
        <v>258</v>
      </c>
      <c r="C248" t="s">
        <v>369</v>
      </c>
      <c r="D248" s="165">
        <v>2000000</v>
      </c>
      <c r="E248" t="s">
        <v>213</v>
      </c>
      <c r="F248" s="21" t="s">
        <v>326</v>
      </c>
      <c r="G248" s="8" t="str">
        <f t="shared" si="3"/>
        <v>STAMBAUGH JAMES</v>
      </c>
    </row>
    <row r="249" spans="1:7" x14ac:dyDescent="0.25">
      <c r="A249" s="8">
        <v>42706.06658564815</v>
      </c>
      <c r="B249" t="s">
        <v>241</v>
      </c>
      <c r="C249" t="s">
        <v>370</v>
      </c>
      <c r="D249" s="165">
        <v>1300000</v>
      </c>
      <c r="E249" t="s">
        <v>113</v>
      </c>
      <c r="F249" s="21" t="s">
        <v>325</v>
      </c>
      <c r="G249" s="8" t="str">
        <f t="shared" si="3"/>
        <v>LEVIN SCOTT</v>
      </c>
    </row>
    <row r="250" spans="1:7" x14ac:dyDescent="0.25">
      <c r="A250" s="8">
        <v>42700.022650462961</v>
      </c>
      <c r="B250" t="s">
        <v>154</v>
      </c>
      <c r="C250" t="s">
        <v>267</v>
      </c>
      <c r="D250" s="165">
        <v>2530000</v>
      </c>
      <c r="E250" t="s">
        <v>266</v>
      </c>
      <c r="F250" s="21" t="str">
        <f t="shared" ref="F250:F265" si="4">B250</f>
        <v>rtdc.l.rtdc.4051:itc</v>
      </c>
      <c r="G250" s="8" t="str">
        <f t="shared" si="3"/>
        <v>LALONDE rtdc.l.rtdc.4051:itc</v>
      </c>
    </row>
    <row r="251" spans="1:7" x14ac:dyDescent="0.25">
      <c r="A251" s="8">
        <v>42700.032500000001</v>
      </c>
      <c r="B251" t="s">
        <v>233</v>
      </c>
      <c r="C251" t="s">
        <v>264</v>
      </c>
      <c r="D251" s="165">
        <v>1800000</v>
      </c>
      <c r="E251" t="s">
        <v>265</v>
      </c>
      <c r="F251" s="21" t="str">
        <f t="shared" si="4"/>
        <v>rtdc.l.rtdc.4013:itc</v>
      </c>
      <c r="G251" s="8" t="str">
        <f t="shared" si="3"/>
        <v>CHANDLER rtdc.l.rtdc.4013:itc</v>
      </c>
    </row>
    <row r="252" spans="1:7" x14ac:dyDescent="0.25">
      <c r="A252" s="8">
        <v>42700.037488425929</v>
      </c>
      <c r="B252" t="s">
        <v>209</v>
      </c>
      <c r="C252" t="s">
        <v>269</v>
      </c>
      <c r="D252" s="165">
        <v>2600000</v>
      </c>
      <c r="E252" t="s">
        <v>251</v>
      </c>
      <c r="F252" s="21" t="str">
        <f t="shared" si="4"/>
        <v>rtdc.l.rtdc.4040:itc</v>
      </c>
      <c r="G252" s="8" t="str">
        <f t="shared" si="3"/>
        <v>DAVIDSON rtdc.l.rtdc.4040:itc</v>
      </c>
    </row>
    <row r="253" spans="1:7" x14ac:dyDescent="0.25">
      <c r="A253" s="8">
        <v>42700.045208333337</v>
      </c>
      <c r="B253" t="s">
        <v>155</v>
      </c>
      <c r="C253" t="s">
        <v>268</v>
      </c>
      <c r="D253" s="165">
        <v>2530000</v>
      </c>
      <c r="E253" t="s">
        <v>266</v>
      </c>
      <c r="F253" s="21" t="str">
        <f t="shared" si="4"/>
        <v>rtdc.l.rtdc.4052:itc</v>
      </c>
      <c r="G253" s="8" t="str">
        <f t="shared" si="3"/>
        <v>LALONDE rtdc.l.rtdc.4052:itc</v>
      </c>
    </row>
    <row r="254" spans="1:7" x14ac:dyDescent="0.25">
      <c r="A254" s="8">
        <v>42700.045347222222</v>
      </c>
      <c r="B254" t="s">
        <v>243</v>
      </c>
      <c r="C254" t="s">
        <v>270</v>
      </c>
      <c r="D254" s="165">
        <v>2630000</v>
      </c>
      <c r="E254" t="s">
        <v>252</v>
      </c>
      <c r="F254" s="21" t="str">
        <f t="shared" si="4"/>
        <v>rtdc.l.rtdc.4046:itc</v>
      </c>
      <c r="G254" s="8" t="str">
        <f t="shared" si="3"/>
        <v>SAFIEF rtdc.l.rtdc.4046:itc</v>
      </c>
    </row>
    <row r="255" spans="1:7" x14ac:dyDescent="0.25">
      <c r="A255" s="8">
        <v>42700.053495370368</v>
      </c>
      <c r="B255" t="s">
        <v>250</v>
      </c>
      <c r="C255" t="s">
        <v>271</v>
      </c>
      <c r="D255" s="165">
        <v>2000000</v>
      </c>
      <c r="E255" t="s">
        <v>213</v>
      </c>
      <c r="F255" s="21" t="str">
        <f t="shared" si="4"/>
        <v>rtdc.l.rtdc.4041:itc</v>
      </c>
      <c r="G255" s="8" t="str">
        <f t="shared" si="3"/>
        <v>STAMBAUGH rtdc.l.rtdc.4041:itc</v>
      </c>
    </row>
    <row r="256" spans="1:7" x14ac:dyDescent="0.25">
      <c r="A256" s="8">
        <v>42700.064895833333</v>
      </c>
      <c r="B256" t="s">
        <v>154</v>
      </c>
      <c r="C256" t="s">
        <v>267</v>
      </c>
      <c r="D256" s="165">
        <v>2530000</v>
      </c>
      <c r="E256" t="s">
        <v>266</v>
      </c>
      <c r="F256" s="21" t="str">
        <f t="shared" si="4"/>
        <v>rtdc.l.rtdc.4051:itc</v>
      </c>
      <c r="G256" s="8" t="str">
        <f t="shared" si="3"/>
        <v>LALONDE rtdc.l.rtdc.4051:itc</v>
      </c>
    </row>
    <row r="257" spans="1:7" x14ac:dyDescent="0.25">
      <c r="A257" s="8">
        <v>42700.072881944441</v>
      </c>
      <c r="B257" t="s">
        <v>232</v>
      </c>
      <c r="C257" t="s">
        <v>272</v>
      </c>
      <c r="D257" s="165">
        <v>1800000</v>
      </c>
      <c r="E257" t="s">
        <v>265</v>
      </c>
      <c r="F257" s="21" t="str">
        <f t="shared" si="4"/>
        <v>rtdc.l.rtdc.4014:itc</v>
      </c>
      <c r="G257" s="8" t="str">
        <f t="shared" si="3"/>
        <v>CHANDLER rtdc.l.rtdc.4014:itc</v>
      </c>
    </row>
    <row r="258" spans="1:7" x14ac:dyDescent="0.25">
      <c r="A258" s="8">
        <v>42700.07576388889</v>
      </c>
      <c r="B258" t="s">
        <v>211</v>
      </c>
      <c r="C258" t="s">
        <v>273</v>
      </c>
      <c r="D258" s="165">
        <v>2600000</v>
      </c>
      <c r="E258" t="s">
        <v>251</v>
      </c>
      <c r="F258" s="21" t="str">
        <f t="shared" si="4"/>
        <v>rtdc.l.rtdc.4039:itc</v>
      </c>
      <c r="G258" s="8" t="str">
        <f t="shared" si="3"/>
        <v>DAVIDSON rtdc.l.rtdc.4039:itc</v>
      </c>
    </row>
    <row r="259" spans="1:7" x14ac:dyDescent="0.25">
      <c r="A259" s="8">
        <v>42700.083275462966</v>
      </c>
      <c r="B259" t="s">
        <v>155</v>
      </c>
      <c r="C259" t="s">
        <v>268</v>
      </c>
      <c r="D259" s="165">
        <v>2530000</v>
      </c>
      <c r="E259" t="s">
        <v>266</v>
      </c>
      <c r="F259" s="21" t="str">
        <f t="shared" si="4"/>
        <v>rtdc.l.rtdc.4052:itc</v>
      </c>
      <c r="G259" s="8" t="str">
        <f t="shared" ref="G259:G322" si="5">E259&amp;" "&amp;F259</f>
        <v>LALONDE rtdc.l.rtdc.4052:itc</v>
      </c>
    </row>
    <row r="260" spans="1:7" x14ac:dyDescent="0.25">
      <c r="A260" s="8">
        <v>42700.08734953704</v>
      </c>
      <c r="B260" t="s">
        <v>249</v>
      </c>
      <c r="C260" t="s">
        <v>274</v>
      </c>
      <c r="D260" s="165">
        <v>2000000</v>
      </c>
      <c r="E260" t="s">
        <v>213</v>
      </c>
      <c r="F260" s="21" t="str">
        <f t="shared" si="4"/>
        <v>rtdc.l.rtdc.4042:itc</v>
      </c>
      <c r="G260" s="8" t="str">
        <f t="shared" si="5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267</v>
      </c>
      <c r="D261" s="165">
        <v>2530000</v>
      </c>
      <c r="E261" t="s">
        <v>266</v>
      </c>
      <c r="F261" s="21" t="str">
        <f t="shared" si="4"/>
        <v>rtdc.l.rtdc.4051:itc</v>
      </c>
      <c r="G261" s="8" t="str">
        <f t="shared" si="5"/>
        <v>LALONDE rtdc.l.rtdc.4051:itc</v>
      </c>
    </row>
    <row r="262" spans="1:7" x14ac:dyDescent="0.25">
      <c r="A262" s="8">
        <v>42700.111076388886</v>
      </c>
      <c r="B262" t="s">
        <v>209</v>
      </c>
      <c r="C262" t="s">
        <v>275</v>
      </c>
      <c r="D262" s="165">
        <v>2600000</v>
      </c>
      <c r="E262" t="s">
        <v>251</v>
      </c>
      <c r="F262" s="21" t="str">
        <f t="shared" si="4"/>
        <v>rtdc.l.rtdc.4040:itc</v>
      </c>
      <c r="G262" s="8" t="str">
        <f t="shared" si="5"/>
        <v>DAVIDSON rtdc.l.rtdc.4040:itc</v>
      </c>
    </row>
    <row r="263" spans="1:7" x14ac:dyDescent="0.25">
      <c r="A263" s="8">
        <v>42685.016226851854</v>
      </c>
      <c r="B263" t="s">
        <v>207</v>
      </c>
      <c r="C263" t="s">
        <v>222</v>
      </c>
      <c r="D263" s="165">
        <v>2000000</v>
      </c>
      <c r="E263" t="s">
        <v>213</v>
      </c>
      <c r="F263" s="21" t="str">
        <f t="shared" si="4"/>
        <v>rtdc.l.rtdc.4011:itc</v>
      </c>
      <c r="G263" s="8" t="str">
        <f t="shared" si="5"/>
        <v>STAMBAUGH rtdc.l.rtdc.4011:itc</v>
      </c>
    </row>
    <row r="264" spans="1:7" x14ac:dyDescent="0.25">
      <c r="A264" s="8">
        <v>42685.029282407406</v>
      </c>
      <c r="B264" t="s">
        <v>218</v>
      </c>
      <c r="C264" t="s">
        <v>223</v>
      </c>
      <c r="D264" s="165">
        <v>2550000</v>
      </c>
      <c r="E264" t="s">
        <v>217</v>
      </c>
      <c r="F264" s="21" t="str">
        <f t="shared" si="4"/>
        <v>rtdc.l.rtdc.4022:itc</v>
      </c>
      <c r="G264" s="8" t="str">
        <f t="shared" si="5"/>
        <v>BADERTSCHER rtdc.l.rtdc.4022:itc</v>
      </c>
    </row>
    <row r="265" spans="1:7" x14ac:dyDescent="0.25">
      <c r="A265" s="8">
        <v>42685.039282407408</v>
      </c>
      <c r="B265" t="s">
        <v>221</v>
      </c>
      <c r="C265" t="s">
        <v>224</v>
      </c>
      <c r="D265" s="165">
        <v>1300000</v>
      </c>
      <c r="E265" t="s">
        <v>113</v>
      </c>
      <c r="F265" s="21" t="str">
        <f t="shared" si="4"/>
        <v>rtdc.l.rtdc.4037:itc</v>
      </c>
      <c r="G265" s="8" t="str">
        <f t="shared" si="5"/>
        <v>LEVIN rtdc.l.rtdc.4037:itc</v>
      </c>
    </row>
    <row r="266" spans="1:7" x14ac:dyDescent="0.25">
      <c r="A266" s="8">
        <v>42685.049375000002</v>
      </c>
      <c r="B266" t="s">
        <v>216</v>
      </c>
      <c r="C266" t="s">
        <v>225</v>
      </c>
      <c r="D266" s="165">
        <v>2420000</v>
      </c>
      <c r="E266" t="s">
        <v>219</v>
      </c>
      <c r="F266" s="21" t="str">
        <f t="shared" ref="F266:F281" si="6">B266</f>
        <v>rtdc.l.rtdc.4002:itc</v>
      </c>
      <c r="G266" s="8" t="str">
        <f t="shared" si="5"/>
        <v>HOLCOMB rtdc.l.rtdc.4002:itc</v>
      </c>
    </row>
    <row r="267" spans="1:7" x14ac:dyDescent="0.25">
      <c r="A267" s="8">
        <v>42685.056481481479</v>
      </c>
      <c r="B267" t="s">
        <v>214</v>
      </c>
      <c r="C267" t="s">
        <v>226</v>
      </c>
      <c r="D267" s="165">
        <v>2000000</v>
      </c>
      <c r="E267" t="s">
        <v>213</v>
      </c>
      <c r="F267" s="21" t="str">
        <f t="shared" si="6"/>
        <v>rtdc.l.rtdc.4012:itc</v>
      </c>
      <c r="G267" s="8" t="str">
        <f t="shared" si="5"/>
        <v>STAMBAUGH rtdc.l.rtdc.4012:itc</v>
      </c>
    </row>
    <row r="268" spans="1:7" x14ac:dyDescent="0.25">
      <c r="A268" s="8">
        <v>42685.071712962963</v>
      </c>
      <c r="B268" t="s">
        <v>220</v>
      </c>
      <c r="C268" t="s">
        <v>227</v>
      </c>
      <c r="D268" s="165">
        <v>1300000</v>
      </c>
      <c r="E268" t="s">
        <v>113</v>
      </c>
      <c r="F268" s="21" t="str">
        <f t="shared" si="6"/>
        <v>rtdc.l.rtdc.4038:itc</v>
      </c>
      <c r="G268" s="8" t="str">
        <f t="shared" si="5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185</v>
      </c>
      <c r="D269" s="165">
        <v>630000</v>
      </c>
      <c r="E269" t="b">
        <v>1</v>
      </c>
      <c r="F269" s="21" t="str">
        <f t="shared" si="6"/>
        <v>rtdc.l.rtdc.4051:itc</v>
      </c>
      <c r="G269" s="8" t="str">
        <f t="shared" si="5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186</v>
      </c>
      <c r="D270" s="165">
        <v>1480000</v>
      </c>
      <c r="E270" t="s">
        <v>181</v>
      </c>
      <c r="F270" s="21" t="str">
        <f t="shared" si="6"/>
        <v>rtdc.l.rtdc.4009:itc</v>
      </c>
      <c r="G270" s="8" t="str">
        <f t="shared" si="5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185</v>
      </c>
      <c r="D271" s="165">
        <v>630000</v>
      </c>
      <c r="E271" t="b">
        <v>1</v>
      </c>
      <c r="F271" s="21" t="str">
        <f t="shared" si="6"/>
        <v>rtdc.l.rtdc.4052:itc</v>
      </c>
      <c r="G271" s="8" t="str">
        <f t="shared" si="5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185</v>
      </c>
      <c r="D272" s="165">
        <v>630000</v>
      </c>
      <c r="E272" t="b">
        <v>1</v>
      </c>
      <c r="F272" s="21" t="str">
        <f t="shared" si="6"/>
        <v>rtdc.l.rtdc.4052:itc</v>
      </c>
      <c r="G272" s="8" t="str">
        <f t="shared" si="5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185</v>
      </c>
      <c r="D273" s="165">
        <v>630000</v>
      </c>
      <c r="E273" t="b">
        <v>1</v>
      </c>
      <c r="F273" s="21" t="str">
        <f t="shared" si="6"/>
        <v>rtdc.l.rtdc.4052:itc</v>
      </c>
      <c r="G273" s="8" t="str">
        <f t="shared" si="5"/>
        <v>TRUE rtdc.l.rtdc.4052:itc</v>
      </c>
    </row>
    <row r="274" spans="1:7" x14ac:dyDescent="0.25">
      <c r="F274" s="21">
        <f t="shared" si="6"/>
        <v>0</v>
      </c>
      <c r="G274" s="8" t="str">
        <f t="shared" si="5"/>
        <v xml:space="preserve"> 0</v>
      </c>
    </row>
    <row r="275" spans="1:7" x14ac:dyDescent="0.25">
      <c r="F275" s="21">
        <f t="shared" si="6"/>
        <v>0</v>
      </c>
      <c r="G275" s="8" t="str">
        <f t="shared" si="5"/>
        <v xml:space="preserve"> 0</v>
      </c>
    </row>
    <row r="276" spans="1:7" x14ac:dyDescent="0.25">
      <c r="F276" s="21">
        <f t="shared" si="6"/>
        <v>0</v>
      </c>
      <c r="G276" s="8" t="str">
        <f t="shared" si="5"/>
        <v xml:space="preserve"> 0</v>
      </c>
    </row>
    <row r="277" spans="1:7" x14ac:dyDescent="0.25">
      <c r="F277" s="21">
        <f t="shared" si="6"/>
        <v>0</v>
      </c>
      <c r="G277" s="8" t="str">
        <f t="shared" si="5"/>
        <v xml:space="preserve"> 0</v>
      </c>
    </row>
    <row r="278" spans="1:7" x14ac:dyDescent="0.25">
      <c r="F278" s="21">
        <f t="shared" si="6"/>
        <v>0</v>
      </c>
      <c r="G278" s="8" t="str">
        <f t="shared" si="5"/>
        <v xml:space="preserve"> 0</v>
      </c>
    </row>
    <row r="279" spans="1:7" x14ac:dyDescent="0.25">
      <c r="F279" s="21">
        <f t="shared" si="6"/>
        <v>0</v>
      </c>
      <c r="G279" s="8" t="str">
        <f t="shared" si="5"/>
        <v xml:space="preserve"> 0</v>
      </c>
    </row>
    <row r="280" spans="1:7" x14ac:dyDescent="0.25">
      <c r="F280" s="21">
        <f t="shared" si="6"/>
        <v>0</v>
      </c>
      <c r="G280" s="8" t="str">
        <f t="shared" si="5"/>
        <v xml:space="preserve"> 0</v>
      </c>
    </row>
    <row r="281" spans="1:7" x14ac:dyDescent="0.25">
      <c r="F281" s="21">
        <f t="shared" si="6"/>
        <v>0</v>
      </c>
      <c r="G281" s="8" t="str">
        <f t="shared" si="5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5"/>
        <v xml:space="preserve"> 0</v>
      </c>
    </row>
    <row r="283" spans="1:7" x14ac:dyDescent="0.25">
      <c r="F283" s="21">
        <f t="shared" si="7"/>
        <v>0</v>
      </c>
      <c r="G283" s="8" t="str">
        <f t="shared" si="5"/>
        <v xml:space="preserve"> 0</v>
      </c>
    </row>
    <row r="284" spans="1:7" x14ac:dyDescent="0.25">
      <c r="F284" s="21">
        <f t="shared" si="7"/>
        <v>0</v>
      </c>
      <c r="G284" s="8" t="str">
        <f t="shared" si="5"/>
        <v xml:space="preserve"> 0</v>
      </c>
    </row>
    <row r="285" spans="1:7" x14ac:dyDescent="0.25">
      <c r="F285" s="21">
        <f t="shared" si="7"/>
        <v>0</v>
      </c>
      <c r="G285" s="8" t="str">
        <f t="shared" si="5"/>
        <v xml:space="preserve"> 0</v>
      </c>
    </row>
    <row r="286" spans="1:7" x14ac:dyDescent="0.25">
      <c r="F286" s="21">
        <f t="shared" si="7"/>
        <v>0</v>
      </c>
      <c r="G286" s="8" t="str">
        <f t="shared" si="5"/>
        <v xml:space="preserve"> 0</v>
      </c>
    </row>
    <row r="287" spans="1:7" x14ac:dyDescent="0.25">
      <c r="F287" s="21">
        <f t="shared" si="7"/>
        <v>0</v>
      </c>
      <c r="G287" s="8" t="str">
        <f t="shared" si="5"/>
        <v xml:space="preserve"> 0</v>
      </c>
    </row>
    <row r="288" spans="1:7" x14ac:dyDescent="0.25">
      <c r="F288" s="21">
        <f t="shared" si="7"/>
        <v>0</v>
      </c>
      <c r="G288" s="8" t="str">
        <f t="shared" si="5"/>
        <v xml:space="preserve"> 0</v>
      </c>
    </row>
    <row r="289" spans="6:7" x14ac:dyDescent="0.25">
      <c r="F289" s="21">
        <f t="shared" si="7"/>
        <v>0</v>
      </c>
      <c r="G289" s="8" t="str">
        <f t="shared" si="5"/>
        <v xml:space="preserve"> 0</v>
      </c>
    </row>
    <row r="290" spans="6:7" x14ac:dyDescent="0.25">
      <c r="F290" s="21">
        <f t="shared" si="7"/>
        <v>0</v>
      </c>
      <c r="G290" s="8" t="str">
        <f t="shared" si="5"/>
        <v xml:space="preserve"> 0</v>
      </c>
    </row>
    <row r="291" spans="6:7" x14ac:dyDescent="0.25">
      <c r="F291" s="21">
        <f t="shared" si="7"/>
        <v>0</v>
      </c>
      <c r="G291" s="8" t="str">
        <f t="shared" si="5"/>
        <v xml:space="preserve"> 0</v>
      </c>
    </row>
    <row r="292" spans="6:7" x14ac:dyDescent="0.25">
      <c r="F292" s="21">
        <f t="shared" si="7"/>
        <v>0</v>
      </c>
      <c r="G292" s="8" t="str">
        <f t="shared" si="5"/>
        <v xml:space="preserve"> 0</v>
      </c>
    </row>
    <row r="293" spans="6:7" x14ac:dyDescent="0.25">
      <c r="F293" s="21">
        <f t="shared" si="7"/>
        <v>0</v>
      </c>
      <c r="G293" s="8" t="str">
        <f t="shared" si="5"/>
        <v xml:space="preserve"> 0</v>
      </c>
    </row>
    <row r="294" spans="6:7" x14ac:dyDescent="0.25">
      <c r="F294" s="21">
        <f t="shared" si="7"/>
        <v>0</v>
      </c>
      <c r="G294" s="8" t="str">
        <f t="shared" si="5"/>
        <v xml:space="preserve"> 0</v>
      </c>
    </row>
    <row r="295" spans="6:7" x14ac:dyDescent="0.25">
      <c r="F295" s="21">
        <f t="shared" si="7"/>
        <v>0</v>
      </c>
      <c r="G295" s="8" t="str">
        <f t="shared" si="5"/>
        <v xml:space="preserve"> 0</v>
      </c>
    </row>
    <row r="296" spans="6:7" x14ac:dyDescent="0.25">
      <c r="F296" s="21">
        <f t="shared" si="7"/>
        <v>0</v>
      </c>
      <c r="G296" s="8" t="str">
        <f t="shared" si="5"/>
        <v xml:space="preserve"> 0</v>
      </c>
    </row>
    <row r="297" spans="6:7" x14ac:dyDescent="0.25">
      <c r="F297" s="21">
        <f t="shared" si="7"/>
        <v>0</v>
      </c>
      <c r="G297" s="8" t="str">
        <f t="shared" si="5"/>
        <v xml:space="preserve"> 0</v>
      </c>
    </row>
    <row r="298" spans="6:7" x14ac:dyDescent="0.25">
      <c r="F298" s="21">
        <f t="shared" si="7"/>
        <v>0</v>
      </c>
      <c r="G298" s="8" t="str">
        <f t="shared" si="5"/>
        <v xml:space="preserve"> 0</v>
      </c>
    </row>
    <row r="299" spans="6:7" x14ac:dyDescent="0.25">
      <c r="F299" s="21">
        <f t="shared" si="7"/>
        <v>0</v>
      </c>
      <c r="G299" s="8" t="str">
        <f t="shared" si="5"/>
        <v xml:space="preserve"> 0</v>
      </c>
    </row>
    <row r="300" spans="6:7" x14ac:dyDescent="0.25">
      <c r="F300" s="21">
        <f t="shared" si="7"/>
        <v>0</v>
      </c>
      <c r="G300" s="8" t="str">
        <f t="shared" si="5"/>
        <v xml:space="preserve"> 0</v>
      </c>
    </row>
    <row r="301" spans="6:7" x14ac:dyDescent="0.25">
      <c r="F301" s="21">
        <f t="shared" si="7"/>
        <v>0</v>
      </c>
      <c r="G301" s="8" t="str">
        <f t="shared" si="5"/>
        <v xml:space="preserve"> 0</v>
      </c>
    </row>
    <row r="302" spans="6:7" x14ac:dyDescent="0.25">
      <c r="F302" s="21">
        <f t="shared" si="7"/>
        <v>0</v>
      </c>
      <c r="G302" s="8" t="str">
        <f t="shared" si="5"/>
        <v xml:space="preserve"> 0</v>
      </c>
    </row>
    <row r="303" spans="6:7" x14ac:dyDescent="0.25">
      <c r="F303" s="21">
        <f t="shared" si="7"/>
        <v>0</v>
      </c>
      <c r="G303" s="8" t="str">
        <f t="shared" si="5"/>
        <v xml:space="preserve"> 0</v>
      </c>
    </row>
    <row r="304" spans="6:7" x14ac:dyDescent="0.25">
      <c r="F304" s="21">
        <f t="shared" si="7"/>
        <v>0</v>
      </c>
      <c r="G304" s="8" t="str">
        <f t="shared" si="5"/>
        <v xml:space="preserve"> 0</v>
      </c>
    </row>
    <row r="305" spans="6:7" x14ac:dyDescent="0.25">
      <c r="F305" s="21">
        <f t="shared" si="7"/>
        <v>0</v>
      </c>
      <c r="G305" s="8" t="str">
        <f t="shared" si="5"/>
        <v xml:space="preserve"> 0</v>
      </c>
    </row>
    <row r="306" spans="6:7" x14ac:dyDescent="0.25">
      <c r="F306" s="21">
        <f t="shared" si="7"/>
        <v>0</v>
      </c>
      <c r="G306" s="8" t="str">
        <f t="shared" si="5"/>
        <v xml:space="preserve"> 0</v>
      </c>
    </row>
    <row r="307" spans="6:7" x14ac:dyDescent="0.25">
      <c r="F307" s="21">
        <f t="shared" si="7"/>
        <v>0</v>
      </c>
      <c r="G307" s="8" t="str">
        <f t="shared" si="5"/>
        <v xml:space="preserve"> 0</v>
      </c>
    </row>
    <row r="308" spans="6:7" x14ac:dyDescent="0.25">
      <c r="F308" s="21">
        <f t="shared" si="7"/>
        <v>0</v>
      </c>
      <c r="G308" s="8" t="str">
        <f t="shared" si="5"/>
        <v xml:space="preserve"> 0</v>
      </c>
    </row>
    <row r="309" spans="6:7" x14ac:dyDescent="0.25">
      <c r="F309" s="21">
        <f t="shared" si="7"/>
        <v>0</v>
      </c>
      <c r="G309" s="8" t="str">
        <f t="shared" si="5"/>
        <v xml:space="preserve"> 0</v>
      </c>
    </row>
    <row r="310" spans="6:7" x14ac:dyDescent="0.25">
      <c r="F310" s="21">
        <f t="shared" si="7"/>
        <v>0</v>
      </c>
      <c r="G310" s="8" t="str">
        <f t="shared" si="5"/>
        <v xml:space="preserve"> 0</v>
      </c>
    </row>
    <row r="311" spans="6:7" x14ac:dyDescent="0.25">
      <c r="F311" s="21">
        <f t="shared" si="7"/>
        <v>0</v>
      </c>
      <c r="G311" s="8" t="str">
        <f t="shared" si="5"/>
        <v xml:space="preserve"> 0</v>
      </c>
    </row>
    <row r="312" spans="6:7" x14ac:dyDescent="0.25">
      <c r="F312" s="21">
        <f t="shared" si="7"/>
        <v>0</v>
      </c>
      <c r="G312" s="8" t="str">
        <f t="shared" si="5"/>
        <v xml:space="preserve"> 0</v>
      </c>
    </row>
    <row r="313" spans="6:7" x14ac:dyDescent="0.25">
      <c r="F313" s="21">
        <f t="shared" si="7"/>
        <v>0</v>
      </c>
      <c r="G313" s="8" t="str">
        <f t="shared" si="5"/>
        <v xml:space="preserve"> 0</v>
      </c>
    </row>
    <row r="314" spans="6:7" x14ac:dyDescent="0.25">
      <c r="F314" s="21">
        <f t="shared" si="7"/>
        <v>0</v>
      </c>
      <c r="G314" s="8" t="str">
        <f t="shared" si="5"/>
        <v xml:space="preserve"> 0</v>
      </c>
    </row>
    <row r="315" spans="6:7" x14ac:dyDescent="0.25">
      <c r="F315" s="21">
        <f t="shared" si="7"/>
        <v>0</v>
      </c>
      <c r="G315" s="8" t="str">
        <f t="shared" si="5"/>
        <v xml:space="preserve"> 0</v>
      </c>
    </row>
    <row r="316" spans="6:7" x14ac:dyDescent="0.25">
      <c r="F316" s="21">
        <f t="shared" si="7"/>
        <v>0</v>
      </c>
      <c r="G316" s="8" t="str">
        <f t="shared" si="5"/>
        <v xml:space="preserve"> 0</v>
      </c>
    </row>
    <row r="317" spans="6:7" x14ac:dyDescent="0.25">
      <c r="F317" s="21">
        <f t="shared" si="7"/>
        <v>0</v>
      </c>
      <c r="G317" s="8" t="str">
        <f t="shared" si="5"/>
        <v xml:space="preserve"> 0</v>
      </c>
    </row>
    <row r="318" spans="6:7" x14ac:dyDescent="0.25">
      <c r="F318" s="21">
        <f t="shared" si="7"/>
        <v>0</v>
      </c>
      <c r="G318" s="8" t="str">
        <f t="shared" si="5"/>
        <v xml:space="preserve"> 0</v>
      </c>
    </row>
    <row r="319" spans="6:7" x14ac:dyDescent="0.25">
      <c r="F319" s="21">
        <f t="shared" si="7"/>
        <v>0</v>
      </c>
      <c r="G319" s="8" t="str">
        <f t="shared" si="5"/>
        <v xml:space="preserve"> 0</v>
      </c>
    </row>
    <row r="320" spans="6:7" x14ac:dyDescent="0.25">
      <c r="F320" s="21">
        <f t="shared" si="7"/>
        <v>0</v>
      </c>
      <c r="G320" s="8" t="str">
        <f t="shared" si="5"/>
        <v xml:space="preserve"> 0</v>
      </c>
    </row>
    <row r="321" spans="6:7" x14ac:dyDescent="0.25">
      <c r="F321" s="21">
        <f t="shared" si="7"/>
        <v>0</v>
      </c>
      <c r="G321" s="8" t="str">
        <f t="shared" si="5"/>
        <v xml:space="preserve"> 0</v>
      </c>
    </row>
    <row r="322" spans="6:7" x14ac:dyDescent="0.25">
      <c r="F322" s="21">
        <f t="shared" si="7"/>
        <v>0</v>
      </c>
      <c r="G322" s="8" t="str">
        <f t="shared" si="5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171</v>
      </c>
      <c r="I1" s="164" t="s">
        <v>172</v>
      </c>
      <c r="J1" s="164" t="s">
        <v>166</v>
      </c>
      <c r="K1" s="164" t="s">
        <v>164</v>
      </c>
      <c r="L1" s="164" t="s">
        <v>159</v>
      </c>
      <c r="M1" s="164" t="s">
        <v>169</v>
      </c>
      <c r="N1" s="164" t="s">
        <v>163</v>
      </c>
      <c r="O1" s="164" t="s">
        <v>170</v>
      </c>
      <c r="P1" s="164" t="s">
        <v>167</v>
      </c>
      <c r="Q1"/>
      <c r="R1"/>
    </row>
    <row r="2" spans="1:18" x14ac:dyDescent="0.25">
      <c r="A2" s="165">
        <v>25.74</v>
      </c>
      <c r="B2" s="165">
        <v>0.22</v>
      </c>
      <c r="C2" s="165">
        <v>9.2899999999999991</v>
      </c>
      <c r="D2" s="8">
        <v>42708</v>
      </c>
      <c r="E2" s="165">
        <v>0.42</v>
      </c>
      <c r="F2" s="165" t="s">
        <v>412</v>
      </c>
      <c r="G2" s="165">
        <v>277.8</v>
      </c>
      <c r="H2" s="165">
        <v>0</v>
      </c>
      <c r="I2" s="165">
        <v>0</v>
      </c>
      <c r="J2" s="165">
        <v>1023.27</v>
      </c>
      <c r="K2" s="165" t="s">
        <v>413</v>
      </c>
      <c r="L2" s="165">
        <v>29.38</v>
      </c>
      <c r="M2" s="165">
        <v>1480834800</v>
      </c>
      <c r="N2" s="165">
        <v>5.46</v>
      </c>
      <c r="O2" s="165">
        <v>267</v>
      </c>
      <c r="P2" s="165">
        <v>3.44</v>
      </c>
      <c r="Q2"/>
      <c r="R2"/>
    </row>
    <row r="3" spans="1:18" x14ac:dyDescent="0.25">
      <c r="A3" s="165">
        <v>25.81</v>
      </c>
      <c r="B3" s="165">
        <v>0.22</v>
      </c>
      <c r="C3" s="165">
        <v>10.47</v>
      </c>
      <c r="D3" s="8">
        <v>42708.041666666664</v>
      </c>
      <c r="E3" s="165">
        <v>0.45</v>
      </c>
      <c r="F3" s="165" t="s">
        <v>412</v>
      </c>
      <c r="G3" s="165">
        <v>273.27999999999997</v>
      </c>
      <c r="H3" s="165">
        <v>0</v>
      </c>
      <c r="I3" s="165">
        <v>0</v>
      </c>
      <c r="J3" s="165">
        <v>1023.75</v>
      </c>
      <c r="K3" s="165" t="s">
        <v>413</v>
      </c>
      <c r="L3" s="165">
        <v>29.03</v>
      </c>
      <c r="M3" s="165">
        <v>1480838400</v>
      </c>
      <c r="N3" s="165">
        <v>5.16</v>
      </c>
      <c r="O3" s="165">
        <v>257</v>
      </c>
      <c r="P3" s="165">
        <v>3.1</v>
      </c>
      <c r="Q3"/>
      <c r="R3"/>
    </row>
    <row r="4" spans="1:18" x14ac:dyDescent="0.25">
      <c r="A4" s="165">
        <v>27.1</v>
      </c>
      <c r="B4" s="165">
        <v>0.25</v>
      </c>
      <c r="C4" s="165">
        <v>10.119999999999999</v>
      </c>
      <c r="D4" s="8">
        <v>42708.083333333336</v>
      </c>
      <c r="E4" s="165">
        <v>0.48</v>
      </c>
      <c r="F4" s="165" t="s">
        <v>277</v>
      </c>
      <c r="G4" s="165">
        <v>268.76</v>
      </c>
      <c r="H4" s="165">
        <v>0</v>
      </c>
      <c r="I4" s="165">
        <v>0</v>
      </c>
      <c r="J4" s="165">
        <v>1024.21</v>
      </c>
      <c r="K4" s="165" t="s">
        <v>291</v>
      </c>
      <c r="L4" s="165">
        <v>27.1</v>
      </c>
      <c r="M4" s="165">
        <v>1480842000</v>
      </c>
      <c r="N4" s="165">
        <v>4.37</v>
      </c>
      <c r="O4" s="165">
        <v>228</v>
      </c>
      <c r="P4" s="165">
        <v>2.12</v>
      </c>
      <c r="Q4"/>
      <c r="R4"/>
    </row>
    <row r="5" spans="1:18" x14ac:dyDescent="0.25">
      <c r="A5" s="165">
        <v>24.78</v>
      </c>
      <c r="B5" s="165">
        <v>0.25</v>
      </c>
      <c r="C5" s="165">
        <v>9.76</v>
      </c>
      <c r="D5" s="8">
        <v>42708.125</v>
      </c>
      <c r="E5" s="165">
        <v>0.52</v>
      </c>
      <c r="F5" s="165" t="s">
        <v>277</v>
      </c>
      <c r="G5" s="165">
        <v>266.75</v>
      </c>
      <c r="H5" s="165">
        <v>0</v>
      </c>
      <c r="I5" s="165">
        <v>0</v>
      </c>
      <c r="J5" s="165">
        <v>1024.03</v>
      </c>
      <c r="K5" s="165" t="s">
        <v>291</v>
      </c>
      <c r="L5" s="165">
        <v>24.78</v>
      </c>
      <c r="M5" s="165">
        <v>1480845600</v>
      </c>
      <c r="N5" s="165">
        <v>3.78</v>
      </c>
      <c r="O5" s="165">
        <v>210</v>
      </c>
      <c r="P5" s="165">
        <v>2.91</v>
      </c>
      <c r="Q5"/>
      <c r="R5"/>
    </row>
    <row r="6" spans="1:18" x14ac:dyDescent="0.25">
      <c r="A6" s="165">
        <v>20.7</v>
      </c>
      <c r="B6" s="165">
        <v>0.25</v>
      </c>
      <c r="C6" s="165">
        <v>10.46</v>
      </c>
      <c r="D6" s="8">
        <v>42708.166666666664</v>
      </c>
      <c r="E6" s="165">
        <v>0.54</v>
      </c>
      <c r="F6" s="165" t="s">
        <v>277</v>
      </c>
      <c r="G6" s="165">
        <v>265.79000000000002</v>
      </c>
      <c r="H6" s="165">
        <v>0</v>
      </c>
      <c r="I6" s="165">
        <v>0</v>
      </c>
      <c r="J6" s="165">
        <v>1023.58</v>
      </c>
      <c r="K6" s="165" t="s">
        <v>291</v>
      </c>
      <c r="L6" s="165">
        <v>24.75</v>
      </c>
      <c r="M6" s="165">
        <v>1480849200</v>
      </c>
      <c r="N6" s="165">
        <v>4.01</v>
      </c>
      <c r="O6" s="165">
        <v>200</v>
      </c>
      <c r="P6" s="165">
        <v>3.27</v>
      </c>
      <c r="Q6"/>
      <c r="R6"/>
    </row>
    <row r="7" spans="1:18" x14ac:dyDescent="0.25">
      <c r="A7" s="165">
        <v>22.65</v>
      </c>
      <c r="B7" s="165">
        <v>0.27</v>
      </c>
      <c r="C7" s="165">
        <v>9.02</v>
      </c>
      <c r="D7" s="8">
        <v>42708.208333333336</v>
      </c>
      <c r="E7" s="165">
        <v>0.55000000000000004</v>
      </c>
      <c r="F7" s="165" t="s">
        <v>277</v>
      </c>
      <c r="G7" s="165">
        <v>264.64999999999998</v>
      </c>
      <c r="H7" s="165">
        <v>0</v>
      </c>
      <c r="I7" s="165">
        <v>0</v>
      </c>
      <c r="J7" s="165">
        <v>1023.2</v>
      </c>
      <c r="K7" s="165" t="s">
        <v>291</v>
      </c>
      <c r="L7" s="165">
        <v>22.65</v>
      </c>
      <c r="M7" s="165">
        <v>1480852800</v>
      </c>
      <c r="N7" s="165">
        <v>5.86</v>
      </c>
      <c r="O7" s="165">
        <v>204</v>
      </c>
      <c r="P7" s="165">
        <v>2.3199999999999998</v>
      </c>
      <c r="Q7"/>
      <c r="R7"/>
    </row>
    <row r="8" spans="1:18" x14ac:dyDescent="0.25">
      <c r="A8" s="165">
        <v>18.8</v>
      </c>
      <c r="B8" s="165">
        <v>0.25</v>
      </c>
      <c r="C8" s="165">
        <v>9.66</v>
      </c>
      <c r="D8" s="8">
        <v>42708.25</v>
      </c>
      <c r="E8" s="165">
        <v>0.55000000000000004</v>
      </c>
      <c r="F8" s="165" t="s">
        <v>277</v>
      </c>
      <c r="G8" s="165">
        <v>262.83999999999997</v>
      </c>
      <c r="H8" s="165">
        <v>0</v>
      </c>
      <c r="I8" s="165">
        <v>0</v>
      </c>
      <c r="J8" s="165">
        <v>1023.4</v>
      </c>
      <c r="K8" s="165" t="s">
        <v>291</v>
      </c>
      <c r="L8" s="165">
        <v>23.37</v>
      </c>
      <c r="M8" s="165">
        <v>1480856400</v>
      </c>
      <c r="N8" s="165">
        <v>4.38</v>
      </c>
      <c r="O8" s="165">
        <v>200</v>
      </c>
      <c r="P8" s="165">
        <v>3.49</v>
      </c>
      <c r="Q8"/>
      <c r="R8"/>
    </row>
    <row r="9" spans="1:18" x14ac:dyDescent="0.25">
      <c r="A9" s="165">
        <v>18.010000000000002</v>
      </c>
      <c r="B9" s="165">
        <v>0.27</v>
      </c>
      <c r="C9" s="165">
        <v>8.76</v>
      </c>
      <c r="D9" s="8">
        <v>42708.291666666664</v>
      </c>
      <c r="E9" s="165">
        <v>0.53</v>
      </c>
      <c r="F9" s="165" t="s">
        <v>277</v>
      </c>
      <c r="G9" s="165">
        <v>260.83999999999997</v>
      </c>
      <c r="H9" s="165">
        <v>0</v>
      </c>
      <c r="I9" s="165">
        <v>0</v>
      </c>
      <c r="J9" s="165">
        <v>1023.53</v>
      </c>
      <c r="K9" s="165" t="s">
        <v>291</v>
      </c>
      <c r="L9" s="165">
        <v>23.18</v>
      </c>
      <c r="M9" s="165">
        <v>1480860000</v>
      </c>
      <c r="N9" s="165">
        <v>3.66</v>
      </c>
      <c r="O9" s="165">
        <v>214</v>
      </c>
      <c r="P9" s="165">
        <v>3.91</v>
      </c>
      <c r="Q9"/>
      <c r="R9"/>
    </row>
    <row r="10" spans="1:18" x14ac:dyDescent="0.25">
      <c r="A10" s="165">
        <v>19.170000000000002</v>
      </c>
      <c r="B10" s="165">
        <v>0.27</v>
      </c>
      <c r="C10" s="165">
        <v>8.93</v>
      </c>
      <c r="D10" s="8">
        <v>42708.333333333336</v>
      </c>
      <c r="E10" s="165">
        <v>0.52</v>
      </c>
      <c r="F10" s="165" t="s">
        <v>278</v>
      </c>
      <c r="G10" s="165">
        <v>258.94</v>
      </c>
      <c r="H10" s="165">
        <v>0</v>
      </c>
      <c r="I10" s="165">
        <v>0</v>
      </c>
      <c r="J10" s="165">
        <v>1022.62</v>
      </c>
      <c r="K10" s="165" t="s">
        <v>291</v>
      </c>
      <c r="L10" s="165">
        <v>24.06</v>
      </c>
      <c r="M10" s="165">
        <v>1480863600</v>
      </c>
      <c r="N10" s="165">
        <v>3.44</v>
      </c>
      <c r="O10" s="165">
        <v>205</v>
      </c>
      <c r="P10" s="165">
        <v>3.8</v>
      </c>
      <c r="Q10"/>
      <c r="R10"/>
    </row>
    <row r="11" spans="1:18" x14ac:dyDescent="0.25">
      <c r="A11" s="165">
        <v>24.18</v>
      </c>
      <c r="B11" s="165">
        <v>0.3</v>
      </c>
      <c r="C11" s="165">
        <v>11.75</v>
      </c>
      <c r="D11" s="8">
        <v>42708.375</v>
      </c>
      <c r="E11" s="165">
        <v>0.47</v>
      </c>
      <c r="F11" s="165" t="s">
        <v>278</v>
      </c>
      <c r="G11" s="165">
        <v>257.14</v>
      </c>
      <c r="H11" s="165">
        <v>0</v>
      </c>
      <c r="I11" s="165">
        <v>0</v>
      </c>
      <c r="J11" s="165">
        <v>1020.03</v>
      </c>
      <c r="K11" s="165" t="s">
        <v>291</v>
      </c>
      <c r="L11" s="165">
        <v>29.37</v>
      </c>
      <c r="M11" s="165">
        <v>1480867200</v>
      </c>
      <c r="N11" s="165">
        <v>3.32</v>
      </c>
      <c r="O11" s="165">
        <v>201</v>
      </c>
      <c r="P11" s="165">
        <v>4.8</v>
      </c>
      <c r="Q11"/>
      <c r="R11"/>
    </row>
    <row r="12" spans="1:18" x14ac:dyDescent="0.25">
      <c r="A12" s="165">
        <v>35.9</v>
      </c>
      <c r="B12" s="165">
        <v>0.33</v>
      </c>
      <c r="C12" s="165">
        <v>10.119999999999999</v>
      </c>
      <c r="D12" s="8">
        <v>42708.416666666664</v>
      </c>
      <c r="E12" s="165">
        <v>0.34</v>
      </c>
      <c r="F12" s="165" t="s">
        <v>278</v>
      </c>
      <c r="G12" s="165">
        <v>255.44</v>
      </c>
      <c r="H12" s="165">
        <v>0</v>
      </c>
      <c r="I12" s="165">
        <v>0</v>
      </c>
      <c r="J12" s="165">
        <v>1017.41</v>
      </c>
      <c r="K12" s="165" t="s">
        <v>291</v>
      </c>
      <c r="L12" s="165">
        <v>35.9</v>
      </c>
      <c r="M12" s="165">
        <v>1480870800</v>
      </c>
      <c r="N12" s="165">
        <v>2.73</v>
      </c>
      <c r="O12" s="165">
        <v>211</v>
      </c>
      <c r="P12" s="165">
        <v>2.44</v>
      </c>
      <c r="Q12"/>
      <c r="R12"/>
    </row>
    <row r="13" spans="1:18" x14ac:dyDescent="0.25">
      <c r="A13" s="165">
        <v>41</v>
      </c>
      <c r="B13" s="165">
        <v>0.34</v>
      </c>
      <c r="C13" s="165">
        <v>10.83</v>
      </c>
      <c r="D13" s="8">
        <v>42708.458333333336</v>
      </c>
      <c r="E13" s="165">
        <v>0.28999999999999998</v>
      </c>
      <c r="F13" s="165" t="s">
        <v>278</v>
      </c>
      <c r="G13" s="165">
        <v>254.13</v>
      </c>
      <c r="H13" s="165">
        <v>0</v>
      </c>
      <c r="I13" s="165">
        <v>0</v>
      </c>
      <c r="J13" s="165">
        <v>1014.78</v>
      </c>
      <c r="K13" s="165" t="s">
        <v>291</v>
      </c>
      <c r="L13" s="165">
        <v>41</v>
      </c>
      <c r="M13" s="165">
        <v>1480874400</v>
      </c>
      <c r="N13" s="165">
        <v>2.73</v>
      </c>
      <c r="O13" s="165">
        <v>207</v>
      </c>
      <c r="P13" s="165">
        <v>2.12</v>
      </c>
      <c r="Q13"/>
      <c r="R13"/>
    </row>
    <row r="14" spans="1:18" x14ac:dyDescent="0.25">
      <c r="A14" s="165">
        <v>47.42</v>
      </c>
      <c r="B14" s="165">
        <v>0.32</v>
      </c>
      <c r="C14" s="165">
        <v>9.14</v>
      </c>
      <c r="D14" s="8">
        <v>42708.5</v>
      </c>
      <c r="E14" s="165">
        <v>0.21</v>
      </c>
      <c r="F14" s="165" t="s">
        <v>278</v>
      </c>
      <c r="G14" s="165">
        <v>253.36</v>
      </c>
      <c r="H14" s="165">
        <v>0</v>
      </c>
      <c r="I14" s="165">
        <v>0</v>
      </c>
      <c r="J14" s="165">
        <v>1013.02</v>
      </c>
      <c r="K14" s="165" t="s">
        <v>291</v>
      </c>
      <c r="L14" s="165">
        <v>47.42</v>
      </c>
      <c r="M14" s="165">
        <v>1480878000</v>
      </c>
      <c r="N14" s="165">
        <v>2.73</v>
      </c>
      <c r="O14" s="165">
        <v>337</v>
      </c>
      <c r="P14" s="165">
        <v>0.93</v>
      </c>
      <c r="Q14"/>
      <c r="R14"/>
    </row>
    <row r="15" spans="1:18" x14ac:dyDescent="0.25">
      <c r="A15" s="165">
        <v>51.26</v>
      </c>
      <c r="B15" s="165">
        <v>0.33</v>
      </c>
      <c r="C15" s="165">
        <v>11.28</v>
      </c>
      <c r="D15" s="8">
        <v>42708.541666666664</v>
      </c>
      <c r="E15" s="165">
        <v>0.2</v>
      </c>
      <c r="F15" s="165" t="s">
        <v>278</v>
      </c>
      <c r="G15" s="165">
        <v>252.98</v>
      </c>
      <c r="H15" s="165">
        <v>0</v>
      </c>
      <c r="I15" s="165">
        <v>0</v>
      </c>
      <c r="J15" s="165">
        <v>1011.85</v>
      </c>
      <c r="K15" s="165" t="s">
        <v>291</v>
      </c>
      <c r="L15" s="165">
        <v>51.26</v>
      </c>
      <c r="M15" s="165">
        <v>1480881600</v>
      </c>
      <c r="N15" s="165">
        <v>2.73</v>
      </c>
      <c r="O15" s="165">
        <v>326</v>
      </c>
      <c r="P15" s="165">
        <v>1.44</v>
      </c>
      <c r="Q15"/>
      <c r="R15"/>
    </row>
    <row r="16" spans="1:18" x14ac:dyDescent="0.25">
      <c r="A16" s="165">
        <v>52.12</v>
      </c>
      <c r="B16" s="165">
        <v>0.33</v>
      </c>
      <c r="C16" s="165">
        <v>14.17</v>
      </c>
      <c r="D16" s="8">
        <v>42708.583333333336</v>
      </c>
      <c r="E16" s="165">
        <v>0.22</v>
      </c>
      <c r="F16" s="165" t="s">
        <v>278</v>
      </c>
      <c r="G16" s="165">
        <v>252.87</v>
      </c>
      <c r="H16" s="165">
        <v>0</v>
      </c>
      <c r="I16" s="165">
        <v>0</v>
      </c>
      <c r="J16" s="165">
        <v>1011.09</v>
      </c>
      <c r="K16" s="165" t="s">
        <v>291</v>
      </c>
      <c r="L16" s="165">
        <v>52.12</v>
      </c>
      <c r="M16" s="165">
        <v>1480885200</v>
      </c>
      <c r="N16" s="165">
        <v>2.74</v>
      </c>
      <c r="O16" s="165">
        <v>305</v>
      </c>
      <c r="P16" s="165">
        <v>1.89</v>
      </c>
      <c r="Q16"/>
      <c r="R16"/>
    </row>
    <row r="17" spans="1:18" x14ac:dyDescent="0.25">
      <c r="A17" s="165">
        <v>50.38</v>
      </c>
      <c r="B17" s="165">
        <v>0.37</v>
      </c>
      <c r="C17" s="165">
        <v>14.41</v>
      </c>
      <c r="D17" s="8">
        <v>42708.625</v>
      </c>
      <c r="E17" s="165">
        <v>0.23</v>
      </c>
      <c r="F17" s="165" t="s">
        <v>278</v>
      </c>
      <c r="G17" s="165">
        <v>253.15</v>
      </c>
      <c r="H17" s="165">
        <v>0</v>
      </c>
      <c r="I17" s="165">
        <v>0</v>
      </c>
      <c r="J17" s="165">
        <v>1010.62</v>
      </c>
      <c r="K17" s="165" t="s">
        <v>291</v>
      </c>
      <c r="L17" s="165">
        <v>50.38</v>
      </c>
      <c r="M17" s="165">
        <v>1480888800</v>
      </c>
      <c r="N17" s="165">
        <v>2.86</v>
      </c>
      <c r="O17" s="165">
        <v>334</v>
      </c>
      <c r="P17" s="165">
        <v>1.6</v>
      </c>
      <c r="Q17"/>
      <c r="R17"/>
    </row>
    <row r="18" spans="1:18" x14ac:dyDescent="0.25">
      <c r="A18" s="165">
        <v>47.07</v>
      </c>
      <c r="B18" s="165">
        <v>0.36</v>
      </c>
      <c r="C18" s="165">
        <v>12.3</v>
      </c>
      <c r="D18" s="8">
        <v>42708.666666666664</v>
      </c>
      <c r="E18" s="165">
        <v>0.24</v>
      </c>
      <c r="F18" s="165" t="s">
        <v>278</v>
      </c>
      <c r="G18" s="165">
        <v>253.7</v>
      </c>
      <c r="H18" s="165">
        <v>0</v>
      </c>
      <c r="I18" s="165">
        <v>0</v>
      </c>
      <c r="J18" s="165">
        <v>1010.5</v>
      </c>
      <c r="K18" s="165" t="s">
        <v>291</v>
      </c>
      <c r="L18" s="165">
        <v>47.07</v>
      </c>
      <c r="M18" s="165">
        <v>1480892400</v>
      </c>
      <c r="N18" s="165">
        <v>5.28</v>
      </c>
      <c r="O18" s="165">
        <v>141</v>
      </c>
      <c r="P18" s="165">
        <v>0.91</v>
      </c>
      <c r="Q18"/>
      <c r="R18"/>
    </row>
    <row r="19" spans="1:18" x14ac:dyDescent="0.25">
      <c r="A19" s="165">
        <v>43.73</v>
      </c>
      <c r="B19" s="165">
        <v>0.31</v>
      </c>
      <c r="C19" s="165">
        <v>11.8</v>
      </c>
      <c r="D19" s="8">
        <v>42708.708333333336</v>
      </c>
      <c r="E19" s="165">
        <v>0.27</v>
      </c>
      <c r="F19" s="165" t="s">
        <v>277</v>
      </c>
      <c r="G19" s="165">
        <v>254.02</v>
      </c>
      <c r="H19" s="165">
        <v>0</v>
      </c>
      <c r="I19" s="165">
        <v>0</v>
      </c>
      <c r="J19" s="165">
        <v>1010.17</v>
      </c>
      <c r="K19" s="165" t="s">
        <v>291</v>
      </c>
      <c r="L19" s="165">
        <v>43.73</v>
      </c>
      <c r="M19" s="165">
        <v>1480896000</v>
      </c>
      <c r="N19" s="165">
        <v>5.79</v>
      </c>
      <c r="O19" s="165">
        <v>119</v>
      </c>
      <c r="P19" s="165">
        <v>1.93</v>
      </c>
      <c r="Q19"/>
      <c r="R19"/>
    </row>
    <row r="20" spans="1:18" x14ac:dyDescent="0.25">
      <c r="A20" s="165">
        <v>42.75</v>
      </c>
      <c r="B20" s="165">
        <v>0.28000000000000003</v>
      </c>
      <c r="C20" s="165">
        <v>13.01</v>
      </c>
      <c r="D20" s="8">
        <v>42708.75</v>
      </c>
      <c r="E20" s="165">
        <v>0.28999999999999998</v>
      </c>
      <c r="F20" s="165" t="s">
        <v>277</v>
      </c>
      <c r="G20" s="165">
        <v>253.87</v>
      </c>
      <c r="H20" s="165">
        <v>0</v>
      </c>
      <c r="I20" s="165">
        <v>0</v>
      </c>
      <c r="J20" s="165">
        <v>1009.7</v>
      </c>
      <c r="K20" s="165" t="s">
        <v>291</v>
      </c>
      <c r="L20" s="165">
        <v>42.75</v>
      </c>
      <c r="M20" s="165">
        <v>1480899600</v>
      </c>
      <c r="N20" s="165">
        <v>6.6</v>
      </c>
      <c r="O20" s="165">
        <v>127</v>
      </c>
      <c r="P20" s="165">
        <v>0.64</v>
      </c>
      <c r="Q20"/>
      <c r="R20"/>
    </row>
    <row r="21" spans="1:18" x14ac:dyDescent="0.25">
      <c r="A21" s="165">
        <v>41.7</v>
      </c>
      <c r="B21" s="165">
        <v>0.31</v>
      </c>
      <c r="C21" s="165">
        <v>13.08</v>
      </c>
      <c r="D21" s="8">
        <v>42708.791666666664</v>
      </c>
      <c r="E21" s="165">
        <v>0.31</v>
      </c>
      <c r="F21" s="165" t="s">
        <v>277</v>
      </c>
      <c r="G21" s="165">
        <v>253.5</v>
      </c>
      <c r="H21" s="165">
        <v>0</v>
      </c>
      <c r="I21" s="165">
        <v>0</v>
      </c>
      <c r="J21" s="165">
        <v>1010.18</v>
      </c>
      <c r="K21" s="165" t="s">
        <v>291</v>
      </c>
      <c r="L21" s="165">
        <v>41.7</v>
      </c>
      <c r="M21" s="165">
        <v>1480903200</v>
      </c>
      <c r="N21" s="165">
        <v>7.82</v>
      </c>
      <c r="O21" s="165">
        <v>240</v>
      </c>
      <c r="P21" s="165">
        <v>1.96</v>
      </c>
      <c r="Q21"/>
      <c r="R21"/>
    </row>
    <row r="22" spans="1:18" x14ac:dyDescent="0.25">
      <c r="A22" s="165">
        <v>39</v>
      </c>
      <c r="B22" s="165">
        <v>0.38</v>
      </c>
      <c r="C22" s="165">
        <v>10.53</v>
      </c>
      <c r="D22" s="8">
        <v>42708.833333333336</v>
      </c>
      <c r="E22" s="165">
        <v>0.3</v>
      </c>
      <c r="F22" s="165" t="s">
        <v>277</v>
      </c>
      <c r="G22" s="165">
        <v>253.13</v>
      </c>
      <c r="H22" s="165">
        <v>0</v>
      </c>
      <c r="I22" s="165">
        <v>0</v>
      </c>
      <c r="J22" s="165">
        <v>1010.47</v>
      </c>
      <c r="K22" s="165" t="s">
        <v>291</v>
      </c>
      <c r="L22" s="165">
        <v>39</v>
      </c>
      <c r="M22" s="165">
        <v>1480906800</v>
      </c>
      <c r="N22" s="165">
        <v>6.67</v>
      </c>
      <c r="O22" s="165">
        <v>238</v>
      </c>
      <c r="P22" s="165">
        <v>2.77</v>
      </c>
      <c r="Q22"/>
      <c r="R22"/>
    </row>
    <row r="23" spans="1:18" x14ac:dyDescent="0.25">
      <c r="A23" s="165">
        <v>33.89</v>
      </c>
      <c r="B23" s="165">
        <v>0.43</v>
      </c>
      <c r="C23" s="165">
        <v>10.17</v>
      </c>
      <c r="D23" s="8">
        <v>42708.875</v>
      </c>
      <c r="E23" s="165">
        <v>0.33</v>
      </c>
      <c r="F23" s="165" t="s">
        <v>277</v>
      </c>
      <c r="G23" s="165">
        <v>252.88</v>
      </c>
      <c r="H23" s="165">
        <v>0</v>
      </c>
      <c r="I23" s="165">
        <v>0</v>
      </c>
      <c r="J23" s="165">
        <v>1009.43</v>
      </c>
      <c r="K23" s="165" t="s">
        <v>291</v>
      </c>
      <c r="L23" s="165">
        <v>36.85</v>
      </c>
      <c r="M23" s="165">
        <v>1480910400</v>
      </c>
      <c r="N23" s="165">
        <v>5.89</v>
      </c>
      <c r="O23" s="165">
        <v>235</v>
      </c>
      <c r="P23" s="165">
        <v>3.79</v>
      </c>
      <c r="Q23"/>
      <c r="R23"/>
    </row>
    <row r="24" spans="1:18" x14ac:dyDescent="0.25">
      <c r="A24" s="165">
        <v>33.299999999999997</v>
      </c>
      <c r="B24" s="165">
        <v>0.45</v>
      </c>
      <c r="C24" s="165">
        <v>14.01</v>
      </c>
      <c r="D24" s="8">
        <v>42708.916666666664</v>
      </c>
      <c r="E24" s="165">
        <v>0.39</v>
      </c>
      <c r="F24" s="165" t="s">
        <v>277</v>
      </c>
      <c r="G24" s="165">
        <v>252.65</v>
      </c>
      <c r="H24" s="165">
        <v>0</v>
      </c>
      <c r="I24" s="165">
        <v>0</v>
      </c>
      <c r="J24" s="165">
        <v>1007.8</v>
      </c>
      <c r="K24" s="165" t="s">
        <v>291</v>
      </c>
      <c r="L24" s="165">
        <v>36.49</v>
      </c>
      <c r="M24" s="165">
        <v>1480914000</v>
      </c>
      <c r="N24" s="165">
        <v>5.92</v>
      </c>
      <c r="O24" s="165">
        <v>230</v>
      </c>
      <c r="P24" s="165">
        <v>3.97</v>
      </c>
      <c r="Q24"/>
      <c r="R24"/>
    </row>
    <row r="25" spans="1:18" x14ac:dyDescent="0.25">
      <c r="A25" s="165">
        <v>33.32</v>
      </c>
      <c r="B25" s="165">
        <v>0.45</v>
      </c>
      <c r="C25" s="165">
        <v>13.97</v>
      </c>
      <c r="D25" s="8">
        <v>42708.958333333336</v>
      </c>
      <c r="E25" s="165">
        <v>0.39</v>
      </c>
      <c r="F25" s="165" t="s">
        <v>277</v>
      </c>
      <c r="G25" s="165">
        <v>252.24</v>
      </c>
      <c r="H25" s="165">
        <v>0</v>
      </c>
      <c r="I25" s="165">
        <v>0</v>
      </c>
      <c r="J25" s="165">
        <v>1006.64</v>
      </c>
      <c r="K25" s="165" t="s">
        <v>291</v>
      </c>
      <c r="L25" s="165">
        <v>36.31</v>
      </c>
      <c r="M25" s="165">
        <v>1480917600</v>
      </c>
      <c r="N25" s="165">
        <v>6.58</v>
      </c>
      <c r="O25" s="165">
        <v>229</v>
      </c>
      <c r="P25" s="165">
        <v>3.75</v>
      </c>
      <c r="Q25"/>
      <c r="R25"/>
    </row>
    <row r="26" spans="1:18" x14ac:dyDescent="0.25">
      <c r="A26" s="165">
        <v>33.89</v>
      </c>
      <c r="B26" s="165">
        <v>0.44</v>
      </c>
      <c r="C26" s="165">
        <v>14.22</v>
      </c>
      <c r="D26" s="8">
        <v>42709</v>
      </c>
      <c r="E26" s="165">
        <v>0.4</v>
      </c>
      <c r="F26" s="165" t="s">
        <v>277</v>
      </c>
      <c r="G26" s="165">
        <v>251.44</v>
      </c>
      <c r="H26" s="165">
        <v>0</v>
      </c>
      <c r="I26" s="165">
        <v>0</v>
      </c>
      <c r="J26" s="165">
        <v>1007.2</v>
      </c>
      <c r="K26" s="165" t="s">
        <v>291</v>
      </c>
      <c r="L26" s="165">
        <v>36.090000000000003</v>
      </c>
      <c r="M26" s="165">
        <v>1480921200</v>
      </c>
      <c r="N26" s="165">
        <v>10</v>
      </c>
      <c r="O26" s="165">
        <v>215</v>
      </c>
      <c r="P26" s="165">
        <v>3.04</v>
      </c>
      <c r="Q26"/>
      <c r="R26"/>
    </row>
    <row r="27" spans="1:18" x14ac:dyDescent="0.25">
      <c r="A27" s="165">
        <v>34.200000000000003</v>
      </c>
      <c r="B27" s="165">
        <v>0.49</v>
      </c>
      <c r="C27" s="165">
        <v>14.08</v>
      </c>
      <c r="D27" s="8">
        <v>42709.041666666664</v>
      </c>
      <c r="E27" s="165">
        <v>0.43</v>
      </c>
      <c r="F27" s="165" t="s">
        <v>277</v>
      </c>
      <c r="G27" s="165">
        <v>250.65</v>
      </c>
      <c r="H27" s="165">
        <v>0</v>
      </c>
      <c r="I27" s="165">
        <v>0</v>
      </c>
      <c r="J27" s="165">
        <v>1007.32</v>
      </c>
      <c r="K27" s="165" t="s">
        <v>291</v>
      </c>
      <c r="L27" s="165">
        <v>34.200000000000003</v>
      </c>
      <c r="M27" s="165">
        <v>1480924800</v>
      </c>
      <c r="N27" s="165">
        <v>6.75</v>
      </c>
      <c r="O27" s="165">
        <v>229</v>
      </c>
      <c r="P27" s="165">
        <v>1.3</v>
      </c>
      <c r="Q27"/>
      <c r="R27"/>
    </row>
    <row r="28" spans="1:18" x14ac:dyDescent="0.25">
      <c r="A28" s="165">
        <v>33.85</v>
      </c>
      <c r="B28" s="165">
        <v>0.45</v>
      </c>
      <c r="C28" s="165">
        <v>14.56</v>
      </c>
      <c r="D28" s="8">
        <v>42709.083333333336</v>
      </c>
      <c r="E28" s="165">
        <v>0.45</v>
      </c>
      <c r="F28" s="165" t="s">
        <v>277</v>
      </c>
      <c r="G28" s="165">
        <v>249.85</v>
      </c>
      <c r="H28" s="165">
        <v>0</v>
      </c>
      <c r="I28" s="165">
        <v>0</v>
      </c>
      <c r="J28" s="165">
        <v>1007.19</v>
      </c>
      <c r="K28" s="165" t="s">
        <v>291</v>
      </c>
      <c r="L28" s="165">
        <v>33.85</v>
      </c>
      <c r="M28" s="165">
        <v>1480928400</v>
      </c>
      <c r="N28" s="165">
        <v>10</v>
      </c>
      <c r="O28" s="165">
        <v>277</v>
      </c>
      <c r="P28" s="165">
        <v>1.86</v>
      </c>
      <c r="Q28"/>
      <c r="R28"/>
    </row>
    <row r="29" spans="1:18" x14ac:dyDescent="0.25">
      <c r="A29" s="165">
        <v>32.619999999999997</v>
      </c>
      <c r="B29" s="165">
        <v>0.55000000000000004</v>
      </c>
      <c r="C29" s="165">
        <v>14.1</v>
      </c>
      <c r="D29" s="8">
        <v>42709.125</v>
      </c>
      <c r="E29" s="165">
        <v>0.46</v>
      </c>
      <c r="F29" s="165" t="s">
        <v>277</v>
      </c>
      <c r="G29" s="165">
        <v>250.32</v>
      </c>
      <c r="H29" s="165">
        <v>0</v>
      </c>
      <c r="I29" s="165">
        <v>0</v>
      </c>
      <c r="J29" s="165">
        <v>1006.55</v>
      </c>
      <c r="K29" s="165" t="s">
        <v>291</v>
      </c>
      <c r="L29" s="165">
        <v>32.619999999999997</v>
      </c>
      <c r="M29" s="165">
        <v>1480932000</v>
      </c>
      <c r="N29" s="165">
        <v>10</v>
      </c>
      <c r="O29" s="165">
        <v>232</v>
      </c>
      <c r="P29" s="165">
        <v>2.37</v>
      </c>
      <c r="Q29"/>
      <c r="R29"/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203</v>
      </c>
    </row>
    <row r="33" spans="1:1" x14ac:dyDescent="0.25">
      <c r="A33" s="133" t="s">
        <v>187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1"/>
  <sheetViews>
    <sheetView workbookViewId="0">
      <selection activeCell="M28" sqref="M2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42708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205</v>
      </c>
      <c r="J17" s="33"/>
      <c r="K17" s="34"/>
      <c r="L17" s="34"/>
    </row>
    <row r="18" spans="3:13" x14ac:dyDescent="0.25">
      <c r="C18" t="s">
        <v>801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788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789</v>
      </c>
      <c r="J20" t="s">
        <v>87</v>
      </c>
      <c r="M20" s="68" t="s">
        <v>289</v>
      </c>
    </row>
    <row r="21" spans="3:13" x14ac:dyDescent="0.25">
      <c r="C21" t="s">
        <v>790</v>
      </c>
      <c r="J21" s="21" t="s">
        <v>90</v>
      </c>
      <c r="K21" s="21" t="s">
        <v>91</v>
      </c>
      <c r="M21" s="68" t="s">
        <v>182</v>
      </c>
    </row>
    <row r="22" spans="3:13" x14ac:dyDescent="0.25">
      <c r="C22" t="s">
        <v>791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792</v>
      </c>
      <c r="J23" s="29" t="s">
        <v>95</v>
      </c>
      <c r="K23" s="21"/>
      <c r="M23" s="69">
        <v>-7</v>
      </c>
    </row>
    <row r="24" spans="3:13" x14ac:dyDescent="0.25">
      <c r="C24" t="s">
        <v>793</v>
      </c>
      <c r="J24" s="21" t="s">
        <v>108</v>
      </c>
      <c r="K24" s="21"/>
      <c r="M24" s="68" t="s">
        <v>110</v>
      </c>
    </row>
    <row r="25" spans="3:13" x14ac:dyDescent="0.25">
      <c r="C25" t="s">
        <v>794</v>
      </c>
      <c r="J25" t="s">
        <v>151</v>
      </c>
      <c r="M25" s="68" t="b">
        <v>1</v>
      </c>
    </row>
    <row r="26" spans="3:13" x14ac:dyDescent="0.25">
      <c r="C26" t="s">
        <v>795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C:\Users\stu\Documents\GitHub\eaglep3-reporting\EC\2016-12-04-refined-times.txt</v>
      </c>
    </row>
    <row r="27" spans="3:13" x14ac:dyDescent="0.25">
      <c r="C27" t="s">
        <v>796</v>
      </c>
      <c r="J27" t="s">
        <v>188</v>
      </c>
      <c r="M27" s="68" t="str">
        <f>"C:\Users\stu\Documents\GitHub\eaglep3-reporting\EC\"&amp;TEXT(A2,"YYYY-MM-DD")&amp;"-Enforcements.txt"</f>
        <v>C:\Users\stu\Documents\GitHub\eaglep3-reporting\EC\2016-12-04-Enforcements.txt</v>
      </c>
    </row>
    <row r="28" spans="3:13" x14ac:dyDescent="0.25">
      <c r="C28" t="s">
        <v>797</v>
      </c>
      <c r="J28" t="s">
        <v>189</v>
      </c>
      <c r="M28" s="106" t="str">
        <f>"C:\Users\stu\Documents\GitHub\eaglep3-reporting\EC\"&amp;TEXT(A2,"YYYY-MM-DD")&amp;"-Runs-Refined.txt"</f>
        <v>C:\Users\stu\Documents\GitHub\eaglep3-reporting\EC\2016-12-04-Runs-Refined.txt</v>
      </c>
    </row>
    <row r="29" spans="3:13" x14ac:dyDescent="0.25">
      <c r="C29" t="s">
        <v>798</v>
      </c>
      <c r="J29" t="s">
        <v>190</v>
      </c>
      <c r="M29" s="106" t="str">
        <f>"C:\Users\stu\Documents\GitHub\eaglep3-reporting\EC\"&amp;TEXT(A2,"YYYY-MM-DD")&amp;"-Trips.txt"</f>
        <v>C:\Users\stu\Documents\GitHub\eaglep3-reporting\EC\2016-12-04-Trips.txt</v>
      </c>
    </row>
    <row r="30" spans="3:13" x14ac:dyDescent="0.25">
      <c r="C30" t="s">
        <v>799</v>
      </c>
      <c r="J30" t="s">
        <v>191</v>
      </c>
      <c r="M30" s="106" t="str">
        <f>"C:\Users\stu\Documents\GitHub\eaglep3-reporting\EC\"&amp;TEXT(A2,"YYYY-MM-DD")&amp;"-Weather.txt"</f>
        <v>C:\Users\stu\Documents\GitHub\eaglep3-reporting\EC\2016-12-04-Weather.txt</v>
      </c>
    </row>
    <row r="31" spans="3:13" x14ac:dyDescent="0.25">
      <c r="C31" t="s">
        <v>800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212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16"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815</v>
      </c>
      <c r="B1" t="str">
        <f t="shared" ref="B1:B52" si="0">MID(A1,6,23)</f>
        <v>2016/12/04 10:32:32.115</v>
      </c>
      <c r="C1" t="e">
        <f>ABS(B1-#REF!)</f>
        <v>#REF!</v>
      </c>
    </row>
    <row r="2" spans="1:3" x14ac:dyDescent="0.25">
      <c r="A2" t="s">
        <v>816</v>
      </c>
      <c r="B2" s="21" t="str">
        <f t="shared" si="0"/>
        <v>2016/12/04 10:32:32.498</v>
      </c>
      <c r="C2">
        <f>ABS(B2-B1)</f>
        <v>4.432869900483638E-6</v>
      </c>
    </row>
    <row r="3" spans="1:3" x14ac:dyDescent="0.25">
      <c r="A3" t="s">
        <v>817</v>
      </c>
      <c r="B3" s="21" t="str">
        <f t="shared" si="0"/>
        <v>2016/12/04 10:32:32.920</v>
      </c>
      <c r="C3" s="21">
        <f t="shared" ref="C3:C52" si="1">ABS(B3-B2)</f>
        <v>4.8842630349099636E-6</v>
      </c>
    </row>
    <row r="4" spans="1:3" x14ac:dyDescent="0.25">
      <c r="A4" t="s">
        <v>818</v>
      </c>
      <c r="B4" s="21" t="str">
        <f t="shared" si="0"/>
        <v>2016/12/04 12:33:13.583</v>
      </c>
      <c r="C4" s="21">
        <f t="shared" si="1"/>
        <v>8.3803969908331055E-2</v>
      </c>
    </row>
    <row r="5" spans="1:3" x14ac:dyDescent="0.25">
      <c r="A5" t="s">
        <v>819</v>
      </c>
      <c r="B5" s="21" t="str">
        <f t="shared" si="0"/>
        <v>2016/12/04 12:33:13.878</v>
      </c>
      <c r="C5" s="21">
        <f t="shared" si="1"/>
        <v>3.4143522498197854E-6</v>
      </c>
    </row>
    <row r="6" spans="1:3" x14ac:dyDescent="0.25">
      <c r="A6" t="s">
        <v>820</v>
      </c>
      <c r="B6" s="21" t="str">
        <f t="shared" si="0"/>
        <v>2016/12/04 12:33:14.165</v>
      </c>
      <c r="C6" s="21">
        <f t="shared" si="1"/>
        <v>3.3217584132216871E-6</v>
      </c>
    </row>
    <row r="7" spans="1:3" x14ac:dyDescent="0.25">
      <c r="A7" t="s">
        <v>821</v>
      </c>
      <c r="B7" s="21" t="str">
        <f t="shared" si="0"/>
        <v>2016/12/04 12:33:51.595</v>
      </c>
      <c r="C7" s="21">
        <f t="shared" si="1"/>
        <v>4.3321758857928216E-4</v>
      </c>
    </row>
    <row r="8" spans="1:3" x14ac:dyDescent="0.25">
      <c r="A8" t="s">
        <v>822</v>
      </c>
      <c r="B8" s="21" t="str">
        <f t="shared" si="0"/>
        <v>2016/12/04 12:33:51.888</v>
      </c>
      <c r="C8" s="21">
        <f t="shared" si="1"/>
        <v>3.3912074286490679E-6</v>
      </c>
    </row>
    <row r="9" spans="1:3" x14ac:dyDescent="0.25">
      <c r="A9" t="s">
        <v>823</v>
      </c>
      <c r="B9" s="21" t="str">
        <f t="shared" si="0"/>
        <v>2016/12/04 12:33:52.175</v>
      </c>
      <c r="C9" s="21">
        <f t="shared" si="1"/>
        <v>3.3217584132216871E-6</v>
      </c>
    </row>
    <row r="10" spans="1:3" x14ac:dyDescent="0.25">
      <c r="A10" t="s">
        <v>824</v>
      </c>
      <c r="B10" s="21" t="str">
        <f t="shared" si="0"/>
        <v>2016/12/04 14:19:11.060</v>
      </c>
      <c r="C10" s="21">
        <f t="shared" si="1"/>
        <v>7.3135243052092846E-2</v>
      </c>
    </row>
    <row r="11" spans="1:3" x14ac:dyDescent="0.25">
      <c r="A11" t="s">
        <v>825</v>
      </c>
      <c r="B11" s="21" t="str">
        <f t="shared" si="0"/>
        <v>2016/12/04 14:19:11.497</v>
      </c>
      <c r="C11" s="21">
        <f t="shared" si="1"/>
        <v>5.0578746595419943E-6</v>
      </c>
    </row>
    <row r="12" spans="1:3" x14ac:dyDescent="0.25">
      <c r="A12" t="s">
        <v>826</v>
      </c>
      <c r="B12" s="21" t="str">
        <f t="shared" si="0"/>
        <v>2016/12/04 14:47:12.487</v>
      </c>
      <c r="C12" s="21">
        <f t="shared" si="1"/>
        <v>1.9455902773188427E-2</v>
      </c>
    </row>
    <row r="13" spans="1:3" x14ac:dyDescent="0.25">
      <c r="A13" t="s">
        <v>827</v>
      </c>
      <c r="B13" s="21" t="str">
        <f t="shared" si="0"/>
        <v>2016/12/04 14:47:13.134</v>
      </c>
      <c r="C13" s="21">
        <f t="shared" si="1"/>
        <v>7.4884301284328103E-6</v>
      </c>
    </row>
    <row r="14" spans="1:3" x14ac:dyDescent="0.25">
      <c r="A14" t="s">
        <v>828</v>
      </c>
      <c r="B14" s="21" t="str">
        <f t="shared" si="0"/>
        <v>2016/12/04 14:47:13.181</v>
      </c>
      <c r="C14" s="21">
        <f t="shared" si="1"/>
        <v>5.4397969506680965E-7</v>
      </c>
    </row>
    <row r="15" spans="1:3" x14ac:dyDescent="0.25">
      <c r="A15" t="s">
        <v>829</v>
      </c>
      <c r="B15" s="21" t="str">
        <f t="shared" si="0"/>
        <v>2016/12/04 15:28:15.610</v>
      </c>
      <c r="C15" s="21">
        <f t="shared" si="1"/>
        <v>2.8500335647549946E-2</v>
      </c>
    </row>
    <row r="16" spans="1:3" x14ac:dyDescent="0.25">
      <c r="A16" t="s">
        <v>830</v>
      </c>
      <c r="B16" s="21" t="str">
        <f t="shared" si="0"/>
        <v>2016/12/04 15:28:15.904</v>
      </c>
      <c r="C16" s="21">
        <f t="shared" si="1"/>
        <v>3.4027762012556195E-6</v>
      </c>
    </row>
    <row r="17" spans="1:3" x14ac:dyDescent="0.25">
      <c r="A17" t="s">
        <v>831</v>
      </c>
      <c r="B17" s="21" t="str">
        <f t="shared" si="0"/>
        <v>2016/12/04 15:28:16.188</v>
      </c>
      <c r="C17" s="21">
        <f t="shared" si="1"/>
        <v>3.2870375434868038E-6</v>
      </c>
    </row>
    <row r="18" spans="1:3" x14ac:dyDescent="0.25">
      <c r="A18" t="s">
        <v>832</v>
      </c>
      <c r="B18" s="21" t="str">
        <f t="shared" si="0"/>
        <v>2016/12/04 15:34:12.587</v>
      </c>
      <c r="C18" s="21">
        <f t="shared" si="1"/>
        <v>4.1249884307035245E-3</v>
      </c>
    </row>
    <row r="19" spans="1:3" x14ac:dyDescent="0.25">
      <c r="A19" t="s">
        <v>833</v>
      </c>
      <c r="B19" s="21" t="str">
        <f t="shared" si="0"/>
        <v>2016/12/04 15:34:12.877</v>
      </c>
      <c r="C19" s="21">
        <f t="shared" si="1"/>
        <v>3.3564792829565704E-6</v>
      </c>
    </row>
    <row r="20" spans="1:3" x14ac:dyDescent="0.25">
      <c r="A20" t="s">
        <v>834</v>
      </c>
      <c r="B20" s="21" t="str">
        <f t="shared" si="0"/>
        <v>2016/12/04 15:34:13.173</v>
      </c>
      <c r="C20" s="21">
        <f t="shared" si="1"/>
        <v>3.4259282983839512E-6</v>
      </c>
    </row>
    <row r="21" spans="1:3" x14ac:dyDescent="0.25">
      <c r="A21" t="s">
        <v>835</v>
      </c>
      <c r="B21" s="21" t="str">
        <f t="shared" si="0"/>
        <v>2016/12/04 16:09:09.932</v>
      </c>
      <c r="C21" s="21">
        <f t="shared" si="1"/>
        <v>2.4268043976917397E-2</v>
      </c>
    </row>
    <row r="22" spans="1:3" x14ac:dyDescent="0.25">
      <c r="A22" t="s">
        <v>836</v>
      </c>
      <c r="B22" s="21" t="str">
        <f t="shared" si="0"/>
        <v>2016/12/04 16:09:10.605</v>
      </c>
      <c r="C22" s="21">
        <f t="shared" si="1"/>
        <v>7.7893564593978226E-6</v>
      </c>
    </row>
    <row r="23" spans="1:3" x14ac:dyDescent="0.25">
      <c r="A23" t="s">
        <v>837</v>
      </c>
      <c r="B23" s="21" t="str">
        <f t="shared" si="0"/>
        <v>2016/12/04 16:27:57.612</v>
      </c>
      <c r="C23" s="21">
        <f t="shared" si="1"/>
        <v>1.3044062499830034E-2</v>
      </c>
    </row>
    <row r="24" spans="1:3" x14ac:dyDescent="0.25">
      <c r="A24" t="s">
        <v>838</v>
      </c>
      <c r="B24" s="21" t="str">
        <f t="shared" si="0"/>
        <v>2016/12/04 16:27:58.337</v>
      </c>
      <c r="C24" s="21">
        <f t="shared" si="1"/>
        <v>8.3912018453702331E-6</v>
      </c>
    </row>
    <row r="25" spans="1:3" x14ac:dyDescent="0.25">
      <c r="A25" t="s">
        <v>839</v>
      </c>
      <c r="B25" s="21" t="str">
        <f t="shared" si="0"/>
        <v>2016/12/04 16:39:05.475</v>
      </c>
      <c r="C25" s="21">
        <f t="shared" si="1"/>
        <v>7.7215046258061193E-3</v>
      </c>
    </row>
    <row r="26" spans="1:3" x14ac:dyDescent="0.25">
      <c r="A26" t="s">
        <v>840</v>
      </c>
      <c r="B26" s="21" t="str">
        <f t="shared" si="0"/>
        <v>2016/12/04 16:39:05.499</v>
      </c>
      <c r="C26" s="21">
        <f t="shared" si="1"/>
        <v>2.7778150979429483E-7</v>
      </c>
    </row>
    <row r="27" spans="1:3" x14ac:dyDescent="0.25">
      <c r="A27" t="s">
        <v>841</v>
      </c>
      <c r="B27" s="21" t="str">
        <f t="shared" si="0"/>
        <v>2016/12/04 16:39:06.170</v>
      </c>
      <c r="C27" s="21">
        <f t="shared" si="1"/>
        <v>7.766204362269491E-6</v>
      </c>
    </row>
    <row r="28" spans="1:3" x14ac:dyDescent="0.25">
      <c r="A28" t="s">
        <v>842</v>
      </c>
      <c r="B28" s="21" t="str">
        <f t="shared" si="0"/>
        <v>2016/12/04 16:39:06.195</v>
      </c>
      <c r="C28" s="21">
        <f t="shared" si="1"/>
        <v>2.8935028240084648E-7</v>
      </c>
    </row>
    <row r="29" spans="1:3" x14ac:dyDescent="0.25">
      <c r="A29" t="s">
        <v>843</v>
      </c>
      <c r="B29" s="21" t="str">
        <f t="shared" si="0"/>
        <v>2016/12/04 16:49:56.875</v>
      </c>
      <c r="C29" s="21">
        <f t="shared" si="1"/>
        <v>7.5310185202397406E-3</v>
      </c>
    </row>
    <row r="30" spans="1:3" x14ac:dyDescent="0.25">
      <c r="A30" t="s">
        <v>844</v>
      </c>
      <c r="B30" s="21" t="str">
        <f t="shared" si="0"/>
        <v>2016/12/04 16:49:56.907</v>
      </c>
      <c r="C30" s="21">
        <f t="shared" si="1"/>
        <v>3.7036807043477893E-7</v>
      </c>
    </row>
    <row r="31" spans="1:3" x14ac:dyDescent="0.25">
      <c r="A31" t="s">
        <v>845</v>
      </c>
      <c r="B31" s="21" t="str">
        <f t="shared" si="0"/>
        <v>2016/12/04 16:57:14.172</v>
      </c>
      <c r="C31" s="21">
        <f t="shared" si="1"/>
        <v>5.0609375030035153E-3</v>
      </c>
    </row>
    <row r="32" spans="1:3" x14ac:dyDescent="0.25">
      <c r="A32" t="s">
        <v>846</v>
      </c>
      <c r="B32" s="21" t="str">
        <f t="shared" si="0"/>
        <v>2016/12/04 16:57:14.766</v>
      </c>
      <c r="C32" s="21">
        <f t="shared" si="1"/>
        <v>6.8750014179386199E-6</v>
      </c>
    </row>
    <row r="33" spans="1:3" x14ac:dyDescent="0.25">
      <c r="A33" t="s">
        <v>847</v>
      </c>
      <c r="B33" s="21" t="str">
        <f t="shared" si="0"/>
        <v>2016/12/04 16:57:14.816</v>
      </c>
      <c r="C33" s="21">
        <f t="shared" si="1"/>
        <v>5.7870056480169296E-7</v>
      </c>
    </row>
    <row r="34" spans="1:3" x14ac:dyDescent="0.25">
      <c r="A34" t="s">
        <v>848</v>
      </c>
      <c r="B34" s="21" t="str">
        <f t="shared" si="0"/>
        <v>2016/12/04 17:46:29.642</v>
      </c>
      <c r="C34" s="21">
        <f t="shared" si="1"/>
        <v>3.4199374997115228E-2</v>
      </c>
    </row>
    <row r="35" spans="1:3" x14ac:dyDescent="0.25">
      <c r="A35" t="s">
        <v>849</v>
      </c>
      <c r="B35" s="21" t="str">
        <f t="shared" si="0"/>
        <v>2016/12/04 17:46:30.426</v>
      </c>
      <c r="C35" s="21">
        <f t="shared" si="1"/>
        <v>9.0740795712918043E-6</v>
      </c>
    </row>
    <row r="36" spans="1:3" x14ac:dyDescent="0.25">
      <c r="A36" t="s">
        <v>850</v>
      </c>
      <c r="B36" s="21" t="str">
        <f t="shared" si="0"/>
        <v>2016/12/04 17:46:31.140</v>
      </c>
      <c r="C36" s="21">
        <f t="shared" si="1"/>
        <v>8.2638871390372515E-6</v>
      </c>
    </row>
    <row r="37" spans="1:3" x14ac:dyDescent="0.25">
      <c r="A37" t="s">
        <v>851</v>
      </c>
      <c r="B37" s="21" t="str">
        <f t="shared" si="0"/>
        <v>2016/12/04 17:47:49.384</v>
      </c>
      <c r="C37" s="21">
        <f t="shared" si="1"/>
        <v>9.0560185344656929E-4</v>
      </c>
    </row>
    <row r="38" spans="1:3" x14ac:dyDescent="0.25">
      <c r="A38" t="s">
        <v>852</v>
      </c>
      <c r="B38" s="21" t="str">
        <f t="shared" si="0"/>
        <v>2016/12/04 17:47:49.401</v>
      </c>
      <c r="C38" s="21">
        <f t="shared" si="1"/>
        <v>1.967564458027482E-7</v>
      </c>
    </row>
    <row r="39" spans="1:3" x14ac:dyDescent="0.25">
      <c r="A39" t="s">
        <v>853</v>
      </c>
      <c r="B39" s="21" t="str">
        <f t="shared" si="0"/>
        <v>2016/12/04 17:47:49.897</v>
      </c>
      <c r="C39" s="21">
        <f t="shared" si="1"/>
        <v>5.7407378335483372E-6</v>
      </c>
    </row>
    <row r="40" spans="1:3" x14ac:dyDescent="0.25">
      <c r="A40" t="s">
        <v>854</v>
      </c>
      <c r="B40" s="21" t="str">
        <f t="shared" si="0"/>
        <v>2016/12/04 17:47:49.926</v>
      </c>
      <c r="C40" s="21">
        <f t="shared" si="1"/>
        <v>3.356544766575098E-7</v>
      </c>
    </row>
    <row r="41" spans="1:3" x14ac:dyDescent="0.25">
      <c r="A41" t="s">
        <v>855</v>
      </c>
      <c r="B41" s="21" t="str">
        <f t="shared" si="0"/>
        <v>2016/12/04 19:46:52.895</v>
      </c>
      <c r="C41" s="21">
        <f t="shared" si="1"/>
        <v>8.2673252312815748E-2</v>
      </c>
    </row>
    <row r="42" spans="1:3" x14ac:dyDescent="0.25">
      <c r="A42" t="s">
        <v>856</v>
      </c>
      <c r="B42" s="21" t="str">
        <f t="shared" si="0"/>
        <v>2016/12/04 19:46:53.351</v>
      </c>
      <c r="C42" s="21">
        <f t="shared" si="1"/>
        <v>5.27777592651546E-6</v>
      </c>
    </row>
    <row r="43" spans="1:3" x14ac:dyDescent="0.25">
      <c r="A43" t="s">
        <v>857</v>
      </c>
      <c r="B43" s="21" t="str">
        <f t="shared" si="0"/>
        <v>2016/12/04 21:10:23.013</v>
      </c>
      <c r="C43" s="21">
        <f t="shared" si="1"/>
        <v>5.7982199075922836E-2</v>
      </c>
    </row>
    <row r="44" spans="1:3" x14ac:dyDescent="0.25">
      <c r="A44" t="s">
        <v>858</v>
      </c>
      <c r="B44" s="21" t="str">
        <f t="shared" si="0"/>
        <v>2016/12/04 21:10:23.552</v>
      </c>
      <c r="C44" s="21">
        <f t="shared" si="1"/>
        <v>6.2384278862737119E-6</v>
      </c>
    </row>
    <row r="45" spans="1:3" x14ac:dyDescent="0.25">
      <c r="A45" t="s">
        <v>859</v>
      </c>
      <c r="B45" s="21" t="str">
        <f t="shared" si="0"/>
        <v>2016/12/04 21:10:23.669</v>
      </c>
      <c r="C45" s="21">
        <f t="shared" si="1"/>
        <v>1.3541648513637483E-6</v>
      </c>
    </row>
    <row r="46" spans="1:3" x14ac:dyDescent="0.25">
      <c r="A46" t="s">
        <v>860</v>
      </c>
      <c r="B46" s="21" t="str">
        <f t="shared" si="0"/>
        <v>2016/12/05 00:21:01.515</v>
      </c>
      <c r="C46" s="21">
        <f t="shared" si="1"/>
        <v>0.13238247684785165</v>
      </c>
    </row>
    <row r="47" spans="1:3" x14ac:dyDescent="0.25">
      <c r="A47" t="s">
        <v>861</v>
      </c>
      <c r="B47" s="21" t="str">
        <f t="shared" si="0"/>
        <v>2016/12/05 00:21:01.906</v>
      </c>
      <c r="C47" s="21">
        <f t="shared" si="1"/>
        <v>4.5254637370817363E-6</v>
      </c>
    </row>
    <row r="48" spans="1:3" x14ac:dyDescent="0.25">
      <c r="A48" t="s">
        <v>862</v>
      </c>
      <c r="B48" s="21" t="str">
        <f t="shared" si="0"/>
        <v>2016/12/05 00:21:01.919</v>
      </c>
      <c r="C48" s="21">
        <f t="shared" si="1"/>
        <v>1.5046680346131325E-7</v>
      </c>
    </row>
    <row r="49" spans="1:3" x14ac:dyDescent="0.25">
      <c r="A49" t="s">
        <v>863</v>
      </c>
      <c r="B49" s="21" t="str">
        <f t="shared" si="0"/>
        <v>2016/12/05 00:52:44.191</v>
      </c>
      <c r="C49" s="21">
        <f t="shared" si="1"/>
        <v>2.2017037037585396E-2</v>
      </c>
    </row>
    <row r="50" spans="1:3" x14ac:dyDescent="0.25">
      <c r="A50" t="s">
        <v>864</v>
      </c>
      <c r="B50" s="21" t="str">
        <f t="shared" si="0"/>
        <v>2016/12/05 00:52:44.503</v>
      </c>
      <c r="C50" s="21">
        <f t="shared" si="1"/>
        <v>3.6111086956225336E-6</v>
      </c>
    </row>
    <row r="51" spans="1:3" x14ac:dyDescent="0.25">
      <c r="A51" t="s">
        <v>865</v>
      </c>
      <c r="B51" s="21" t="str">
        <f t="shared" si="0"/>
        <v>2016/12/05 01:28:18.919</v>
      </c>
      <c r="C51" s="21">
        <f t="shared" si="1"/>
        <v>2.4703888891963288E-2</v>
      </c>
    </row>
    <row r="52" spans="1:3" x14ac:dyDescent="0.25">
      <c r="A52" t="s">
        <v>866</v>
      </c>
      <c r="B52" s="21" t="str">
        <f t="shared" si="0"/>
        <v>2016/12/05 01:28:19.528</v>
      </c>
      <c r="C52" s="21">
        <f t="shared" si="1"/>
        <v>7.0486057666130364E-6</v>
      </c>
    </row>
    <row r="53" spans="1:3" x14ac:dyDescent="0.25">
      <c r="B53" s="21"/>
      <c r="C53" s="21"/>
    </row>
    <row r="54" spans="1:3" x14ac:dyDescent="0.25">
      <c r="B54" s="21"/>
      <c r="C54" s="21"/>
    </row>
    <row r="55" spans="1:3" x14ac:dyDescent="0.25">
      <c r="B55" s="21"/>
      <c r="C55" s="21"/>
    </row>
    <row r="56" spans="1:3" x14ac:dyDescent="0.25">
      <c r="B56" s="21"/>
      <c r="C56" s="21"/>
    </row>
    <row r="57" spans="1:3" x14ac:dyDescent="0.25">
      <c r="B57" s="21"/>
      <c r="C57" s="21"/>
    </row>
    <row r="58" spans="1:3" x14ac:dyDescent="0.25">
      <c r="B58" s="21"/>
      <c r="C58" s="21"/>
    </row>
    <row r="59" spans="1:3" x14ac:dyDescent="0.25">
      <c r="B59" s="21"/>
      <c r="C59" s="21"/>
    </row>
    <row r="60" spans="1:3" x14ac:dyDescent="0.25">
      <c r="B60" s="21"/>
      <c r="C60" s="21"/>
    </row>
    <row r="61" spans="1:3" x14ac:dyDescent="0.25">
      <c r="B61" s="21"/>
      <c r="C61" s="21"/>
    </row>
    <row r="62" spans="1:3" x14ac:dyDescent="0.25">
      <c r="B62" s="21"/>
      <c r="C62" s="21"/>
    </row>
    <row r="63" spans="1:3" x14ac:dyDescent="0.25">
      <c r="B63" s="21"/>
      <c r="C63" s="21"/>
    </row>
    <row r="64" spans="1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2016-12-05T19:06:15Z</dcterms:modified>
</cp:coreProperties>
</file>