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Enforcements!$A$6:$AC$69</definedName>
    <definedName name="_xlnm._FilterDatabase" localSheetId="2" hidden="1">'Missing Trips'!$A$2:$J$115</definedName>
    <definedName name="_xlnm._FilterDatabase" localSheetId="0" hidden="1">'Train Runs'!$A$12:$AG$253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9" l="1"/>
  <c r="C87" i="9" s="1"/>
  <c r="B88" i="9"/>
  <c r="C88" i="9"/>
  <c r="B89" i="9"/>
  <c r="C89" i="9" s="1"/>
  <c r="B90" i="9"/>
  <c r="C90" i="9"/>
  <c r="B91" i="9"/>
  <c r="C91" i="9" s="1"/>
  <c r="B92" i="9"/>
  <c r="C92" i="9"/>
  <c r="B93" i="9"/>
  <c r="C93" i="9" s="1"/>
  <c r="B94" i="9"/>
  <c r="C94" i="9"/>
  <c r="B95" i="9"/>
  <c r="C95" i="9" s="1"/>
  <c r="B96" i="9"/>
  <c r="C96" i="9"/>
  <c r="B97" i="9"/>
  <c r="C97" i="9" s="1"/>
  <c r="B98" i="9"/>
  <c r="C98" i="9"/>
  <c r="B99" i="9"/>
  <c r="C99" i="9" s="1"/>
  <c r="B100" i="9"/>
  <c r="C100" i="9"/>
  <c r="B101" i="9"/>
  <c r="C101" i="9" s="1"/>
  <c r="B102" i="9"/>
  <c r="C102" i="9"/>
  <c r="B103" i="9"/>
  <c r="C103" i="9" s="1"/>
  <c r="B104" i="9"/>
  <c r="C104" i="9"/>
  <c r="B105" i="9"/>
  <c r="C105" i="9" s="1"/>
  <c r="B106" i="9"/>
  <c r="C106" i="9"/>
  <c r="B107" i="9"/>
  <c r="C107" i="9" s="1"/>
  <c r="B108" i="9"/>
  <c r="C108" i="9"/>
  <c r="B109" i="9"/>
  <c r="C109" i="9" s="1"/>
  <c r="B110" i="9"/>
  <c r="C110" i="9"/>
  <c r="B111" i="9"/>
  <c r="C111" i="9" s="1"/>
  <c r="B112" i="9"/>
  <c r="C112" i="9"/>
  <c r="B113" i="9"/>
  <c r="C113" i="9" s="1"/>
  <c r="B114" i="9"/>
  <c r="C114" i="9"/>
  <c r="B115" i="9"/>
  <c r="C115" i="9" s="1"/>
  <c r="B116" i="9"/>
  <c r="C116" i="9"/>
  <c r="B117" i="9"/>
  <c r="C117" i="9" s="1"/>
  <c r="B118" i="9"/>
  <c r="C118" i="9"/>
  <c r="B119" i="9"/>
  <c r="C119" i="9" s="1"/>
  <c r="B120" i="9"/>
  <c r="C120" i="9"/>
  <c r="B121" i="9"/>
  <c r="C121" i="9" s="1"/>
  <c r="B122" i="9"/>
  <c r="C122" i="9"/>
  <c r="B123" i="9"/>
  <c r="C123" i="9" s="1"/>
  <c r="B124" i="9"/>
  <c r="C124" i="9"/>
  <c r="B125" i="9"/>
  <c r="C125" i="9" s="1"/>
  <c r="B126" i="9"/>
  <c r="C126" i="9"/>
  <c r="B127" i="9"/>
  <c r="C127" i="9" s="1"/>
  <c r="B128" i="9"/>
  <c r="C128" i="9"/>
  <c r="B129" i="9"/>
  <c r="C129" i="9" s="1"/>
  <c r="B130" i="9"/>
  <c r="C130" i="9"/>
  <c r="B131" i="9"/>
  <c r="C131" i="9" s="1"/>
  <c r="B132" i="9"/>
  <c r="C132" i="9"/>
  <c r="B133" i="9"/>
  <c r="C133" i="9" s="1"/>
  <c r="B134" i="9"/>
  <c r="C134" i="9"/>
  <c r="B135" i="9"/>
  <c r="C135" i="9" s="1"/>
  <c r="B136" i="9"/>
  <c r="C136" i="9"/>
  <c r="B137" i="9"/>
  <c r="C137" i="9" s="1"/>
  <c r="B138" i="9"/>
  <c r="C138" i="9"/>
  <c r="B139" i="9"/>
  <c r="C139" i="9" s="1"/>
  <c r="B140" i="9"/>
  <c r="C140" i="9"/>
  <c r="B141" i="9"/>
  <c r="C141" i="9" s="1"/>
  <c r="B142" i="9"/>
  <c r="C142" i="9"/>
  <c r="B143" i="9"/>
  <c r="C143" i="9" s="1"/>
  <c r="B144" i="9"/>
  <c r="C144" i="9"/>
  <c r="B145" i="9"/>
  <c r="C145" i="9" s="1"/>
  <c r="B146" i="9"/>
  <c r="C146" i="9"/>
  <c r="K14" i="1" l="1"/>
  <c r="L14" i="1"/>
  <c r="M14" i="1"/>
  <c r="N14" i="1" s="1"/>
  <c r="V14" i="1"/>
  <c r="S52" i="3" s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/>
  <c r="W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G21" i="1"/>
  <c r="AH21" i="1"/>
  <c r="AI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G31" i="1"/>
  <c r="U31" i="1" s="1"/>
  <c r="S31" i="1" s="1"/>
  <c r="AH31" i="1"/>
  <c r="AM31" i="1"/>
  <c r="AN31" i="1"/>
  <c r="K32" i="1"/>
  <c r="L32" i="1"/>
  <c r="M32" i="1"/>
  <c r="N32" i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AA33" i="1" s="1"/>
  <c r="Z33" i="1"/>
  <c r="AB33" i="1"/>
  <c r="AC33" i="1"/>
  <c r="AD33" i="1"/>
  <c r="X34" i="1" s="1"/>
  <c r="AE33" i="1"/>
  <c r="AF33" i="1"/>
  <c r="AH33" i="1"/>
  <c r="AM33" i="1"/>
  <c r="AN33" i="1"/>
  <c r="K34" i="1"/>
  <c r="L34" i="1"/>
  <c r="M34" i="1"/>
  <c r="N34" i="1" s="1"/>
  <c r="T34" i="1"/>
  <c r="V34" i="1"/>
  <c r="Y34" i="1"/>
  <c r="Z34" i="1"/>
  <c r="AA34" i="1" s="1"/>
  <c r="W34" i="1" s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G35" i="1"/>
  <c r="AI35" i="1" s="1"/>
  <c r="AH35" i="1"/>
  <c r="AM35" i="1"/>
  <c r="AN35" i="1"/>
  <c r="K36" i="1"/>
  <c r="L36" i="1"/>
  <c r="M36" i="1"/>
  <c r="N36" i="1" s="1"/>
  <c r="V36" i="1"/>
  <c r="X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/>
  <c r="W39" i="1" s="1"/>
  <c r="AB39" i="1"/>
  <c r="AC39" i="1"/>
  <c r="AD39" i="1"/>
  <c r="T39" i="1" s="1"/>
  <c r="AE39" i="1"/>
  <c r="AF39" i="1"/>
  <c r="AG39" i="1"/>
  <c r="AH39" i="1"/>
  <c r="AI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G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/>
  <c r="W47" i="1" s="1"/>
  <c r="AB47" i="1"/>
  <c r="AC47" i="1"/>
  <c r="AD47" i="1"/>
  <c r="T47" i="1" s="1"/>
  <c r="AE47" i="1"/>
  <c r="AF47" i="1"/>
  <c r="AG47" i="1"/>
  <c r="AH47" i="1"/>
  <c r="AI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Z49" i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G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X59" i="1"/>
  <c r="Y59" i="1"/>
  <c r="AA59" i="1" s="1"/>
  <c r="Z59" i="1"/>
  <c r="AB59" i="1"/>
  <c r="AC59" i="1"/>
  <c r="AD59" i="1"/>
  <c r="T59" i="1" s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G63" i="1"/>
  <c r="AH63" i="1"/>
  <c r="AI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W69" i="1" s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/>
  <c r="V70" i="1"/>
  <c r="Y70" i="1"/>
  <c r="Z70" i="1"/>
  <c r="AA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X72" i="1"/>
  <c r="Y72" i="1"/>
  <c r="Z72" i="1"/>
  <c r="AB72" i="1"/>
  <c r="AC72" i="1"/>
  <c r="AD72" i="1"/>
  <c r="T72" i="1" s="1"/>
  <c r="AE72" i="1"/>
  <c r="AF72" i="1"/>
  <c r="AG72" i="1"/>
  <c r="U72" i="1" s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G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T83" i="1"/>
  <c r="V83" i="1"/>
  <c r="Y83" i="1"/>
  <c r="Z83" i="1"/>
  <c r="AA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A88" i="1" s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AA89" i="1" s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G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AA93" i="1" s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G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G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X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G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AA103" i="1" s="1"/>
  <c r="Z103" i="1"/>
  <c r="AB103" i="1"/>
  <c r="AC103" i="1"/>
  <c r="AD103" i="1"/>
  <c r="X104" i="1" s="1"/>
  <c r="AE103" i="1"/>
  <c r="AF103" i="1"/>
  <c r="AG103" i="1"/>
  <c r="AH103" i="1"/>
  <c r="AM103" i="1"/>
  <c r="AN103" i="1"/>
  <c r="K104" i="1"/>
  <c r="L104" i="1"/>
  <c r="M104" i="1"/>
  <c r="N104" i="1" s="1"/>
  <c r="T104" i="1"/>
  <c r="V104" i="1"/>
  <c r="Y104" i="1"/>
  <c r="Z104" i="1"/>
  <c r="AA104" i="1" s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G105" i="1"/>
  <c r="U105" i="1" s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T107" i="1"/>
  <c r="V107" i="1"/>
  <c r="Y107" i="1"/>
  <c r="Z107" i="1"/>
  <c r="AB107" i="1"/>
  <c r="AC107" i="1"/>
  <c r="AD107" i="1"/>
  <c r="AE107" i="1"/>
  <c r="R46" i="3" s="1"/>
  <c r="AF107" i="1"/>
  <c r="AG107" i="1"/>
  <c r="AH107" i="1"/>
  <c r="AI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T112" i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AA115" i="1" s="1"/>
  <c r="Z115" i="1"/>
  <c r="AB115" i="1"/>
  <c r="AC115" i="1"/>
  <c r="AD115" i="1"/>
  <c r="AE115" i="1"/>
  <c r="AF115" i="1"/>
  <c r="AG115" i="1"/>
  <c r="AH115" i="1"/>
  <c r="AM115" i="1"/>
  <c r="AN115" i="1"/>
  <c r="K116" i="1"/>
  <c r="L116" i="1"/>
  <c r="M116" i="1"/>
  <c r="N116" i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X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G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AA123" i="1" s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Z131" i="1"/>
  <c r="AA131" i="1"/>
  <c r="W131" i="1" s="1"/>
  <c r="AB131" i="1"/>
  <c r="AC131" i="1"/>
  <c r="AD131" i="1"/>
  <c r="AG131" i="1" s="1"/>
  <c r="AE131" i="1"/>
  <c r="AF131" i="1"/>
  <c r="AH131" i="1"/>
  <c r="AI131" i="1"/>
  <c r="AM131" i="1"/>
  <c r="AN131" i="1"/>
  <c r="K132" i="1"/>
  <c r="L132" i="1"/>
  <c r="M132" i="1"/>
  <c r="N132" i="1" s="1"/>
  <c r="V132" i="1"/>
  <c r="X132" i="1"/>
  <c r="Y132" i="1"/>
  <c r="Z132" i="1"/>
  <c r="AB132" i="1"/>
  <c r="AC132" i="1"/>
  <c r="AD132" i="1"/>
  <c r="T132" i="1" s="1"/>
  <c r="AE132" i="1"/>
  <c r="AF132" i="1"/>
  <c r="AG132" i="1"/>
  <c r="AH132" i="1"/>
  <c r="AM132" i="1"/>
  <c r="AN132" i="1"/>
  <c r="K133" i="1"/>
  <c r="L133" i="1"/>
  <c r="M133" i="1"/>
  <c r="N133" i="1" s="1"/>
  <c r="V133" i="1"/>
  <c r="S14" i="3" s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S21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AA137" i="1" s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R39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T140" i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G143" i="1"/>
  <c r="AI143" i="1" s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X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G149" i="1"/>
  <c r="U149" i="1" s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I153" i="1" s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T156" i="1"/>
  <c r="V156" i="1"/>
  <c r="Y156" i="1"/>
  <c r="Z156" i="1"/>
  <c r="AA156" i="1" s="1"/>
  <c r="W156" i="1" s="1"/>
  <c r="AB156" i="1"/>
  <c r="AC156" i="1"/>
  <c r="AD156" i="1"/>
  <c r="AG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G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/>
  <c r="W210" i="1" s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V211" i="1"/>
  <c r="X211" i="1"/>
  <c r="Y211" i="1"/>
  <c r="Z211" i="1"/>
  <c r="AB211" i="1"/>
  <c r="AC211" i="1"/>
  <c r="AD211" i="1"/>
  <c r="T211" i="1" s="1"/>
  <c r="AE211" i="1"/>
  <c r="AF211" i="1"/>
  <c r="AG211" i="1"/>
  <c r="U211" i="1" s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8" i="1"/>
  <c r="AM168" i="1"/>
  <c r="AN16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9" i="1"/>
  <c r="AM169" i="1"/>
  <c r="AN16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0" i="1"/>
  <c r="AM170" i="1"/>
  <c r="AN170" i="1"/>
  <c r="K223" i="1"/>
  <c r="L223" i="1"/>
  <c r="M223" i="1"/>
  <c r="N223" i="1" s="1"/>
  <c r="V223" i="1"/>
  <c r="Y223" i="1"/>
  <c r="AA223" i="1" s="1"/>
  <c r="Z223" i="1"/>
  <c r="AB223" i="1"/>
  <c r="AC223" i="1"/>
  <c r="AD223" i="1"/>
  <c r="AE223" i="1"/>
  <c r="AF223" i="1"/>
  <c r="AH171" i="1"/>
  <c r="AM171" i="1"/>
  <c r="AN17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2" i="1"/>
  <c r="AM172" i="1"/>
  <c r="AN172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173" i="1"/>
  <c r="AM173" i="1"/>
  <c r="AN173" i="1"/>
  <c r="K226" i="1"/>
  <c r="L226" i="1"/>
  <c r="M226" i="1"/>
  <c r="N226" i="1"/>
  <c r="V226" i="1"/>
  <c r="Y226" i="1"/>
  <c r="Z226" i="1"/>
  <c r="AA226" i="1"/>
  <c r="AB226" i="1"/>
  <c r="AC226" i="1"/>
  <c r="AD226" i="1"/>
  <c r="T226" i="1" s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AM176" i="1"/>
  <c r="AN176" i="1"/>
  <c r="K229" i="1"/>
  <c r="L229" i="1"/>
  <c r="M229" i="1"/>
  <c r="N229" i="1"/>
  <c r="V229" i="1"/>
  <c r="Y229" i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A231" i="1"/>
  <c r="AB231" i="1"/>
  <c r="AC231" i="1"/>
  <c r="AD231" i="1"/>
  <c r="AE231" i="1"/>
  <c r="AF231" i="1"/>
  <c r="AH179" i="1"/>
  <c r="AM179" i="1"/>
  <c r="AN179" i="1"/>
  <c r="K232" i="1"/>
  <c r="L232" i="1"/>
  <c r="M232" i="1"/>
  <c r="N232" i="1" s="1"/>
  <c r="T232" i="1"/>
  <c r="V232" i="1"/>
  <c r="Y232" i="1"/>
  <c r="Z232" i="1"/>
  <c r="AA232" i="1" s="1"/>
  <c r="AB232" i="1"/>
  <c r="AC232" i="1"/>
  <c r="AD232" i="1"/>
  <c r="X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81" i="1"/>
  <c r="AM181" i="1"/>
  <c r="AN181" i="1"/>
  <c r="K234" i="1"/>
  <c r="L234" i="1"/>
  <c r="M234" i="1"/>
  <c r="N234" i="1"/>
  <c r="V234" i="1"/>
  <c r="Y234" i="1"/>
  <c r="Z234" i="1"/>
  <c r="AB234" i="1"/>
  <c r="AC234" i="1"/>
  <c r="AD234" i="1"/>
  <c r="T234" i="1" s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4" i="1"/>
  <c r="AM184" i="1"/>
  <c r="AN184" i="1"/>
  <c r="K237" i="1"/>
  <c r="L237" i="1"/>
  <c r="M237" i="1"/>
  <c r="N237" i="1"/>
  <c r="V237" i="1"/>
  <c r="Y237" i="1"/>
  <c r="Z237" i="1"/>
  <c r="AB237" i="1"/>
  <c r="AC237" i="1"/>
  <c r="AD237" i="1"/>
  <c r="T237" i="1" s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H186" i="1"/>
  <c r="AM186" i="1"/>
  <c r="AN186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G239" i="1"/>
  <c r="AH187" i="1"/>
  <c r="AM187" i="1"/>
  <c r="AN187" i="1"/>
  <c r="K240" i="1"/>
  <c r="L240" i="1"/>
  <c r="M240" i="1"/>
  <c r="N240" i="1" s="1"/>
  <c r="T240" i="1"/>
  <c r="V240" i="1"/>
  <c r="Y240" i="1"/>
  <c r="Z240" i="1"/>
  <c r="AB240" i="1"/>
  <c r="AC240" i="1"/>
  <c r="AD240" i="1"/>
  <c r="AE240" i="1"/>
  <c r="AF240" i="1"/>
  <c r="AH188" i="1"/>
  <c r="AM188" i="1"/>
  <c r="AN188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R64" i="3" s="1"/>
  <c r="AF241" i="1"/>
  <c r="AH189" i="1"/>
  <c r="AM189" i="1"/>
  <c r="AN189" i="1"/>
  <c r="K242" i="1"/>
  <c r="L242" i="1"/>
  <c r="M242" i="1"/>
  <c r="N242" i="1"/>
  <c r="V242" i="1"/>
  <c r="Y242" i="1"/>
  <c r="Z242" i="1"/>
  <c r="AA242" i="1"/>
  <c r="AB242" i="1"/>
  <c r="AC242" i="1"/>
  <c r="AD242" i="1"/>
  <c r="T242" i="1" s="1"/>
  <c r="AE242" i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R65" i="3" s="1"/>
  <c r="AF244" i="1"/>
  <c r="AH192" i="1"/>
  <c r="AM192" i="1"/>
  <c r="AN192" i="1"/>
  <c r="K245" i="1"/>
  <c r="L245" i="1"/>
  <c r="M245" i="1"/>
  <c r="N245" i="1"/>
  <c r="V245" i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4" i="1"/>
  <c r="AM194" i="1"/>
  <c r="AN194" i="1"/>
  <c r="K247" i="1"/>
  <c r="L247" i="1"/>
  <c r="M247" i="1"/>
  <c r="N247" i="1" s="1"/>
  <c r="V247" i="1"/>
  <c r="Y247" i="1"/>
  <c r="Z247" i="1"/>
  <c r="AA247" i="1"/>
  <c r="W247" i="1" s="1"/>
  <c r="AB247" i="1"/>
  <c r="AC247" i="1"/>
  <c r="AD247" i="1"/>
  <c r="T247" i="1" s="1"/>
  <c r="AE247" i="1"/>
  <c r="AF247" i="1"/>
  <c r="AG247" i="1"/>
  <c r="AH195" i="1"/>
  <c r="AM195" i="1"/>
  <c r="AN195" i="1"/>
  <c r="K248" i="1"/>
  <c r="L248" i="1"/>
  <c r="M248" i="1"/>
  <c r="N248" i="1" s="1"/>
  <c r="V248" i="1"/>
  <c r="Y248" i="1"/>
  <c r="Z248" i="1"/>
  <c r="AA248" i="1" s="1"/>
  <c r="AB248" i="1"/>
  <c r="AC248" i="1"/>
  <c r="AD248" i="1"/>
  <c r="AE248" i="1"/>
  <c r="AF248" i="1"/>
  <c r="AH196" i="1"/>
  <c r="AM196" i="1"/>
  <c r="AN196" i="1"/>
  <c r="K249" i="1"/>
  <c r="L249" i="1"/>
  <c r="M249" i="1"/>
  <c r="N249" i="1" s="1"/>
  <c r="V249" i="1"/>
  <c r="Y249" i="1"/>
  <c r="Z249" i="1"/>
  <c r="AA249" i="1" s="1"/>
  <c r="AB249" i="1"/>
  <c r="AC249" i="1"/>
  <c r="AD249" i="1"/>
  <c r="T249" i="1" s="1"/>
  <c r="AE249" i="1"/>
  <c r="AF249" i="1"/>
  <c r="AH197" i="1"/>
  <c r="AM197" i="1"/>
  <c r="AN197" i="1"/>
  <c r="K250" i="1"/>
  <c r="L250" i="1"/>
  <c r="M250" i="1"/>
  <c r="N250" i="1"/>
  <c r="V250" i="1"/>
  <c r="Y250" i="1"/>
  <c r="AA250" i="1" s="1"/>
  <c r="Z250" i="1"/>
  <c r="AB250" i="1"/>
  <c r="AC250" i="1"/>
  <c r="AD250" i="1"/>
  <c r="T250" i="1" s="1"/>
  <c r="AE250" i="1"/>
  <c r="AF250" i="1"/>
  <c r="AH198" i="1"/>
  <c r="AM198" i="1"/>
  <c r="AN198" i="1"/>
  <c r="K251" i="1"/>
  <c r="L251" i="1"/>
  <c r="M251" i="1"/>
  <c r="N251" i="1" s="1"/>
  <c r="V251" i="1"/>
  <c r="Y251" i="1"/>
  <c r="Z251" i="1"/>
  <c r="AA251" i="1" s="1"/>
  <c r="AB251" i="1"/>
  <c r="AC251" i="1"/>
  <c r="AD251" i="1"/>
  <c r="AG251" i="1" s="1"/>
  <c r="AE251" i="1"/>
  <c r="AF251" i="1"/>
  <c r="AH199" i="1"/>
  <c r="AM199" i="1"/>
  <c r="AN199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00" i="1"/>
  <c r="AM200" i="1"/>
  <c r="AN200" i="1"/>
  <c r="K253" i="1"/>
  <c r="L253" i="1"/>
  <c r="M253" i="1"/>
  <c r="N253" i="1" s="1"/>
  <c r="V253" i="1"/>
  <c r="Y253" i="1"/>
  <c r="Z253" i="1"/>
  <c r="AA253" i="1" s="1"/>
  <c r="AB253" i="1"/>
  <c r="AC253" i="1"/>
  <c r="AD253" i="1"/>
  <c r="T253" i="1" s="1"/>
  <c r="AE253" i="1"/>
  <c r="AF253" i="1"/>
  <c r="AH201" i="1"/>
  <c r="AM201" i="1"/>
  <c r="AN201" i="1"/>
  <c r="K254" i="1"/>
  <c r="L254" i="1"/>
  <c r="M254" i="1"/>
  <c r="N254" i="1"/>
  <c r="V254" i="1"/>
  <c r="Y254" i="1"/>
  <c r="Z254" i="1"/>
  <c r="AA254" i="1"/>
  <c r="AB254" i="1"/>
  <c r="AC254" i="1"/>
  <c r="AD254" i="1"/>
  <c r="T254" i="1" s="1"/>
  <c r="AE254" i="1"/>
  <c r="AF254" i="1"/>
  <c r="AH202" i="1"/>
  <c r="AM202" i="1"/>
  <c r="AN202" i="1"/>
  <c r="K255" i="1"/>
  <c r="L255" i="1"/>
  <c r="M255" i="1"/>
  <c r="N255" i="1" s="1"/>
  <c r="T255" i="1"/>
  <c r="V255" i="1"/>
  <c r="Y255" i="1"/>
  <c r="Z255" i="1"/>
  <c r="AA255" i="1" s="1"/>
  <c r="AB255" i="1"/>
  <c r="AC255" i="1"/>
  <c r="AD255" i="1"/>
  <c r="AE255" i="1"/>
  <c r="AF255" i="1"/>
  <c r="AH203" i="1"/>
  <c r="AM203" i="1"/>
  <c r="AN203" i="1"/>
  <c r="K157" i="1"/>
  <c r="L157" i="1"/>
  <c r="M157" i="1"/>
  <c r="N157" i="1" s="1"/>
  <c r="T157" i="1"/>
  <c r="V157" i="1"/>
  <c r="Y157" i="1"/>
  <c r="Z157" i="1"/>
  <c r="AB157" i="1"/>
  <c r="AC157" i="1"/>
  <c r="AD157" i="1"/>
  <c r="AE157" i="1"/>
  <c r="AF157" i="1"/>
  <c r="AH204" i="1"/>
  <c r="AM204" i="1"/>
  <c r="AN204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205" i="1"/>
  <c r="AM205" i="1"/>
  <c r="AN205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206" i="1"/>
  <c r="AM206" i="1"/>
  <c r="AN206" i="1"/>
  <c r="K160" i="1"/>
  <c r="L160" i="1"/>
  <c r="M160" i="1"/>
  <c r="N160" i="1" s="1"/>
  <c r="V160" i="1"/>
  <c r="S63" i="3" s="1"/>
  <c r="Y160" i="1"/>
  <c r="Z160" i="1"/>
  <c r="AA160" i="1"/>
  <c r="AB160" i="1"/>
  <c r="AC160" i="1"/>
  <c r="AD160" i="1"/>
  <c r="AG160" i="1" s="1"/>
  <c r="AE160" i="1"/>
  <c r="AF160" i="1"/>
  <c r="AH207" i="1"/>
  <c r="AM207" i="1"/>
  <c r="AN207" i="1"/>
  <c r="K161" i="1"/>
  <c r="L161" i="1"/>
  <c r="M161" i="1"/>
  <c r="N161" i="1" s="1"/>
  <c r="V161" i="1"/>
  <c r="X161" i="1"/>
  <c r="Y161" i="1"/>
  <c r="Z161" i="1"/>
  <c r="AB161" i="1"/>
  <c r="AC161" i="1"/>
  <c r="AD161" i="1"/>
  <c r="T161" i="1" s="1"/>
  <c r="AE161" i="1"/>
  <c r="AF161" i="1"/>
  <c r="AG161" i="1"/>
  <c r="AH208" i="1"/>
  <c r="AM208" i="1"/>
  <c r="AN208" i="1"/>
  <c r="K162" i="1"/>
  <c r="L162" i="1"/>
  <c r="M162" i="1"/>
  <c r="N162" i="1"/>
  <c r="V162" i="1"/>
  <c r="Y162" i="1"/>
  <c r="Z162" i="1"/>
  <c r="AB162" i="1"/>
  <c r="AC162" i="1"/>
  <c r="AD162" i="1"/>
  <c r="AE162" i="1"/>
  <c r="AF162" i="1"/>
  <c r="AH209" i="1"/>
  <c r="AM209" i="1"/>
  <c r="AN20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10" i="1"/>
  <c r="AM210" i="1"/>
  <c r="AN210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211" i="1"/>
  <c r="AI211" i="1"/>
  <c r="AM211" i="1"/>
  <c r="AN21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12" i="1"/>
  <c r="AM212" i="1"/>
  <c r="AN21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13" i="1"/>
  <c r="AM213" i="1"/>
  <c r="AN213" i="1"/>
  <c r="K256" i="1"/>
  <c r="L256" i="1"/>
  <c r="M256" i="1"/>
  <c r="N256" i="1" s="1"/>
  <c r="V256" i="1"/>
  <c r="Y256" i="1"/>
  <c r="Z256" i="1"/>
  <c r="AA256" i="1" s="1"/>
  <c r="AB256" i="1"/>
  <c r="AC256" i="1"/>
  <c r="AD256" i="1"/>
  <c r="AE256" i="1"/>
  <c r="AF256" i="1"/>
  <c r="AH214" i="1"/>
  <c r="AM214" i="1"/>
  <c r="AN214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G257" i="1"/>
  <c r="U257" i="1" s="1"/>
  <c r="S257" i="1" s="1"/>
  <c r="AH215" i="1"/>
  <c r="AM215" i="1"/>
  <c r="AN215" i="1"/>
  <c r="K258" i="1"/>
  <c r="L258" i="1"/>
  <c r="M258" i="1"/>
  <c r="N258" i="1" s="1"/>
  <c r="V258" i="1"/>
  <c r="Y258" i="1"/>
  <c r="Z258" i="1"/>
  <c r="AB258" i="1"/>
  <c r="AC258" i="1"/>
  <c r="AD258" i="1"/>
  <c r="X258" i="1" s="1"/>
  <c r="AE258" i="1"/>
  <c r="AF258" i="1"/>
  <c r="AH216" i="1"/>
  <c r="AM216" i="1"/>
  <c r="AN216" i="1"/>
  <c r="K259" i="1"/>
  <c r="L259" i="1"/>
  <c r="M259" i="1"/>
  <c r="N259" i="1" s="1"/>
  <c r="V259" i="1"/>
  <c r="Y259" i="1"/>
  <c r="Z259" i="1"/>
  <c r="AB259" i="1"/>
  <c r="AC259" i="1"/>
  <c r="AD259" i="1"/>
  <c r="AG259" i="1" s="1"/>
  <c r="AE259" i="1"/>
  <c r="AF259" i="1"/>
  <c r="AH217" i="1"/>
  <c r="AM217" i="1"/>
  <c r="AN217" i="1"/>
  <c r="K260" i="1"/>
  <c r="L260" i="1"/>
  <c r="M260" i="1"/>
  <c r="N260" i="1"/>
  <c r="V260" i="1"/>
  <c r="Y260" i="1"/>
  <c r="Z260" i="1"/>
  <c r="AA260" i="1"/>
  <c r="AB260" i="1"/>
  <c r="AC260" i="1"/>
  <c r="AD260" i="1"/>
  <c r="AE260" i="1"/>
  <c r="AF260" i="1"/>
  <c r="AH218" i="1"/>
  <c r="AM218" i="1"/>
  <c r="AN218" i="1"/>
  <c r="K261" i="1"/>
  <c r="L261" i="1"/>
  <c r="M261" i="1"/>
  <c r="N261" i="1" s="1"/>
  <c r="V261" i="1"/>
  <c r="Y261" i="1"/>
  <c r="Z261" i="1"/>
  <c r="AA261" i="1" s="1"/>
  <c r="AB261" i="1"/>
  <c r="AC261" i="1"/>
  <c r="AD261" i="1"/>
  <c r="AE261" i="1"/>
  <c r="AF261" i="1"/>
  <c r="AH219" i="1"/>
  <c r="AM219" i="1"/>
  <c r="AN219" i="1"/>
  <c r="K262" i="1"/>
  <c r="L262" i="1"/>
  <c r="M262" i="1"/>
  <c r="N262" i="1" s="1"/>
  <c r="V262" i="1"/>
  <c r="Y262" i="1"/>
  <c r="Z262" i="1"/>
  <c r="AA262" i="1" s="1"/>
  <c r="AB262" i="1"/>
  <c r="AC262" i="1"/>
  <c r="AD262" i="1"/>
  <c r="X262" i="1" s="1"/>
  <c r="AE262" i="1"/>
  <c r="AF262" i="1"/>
  <c r="AH220" i="1"/>
  <c r="AM220" i="1"/>
  <c r="AN220" i="1"/>
  <c r="K263" i="1"/>
  <c r="L263" i="1"/>
  <c r="M263" i="1"/>
  <c r="N263" i="1" s="1"/>
  <c r="V263" i="1"/>
  <c r="Y263" i="1"/>
  <c r="Z263" i="1"/>
  <c r="AA263" i="1" s="1"/>
  <c r="AB263" i="1"/>
  <c r="AC263" i="1"/>
  <c r="AD263" i="1"/>
  <c r="AE263" i="1"/>
  <c r="AF263" i="1"/>
  <c r="AH221" i="1"/>
  <c r="AM221" i="1"/>
  <c r="AN221" i="1"/>
  <c r="K264" i="1"/>
  <c r="L264" i="1"/>
  <c r="M264" i="1"/>
  <c r="N264" i="1"/>
  <c r="V264" i="1"/>
  <c r="Y264" i="1"/>
  <c r="Z264" i="1"/>
  <c r="AB264" i="1"/>
  <c r="AC264" i="1"/>
  <c r="AD264" i="1"/>
  <c r="AG264" i="1" s="1"/>
  <c r="AE264" i="1"/>
  <c r="AF264" i="1"/>
  <c r="AH222" i="1"/>
  <c r="AM222" i="1"/>
  <c r="AN222" i="1"/>
  <c r="K265" i="1"/>
  <c r="L265" i="1"/>
  <c r="M265" i="1"/>
  <c r="N265" i="1" s="1"/>
  <c r="V265" i="1"/>
  <c r="Y265" i="1"/>
  <c r="Z265" i="1"/>
  <c r="AB265" i="1"/>
  <c r="AC265" i="1"/>
  <c r="AD265" i="1"/>
  <c r="T265" i="1" s="1"/>
  <c r="AE265" i="1"/>
  <c r="AF265" i="1"/>
  <c r="AG265" i="1"/>
  <c r="AH223" i="1"/>
  <c r="AM223" i="1"/>
  <c r="AN223" i="1"/>
  <c r="K266" i="1"/>
  <c r="L266" i="1"/>
  <c r="M266" i="1"/>
  <c r="N266" i="1" s="1"/>
  <c r="V266" i="1"/>
  <c r="Y266" i="1"/>
  <c r="Z266" i="1"/>
  <c r="AB266" i="1"/>
  <c r="AC266" i="1"/>
  <c r="AD266" i="1"/>
  <c r="AG266" i="1" s="1"/>
  <c r="AE266" i="1"/>
  <c r="AF266" i="1"/>
  <c r="AH224" i="1"/>
  <c r="AM224" i="1"/>
  <c r="AN224" i="1"/>
  <c r="K267" i="1"/>
  <c r="L267" i="1"/>
  <c r="M267" i="1"/>
  <c r="N267" i="1" s="1"/>
  <c r="V267" i="1"/>
  <c r="Y267" i="1"/>
  <c r="Z267" i="1"/>
  <c r="AA267" i="1" s="1"/>
  <c r="AB267" i="1"/>
  <c r="AC267" i="1"/>
  <c r="AD267" i="1"/>
  <c r="T267" i="1" s="1"/>
  <c r="AE267" i="1"/>
  <c r="AF267" i="1"/>
  <c r="AH225" i="1"/>
  <c r="AM225" i="1"/>
  <c r="AN225" i="1"/>
  <c r="K268" i="1"/>
  <c r="L268" i="1"/>
  <c r="M268" i="1"/>
  <c r="N268" i="1" s="1"/>
  <c r="T268" i="1"/>
  <c r="V268" i="1"/>
  <c r="Y268" i="1"/>
  <c r="Z268" i="1"/>
  <c r="AA268" i="1" s="1"/>
  <c r="W268" i="1" s="1"/>
  <c r="AB268" i="1"/>
  <c r="AC268" i="1"/>
  <c r="AD268" i="1"/>
  <c r="AG268" i="1" s="1"/>
  <c r="AE268" i="1"/>
  <c r="AF268" i="1"/>
  <c r="AH226" i="1"/>
  <c r="AM226" i="1"/>
  <c r="AN226" i="1"/>
  <c r="K269" i="1"/>
  <c r="L269" i="1"/>
  <c r="M269" i="1"/>
  <c r="N269" i="1"/>
  <c r="V269" i="1"/>
  <c r="Y269" i="1"/>
  <c r="Z269" i="1"/>
  <c r="AB269" i="1"/>
  <c r="AC269" i="1"/>
  <c r="AD269" i="1"/>
  <c r="T269" i="1" s="1"/>
  <c r="AE269" i="1"/>
  <c r="AF269" i="1"/>
  <c r="AH227" i="1"/>
  <c r="AM227" i="1"/>
  <c r="AN227" i="1"/>
  <c r="K270" i="1"/>
  <c r="L270" i="1"/>
  <c r="M270" i="1"/>
  <c r="N270" i="1" s="1"/>
  <c r="V270" i="1"/>
  <c r="Y270" i="1"/>
  <c r="Z270" i="1"/>
  <c r="AA270" i="1" s="1"/>
  <c r="W270" i="1" s="1"/>
  <c r="AB270" i="1"/>
  <c r="AC270" i="1"/>
  <c r="AD270" i="1"/>
  <c r="AG270" i="1" s="1"/>
  <c r="AE270" i="1"/>
  <c r="AF270" i="1"/>
  <c r="AH228" i="1"/>
  <c r="AM228" i="1"/>
  <c r="AN228" i="1"/>
  <c r="K271" i="1"/>
  <c r="L271" i="1"/>
  <c r="M271" i="1"/>
  <c r="N271" i="1" s="1"/>
  <c r="V271" i="1"/>
  <c r="Y271" i="1"/>
  <c r="Z271" i="1"/>
  <c r="AA271" i="1" s="1"/>
  <c r="AB271" i="1"/>
  <c r="AC271" i="1"/>
  <c r="AD271" i="1"/>
  <c r="T271" i="1" s="1"/>
  <c r="AE271" i="1"/>
  <c r="AF271" i="1"/>
  <c r="AH229" i="1"/>
  <c r="AM229" i="1"/>
  <c r="AN229" i="1"/>
  <c r="K167" i="1"/>
  <c r="L167" i="1"/>
  <c r="M167" i="1"/>
  <c r="N167" i="1" s="1"/>
  <c r="V167" i="1"/>
  <c r="X167" i="1"/>
  <c r="Y167" i="1"/>
  <c r="Z167" i="1"/>
  <c r="AB167" i="1"/>
  <c r="AC167" i="1"/>
  <c r="AD167" i="1"/>
  <c r="T167" i="1" s="1"/>
  <c r="AE167" i="1"/>
  <c r="AF167" i="1"/>
  <c r="AG167" i="1"/>
  <c r="AI167" i="1" s="1"/>
  <c r="AH230" i="1"/>
  <c r="AM230" i="1"/>
  <c r="AN230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231" i="1"/>
  <c r="AM231" i="1"/>
  <c r="AN23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32" i="1"/>
  <c r="AM232" i="1"/>
  <c r="AN232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33" i="1"/>
  <c r="AM233" i="1"/>
  <c r="AN233" i="1"/>
  <c r="K171" i="1"/>
  <c r="L171" i="1"/>
  <c r="M171" i="1"/>
  <c r="N171" i="1" s="1"/>
  <c r="V171" i="1"/>
  <c r="X171" i="1"/>
  <c r="Y171" i="1"/>
  <c r="Z171" i="1"/>
  <c r="AB171" i="1"/>
  <c r="AC171" i="1"/>
  <c r="AD171" i="1"/>
  <c r="T171" i="1" s="1"/>
  <c r="AE171" i="1"/>
  <c r="AF171" i="1"/>
  <c r="AG171" i="1"/>
  <c r="AI171" i="1" s="1"/>
  <c r="AH234" i="1"/>
  <c r="AM234" i="1"/>
  <c r="AN23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35" i="1"/>
  <c r="AM235" i="1"/>
  <c r="AN235" i="1"/>
  <c r="K173" i="1"/>
  <c r="L173" i="1"/>
  <c r="M173" i="1"/>
  <c r="N173" i="1" s="1"/>
  <c r="V173" i="1"/>
  <c r="Y173" i="1"/>
  <c r="Z173" i="1"/>
  <c r="AA173" i="1" s="1"/>
  <c r="W173" i="1" s="1"/>
  <c r="AB173" i="1"/>
  <c r="AC173" i="1"/>
  <c r="AD173" i="1"/>
  <c r="AG173" i="1" s="1"/>
  <c r="AE173" i="1"/>
  <c r="AF173" i="1"/>
  <c r="AH236" i="1"/>
  <c r="AM236" i="1"/>
  <c r="AN236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237" i="1"/>
  <c r="AM237" i="1"/>
  <c r="AN23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38" i="1"/>
  <c r="AM238" i="1"/>
  <c r="AN23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39" i="1"/>
  <c r="AM239" i="1"/>
  <c r="AN239" i="1"/>
  <c r="K177" i="1"/>
  <c r="L177" i="1"/>
  <c r="M177" i="1"/>
  <c r="N177" i="1" s="1"/>
  <c r="V177" i="1"/>
  <c r="Y177" i="1"/>
  <c r="Z177" i="1"/>
  <c r="AA177" i="1" s="1"/>
  <c r="AB177" i="1"/>
  <c r="AC177" i="1"/>
  <c r="AD177" i="1"/>
  <c r="AG177" i="1" s="1"/>
  <c r="AE177" i="1"/>
  <c r="AF177" i="1"/>
  <c r="AH240" i="1"/>
  <c r="AM240" i="1"/>
  <c r="AN240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241" i="1"/>
  <c r="AM241" i="1"/>
  <c r="AN24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42" i="1"/>
  <c r="AM242" i="1"/>
  <c r="AN242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43" i="1"/>
  <c r="AM243" i="1"/>
  <c r="AN243" i="1"/>
  <c r="K181" i="1"/>
  <c r="L181" i="1"/>
  <c r="M181" i="1"/>
  <c r="N181" i="1"/>
  <c r="V181" i="1"/>
  <c r="Y181" i="1"/>
  <c r="Z181" i="1"/>
  <c r="AA181" i="1"/>
  <c r="W181" i="1" s="1"/>
  <c r="AB181" i="1"/>
  <c r="AC181" i="1"/>
  <c r="AD181" i="1"/>
  <c r="AG181" i="1" s="1"/>
  <c r="AE181" i="1"/>
  <c r="AF181" i="1"/>
  <c r="AH244" i="1"/>
  <c r="AM244" i="1"/>
  <c r="AN244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45" i="1"/>
  <c r="AM245" i="1"/>
  <c r="AN24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46" i="1"/>
  <c r="AM246" i="1"/>
  <c r="AN24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47" i="1"/>
  <c r="AM247" i="1"/>
  <c r="AN24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48" i="1"/>
  <c r="AM248" i="1"/>
  <c r="AN248" i="1"/>
  <c r="K186" i="1"/>
  <c r="L186" i="1"/>
  <c r="M186" i="1"/>
  <c r="N186" i="1" s="1"/>
  <c r="V186" i="1"/>
  <c r="Y186" i="1"/>
  <c r="Z186" i="1"/>
  <c r="AA186" i="1" s="1"/>
  <c r="W186" i="1" s="1"/>
  <c r="AB186" i="1"/>
  <c r="AC186" i="1"/>
  <c r="AD186" i="1"/>
  <c r="T186" i="1" s="1"/>
  <c r="AE186" i="1"/>
  <c r="AF186" i="1"/>
  <c r="AG186" i="1"/>
  <c r="AH249" i="1"/>
  <c r="AM249" i="1"/>
  <c r="AN249" i="1"/>
  <c r="K187" i="1"/>
  <c r="L187" i="1"/>
  <c r="M187" i="1"/>
  <c r="N187" i="1" s="1"/>
  <c r="V187" i="1"/>
  <c r="X187" i="1"/>
  <c r="Y187" i="1"/>
  <c r="Z187" i="1"/>
  <c r="AB187" i="1"/>
  <c r="AC187" i="1"/>
  <c r="AD187" i="1"/>
  <c r="T187" i="1" s="1"/>
  <c r="AE187" i="1"/>
  <c r="AF187" i="1"/>
  <c r="AG187" i="1"/>
  <c r="AI187" i="1" s="1"/>
  <c r="AH250" i="1"/>
  <c r="AM250" i="1"/>
  <c r="AN25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51" i="1"/>
  <c r="AM251" i="1"/>
  <c r="AN251" i="1"/>
  <c r="K189" i="1"/>
  <c r="L189" i="1"/>
  <c r="M189" i="1"/>
  <c r="N189" i="1" s="1"/>
  <c r="V189" i="1"/>
  <c r="Y189" i="1"/>
  <c r="Z189" i="1"/>
  <c r="AA189" i="1" s="1"/>
  <c r="AB189" i="1"/>
  <c r="AC189" i="1"/>
  <c r="AD189" i="1"/>
  <c r="AG189" i="1" s="1"/>
  <c r="AE189" i="1"/>
  <c r="R61" i="3" s="1"/>
  <c r="AF189" i="1"/>
  <c r="AH252" i="1"/>
  <c r="AM252" i="1"/>
  <c r="AN252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53" i="1"/>
  <c r="AM253" i="1"/>
  <c r="AN25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254" i="1"/>
  <c r="AM254" i="1"/>
  <c r="AN25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55" i="1"/>
  <c r="AM255" i="1"/>
  <c r="AN25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R60" i="3" s="1"/>
  <c r="AF193" i="1"/>
  <c r="AH256" i="1"/>
  <c r="AM256" i="1"/>
  <c r="AN256" i="1"/>
  <c r="K194" i="1"/>
  <c r="L194" i="1"/>
  <c r="M194" i="1"/>
  <c r="N194" i="1" s="1"/>
  <c r="V194" i="1"/>
  <c r="X194" i="1"/>
  <c r="Y194" i="1"/>
  <c r="Z194" i="1"/>
  <c r="AA194" i="1"/>
  <c r="AB194" i="1"/>
  <c r="AC194" i="1"/>
  <c r="AD194" i="1"/>
  <c r="T194" i="1" s="1"/>
  <c r="AE194" i="1"/>
  <c r="AF194" i="1"/>
  <c r="AH257" i="1"/>
  <c r="AM257" i="1"/>
  <c r="AN25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58" i="1"/>
  <c r="AM258" i="1"/>
  <c r="AN25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59" i="1"/>
  <c r="AM259" i="1"/>
  <c r="AN259" i="1"/>
  <c r="K197" i="1"/>
  <c r="L197" i="1"/>
  <c r="M197" i="1"/>
  <c r="N197" i="1" s="1"/>
  <c r="V197" i="1"/>
  <c r="Y197" i="1"/>
  <c r="Z197" i="1"/>
  <c r="AA197" i="1" s="1"/>
  <c r="W197" i="1" s="1"/>
  <c r="AB197" i="1"/>
  <c r="AC197" i="1"/>
  <c r="AD197" i="1"/>
  <c r="AG197" i="1" s="1"/>
  <c r="AE197" i="1"/>
  <c r="AF197" i="1"/>
  <c r="AH260" i="1"/>
  <c r="AM260" i="1"/>
  <c r="AN260" i="1"/>
  <c r="K198" i="1"/>
  <c r="L198" i="1"/>
  <c r="M198" i="1"/>
  <c r="N198" i="1" s="1"/>
  <c r="V198" i="1"/>
  <c r="Y198" i="1"/>
  <c r="AA198" i="1" s="1"/>
  <c r="Z198" i="1"/>
  <c r="AB198" i="1"/>
  <c r="AC198" i="1"/>
  <c r="AD198" i="1"/>
  <c r="T198" i="1" s="1"/>
  <c r="AE198" i="1"/>
  <c r="AF198" i="1"/>
  <c r="AH261" i="1"/>
  <c r="AM261" i="1"/>
  <c r="AN261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62" i="1"/>
  <c r="AM262" i="1"/>
  <c r="AN26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63" i="1"/>
  <c r="AM263" i="1"/>
  <c r="AN263" i="1"/>
  <c r="K201" i="1"/>
  <c r="L201" i="1"/>
  <c r="M201" i="1"/>
  <c r="N201" i="1"/>
  <c r="V201" i="1"/>
  <c r="S62" i="3" s="1"/>
  <c r="Y201" i="1"/>
  <c r="AA201" i="1" s="1"/>
  <c r="Z201" i="1"/>
  <c r="AB201" i="1"/>
  <c r="AC201" i="1"/>
  <c r="AD201" i="1"/>
  <c r="AG201" i="1" s="1"/>
  <c r="AE201" i="1"/>
  <c r="R62" i="3" s="1"/>
  <c r="AF201" i="1"/>
  <c r="AH264" i="1"/>
  <c r="AM264" i="1"/>
  <c r="AN264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65" i="1"/>
  <c r="AI265" i="1"/>
  <c r="AM265" i="1"/>
  <c r="AN265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66" i="1"/>
  <c r="AM266" i="1"/>
  <c r="AN266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67" i="1"/>
  <c r="AM267" i="1"/>
  <c r="AN267" i="1"/>
  <c r="K217" i="1"/>
  <c r="L217" i="1"/>
  <c r="M217" i="1"/>
  <c r="N217" i="1"/>
  <c r="V217" i="1"/>
  <c r="Y217" i="1"/>
  <c r="Z217" i="1"/>
  <c r="AA217" i="1"/>
  <c r="W217" i="1" s="1"/>
  <c r="AB217" i="1"/>
  <c r="AC217" i="1"/>
  <c r="AD217" i="1"/>
  <c r="AG217" i="1" s="1"/>
  <c r="AE217" i="1"/>
  <c r="AF217" i="1"/>
  <c r="AH268" i="1"/>
  <c r="AM268" i="1"/>
  <c r="AN268" i="1"/>
  <c r="K218" i="1"/>
  <c r="L218" i="1"/>
  <c r="M218" i="1"/>
  <c r="N218" i="1" s="1"/>
  <c r="V218" i="1"/>
  <c r="S67" i="3" s="1"/>
  <c r="Y218" i="1"/>
  <c r="AA218" i="1" s="1"/>
  <c r="Z218" i="1"/>
  <c r="AB218" i="1"/>
  <c r="AC218" i="1"/>
  <c r="AD218" i="1"/>
  <c r="AG218" i="1" s="1"/>
  <c r="AE218" i="1"/>
  <c r="R67" i="3" s="1"/>
  <c r="AF218" i="1"/>
  <c r="AH269" i="1"/>
  <c r="AM269" i="1"/>
  <c r="AN269" i="1"/>
  <c r="K219" i="1"/>
  <c r="L219" i="1"/>
  <c r="M219" i="1"/>
  <c r="N219" i="1" s="1"/>
  <c r="T219" i="1"/>
  <c r="V219" i="1"/>
  <c r="X219" i="1"/>
  <c r="Y219" i="1"/>
  <c r="Z219" i="1"/>
  <c r="AA219" i="1" s="1"/>
  <c r="AB219" i="1"/>
  <c r="AC219" i="1"/>
  <c r="AD219" i="1"/>
  <c r="AE219" i="1"/>
  <c r="AF219" i="1"/>
  <c r="AG219" i="1"/>
  <c r="AI219" i="1" s="1"/>
  <c r="AH270" i="1"/>
  <c r="AM270" i="1"/>
  <c r="AN270" i="1"/>
  <c r="K220" i="1"/>
  <c r="L220" i="1"/>
  <c r="M220" i="1"/>
  <c r="N220" i="1"/>
  <c r="V220" i="1"/>
  <c r="Y220" i="1"/>
  <c r="Z220" i="1"/>
  <c r="AA220" i="1" s="1"/>
  <c r="AB220" i="1"/>
  <c r="AC220" i="1"/>
  <c r="AD220" i="1"/>
  <c r="T220" i="1" s="1"/>
  <c r="AE220" i="1"/>
  <c r="AF220" i="1"/>
  <c r="AH271" i="1"/>
  <c r="AM271" i="1"/>
  <c r="AN271" i="1"/>
  <c r="M17" i="3"/>
  <c r="R17" i="3"/>
  <c r="S17" i="3"/>
  <c r="U17" i="3"/>
  <c r="T17" i="3" s="1"/>
  <c r="V17" i="3"/>
  <c r="W17" i="3"/>
  <c r="X17" i="3"/>
  <c r="AC17" i="3"/>
  <c r="M52" i="3"/>
  <c r="R52" i="3"/>
  <c r="U52" i="3"/>
  <c r="V52" i="3"/>
  <c r="W52" i="3"/>
  <c r="Y52" i="3" s="1"/>
  <c r="X52" i="3"/>
  <c r="M63" i="3"/>
  <c r="R63" i="3"/>
  <c r="U63" i="3"/>
  <c r="AC63" i="3" s="1"/>
  <c r="V63" i="3"/>
  <c r="W63" i="3"/>
  <c r="X63" i="3"/>
  <c r="M53" i="3"/>
  <c r="R53" i="3"/>
  <c r="S53" i="3"/>
  <c r="U53" i="3"/>
  <c r="T53" i="3" s="1"/>
  <c r="V53" i="3"/>
  <c r="W53" i="3"/>
  <c r="X53" i="3"/>
  <c r="AC53" i="3"/>
  <c r="M32" i="3"/>
  <c r="R32" i="3"/>
  <c r="S32" i="3"/>
  <c r="U32" i="3"/>
  <c r="T32" i="3" s="1"/>
  <c r="V32" i="3"/>
  <c r="W32" i="3"/>
  <c r="X32" i="3"/>
  <c r="AC32" i="3"/>
  <c r="M34" i="3"/>
  <c r="R34" i="3"/>
  <c r="S34" i="3"/>
  <c r="U34" i="3"/>
  <c r="V34" i="3"/>
  <c r="W34" i="3"/>
  <c r="X34" i="3"/>
  <c r="M22" i="3"/>
  <c r="R22" i="3"/>
  <c r="S22" i="3"/>
  <c r="U22" i="3"/>
  <c r="AC22" i="3" s="1"/>
  <c r="V22" i="3"/>
  <c r="W22" i="3"/>
  <c r="X22" i="3"/>
  <c r="M9" i="3"/>
  <c r="R9" i="3"/>
  <c r="S9" i="3"/>
  <c r="U9" i="3"/>
  <c r="T9" i="3" s="1"/>
  <c r="V9" i="3"/>
  <c r="W9" i="3"/>
  <c r="X9" i="3"/>
  <c r="AC9" i="3"/>
  <c r="M43" i="3"/>
  <c r="R43" i="3"/>
  <c r="S43" i="3"/>
  <c r="U43" i="3"/>
  <c r="T43" i="3" s="1"/>
  <c r="V43" i="3"/>
  <c r="W43" i="3"/>
  <c r="X43" i="3"/>
  <c r="AC43" i="3"/>
  <c r="M10" i="3"/>
  <c r="R10" i="3"/>
  <c r="S10" i="3"/>
  <c r="U10" i="3"/>
  <c r="V10" i="3"/>
  <c r="W10" i="3"/>
  <c r="Y10" i="3" s="1"/>
  <c r="X10" i="3"/>
  <c r="M24" i="3"/>
  <c r="R24" i="3"/>
  <c r="S24" i="3"/>
  <c r="U24" i="3"/>
  <c r="AC24" i="3" s="1"/>
  <c r="V24" i="3"/>
  <c r="W24" i="3"/>
  <c r="X24" i="3"/>
  <c r="M8" i="3"/>
  <c r="R8" i="3"/>
  <c r="S8" i="3"/>
  <c r="U8" i="3"/>
  <c r="T8" i="3" s="1"/>
  <c r="V8" i="3"/>
  <c r="W8" i="3"/>
  <c r="X8" i="3"/>
  <c r="AC8" i="3"/>
  <c r="M7" i="3"/>
  <c r="R7" i="3"/>
  <c r="S7" i="3"/>
  <c r="U7" i="3"/>
  <c r="T7" i="3" s="1"/>
  <c r="V7" i="3"/>
  <c r="W7" i="3"/>
  <c r="X7" i="3"/>
  <c r="M44" i="3"/>
  <c r="R44" i="3"/>
  <c r="S44" i="3"/>
  <c r="U44" i="3"/>
  <c r="AC44" i="3" s="1"/>
  <c r="V44" i="3"/>
  <c r="W44" i="3"/>
  <c r="X44" i="3"/>
  <c r="M51" i="3"/>
  <c r="R51" i="3"/>
  <c r="S51" i="3"/>
  <c r="U51" i="3"/>
  <c r="V51" i="3"/>
  <c r="W51" i="3"/>
  <c r="X51" i="3"/>
  <c r="M29" i="3"/>
  <c r="R29" i="3"/>
  <c r="S29" i="3"/>
  <c r="U29" i="3"/>
  <c r="T29" i="3" s="1"/>
  <c r="V29" i="3"/>
  <c r="W29" i="3"/>
  <c r="X29" i="3"/>
  <c r="AC29" i="3"/>
  <c r="M11" i="3"/>
  <c r="R11" i="3"/>
  <c r="S11" i="3"/>
  <c r="U11" i="3"/>
  <c r="T11" i="3" s="1"/>
  <c r="V11" i="3"/>
  <c r="W11" i="3"/>
  <c r="X11" i="3"/>
  <c r="AC11" i="3"/>
  <c r="M65" i="3"/>
  <c r="S65" i="3"/>
  <c r="U65" i="3"/>
  <c r="V65" i="3"/>
  <c r="W65" i="3"/>
  <c r="X65" i="3"/>
  <c r="M35" i="3"/>
  <c r="R35" i="3"/>
  <c r="S35" i="3"/>
  <c r="U35" i="3"/>
  <c r="T35" i="3" s="1"/>
  <c r="V35" i="3"/>
  <c r="W35" i="3"/>
  <c r="X35" i="3"/>
  <c r="M66" i="3"/>
  <c r="R66" i="3"/>
  <c r="S66" i="3"/>
  <c r="U66" i="3"/>
  <c r="T66" i="3" s="1"/>
  <c r="V66" i="3"/>
  <c r="W66" i="3"/>
  <c r="X66" i="3"/>
  <c r="AC66" i="3"/>
  <c r="M45" i="3"/>
  <c r="R45" i="3"/>
  <c r="S45" i="3"/>
  <c r="U45" i="3"/>
  <c r="T45" i="3" s="1"/>
  <c r="V45" i="3"/>
  <c r="W45" i="3"/>
  <c r="X45" i="3"/>
  <c r="AC45" i="3"/>
  <c r="M59" i="3"/>
  <c r="R59" i="3"/>
  <c r="S59" i="3"/>
  <c r="U59" i="3"/>
  <c r="AC59" i="3" s="1"/>
  <c r="V59" i="3"/>
  <c r="W59" i="3"/>
  <c r="X59" i="3"/>
  <c r="M54" i="3"/>
  <c r="R54" i="3"/>
  <c r="S54" i="3"/>
  <c r="U54" i="3"/>
  <c r="V54" i="3"/>
  <c r="W54" i="3"/>
  <c r="X54" i="3"/>
  <c r="M25" i="3"/>
  <c r="R25" i="3"/>
  <c r="S25" i="3"/>
  <c r="U25" i="3"/>
  <c r="T25" i="3" s="1"/>
  <c r="V25" i="3"/>
  <c r="W25" i="3"/>
  <c r="X25" i="3"/>
  <c r="M48" i="3"/>
  <c r="R48" i="3"/>
  <c r="S48" i="3"/>
  <c r="U48" i="3"/>
  <c r="T48" i="3" s="1"/>
  <c r="V48" i="3"/>
  <c r="W48" i="3"/>
  <c r="X48" i="3"/>
  <c r="M30" i="3"/>
  <c r="R30" i="3"/>
  <c r="S30" i="3"/>
  <c r="U30" i="3"/>
  <c r="AC30" i="3" s="1"/>
  <c r="V30" i="3"/>
  <c r="W30" i="3"/>
  <c r="X30" i="3"/>
  <c r="M55" i="3"/>
  <c r="R55" i="3"/>
  <c r="S55" i="3"/>
  <c r="U55" i="3"/>
  <c r="V55" i="3"/>
  <c r="W55" i="3"/>
  <c r="X55" i="3"/>
  <c r="M47" i="3"/>
  <c r="R47" i="3"/>
  <c r="S47" i="3"/>
  <c r="U47" i="3"/>
  <c r="T47" i="3" s="1"/>
  <c r="V47" i="3"/>
  <c r="W47" i="3"/>
  <c r="X47" i="3"/>
  <c r="AC47" i="3"/>
  <c r="M56" i="3"/>
  <c r="R56" i="3"/>
  <c r="S56" i="3"/>
  <c r="U56" i="3"/>
  <c r="T56" i="3" s="1"/>
  <c r="V56" i="3"/>
  <c r="W56" i="3"/>
  <c r="X56" i="3"/>
  <c r="AC56" i="3"/>
  <c r="M19" i="3"/>
  <c r="R19" i="3"/>
  <c r="S19" i="3"/>
  <c r="U19" i="3"/>
  <c r="AC19" i="3" s="1"/>
  <c r="V19" i="3"/>
  <c r="W19" i="3"/>
  <c r="X19" i="3"/>
  <c r="M41" i="3"/>
  <c r="R41" i="3"/>
  <c r="S41" i="3"/>
  <c r="U41" i="3"/>
  <c r="AC41" i="3" s="1"/>
  <c r="V41" i="3"/>
  <c r="W41" i="3"/>
  <c r="X41" i="3"/>
  <c r="M27" i="3"/>
  <c r="R27" i="3"/>
  <c r="S27" i="3"/>
  <c r="U27" i="3"/>
  <c r="V27" i="3"/>
  <c r="W27" i="3"/>
  <c r="X27" i="3"/>
  <c r="AC27" i="3"/>
  <c r="M40" i="3"/>
  <c r="R40" i="3"/>
  <c r="S40" i="3"/>
  <c r="U40" i="3"/>
  <c r="AD40" i="3" s="1"/>
  <c r="V40" i="3"/>
  <c r="W40" i="3"/>
  <c r="X40" i="3"/>
  <c r="AC40" i="3"/>
  <c r="M31" i="3"/>
  <c r="R31" i="3"/>
  <c r="S31" i="3"/>
  <c r="U31" i="3"/>
  <c r="V31" i="3"/>
  <c r="W31" i="3"/>
  <c r="X31" i="3"/>
  <c r="M36" i="3"/>
  <c r="R36" i="3"/>
  <c r="S36" i="3"/>
  <c r="U36" i="3"/>
  <c r="AC36" i="3" s="1"/>
  <c r="V36" i="3"/>
  <c r="W36" i="3"/>
  <c r="X36" i="3"/>
  <c r="M12" i="3"/>
  <c r="R12" i="3"/>
  <c r="S12" i="3"/>
  <c r="U12" i="3"/>
  <c r="AC12" i="3" s="1"/>
  <c r="V12" i="3"/>
  <c r="W12" i="3"/>
  <c r="X12" i="3"/>
  <c r="M23" i="3"/>
  <c r="R23" i="3"/>
  <c r="S23" i="3"/>
  <c r="U23" i="3"/>
  <c r="AC23" i="3" s="1"/>
  <c r="V23" i="3"/>
  <c r="W23" i="3"/>
  <c r="X23" i="3"/>
  <c r="AD23" i="3"/>
  <c r="M57" i="3"/>
  <c r="R57" i="3"/>
  <c r="S57" i="3"/>
  <c r="U57" i="3"/>
  <c r="T57" i="3" s="1"/>
  <c r="V57" i="3"/>
  <c r="W57" i="3"/>
  <c r="X57" i="3"/>
  <c r="M50" i="3"/>
  <c r="R50" i="3"/>
  <c r="S50" i="3"/>
  <c r="U50" i="3"/>
  <c r="AC50" i="3" s="1"/>
  <c r="V50" i="3"/>
  <c r="W50" i="3"/>
  <c r="X50" i="3"/>
  <c r="M46" i="3"/>
  <c r="S46" i="3"/>
  <c r="U46" i="3"/>
  <c r="AD46" i="3" s="1"/>
  <c r="V46" i="3"/>
  <c r="W46" i="3"/>
  <c r="X46" i="3"/>
  <c r="M67" i="3"/>
  <c r="U67" i="3"/>
  <c r="AC67" i="3" s="1"/>
  <c r="V67" i="3"/>
  <c r="W67" i="3"/>
  <c r="X67" i="3"/>
  <c r="M49" i="3"/>
  <c r="R49" i="3"/>
  <c r="S49" i="3"/>
  <c r="U49" i="3"/>
  <c r="AD49" i="3" s="1"/>
  <c r="V49" i="3"/>
  <c r="W49" i="3"/>
  <c r="X49" i="3"/>
  <c r="M13" i="3"/>
  <c r="R13" i="3"/>
  <c r="S13" i="3"/>
  <c r="U13" i="3"/>
  <c r="AC13" i="3" s="1"/>
  <c r="V13" i="3"/>
  <c r="W13" i="3"/>
  <c r="X13" i="3"/>
  <c r="M37" i="3"/>
  <c r="R37" i="3"/>
  <c r="S37" i="3"/>
  <c r="U37" i="3"/>
  <c r="T37" i="3" s="1"/>
  <c r="V37" i="3"/>
  <c r="W37" i="3"/>
  <c r="X37" i="3"/>
  <c r="AC37" i="3"/>
  <c r="M61" i="3"/>
  <c r="S61" i="3"/>
  <c r="U61" i="3"/>
  <c r="V61" i="3"/>
  <c r="W61" i="3"/>
  <c r="X61" i="3"/>
  <c r="M28" i="3"/>
  <c r="R28" i="3"/>
  <c r="S28" i="3"/>
  <c r="U28" i="3"/>
  <c r="V28" i="3"/>
  <c r="W28" i="3"/>
  <c r="X28" i="3"/>
  <c r="M38" i="3"/>
  <c r="R38" i="3"/>
  <c r="S38" i="3"/>
  <c r="U38" i="3"/>
  <c r="AC38" i="3" s="1"/>
  <c r="V38" i="3"/>
  <c r="W38" i="3"/>
  <c r="X38" i="3"/>
  <c r="M64" i="3"/>
  <c r="S64" i="3"/>
  <c r="U64" i="3"/>
  <c r="AD64" i="3" s="1"/>
  <c r="V64" i="3"/>
  <c r="W64" i="3"/>
  <c r="X64" i="3"/>
  <c r="AC64" i="3"/>
  <c r="M68" i="3"/>
  <c r="R68" i="3"/>
  <c r="S68" i="3"/>
  <c r="U68" i="3"/>
  <c r="AD68" i="3" s="1"/>
  <c r="V68" i="3"/>
  <c r="W68" i="3"/>
  <c r="X68" i="3"/>
  <c r="AC68" i="3"/>
  <c r="M69" i="3"/>
  <c r="R69" i="3"/>
  <c r="S69" i="3"/>
  <c r="U69" i="3"/>
  <c r="T69" i="3" s="1"/>
  <c r="V69" i="3"/>
  <c r="W69" i="3"/>
  <c r="X69" i="3"/>
  <c r="AC69" i="3"/>
  <c r="M60" i="3"/>
  <c r="S60" i="3"/>
  <c r="U60" i="3"/>
  <c r="AC60" i="3" s="1"/>
  <c r="V60" i="3"/>
  <c r="W60" i="3"/>
  <c r="X60" i="3"/>
  <c r="M42" i="3"/>
  <c r="R42" i="3"/>
  <c r="S42" i="3"/>
  <c r="U42" i="3"/>
  <c r="T42" i="3" s="1"/>
  <c r="V42" i="3"/>
  <c r="W42" i="3"/>
  <c r="X42" i="3"/>
  <c r="AC42" i="3"/>
  <c r="M14" i="3"/>
  <c r="R14" i="3"/>
  <c r="U14" i="3"/>
  <c r="AC14" i="3" s="1"/>
  <c r="V14" i="3"/>
  <c r="W14" i="3"/>
  <c r="X14" i="3"/>
  <c r="M26" i="3"/>
  <c r="R26" i="3"/>
  <c r="S26" i="3"/>
  <c r="U26" i="3"/>
  <c r="V26" i="3"/>
  <c r="W26" i="3"/>
  <c r="X26" i="3"/>
  <c r="M21" i="3"/>
  <c r="R21" i="3"/>
  <c r="U21" i="3"/>
  <c r="AC21" i="3" s="1"/>
  <c r="V21" i="3"/>
  <c r="W21" i="3"/>
  <c r="X21" i="3"/>
  <c r="M20" i="3"/>
  <c r="R20" i="3"/>
  <c r="S20" i="3"/>
  <c r="U20" i="3"/>
  <c r="AD20" i="3" s="1"/>
  <c r="V20" i="3"/>
  <c r="W20" i="3"/>
  <c r="X20" i="3"/>
  <c r="AC20" i="3"/>
  <c r="M33" i="3"/>
  <c r="R33" i="3"/>
  <c r="S33" i="3"/>
  <c r="U33" i="3"/>
  <c r="AC33" i="3" s="1"/>
  <c r="V33" i="3"/>
  <c r="W33" i="3"/>
  <c r="Y33" i="3" s="1"/>
  <c r="X33" i="3"/>
  <c r="M15" i="3"/>
  <c r="R15" i="3"/>
  <c r="S15" i="3"/>
  <c r="U15" i="3"/>
  <c r="AD15" i="3" s="1"/>
  <c r="V15" i="3"/>
  <c r="W15" i="3"/>
  <c r="X15" i="3"/>
  <c r="M39" i="3"/>
  <c r="S39" i="3"/>
  <c r="U39" i="3"/>
  <c r="AC39" i="3" s="1"/>
  <c r="V39" i="3"/>
  <c r="W39" i="3"/>
  <c r="X39" i="3"/>
  <c r="M62" i="3"/>
  <c r="U62" i="3"/>
  <c r="AD62" i="3" s="1"/>
  <c r="V62" i="3"/>
  <c r="W62" i="3"/>
  <c r="X62" i="3"/>
  <c r="M16" i="3"/>
  <c r="R16" i="3"/>
  <c r="S16" i="3"/>
  <c r="U16" i="3"/>
  <c r="AD43" i="3" s="1"/>
  <c r="V16" i="3"/>
  <c r="W16" i="3"/>
  <c r="X16" i="3"/>
  <c r="AC16" i="3"/>
  <c r="M58" i="3"/>
  <c r="R58" i="3"/>
  <c r="S58" i="3"/>
  <c r="U58" i="3"/>
  <c r="V58" i="3"/>
  <c r="W58" i="3"/>
  <c r="X58" i="3"/>
  <c r="AC25" i="3" l="1"/>
  <c r="Y39" i="3"/>
  <c r="Y54" i="3"/>
  <c r="Y41" i="3"/>
  <c r="AC62" i="3"/>
  <c r="Y19" i="3"/>
  <c r="Y47" i="3"/>
  <c r="Y22" i="3"/>
  <c r="AD60" i="3"/>
  <c r="AC46" i="3"/>
  <c r="Y35" i="3"/>
  <c r="AD29" i="3"/>
  <c r="AC7" i="3"/>
  <c r="AE29" i="3"/>
  <c r="Y28" i="3"/>
  <c r="AD37" i="3"/>
  <c r="AD66" i="3"/>
  <c r="AE47" i="3"/>
  <c r="Y49" i="3"/>
  <c r="AE50" i="3"/>
  <c r="Y65" i="3"/>
  <c r="Y29" i="3"/>
  <c r="Y51" i="3"/>
  <c r="Y21" i="3"/>
  <c r="Y55" i="3"/>
  <c r="AE25" i="3"/>
  <c r="Y25" i="3"/>
  <c r="Y59" i="3"/>
  <c r="Y61" i="3"/>
  <c r="AD25" i="3"/>
  <c r="Y63" i="3"/>
  <c r="AD14" i="3"/>
  <c r="T27" i="3"/>
  <c r="AC48" i="3"/>
  <c r="AE63" i="3"/>
  <c r="Y15" i="3"/>
  <c r="Y60" i="3"/>
  <c r="T64" i="3"/>
  <c r="Y38" i="3"/>
  <c r="T13" i="3"/>
  <c r="AD12" i="3"/>
  <c r="Y31" i="3"/>
  <c r="Y27" i="3"/>
  <c r="AD47" i="3"/>
  <c r="AE46" i="3"/>
  <c r="Y58" i="3"/>
  <c r="Y26" i="3"/>
  <c r="AD69" i="3"/>
  <c r="AD28" i="3"/>
  <c r="Y13" i="3"/>
  <c r="Y57" i="3"/>
  <c r="Y56" i="3"/>
  <c r="Y30" i="3"/>
  <c r="Y24" i="3"/>
  <c r="Y43" i="3"/>
  <c r="Y17" i="3"/>
  <c r="AG62" i="1"/>
  <c r="AI62" i="1" s="1"/>
  <c r="X63" i="1"/>
  <c r="AG178" i="1"/>
  <c r="AG170" i="1"/>
  <c r="U170" i="1" s="1"/>
  <c r="S170" i="1" s="1"/>
  <c r="T258" i="1"/>
  <c r="X235" i="1"/>
  <c r="T231" i="1"/>
  <c r="AG231" i="1"/>
  <c r="W231" i="1" s="1"/>
  <c r="AG224" i="1"/>
  <c r="U224" i="1" s="1"/>
  <c r="S224" i="1" s="1"/>
  <c r="X224" i="1"/>
  <c r="AG123" i="1"/>
  <c r="T93" i="1"/>
  <c r="AG93" i="1"/>
  <c r="T51" i="1"/>
  <c r="AG51" i="1"/>
  <c r="AG48" i="1"/>
  <c r="X48" i="1"/>
  <c r="AG15" i="1"/>
  <c r="X15" i="1"/>
  <c r="T164" i="1"/>
  <c r="U164" i="1" s="1"/>
  <c r="S164" i="1" s="1"/>
  <c r="AG164" i="1"/>
  <c r="W164" i="1" s="1"/>
  <c r="T223" i="1"/>
  <c r="AG223" i="1"/>
  <c r="W223" i="1" s="1"/>
  <c r="AG145" i="1"/>
  <c r="T145" i="1"/>
  <c r="W123" i="1"/>
  <c r="AG75" i="1"/>
  <c r="X75" i="1"/>
  <c r="X76" i="1"/>
  <c r="AG44" i="1"/>
  <c r="U44" i="1" s="1"/>
  <c r="S44" i="1" s="1"/>
  <c r="T44" i="1"/>
  <c r="T25" i="1"/>
  <c r="X25" i="1"/>
  <c r="AG25" i="1"/>
  <c r="AI25" i="1" s="1"/>
  <c r="AG198" i="1"/>
  <c r="W198" i="1" s="1"/>
  <c r="AI257" i="1"/>
  <c r="AA193" i="1"/>
  <c r="X186" i="1"/>
  <c r="AG179" i="1"/>
  <c r="X248" i="1"/>
  <c r="AG248" i="1"/>
  <c r="T203" i="1"/>
  <c r="T199" i="1"/>
  <c r="X195" i="1"/>
  <c r="AA191" i="1"/>
  <c r="W191" i="1" s="1"/>
  <c r="X190" i="1"/>
  <c r="AA185" i="1"/>
  <c r="AG183" i="1"/>
  <c r="AI183" i="1" s="1"/>
  <c r="AA182" i="1"/>
  <c r="X175" i="1"/>
  <c r="AA171" i="1"/>
  <c r="X170" i="1"/>
  <c r="AA269" i="1"/>
  <c r="AA266" i="1"/>
  <c r="X164" i="1"/>
  <c r="AA157" i="1"/>
  <c r="X251" i="1"/>
  <c r="AA243" i="1"/>
  <c r="W243" i="1" s="1"/>
  <c r="AA240" i="1"/>
  <c r="X236" i="1"/>
  <c r="AG232" i="1"/>
  <c r="U232" i="1" s="1"/>
  <c r="X214" i="1"/>
  <c r="AA212" i="1"/>
  <c r="AA204" i="1"/>
  <c r="W204" i="1" s="1"/>
  <c r="AA155" i="1"/>
  <c r="X154" i="1"/>
  <c r="T141" i="1"/>
  <c r="AG141" i="1"/>
  <c r="AG129" i="1"/>
  <c r="U129" i="1" s="1"/>
  <c r="T113" i="1"/>
  <c r="AG113" i="1"/>
  <c r="AI103" i="1"/>
  <c r="X68" i="1"/>
  <c r="T68" i="1"/>
  <c r="T45" i="1"/>
  <c r="X45" i="1"/>
  <c r="AG45" i="1"/>
  <c r="AI45" i="1" s="1"/>
  <c r="AG40" i="1"/>
  <c r="X41" i="1"/>
  <c r="X40" i="1"/>
  <c r="AA203" i="1"/>
  <c r="W203" i="1" s="1"/>
  <c r="AA202" i="1"/>
  <c r="AA199" i="1"/>
  <c r="AA196" i="1"/>
  <c r="AA192" i="1"/>
  <c r="AA179" i="1"/>
  <c r="W179" i="1" s="1"/>
  <c r="AA178" i="1"/>
  <c r="W178" i="1" s="1"/>
  <c r="AA169" i="1"/>
  <c r="AA163" i="1"/>
  <c r="AA158" i="1"/>
  <c r="X157" i="1"/>
  <c r="AG157" i="1"/>
  <c r="T248" i="1"/>
  <c r="AA246" i="1"/>
  <c r="X240" i="1"/>
  <c r="AG240" i="1"/>
  <c r="AA230" i="1"/>
  <c r="AA224" i="1"/>
  <c r="T153" i="1"/>
  <c r="U153" i="1" s="1"/>
  <c r="S153" i="1" s="1"/>
  <c r="AA152" i="1"/>
  <c r="AA150" i="1"/>
  <c r="AA147" i="1"/>
  <c r="AG120" i="1"/>
  <c r="T120" i="1"/>
  <c r="T99" i="1"/>
  <c r="U99" i="1" s="1"/>
  <c r="S99" i="1" s="1"/>
  <c r="AG99" i="1"/>
  <c r="T81" i="1"/>
  <c r="AG81" i="1"/>
  <c r="U81" i="1" s="1"/>
  <c r="AG54" i="1"/>
  <c r="AI54" i="1" s="1"/>
  <c r="X55" i="1"/>
  <c r="X52" i="1"/>
  <c r="T37" i="1"/>
  <c r="X37" i="1"/>
  <c r="AG37" i="1"/>
  <c r="AI37" i="1" s="1"/>
  <c r="AA264" i="1"/>
  <c r="W264" i="1" s="1"/>
  <c r="AA257" i="1"/>
  <c r="X252" i="1"/>
  <c r="X239" i="1"/>
  <c r="AA239" i="1"/>
  <c r="W239" i="1" s="1"/>
  <c r="AA235" i="1"/>
  <c r="W235" i="1" s="1"/>
  <c r="AA234" i="1"/>
  <c r="AA227" i="1"/>
  <c r="W227" i="1" s="1"/>
  <c r="AA222" i="1"/>
  <c r="AA211" i="1"/>
  <c r="AA209" i="1"/>
  <c r="AA154" i="1"/>
  <c r="AA151" i="1"/>
  <c r="AA148" i="1"/>
  <c r="AA143" i="1"/>
  <c r="W143" i="1" s="1"/>
  <c r="AA139" i="1"/>
  <c r="AA135" i="1"/>
  <c r="AA132" i="1"/>
  <c r="X128" i="1"/>
  <c r="AA122" i="1"/>
  <c r="AA112" i="1"/>
  <c r="AA107" i="1"/>
  <c r="W107" i="1" s="1"/>
  <c r="T103" i="1"/>
  <c r="U103" i="1" s="1"/>
  <c r="S103" i="1" s="1"/>
  <c r="AA102" i="1"/>
  <c r="AA97" i="1"/>
  <c r="T96" i="1"/>
  <c r="AA92" i="1"/>
  <c r="W92" i="1" s="1"/>
  <c r="AA91" i="1"/>
  <c r="W91" i="1" s="1"/>
  <c r="AA85" i="1"/>
  <c r="AA77" i="1"/>
  <c r="W77" i="1" s="1"/>
  <c r="AA63" i="1"/>
  <c r="W63" i="1" s="1"/>
  <c r="AA58" i="1"/>
  <c r="AA55" i="1"/>
  <c r="W55" i="1" s="1"/>
  <c r="AA50" i="1"/>
  <c r="AA41" i="1"/>
  <c r="AA31" i="1"/>
  <c r="W31" i="1" s="1"/>
  <c r="AA27" i="1"/>
  <c r="AA18" i="1"/>
  <c r="X16" i="1"/>
  <c r="AA129" i="1"/>
  <c r="AA127" i="1"/>
  <c r="AA120" i="1"/>
  <c r="AA119" i="1"/>
  <c r="W119" i="1" s="1"/>
  <c r="W115" i="1"/>
  <c r="U107" i="1"/>
  <c r="S107" i="1" s="1"/>
  <c r="U101" i="1"/>
  <c r="AA100" i="1"/>
  <c r="W100" i="1" s="1"/>
  <c r="T100" i="1"/>
  <c r="U97" i="1"/>
  <c r="AA96" i="1"/>
  <c r="AA95" i="1"/>
  <c r="W95" i="1" s="1"/>
  <c r="X80" i="1"/>
  <c r="AA73" i="1"/>
  <c r="W73" i="1" s="1"/>
  <c r="AA72" i="1"/>
  <c r="AA71" i="1"/>
  <c r="AA67" i="1"/>
  <c r="AA43" i="1"/>
  <c r="AI41" i="1"/>
  <c r="AA35" i="1"/>
  <c r="W35" i="1" s="1"/>
  <c r="X29" i="1"/>
  <c r="AA23" i="1"/>
  <c r="AI17" i="1"/>
  <c r="U115" i="1"/>
  <c r="S115" i="1" s="1"/>
  <c r="AA106" i="1"/>
  <c r="W103" i="1"/>
  <c r="AA99" i="1"/>
  <c r="W99" i="1" s="1"/>
  <c r="AA87" i="1"/>
  <c r="AA81" i="1"/>
  <c r="AA79" i="1"/>
  <c r="AA68" i="1"/>
  <c r="AA62" i="1"/>
  <c r="W62" i="1" s="1"/>
  <c r="W59" i="1"/>
  <c r="AA54" i="1"/>
  <c r="AA51" i="1"/>
  <c r="W51" i="1" s="1"/>
  <c r="AA44" i="1"/>
  <c r="W44" i="1" s="1"/>
  <c r="AA28" i="1"/>
  <c r="AA26" i="1"/>
  <c r="AA19" i="1"/>
  <c r="AA15" i="1"/>
  <c r="W15" i="1" s="1"/>
  <c r="W182" i="1"/>
  <c r="X218" i="1"/>
  <c r="AG203" i="1"/>
  <c r="AI203" i="1" s="1"/>
  <c r="AA195" i="1"/>
  <c r="T195" i="1"/>
  <c r="AG194" i="1"/>
  <c r="U194" i="1" s="1"/>
  <c r="S194" i="1" s="1"/>
  <c r="AI191" i="1"/>
  <c r="X191" i="1"/>
  <c r="AA187" i="1"/>
  <c r="W187" i="1" s="1"/>
  <c r="U186" i="1"/>
  <c r="S186" i="1" s="1"/>
  <c r="X182" i="1"/>
  <c r="AI179" i="1"/>
  <c r="X179" i="1"/>
  <c r="T175" i="1"/>
  <c r="W171" i="1"/>
  <c r="X267" i="1"/>
  <c r="AG267" i="1"/>
  <c r="U267" i="1" s="1"/>
  <c r="S267" i="1" s="1"/>
  <c r="X268" i="1"/>
  <c r="W257" i="1"/>
  <c r="W160" i="1"/>
  <c r="X255" i="1"/>
  <c r="AG255" i="1"/>
  <c r="U255" i="1" s="1"/>
  <c r="S255" i="1" s="1"/>
  <c r="W214" i="1"/>
  <c r="W206" i="1"/>
  <c r="W218" i="1"/>
  <c r="T202" i="1"/>
  <c r="W199" i="1"/>
  <c r="U198" i="1"/>
  <c r="S198" i="1" s="1"/>
  <c r="T190" i="1"/>
  <c r="AA188" i="1"/>
  <c r="X183" i="1"/>
  <c r="T178" i="1"/>
  <c r="AA176" i="1"/>
  <c r="AA175" i="1"/>
  <c r="AA174" i="1"/>
  <c r="T174" i="1"/>
  <c r="AA172" i="1"/>
  <c r="AG271" i="1"/>
  <c r="U271" i="1" s="1"/>
  <c r="S271" i="1" s="1"/>
  <c r="X271" i="1"/>
  <c r="T218" i="1"/>
  <c r="U218" i="1" s="1"/>
  <c r="S218" i="1" s="1"/>
  <c r="AG202" i="1"/>
  <c r="U202" i="1" s="1"/>
  <c r="S202" i="1" s="1"/>
  <c r="X198" i="1"/>
  <c r="AG195" i="1"/>
  <c r="AI195" i="1" s="1"/>
  <c r="W194" i="1"/>
  <c r="AG190" i="1"/>
  <c r="U190" i="1" s="1"/>
  <c r="S190" i="1" s="1"/>
  <c r="T182" i="1"/>
  <c r="U182" i="1" s="1"/>
  <c r="S182" i="1" s="1"/>
  <c r="U178" i="1"/>
  <c r="S178" i="1" s="1"/>
  <c r="W251" i="1"/>
  <c r="W219" i="1"/>
  <c r="AG199" i="1"/>
  <c r="AI199" i="1" s="1"/>
  <c r="AG196" i="1"/>
  <c r="W196" i="1" s="1"/>
  <c r="AA184" i="1"/>
  <c r="AA183" i="1"/>
  <c r="W183" i="1" s="1"/>
  <c r="AG175" i="1"/>
  <c r="AI175" i="1" s="1"/>
  <c r="AG174" i="1"/>
  <c r="W267" i="1"/>
  <c r="AG261" i="1"/>
  <c r="W261" i="1" s="1"/>
  <c r="T261" i="1"/>
  <c r="T256" i="1"/>
  <c r="X257" i="1"/>
  <c r="X165" i="1"/>
  <c r="AG165" i="1"/>
  <c r="T165" i="1"/>
  <c r="U165" i="1"/>
  <c r="W255" i="1"/>
  <c r="X204" i="1"/>
  <c r="AA166" i="1"/>
  <c r="X160" i="1"/>
  <c r="U157" i="1"/>
  <c r="T251" i="1"/>
  <c r="U251" i="1" s="1"/>
  <c r="S251" i="1" s="1"/>
  <c r="W248" i="1"/>
  <c r="U247" i="1"/>
  <c r="S247" i="1" s="1"/>
  <c r="X243" i="1"/>
  <c r="U240" i="1"/>
  <c r="T235" i="1"/>
  <c r="U235" i="1" s="1"/>
  <c r="S235" i="1" s="1"/>
  <c r="W232" i="1"/>
  <c r="U231" i="1"/>
  <c r="S231" i="1" s="1"/>
  <c r="X227" i="1"/>
  <c r="T214" i="1"/>
  <c r="U214" i="1" s="1"/>
  <c r="S214" i="1" s="1"/>
  <c r="W211" i="1"/>
  <c r="U210" i="1"/>
  <c r="S210" i="1" s="1"/>
  <c r="AI157" i="1"/>
  <c r="X156" i="1"/>
  <c r="X152" i="1"/>
  <c r="X144" i="1"/>
  <c r="AA140" i="1"/>
  <c r="AG139" i="1"/>
  <c r="AG136" i="1"/>
  <c r="T136" i="1"/>
  <c r="X136" i="1"/>
  <c r="AI75" i="1"/>
  <c r="AA252" i="1"/>
  <c r="W252" i="1" s="1"/>
  <c r="T252" i="1"/>
  <c r="X247" i="1"/>
  <c r="AG244" i="1"/>
  <c r="U244" i="1" s="1"/>
  <c r="X244" i="1"/>
  <c r="T239" i="1"/>
  <c r="U239" i="1" s="1"/>
  <c r="S239" i="1" s="1"/>
  <c r="AA237" i="1"/>
  <c r="AA236" i="1"/>
  <c r="T236" i="1"/>
  <c r="X231" i="1"/>
  <c r="AG228" i="1"/>
  <c r="U228" i="1" s="1"/>
  <c r="X228" i="1"/>
  <c r="AA221" i="1"/>
  <c r="AA215" i="1"/>
  <c r="T215" i="1"/>
  <c r="X210" i="1"/>
  <c r="AG207" i="1"/>
  <c r="X207" i="1"/>
  <c r="AG205" i="1"/>
  <c r="U205" i="1" s="1"/>
  <c r="S205" i="1" s="1"/>
  <c r="X205" i="1"/>
  <c r="T204" i="1"/>
  <c r="U204" i="1" s="1"/>
  <c r="S204" i="1" s="1"/>
  <c r="AA149" i="1"/>
  <c r="X149" i="1"/>
  <c r="AG147" i="1"/>
  <c r="AI147" i="1" s="1"/>
  <c r="AA142" i="1"/>
  <c r="X141" i="1"/>
  <c r="X140" i="1"/>
  <c r="U83" i="1"/>
  <c r="S83" i="1" s="1"/>
  <c r="AI83" i="1"/>
  <c r="T262" i="1"/>
  <c r="X261" i="1"/>
  <c r="T160" i="1"/>
  <c r="U160" i="1" s="1"/>
  <c r="S160" i="1" s="1"/>
  <c r="T243" i="1"/>
  <c r="U243" i="1" s="1"/>
  <c r="S243" i="1" s="1"/>
  <c r="T227" i="1"/>
  <c r="U227" i="1" s="1"/>
  <c r="S227" i="1" s="1"/>
  <c r="AA144" i="1"/>
  <c r="AA138" i="1"/>
  <c r="T137" i="1"/>
  <c r="AG137" i="1"/>
  <c r="W137" i="1"/>
  <c r="AG135" i="1"/>
  <c r="W135" i="1" s="1"/>
  <c r="T135" i="1"/>
  <c r="AA168" i="1"/>
  <c r="AA167" i="1"/>
  <c r="W167" i="1" s="1"/>
  <c r="AA265" i="1"/>
  <c r="W265" i="1" s="1"/>
  <c r="AG262" i="1"/>
  <c r="U262" i="1" s="1"/>
  <c r="AG258" i="1"/>
  <c r="U258" i="1" s="1"/>
  <c r="S258" i="1" s="1"/>
  <c r="AA162" i="1"/>
  <c r="AG252" i="1"/>
  <c r="U252" i="1" s="1"/>
  <c r="AA245" i="1"/>
  <c r="AA244" i="1"/>
  <c r="W244" i="1" s="1"/>
  <c r="AG236" i="1"/>
  <c r="U236" i="1" s="1"/>
  <c r="AA229" i="1"/>
  <c r="AA228" i="1"/>
  <c r="W228" i="1" s="1"/>
  <c r="X223" i="1"/>
  <c r="AG215" i="1"/>
  <c r="AA208" i="1"/>
  <c r="AA207" i="1"/>
  <c r="AA205" i="1"/>
  <c r="W205" i="1" s="1"/>
  <c r="AI156" i="1"/>
  <c r="AG155" i="1"/>
  <c r="U155" i="1" s="1"/>
  <c r="AA153" i="1"/>
  <c r="X153" i="1"/>
  <c r="AG151" i="1"/>
  <c r="AI151" i="1" s="1"/>
  <c r="AA145" i="1"/>
  <c r="W145" i="1" s="1"/>
  <c r="X145" i="1"/>
  <c r="U143" i="1"/>
  <c r="S143" i="1" s="1"/>
  <c r="U141" i="1"/>
  <c r="AA134" i="1"/>
  <c r="AA133" i="1"/>
  <c r="W133" i="1" s="1"/>
  <c r="AA128" i="1"/>
  <c r="T128" i="1"/>
  <c r="AG127" i="1"/>
  <c r="W127" i="1" s="1"/>
  <c r="AG125" i="1"/>
  <c r="U125" i="1" s="1"/>
  <c r="S125" i="1" s="1"/>
  <c r="AG119" i="1"/>
  <c r="AG117" i="1"/>
  <c r="U117" i="1" s="1"/>
  <c r="X117" i="1"/>
  <c r="X116" i="1"/>
  <c r="AG111" i="1"/>
  <c r="AG109" i="1"/>
  <c r="U109" i="1" s="1"/>
  <c r="AA108" i="1"/>
  <c r="T108" i="1"/>
  <c r="U108" i="1" s="1"/>
  <c r="S108" i="1" s="1"/>
  <c r="X107" i="1"/>
  <c r="AA105" i="1"/>
  <c r="W105" i="1" s="1"/>
  <c r="X103" i="1"/>
  <c r="AA101" i="1"/>
  <c r="W101" i="1" s="1"/>
  <c r="X99" i="1"/>
  <c r="W97" i="1"/>
  <c r="X95" i="1"/>
  <c r="W93" i="1"/>
  <c r="X91" i="1"/>
  <c r="X87" i="1"/>
  <c r="T79" i="1"/>
  <c r="T67" i="1"/>
  <c r="AA65" i="1"/>
  <c r="W65" i="1" s="1"/>
  <c r="AA64" i="1"/>
  <c r="T64" i="1"/>
  <c r="U63" i="1"/>
  <c r="S63" i="1" s="1"/>
  <c r="AA61" i="1"/>
  <c r="W61" i="1" s="1"/>
  <c r="AA60" i="1"/>
  <c r="T60" i="1"/>
  <c r="U59" i="1"/>
  <c r="S59" i="1" s="1"/>
  <c r="AA57" i="1"/>
  <c r="W57" i="1" s="1"/>
  <c r="AA56" i="1"/>
  <c r="T56" i="1"/>
  <c r="U55" i="1"/>
  <c r="S55" i="1" s="1"/>
  <c r="AA53" i="1"/>
  <c r="AA52" i="1"/>
  <c r="T52" i="1"/>
  <c r="U51" i="1"/>
  <c r="S51" i="1" s="1"/>
  <c r="W49" i="1"/>
  <c r="AA46" i="1"/>
  <c r="AA38" i="1"/>
  <c r="T38" i="1"/>
  <c r="W37" i="1"/>
  <c r="T33" i="1"/>
  <c r="AA32" i="1"/>
  <c r="T32" i="1"/>
  <c r="X30" i="1"/>
  <c r="T29" i="1"/>
  <c r="X24" i="1"/>
  <c r="X20" i="1"/>
  <c r="T16" i="1"/>
  <c r="AI115" i="1"/>
  <c r="X112" i="1"/>
  <c r="U95" i="1"/>
  <c r="S95" i="1" s="1"/>
  <c r="U91" i="1"/>
  <c r="S91" i="1" s="1"/>
  <c r="AG89" i="1"/>
  <c r="U89" i="1" s="1"/>
  <c r="AG87" i="1"/>
  <c r="AG85" i="1"/>
  <c r="W85" i="1" s="1"/>
  <c r="W83" i="1"/>
  <c r="AA80" i="1"/>
  <c r="T80" i="1"/>
  <c r="AG79" i="1"/>
  <c r="W79" i="1" s="1"/>
  <c r="U76" i="1"/>
  <c r="W75" i="1"/>
  <c r="T71" i="1"/>
  <c r="AG67" i="1"/>
  <c r="T28" i="1"/>
  <c r="U28" i="1" s="1"/>
  <c r="S28" i="1" s="1"/>
  <c r="AG16" i="1"/>
  <c r="T15" i="1"/>
  <c r="AA14" i="1"/>
  <c r="AA141" i="1"/>
  <c r="W141" i="1" s="1"/>
  <c r="AA136" i="1"/>
  <c r="W136" i="1" s="1"/>
  <c r="AG133" i="1"/>
  <c r="U133" i="1" s="1"/>
  <c r="AG128" i="1"/>
  <c r="AA126" i="1"/>
  <c r="AA125" i="1"/>
  <c r="AA121" i="1"/>
  <c r="AA118" i="1"/>
  <c r="AA116" i="1"/>
  <c r="W116" i="1" s="1"/>
  <c r="T116" i="1"/>
  <c r="X115" i="1"/>
  <c r="AA113" i="1"/>
  <c r="W113" i="1" s="1"/>
  <c r="AA110" i="1"/>
  <c r="W110" i="1" s="1"/>
  <c r="X108" i="1"/>
  <c r="W81" i="1"/>
  <c r="T75" i="1"/>
  <c r="U75" i="1" s="1"/>
  <c r="S75" i="1" s="1"/>
  <c r="W72" i="1"/>
  <c r="AG71" i="1"/>
  <c r="AG64" i="1"/>
  <c r="AG60" i="1"/>
  <c r="AI59" i="1"/>
  <c r="AG56" i="1"/>
  <c r="AI55" i="1"/>
  <c r="AG52" i="1"/>
  <c r="AA48" i="1"/>
  <c r="W48" i="1" s="1"/>
  <c r="T48" i="1"/>
  <c r="AA45" i="1"/>
  <c r="AG43" i="1"/>
  <c r="AI43" i="1" s="1"/>
  <c r="AA40" i="1"/>
  <c r="W40" i="1" s="1"/>
  <c r="T40" i="1"/>
  <c r="X38" i="1"/>
  <c r="AG33" i="1"/>
  <c r="AI33" i="1" s="1"/>
  <c r="X33" i="1"/>
  <c r="X32" i="1"/>
  <c r="AA30" i="1"/>
  <c r="W30" i="1" s="1"/>
  <c r="T30" i="1"/>
  <c r="AG29" i="1"/>
  <c r="AI29" i="1" s="1"/>
  <c r="AA25" i="1"/>
  <c r="T24" i="1"/>
  <c r="AA21" i="1"/>
  <c r="W21" i="1" s="1"/>
  <c r="T20" i="1"/>
  <c r="U20" i="1" s="1"/>
  <c r="S20" i="1" s="1"/>
  <c r="AA17" i="1"/>
  <c r="W17" i="1" s="1"/>
  <c r="W132" i="1"/>
  <c r="U131" i="1"/>
  <c r="S131" i="1" s="1"/>
  <c r="X119" i="1"/>
  <c r="W117" i="1"/>
  <c r="X111" i="1"/>
  <c r="W109" i="1"/>
  <c r="AI99" i="1"/>
  <c r="AA98" i="1"/>
  <c r="X96" i="1"/>
  <c r="AI95" i="1"/>
  <c r="AA94" i="1"/>
  <c r="W94" i="1" s="1"/>
  <c r="X92" i="1"/>
  <c r="AI91" i="1"/>
  <c r="AA90" i="1"/>
  <c r="X88" i="1"/>
  <c r="AA86" i="1"/>
  <c r="AG80" i="1"/>
  <c r="AA76" i="1"/>
  <c r="W76" i="1" s="1"/>
  <c r="AG68" i="1"/>
  <c r="U68" i="1" s="1"/>
  <c r="S68" i="1" s="1"/>
  <c r="T62" i="1"/>
  <c r="T58" i="1"/>
  <c r="T54" i="1"/>
  <c r="AI51" i="1"/>
  <c r="X44" i="1"/>
  <c r="AA42" i="1"/>
  <c r="W42" i="1" s="1"/>
  <c r="T42" i="1"/>
  <c r="W41" i="1"/>
  <c r="AA36" i="1"/>
  <c r="W36" i="1" s="1"/>
  <c r="T36" i="1"/>
  <c r="AI31" i="1"/>
  <c r="X28" i="1"/>
  <c r="W16" i="1"/>
  <c r="AI248" i="1"/>
  <c r="AI232" i="1"/>
  <c r="W201" i="1"/>
  <c r="W189" i="1"/>
  <c r="W177" i="1"/>
  <c r="AI236" i="1"/>
  <c r="W266" i="1"/>
  <c r="AI264" i="1"/>
  <c r="AI252" i="1"/>
  <c r="AI240" i="1"/>
  <c r="AI224" i="1"/>
  <c r="AI268" i="1"/>
  <c r="U196" i="1"/>
  <c r="S196" i="1" s="1"/>
  <c r="W193" i="1"/>
  <c r="W185" i="1"/>
  <c r="W169" i="1"/>
  <c r="AI228" i="1"/>
  <c r="X217" i="1"/>
  <c r="T217" i="1"/>
  <c r="U217" i="1" s="1"/>
  <c r="S217" i="1" s="1"/>
  <c r="X201" i="1"/>
  <c r="T201" i="1"/>
  <c r="U201" i="1" s="1"/>
  <c r="S201" i="1" s="1"/>
  <c r="X197" i="1"/>
  <c r="T197" i="1"/>
  <c r="U197" i="1" s="1"/>
  <c r="S197" i="1" s="1"/>
  <c r="AI259" i="1"/>
  <c r="X193" i="1"/>
  <c r="T193" i="1"/>
  <c r="U193" i="1" s="1"/>
  <c r="S193" i="1" s="1"/>
  <c r="X189" i="1"/>
  <c r="T189" i="1"/>
  <c r="U189" i="1" s="1"/>
  <c r="S189" i="1" s="1"/>
  <c r="X185" i="1"/>
  <c r="T185" i="1"/>
  <c r="U185" i="1" s="1"/>
  <c r="S185" i="1" s="1"/>
  <c r="X181" i="1"/>
  <c r="T181" i="1"/>
  <c r="U181" i="1" s="1"/>
  <c r="S181" i="1" s="1"/>
  <c r="X177" i="1"/>
  <c r="T177" i="1"/>
  <c r="U177" i="1" s="1"/>
  <c r="S177" i="1" s="1"/>
  <c r="X173" i="1"/>
  <c r="T173" i="1"/>
  <c r="U173" i="1" s="1"/>
  <c r="S173" i="1" s="1"/>
  <c r="X169" i="1"/>
  <c r="T169" i="1"/>
  <c r="U169" i="1" s="1"/>
  <c r="S169" i="1" s="1"/>
  <c r="X270" i="1"/>
  <c r="T270" i="1"/>
  <c r="U270" i="1" s="1"/>
  <c r="S270" i="1" s="1"/>
  <c r="X266" i="1"/>
  <c r="T266" i="1"/>
  <c r="U266" i="1" s="1"/>
  <c r="S266" i="1" s="1"/>
  <c r="S262" i="1"/>
  <c r="AA259" i="1"/>
  <c r="W259" i="1" s="1"/>
  <c r="AA165" i="1"/>
  <c r="W165" i="1" s="1"/>
  <c r="T162" i="1"/>
  <c r="X162" i="1"/>
  <c r="AG162" i="1"/>
  <c r="U219" i="1"/>
  <c r="S219" i="1" s="1"/>
  <c r="U203" i="1"/>
  <c r="S203" i="1" s="1"/>
  <c r="U199" i="1"/>
  <c r="S199" i="1" s="1"/>
  <c r="U191" i="1"/>
  <c r="S191" i="1" s="1"/>
  <c r="U187" i="1"/>
  <c r="S187" i="1" s="1"/>
  <c r="U183" i="1"/>
  <c r="S183" i="1" s="1"/>
  <c r="U179" i="1"/>
  <c r="S179" i="1" s="1"/>
  <c r="U175" i="1"/>
  <c r="S175" i="1" s="1"/>
  <c r="U171" i="1"/>
  <c r="S171" i="1" s="1"/>
  <c r="U167" i="1"/>
  <c r="S167" i="1" s="1"/>
  <c r="U268" i="1"/>
  <c r="S268" i="1" s="1"/>
  <c r="U265" i="1"/>
  <c r="S265" i="1" s="1"/>
  <c r="T259" i="1"/>
  <c r="U259" i="1" s="1"/>
  <c r="S259" i="1" s="1"/>
  <c r="X259" i="1"/>
  <c r="AA258" i="1"/>
  <c r="T166" i="1"/>
  <c r="X166" i="1"/>
  <c r="AG166" i="1"/>
  <c r="W166" i="1" s="1"/>
  <c r="AG216" i="1"/>
  <c r="AI216" i="1" s="1"/>
  <c r="AG200" i="1"/>
  <c r="W200" i="1" s="1"/>
  <c r="AG192" i="1"/>
  <c r="W192" i="1" s="1"/>
  <c r="AG188" i="1"/>
  <c r="AG184" i="1"/>
  <c r="AG180" i="1"/>
  <c r="W180" i="1" s="1"/>
  <c r="AG176" i="1"/>
  <c r="W176" i="1" s="1"/>
  <c r="AG172" i="1"/>
  <c r="AG168" i="1"/>
  <c r="AG269" i="1"/>
  <c r="AI269" i="1" s="1"/>
  <c r="X265" i="1"/>
  <c r="T264" i="1"/>
  <c r="U264" i="1" s="1"/>
  <c r="S264" i="1" s="1"/>
  <c r="T263" i="1"/>
  <c r="X263" i="1"/>
  <c r="T260" i="1"/>
  <c r="X260" i="1"/>
  <c r="AG260" i="1"/>
  <c r="AI260" i="1" s="1"/>
  <c r="AI217" i="1"/>
  <c r="S165" i="1"/>
  <c r="AG220" i="1"/>
  <c r="W220" i="1" s="1"/>
  <c r="X220" i="1"/>
  <c r="AI270" i="1"/>
  <c r="X216" i="1"/>
  <c r="AI266" i="1"/>
  <c r="X200" i="1"/>
  <c r="AI262" i="1"/>
  <c r="X196" i="1"/>
  <c r="X192" i="1"/>
  <c r="X188" i="1"/>
  <c r="AI250" i="1"/>
  <c r="X184" i="1"/>
  <c r="X180" i="1"/>
  <c r="AI242" i="1"/>
  <c r="X176" i="1"/>
  <c r="X172" i="1"/>
  <c r="X168" i="1"/>
  <c r="X269" i="1"/>
  <c r="X264" i="1"/>
  <c r="AG263" i="1"/>
  <c r="W162" i="1"/>
  <c r="AA161" i="1"/>
  <c r="W161" i="1" s="1"/>
  <c r="U161" i="1"/>
  <c r="S161" i="1" s="1"/>
  <c r="T158" i="1"/>
  <c r="X158" i="1"/>
  <c r="AG158" i="1"/>
  <c r="AI158" i="1" s="1"/>
  <c r="AG253" i="1"/>
  <c r="AI253" i="1" s="1"/>
  <c r="AG249" i="1"/>
  <c r="AI249" i="1" s="1"/>
  <c r="AG245" i="1"/>
  <c r="AI245" i="1" s="1"/>
  <c r="AG241" i="1"/>
  <c r="AG237" i="1"/>
  <c r="AI237" i="1" s="1"/>
  <c r="AG233" i="1"/>
  <c r="AI233" i="1" s="1"/>
  <c r="AG229" i="1"/>
  <c r="AI229" i="1" s="1"/>
  <c r="AG225" i="1"/>
  <c r="AI225" i="1" s="1"/>
  <c r="AG221" i="1"/>
  <c r="AG212" i="1"/>
  <c r="AI212" i="1" s="1"/>
  <c r="AG208" i="1"/>
  <c r="AI208" i="1" s="1"/>
  <c r="AI137" i="1"/>
  <c r="AG256" i="1"/>
  <c r="AI256" i="1" s="1"/>
  <c r="AG163" i="1"/>
  <c r="AI163" i="1" s="1"/>
  <c r="AG159" i="1"/>
  <c r="AI159" i="1" s="1"/>
  <c r="AI204" i="1"/>
  <c r="S157" i="1"/>
  <c r="AG254" i="1"/>
  <c r="AI254" i="1" s="1"/>
  <c r="X253" i="1"/>
  <c r="AI200" i="1"/>
  <c r="S252" i="1"/>
  <c r="AG250" i="1"/>
  <c r="X249" i="1"/>
  <c r="AI196" i="1"/>
  <c r="AG246" i="1"/>
  <c r="W246" i="1" s="1"/>
  <c r="X245" i="1"/>
  <c r="S244" i="1"/>
  <c r="AG242" i="1"/>
  <c r="X241" i="1"/>
  <c r="AI188" i="1"/>
  <c r="S240" i="1"/>
  <c r="AG238" i="1"/>
  <c r="W238" i="1" s="1"/>
  <c r="X237" i="1"/>
  <c r="AI184" i="1"/>
  <c r="S236" i="1"/>
  <c r="AG234" i="1"/>
  <c r="AI234" i="1" s="1"/>
  <c r="X233" i="1"/>
  <c r="AI180" i="1"/>
  <c r="S232" i="1"/>
  <c r="AG230" i="1"/>
  <c r="AI230" i="1" s="1"/>
  <c r="X229" i="1"/>
  <c r="S228" i="1"/>
  <c r="AG226" i="1"/>
  <c r="W226" i="1" s="1"/>
  <c r="X225" i="1"/>
  <c r="AI172" i="1"/>
  <c r="AG222" i="1"/>
  <c r="AI222" i="1" s="1"/>
  <c r="X221" i="1"/>
  <c r="AI168" i="1"/>
  <c r="AG213" i="1"/>
  <c r="X212" i="1"/>
  <c r="AI164" i="1"/>
  <c r="S211" i="1"/>
  <c r="AG209" i="1"/>
  <c r="W209" i="1" s="1"/>
  <c r="X208" i="1"/>
  <c r="AI160" i="1"/>
  <c r="T206" i="1"/>
  <c r="U206" i="1" s="1"/>
  <c r="S206" i="1" s="1"/>
  <c r="X206" i="1"/>
  <c r="W154" i="1"/>
  <c r="T154" i="1"/>
  <c r="W153" i="1"/>
  <c r="U151" i="1"/>
  <c r="S151" i="1" s="1"/>
  <c r="AG150" i="1"/>
  <c r="T150" i="1"/>
  <c r="X150" i="1"/>
  <c r="W149" i="1"/>
  <c r="AG146" i="1"/>
  <c r="T146" i="1"/>
  <c r="X146" i="1"/>
  <c r="W129" i="1"/>
  <c r="W125" i="1"/>
  <c r="X256" i="1"/>
  <c r="X163" i="1"/>
  <c r="X159" i="1"/>
  <c r="X254" i="1"/>
  <c r="X250" i="1"/>
  <c r="X246" i="1"/>
  <c r="X242" i="1"/>
  <c r="X238" i="1"/>
  <c r="X234" i="1"/>
  <c r="X230" i="1"/>
  <c r="X226" i="1"/>
  <c r="X222" i="1"/>
  <c r="X213" i="1"/>
  <c r="X209" i="1"/>
  <c r="U156" i="1"/>
  <c r="S156" i="1" s="1"/>
  <c r="U154" i="1"/>
  <c r="S154" i="1" s="1"/>
  <c r="AI154" i="1"/>
  <c r="S149" i="1"/>
  <c r="AI149" i="1"/>
  <c r="AI145" i="1"/>
  <c r="AG142" i="1"/>
  <c r="X143" i="1"/>
  <c r="T142" i="1"/>
  <c r="X142" i="1"/>
  <c r="S136" i="1"/>
  <c r="AI136" i="1"/>
  <c r="U136" i="1"/>
  <c r="AG134" i="1"/>
  <c r="X135" i="1"/>
  <c r="T134" i="1"/>
  <c r="X134" i="1"/>
  <c r="AG130" i="1"/>
  <c r="X131" i="1"/>
  <c r="T130" i="1"/>
  <c r="X130" i="1"/>
  <c r="AG126" i="1"/>
  <c r="X127" i="1"/>
  <c r="T126" i="1"/>
  <c r="X126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U88" i="1"/>
  <c r="S88" i="1" s="1"/>
  <c r="AI88" i="1"/>
  <c r="S141" i="1"/>
  <c r="AI141" i="1"/>
  <c r="AG138" i="1"/>
  <c r="W138" i="1" s="1"/>
  <c r="X139" i="1"/>
  <c r="T138" i="1"/>
  <c r="X138" i="1"/>
  <c r="S133" i="1"/>
  <c r="AI133" i="1"/>
  <c r="S129" i="1"/>
  <c r="AI129" i="1"/>
  <c r="AI121" i="1"/>
  <c r="U121" i="1"/>
  <c r="S121" i="1" s="1"/>
  <c r="U120" i="1"/>
  <c r="S120" i="1" s="1"/>
  <c r="AI120" i="1"/>
  <c r="U112" i="1"/>
  <c r="S112" i="1" s="1"/>
  <c r="AI112" i="1"/>
  <c r="W108" i="1"/>
  <c r="X155" i="1"/>
  <c r="AG152" i="1"/>
  <c r="X151" i="1"/>
  <c r="AG148" i="1"/>
  <c r="X147" i="1"/>
  <c r="AG144" i="1"/>
  <c r="AG140" i="1"/>
  <c r="U132" i="1"/>
  <c r="S132" i="1" s="1"/>
  <c r="U128" i="1"/>
  <c r="S128" i="1" s="1"/>
  <c r="AG124" i="1"/>
  <c r="X124" i="1"/>
  <c r="X123" i="1"/>
  <c r="T122" i="1"/>
  <c r="X122" i="1"/>
  <c r="AG122" i="1"/>
  <c r="W121" i="1"/>
  <c r="AI108" i="1"/>
  <c r="W104" i="1"/>
  <c r="W96" i="1"/>
  <c r="W88" i="1"/>
  <c r="U85" i="1"/>
  <c r="S85" i="1" s="1"/>
  <c r="X137" i="1"/>
  <c r="X133" i="1"/>
  <c r="AI132" i="1"/>
  <c r="X129" i="1"/>
  <c r="AI128" i="1"/>
  <c r="X125" i="1"/>
  <c r="AA124" i="1"/>
  <c r="W124" i="1" s="1"/>
  <c r="W120" i="1"/>
  <c r="U116" i="1"/>
  <c r="S116" i="1" s="1"/>
  <c r="AI116" i="1"/>
  <c r="U113" i="1"/>
  <c r="S113" i="1" s="1"/>
  <c r="W112" i="1"/>
  <c r="X121" i="1"/>
  <c r="AG118" i="1"/>
  <c r="AG114" i="1"/>
  <c r="X113" i="1"/>
  <c r="AG110" i="1"/>
  <c r="X109" i="1"/>
  <c r="AG106" i="1"/>
  <c r="X105" i="1"/>
  <c r="AG102" i="1"/>
  <c r="W102" i="1" s="1"/>
  <c r="X101" i="1"/>
  <c r="AG98" i="1"/>
  <c r="W98" i="1" s="1"/>
  <c r="X97" i="1"/>
  <c r="AG94" i="1"/>
  <c r="X93" i="1"/>
  <c r="AG90" i="1"/>
  <c r="X89" i="1"/>
  <c r="AG86" i="1"/>
  <c r="W86" i="1" s="1"/>
  <c r="X85" i="1"/>
  <c r="AA84" i="1"/>
  <c r="T82" i="1"/>
  <c r="X82" i="1"/>
  <c r="AG82" i="1"/>
  <c r="U62" i="1"/>
  <c r="S62" i="1" s="1"/>
  <c r="AI58" i="1"/>
  <c r="U58" i="1"/>
  <c r="S58" i="1" s="1"/>
  <c r="U54" i="1"/>
  <c r="S54" i="1" s="1"/>
  <c r="W53" i="1"/>
  <c r="X118" i="1"/>
  <c r="T118" i="1"/>
  <c r="AI117" i="1"/>
  <c r="S117" i="1"/>
  <c r="X114" i="1"/>
  <c r="T114" i="1"/>
  <c r="AI113" i="1"/>
  <c r="X110" i="1"/>
  <c r="T110" i="1"/>
  <c r="AI109" i="1"/>
  <c r="S109" i="1"/>
  <c r="X106" i="1"/>
  <c r="T106" i="1"/>
  <c r="AI105" i="1"/>
  <c r="S105" i="1"/>
  <c r="X102" i="1"/>
  <c r="T102" i="1"/>
  <c r="AI101" i="1"/>
  <c r="S101" i="1"/>
  <c r="X98" i="1"/>
  <c r="T98" i="1"/>
  <c r="AI97" i="1"/>
  <c r="S97" i="1"/>
  <c r="X94" i="1"/>
  <c r="T94" i="1"/>
  <c r="AI93" i="1"/>
  <c r="X90" i="1"/>
  <c r="T90" i="1"/>
  <c r="S89" i="1"/>
  <c r="X86" i="1"/>
  <c r="T86" i="1"/>
  <c r="AI85" i="1"/>
  <c r="T84" i="1"/>
  <c r="AI77" i="1"/>
  <c r="AI65" i="1"/>
  <c r="AI61" i="1"/>
  <c r="AI57" i="1"/>
  <c r="AI53" i="1"/>
  <c r="AG84" i="1"/>
  <c r="X83" i="1"/>
  <c r="AI69" i="1"/>
  <c r="AI73" i="1"/>
  <c r="W58" i="1"/>
  <c r="W54" i="1"/>
  <c r="X81" i="1"/>
  <c r="AI80" i="1"/>
  <c r="AG78" i="1"/>
  <c r="X77" i="1"/>
  <c r="T77" i="1"/>
  <c r="U77" i="1" s="1"/>
  <c r="S77" i="1" s="1"/>
  <c r="AI76" i="1"/>
  <c r="S76" i="1"/>
  <c r="AG74" i="1"/>
  <c r="W74" i="1" s="1"/>
  <c r="X73" i="1"/>
  <c r="T73" i="1"/>
  <c r="U73" i="1" s="1"/>
  <c r="S73" i="1" s="1"/>
  <c r="AI72" i="1"/>
  <c r="S72" i="1"/>
  <c r="AG70" i="1"/>
  <c r="X69" i="1"/>
  <c r="T69" i="1"/>
  <c r="U69" i="1" s="1"/>
  <c r="S69" i="1" s="1"/>
  <c r="AG66" i="1"/>
  <c r="X65" i="1"/>
  <c r="T65" i="1"/>
  <c r="U65" i="1" s="1"/>
  <c r="S65" i="1" s="1"/>
  <c r="AI64" i="1"/>
  <c r="X61" i="1"/>
  <c r="T61" i="1"/>
  <c r="U61" i="1" s="1"/>
  <c r="S61" i="1" s="1"/>
  <c r="AI60" i="1"/>
  <c r="X57" i="1"/>
  <c r="T57" i="1"/>
  <c r="U57" i="1" s="1"/>
  <c r="S57" i="1" s="1"/>
  <c r="AI56" i="1"/>
  <c r="X53" i="1"/>
  <c r="T53" i="1"/>
  <c r="U53" i="1" s="1"/>
  <c r="S53" i="1" s="1"/>
  <c r="AI52" i="1"/>
  <c r="W50" i="1"/>
  <c r="T50" i="1"/>
  <c r="U50" i="1" s="1"/>
  <c r="S50" i="1" s="1"/>
  <c r="S42" i="1"/>
  <c r="AI42" i="1"/>
  <c r="U42" i="1"/>
  <c r="W38" i="1"/>
  <c r="U36" i="1"/>
  <c r="S36" i="1" s="1"/>
  <c r="AI36" i="1"/>
  <c r="U35" i="1"/>
  <c r="S35" i="1" s="1"/>
  <c r="W32" i="1"/>
  <c r="W28" i="1"/>
  <c r="AI81" i="1"/>
  <c r="S81" i="1"/>
  <c r="X78" i="1"/>
  <c r="X74" i="1"/>
  <c r="X70" i="1"/>
  <c r="X66" i="1"/>
  <c r="X62" i="1"/>
  <c r="X58" i="1"/>
  <c r="X54" i="1"/>
  <c r="AI50" i="1"/>
  <c r="AI38" i="1"/>
  <c r="U38" i="1"/>
  <c r="S38" i="1" s="1"/>
  <c r="U32" i="1"/>
  <c r="S32" i="1" s="1"/>
  <c r="AI32" i="1"/>
  <c r="AI28" i="1"/>
  <c r="U15" i="1"/>
  <c r="S15" i="1" s="1"/>
  <c r="AI15" i="1"/>
  <c r="X50" i="1"/>
  <c r="U43" i="1"/>
  <c r="S43" i="1" s="1"/>
  <c r="AI34" i="1"/>
  <c r="U34" i="1"/>
  <c r="S34" i="1" s="1"/>
  <c r="U24" i="1"/>
  <c r="S24" i="1" s="1"/>
  <c r="AI24" i="1"/>
  <c r="AI20" i="1"/>
  <c r="U48" i="1"/>
  <c r="S48" i="1" s="1"/>
  <c r="AI48" i="1"/>
  <c r="U47" i="1"/>
  <c r="S47" i="1" s="1"/>
  <c r="U40" i="1"/>
  <c r="S40" i="1" s="1"/>
  <c r="AI40" i="1"/>
  <c r="U39" i="1"/>
  <c r="S39" i="1" s="1"/>
  <c r="AI30" i="1"/>
  <c r="U30" i="1"/>
  <c r="S30" i="1" s="1"/>
  <c r="U49" i="1"/>
  <c r="S49" i="1" s="1"/>
  <c r="U45" i="1"/>
  <c r="S45" i="1" s="1"/>
  <c r="U41" i="1"/>
  <c r="S41" i="1" s="1"/>
  <c r="U37" i="1"/>
  <c r="S37" i="1" s="1"/>
  <c r="U33" i="1"/>
  <c r="S33" i="1" s="1"/>
  <c r="U21" i="1"/>
  <c r="S21" i="1" s="1"/>
  <c r="U17" i="1"/>
  <c r="S17" i="1" s="1"/>
  <c r="X49" i="1"/>
  <c r="AG46" i="1"/>
  <c r="AG26" i="1"/>
  <c r="AG22" i="1"/>
  <c r="AG18" i="1"/>
  <c r="W18" i="1" s="1"/>
  <c r="AG14" i="1"/>
  <c r="W14" i="1" s="1"/>
  <c r="X46" i="1"/>
  <c r="AG27" i="1"/>
  <c r="X26" i="1"/>
  <c r="AG23" i="1"/>
  <c r="W23" i="1" s="1"/>
  <c r="X22" i="1"/>
  <c r="AG19" i="1"/>
  <c r="X18" i="1"/>
  <c r="X51" i="1"/>
  <c r="X47" i="1"/>
  <c r="X43" i="1"/>
  <c r="X39" i="1"/>
  <c r="X35" i="1"/>
  <c r="X31" i="1"/>
  <c r="X27" i="1"/>
  <c r="X23" i="1"/>
  <c r="X19" i="1"/>
  <c r="Y67" i="3"/>
  <c r="Y12" i="3"/>
  <c r="AE36" i="3"/>
  <c r="AD31" i="3"/>
  <c r="AE55" i="3"/>
  <c r="AD45" i="3"/>
  <c r="Y44" i="3"/>
  <c r="Y8" i="3"/>
  <c r="AE24" i="3"/>
  <c r="AD9" i="3"/>
  <c r="Y34" i="3"/>
  <c r="AE53" i="3"/>
  <c r="Y53" i="3"/>
  <c r="AD36" i="3"/>
  <c r="Y69" i="3"/>
  <c r="T46" i="3"/>
  <c r="T36" i="3"/>
  <c r="AD17" i="3"/>
  <c r="AE21" i="3"/>
  <c r="AD53" i="3"/>
  <c r="Y16" i="3"/>
  <c r="T62" i="3"/>
  <c r="T20" i="3"/>
  <c r="Y14" i="3"/>
  <c r="Y64" i="3"/>
  <c r="AD27" i="3"/>
  <c r="AE27" i="3"/>
  <c r="AD58" i="3"/>
  <c r="T15" i="3"/>
  <c r="AD26" i="3"/>
  <c r="T60" i="3"/>
  <c r="AE69" i="3"/>
  <c r="AE37" i="3"/>
  <c r="Y46" i="3"/>
  <c r="AD57" i="3"/>
  <c r="T12" i="3"/>
  <c r="Y36" i="3"/>
  <c r="AC31" i="3"/>
  <c r="AE31" i="3"/>
  <c r="AD56" i="3"/>
  <c r="Y45" i="3"/>
  <c r="AE26" i="3"/>
  <c r="AD42" i="3"/>
  <c r="AE42" i="3"/>
  <c r="Y68" i="3"/>
  <c r="Y37" i="3"/>
  <c r="Y23" i="3"/>
  <c r="AD48" i="3"/>
  <c r="AE66" i="3"/>
  <c r="Y66" i="3"/>
  <c r="AE35" i="3"/>
  <c r="AD11" i="3"/>
  <c r="AD7" i="3"/>
  <c r="T24" i="3"/>
  <c r="AE9" i="3"/>
  <c r="Y9" i="3"/>
  <c r="AE22" i="3"/>
  <c r="AD32" i="3"/>
  <c r="T63" i="3"/>
  <c r="AE20" i="3"/>
  <c r="T50" i="3"/>
  <c r="T55" i="3"/>
  <c r="AE54" i="3"/>
  <c r="T22" i="3"/>
  <c r="Y62" i="3"/>
  <c r="Y20" i="3"/>
  <c r="T26" i="3"/>
  <c r="AC58" i="3"/>
  <c r="AE62" i="3"/>
  <c r="T21" i="3"/>
  <c r="Y42" i="3"/>
  <c r="AE60" i="3"/>
  <c r="AE64" i="3"/>
  <c r="T49" i="3"/>
  <c r="Y50" i="3"/>
  <c r="AE57" i="3"/>
  <c r="AE12" i="3"/>
  <c r="T31" i="3"/>
  <c r="Y40" i="3"/>
  <c r="Y48" i="3"/>
  <c r="T54" i="3"/>
  <c r="Y11" i="3"/>
  <c r="Y7" i="3"/>
  <c r="Y32" i="3"/>
  <c r="T16" i="3"/>
  <c r="AE16" i="3"/>
  <c r="T39" i="3"/>
  <c r="AD65" i="3"/>
  <c r="T65" i="3"/>
  <c r="AE65" i="3"/>
  <c r="AC51" i="3"/>
  <c r="AD51" i="3"/>
  <c r="T58" i="3"/>
  <c r="AE39" i="3"/>
  <c r="AE15" i="3"/>
  <c r="AD33" i="3"/>
  <c r="AD21" i="3"/>
  <c r="AC26" i="3"/>
  <c r="T68" i="3"/>
  <c r="AE68" i="3"/>
  <c r="T38" i="3"/>
  <c r="T28" i="3"/>
  <c r="AE13" i="3"/>
  <c r="AE49" i="3"/>
  <c r="AD67" i="3"/>
  <c r="AD50" i="3"/>
  <c r="AC57" i="3"/>
  <c r="T40" i="3"/>
  <c r="AE40" i="3"/>
  <c r="T41" i="3"/>
  <c r="AD59" i="3"/>
  <c r="T59" i="3"/>
  <c r="AE59" i="3"/>
  <c r="AC35" i="3"/>
  <c r="AD35" i="3"/>
  <c r="T51" i="3"/>
  <c r="AD10" i="3"/>
  <c r="T10" i="3"/>
  <c r="AE10" i="3"/>
  <c r="AC10" i="3"/>
  <c r="AD52" i="3"/>
  <c r="T52" i="3"/>
  <c r="AE52" i="3"/>
  <c r="AC52" i="3"/>
  <c r="T61" i="3"/>
  <c r="AE61" i="3"/>
  <c r="AE58" i="3"/>
  <c r="AD16" i="3"/>
  <c r="AD39" i="3"/>
  <c r="AC15" i="3"/>
  <c r="T14" i="3"/>
  <c r="AE14" i="3"/>
  <c r="AE38" i="3"/>
  <c r="AE28" i="3"/>
  <c r="AD61" i="3"/>
  <c r="AD13" i="3"/>
  <c r="AC49" i="3"/>
  <c r="T23" i="3"/>
  <c r="AE23" i="3"/>
  <c r="AE41" i="3"/>
  <c r="AD30" i="3"/>
  <c r="T30" i="3"/>
  <c r="AE30" i="3"/>
  <c r="AC54" i="3"/>
  <c r="AD54" i="3"/>
  <c r="T33" i="3"/>
  <c r="AE33" i="3"/>
  <c r="AD38" i="3"/>
  <c r="AC28" i="3"/>
  <c r="AC61" i="3"/>
  <c r="T67" i="3"/>
  <c r="AE67" i="3"/>
  <c r="AD41" i="3"/>
  <c r="AD19" i="3"/>
  <c r="T19" i="3"/>
  <c r="AE19" i="3"/>
  <c r="AC55" i="3"/>
  <c r="AD55" i="3"/>
  <c r="AC65" i="3"/>
  <c r="AE51" i="3"/>
  <c r="AD44" i="3"/>
  <c r="T44" i="3"/>
  <c r="AE44" i="3"/>
  <c r="AD34" i="3"/>
  <c r="T34" i="3"/>
  <c r="AE34" i="3"/>
  <c r="AC34" i="3"/>
  <c r="AD24" i="3"/>
  <c r="AD22" i="3"/>
  <c r="AD63" i="3"/>
  <c r="AE56" i="3"/>
  <c r="AE48" i="3"/>
  <c r="AE45" i="3"/>
  <c r="AE11" i="3"/>
  <c r="AE7" i="3"/>
  <c r="AE43" i="3"/>
  <c r="AE32" i="3"/>
  <c r="AE17" i="3"/>
  <c r="S18" i="3"/>
  <c r="R18" i="3"/>
  <c r="M18" i="3"/>
  <c r="U18" i="3"/>
  <c r="V18" i="3"/>
  <c r="W18" i="3"/>
  <c r="X18" i="3"/>
  <c r="AI176" i="1" l="1"/>
  <c r="AI192" i="1"/>
  <c r="U52" i="1"/>
  <c r="S52" i="1" s="1"/>
  <c r="U60" i="1"/>
  <c r="S60" i="1" s="1"/>
  <c r="W29" i="1"/>
  <c r="U223" i="1"/>
  <c r="S223" i="1" s="1"/>
  <c r="U248" i="1"/>
  <c r="S248" i="1" s="1"/>
  <c r="U123" i="1"/>
  <c r="S123" i="1" s="1"/>
  <c r="AI123" i="1"/>
  <c r="AI44" i="1"/>
  <c r="AI89" i="1"/>
  <c r="U25" i="1"/>
  <c r="S25" i="1" s="1"/>
  <c r="AI125" i="1"/>
  <c r="U147" i="1"/>
  <c r="S147" i="1" s="1"/>
  <c r="W150" i="1"/>
  <c r="AI223" i="1"/>
  <c r="W258" i="1"/>
  <c r="U195" i="1"/>
  <c r="S195" i="1" s="1"/>
  <c r="U80" i="1"/>
  <c r="S80" i="1" s="1"/>
  <c r="W45" i="1"/>
  <c r="U64" i="1"/>
  <c r="S64" i="1" s="1"/>
  <c r="W89" i="1"/>
  <c r="W147" i="1"/>
  <c r="U174" i="1"/>
  <c r="S174" i="1" s="1"/>
  <c r="W157" i="1"/>
  <c r="U145" i="1"/>
  <c r="S145" i="1" s="1"/>
  <c r="W170" i="1"/>
  <c r="U29" i="1"/>
  <c r="S29" i="1" s="1"/>
  <c r="AI68" i="1"/>
  <c r="W234" i="1"/>
  <c r="AI226" i="1"/>
  <c r="AI258" i="1"/>
  <c r="AI244" i="1"/>
  <c r="W25" i="1"/>
  <c r="U56" i="1"/>
  <c r="S56" i="1" s="1"/>
  <c r="W224" i="1"/>
  <c r="W240" i="1"/>
  <c r="U93" i="1"/>
  <c r="S93" i="1" s="1"/>
  <c r="W33" i="1"/>
  <c r="U87" i="1"/>
  <c r="S87" i="1" s="1"/>
  <c r="AI87" i="1"/>
  <c r="U207" i="1"/>
  <c r="S207" i="1" s="1"/>
  <c r="AI207" i="1"/>
  <c r="W262" i="1"/>
  <c r="W151" i="1"/>
  <c r="W175" i="1"/>
  <c r="W190" i="1"/>
  <c r="AI238" i="1"/>
  <c r="AI246" i="1"/>
  <c r="AI220" i="1"/>
  <c r="U71" i="1"/>
  <c r="S71" i="1" s="1"/>
  <c r="AI71" i="1"/>
  <c r="U16" i="1"/>
  <c r="S16" i="1" s="1"/>
  <c r="AI16" i="1"/>
  <c r="W80" i="1"/>
  <c r="U111" i="1"/>
  <c r="S111" i="1" s="1"/>
  <c r="AI111" i="1"/>
  <c r="U119" i="1"/>
  <c r="S119" i="1" s="1"/>
  <c r="AI119" i="1"/>
  <c r="W128" i="1"/>
  <c r="W87" i="1"/>
  <c r="W207" i="1"/>
  <c r="W43" i="1"/>
  <c r="W236" i="1"/>
  <c r="W271" i="1"/>
  <c r="W241" i="1"/>
  <c r="AI241" i="1"/>
  <c r="W229" i="1"/>
  <c r="U67" i="1"/>
  <c r="S67" i="1" s="1"/>
  <c r="AI67" i="1"/>
  <c r="W52" i="1"/>
  <c r="W56" i="1"/>
  <c r="W60" i="1"/>
  <c r="W64" i="1"/>
  <c r="S155" i="1"/>
  <c r="AI155" i="1"/>
  <c r="W67" i="1"/>
  <c r="U137" i="1"/>
  <c r="S137" i="1" s="1"/>
  <c r="W68" i="1"/>
  <c r="U79" i="1"/>
  <c r="S79" i="1" s="1"/>
  <c r="AI79" i="1"/>
  <c r="U127" i="1"/>
  <c r="S127" i="1" s="1"/>
  <c r="AI127" i="1"/>
  <c r="U215" i="1"/>
  <c r="S215" i="1" s="1"/>
  <c r="AI215" i="1"/>
  <c r="W71" i="1"/>
  <c r="U135" i="1"/>
  <c r="S135" i="1" s="1"/>
  <c r="AI135" i="1"/>
  <c r="W215" i="1"/>
  <c r="W111" i="1"/>
  <c r="U139" i="1"/>
  <c r="S139" i="1" s="1"/>
  <c r="AI139" i="1"/>
  <c r="W155" i="1"/>
  <c r="U261" i="1"/>
  <c r="AI261" i="1"/>
  <c r="S261" i="1"/>
  <c r="W139" i="1"/>
  <c r="W174" i="1"/>
  <c r="W195" i="1"/>
  <c r="W202" i="1"/>
  <c r="AI66" i="1"/>
  <c r="U66" i="1"/>
  <c r="S66" i="1" s="1"/>
  <c r="U82" i="1"/>
  <c r="S82" i="1" s="1"/>
  <c r="AI82" i="1"/>
  <c r="S118" i="1"/>
  <c r="AI118" i="1"/>
  <c r="U118" i="1"/>
  <c r="AI148" i="1"/>
  <c r="U148" i="1"/>
  <c r="S148" i="1" s="1"/>
  <c r="W148" i="1"/>
  <c r="AI165" i="1"/>
  <c r="U212" i="1"/>
  <c r="S212" i="1" s="1"/>
  <c r="AI181" i="1"/>
  <c r="U233" i="1"/>
  <c r="S233" i="1" s="1"/>
  <c r="AI197" i="1"/>
  <c r="U249" i="1"/>
  <c r="S249" i="1" s="1"/>
  <c r="U260" i="1"/>
  <c r="S260" i="1" s="1"/>
  <c r="AI218" i="1"/>
  <c r="U168" i="1"/>
  <c r="S168" i="1" s="1"/>
  <c r="AI231" i="1"/>
  <c r="U184" i="1"/>
  <c r="S184" i="1"/>
  <c r="AI247" i="1"/>
  <c r="U216" i="1"/>
  <c r="S216" i="1" s="1"/>
  <c r="AI267" i="1"/>
  <c r="W233" i="1"/>
  <c r="S162" i="1"/>
  <c r="AI209" i="1"/>
  <c r="U162" i="1"/>
  <c r="U27" i="1"/>
  <c r="S27" i="1" s="1"/>
  <c r="AI27" i="1"/>
  <c r="AI22" i="1"/>
  <c r="U22" i="1"/>
  <c r="S22" i="1" s="1"/>
  <c r="AI26" i="1"/>
  <c r="U26" i="1"/>
  <c r="S26" i="1" s="1"/>
  <c r="S86" i="1"/>
  <c r="AI86" i="1"/>
  <c r="U86" i="1"/>
  <c r="AI94" i="1"/>
  <c r="U94" i="1"/>
  <c r="S94" i="1" s="1"/>
  <c r="AI102" i="1"/>
  <c r="U102" i="1"/>
  <c r="S102" i="1" s="1"/>
  <c r="AI110" i="1"/>
  <c r="U110" i="1"/>
  <c r="S110" i="1" s="1"/>
  <c r="W82" i="1"/>
  <c r="AI122" i="1"/>
  <c r="U122" i="1"/>
  <c r="S122" i="1" s="1"/>
  <c r="AI140" i="1"/>
  <c r="U140" i="1"/>
  <c r="S140" i="1" s="1"/>
  <c r="W118" i="1"/>
  <c r="U126" i="1"/>
  <c r="S126" i="1" s="1"/>
  <c r="AI126" i="1"/>
  <c r="U130" i="1"/>
  <c r="S130" i="1" s="1"/>
  <c r="AI130" i="1"/>
  <c r="U134" i="1"/>
  <c r="S134" i="1" s="1"/>
  <c r="AI134" i="1"/>
  <c r="W126" i="1"/>
  <c r="W134" i="1"/>
  <c r="U159" i="1"/>
  <c r="S159" i="1" s="1"/>
  <c r="AI206" i="1"/>
  <c r="AI169" i="1"/>
  <c r="U221" i="1"/>
  <c r="S221" i="1" s="1"/>
  <c r="S237" i="1"/>
  <c r="AI185" i="1"/>
  <c r="U237" i="1"/>
  <c r="AI201" i="1"/>
  <c r="U253" i="1"/>
  <c r="S253" i="1" s="1"/>
  <c r="AI205" i="1"/>
  <c r="U158" i="1"/>
  <c r="S158" i="1" s="1"/>
  <c r="U172" i="1"/>
  <c r="S172" i="1" s="1"/>
  <c r="AI235" i="1"/>
  <c r="U188" i="1"/>
  <c r="S188" i="1" s="1"/>
  <c r="AI251" i="1"/>
  <c r="W221" i="1"/>
  <c r="W253" i="1"/>
  <c r="AI213" i="1"/>
  <c r="U166" i="1"/>
  <c r="S166" i="1" s="1"/>
  <c r="W168" i="1"/>
  <c r="W216" i="1"/>
  <c r="W172" i="1"/>
  <c r="U19" i="1"/>
  <c r="S19" i="1" s="1"/>
  <c r="AI19" i="1"/>
  <c r="W19" i="1"/>
  <c r="W27" i="1"/>
  <c r="W26" i="1"/>
  <c r="AI74" i="1"/>
  <c r="U74" i="1"/>
  <c r="S74" i="1" s="1"/>
  <c r="W66" i="1"/>
  <c r="U124" i="1"/>
  <c r="S124" i="1" s="1"/>
  <c r="AI124" i="1"/>
  <c r="AI144" i="1"/>
  <c r="U144" i="1"/>
  <c r="S144" i="1" s="1"/>
  <c r="AI152" i="1"/>
  <c r="U152" i="1"/>
  <c r="S152" i="1" s="1"/>
  <c r="U138" i="1"/>
  <c r="S138" i="1"/>
  <c r="AI138" i="1"/>
  <c r="U142" i="1"/>
  <c r="S142" i="1" s="1"/>
  <c r="AI142" i="1"/>
  <c r="W140" i="1"/>
  <c r="U146" i="1"/>
  <c r="S146" i="1" s="1"/>
  <c r="AI146" i="1"/>
  <c r="AI162" i="1"/>
  <c r="U209" i="1"/>
  <c r="S209" i="1" s="1"/>
  <c r="AI166" i="1"/>
  <c r="U213" i="1"/>
  <c r="S213" i="1" s="1"/>
  <c r="AI170" i="1"/>
  <c r="U222" i="1"/>
  <c r="S222" i="1" s="1"/>
  <c r="AI174" i="1"/>
  <c r="U226" i="1"/>
  <c r="S226" i="1" s="1"/>
  <c r="AI178" i="1"/>
  <c r="U230" i="1"/>
  <c r="S230" i="1" s="1"/>
  <c r="S234" i="1"/>
  <c r="AI182" i="1"/>
  <c r="U234" i="1"/>
  <c r="AI186" i="1"/>
  <c r="U238" i="1"/>
  <c r="S238" i="1" s="1"/>
  <c r="AI190" i="1"/>
  <c r="U242" i="1"/>
  <c r="S242" i="1" s="1"/>
  <c r="S246" i="1"/>
  <c r="AI194" i="1"/>
  <c r="U246" i="1"/>
  <c r="AI198" i="1"/>
  <c r="U250" i="1"/>
  <c r="S250" i="1" s="1"/>
  <c r="AI202" i="1"/>
  <c r="U254" i="1"/>
  <c r="S254" i="1" s="1"/>
  <c r="U163" i="1"/>
  <c r="S163" i="1" s="1"/>
  <c r="AI210" i="1"/>
  <c r="W163" i="1"/>
  <c r="W144" i="1"/>
  <c r="W152" i="1"/>
  <c r="S225" i="1"/>
  <c r="AI173" i="1"/>
  <c r="U225" i="1"/>
  <c r="AI189" i="1"/>
  <c r="U241" i="1"/>
  <c r="S241" i="1" s="1"/>
  <c r="W230" i="1"/>
  <c r="AI221" i="1"/>
  <c r="U263" i="1"/>
  <c r="S263" i="1" s="1"/>
  <c r="U220" i="1"/>
  <c r="S220" i="1" s="1"/>
  <c r="AI271" i="1"/>
  <c r="W242" i="1"/>
  <c r="U176" i="1"/>
  <c r="S176" i="1" s="1"/>
  <c r="AI239" i="1"/>
  <c r="U192" i="1"/>
  <c r="S192" i="1" s="1"/>
  <c r="AI255" i="1"/>
  <c r="W222" i="1"/>
  <c r="W254" i="1"/>
  <c r="W212" i="1"/>
  <c r="W249" i="1"/>
  <c r="W260" i="1"/>
  <c r="W22" i="1"/>
  <c r="AI70" i="1"/>
  <c r="U70" i="1"/>
  <c r="S70" i="1" s="1"/>
  <c r="U23" i="1"/>
  <c r="S23" i="1" s="1"/>
  <c r="AI23" i="1"/>
  <c r="S14" i="1"/>
  <c r="AI14" i="1"/>
  <c r="U14" i="1"/>
  <c r="AI46" i="1"/>
  <c r="U46" i="1"/>
  <c r="S46" i="1" s="1"/>
  <c r="W46" i="1"/>
  <c r="U84" i="1"/>
  <c r="S84" i="1" s="1"/>
  <c r="AI84" i="1"/>
  <c r="AI18" i="1"/>
  <c r="U18" i="1"/>
  <c r="S18" i="1" s="1"/>
  <c r="AI78" i="1"/>
  <c r="U78" i="1"/>
  <c r="S78" i="1" s="1"/>
  <c r="W70" i="1"/>
  <c r="W78" i="1"/>
  <c r="W84" i="1"/>
  <c r="AI90" i="1"/>
  <c r="U90" i="1"/>
  <c r="S90" i="1" s="1"/>
  <c r="AI98" i="1"/>
  <c r="U98" i="1"/>
  <c r="S98" i="1" s="1"/>
  <c r="S106" i="1"/>
  <c r="AI106" i="1"/>
  <c r="U106" i="1"/>
  <c r="AI114" i="1"/>
  <c r="U114" i="1"/>
  <c r="S114" i="1" s="1"/>
  <c r="W90" i="1"/>
  <c r="W106" i="1"/>
  <c r="W114" i="1"/>
  <c r="W122" i="1"/>
  <c r="W130" i="1"/>
  <c r="W142" i="1"/>
  <c r="U150" i="1"/>
  <c r="S150" i="1" s="1"/>
  <c r="AI150" i="1"/>
  <c r="U256" i="1"/>
  <c r="S256" i="1" s="1"/>
  <c r="AI214" i="1"/>
  <c r="W256" i="1"/>
  <c r="W146" i="1"/>
  <c r="AI161" i="1"/>
  <c r="U208" i="1"/>
  <c r="S208" i="1" s="1"/>
  <c r="AI177" i="1"/>
  <c r="U229" i="1"/>
  <c r="S229" i="1" s="1"/>
  <c r="AI193" i="1"/>
  <c r="U245" i="1"/>
  <c r="S245" i="1" s="1"/>
  <c r="W208" i="1"/>
  <c r="W245" i="1"/>
  <c r="W225" i="1"/>
  <c r="W158" i="1"/>
  <c r="U269" i="1"/>
  <c r="S269" i="1" s="1"/>
  <c r="AI227" i="1"/>
  <c r="U180" i="1"/>
  <c r="S180" i="1" s="1"/>
  <c r="AI243" i="1"/>
  <c r="U200" i="1"/>
  <c r="S200" i="1" s="1"/>
  <c r="AI263" i="1"/>
  <c r="W237" i="1"/>
  <c r="W263" i="1"/>
  <c r="W213" i="1"/>
  <c r="W250" i="1"/>
  <c r="W184" i="1"/>
  <c r="W159" i="1"/>
  <c r="W269" i="1"/>
  <c r="W188" i="1"/>
  <c r="T18" i="3"/>
  <c r="AD8" i="3"/>
  <c r="AE8" i="3"/>
  <c r="Y18" i="3"/>
  <c r="AD18" i="3"/>
  <c r="AC18" i="3"/>
  <c r="AE18" i="3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s="1"/>
  <c r="C78" i="9" l="1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 l="1"/>
  <c r="X13" i="1"/>
  <c r="AA13" i="1"/>
  <c r="T13" i="1"/>
  <c r="AI13" i="1"/>
  <c r="U13" i="1" l="1"/>
  <c r="S13" i="1" s="1"/>
  <c r="W13" i="1"/>
  <c r="B6" i="6"/>
  <c r="G6" i="6" s="1"/>
  <c r="F6" i="6" l="1"/>
  <c r="J6" i="6"/>
  <c r="I6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N52" i="3" s="1"/>
  <c r="G12" i="4"/>
  <c r="G13" i="4"/>
  <c r="G14" i="4"/>
  <c r="N17" i="3" s="1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63" i="3" s="1"/>
  <c r="G37" i="4"/>
  <c r="G38" i="4"/>
  <c r="G39" i="4"/>
  <c r="G40" i="4"/>
  <c r="G41" i="4"/>
  <c r="G42" i="4"/>
  <c r="N53" i="3" s="1"/>
  <c r="G43" i="4"/>
  <c r="G44" i="4"/>
  <c r="G45" i="4"/>
  <c r="G46" i="4"/>
  <c r="G47" i="4"/>
  <c r="G48" i="4"/>
  <c r="G49" i="4"/>
  <c r="G50" i="4"/>
  <c r="G51" i="4"/>
  <c r="N22" i="3" s="1"/>
  <c r="G52" i="4"/>
  <c r="G53" i="4"/>
  <c r="G54" i="4"/>
  <c r="G55" i="4"/>
  <c r="G56" i="4"/>
  <c r="G57" i="4"/>
  <c r="G58" i="4"/>
  <c r="N43" i="3" s="1"/>
  <c r="G59" i="4"/>
  <c r="N9" i="3" s="1"/>
  <c r="G60" i="4"/>
  <c r="G61" i="4"/>
  <c r="N8" i="3" s="1"/>
  <c r="G62" i="4"/>
  <c r="G63" i="4"/>
  <c r="G64" i="4"/>
  <c r="G65" i="4"/>
  <c r="G66" i="4"/>
  <c r="G67" i="4"/>
  <c r="G68" i="4"/>
  <c r="G69" i="4"/>
  <c r="G70" i="4"/>
  <c r="N44" i="3" s="1"/>
  <c r="G71" i="4"/>
  <c r="N7" i="3" s="1"/>
  <c r="G72" i="4"/>
  <c r="G73" i="4"/>
  <c r="G74" i="4"/>
  <c r="G75" i="4"/>
  <c r="G76" i="4"/>
  <c r="N35" i="3" s="1"/>
  <c r="G77" i="4"/>
  <c r="G78" i="4"/>
  <c r="G79" i="4"/>
  <c r="G80" i="4"/>
  <c r="N45" i="3" s="1"/>
  <c r="G81" i="4"/>
  <c r="G82" i="4"/>
  <c r="G83" i="4"/>
  <c r="G84" i="4"/>
  <c r="N54" i="3" s="1"/>
  <c r="G85" i="4"/>
  <c r="G86" i="4"/>
  <c r="G87" i="4"/>
  <c r="G88" i="4"/>
  <c r="N55" i="3" s="1"/>
  <c r="G89" i="4"/>
  <c r="G90" i="4"/>
  <c r="G91" i="4"/>
  <c r="G92" i="4"/>
  <c r="G93" i="4"/>
  <c r="G94" i="4"/>
  <c r="G95" i="4"/>
  <c r="G96" i="4"/>
  <c r="G97" i="4"/>
  <c r="G98" i="4"/>
  <c r="N56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9" i="3" s="1"/>
  <c r="G115" i="4"/>
  <c r="G116" i="4"/>
  <c r="N41" i="3" s="1"/>
  <c r="G117" i="4"/>
  <c r="G118" i="4"/>
  <c r="G119" i="4"/>
  <c r="G120" i="4"/>
  <c r="N27" i="3" s="1"/>
  <c r="G121" i="4"/>
  <c r="G122" i="4"/>
  <c r="G123" i="4"/>
  <c r="G124" i="4"/>
  <c r="G125" i="4"/>
  <c r="G126" i="4"/>
  <c r="G127" i="4"/>
  <c r="G128" i="4"/>
  <c r="G129" i="4"/>
  <c r="N36" i="3" s="1"/>
  <c r="G130" i="4"/>
  <c r="G131" i="4"/>
  <c r="G132" i="4"/>
  <c r="G133" i="4"/>
  <c r="G134" i="4"/>
  <c r="G135" i="4"/>
  <c r="G136" i="4"/>
  <c r="N12" i="3" s="1"/>
  <c r="G137" i="4"/>
  <c r="G138" i="4"/>
  <c r="G139" i="4"/>
  <c r="G140" i="4"/>
  <c r="G141" i="4"/>
  <c r="G142" i="4"/>
  <c r="N50" i="3" s="1"/>
  <c r="G143" i="4"/>
  <c r="G144" i="4"/>
  <c r="G145" i="4"/>
  <c r="G146" i="4"/>
  <c r="G147" i="4"/>
  <c r="G148" i="4"/>
  <c r="G149" i="4"/>
  <c r="G150" i="4"/>
  <c r="G151" i="4"/>
  <c r="G152" i="4"/>
  <c r="N67" i="3" s="1"/>
  <c r="G153" i="4"/>
  <c r="G154" i="4"/>
  <c r="G155" i="4"/>
  <c r="G156" i="4"/>
  <c r="G157" i="4"/>
  <c r="G158" i="4"/>
  <c r="N13" i="3" s="1"/>
  <c r="G159" i="4"/>
  <c r="G160" i="4"/>
  <c r="G161" i="4"/>
  <c r="G162" i="4"/>
  <c r="G163" i="4"/>
  <c r="G164" i="4"/>
  <c r="G165" i="4"/>
  <c r="G166" i="4"/>
  <c r="G167" i="4"/>
  <c r="G168" i="4"/>
  <c r="N37" i="3" s="1"/>
  <c r="G169" i="4"/>
  <c r="G170" i="4"/>
  <c r="G171" i="4"/>
  <c r="G172" i="4"/>
  <c r="G173" i="4"/>
  <c r="N61" i="3" s="1"/>
  <c r="G174" i="4"/>
  <c r="G175" i="4"/>
  <c r="G176" i="4"/>
  <c r="G177" i="4"/>
  <c r="G178" i="4"/>
  <c r="G179" i="4"/>
  <c r="N38" i="3" s="1"/>
  <c r="G180" i="4"/>
  <c r="G181" i="4"/>
  <c r="N28" i="3" s="1"/>
  <c r="G182" i="4"/>
  <c r="G183" i="4"/>
  <c r="G184" i="4"/>
  <c r="G185" i="4"/>
  <c r="G186" i="4"/>
  <c r="G187" i="4"/>
  <c r="G188" i="4"/>
  <c r="N60" i="3" s="1"/>
  <c r="G189" i="4"/>
  <c r="G190" i="4"/>
  <c r="G191" i="4"/>
  <c r="G192" i="4"/>
  <c r="G193" i="4"/>
  <c r="G194" i="4"/>
  <c r="N42" i="3" s="1"/>
  <c r="G195" i="4"/>
  <c r="N26" i="3" s="1"/>
  <c r="G196" i="4"/>
  <c r="G197" i="4"/>
  <c r="G198" i="4"/>
  <c r="G199" i="4"/>
  <c r="G200" i="4"/>
  <c r="G201" i="4"/>
  <c r="N14" i="3" s="1"/>
  <c r="G202" i="4"/>
  <c r="G203" i="4"/>
  <c r="G204" i="4"/>
  <c r="G205" i="4"/>
  <c r="N33" i="3" s="1"/>
  <c r="G206" i="4"/>
  <c r="G207" i="4"/>
  <c r="G208" i="4"/>
  <c r="G209" i="4"/>
  <c r="G210" i="4"/>
  <c r="N15" i="3" s="1"/>
  <c r="G211" i="4"/>
  <c r="G212" i="4"/>
  <c r="G213" i="4"/>
  <c r="G214" i="4"/>
  <c r="G215" i="4"/>
  <c r="G216" i="4"/>
  <c r="G217" i="4"/>
  <c r="G218" i="4"/>
  <c r="G219" i="4"/>
  <c r="G220" i="4"/>
  <c r="N39" i="3" s="1"/>
  <c r="G221" i="4"/>
  <c r="G222" i="4"/>
  <c r="G223" i="4"/>
  <c r="G224" i="4"/>
  <c r="G225" i="4"/>
  <c r="G226" i="4"/>
  <c r="G227" i="4"/>
  <c r="G228" i="4"/>
  <c r="N62" i="3" s="1"/>
  <c r="G229" i="4"/>
  <c r="G230" i="4"/>
  <c r="G231" i="4"/>
  <c r="G232" i="4"/>
  <c r="G233" i="4"/>
  <c r="G234" i="4"/>
  <c r="G235" i="4"/>
  <c r="G236" i="4"/>
  <c r="N16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68" i="3" l="1"/>
  <c r="N64" i="3"/>
  <c r="N69" i="3"/>
  <c r="N23" i="3"/>
  <c r="N57" i="3"/>
  <c r="N30" i="3"/>
  <c r="N47" i="3"/>
  <c r="N25" i="3"/>
  <c r="N48" i="3"/>
  <c r="N10" i="3"/>
  <c r="N24" i="3"/>
  <c r="N11" i="3"/>
  <c r="N59" i="3"/>
  <c r="N65" i="3"/>
  <c r="N66" i="3"/>
  <c r="N29" i="3"/>
  <c r="N51" i="3"/>
  <c r="N18" i="3"/>
  <c r="N20" i="3"/>
  <c r="N21" i="3"/>
  <c r="N46" i="3"/>
  <c r="N49" i="3"/>
  <c r="N40" i="3"/>
  <c r="N31" i="3"/>
  <c r="N32" i="3"/>
  <c r="N34" i="3"/>
  <c r="H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5" i="6" l="1"/>
  <c r="I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F5" i="6"/>
  <c r="J5" i="6"/>
  <c r="H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N58" i="3" s="1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B4" i="6"/>
  <c r="I4" i="6" s="1"/>
  <c r="S9" i="1"/>
  <c r="J9" i="1"/>
  <c r="B7" i="6" l="1"/>
  <c r="I7" i="6" s="1"/>
  <c r="F4" i="6"/>
  <c r="G4" i="6"/>
  <c r="J4" i="6"/>
  <c r="H4" i="6"/>
  <c r="S11" i="1"/>
  <c r="A11" i="1"/>
  <c r="B8" i="6" l="1"/>
  <c r="I8" i="6" s="1"/>
  <c r="G7" i="6"/>
  <c r="H7" i="6"/>
  <c r="J7" i="6"/>
  <c r="F7" i="6"/>
  <c r="B1" i="6"/>
  <c r="A5" i="3"/>
  <c r="G8" i="6" l="1"/>
  <c r="F8" i="6"/>
  <c r="J8" i="6"/>
  <c r="H8" i="6"/>
  <c r="B9" i="6"/>
  <c r="I9" i="6" s="1"/>
  <c r="F9" i="6" l="1"/>
  <c r="J9" i="6"/>
  <c r="G9" i="6"/>
  <c r="H9" i="6"/>
  <c r="B10" i="6"/>
  <c r="I10" i="6" s="1"/>
  <c r="B11" i="6" l="1"/>
  <c r="I11" i="6" s="1"/>
  <c r="J10" i="6"/>
  <c r="G10" i="6"/>
  <c r="F10" i="6"/>
  <c r="H10" i="6"/>
  <c r="F11" i="6" l="1"/>
  <c r="G11" i="6"/>
  <c r="H11" i="6"/>
  <c r="J11" i="6"/>
  <c r="B12" i="6"/>
  <c r="I12" i="6" s="1"/>
  <c r="J12" i="6" l="1"/>
  <c r="H12" i="6"/>
  <c r="F12" i="6"/>
  <c r="G12" i="6"/>
  <c r="B13" i="6"/>
  <c r="I13" i="6" s="1"/>
  <c r="B14" i="6" l="1"/>
  <c r="I14" i="6" s="1"/>
  <c r="J13" i="6"/>
  <c r="F13" i="6"/>
  <c r="H13" i="6"/>
  <c r="G13" i="6"/>
  <c r="F14" i="6" l="1"/>
  <c r="G14" i="6"/>
  <c r="H14" i="6"/>
  <c r="J14" i="6"/>
  <c r="B15" i="6"/>
  <c r="I15" i="6" s="1"/>
  <c r="G15" i="6" l="1"/>
  <c r="H15" i="6"/>
  <c r="J15" i="6"/>
  <c r="F15" i="6"/>
  <c r="B16" i="6"/>
  <c r="I16" i="6" s="1"/>
  <c r="F16" i="6" l="1"/>
  <c r="H16" i="6"/>
  <c r="J16" i="6"/>
  <c r="G16" i="6"/>
  <c r="B17" i="6"/>
  <c r="I17" i="6" s="1"/>
  <c r="F17" i="6" l="1"/>
  <c r="J17" i="6"/>
  <c r="G17" i="6"/>
  <c r="H17" i="6"/>
  <c r="B18" i="6"/>
  <c r="I18" i="6" s="1"/>
  <c r="B19" i="6" l="1"/>
  <c r="I19" i="6" s="1"/>
  <c r="F18" i="6"/>
  <c r="H18" i="6"/>
  <c r="J18" i="6"/>
  <c r="G18" i="6"/>
  <c r="F19" i="6" l="1"/>
  <c r="H19" i="6"/>
  <c r="J19" i="6"/>
  <c r="G19" i="6"/>
  <c r="B20" i="6"/>
  <c r="I20" i="6" s="1"/>
  <c r="J20" i="6" l="1"/>
  <c r="H20" i="6"/>
  <c r="F20" i="6"/>
  <c r="G20" i="6"/>
  <c r="B21" i="6"/>
  <c r="I21" i="6" s="1"/>
  <c r="B22" i="6" l="1"/>
  <c r="I22" i="6" s="1"/>
  <c r="F21" i="6"/>
  <c r="G21" i="6"/>
  <c r="H21" i="6"/>
  <c r="J21" i="6"/>
  <c r="B23" i="6" l="1"/>
  <c r="I23" i="6" s="1"/>
  <c r="H22" i="6"/>
  <c r="F22" i="6"/>
  <c r="J22" i="6"/>
  <c r="G22" i="6"/>
  <c r="B24" i="6" l="1"/>
  <c r="I24" i="6" s="1"/>
  <c r="F23" i="6"/>
  <c r="H23" i="6"/>
  <c r="J23" i="6"/>
  <c r="G23" i="6"/>
  <c r="F24" i="6" l="1"/>
  <c r="G24" i="6"/>
  <c r="J24" i="6"/>
  <c r="H24" i="6"/>
  <c r="B25" i="6"/>
  <c r="I25" i="6" s="1"/>
  <c r="F25" i="6" l="1"/>
  <c r="J25" i="6"/>
  <c r="H25" i="6"/>
  <c r="G25" i="6"/>
  <c r="B26" i="6"/>
  <c r="I26" i="6" s="1"/>
  <c r="F26" i="6" l="1"/>
  <c r="H26" i="6"/>
  <c r="G26" i="6"/>
  <c r="J26" i="6"/>
  <c r="B27" i="6"/>
  <c r="I27" i="6" s="1"/>
  <c r="B28" i="6" l="1"/>
  <c r="I28" i="6" s="1"/>
  <c r="G27" i="6"/>
  <c r="F27" i="6"/>
  <c r="H27" i="6"/>
  <c r="J27" i="6"/>
  <c r="J28" i="6" l="1"/>
  <c r="H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H31" i="6" l="1"/>
  <c r="J31" i="6"/>
  <c r="F31" i="6"/>
  <c r="G31" i="6"/>
  <c r="B32" i="6"/>
  <c r="I32" i="6" s="1"/>
  <c r="G32" i="6" l="1"/>
  <c r="F32" i="6"/>
  <c r="H32" i="6"/>
  <c r="J32" i="6"/>
  <c r="B33" i="6"/>
  <c r="I33" i="6" s="1"/>
  <c r="B34" i="6" l="1"/>
  <c r="I34" i="6" s="1"/>
  <c r="J33" i="6"/>
  <c r="G33" i="6"/>
  <c r="F33" i="6"/>
  <c r="H33" i="6"/>
  <c r="B35" i="6" l="1"/>
  <c r="I35" i="6" s="1"/>
  <c r="J34" i="6"/>
  <c r="G34" i="6"/>
  <c r="F34" i="6"/>
  <c r="H34" i="6"/>
  <c r="F35" i="6" l="1"/>
  <c r="H35" i="6"/>
  <c r="J35" i="6"/>
  <c r="G35" i="6"/>
  <c r="B36" i="6"/>
  <c r="I36" i="6" s="1"/>
  <c r="B37" i="6" l="1"/>
  <c r="I37" i="6" s="1"/>
  <c r="F36" i="6"/>
  <c r="G36" i="6"/>
  <c r="J36" i="6"/>
  <c r="H36" i="6"/>
  <c r="G37" i="6" l="1"/>
  <c r="F37" i="6"/>
  <c r="H37" i="6"/>
  <c r="J37" i="6"/>
  <c r="B38" i="6"/>
  <c r="I38" i="6" s="1"/>
  <c r="F38" i="6" l="1"/>
  <c r="J38" i="6"/>
  <c r="G38" i="6"/>
  <c r="H38" i="6"/>
  <c r="B39" i="6"/>
  <c r="I39" i="6" s="1"/>
  <c r="G39" i="6" l="1"/>
  <c r="H39" i="6"/>
  <c r="J39" i="6"/>
  <c r="F39" i="6"/>
  <c r="B40" i="6"/>
  <c r="I40" i="6" s="1"/>
  <c r="B41" i="6" l="1"/>
  <c r="I41" i="6" s="1"/>
  <c r="J40" i="6"/>
  <c r="H40" i="6"/>
  <c r="F40" i="6"/>
  <c r="G40" i="6"/>
  <c r="J41" i="6" l="1"/>
  <c r="G41" i="6"/>
  <c r="F41" i="6"/>
  <c r="H41" i="6"/>
  <c r="B42" i="6"/>
  <c r="I42" i="6" s="1"/>
  <c r="B43" i="6" l="1"/>
  <c r="I43" i="6" s="1"/>
  <c r="G42" i="6"/>
  <c r="J42" i="6"/>
  <c r="F42" i="6"/>
  <c r="H42" i="6"/>
  <c r="F43" i="6" l="1"/>
  <c r="G43" i="6"/>
  <c r="J43" i="6"/>
  <c r="H43" i="6"/>
  <c r="B44" i="6"/>
  <c r="I44" i="6" s="1"/>
  <c r="B45" i="6" l="1"/>
  <c r="I45" i="6" s="1"/>
  <c r="F44" i="6"/>
  <c r="G44" i="6"/>
  <c r="J44" i="6"/>
  <c r="H44" i="6"/>
  <c r="G45" i="6" l="1"/>
  <c r="H45" i="6"/>
  <c r="J45" i="6"/>
  <c r="F45" i="6"/>
  <c r="B46" i="6"/>
  <c r="I46" i="6" s="1"/>
  <c r="B47" i="6" l="1"/>
  <c r="I47" i="6" s="1"/>
  <c r="G46" i="6"/>
  <c r="H46" i="6"/>
  <c r="J46" i="6"/>
  <c r="F46" i="6"/>
  <c r="F47" i="6" l="1"/>
  <c r="G47" i="6"/>
  <c r="H47" i="6"/>
  <c r="J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H51" i="6" l="1"/>
  <c r="F51" i="6"/>
  <c r="G51" i="6"/>
  <c r="J51" i="6"/>
  <c r="B52" i="6"/>
  <c r="I52" i="6" s="1"/>
  <c r="B53" i="6" l="1"/>
  <c r="I53" i="6" s="1"/>
  <c r="F52" i="6"/>
  <c r="G52" i="6"/>
  <c r="J52" i="6"/>
  <c r="H52" i="6"/>
  <c r="B54" i="6" l="1"/>
  <c r="I54" i="6" s="1"/>
  <c r="J53" i="6"/>
  <c r="F53" i="6"/>
  <c r="G53" i="6"/>
  <c r="H53" i="6"/>
  <c r="F54" i="6" l="1"/>
  <c r="J54" i="6"/>
  <c r="G54" i="6"/>
  <c r="H54" i="6"/>
  <c r="B55" i="6"/>
  <c r="I55" i="6" s="1"/>
  <c r="H55" i="6" l="1"/>
  <c r="J55" i="6"/>
  <c r="G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G58" i="6" l="1"/>
  <c r="H58" i="6"/>
  <c r="J58" i="6"/>
  <c r="F58" i="6"/>
  <c r="B59" i="6"/>
  <c r="I59" i="6" s="1"/>
  <c r="G59" i="6" l="1"/>
  <c r="F59" i="6"/>
  <c r="H59" i="6"/>
  <c r="J59" i="6"/>
  <c r="B60" i="6"/>
  <c r="I60" i="6" s="1"/>
  <c r="B61" i="6" l="1"/>
  <c r="I61" i="6" s="1"/>
  <c r="J60" i="6"/>
  <c r="F60" i="6"/>
  <c r="H60" i="6"/>
  <c r="G60" i="6"/>
  <c r="B62" i="6" l="1"/>
  <c r="I62" i="6" s="1"/>
  <c r="J61" i="6"/>
  <c r="F61" i="6"/>
  <c r="G61" i="6"/>
  <c r="H61" i="6"/>
  <c r="H62" i="6" l="1"/>
  <c r="G62" i="6"/>
  <c r="F62" i="6"/>
  <c r="J62" i="6"/>
  <c r="B63" i="6"/>
  <c r="I63" i="6" s="1"/>
  <c r="G63" i="6" l="1"/>
  <c r="H63" i="6"/>
  <c r="J63" i="6"/>
  <c r="F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B67" i="6" l="1"/>
  <c r="I67" i="6" s="1"/>
  <c r="J66" i="6"/>
  <c r="F66" i="6"/>
  <c r="G66" i="6"/>
  <c r="H66" i="6"/>
  <c r="J67" i="6" l="1"/>
  <c r="F67" i="6"/>
  <c r="H67" i="6"/>
  <c r="G67" i="6"/>
  <c r="B68" i="6"/>
  <c r="I68" i="6" s="1"/>
  <c r="F68" i="6" l="1"/>
  <c r="J68" i="6"/>
  <c r="H68" i="6"/>
  <c r="G68" i="6"/>
  <c r="B69" i="6"/>
  <c r="I69" i="6" s="1"/>
  <c r="J69" i="6" l="1"/>
  <c r="G69" i="6"/>
  <c r="F69" i="6"/>
  <c r="H69" i="6"/>
  <c r="B70" i="6"/>
  <c r="I70" i="6" s="1"/>
  <c r="B71" i="6" l="1"/>
  <c r="I71" i="6" s="1"/>
  <c r="F70" i="6"/>
  <c r="G70" i="6"/>
  <c r="H70" i="6"/>
  <c r="J70" i="6"/>
  <c r="F71" i="6" l="1"/>
  <c r="G71" i="6"/>
  <c r="H71" i="6"/>
  <c r="J71" i="6"/>
  <c r="B72" i="6"/>
  <c r="I72" i="6" s="1"/>
  <c r="B73" i="6" l="1"/>
  <c r="I73" i="6" s="1"/>
  <c r="J72" i="6"/>
  <c r="F72" i="6"/>
  <c r="G72" i="6"/>
  <c r="H72" i="6"/>
  <c r="F73" i="6" l="1"/>
  <c r="H73" i="6"/>
  <c r="G73" i="6"/>
  <c r="J73" i="6"/>
  <c r="B74" i="6"/>
  <c r="I74" i="6" s="1"/>
  <c r="B75" i="6" l="1"/>
  <c r="I75" i="6" s="1"/>
  <c r="H74" i="6"/>
  <c r="G74" i="6"/>
  <c r="F74" i="6"/>
  <c r="J74" i="6"/>
  <c r="B76" i="6" l="1"/>
  <c r="I76" i="6" s="1"/>
  <c r="J75" i="6"/>
  <c r="H75" i="6"/>
  <c r="F75" i="6"/>
  <c r="G75" i="6"/>
  <c r="J76" i="6" l="1"/>
  <c r="H76" i="6"/>
  <c r="F76" i="6"/>
  <c r="G76" i="6"/>
  <c r="B77" i="6"/>
  <c r="I77" i="6" s="1"/>
  <c r="J77" i="6" l="1"/>
  <c r="F77" i="6"/>
  <c r="H77" i="6"/>
  <c r="G77" i="6"/>
  <c r="B78" i="6"/>
  <c r="I78" i="6" s="1"/>
  <c r="B79" i="6" l="1"/>
  <c r="I79" i="6" s="1"/>
  <c r="F78" i="6"/>
  <c r="J78" i="6"/>
  <c r="G78" i="6"/>
  <c r="H78" i="6"/>
  <c r="B80" i="6" l="1"/>
  <c r="I80" i="6" s="1"/>
  <c r="F79" i="6"/>
  <c r="G79" i="6"/>
  <c r="H79" i="6"/>
  <c r="J79" i="6"/>
  <c r="B81" i="6" l="1"/>
  <c r="I81" i="6" s="1"/>
  <c r="J80" i="6"/>
  <c r="H80" i="6"/>
  <c r="G80" i="6"/>
  <c r="F80" i="6"/>
  <c r="B82" i="6" l="1"/>
  <c r="I82" i="6" s="1"/>
  <c r="H81" i="6"/>
  <c r="J81" i="6"/>
  <c r="F81" i="6"/>
  <c r="G81" i="6"/>
  <c r="G82" i="6" l="1"/>
  <c r="H82" i="6"/>
  <c r="J82" i="6"/>
  <c r="F82" i="6"/>
  <c r="B83" i="6"/>
  <c r="I83" i="6" s="1"/>
  <c r="B84" i="6" l="1"/>
  <c r="I84" i="6" s="1"/>
  <c r="G83" i="6"/>
  <c r="J83" i="6"/>
  <c r="H83" i="6"/>
  <c r="F83" i="6"/>
  <c r="F84" i="6" l="1"/>
  <c r="H84" i="6"/>
  <c r="J84" i="6"/>
  <c r="G84" i="6"/>
  <c r="B85" i="6"/>
  <c r="I85" i="6" s="1"/>
  <c r="H85" i="6" l="1"/>
  <c r="F85" i="6"/>
  <c r="G85" i="6"/>
  <c r="J85" i="6"/>
  <c r="B86" i="6"/>
  <c r="I86" i="6" s="1"/>
  <c r="H86" i="6" l="1"/>
  <c r="G86" i="6"/>
  <c r="F86" i="6"/>
  <c r="J86" i="6"/>
  <c r="B87" i="6"/>
  <c r="I87" i="6" s="1"/>
  <c r="H87" i="6" l="1"/>
  <c r="J87" i="6"/>
  <c r="G87" i="6"/>
  <c r="F87" i="6"/>
  <c r="B88" i="6"/>
  <c r="I88" i="6" s="1"/>
  <c r="J88" i="6" l="1"/>
  <c r="G88" i="6"/>
  <c r="F88" i="6"/>
  <c r="H88" i="6"/>
  <c r="B89" i="6"/>
  <c r="I89" i="6" s="1"/>
  <c r="J89" i="6" l="1"/>
  <c r="F89" i="6"/>
  <c r="H89" i="6"/>
  <c r="G89" i="6"/>
  <c r="B90" i="6"/>
  <c r="I90" i="6" s="1"/>
  <c r="G90" i="6" l="1"/>
  <c r="H90" i="6"/>
  <c r="F90" i="6"/>
  <c r="J90" i="6"/>
  <c r="B91" i="6"/>
  <c r="I91" i="6" s="1"/>
  <c r="B92" i="6" l="1"/>
  <c r="I92" i="6" s="1"/>
  <c r="J91" i="6"/>
  <c r="G91" i="6"/>
  <c r="H91" i="6"/>
  <c r="F91" i="6"/>
  <c r="J92" i="6" l="1"/>
  <c r="F92" i="6"/>
  <c r="H92" i="6"/>
  <c r="G92" i="6"/>
  <c r="B93" i="6"/>
  <c r="I93" i="6" s="1"/>
  <c r="B94" i="6" l="1"/>
  <c r="I94" i="6" s="1"/>
  <c r="J93" i="6"/>
  <c r="G93" i="6"/>
  <c r="H93" i="6"/>
  <c r="F93" i="6"/>
  <c r="B95" i="6" l="1"/>
  <c r="I95" i="6" s="1"/>
  <c r="F94" i="6"/>
  <c r="H94" i="6"/>
  <c r="G94" i="6"/>
  <c r="J94" i="6"/>
  <c r="B96" i="6" l="1"/>
  <c r="I96" i="6" s="1"/>
  <c r="J95" i="6"/>
  <c r="F95" i="6"/>
  <c r="G95" i="6"/>
  <c r="H95" i="6"/>
  <c r="B97" i="6" l="1"/>
  <c r="I97" i="6" s="1"/>
  <c r="J96" i="6"/>
  <c r="H96" i="6"/>
  <c r="G96" i="6"/>
  <c r="F96" i="6"/>
  <c r="G97" i="6" l="1"/>
  <c r="H97" i="6"/>
  <c r="J97" i="6"/>
  <c r="F97" i="6"/>
  <c r="B98" i="6"/>
  <c r="I98" i="6" s="1"/>
  <c r="B99" i="6" l="1"/>
  <c r="I99" i="6" s="1"/>
  <c r="J98" i="6"/>
  <c r="F98" i="6"/>
  <c r="G98" i="6"/>
  <c r="H98" i="6"/>
  <c r="F99" i="6" l="1"/>
  <c r="G99" i="6"/>
  <c r="H99" i="6"/>
  <c r="J99" i="6"/>
  <c r="B100" i="6"/>
  <c r="I100" i="6" s="1"/>
  <c r="F100" i="6" l="1"/>
  <c r="H100" i="6"/>
  <c r="G100" i="6"/>
  <c r="J100" i="6"/>
  <c r="B101" i="6"/>
  <c r="I101" i="6" s="1"/>
  <c r="J101" i="6" l="1"/>
  <c r="H101" i="6"/>
  <c r="F101" i="6"/>
  <c r="G101" i="6"/>
  <c r="B102" i="6"/>
  <c r="I102" i="6" s="1"/>
  <c r="F102" i="6" l="1"/>
  <c r="H102" i="6"/>
  <c r="G102" i="6"/>
  <c r="J102" i="6"/>
  <c r="B103" i="6"/>
  <c r="I103" i="6" s="1"/>
  <c r="F103" i="6" l="1"/>
  <c r="H103" i="6"/>
  <c r="G103" i="6"/>
  <c r="J103" i="6"/>
  <c r="B104" i="6"/>
  <c r="I104" i="6" s="1"/>
  <c r="J104" i="6" l="1"/>
  <c r="F104" i="6"/>
  <c r="G104" i="6"/>
  <c r="H104" i="6"/>
  <c r="B105" i="6"/>
  <c r="I105" i="6" s="1"/>
  <c r="G105" i="6" l="1"/>
  <c r="H105" i="6"/>
  <c r="J105" i="6"/>
  <c r="F105" i="6"/>
  <c r="B106" i="6"/>
  <c r="I106" i="6" s="1"/>
  <c r="B107" i="6" l="1"/>
  <c r="I107" i="6" s="1"/>
  <c r="H106" i="6"/>
  <c r="G106" i="6"/>
  <c r="J106" i="6"/>
  <c r="F106" i="6"/>
  <c r="B108" i="6" l="1"/>
  <c r="I108" i="6" s="1"/>
  <c r="J107" i="6"/>
  <c r="G107" i="6"/>
  <c r="H107" i="6"/>
  <c r="F107" i="6"/>
  <c r="H108" i="6" l="1"/>
  <c r="F108" i="6"/>
  <c r="G108" i="6"/>
  <c r="J108" i="6"/>
  <c r="B109" i="6"/>
  <c r="I109" i="6" s="1"/>
  <c r="F109" i="6" l="1"/>
  <c r="H109" i="6"/>
  <c r="J109" i="6"/>
  <c r="G109" i="6"/>
  <c r="B110" i="6"/>
  <c r="I110" i="6" s="1"/>
  <c r="F110" i="6" l="1"/>
  <c r="G110" i="6"/>
  <c r="J110" i="6"/>
  <c r="H110" i="6"/>
  <c r="B111" i="6"/>
  <c r="I111" i="6" s="1"/>
  <c r="B112" i="6" l="1"/>
  <c r="I112" i="6" s="1"/>
  <c r="H111" i="6"/>
  <c r="J111" i="6"/>
  <c r="F111" i="6"/>
  <c r="G111" i="6"/>
  <c r="B113" i="6" l="1"/>
  <c r="I113" i="6" s="1"/>
  <c r="J112" i="6"/>
  <c r="H112" i="6"/>
  <c r="G112" i="6"/>
  <c r="F112" i="6"/>
  <c r="B115" i="6" l="1"/>
  <c r="I115" i="6" s="1"/>
  <c r="B114" i="6"/>
  <c r="I114" i="6" s="1"/>
  <c r="F113" i="6"/>
  <c r="G113" i="6"/>
  <c r="H113" i="6"/>
  <c r="J113" i="6"/>
  <c r="G114" i="6" l="1"/>
  <c r="H114" i="6"/>
  <c r="J114" i="6"/>
  <c r="F114" i="6"/>
  <c r="J115" i="6"/>
  <c r="F115" i="6"/>
  <c r="G115" i="6"/>
  <c r="H11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<sst xmlns="http://schemas.openxmlformats.org/spreadsheetml/2006/main" count="3085" uniqueCount="1057">
  <si>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</si>
  <si>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</si>
  <si>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</si>
  <si>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</si>
  <si>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</si>
  <si>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</si>
  <si>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</si>
  <si>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</si>
  <si>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</si>
  <si>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</si>
  <si>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</si>
  <si>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</si>
  <si>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</si>
  <si>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</si>
  <si>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</si>
  <si>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</si>
  <si>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</si>
  <si>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</si>
  <si>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</si>
  <si>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</si>
  <si>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</si>
  <si>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</si>
  <si>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</si>
  <si>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</si>
  <si>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</si>
  <si>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</si>
  <si>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</si>
  <si>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</si>
  <si>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</si>
  <si>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</si>
  <si>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</si>
  <si>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</si>
  <si>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</si>
  <si>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</si>
  <si>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</si>
  <si>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</si>
  <si>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</si>
  <si>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</si>
  <si>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</si>
  <si>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</si>
  <si>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</si>
  <si>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</si>
  <si>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</si>
  <si>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</si>
  <si>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</si>
  <si>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</si>
  <si>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</si>
  <si>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</si>
  <si>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</si>
  <si>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</si>
  <si>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</si>
  <si>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</si>
  <si>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</si>
  <si>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</si>
  <si>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</si>
  <si>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</si>
  <si>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</si>
  <si>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</si>
  <si>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</si>
  <si>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</si>
  <si>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</si>
  <si>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</si>
  <si>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</si>
  <si>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</si>
  <si>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</si>
  <si>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</si>
  <si>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</si>
  <si>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</si>
  <si>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</si>
  <si>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</si>
  <si>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</si>
  <si>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</si>
  <si>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</si>
  <si>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</si>
  <si>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</si>
  <si>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</si>
  <si>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</si>
  <si>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</si>
  <si>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</si>
  <si>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</si>
  <si>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</si>
  <si>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</si>
  <si>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</si>
  <si>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</si>
  <si>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</si>
  <si>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</si>
  <si>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</si>
  <si>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</si>
  <si>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</si>
  <si>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</si>
  <si>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</si>
  <si>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</si>
  <si>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</si>
  <si>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</si>
  <si>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</si>
  <si>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</si>
  <si>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</si>
  <si>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</si>
  <si>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</si>
  <si>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</si>
  <si>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</si>
  <si>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</si>
  <si>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</si>
  <si>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</si>
  <si>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</si>
  <si>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</si>
  <si>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</si>
  <si>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</si>
  <si>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</si>
  <si>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</si>
  <si>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</si>
  <si>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</si>
  <si>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</si>
  <si>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</si>
  <si>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</si>
  <si>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</si>
  <si>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</si>
  <si>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</si>
  <si>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</si>
  <si>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</si>
  <si>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</si>
  <si>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</si>
  <si>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</si>
  <si>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</si>
  <si>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</si>
  <si>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</si>
  <si>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</si>
  <si>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</si>
  <si>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</si>
  <si>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</si>
  <si>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</si>
  <si>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</si>
  <si>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</si>
  <si>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</si>
  <si>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</si>
  <si>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</si>
  <si>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</si>
  <si>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</si>
  <si>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</si>
  <si>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</si>
  <si>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</si>
  <si>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</si>
  <si>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</si>
  <si>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</si>
  <si>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</si>
  <si>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</si>
  <si>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</si>
  <si>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</si>
  <si>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</si>
  <si>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</si>
  <si>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</si>
  <si>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</si>
  <si>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</si>
  <si>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</si>
  <si>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</si>
  <si>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</si>
  <si>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</si>
  <si>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</si>
  <si>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</si>
  <si>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</si>
  <si>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</si>
  <si>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</si>
  <si>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</si>
  <si>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</si>
  <si>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</si>
  <si>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</si>
  <si>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</si>
  <si>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</si>
  <si>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</si>
  <si>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</si>
  <si>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</si>
  <si>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</si>
  <si>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</si>
  <si>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</si>
  <si>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</si>
  <si>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</si>
  <si>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</si>
  <si>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</si>
  <si>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</si>
  <si>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</si>
  <si>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</si>
  <si>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</si>
  <si>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</si>
  <si>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</si>
  <si>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</si>
  <si>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</si>
  <si>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</si>
  <si>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</si>
  <si>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</si>
  <si>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</si>
  <si>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</si>
  <si>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</si>
  <si>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</si>
  <si>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</si>
  <si>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</si>
  <si>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</si>
  <si>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</si>
  <si>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</si>
  <si>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</si>
  <si>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</si>
  <si>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</si>
  <si>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</si>
  <si>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</si>
  <si>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</si>
  <si>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</si>
  <si>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</si>
  <si>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</si>
  <si>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</si>
  <si>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</si>
  <si>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</si>
  <si>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</si>
  <si>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</si>
  <si>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</si>
  <si>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</si>
  <si>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</si>
  <si>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</si>
  <si>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</si>
  <si>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</si>
  <si>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</si>
  <si>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</si>
  <si>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</si>
  <si>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</si>
  <si>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</si>
  <si>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</si>
  <si>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</si>
  <si>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</si>
  <si>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</si>
  <si>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</si>
  <si>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</si>
  <si>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</si>
  <si>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</si>
  <si>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</si>
  <si>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</si>
  <si>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NELSON</t>
  </si>
  <si>
    <t>ARIANE</t>
  </si>
  <si>
    <t>rtdc.l.rtdc.4054:itc</t>
  </si>
  <si>
    <t>COMELLA</t>
  </si>
  <si>
    <t>JUSTIN</t>
  </si>
  <si>
    <t>rtdc.l.rtdc.4053:itc</t>
  </si>
  <si>
    <t>rtdc.l.rtdc.4043:itc</t>
  </si>
  <si>
    <t>partly-cloudy-night</t>
  </si>
  <si>
    <t>204:453</t>
  </si>
  <si>
    <t>rtdc.l.rtdc.4003:itc</t>
  </si>
  <si>
    <t>rtdc.l.rtdc.4004:itc</t>
  </si>
  <si>
    <t>CHANDLER</t>
  </si>
  <si>
    <t>KELVIN</t>
  </si>
  <si>
    <t>204:446</t>
  </si>
  <si>
    <t>204:455</t>
  </si>
  <si>
    <t>204:139</t>
  </si>
  <si>
    <t>204:232993</t>
  </si>
  <si>
    <t>204:232978</t>
  </si>
  <si>
    <t>204:232991</t>
  </si>
  <si>
    <t>204:233293</t>
  </si>
  <si>
    <t>rtdc.l.rtdc.4019:itc</t>
  </si>
  <si>
    <t>204:464</t>
  </si>
  <si>
    <t>204:161</t>
  </si>
  <si>
    <t>rtdc.l.rtdc.4020:itc</t>
  </si>
  <si>
    <t>rtdc.l.rtdc.4044:itc</t>
  </si>
  <si>
    <t>204:141</t>
  </si>
  <si>
    <t>204:232996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</si>
  <si>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</si>
  <si>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</si>
  <si>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</si>
  <si>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</si>
  <si>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</si>
  <si>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</si>
  <si>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</si>
  <si>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</si>
  <si>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204:136</t>
  </si>
  <si>
    <t>204:156</t>
  </si>
  <si>
    <t>204:233310</t>
  </si>
  <si>
    <t>204:444</t>
  </si>
  <si>
    <t>204:147</t>
  </si>
  <si>
    <t>300:23346</t>
  </si>
  <si>
    <t>204:477</t>
  </si>
  <si>
    <t>204:431</t>
  </si>
  <si>
    <t>204:232985</t>
  </si>
  <si>
    <t>204:471</t>
  </si>
  <si>
    <t>204:233306</t>
  </si>
  <si>
    <t>204:754</t>
  </si>
  <si>
    <t>204:233317</t>
  </si>
  <si>
    <t>204:232973</t>
  </si>
  <si>
    <t>rtdc.l.rtdc.4006:itc</t>
  </si>
  <si>
    <t>204:232982</t>
  </si>
  <si>
    <t>204:163</t>
  </si>
  <si>
    <t>204:475</t>
  </si>
  <si>
    <t>204:447</t>
  </si>
  <si>
    <t>204:466</t>
  </si>
  <si>
    <t>204:233303</t>
  </si>
  <si>
    <t>204:233301</t>
  </si>
  <si>
    <t>PERMANENT SPEED RESTRICTION</t>
  </si>
  <si>
    <t>Speed (6)</t>
  </si>
  <si>
    <t>YANG</t>
  </si>
  <si>
    <t>JAN</t>
  </si>
  <si>
    <t>DE.1.0.9.0</t>
  </si>
  <si>
    <t>204:232990</t>
  </si>
  <si>
    <t>204:458</t>
  </si>
  <si>
    <t>204:233332</t>
  </si>
  <si>
    <t>300:58630</t>
  </si>
  <si>
    <t>204:692</t>
  </si>
  <si>
    <t>204:232994</t>
  </si>
  <si>
    <t>204:232984</t>
  </si>
  <si>
    <t>Early arrival</t>
  </si>
  <si>
    <t>BONDS</t>
  </si>
  <si>
    <t>REYNALDO</t>
  </si>
  <si>
    <t>STARKS</t>
  </si>
  <si>
    <t>ANGELINA</t>
  </si>
  <si>
    <t>ROCHA</t>
  </si>
  <si>
    <t>YAOTL</t>
  </si>
  <si>
    <t>CLARK</t>
  </si>
  <si>
    <t>KATHLEEN</t>
  </si>
  <si>
    <t>LEVERE</t>
  </si>
  <si>
    <t>CRAIG</t>
  </si>
  <si>
    <t>rtdc.l.rtdc.4050:itc</t>
  </si>
  <si>
    <t>rtdc.l.rtdc.4049:itc</t>
  </si>
  <si>
    <t>204:233284</t>
  </si>
  <si>
    <t>204:232971</t>
  </si>
  <si>
    <t>204:232987</t>
  </si>
  <si>
    <t>204:233314</t>
  </si>
  <si>
    <t>204:233297</t>
  </si>
  <si>
    <t>204:233289</t>
  </si>
  <si>
    <t>300:58931</t>
  </si>
  <si>
    <t>204:974</t>
  </si>
  <si>
    <t>204:969</t>
  </si>
  <si>
    <t>300:58628</t>
  </si>
  <si>
    <t>300:58656</t>
  </si>
  <si>
    <t>rtdc.l.rtdc.4005:itc</t>
  </si>
  <si>
    <t>rtdc.l.rtdc.4031:itc</t>
  </si>
  <si>
    <t>rtdc.l.rtdc.4032:itc</t>
  </si>
  <si>
    <t>DE LA ROSA</t>
  </si>
  <si>
    <t>ALEX</t>
  </si>
  <si>
    <t>204:233295</t>
  </si>
  <si>
    <t>204:449</t>
  </si>
  <si>
    <t>204:433</t>
  </si>
  <si>
    <t>204:233305</t>
  </si>
  <si>
    <t>204:233318</t>
  </si>
  <si>
    <t>204:232992</t>
  </si>
  <si>
    <t>204:165</t>
  </si>
  <si>
    <t>204:167</t>
  </si>
  <si>
    <t>204:233006</t>
  </si>
  <si>
    <t>204:232988</t>
  </si>
  <si>
    <t>204:233302</t>
  </si>
  <si>
    <t>204:233002</t>
  </si>
  <si>
    <t>300:23302</t>
  </si>
  <si>
    <t>300:58948</t>
  </si>
  <si>
    <t>300:58636</t>
  </si>
  <si>
    <t>300:58944</t>
  </si>
  <si>
    <t>204:757</t>
  </si>
  <si>
    <t>204:983</t>
  </si>
  <si>
    <t>BADERTSCHER</t>
  </si>
  <si>
    <t>DIANE</t>
  </si>
  <si>
    <t>SPECTOR</t>
  </si>
  <si>
    <t>GEBRETEKLE</t>
  </si>
  <si>
    <t>DAGNEW</t>
  </si>
  <si>
    <t>LOZA</t>
  </si>
  <si>
    <t>FIDEL</t>
  </si>
  <si>
    <t>HELVIE</t>
  </si>
  <si>
    <t>ADAM</t>
  </si>
  <si>
    <t>BRANNON</t>
  </si>
  <si>
    <t>JEFFREY</t>
  </si>
  <si>
    <t>BRUDER</t>
  </si>
  <si>
    <t>RICHARD</t>
  </si>
  <si>
    <t>HAITHCOX</t>
  </si>
  <si>
    <t>rtdc.l.rtdc.4039:itc</t>
  </si>
  <si>
    <t>rtdc.l.rtdc.4040:itc</t>
  </si>
  <si>
    <t>309-22</t>
  </si>
  <si>
    <t>244-22</t>
  </si>
  <si>
    <t>311-22</t>
  </si>
  <si>
    <t>313-22</t>
  </si>
  <si>
    <t>302-23</t>
  </si>
  <si>
    <t>precipType</t>
  </si>
  <si>
    <t>204:233300</t>
  </si>
  <si>
    <t>204:233004</t>
  </si>
  <si>
    <t>204:442</t>
  </si>
  <si>
    <t>204:233304</t>
  </si>
  <si>
    <t>204:233316</t>
  </si>
  <si>
    <t>204:233299</t>
  </si>
  <si>
    <t>204:183</t>
  </si>
  <si>
    <t>204:233327</t>
  </si>
  <si>
    <t>204:233370</t>
  </si>
  <si>
    <t>204:233325</t>
  </si>
  <si>
    <t>204:233019</t>
  </si>
  <si>
    <t>204:233055</t>
  </si>
  <si>
    <t>204:233003</t>
  </si>
  <si>
    <t>204:233321</t>
  </si>
  <si>
    <t>204:233028</t>
  </si>
  <si>
    <t>300:23285</t>
  </si>
  <si>
    <t>300:23314</t>
  </si>
  <si>
    <t>300:23306</t>
  </si>
  <si>
    <t>204:233270</t>
  </si>
  <si>
    <t>300:58617</t>
  </si>
  <si>
    <t>300:58952</t>
  </si>
  <si>
    <t>204:682</t>
  </si>
  <si>
    <t>204:680</t>
  </si>
  <si>
    <t>204:978</t>
  </si>
  <si>
    <t>300:58973</t>
  </si>
  <si>
    <t>204:965</t>
  </si>
  <si>
    <t>300:58950</t>
  </si>
  <si>
    <t>300:58939</t>
  </si>
  <si>
    <t>204:678</t>
  </si>
  <si>
    <t>204:976</t>
  </si>
  <si>
    <t>204:684</t>
  </si>
  <si>
    <t>300:58638</t>
  </si>
  <si>
    <t>204:701</t>
  </si>
  <si>
    <t>300:58632</t>
  </si>
  <si>
    <t>204:971</t>
  </si>
  <si>
    <t>204:663</t>
  </si>
  <si>
    <t>start /low /b %USERPROFILE%\Documents\GitHub\eaglep3\Utilities\DownloadLogsFromS3.py --loco 4027 --day 2017-02-23</t>
  </si>
  <si>
    <t>start /low /b %USERPROFILE%\Documents\GitHub\eaglep3\Utilities\DownloadLogsFromS3.py --loco 4028 --day 2017-02-23</t>
  </si>
  <si>
    <t>:.+((SYSTEM_STATE.+slice.+state.+changed )|(ment ac)|(multiple cpu faults)|(system.+state.+changed )|(\[timeout)|(PRM\|1\|D)|(kpr)|(kdp)|(\|loc)|(penalty))</t>
  </si>
  <si>
    <t>107-23</t>
  </si>
  <si>
    <t>102-23</t>
  </si>
  <si>
    <t>803-23</t>
  </si>
  <si>
    <t>118-23</t>
  </si>
  <si>
    <t>129-23</t>
  </si>
  <si>
    <t>rtdc.l.rtdc.4010:itc</t>
  </si>
  <si>
    <t>124-23</t>
  </si>
  <si>
    <t>rtdc.l.rtdc.4009:itc</t>
  </si>
  <si>
    <t>137-23</t>
  </si>
  <si>
    <t>130-23</t>
  </si>
  <si>
    <t>139-23</t>
  </si>
  <si>
    <t>132-23</t>
  </si>
  <si>
    <t>145-23</t>
  </si>
  <si>
    <t>138-23</t>
  </si>
  <si>
    <t>140-23</t>
  </si>
  <si>
    <t>TEMPORARY SPEED RESTRICTION</t>
  </si>
  <si>
    <t>151-23</t>
  </si>
  <si>
    <t>80-23</t>
  </si>
  <si>
    <t>142-23</t>
  </si>
  <si>
    <t>144-23</t>
  </si>
  <si>
    <t>146-23</t>
  </si>
  <si>
    <t>rtdc.l.rtdc.4013:itc</t>
  </si>
  <si>
    <t>148-23</t>
  </si>
  <si>
    <t>152-23</t>
  </si>
  <si>
    <t>150-23</t>
  </si>
  <si>
    <t>154-23</t>
  </si>
  <si>
    <t>167-23</t>
  </si>
  <si>
    <t>162-23</t>
  </si>
  <si>
    <t>164-23</t>
  </si>
  <si>
    <t>170-23</t>
  </si>
  <si>
    <t>172-23</t>
  </si>
  <si>
    <t>183-23</t>
  </si>
  <si>
    <t>178-23</t>
  </si>
  <si>
    <t>182-23</t>
  </si>
  <si>
    <t>195-23</t>
  </si>
  <si>
    <t>904-23</t>
  </si>
  <si>
    <t>199-23</t>
  </si>
  <si>
    <t>200-23</t>
  </si>
  <si>
    <t>832-23</t>
  </si>
  <si>
    <t>213-23</t>
  </si>
  <si>
    <t>206-23</t>
  </si>
  <si>
    <t>76-23</t>
  </si>
  <si>
    <t>836-23</t>
  </si>
  <si>
    <t>219-23</t>
  </si>
  <si>
    <t>221-23</t>
  </si>
  <si>
    <t>214-23</t>
  </si>
  <si>
    <t>223-23</t>
  </si>
  <si>
    <t>220-23</t>
  </si>
  <si>
    <t>222-23</t>
  </si>
  <si>
    <t>226-23</t>
  </si>
  <si>
    <t>844-23</t>
  </si>
  <si>
    <t>232-23</t>
  </si>
  <si>
    <t>242-23</t>
  </si>
  <si>
    <t>Y</t>
  </si>
  <si>
    <t>101-23</t>
  </si>
  <si>
    <t>304-23</t>
  </si>
  <si>
    <t>103-23</t>
  </si>
  <si>
    <t>306-23</t>
  </si>
  <si>
    <t>ROBINSON</t>
  </si>
  <si>
    <t>KADDIBA</t>
  </si>
  <si>
    <t>105-23</t>
  </si>
  <si>
    <t>308-23</t>
  </si>
  <si>
    <t>310-23</t>
  </si>
  <si>
    <t>104-23</t>
  </si>
  <si>
    <t>109-23</t>
  </si>
  <si>
    <t>111-23</t>
  </si>
  <si>
    <t>106-23</t>
  </si>
  <si>
    <t>800-23</t>
  </si>
  <si>
    <t>SHOOK</t>
  </si>
  <si>
    <t>113-23</t>
  </si>
  <si>
    <t>108-23</t>
  </si>
  <si>
    <t>801-23</t>
  </si>
  <si>
    <t>115-23</t>
  </si>
  <si>
    <t>117-23</t>
  </si>
  <si>
    <t>112-23</t>
  </si>
  <si>
    <t>110-23</t>
  </si>
  <si>
    <t>119-23</t>
  </si>
  <si>
    <t>114-23</t>
  </si>
  <si>
    <t>902-23</t>
  </si>
  <si>
    <t>802-23</t>
  </si>
  <si>
    <t>121-23</t>
  </si>
  <si>
    <t>116-23</t>
  </si>
  <si>
    <t>123-23</t>
  </si>
  <si>
    <t>805-23</t>
  </si>
  <si>
    <t>804-23</t>
  </si>
  <si>
    <t>125-23</t>
  </si>
  <si>
    <t>120-23</t>
  </si>
  <si>
    <t>127-23</t>
  </si>
  <si>
    <t>122-23</t>
  </si>
  <si>
    <t>806-23</t>
  </si>
  <si>
    <t>807-23</t>
  </si>
  <si>
    <t>126-23</t>
  </si>
  <si>
    <t>131-23</t>
  </si>
  <si>
    <t>809-23</t>
  </si>
  <si>
    <t>808-23</t>
  </si>
  <si>
    <t>rtdc.l.rtdc.4014:itc</t>
  </si>
  <si>
    <t>133-23</t>
  </si>
  <si>
    <t>128-23</t>
  </si>
  <si>
    <t>135-23</t>
  </si>
  <si>
    <t>810-23</t>
  </si>
  <si>
    <t>811-23</t>
  </si>
  <si>
    <t>134-23</t>
  </si>
  <si>
    <t>903-23</t>
  </si>
  <si>
    <t>812-23</t>
  </si>
  <si>
    <t>141-23</t>
  </si>
  <si>
    <t>136-23</t>
  </si>
  <si>
    <t>143-23</t>
  </si>
  <si>
    <t>813-23</t>
  </si>
  <si>
    <t>PELLITIER</t>
  </si>
  <si>
    <t>GEORGE</t>
  </si>
  <si>
    <t>147-23</t>
  </si>
  <si>
    <t>814-23</t>
  </si>
  <si>
    <t>149-23</t>
  </si>
  <si>
    <t>815-23</t>
  </si>
  <si>
    <t>153-23</t>
  </si>
  <si>
    <t>155-23</t>
  </si>
  <si>
    <t>816-23</t>
  </si>
  <si>
    <t>157-23</t>
  </si>
  <si>
    <t>159-23</t>
  </si>
  <si>
    <t>817-23</t>
  </si>
  <si>
    <t>161-23</t>
  </si>
  <si>
    <t>KILLION</t>
  </si>
  <si>
    <t>DAVID</t>
  </si>
  <si>
    <t>156-23</t>
  </si>
  <si>
    <t>163-23</t>
  </si>
  <si>
    <t>818-23</t>
  </si>
  <si>
    <t>158-23</t>
  </si>
  <si>
    <t>165-23</t>
  </si>
  <si>
    <t>SMITH</t>
  </si>
  <si>
    <t>160-23</t>
  </si>
  <si>
    <t>169-23</t>
  </si>
  <si>
    <t>819-23</t>
  </si>
  <si>
    <t>171-23</t>
  </si>
  <si>
    <t>166-23</t>
  </si>
  <si>
    <t>820-23</t>
  </si>
  <si>
    <t>173-23</t>
  </si>
  <si>
    <t>168-23</t>
  </si>
  <si>
    <t>175-23</t>
  </si>
  <si>
    <t>821-23</t>
  </si>
  <si>
    <t>177-23</t>
  </si>
  <si>
    <t>179-23</t>
  </si>
  <si>
    <t>822-23</t>
  </si>
  <si>
    <t>174-23</t>
  </si>
  <si>
    <t>181-23</t>
  </si>
  <si>
    <t>176-23</t>
  </si>
  <si>
    <t>185-23</t>
  </si>
  <si>
    <t>823-23</t>
  </si>
  <si>
    <t>180-23</t>
  </si>
  <si>
    <t>187-23</t>
  </si>
  <si>
    <t>824-23</t>
  </si>
  <si>
    <t>189-23</t>
  </si>
  <si>
    <t>184-23</t>
  </si>
  <si>
    <t>191-23</t>
  </si>
  <si>
    <t>186-23</t>
  </si>
  <si>
    <t>193-23</t>
  </si>
  <si>
    <t>825-23</t>
  </si>
  <si>
    <t>188-23</t>
  </si>
  <si>
    <t>190-23</t>
  </si>
  <si>
    <t>826-23</t>
  </si>
  <si>
    <t>197-23</t>
  </si>
  <si>
    <t>827-23</t>
  </si>
  <si>
    <t>192-23</t>
  </si>
  <si>
    <t>194-23</t>
  </si>
  <si>
    <t>828-23</t>
  </si>
  <si>
    <t>201-23</t>
  </si>
  <si>
    <t>829-23</t>
  </si>
  <si>
    <t>196-23</t>
  </si>
  <si>
    <t>203-23</t>
  </si>
  <si>
    <t>831-23</t>
  </si>
  <si>
    <t>830-23</t>
  </si>
  <si>
    <t>198-23</t>
  </si>
  <si>
    <t>205-23</t>
  </si>
  <si>
    <t>207-23</t>
  </si>
  <si>
    <t>202-23</t>
  </si>
  <si>
    <t>833-23</t>
  </si>
  <si>
    <t>209-23</t>
  </si>
  <si>
    <t>204-23</t>
  </si>
  <si>
    <t>75-23</t>
  </si>
  <si>
    <t>211-23</t>
  </si>
  <si>
    <t>835-23</t>
  </si>
  <si>
    <t>834-23</t>
  </si>
  <si>
    <t>74-23</t>
  </si>
  <si>
    <t>208-23</t>
  </si>
  <si>
    <t>72-23</t>
  </si>
  <si>
    <t>215-23</t>
  </si>
  <si>
    <t>210-23</t>
  </si>
  <si>
    <t>217-23</t>
  </si>
  <si>
    <t>837-23</t>
  </si>
  <si>
    <t>77-23</t>
  </si>
  <si>
    <t>212-23</t>
  </si>
  <si>
    <t>79-23</t>
  </si>
  <si>
    <t>838-23</t>
  </si>
  <si>
    <t>216-23</t>
  </si>
  <si>
    <t>303-23</t>
  </si>
  <si>
    <t>839-23</t>
  </si>
  <si>
    <t>218-23</t>
  </si>
  <si>
    <t>906-23</t>
  </si>
  <si>
    <t>305-23</t>
  </si>
  <si>
    <t>841-23</t>
  </si>
  <si>
    <t>LOPES</t>
  </si>
  <si>
    <t>KIMBERLY</t>
  </si>
  <si>
    <t>840-23</t>
  </si>
  <si>
    <t>307-23</t>
  </si>
  <si>
    <t>225-23</t>
  </si>
  <si>
    <t>224-23</t>
  </si>
  <si>
    <t>843-23</t>
  </si>
  <si>
    <t>60-23</t>
  </si>
  <si>
    <t>227-23</t>
  </si>
  <si>
    <t>DELGADO</t>
  </si>
  <si>
    <t>DIANAH</t>
  </si>
  <si>
    <t>81-23</t>
  </si>
  <si>
    <t>842-23</t>
  </si>
  <si>
    <t>229-23</t>
  </si>
  <si>
    <t>845-23</t>
  </si>
  <si>
    <t>231-23</t>
  </si>
  <si>
    <t>WHITED</t>
  </si>
  <si>
    <t>228-23</t>
  </si>
  <si>
    <t>233-23</t>
  </si>
  <si>
    <t>230-23</t>
  </si>
  <si>
    <t>847-23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</si>
  <si>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</si>
  <si>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</si>
  <si>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</si>
  <si>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</si>
  <si>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</si>
  <si>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</si>
  <si>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</si>
  <si>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</si>
  <si>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243-23</t>
  </si>
  <si>
    <t>240-23</t>
  </si>
  <si>
    <t>315-23</t>
  </si>
  <si>
    <t>309-23</t>
  </si>
  <si>
    <t>244-23</t>
  </si>
  <si>
    <t>311-23</t>
  </si>
  <si>
    <t>313-23</t>
  </si>
  <si>
    <t>precipAccumulation</t>
  </si>
  <si>
    <t>fog</t>
  </si>
  <si>
    <t>Foggy</t>
  </si>
  <si>
    <t>Mostly Cloudy</t>
  </si>
  <si>
    <t>snow</t>
  </si>
  <si>
    <t>Flurries</t>
  </si>
  <si>
    <t>Light Snow</t>
  </si>
  <si>
    <t>sleet</t>
  </si>
  <si>
    <t>Light Sleet</t>
  </si>
  <si>
    <t>cloudy</t>
  </si>
  <si>
    <t>Overcast</t>
  </si>
  <si>
    <t>204:233251</t>
  </si>
  <si>
    <t>204:232612</t>
  </si>
  <si>
    <t>204:87</t>
  </si>
  <si>
    <t>204:703</t>
  </si>
  <si>
    <t>204:233276</t>
  </si>
  <si>
    <t>204:232658</t>
  </si>
  <si>
    <t>204:786</t>
  </si>
  <si>
    <t>204:233426</t>
  </si>
  <si>
    <t>204:232792</t>
  </si>
  <si>
    <t>204:232963</t>
  </si>
  <si>
    <t>204:699</t>
  </si>
  <si>
    <t>204:1167</t>
  </si>
  <si>
    <t>204:233268</t>
  </si>
  <si>
    <t>204:232952</t>
  </si>
  <si>
    <t>204:233312</t>
  </si>
  <si>
    <t>204:172</t>
  </si>
  <si>
    <t>204:759</t>
  </si>
  <si>
    <t>204:233336</t>
  </si>
  <si>
    <t>204:1171</t>
  </si>
  <si>
    <t>204:233338</t>
  </si>
  <si>
    <t>204:232977</t>
  </si>
  <si>
    <t>204:233308</t>
  </si>
  <si>
    <t>204:132</t>
  </si>
  <si>
    <t>204:482</t>
  </si>
  <si>
    <t>204:233023</t>
  </si>
  <si>
    <t>204:438</t>
  </si>
  <si>
    <t>204:233328</t>
  </si>
  <si>
    <t>204:409</t>
  </si>
  <si>
    <t>204:232981</t>
  </si>
  <si>
    <t>204:1175</t>
  </si>
  <si>
    <t>204:243</t>
  </si>
  <si>
    <t>204:232855</t>
  </si>
  <si>
    <t>204:1005</t>
  </si>
  <si>
    <t>204:233011</t>
  </si>
  <si>
    <t>204:546</t>
  </si>
  <si>
    <t>204:232983</t>
  </si>
  <si>
    <t>204:233344</t>
  </si>
  <si>
    <t>204:233330</t>
  </si>
  <si>
    <t>204:467</t>
  </si>
  <si>
    <t>204:502</t>
  </si>
  <si>
    <t>204:233274</t>
  </si>
  <si>
    <t>204:232950</t>
  </si>
  <si>
    <t>204:233285</t>
  </si>
  <si>
    <t>204:191</t>
  </si>
  <si>
    <t>204:486</t>
  </si>
  <si>
    <t>204:233349</t>
  </si>
  <si>
    <t>204:491</t>
  </si>
  <si>
    <t>204:232962</t>
  </si>
  <si>
    <t>204:181</t>
  </si>
  <si>
    <t>204:478</t>
  </si>
  <si>
    <t>204:233013</t>
  </si>
  <si>
    <t>204:233009</t>
  </si>
  <si>
    <t>204:469</t>
  </si>
  <si>
    <t>204:232959</t>
  </si>
  <si>
    <t>204:200</t>
  </si>
  <si>
    <t>204:473</t>
  </si>
  <si>
    <t>204:232967</t>
  </si>
  <si>
    <t>204:484</t>
  </si>
  <si>
    <t>204:497</t>
  </si>
  <si>
    <t>204:233253</t>
  </si>
  <si>
    <t>204:232928</t>
  </si>
  <si>
    <t>204:426</t>
  </si>
  <si>
    <t>204:233374</t>
  </si>
  <si>
    <t>204:123</t>
  </si>
  <si>
    <t>204:233283</t>
  </si>
  <si>
    <t>204:169</t>
  </si>
  <si>
    <t>204:233342</t>
  </si>
  <si>
    <t>204:233027</t>
  </si>
  <si>
    <t>204:233021</t>
  </si>
  <si>
    <t>204:232976</t>
  </si>
  <si>
    <t>204:233015</t>
  </si>
  <si>
    <t>204:130</t>
  </si>
  <si>
    <t>204:233049</t>
  </si>
  <si>
    <t>204:233088</t>
  </si>
  <si>
    <t>204:107</t>
  </si>
  <si>
    <t>300:22679</t>
  </si>
  <si>
    <t>300:22255</t>
  </si>
  <si>
    <t>300:22109</t>
  </si>
  <si>
    <t>300:23295</t>
  </si>
  <si>
    <t>300:23449</t>
  </si>
  <si>
    <t>300:23334</t>
  </si>
  <si>
    <t>300:23320</t>
  </si>
  <si>
    <t>204:407</t>
  </si>
  <si>
    <t>300:23304</t>
  </si>
  <si>
    <t>300:23154</t>
  </si>
  <si>
    <t>204:1162</t>
  </si>
  <si>
    <t>300:30653</t>
  </si>
  <si>
    <t>204:350</t>
  </si>
  <si>
    <t>300:30667</t>
  </si>
  <si>
    <t>204:368</t>
  </si>
  <si>
    <t>300:30691</t>
  </si>
  <si>
    <t>204:202</t>
  </si>
  <si>
    <t>300:30718</t>
  </si>
  <si>
    <t>204:450</t>
  </si>
  <si>
    <t>300:30725</t>
  </si>
  <si>
    <t>204:408</t>
  </si>
  <si>
    <t>300:30731</t>
  </si>
  <si>
    <t>300:30754</t>
  </si>
  <si>
    <t>204:271</t>
  </si>
  <si>
    <t>300:30756</t>
  </si>
  <si>
    <t>300:30765</t>
  </si>
  <si>
    <t>204:789</t>
  </si>
  <si>
    <t>300:30786</t>
  </si>
  <si>
    <t>204:526</t>
  </si>
  <si>
    <t>300:30788</t>
  </si>
  <si>
    <t>204:385</t>
  </si>
  <si>
    <t>300:30790</t>
  </si>
  <si>
    <t>204:321</t>
  </si>
  <si>
    <t>300:30879</t>
  </si>
  <si>
    <t>204:332</t>
  </si>
  <si>
    <t>300:31015</t>
  </si>
  <si>
    <t>204:522</t>
  </si>
  <si>
    <t>300:31051</t>
  </si>
  <si>
    <t>300:21926</t>
  </si>
  <si>
    <t>204:1924</t>
  </si>
  <si>
    <t>300:23250</t>
  </si>
  <si>
    <t>204:1477</t>
  </si>
  <si>
    <t>300:16836</t>
  </si>
  <si>
    <t>300:13452</t>
  </si>
  <si>
    <t>300:23112</t>
  </si>
  <si>
    <t>204:867</t>
  </si>
  <si>
    <t>204:341</t>
  </si>
  <si>
    <t>300:23312</t>
  </si>
  <si>
    <t>204:1177</t>
  </si>
  <si>
    <t>300:14460</t>
  </si>
  <si>
    <t>300:24226</t>
  </si>
  <si>
    <t>300:19079</t>
  </si>
  <si>
    <t>300:21867</t>
  </si>
  <si>
    <t>300:23301</t>
  </si>
  <si>
    <t>300:21880</t>
  </si>
  <si>
    <t>300:21949</t>
  </si>
  <si>
    <t>300:24233</t>
  </si>
  <si>
    <t>300:22000</t>
  </si>
  <si>
    <t>300:22024</t>
  </si>
  <si>
    <t>300:18773</t>
  </si>
  <si>
    <t>300:22064</t>
  </si>
  <si>
    <t>300:21574</t>
  </si>
  <si>
    <t>300:22077</t>
  </si>
  <si>
    <t>300:21602</t>
  </si>
  <si>
    <t>300:23188</t>
  </si>
  <si>
    <t>300:21676</t>
  </si>
  <si>
    <t>300:23298</t>
  </si>
  <si>
    <t>300:21617</t>
  </si>
  <si>
    <t>300:23311</t>
  </si>
  <si>
    <t>300:14162</t>
  </si>
  <si>
    <t>300:58681</t>
  </si>
  <si>
    <t>204:738</t>
  </si>
  <si>
    <t>204:1042</t>
  </si>
  <si>
    <t>300:58992</t>
  </si>
  <si>
    <t>300:58679</t>
  </si>
  <si>
    <t>204:717</t>
  </si>
  <si>
    <t>204:972</t>
  </si>
  <si>
    <t>300:58976</t>
  </si>
  <si>
    <t>204:670</t>
  </si>
  <si>
    <t>204:1016</t>
  </si>
  <si>
    <t>300:59001</t>
  </si>
  <si>
    <t>300:58685</t>
  </si>
  <si>
    <t>204:729</t>
  </si>
  <si>
    <t>204:958</t>
  </si>
  <si>
    <t>300:58960</t>
  </si>
  <si>
    <t>300:58653</t>
  </si>
  <si>
    <t>204:1027</t>
  </si>
  <si>
    <t>300:58999</t>
  </si>
  <si>
    <t>204:1100</t>
  </si>
  <si>
    <t>300:31187</t>
  </si>
  <si>
    <t>204:1472</t>
  </si>
  <si>
    <t>300:31371</t>
  </si>
  <si>
    <t>300:31038</t>
  </si>
  <si>
    <t>204:511</t>
  </si>
  <si>
    <t>300:31041</t>
  </si>
  <si>
    <t>204:600</t>
  </si>
  <si>
    <t>300:31072</t>
  </si>
  <si>
    <t>204:603</t>
  </si>
  <si>
    <t>300:30988</t>
  </si>
  <si>
    <t>204:627</t>
  </si>
  <si>
    <t>300:31043</t>
  </si>
  <si>
    <t>300:31011</t>
  </si>
  <si>
    <t>300:30968</t>
  </si>
  <si>
    <t>204:697</t>
  </si>
  <si>
    <t>204:716</t>
  </si>
  <si>
    <t>300:31074</t>
  </si>
  <si>
    <t>300:31106</t>
  </si>
  <si>
    <t>204:723</t>
  </si>
  <si>
    <t>300:31085</t>
  </si>
  <si>
    <t>204:837</t>
  </si>
  <si>
    <t>204:891</t>
  </si>
  <si>
    <t>300:31102</t>
  </si>
  <si>
    <t>300:31337</t>
  </si>
  <si>
    <t>300:58692</t>
  </si>
  <si>
    <t>204:677</t>
  </si>
  <si>
    <t>300:58534</t>
  </si>
  <si>
    <t>204:981</t>
  </si>
  <si>
    <t>300:58645</t>
  </si>
  <si>
    <t>204:691</t>
  </si>
  <si>
    <t>300:58619</t>
  </si>
  <si>
    <t>300:58641</t>
  </si>
  <si>
    <t>204:962</t>
  </si>
  <si>
    <t>204:696</t>
  </si>
  <si>
    <t>204:985</t>
  </si>
  <si>
    <t>300:58909</t>
  </si>
  <si>
    <t>300:58606</t>
  </si>
  <si>
    <t>300:58647</t>
  </si>
  <si>
    <t>204:1006</t>
  </si>
  <si>
    <t>300:58954</t>
  </si>
  <si>
    <t>204:708</t>
  </si>
  <si>
    <t>300:58969</t>
  </si>
  <si>
    <t>300:57343</t>
  </si>
  <si>
    <t>204:787</t>
  </si>
  <si>
    <t>204:698</t>
  </si>
  <si>
    <t>204:1083</t>
  </si>
  <si>
    <t>300:58994</t>
  </si>
  <si>
    <t>300:58683</t>
  </si>
  <si>
    <t>204:640</t>
  </si>
  <si>
    <t>300:58956</t>
  </si>
  <si>
    <t>300:58640</t>
  </si>
  <si>
    <t>204:920</t>
  </si>
  <si>
    <t>300:58935</t>
  </si>
  <si>
    <t>204:705</t>
  </si>
  <si>
    <t>300:58967</t>
  </si>
  <si>
    <t>204:441</t>
  </si>
  <si>
    <t>300:24216</t>
  </si>
  <si>
    <t>300:23222</t>
  </si>
  <si>
    <t>204:712</t>
  </si>
  <si>
    <t>300:58674</t>
  </si>
  <si>
    <t>300:28788</t>
  </si>
  <si>
    <t>300:21475</t>
  </si>
  <si>
    <t>start /low /b %USERPROFILE%\Documents\GitHub\eaglep3\Utilities\DownloadLogsFromS3.py --loco 4029 --day 2017-02-23</t>
  </si>
  <si>
    <t>start /low /b %USERPROFILE%\Documents\GitHub\eaglep3\Utilities\DownloadLogsFromS3.py --loco 4030 --day 2017-02-23</t>
  </si>
  <si>
    <t>start /low /b %USERPROFILE%\Documents\GitHub\eaglep3\Utilities\DownloadLogsFromS3.py --loco 4009 --day 2017-02-23</t>
  </si>
  <si>
    <t>start /low /b %USERPROFILE%\Documents\GitHub\eaglep3\Utilities\DownloadLogsFromS3.py --loco 4003 --day 2017-02-23</t>
  </si>
  <si>
    <t>start /low /b %USERPROFILE%\Documents\GitHub\eaglep3\Utilities\DownloadLogsFromS3.py --loco 4046 --day 2017-02-23</t>
  </si>
  <si>
    <t>start /low /b %USERPROFILE%\Documents\GitHub\eaglep3\Utilities\DownloadLogsFromS3.py --loco 4027 --day 2017-02-24</t>
  </si>
  <si>
    <t>start /low /b %USERPROFILE%\Documents\GitHub\eaglep3\Utilities\DownloadLogsFromS3.py --loco 4040 --day 2017-02-23</t>
  </si>
  <si>
    <t>start /low /b %USERPROFILE%\Documents\GitHub\eaglep3\Utilities\DownloadLogsFromS3.py --loco 4028 --day 2017-02-24</t>
  </si>
  <si>
    <t>start /low /b %USERPROFILE%\Documents\GitHub\eaglep3\Utilities\DownloadLogsFromS3.py --loco 4045 --day 2017-02-24</t>
  </si>
  <si>
    <t>start /low /b %USERPROFILE%\Documents\GitHub\eaglep3\Utilities\DownloadLogsFromS3.py --loco 4011 --day 2017-02-23</t>
  </si>
  <si>
    <t>start /low /b %USERPROFILE%\Documents\GitHub\eaglep3\Utilities\DownloadLogsFromS3.py --loco 4046 --day 2017-02-24</t>
  </si>
  <si>
    <t>start /low /b %USERPROFILE%\Documents\GitHub\eaglep3\Utilities\DownloadLogsFromS3.py --loco 4012 --day 2017-02-23</t>
  </si>
  <si>
    <t>start /low /b %USERPROFILE%\Documents\GitHub\eaglep3\Utilities\DownloadLogsFromS3.py --loco 4010 --day 2017-02-23</t>
  </si>
  <si>
    <t>start /low /b %USERPROFILE%\Documents\GitHub\eaglep3\Utilities\DownloadLogsFromS3.py --loco 4013 --day 2017-02-23</t>
  </si>
  <si>
    <t>start /low /b %USERPROFILE%\Documents\GitHub\eaglep3\Utilities\DownloadLogsFromS3.py --loco 4039 --day 2017-02-23</t>
  </si>
  <si>
    <t>start /low /b %USERPROFILE%\Documents\GitHub\eaglep3\Utilities\DownloadLogsFromS3.py --loco 4004 --day 2017-02-23</t>
  </si>
  <si>
    <t>start /low /b %USERPROFILE%\Documents\GitHub\eaglep3\Utilities\DownloadLogsFromS3.py --loco 4012 --day 2017-02-24</t>
  </si>
  <si>
    <t>start /low /b %USERPROFILE%\Documents\GitHub\eaglep3\Utilities\DownloadLogsFromS3.py --loco 4045 --day 2017-02-23</t>
  </si>
  <si>
    <t>start /low /b %USERPROFILE%\Documents\GitHub\eaglep3\Utilities\DownloadLogsFromS3.py --loco 4013 --day 2017-02-24</t>
  </si>
  <si>
    <t>start /low /b %USERPROFILE%\Documents\GitHub\eaglep3\Utilities\DownloadLogsFromS3.py --loco 4011 --day 2017-02-24</t>
  </si>
  <si>
    <t>start /low /b %USERPROFILE%\Documents\GitHub\eaglep3\Utilities\DownloadLogsFromS3.py --loco 4008 --day 2017-02-23</t>
  </si>
  <si>
    <t>start /low /b %USERPROFILE%\Documents\GitHub\eaglep3\Utilities\DownloadLogsFromS3.py --loco 4026 --day 2017-02-24</t>
  </si>
  <si>
    <t>start /low /b %USERPROFILE%\Documents\GitHub\eaglep3\Utilities\DownloadLogsFromS3.py --loco 4019 --day 2017-02-24</t>
  </si>
  <si>
    <t>start /low /b %USERPROFILE%\Documents\GitHub\eaglep3\Utilities\DownloadLogsFromS3.py --loco 4020 --day 2017-02-23</t>
  </si>
  <si>
    <t>Form C</t>
  </si>
  <si>
    <t>RESTRICTING aspect</t>
  </si>
  <si>
    <t>Minor Onboard in-route failure caused comm outage (seen as Holly Unhealthy)</t>
  </si>
  <si>
    <t>SYS :2017/02/23 11:38:17.220:ENFORCEMENT:Predictive Enforcement Action:  Target Number: 000170D3  Target Speed:  14.0  Current Speed:  19.2</t>
  </si>
  <si>
    <t>SYS :2017/02/23 11:38:17.367:ENFORCEMENT:Predictive Enforcement Action:  Target Number: 000170EB  Target Speed:  14.0  Current Speed:  19.2</t>
  </si>
  <si>
    <t>SYS :2017/02/23 11:38:17.999:ENFORCEMENT:Predictive Enforcement Action:  Target Number: 000170F7  Target Speed:  14.0  Current Speed:  19.2</t>
  </si>
  <si>
    <t>SYS :2017/02/23 11:38:52.218:ENFORCEMENT:Reactive Enforcement Action:  Target Number: 000170D3  Target Speed:   0.0  Current Speed:   5.9</t>
  </si>
  <si>
    <t>SYS :2017/02/23 11:38:52.381:ENFORCEMENT:Reactive Enforcement Action:  Target Number: 000170EB  Target Speed:   0.0  Current Speed:   5.9</t>
  </si>
  <si>
    <t>SYS :2017/02/23 11:38:53.003:ENFORCEMENT:Reactive Enforcement Action:  Target Number: 000170F7  Target Speed:   0.0  Current Speed:   5.9</t>
  </si>
  <si>
    <t>SYS :2017/02/23 11:53:54.465:ENFORCEMENT:Predictive Enforcement Action:  Target Number: 0000102B  Target Speed:   0.0  Current Speed:   3.2</t>
  </si>
  <si>
    <t>SYS :2017/02/23 11:53:54.856:ENFORCEMENT:Predictive Enforcement Action:  Target Number: 0000102B  Target Speed:   0.0  Current Speed:   3.2</t>
  </si>
  <si>
    <t>SYS :2017/02/23 13:34:03.680:ENFORCEMENT:Predictive Enforcement Action:  Target Number: 00001033  Target Speed:   0.0  Current Speed:   3.6</t>
  </si>
  <si>
    <t>SYS :2017/02/23 13:34:03.770:ENFORCEMENT:Predictive Enforcement Action:  Target Number: 00001036  Target Speed:   0.0  Current Speed:   3.6</t>
  </si>
  <si>
    <t>SYS :2017/02/23 13:34:04.468:ENFORCEMENT:Predictive Enforcement Action:  Target Number: 00001028  Target Speed:   0.0  Current Speed:   3.4</t>
  </si>
  <si>
    <t>SYS :2017/02/23 14:20:59.070:ENFORCEMENT:Predictive Enforcement Action:  Target Number: 00001016  Target Speed:   0.0  Current Speed:   5.1</t>
  </si>
  <si>
    <t>SYS :2017/02/23 14:20:59.845:ENFORCEMENT:Predictive Enforcement Action:  Target Number: 00001024  Target Speed:   0.0  Current Speed:   5.1</t>
  </si>
  <si>
    <t>SYS :2017/02/23 14:28:00.197:ENFORCEMENT:Predictive Enforcement Action:  Target Number: 0001704A  Target Speed:  36.0  Current Speed:  51.9</t>
  </si>
  <si>
    <t>SYS :2017/02/23 14:28:01.238:ENFORCEMENT:Predictive Enforcement Action:  Target Number: 0001704A  Target Speed:  36.0  Current Speed:  50.7</t>
  </si>
  <si>
    <t>SYS :2017/02/23 14:28:01.509:ENFORCEMENT:Predictive Enforcement Action:  Target Number: 00017045  Target Speed:  36.0  Current Speed:  51.3</t>
  </si>
  <si>
    <t>SYS :2017/02/23 14:28:48.245:ENFORCEMENT:Predictive Enforcement Action:  Target Number: 0001704B  Target Speed:   1.0  Current Speed:   8.6</t>
  </si>
  <si>
    <t>SYS :2017/02/23 14:28:49.189:ENFORCEMENT:Predictive Enforcement Action:  Target Number: 0001704B  Target Speed:   1.0  Current Speed:   8.6</t>
  </si>
  <si>
    <t>SYS :2017/02/23 14:28:49.508:ENFORCEMENT:Predictive Enforcement Action:  Target Number: 00017046  Target Speed:   1.0  Current Speed:   8.6</t>
  </si>
  <si>
    <t>SYS :2017/02/23 14:56:39.328:ENFORCEMENT:Predictive Enforcement Action:  Target Number: 0001702D  Target Speed:  14.0  Current Speed:  24.5</t>
  </si>
  <si>
    <t>SYS :2017/02/23 14:56:39.718:ENFORCEMENT:Predictive Enforcement Action:  Target Number: 0001702D  Target Speed:  14.0  Current Speed:  23.7</t>
  </si>
  <si>
    <t>SYS :2017/02/23 14:56:39.737:ENFORCEMENT:Predictive Enforcement Action:  Target Number: 0001702D  Target Speed:  14.0  Current Speed:  24.5</t>
  </si>
  <si>
    <t>SYS :2017/02/23 15:21:02.984:ENFORCEMENT:Predictive Enforcement Action:  Target Number: 00017043  Target Speed:   0.0  Current Speed:  22.8</t>
  </si>
  <si>
    <t>SYS :2017/02/23 15:21:03.501:ENFORCEMENT:Predictive Enforcement Action:  Target Number: 00017043  Target Speed:   0.0  Current Speed:  22.8</t>
  </si>
  <si>
    <t>SYS :2017/02/23 15:21:03.666:ENFORCEMENT:Predictive Enforcement Action:  Target Number: 00017043  Target Speed:   0.0  Current Speed:  22.8</t>
  </si>
  <si>
    <t>SYS :2017/02/23 15:28:52.913:ENFORCEMENT:Predictive Enforcement Action:  Target Number: 0001714B  Target Speed:   0.0  Current Speed:  37.1</t>
  </si>
  <si>
    <t>SYS :2017/02/23 15:28:53.462:ENFORCEMENT:Predictive Enforcement Action:  Target Number: 0001714B  Target Speed:   0.0  Current Speed:  37.1</t>
  </si>
  <si>
    <t>SYS :2017/02/23 15:37:06.212:ENFORCEMENT:Predictive Enforcement Action:  Target Number: 000172CE  Target Speed:   0.0  Current Speed:  18.2</t>
  </si>
  <si>
    <t>SYS :2017/02/23 15:37:07.287:ENFORCEMENT:Predictive Enforcement Action:  Target Number: 000172D3  Target Speed:   0.0  Current Speed:  16.4</t>
  </si>
  <si>
    <t>SYS :2017/02/23 15:39:36.218:ENFORCEMENT:Reactive Enforcement Action:  Target Number: 000172D0  Target Speed:  31.0  Current Speed:  36.0</t>
  </si>
  <si>
    <t>SYS :2017/02/23 16:01:23.849:ENFORCEMENT:Predictive Enforcement Action:  Target Number: 0000E001  Target Speed:   0.0  Current Speed:   6.7</t>
  </si>
  <si>
    <t>SYS :2017/02/23 16:01:25.070:ENFORCEMENT:Predictive Enforcement Action:  Target Number: 0000E001  Target Speed:   0.0  Current Speed:   6.6</t>
  </si>
  <si>
    <t>SYS :2017/02/23 16:05:56.233:ENFORCEMENT:Predictive Enforcement Action:  Target Number: 0000E004  Target Speed:   0.0  Current Speed:  11.0</t>
  </si>
  <si>
    <t>SYS :2017/02/23 16:05:56.674:ENFORCEMENT:Predictive Enforcement Action:  Target Number: 0000E002  Target Speed:   0.0  Current Speed:  11.0</t>
  </si>
  <si>
    <t>SYS :2017/02/23 16:21:24.003:ENFORCEMENT:Predictive Enforcement Action:  Target Number: 0000E005  Target Speed:   0.0  Current Speed:   4.6</t>
  </si>
  <si>
    <t>SYS :2017/02/23 16:21:24.146:ENFORCEMENT:Predictive Enforcement Action:  Target Number: 0000E003  Target Speed:   0.0  Current Speed:   4.6</t>
  </si>
  <si>
    <t>SYS :2017/02/23 16:21:24.259:ENFORCEMENT:Predictive Enforcement Action:  Target Number: 0000E005  Target Speed:   0.0  Current Speed:   4.6</t>
  </si>
  <si>
    <t>SYS :2017/02/23 16:30:49.737:ENFORCEMENT:Reactive Enforcement Action:  Target Number: 0001703C  Target Speed:  37.0  Current Speed:  42.6</t>
  </si>
  <si>
    <t>SYS :2017/02/23 16:30:50.332:ENFORCEMENT:Reactive Enforcement Action:  Target Number: 0001703C  Target Speed:  37.0  Current Speed:  42.6</t>
  </si>
  <si>
    <t>SYS :2017/02/23 16:30:50.755:ENFORCEMENT:Reactive Enforcement Action:  Target Number: 0001703C  Target Speed:  37.0  Current Speed:  42.6</t>
  </si>
  <si>
    <t>SYS :2017/02/23 16:41:25.065:ENFORCEMENT:Predictive Enforcement Action:  Target Number: 000060A5  Target Speed:   0.0  Current Speed:  16.0</t>
  </si>
  <si>
    <t>SYS :2017/02/23 16:51:25.625:ENFORCEMENT:Reactive Enforcement Action:  Target Number: 0000A001  Target Speed:  15.0  Current Speed:  21.6</t>
  </si>
  <si>
    <t>SYS :2017/02/23 16:51:26.146:ENFORCEMENT:Reactive Enforcement Action:  Target Number: 0000A001  Target Speed:  15.0  Current Speed:  21.6</t>
  </si>
  <si>
    <t>SYS :2017/02/23 17:01:49.616:ENFORCEMENT:Predictive Enforcement Action:  Target Number: 000172D3  Target Speed:  18.0  Current Speed:  26.2</t>
  </si>
  <si>
    <t>SYS :2017/02/23 17:01:50.136:ENFORCEMENT:Predictive Enforcement Action:  Target Number: 000170C8  Target Speed:  18.0  Current Speed:  26.2</t>
  </si>
  <si>
    <t>SYS :2017/02/23 17:06:04.997:ENFORCEMENT:Predictive Enforcement Action:  Target Number: 00017055  Target Speed:   0.0  Current Speed:  17.4</t>
  </si>
  <si>
    <t>SYS :2017/02/23 17:06:05.506:ENFORCEMENT:Predictive Enforcement Action:  Target Number: 00017055  Target Speed:   0.0  Current Speed:  17.4</t>
  </si>
  <si>
    <t>SYS :2017/02/23 17:06:05.672:ENFORCEMENT:Predictive Enforcement Action:  Target Number: 00017055  Target Speed:   0.0  Current Speed:  17.4</t>
  </si>
  <si>
    <t>SYS :2017/02/23 17:12:34.695:ENFORCEMENT:Predictive Enforcement Action:  Target Number: 00017040  Target Speed:   8.0  Current Speed:  13.7</t>
  </si>
  <si>
    <t>SYS :2017/02/23 17:12:37.135:ENFORCEMENT:Predictive Enforcement Action:  Target Number: 00017040  Target Speed:   8.0  Current Speed:  13.6</t>
  </si>
  <si>
    <t>SYS :2017/02/23 17:16:39.917:ENFORCEMENT:Predictive Enforcement Action:  Target Number: 0001716C  Target Speed:  40.0  Current Speed:  45.4</t>
  </si>
  <si>
    <t>SYS :2017/02/23 17:16:41.475:ENFORCEMENT:Predictive Enforcement Action:  Target Number: 0001716C  Target Speed:  40.0  Current Speed:  45.5</t>
  </si>
  <si>
    <t>SYS :2017/02/23 17:36:36.975:ENFORCEMENT:Predictive Enforcement Action:  Target Number: 0000101A  Target Speed:   0.0  Current Speed:  15.7</t>
  </si>
  <si>
    <t>SYS :2017/02/23 17:36:37.483:ENFORCEMENT:Predictive Enforcement Action:  Target Number: 0000101A  Target Speed:   0.0  Current Speed:  15.7</t>
  </si>
  <si>
    <t>SYS :2017/02/23 17:36:37.656:ENFORCEMENT:Predictive Enforcement Action:  Target Number: 0000101A  Target Speed:   0.0  Current Speed:  15.7</t>
  </si>
  <si>
    <t>SYS :2017/02/23 17:55:46.848:ENFORCEMENT:Predictive Enforcement Action:  Target Number: 00001029  Target Speed:   0.0  Current Speed:   3.9</t>
  </si>
  <si>
    <t>SYS :2017/02/23 17:55:47.068:ENFORCEMENT:Predictive Enforcement Action:  Target Number: 0000101B  Target Speed:   0.0  Current Speed:   3.9</t>
  </si>
  <si>
    <t>SYS :2017/02/23 17:55:47.170:ENFORCEMENT:Predictive Enforcement Action:  Target Number: 00001029  Target Speed:   0.0  Current Speed:   3.9</t>
  </si>
  <si>
    <t>SYS :2017/02/23 17:57:53.249:ENFORCEMENT:Predictive Enforcement Action:  Target Number: 0001714F  Target Speed:   0.0  Current Speed:  22.3</t>
  </si>
  <si>
    <t>SYS :2017/02/23 17:57:53.773:ENFORCEMENT:Reactive Enforcement Action:  Target Number: 00017034  Target Speed:   0.0  Current Speed:  22.3</t>
  </si>
  <si>
    <t>SYS :2017/02/23 17:57:53.898:ENFORCEMENT:Reactive Enforcement Action:  Target Number: 0001702D  Target Speed:   0.0  Current Speed:  20.2</t>
  </si>
  <si>
    <t>SYS :2017/02/23 18:00:49.910:ENFORCEMENT:Predictive Enforcement Action:  Target Number: 0001003B  Target Speed:  20.0  Current Speed:  26.6</t>
  </si>
  <si>
    <t>SYS :2017/02/23 18:00:50.260:ENFORCEMENT:Predictive Enforcement Action:  Target Number: 00010233  Target Speed:  20.0  Current Speed:  26.6</t>
  </si>
  <si>
    <t>SYS :2017/02/23 18:00:50.786:ENFORCEMENT:Predictive Enforcement Action:  Target Number: 0001004A  Target Speed:  20.0  Current Speed:  26.6</t>
  </si>
  <si>
    <t>SYS :2017/02/23 18:23:02.349:ENFORCEMENT:Predictive Enforcement Action:  Target Number: 00017063  Target Speed:   0.0  Current Speed:  63.9</t>
  </si>
  <si>
    <t>SYS :2017/02/23 18:23:02.737:ENFORCEMENT:Predictive Enforcement Action:  Target Number: 00017063  Target Speed:   0.0  Current Speed:  64.1</t>
  </si>
  <si>
    <t>SYS :2017/02/23 18:23:02.752:ENFORCEMENT:Predictive Enforcement Action:  Target Number: 00017063  Target Speed:   0.0  Current Speed:  64.1</t>
  </si>
  <si>
    <t>SYS :2017/02/23 18:26:12.564:ENFORCEMENT:Predictive Enforcement Action:  Target Number: 0000101E  Target Speed:   0.0  Current Speed:   8.5</t>
  </si>
  <si>
    <t>SYS :2017/02/23 18:26:12.843:ENFORCEMENT:Predictive Enforcement Action:  Target Number: 0000101E  Target Speed:   0.0  Current Speed:   8.5</t>
  </si>
  <si>
    <t>SYS :2017/02/23 18:28:47.724:ENFORCEMENT:Predictive Enforcement Action:  Target Number: 000100A0  Target Speed:  30.0  Current Speed:  48.8</t>
  </si>
  <si>
    <t>SYS :2017/02/23 18:28:48.327:ENFORCEMENT:Predictive Enforcement Action:  Target Number: 0001009C  Target Speed:  30.0  Current Speed:  48.8</t>
  </si>
  <si>
    <t>SYS :2017/02/23 18:54:56.641:ENFORCEMENT:Predictive Enforcement Action:  Target Number: 00001042  Target Speed:   0.0  Current Speed:   5.7</t>
  </si>
  <si>
    <t>SYS :2017/02/23 18:54:56.827:ENFORCEMENT:Predictive Enforcement Action:  Target Number: 00001043  Target Speed:   0.0  Current Speed:   5.7</t>
  </si>
  <si>
    <t>SYS :2017/02/23 18:54:56.979:ENFORCEMENT:Predictive Enforcement Action:  Target Number: 00001043  Target Speed:   0.0  Current Speed:   5.7</t>
  </si>
  <si>
    <t>SYS :2017/02/23 19:08:53.036:ENFORCEMENT:Reactive Enforcement Action:  Target Number: 00017288  Target Speed:  14.0  Current Speed:  20.1</t>
  </si>
  <si>
    <t>SYS :2017/02/23 19:08:53.037:ENFORCEMENT:Reactive Enforcement Action:  Target Number: 00017288  Target Speed:  14.0  Current Speed:  20.1</t>
  </si>
  <si>
    <t>SYS :2017/02/23 19:08:53.095:ENFORCEMENT:Reactive Enforcement Action:  Target Number: 00017190  Target Speed:  14.0  Current Speed:  20.1</t>
  </si>
  <si>
    <t>SYS :2017/02/23 19:33:58.823:ENFORCEMENT:Predictive Enforcement Action:  Target Number: 00017043  Target Speed:  50.0  Current Speed:  56.2</t>
  </si>
  <si>
    <t>SYS :2017/02/23 19:33:58.912:ENFORCEMENT:Predictive Enforcement Action:  Target Number: 0001703C  Target Speed:  50.0  Current Speed:  56.2</t>
  </si>
  <si>
    <t>SYS :2017/02/23 19:33:59.259:ENFORCEMENT:Predictive Enforcement Action:  Target Number: 0001715E  Target Speed:  50.0  Current Speed:  56.2</t>
  </si>
  <si>
    <t>SYS :2017/02/23 19:57:57.558:ENFORCEMENT:Predictive Enforcement Action:  Target Number: 0000E002  Target Speed:   0.0  Current Speed:  16.8</t>
  </si>
  <si>
    <t>SYS :2017/02/23 19:57:57.840:ENFORCEMENT:Predictive Enforcement Action:  Target Number: 0000E002  Target Speed:   0.0  Current Speed:  17.3</t>
  </si>
  <si>
    <t>SYS :2017/02/23 20:37:02.059:ENFORCEMENT:Predictive Enforcement Action:  Target Number: 0000E001  Target Speed:   0.0  Current Speed:  37.8</t>
  </si>
  <si>
    <t>SYS :2017/02/23 20:37:02.681:ENFORCEMENT:Predictive Enforcement Action:  Target Number: 0000E001  Target Speed:   0.0  Current Speed:  37.8</t>
  </si>
  <si>
    <t>SYS :2017/02/23 20:42:16.670:ENFORCEMENT:Predictive Enforcement Action:  Target Number: 0001707A  Target Speed:   0.0  Current Speed:  21.3</t>
  </si>
  <si>
    <t>SYS :2017/02/23 20:42:17.062:ENFORCEMENT:Predictive Enforcement Action:  Target Number: 0001707A  Target Speed:   0.0  Current Speed:  18.9</t>
  </si>
  <si>
    <t>SYS :2017/02/23 20:49:37.461:ENFORCEMENT:Predictive Enforcement Action:  Target Number: 0001719E  Target Speed:  10.0  Current Speed:  15.9</t>
  </si>
  <si>
    <t>SYS :2017/02/23 20:49:37.918:ENFORCEMENT:Predictive Enforcement Action:  Target Number: 0001719E  Target Speed:  10.0  Current Speed:  15.9</t>
  </si>
  <si>
    <t>SYS :2017/02/23 21:07:51.171:ENFORCEMENT:Predictive Enforcement Action:  Target Number: 00017084  Target Speed:  17.0  Current Speed:  30.1</t>
  </si>
  <si>
    <t>SYS :2017/02/23 21:07:51.562:ENFORCEMENT:Predictive Enforcement Action:  Target Number: 00017078  Target Speed:  17.0  Current Speed:  29.4</t>
  </si>
  <si>
    <t>SYS :2017/02/23 21:07:51.954:ENFORCEMENT:Predictive Enforcement Action:  Target Number: 00017084  Target Speed:  17.0  Current Speed:  29.4</t>
  </si>
  <si>
    <t>SYS :2017/02/23 21:43:25.575:ENFORCEMENT:Predictive Enforcement Action:  Target Number: 00017132  Target Speed:   0.0  Current Speed:  16.9</t>
  </si>
  <si>
    <t>SYS :2017/02/23 21:43:26.849:ENFORCEMENT:Predictive Enforcement Action:  Target Number: 00017132  Target Speed:   0.0  Current Speed:  16.9</t>
  </si>
  <si>
    <t>SYS :2017/02/23 21:52:28.558:ENFORCEMENT:Predictive Enforcement Action:  Target Number: 00001024  Target Speed:   0.0  Current Speed:   3.9</t>
  </si>
  <si>
    <t>SYS :2017/02/23 21:59:00.661:ENFORCEMENT:Reactive Enforcement Action:  Target Number: 0001040D  Target Speed:  40.0  Current Speed:  45.6</t>
  </si>
  <si>
    <t>SYS :2017/02/23 21:59:00.843:ENFORCEMENT:Reactive Enforcement Action:  Target Number: 00010411  Target Speed:  40.0  Current Speed:  45.6</t>
  </si>
  <si>
    <t>SYS :2017/02/23 21:59:01.004:ENFORCEMENT:Reactive Enforcement Action:  Target Number: 00010411  Target Speed:  40.0  Current Speed:  45.6</t>
  </si>
  <si>
    <t>SYS :2017/02/23 22:35:19.044:ENFORCEMENT:Reactive Enforcement Action:  Target Number: 0001053F  Target Speed:  30.0  Current Speed:  36.4</t>
  </si>
  <si>
    <t>SYS :2017/02/23 22:35:19.053:ENFORCEMENT:Reactive Enforcement Action:  Target Number: 00010537  Target Speed:  30.0  Current Speed:  36.4</t>
  </si>
  <si>
    <t>SYS :2017/02/23 22:35:19.106:ENFORCEMENT:Reactive Enforcement Action:  Target Number: 0001035D  Target Speed:  30.0  Current Speed:  36.4</t>
  </si>
  <si>
    <t>SYS :2017/02/23 22:52:00.031:ENFORCEMENT:Predictive Enforcement Action:  Target Number: 0001054C  Target Speed:  40.0  Current Speed:  53.6</t>
  </si>
  <si>
    <t>SYS :2017/02/23 22:52:00.038:ENFORCEMENT:Predictive Enforcement Action:  Target Number: 00010544  Target Speed:  40.0  Current Speed:  53.6</t>
  </si>
  <si>
    <t>SYS :2017/02/23 22:52:01.093:ENFORCEMENT:Predictive Enforcement Action:  Target Number: 0001036B  Target Speed:  40.0  Current Speed:  52.6</t>
  </si>
  <si>
    <t>SYS :2017/02/23 23:06:31.197:ENFORCEMENT:Predictive Enforcement Action:  Target Number: 000170BD  Target Speed:   0.0  Current Speed:  18.0</t>
  </si>
  <si>
    <t>SYS :2017/02/23 23:06:31.646:ENFORCEMENT:Predictive Enforcement Action:  Target Number: 00017052  Target Speed:   0.0  Current Speed:  18.0</t>
  </si>
  <si>
    <t>SYS :2017/02/23 23:06:32.241:ENFORCEMENT:Predictive Enforcement Action:  Target Number: 000170BD  Target Speed:   0.0  Current Speed:  17.6</t>
  </si>
  <si>
    <t>SYS :2017/02/24 00:20:39.917:ENFORCEMENT:Predictive Enforcement Action:  Target Number: 000171CE  Target Speed:  14.0  Current Speed:  20.0</t>
  </si>
  <si>
    <t>SYS :2017/02/24 00:20:40.462:ENFORCEMENT:Predictive Enforcement Action:  Target Number: 000171CE  Target Speed:  14.0  Current Speed:  20.0</t>
  </si>
  <si>
    <t>SYS :2017/02/24 00:25:15.086:ENFORCEMENT:Predictive Enforcement Action:  Target Number: 0000103C  Target Speed:   0.0  Current Speed:   8.8</t>
  </si>
  <si>
    <t>SYS :2017/02/24 00:25:15.467:ENFORCEMENT:Predictive Enforcement Action:  Target Number: 0000103A  Target Speed:   0.0  Current Speed:   8.8</t>
  </si>
  <si>
    <t>SYS :2017/02/24 00:55:33.649:ENFORCEMENT:Predictive Enforcement Action:  Target Number: 00017068  Target Speed:  33.0  Current Speed:  46.0</t>
  </si>
  <si>
    <t>SYS :2017/02/24 00:55:34.191:ENFORCEMENT:Predictive Enforcement Action:  Target Number: 000170D3  Target Speed:  33.0  Current Speed:  46.0</t>
  </si>
  <si>
    <t>SYS :2017/02/24 00:55:34.241:ENFORCEMENT:Predictive Enforcement Action:  Target Number: 000170D3  Target Speed:  33.0  Current Speed:  46.0</t>
  </si>
  <si>
    <t>SYS :2017/02/24 01:06:21.607:ENFORCEMENT:Predictive Enforcement Action:  Target Number: 00017157  Target Speed:  14.0  Current Speed:  19.4</t>
  </si>
  <si>
    <t>SYS :2017/02/24 01:06:21.633:ENFORCEMENT:Predictive Enforcement Action:  Target Number: 00017157  Target Speed:  14.0  Current Speed:  19.4</t>
  </si>
  <si>
    <t>SYS :2017/02/24 01:06:21.871:ENFORCEMENT:Predictive Enforcement Action:  Target Number: 00017157  Target Speed:  14.0  Current Speed:  19.4</t>
  </si>
  <si>
    <t>SYS :2017/02/24 01:20:04.092:ENFORCEMENT:Predictive Enforcement Action:  Target Number: 000064C3  Target Speed:   0.0  Current Speed:  27.0</t>
  </si>
  <si>
    <t>SYS :2017/02/24 01:20:04.453:ENFORCEMENT:Predictive Enforcement Action:  Target Number: 000064B5  Target Speed:   0.0  Current Speed:  27.0</t>
  </si>
  <si>
    <t>SYS :2017/02/24 01:49:24.383:ENFORCEMENT:Predictive Enforcement Action:  Target Number: 000171A7  Target Speed:   0.0  Current Speed:  76.6</t>
  </si>
  <si>
    <t>SYS :2017/02/24 01:49:25.228:ENFORCEMENT:Predictive Enforcement Action:  Target Number: 0001718F  Target Speed:   0.0  Current Speed:  76.3</t>
  </si>
  <si>
    <t>SYS :2017/02/24 01:49:26.002:ENFORCEMENT:Predictive Enforcement Action:  Target Number: 000171B3  Target Speed:   0.0  Current Speed:  76.0</t>
  </si>
  <si>
    <t>SYS :2017/02/24 02:07:40.093:ENFORCEMENT:Predictive Enforcement Action:  Target Number: 000171D7  Target Speed:   0.0  Current Speed:  24.3</t>
  </si>
  <si>
    <t>SYS :2017/02/24 02:07:41.034:ENFORCEMENT:Predictive Enforcement Action:  Target Number: 000172CF  Target Speed:   0.0  Current Speed:  23.0</t>
  </si>
  <si>
    <t>SYS :2017/02/24 02:07:42.034:ENFORCEMENT:Reactive Enforcement Action:  Target Number: 000172CF  Target Speed:   0.0  Current Speed:  22.4</t>
  </si>
  <si>
    <t>SYS :2017/02/24 02:11:03.923:ENFORCEMENT:Predictive Enforcement Action:  Target Number: 000171ED  Target Speed:  23.0  Current Speed:  33.5</t>
  </si>
  <si>
    <t>SYS :2017/02/24 02:11:04.473:ENFORCEMENT:Predictive Enforcement Action:  Target Number: 000171ED  Target Speed:  23.0  Current Speed:  35.0</t>
  </si>
  <si>
    <t>SYS :2017/02/24 02:37:37.236:ENFORCEMENT:Predictive Enforcement Action:  Target Number: 000170E2  Target Speed:  14.0  Current Speed:  19.8</t>
  </si>
  <si>
    <t>SYS :2017/02/24 02:37:37.650:ENFORCEMENT:Predictive Enforcement Action:  Target Number: 00017077  Target Speed:  14.0  Current Speed:  19.8</t>
  </si>
  <si>
    <t>SYS :2017/02/24 02:37:38.193:ENFORCEMENT:Predictive Enforcement Action:  Target Number: 000170E2  Target Speed:  14.0  Current Speed:  19.8</t>
  </si>
  <si>
    <t>SYS :2017/02/24 02:38:22.200:ENFORCEMENT:Reactive Enforcement Action:  Target Number: 000170E2  Target Speed:   0.0  Current Speed:   7.9</t>
  </si>
  <si>
    <t>SYS :2017/02/24 02:38:22.647:ENFORCEMENT:Reactive Enforcement Action:  Target Number: 00017077  Target Speed:   0.0  Current Speed:   9.5</t>
  </si>
  <si>
    <t>SYS :2017/02/24 02:38:23.250:ENFORCEMENT:Reactive Enforcement Action:  Target Number: 000170E2  Target Speed:   0.0  Current Speed:  11.1</t>
  </si>
  <si>
    <t>SYS :2017/02/24 02:54:05.575:ENFORCEMENT:Predictive Enforcement Action:  Target Number: 0001716E  Target Speed:  24.0  Current Speed:  29.0</t>
  </si>
  <si>
    <t>SYS :2017/02/24 02:54:05.861:ENFORCEMENT:Predictive Enforcement Action:  Target Number: 0001716E  Target Speed:  24.0  Current Speed:  29.0</t>
  </si>
  <si>
    <t>SYS :2017/02/24 02:54:06.254:ENFORCEMENT:Predictive Enforcement Action:  Target Number: 0001700D  Target Speed:  24.0  Current Speed:  29.0</t>
  </si>
  <si>
    <t>SYS :2017/02/24 03:30:40.984:ENFORCEMENT:Predictive Enforcement Action:  Target Number: 000172D7  Target Speed:   0.0  Current Speed:  13.5</t>
  </si>
  <si>
    <t>SYS :2017/02/24 03:30:41.642:ENFORCEMENT:Reactive Enforcement Action:  Target Number: 000172D7  Target Speed:   0.0  Current Speed:  13.5</t>
  </si>
  <si>
    <t>SYS :2017/02/24 03:30:41.828:ENFORCEMENT:Predictive Enforcement Action:  Target Number: 000172D7  Target Speed:   0.0  Current Speed:  12.9</t>
  </si>
  <si>
    <t>SYS :2017/02/24 04:22:36.249:ENFORCEMENT:Predictive Enforcement Action:  Target Number: 000171D5  Target Speed:  15.0  Current Speed:  20.9</t>
  </si>
  <si>
    <t>SYS :2017/02/24 04:22:36.784:ENFORCEMENT:Predictive Enforcement Action:  Target Number: 000170BA  Target Speed:  15.0  Current Speed:  20.9</t>
  </si>
  <si>
    <t>SYS :2017/02/24 04:22:36.906:ENFORCEMENT:Predictive Enforcement Action:  Target Number: 000170B3  Target Speed:  15.0  Current Speed:  20.9</t>
  </si>
  <si>
    <t>SYS :2017/02/24 04:54:58.187:ENFORCEMENT:Predictive Enforcement Action:  Target Number: 0000103B  Target Speed:   0.0  Current Speed:   3.8</t>
  </si>
  <si>
    <t>SYS :2017/02/24 04:54:58.340:ENFORCEMENT:Predictive Enforcement Action:  Target Number: 00001040  Target Speed:   0.0  Current Speed:   3.8</t>
  </si>
  <si>
    <t>SYS :2017/02/24 04:54:58.374:ENFORCEMENT:Predictive Enforcement Action:  Target Number: 0000102D  Target Speed:   0.0  Current Speed:   3.8</t>
  </si>
  <si>
    <t>SYS :2017/02/24 06:09:05.446:ENFORCEMENT:Reactive Enforcement Action:  Target Number: 0001721C  Target Speed:   0.0  Current Speed:  11.0</t>
  </si>
  <si>
    <t>SYS :2017/02/24 06:09:05.904:ENFORCEMENT:Reactive Enforcement Action:  Target Number: 0001721C  Target Speed:   0.0  Current Speed:  11.0</t>
  </si>
  <si>
    <t>Banner w/o braking</t>
  </si>
  <si>
    <t>:.+(\|loc)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</si>
</sst>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zoomScaleNormal="100" workbookViewId="0">
      <selection activeCell="A24" sqref="A2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42789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COUNTIFS($N$13:$N$9330,"&gt;0",$AG$13:$AG$9330,I1)</f>
        <v>144</v>
      </c>
      <c r="K5" s="40"/>
      <c r="L5" s="40"/>
      <c r="M5" s="41">
        <f>AVERAGEIFS($N$13:$N$9330,$AG$13:$AG$9330,I1)</f>
        <v>40.370486110914499</v>
      </c>
      <c r="N5" s="39">
        <f t="array" ref="N5">MIN(IF($AG$13:$AG$9330=I1,IF(ISNUMBER($N$13:$N$9330),IF($N$13:$N$9330&gt;0,$N$13:$N$9330))))</f>
        <v>35.066666670609266</v>
      </c>
      <c r="O5" s="3">
        <f t="array" ref="O5">MAX(IF($AG$13:$AG$9330=I1,IF(ISNUMBER($N$13:$N$9330),IF($N$13:$N$9330&gt;0,$N$13:$N$9330))))</f>
        <v>51.966666660737246</v>
      </c>
      <c r="P5" s="2"/>
      <c r="R5" s="74" t="s">
        <v>17</v>
      </c>
      <c r="S5" s="50">
        <f>COUNTIFS($N$13:$N$9330,"&gt;0",$AG$13:$AG$9330,R1)</f>
        <v>47</v>
      </c>
      <c r="T5" s="40"/>
      <c r="U5" s="177"/>
      <c r="V5" s="174">
        <f>AVERAGEIFS($N$13:$N$9330,$AG$13:$AG$9330,R1)</f>
        <v>15.226595743777271</v>
      </c>
      <c r="W5" s="175">
        <f t="array" ref="W5">MIN(IF($AG$13:$AG$9330=R1,IF(ISNUMBER($N$13:$N$9330),IF($N$13:$N$9330&gt;0,$N$13:$N$9330))))</f>
        <v>12.716666663764045</v>
      </c>
      <c r="X5" s="176">
        <f t="array" ref="X5">MAX(IF($AG$13:$AG$9330=R1,IF(ISNUMBER($N$13:$N$9330),IF($N$13:$N$9330&gt;0,$N$13:$N$9330))))</f>
        <v>20.483333333395422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COUNT($O$13:$O$104)</f>
        <v>0</v>
      </c>
      <c r="K6" s="40"/>
      <c r="L6" s="40"/>
      <c r="M6" s="41">
        <f>IFERROR(AVERAGE($O$13:$O$104),0)</f>
        <v>0</v>
      </c>
      <c r="N6" s="39">
        <f>MIN($O$13:$O$104)</f>
        <v>0</v>
      </c>
      <c r="O6" s="3">
        <f>MAX($O$13:$O$104)</f>
        <v>0</v>
      </c>
      <c r="P6" s="2"/>
      <c r="R6" s="75" t="s">
        <v>43</v>
      </c>
      <c r="S6" s="50">
        <f>COUNT($O$13:$O$104)</f>
        <v>0</v>
      </c>
      <c r="T6" s="40"/>
      <c r="U6" s="177"/>
      <c r="V6" s="174">
        <f>IFERROR(AVERAGE($O$13:$O$104),0)</f>
        <v>0</v>
      </c>
      <c r="W6" s="175">
        <f>MIN($O$13:$O$104)</f>
        <v>0</v>
      </c>
      <c r="X6" s="176">
        <f>MAX($O$13:$O$104)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COUNTIFS($P$13:$P$9330,"&gt;0",$AG$13:$AG$9330,I1)</f>
        <v>0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COUNTIFS($P$13:$P$9330,"&gt;0",$AG$13:$AG$9330,R1)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144</v>
      </c>
      <c r="K8" s="40"/>
      <c r="L8" s="40"/>
      <c r="M8" s="41">
        <f>M5</f>
        <v>40.370486110914499</v>
      </c>
      <c r="N8" s="39">
        <f>N5</f>
        <v>35.066666670609266</v>
      </c>
      <c r="O8" s="3">
        <f>O5</f>
        <v>51.966666660737246</v>
      </c>
      <c r="P8" s="2"/>
      <c r="R8" s="74" t="s">
        <v>16</v>
      </c>
      <c r="S8" s="50">
        <f>S5</f>
        <v>47</v>
      </c>
      <c r="T8" s="40"/>
      <c r="U8" s="177"/>
      <c r="V8" s="174">
        <f>V5</f>
        <v>15.226595743777271</v>
      </c>
      <c r="W8" s="175">
        <f>W5</f>
        <v>12.716666663764045</v>
      </c>
      <c r="X8" s="176">
        <f>X5</f>
        <v>20.483333333395422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- 2017-02-23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AVERAGE(S13:S75)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464</v>
      </c>
      <c r="B13" s="7">
        <v>4003</v>
      </c>
      <c r="C13" s="21" t="s">
        <v>294</v>
      </c>
      <c r="D13" s="21" t="s">
        <v>347</v>
      </c>
      <c r="E13" s="13">
        <v>42789.129224537035</v>
      </c>
      <c r="F13" s="13">
        <v>42789.135601851849</v>
      </c>
      <c r="G13" s="7">
        <v>1</v>
      </c>
      <c r="H13" s="21" t="s">
        <v>656</v>
      </c>
      <c r="I13" s="13">
        <v>42789.161412037036</v>
      </c>
      <c r="J13" s="7">
        <v>0</v>
      </c>
      <c r="K13" s="98" t="str">
        <f t="shared" ref="K13:K76" si="0">IF(ISEVEN(B13),(B13-1)&amp;"/"&amp;B13,B13&amp;"/"&amp;(B13+1))</f>
        <v>4003/4004</v>
      </c>
      <c r="L13" s="21" t="str">
        <f>VLOOKUP(A13,'Trips&amp;Operators'!$C$1:$G$99999,5,FALSE)</f>
        <v>BADERTSCHER DIANE</v>
      </c>
      <c r="M13" s="6">
        <f t="shared" ref="M13:M76" si="1">I13-F13</f>
        <v>2.5810185186855961E-2</v>
      </c>
      <c r="N13" s="7">
        <f t="shared" ref="N13:N76" si="2">24*60*SUM($M13:$M13)</f>
        <v>37.166666669072583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-23T02:06:05-0700',mode:absolute,to:'2017-02-23T04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7" t="str">
        <f t="shared" ref="W13:W76" si="6">IF(AA13&lt;IF(AG13="EC",23,5.65),"Y","N")</f>
        <v>N</v>
      </c>
      <c r="X13" s="187" t="e">
        <f t="shared" ref="X13:X76" si="7">VALUE(LEFT(AD13,4))-VALUE(LEFT(AD12,4))</f>
        <v>#VALUE!</v>
      </c>
      <c r="Y13" s="62">
        <f t="shared" ref="Y13:Y76" si="8">RIGHT(D13,LEN(D13)-4)/10000</f>
        <v>7.5700000000000003E-2</v>
      </c>
      <c r="Z13" s="62">
        <f t="shared" ref="Z13:Z76" si="9">RIGHT(H13,LEN(H13)-4)/10000</f>
        <v>23.325099999999999</v>
      </c>
      <c r="AA13" s="62">
        <f t="shared" ref="AA13:AA76" si="10">ABS(Z13-Y13)</f>
        <v>23.249399999999998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0101-23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/stypes="app*4003*20170223*" /stext=" 10:.+(\|loc)"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4003 --swversion DE.1.0.9.0 --startMP 204:757 --initTime 2017-02-23T03:06:05 --startdatetime 2017-02-23T03:15:16 --delay 1 --endMP 204:233251 --enddatetime 2017-02-23T03:52:26 --enforcementcount 0 &gt;&gt;C:\Users\stu\Documents\GitHub\eaglep3-reporting\EC\2017-02-23-refined-times.txt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{"issue":{"subject":"","project_id":79,"tracker_id":40,"status_id":1,"priority_id":2,"assigned_to_id":23,"start_date":"2017-02-23","description":"","custom_fields":[{"id":1,"name":"Subdivision","value":"EC"},{"id":4,"name":"Milepost","value":"23.3251"},{"id":17,"name":"Train ID","value":"101-23"},{"id":16,"name":"Locomotive ID","value":"4003"},{"id":130,"name":"Impact","value":""},{"id":150,"name":"Time of Event (Mountain Time)","value":"03:52:26"},{"id":151,"name":"Denver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4003 --day 2017-02-23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411</v>
      </c>
      <c r="B14" s="7">
        <v>4008</v>
      </c>
      <c r="C14" s="21" t="s">
        <v>294</v>
      </c>
      <c r="D14" s="21" t="s">
        <v>657</v>
      </c>
      <c r="E14" s="13">
        <v>42789.163865740738</v>
      </c>
      <c r="F14" s="13">
        <v>42789.174502314818</v>
      </c>
      <c r="G14" s="7">
        <v>1</v>
      </c>
      <c r="H14" s="21" t="s">
        <v>658</v>
      </c>
      <c r="I14" s="13">
        <v>42789.20416666667</v>
      </c>
      <c r="J14" s="7">
        <v>0</v>
      </c>
      <c r="K14" s="98" t="str">
        <f t="shared" si="0"/>
        <v>4007/4008</v>
      </c>
      <c r="L14" s="21" t="str">
        <f>VLOOKUP(A14,'Trips&amp;Operators'!$C$1:$G$99999,5,FALSE)</f>
        <v>BADERTSCHER DIANE</v>
      </c>
      <c r="M14" s="6">
        <f t="shared" si="1"/>
        <v>2.9664351852261461E-2</v>
      </c>
      <c r="N14" s="7">
        <f t="shared" si="2"/>
        <v>42.716666667256504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-02-23T02:55:58-0700',mode:absolute,to:'2017-02-23T05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23.261199999999999</v>
      </c>
      <c r="Z14" s="62">
        <f t="shared" si="9"/>
        <v>8.6999999999999994E-3</v>
      </c>
      <c r="AA14" s="62">
        <f t="shared" si="10"/>
        <v>23.252499999999998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0102-23</v>
      </c>
      <c r="AE14" s="85" t="str">
        <f t="shared" si="12"/>
        <v>aws s3 cp s3://rtdc.mdm.uploadarchive.raw/RTDC4008/ "%USERPROFILE%\AppData\Local\Temp\OnboardLogs"\RTDC4008\2017-02-23 --exclude "*" --recursive --include "*20170223*" &amp; "%USERPROFILE%\Documents\GitHub\mrs-test-scripts\Headless Mode &amp; Sideloading\WalkAndUnGZ.bat" "%USERPROFILE%\AppData\Local\Temp\OnboardLogs"\RTDC4008\2017-02-23 &amp; aws s3 cp s3://rtdc.mdm.uploadarchive.raw/RTDC4008/ "%USERPROFILE%\AppData\Local\Temp\OnboardLogs"\RTDC4008\2017-02-24 --exclude "*" --recursive --include "*20170224*" &amp; "%USERPROFILE%\Documents\GitHub\mrs-test-scripts\Headless Mode &amp; Sideloading\WalkAndUnGZ.bat" "%USERPROFILE%\AppData\Local\Temp\OnboardLogs"\RTDC4008\2017-02-24</v>
      </c>
      <c r="AF14" s="82" t="str">
        <f t="shared" si="13"/>
        <v>"C:\Program Files (x86)\AstroGrep\AstroGrep.exe" /spath="%USERPROFILE%\AppData\Local\Temp\OnboardLogs" /stypes="app*4008*20170223*" /stext=" 11:.+(\|loc)"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4008 --swversion DE.1.0.9.0 --startMP 204:232612 --initTime 2017-02-23T03:55:58 --startdatetime 2017-02-23T04:11:17 --delay 1 --endMP 204:87 --enddatetime 2017-02-23T04:54:00 --enforcementcount 0 &gt;&gt;C:\Users\stu\Documents\GitHub\eaglep3-reporting\EC\2017-02-23-refined-times.txt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{"issue":{"subject":"","project_id":79,"tracker_id":40,"status_id":1,"priority_id":2,"assigned_to_id":23,"start_date":"2017-02-23","description":"","custom_fields":[{"id":1,"name":"Subdivision","value":"EC"},{"id":4,"name":"Milepost","value":"0.0087"},{"id":17,"name":"Train ID","value":"102-23"},{"id":16,"name":"Locomotive ID","value":"4008"},{"id":130,"name":"Impact","value":""},{"id":150,"name":"Time of Event (Mountain Time)","value":"04:54:00"},{"id":151,"name":"Denver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4008 --day 2017-02-23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"%USERPROFILE%\AppData\Local\Temp\OnboardLogs"\RTDC4008\*4008*20170223* | grep -SE "(Enforcement Action)|(\[TIMEOUT)|(CHR.+\|PRM\|1\|D.+(SWITCH|SIGNAL).+UNKNOWN)" - &gt;&gt; 2017-02-23-UncaughtWiMAX.txt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466</v>
      </c>
      <c r="B15" s="7">
        <v>4046</v>
      </c>
      <c r="C15" s="21" t="s">
        <v>294</v>
      </c>
      <c r="D15" s="21" t="s">
        <v>659</v>
      </c>
      <c r="E15" s="13">
        <v>42789.145613425928</v>
      </c>
      <c r="F15" s="13">
        <v>42789.156458333331</v>
      </c>
      <c r="G15" s="7">
        <v>1</v>
      </c>
      <c r="H15" s="21" t="s">
        <v>660</v>
      </c>
      <c r="I15" s="13">
        <v>42789.182951388888</v>
      </c>
      <c r="J15" s="7">
        <v>0</v>
      </c>
      <c r="K15" s="98" t="str">
        <f t="shared" si="0"/>
        <v>4045/4046</v>
      </c>
      <c r="L15" s="21" t="str">
        <f>VLOOKUP(A15,'Trips&amp;Operators'!$C$1:$G$99999,5,FALSE)</f>
        <v>BONDS REYNALDO</v>
      </c>
      <c r="M15" s="6">
        <f t="shared" si="1"/>
        <v>2.6493055556784384E-2</v>
      </c>
      <c r="N15" s="7">
        <f t="shared" si="2"/>
        <v>38.150000001769513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-02-23T02:29:41-0700',mode:absolute,to:'2017-02-23T05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7.0300000000000001E-2</v>
      </c>
      <c r="Z15" s="62">
        <f t="shared" si="9"/>
        <v>23.3276</v>
      </c>
      <c r="AA15" s="62">
        <f t="shared" si="10"/>
        <v>23.257300000000001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0103-23</v>
      </c>
      <c r="AE15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5" s="82" t="str">
        <f t="shared" si="13"/>
        <v>"C:\Program Files (x86)\AstroGrep\AstroGrep.exe" /spath="%USERPROFILE%\AppData\Local\Temp\OnboardLogs" /stypes="app*4046*20170223*" /stext=" 11:.+(\|loc)"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103-23 --locoid 4046 --swversion DE.1.0.9.0 --startMP 204:703 --initTime 2017-02-23T03:29:41 --startdatetime 2017-02-23T03:45:18 --delay 1 --endMP 204:233276 --enddatetime 2017-02-23T04:23:27 --enforcementcount 0 &gt;&gt;C:\Users\stu\Documents\GitHub\eaglep3-reporting\EC\2017-02-23-refined-times.txt</v>
      </c>
      <c r="AI1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{"issue":{"subject":"","project_id":79,"tracker_id":40,"status_id":1,"priority_id":2,"assigned_to_id":23,"start_date":"2017-02-23","description":"","custom_fields":[{"id":1,"name":"Subdivision","value":"EC"},{"id":4,"name":"Milepost","value":"23.3276"},{"id":17,"name":"Train ID","value":"103-23"},{"id":16,"name":"Locomotive ID","value":"4046"},{"id":130,"name":"Impact","value":""},{"id":150,"name":"Time of Event (Mountain Time)","value":"04:23:27"},{"id":151,"name":"Denver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4046 --day 2017-02-23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473</v>
      </c>
      <c r="B16" s="7">
        <v>4030</v>
      </c>
      <c r="C16" s="21" t="s">
        <v>294</v>
      </c>
      <c r="D16" s="21" t="s">
        <v>661</v>
      </c>
      <c r="E16" s="13">
        <v>42789.191307870373</v>
      </c>
      <c r="F16" s="13">
        <v>42789.195486111108</v>
      </c>
      <c r="G16" s="7">
        <v>1</v>
      </c>
      <c r="H16" s="21" t="s">
        <v>223</v>
      </c>
      <c r="I16" s="13">
        <v>42789.223645833335</v>
      </c>
      <c r="J16" s="7">
        <v>0</v>
      </c>
      <c r="K16" s="98" t="str">
        <f t="shared" si="0"/>
        <v>4029/4030</v>
      </c>
      <c r="L16" s="21" t="str">
        <f>VLOOKUP(A16,'Trips&amp;Operators'!$C$1:$G$99999,5,FALSE)</f>
        <v>BONDS REYNALDO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-02-23T03:35:29-0700',mode:absolute,to:'2017-02-23T06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23.265799999999999</v>
      </c>
      <c r="Z16" s="62">
        <f t="shared" si="9"/>
        <v>1.43E-2</v>
      </c>
      <c r="AA16" s="62">
        <f t="shared" si="10"/>
        <v>23.2515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0104-23</v>
      </c>
      <c r="AE16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6" s="82" t="str">
        <f t="shared" si="13"/>
        <v>"C:\Program Files (x86)\AstroGrep\AstroGrep.exe" /spath="%USERPROFILE%\AppData\Local\Temp\OnboardLogs" /stypes="app*4030*20170223*" /stext=" 12:.+(\|loc)"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104-23 --locoid 4030 --swversion DE.1.0.9.0 --startMP 204:232658 --initTime 2017-02-23T04:35:29 --startdatetime 2017-02-23T04:41:30 --delay 1 --endMP 204:143 --enddatetime 2017-02-23T05:22:03 --enforcementcount 0 &gt;&gt;C:\Users\stu\Documents\GitHub\eaglep3-reporting\EC\2017-02-23-refined-times.txt</v>
      </c>
      <c r="AI1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ID","value":"104-23"},{"id":16,"name":"Locomotive ID","value":"4030"},{"id":130,"name":"Impact","value":""},{"id":150,"name":"Time of Event (Mountain Time)","value":"05:22:03"},{"id":151,"name":"Denver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4030 --day 2017-02-23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470</v>
      </c>
      <c r="B17" s="7">
        <v>4006</v>
      </c>
      <c r="C17" s="21" t="s">
        <v>294</v>
      </c>
      <c r="D17" s="21" t="s">
        <v>662</v>
      </c>
      <c r="E17" s="13">
        <v>42789.167337962965</v>
      </c>
      <c r="F17" s="13">
        <v>42789.177245370367</v>
      </c>
      <c r="G17" s="7">
        <v>1</v>
      </c>
      <c r="H17" s="21" t="s">
        <v>663</v>
      </c>
      <c r="I17" s="13">
        <v>42789.202696759261</v>
      </c>
      <c r="J17" s="7">
        <v>0</v>
      </c>
      <c r="K17" s="98" t="str">
        <f t="shared" si="0"/>
        <v>4005/4006</v>
      </c>
      <c r="L17" s="21" t="str">
        <f>VLOOKUP(A17,'Trips&amp;Operators'!$C$1:$G$99999,5,FALSE)</f>
        <v>ROBINSON KADDIBA</v>
      </c>
      <c r="M17" s="6">
        <f t="shared" si="1"/>
        <v>2.5451388893998228E-2</v>
      </c>
      <c r="N17" s="7">
        <f t="shared" si="2"/>
        <v>36.650000007357448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-02-23T03:00:58-0700',mode:absolute,to:'2017-02-23T05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7.8600000000000003E-2</v>
      </c>
      <c r="Z17" s="62">
        <f t="shared" si="9"/>
        <v>23.342600000000001</v>
      </c>
      <c r="AA17" s="62">
        <f t="shared" si="10"/>
        <v>23.263999999999999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0105-23</v>
      </c>
      <c r="AE17" s="85" t="str">
        <f t="shared" si="12"/>
        <v>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 &amp; aws s3 cp s3://rtdc.mdm.uploadarchive.raw/RTDC4006/ "%USERPROFILE%\AppData\Local\Temp\OnboardLogs"\RTDC4006\2017-02-24 --exclude "*" --recursive --include "*20170224*" &amp; "%USERPROFILE%\Documents\GitHub\mrs-test-scripts\Headless Mode &amp; Sideloading\WalkAndUnGZ.bat" "%USERPROFILE%\AppData\Local\Temp\OnboardLogs"\RTDC4006\2017-02-24</v>
      </c>
      <c r="AF17" s="82" t="str">
        <f t="shared" si="13"/>
        <v>"C:\Program Files (x86)\AstroGrep\AstroGrep.exe" /spath="%USERPROFILE%\AppData\Local\Temp\OnboardLogs" /stypes="app*4006*20170223*" /stext=" 11:.+(\|loc)"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105-23 --locoid 4006 --swversion DE.1.0.9.0 --startMP 204:786 --initTime 2017-02-23T04:00:58 --startdatetime 2017-02-23T04:15:14 --delay 1 --endMP 204:233426 --enddatetime 2017-02-23T04:51:53 --enforcementcount 0 &gt;&gt;C:\Users\stu\Documents\GitHub\eaglep3-reporting\EC\2017-02-23-refined-times.txt</v>
      </c>
      <c r="AI1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{"issue":{"subject":"","project_id":79,"tracker_id":40,"status_id":1,"priority_id":2,"assigned_to_id":23,"start_date":"2017-02-23","description":"","custom_fields":[{"id":1,"name":"Subdivision","value":"EC"},{"id":4,"name":"Milepost","value":"23.3426"},{"id":17,"name":"Train ID","value":"105-23"},{"id":16,"name":"Locomotive ID","value":"4006"},{"id":130,"name":"Impact","value":""},{"id":150,"name":"Time of Event (Mountain Time)","value":"04:51:53"},{"id":151,"name":"Denver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4006 --day 2017-02-23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"%USERPROFILE%\AppData\Local\Temp\OnboardLogs"\RTDC4006\*4006*20170223* | grep -SE "(Enforcement Action)|(\[TIMEOUT)|(CHR.+\|PRM\|1\|D.+(SWITCH|SIGNAL).+UNKNOWN)" - &gt;&gt; 2017-02-23-UncaughtWiMAX.txt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476</v>
      </c>
      <c r="B18" s="7">
        <v>4013</v>
      </c>
      <c r="C18" s="21" t="s">
        <v>294</v>
      </c>
      <c r="D18" s="21" t="s">
        <v>664</v>
      </c>
      <c r="E18" s="13">
        <v>42789.208171296297</v>
      </c>
      <c r="F18" s="13">
        <v>42789.216134259259</v>
      </c>
      <c r="G18" s="7">
        <v>1</v>
      </c>
      <c r="H18" s="21" t="s">
        <v>207</v>
      </c>
      <c r="I18" s="13">
        <v>42789.243391203701</v>
      </c>
      <c r="J18" s="7">
        <v>0</v>
      </c>
      <c r="K18" s="98" t="str">
        <f t="shared" si="0"/>
        <v>4013/4014</v>
      </c>
      <c r="L18" s="21" t="str">
        <f>VLOOKUP(A18,'Trips&amp;Operators'!$C$1:$G$99999,5,FALSE)</f>
        <v>ROBINSON KADDIBA</v>
      </c>
      <c r="M18" s="6">
        <f t="shared" si="1"/>
        <v>2.7256944442342501E-2</v>
      </c>
      <c r="N18" s="7">
        <f t="shared" si="2"/>
        <v>39.249999996973202</v>
      </c>
      <c r="O18" s="7"/>
      <c r="P18" s="7"/>
      <c r="Q18" s="22"/>
      <c r="R18" s="22" t="s">
        <v>908</v>
      </c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-02-23T03:59:46-0700',mode:absolute,to:'2017-02-23T06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23.279199999999999</v>
      </c>
      <c r="Z18" s="62">
        <f t="shared" si="9"/>
        <v>1.5800000000000002E-2</v>
      </c>
      <c r="AA18" s="62">
        <f t="shared" si="10"/>
        <v>23.263400000000001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0106-23</v>
      </c>
      <c r="AE18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8" s="82" t="str">
        <f t="shared" si="13"/>
        <v>"C:\Program Files (x86)\AstroGrep\AstroGrep.exe" /spath="%USERPROFILE%\AppData\Local\Temp\OnboardLogs" /stypes="app*4013*20170223*" /stext=" 12:.+(\|loc)"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106-23 --locoid 4013 --swversion DE.1.0.9.0 --startMP 204:232792 --initTime 2017-02-23T04:59:46 --startdatetime 2017-02-23T05:11:14 --delay 1 --endMP 204:158 --enddatetime 2017-02-23T05:50:29 --enforcementcount 0 &gt;&gt;C:\Users\stu\Documents\GitHub\eaglep3-reporting\EC\2017-02-23-refined-times.txt</v>
      </c>
      <c r="AI18" s="108" t="str">
        <f t="shared" si="19"/>
        <v>echo {"issue":{"subject":"Minor Onboard in-route failure caused comm outage (seen as Holly Unhealthy)","project_id":79,"tracker_id":40,"status_id":1,"priority_id":2,"assigned_to_id":23,"start_date":"2017-02-23","description":"","custom_fields":[{"id":1,"name":"Subdivision","value":"EC"},{"id":4,"name":"Milepost","value":"0.0158"},{"id":17,"name":"Train ID","value":"106-23"},{"id":16,"name":"Locomotive ID","value":"4013"},{"id":130,"name":"Impact","value":""},{"id":150,"name":"Time of Event (Mountain Time)","value":"05:50:29"},{"id":151,"name":"Denver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4013 --day 2017-02-23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410</v>
      </c>
      <c r="B19" s="7">
        <v>4011</v>
      </c>
      <c r="C19" s="21" t="s">
        <v>294</v>
      </c>
      <c r="D19" s="21" t="s">
        <v>254</v>
      </c>
      <c r="E19" s="13">
        <v>42789.180335648147</v>
      </c>
      <c r="F19" s="13">
        <v>42789.187719907408</v>
      </c>
      <c r="G19" s="7">
        <v>1</v>
      </c>
      <c r="H19" s="21" t="s">
        <v>278</v>
      </c>
      <c r="I19" s="13">
        <v>42789.213819444441</v>
      </c>
      <c r="J19" s="7">
        <v>0</v>
      </c>
      <c r="K19" s="98" t="str">
        <f t="shared" si="0"/>
        <v>4011/4012</v>
      </c>
      <c r="L19" s="21" t="str">
        <f>VLOOKUP(A19,'Trips&amp;Operators'!$C$1:$G$99999,5,FALSE)</f>
        <v>GEBRETEKLE DAGNEW</v>
      </c>
      <c r="M19" s="6">
        <f t="shared" si="1"/>
        <v>2.6099537033587694E-2</v>
      </c>
      <c r="N19" s="7">
        <f t="shared" si="2"/>
        <v>37.58333332836628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-02-23T03:19:41-0700',mode:absolute,to:'2017-02-23T06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4.6399999999999997E-2</v>
      </c>
      <c r="Z19" s="62">
        <f t="shared" si="9"/>
        <v>23.3306</v>
      </c>
      <c r="AA19" s="62">
        <f t="shared" si="10"/>
        <v>23.284200000000002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0107-23</v>
      </c>
      <c r="AE19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9" s="82" t="str">
        <f t="shared" si="13"/>
        <v>"C:\Program Files (x86)\AstroGrep\AstroGrep.exe" /spath="%USERPROFILE%\AppData\Local\Temp\OnboardLogs" /stypes="app*4011*20170223*" /stext=" 12:.+(\|loc)"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107-23 --locoid 4011 --swversion DE.1.0.9.0 --startMP 204:464 --initTime 2017-02-23T04:19:41 --startdatetime 2017-02-23T04:30:19 --delay 1 --endMP 204:233306 --enddatetime 2017-02-23T05:07:54 --enforcementcount 0 &gt;&gt;C:\Users\stu\Documents\GitHub\eaglep3-reporting\EC\2017-02-23-refined-times.txt</v>
      </c>
      <c r="AI1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{"issue":{"subject":"","project_id":79,"tracker_id":40,"status_id":1,"priority_id":2,"assigned_to_id":23,"start_date":"2017-02-23","description":"","custom_fields":[{"id":1,"name":"Subdivision","value":"EC"},{"id":4,"name":"Milepost","value":"23.3306"},{"id":17,"name":"Train ID","value":"107-23"},{"id":16,"name":"Locomotive ID","value":"4011"},{"id":130,"name":"Impact","value":""},{"id":150,"name":"Time of Event (Mountain Time)","value":"05:07:54"},{"id":151,"name":"Denver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4011 --day 2017-02-23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480</v>
      </c>
      <c r="B20" s="7">
        <v>4012</v>
      </c>
      <c r="C20" s="21" t="s">
        <v>294</v>
      </c>
      <c r="D20" s="21" t="s">
        <v>249</v>
      </c>
      <c r="E20" s="13">
        <v>42789.223344907405</v>
      </c>
      <c r="F20" s="13">
        <v>42789.226643518516</v>
      </c>
      <c r="G20" s="7">
        <v>1</v>
      </c>
      <c r="H20" s="21" t="s">
        <v>284</v>
      </c>
      <c r="I20" s="13">
        <v>42789.254131944443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GEBRETEKLE DAGNEW</v>
      </c>
      <c r="M20" s="6">
        <f t="shared" si="1"/>
        <v>2.7488425927003846E-2</v>
      </c>
      <c r="N20" s="7">
        <f t="shared" si="2"/>
        <v>39.583333334885538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-02-23T04:21:37-0700',mode:absolute,to:'2017-02-23T07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23.299299999999999</v>
      </c>
      <c r="Z20" s="62">
        <f t="shared" si="9"/>
        <v>1.6299999999999999E-2</v>
      </c>
      <c r="AA20" s="62">
        <f t="shared" si="10"/>
        <v>23.282999999999998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0108-23</v>
      </c>
      <c r="AE20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20" s="82" t="str">
        <f t="shared" si="13"/>
        <v>"C:\Program Files (x86)\AstroGrep\AstroGrep.exe" /spath="%USERPROFILE%\AppData\Local\Temp\OnboardLogs" /stypes="app*4012*20170223*" /stext=" 13:.+(\|loc)"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108-23 --locoid 4012 --swversion DE.1.0.9.0 --startMP 204:232993 --initTime 2017-02-23T05:21:37 --startdatetime 2017-02-23T05:26:22 --delay 1 --endMP 204:163 --enddatetime 2017-02-23T06:05:57 --enforcementcount 0 &gt;&gt;C:\Users\stu\Documents\GitHub\eaglep3-reporting\EC\2017-02-23-refined-times.txt</v>
      </c>
      <c r="AI2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{"issue":{"subject":"","project_id":79,"tracker_id":40,"status_id":1,"priority_id":2,"assigned_to_id":23,"start_date":"2017-02-23","description":"","custom_fields":[{"id":1,"name":"Subdivision","value":"EC"},{"id":4,"name":"Milepost","value":"0.0163"},{"id":17,"name":"Train ID","value":"108-23"},{"id":16,"name":"Locomotive ID","value":"4012"},{"id":130,"name":"Impact","value":""},{"id":150,"name":"Time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4012 --day 2017-02-23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474</v>
      </c>
      <c r="B21" s="7">
        <v>4009</v>
      </c>
      <c r="C21" s="21" t="s">
        <v>294</v>
      </c>
      <c r="D21" s="21" t="s">
        <v>229</v>
      </c>
      <c r="E21" s="13">
        <v>42789.194085648145</v>
      </c>
      <c r="F21" s="13">
        <v>42789.198067129626</v>
      </c>
      <c r="G21" s="7">
        <v>1</v>
      </c>
      <c r="H21" s="21" t="s">
        <v>315</v>
      </c>
      <c r="I21" s="13">
        <v>42789.22278935185</v>
      </c>
      <c r="J21" s="7">
        <v>0</v>
      </c>
      <c r="K21" s="98" t="str">
        <f t="shared" si="0"/>
        <v>4009/4010</v>
      </c>
      <c r="L21" s="21" t="str">
        <f>VLOOKUP(A21,'Trips&amp;Operators'!$C$1:$G$99999,5,FALSE)</f>
        <v>ROCHA YAOTL</v>
      </c>
      <c r="M21" s="6">
        <f t="shared" si="1"/>
        <v>2.4722222224227153E-2</v>
      </c>
      <c r="N21" s="7">
        <f t="shared" si="2"/>
        <v>35.6000000028871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-02-23T03:39:29-0700',mode:absolute,to:'2017-02-23T06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4.5999999999999999E-2</v>
      </c>
      <c r="Z21" s="62">
        <f t="shared" si="9"/>
        <v>23.328399999999998</v>
      </c>
      <c r="AA21" s="62">
        <f t="shared" si="10"/>
        <v>23.282399999999999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0109-23</v>
      </c>
      <c r="AE21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21" s="82" t="str">
        <f t="shared" si="13"/>
        <v>"C:\Program Files (x86)\AstroGrep\AstroGrep.exe" /spath="%USERPROFILE%\AppData\Local\Temp\OnboardLogs" /stypes="app*4009*20170223*" /stext=" 12:.+(\|loc)"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109-23 --locoid 4009 --swversion DE.1.0.9.0 --startMP 204:460 --initTime 2017-02-23T04:39:29 --startdatetime 2017-02-23T04:45:13 --delay 1 --endMP 204:233284 --enddatetime 2017-02-23T05:20:49 --enforcementcount 0 &gt;&gt;C:\Users\stu\Documents\GitHub\eaglep3-reporting\EC\2017-02-23-refined-times.txt</v>
      </c>
      <c r="AI2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{"issue":{"subject":"","project_id":79,"tracker_id":40,"status_id":1,"priority_id":2,"assigned_to_id":23,"start_date":"2017-02-23","description":"","custom_fields":[{"id":1,"name":"Subdivision","value":"EC"},{"id":4,"name":"Milepost","value":"23.3284"},{"id":17,"name":"Train ID","value":"109-23"},{"id":16,"name":"Locomotive ID","value":"4009"},{"id":130,"name":"Impact","value":""},{"id":150,"name":"Time of Event (Mountain Time)","value":"05:20:49"},{"id":151,"name":"Denver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4009 --day 2017-02-23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485</v>
      </c>
      <c r="B22" s="7">
        <v>4010</v>
      </c>
      <c r="C22" s="21" t="s">
        <v>294</v>
      </c>
      <c r="D22" s="21" t="s">
        <v>665</v>
      </c>
      <c r="E22" s="13">
        <v>42789.236388888887</v>
      </c>
      <c r="F22" s="13">
        <v>42789.237662037034</v>
      </c>
      <c r="G22" s="7">
        <v>1</v>
      </c>
      <c r="H22" s="21" t="s">
        <v>184</v>
      </c>
      <c r="I22" s="13">
        <v>42789.264374999999</v>
      </c>
      <c r="J22" s="7">
        <v>0</v>
      </c>
      <c r="K22" s="98" t="str">
        <f t="shared" si="0"/>
        <v>4009/4010</v>
      </c>
      <c r="L22" s="21" t="str">
        <f>VLOOKUP(A22,'Trips&amp;Operators'!$C$1:$G$99999,5,FALSE)</f>
        <v>ROCHA YAOTL</v>
      </c>
      <c r="M22" s="6">
        <f t="shared" si="1"/>
        <v>2.6712962964666076E-2</v>
      </c>
      <c r="N22" s="7">
        <f t="shared" si="2"/>
        <v>38.466666669119149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-02-23T04:40:24-0700',mode:absolute,to:'2017-02-23T07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23.296299999999999</v>
      </c>
      <c r="Z22" s="62">
        <f t="shared" si="9"/>
        <v>1.49E-2</v>
      </c>
      <c r="AA22" s="62">
        <f t="shared" si="10"/>
        <v>23.281399999999998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0110-23</v>
      </c>
      <c r="AE22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22" s="82" t="str">
        <f t="shared" si="13"/>
        <v>"C:\Program Files (x86)\AstroGrep\AstroGrep.exe" /spath="%USERPROFILE%\AppData\Local\Temp\OnboardLogs" /stypes="app*4010*20170223*" /stext=" 13:.+(\|loc)"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110-23 --locoid 4010 --swversion DE.1.0.9.0 --startMP 204:232963 --initTime 2017-02-23T05:40:24 --startdatetime 2017-02-23T05:42:14 --delay 1 --endMP 204:149 --enddatetime 2017-02-23T06:20:42 --enforcementcount 0 &gt;&gt;C:\Users\stu\Documents\GitHub\eaglep3-reporting\EC\2017-02-23-refined-times.txt</v>
      </c>
      <c r="AI2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ID","value":"110-23"},{"id":16,"name":"Locomotive ID","value":"4010"},{"id":130,"name":"Impact","value":""},{"id":150,"name":"Time of Event (Mountain Time)","value":"06:20:42"},{"id":151,"name":"Denver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4010 --day 2017-02-23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475</v>
      </c>
      <c r="B23" s="7">
        <v>4003</v>
      </c>
      <c r="C23" s="21" t="s">
        <v>294</v>
      </c>
      <c r="D23" s="21" t="s">
        <v>666</v>
      </c>
      <c r="E23" s="13">
        <v>42789.205925925926</v>
      </c>
      <c r="F23" s="13">
        <v>42789.208807870367</v>
      </c>
      <c r="G23" s="7">
        <v>1</v>
      </c>
      <c r="H23" s="21" t="s">
        <v>374</v>
      </c>
      <c r="I23" s="13">
        <v>42789.233472222222</v>
      </c>
      <c r="J23" s="7">
        <v>0</v>
      </c>
      <c r="K23" s="98" t="str">
        <f t="shared" si="0"/>
        <v>4003/4004</v>
      </c>
      <c r="L23" s="21" t="str">
        <f>VLOOKUP(A23,'Trips&amp;Operators'!$C$1:$G$99999,5,FALSE)</f>
        <v>YORK EDGAR</v>
      </c>
      <c r="M23" s="6">
        <f t="shared" si="1"/>
        <v>2.4664351854880806E-2</v>
      </c>
      <c r="N23" s="7">
        <f t="shared" si="2"/>
        <v>35.516666671028361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-02-23T03:56:32-0700',mode:absolute,to:'2017-02-23T06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6.9900000000000004E-2</v>
      </c>
      <c r="Z23" s="62">
        <f t="shared" si="9"/>
        <v>23.330400000000001</v>
      </c>
      <c r="AA23" s="62">
        <f t="shared" si="10"/>
        <v>23.2605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0111-23</v>
      </c>
      <c r="AE23" s="85" t="str">
        <f t="shared" si="12"/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23" s="82" t="str">
        <f t="shared" si="13"/>
        <v>"C:\Program Files (x86)\AstroGrep\AstroGrep.exe" /spath="%USERPROFILE%\AppData\Local\Temp\OnboardLogs" /stypes="app*4003*20170223*" /stext=" 12:.+(\|loc)"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111-23 --locoid 4003 --swversion DE.1.0.9.0 --startMP 204:699 --initTime 2017-02-23T04:56:32 --startdatetime 2017-02-23T05:00:41 --delay 1 --endMP 204:233304 --enddatetime 2017-02-23T05:36:12 --enforcementcount 0 &gt;&gt;C:\Users\stu\Documents\GitHub\eaglep3-reporting\EC\2017-02-23-refined-times.txt</v>
      </c>
      <c r="AI2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{"issue":{"subject":"","project_id":79,"tracker_id":40,"status_id":1,"priority_id":2,"assigned_to_id":23,"start_date":"2017-02-23","description":"","custom_fields":[{"id":1,"name":"Subdivision","value":"EC"},{"id":4,"name":"Milepost","value":"23.3304"},{"id":17,"name":"Train ID","value":"111-23"},{"id":16,"name":"Locomotive ID","value":"4003"},{"id":130,"name":"Impact","value":""},{"id":150,"name":"Time of Event (Mountain Time)","value":"05:36:12"},{"id":151,"name":"Denver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4003 --day 2017-02-23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484</v>
      </c>
      <c r="B24" s="7">
        <v>4004</v>
      </c>
      <c r="C24" s="21" t="s">
        <v>294</v>
      </c>
      <c r="D24" s="21" t="s">
        <v>317</v>
      </c>
      <c r="E24" s="13">
        <v>42789.234664351854</v>
      </c>
      <c r="F24" s="13">
        <v>42789.247488425928</v>
      </c>
      <c r="G24" s="7">
        <v>1</v>
      </c>
      <c r="H24" s="21" t="s">
        <v>269</v>
      </c>
      <c r="I24" s="13">
        <v>42789.27412037037</v>
      </c>
      <c r="J24" s="7">
        <v>0</v>
      </c>
      <c r="K24" s="98" t="str">
        <f t="shared" si="0"/>
        <v>4003/4004</v>
      </c>
      <c r="L24" s="21" t="str">
        <f>VLOOKUP(A24,'Trips&amp;Operators'!$C$1:$G$99999,5,FALSE)</f>
        <v>YORK EDGAR</v>
      </c>
      <c r="M24" s="6">
        <f t="shared" si="1"/>
        <v>2.6631944441760425E-2</v>
      </c>
      <c r="N24" s="7">
        <f t="shared" si="2"/>
        <v>38.349999996135011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-02-23T04:37:55-0700',mode:absolute,to:'2017-02-23T07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23.2987</v>
      </c>
      <c r="Z24" s="62">
        <f t="shared" si="9"/>
        <v>1.5599999999999999E-2</v>
      </c>
      <c r="AA24" s="62">
        <f t="shared" si="10"/>
        <v>23.283100000000001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0112-23</v>
      </c>
      <c r="AE24" s="85" t="str">
        <f t="shared" si="12"/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AF24" s="82" t="str">
        <f t="shared" si="13"/>
        <v>"C:\Program Files (x86)\AstroGrep\AstroGrep.exe" /spath="%USERPROFILE%\AppData\Local\Temp\OnboardLogs" /stypes="app*4004*20170223*" /stext=" 13:.+(\|loc)"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112-23 --locoid 4004 --swversion DE.1.0.9.0 --startMP 204:232987 --initTime 2017-02-23T05:37:55 --startdatetime 2017-02-23T05:56:23 --delay 1 --endMP 204:156 --enddatetime 2017-02-23T06:34:44 --enforcementcount 0 &gt;&gt;C:\Users\stu\Documents\GitHub\eaglep3-reporting\EC\2017-02-23-refined-times.txt</v>
      </c>
      <c r="AI2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ID","value":"112-23"},{"id":16,"name":"Locomotive ID","value":"4004"},{"id":130,"name":"Impact","value":""},{"id":150,"name":"Time of Event (Mountain Time)","value":"06:34:44"},{"id":151,"name":"Denver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4004 --day 2017-02-23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"%USERPROFILE%\AppData\Local\Temp\OnboardLogs"\RTDC4004\*4004*20170223* | grep -SE "(Enforcement Action)|(\[TIMEOUT)|(CHR.+\|PRM\|1\|D.+(SWITCH|SIGNAL).+UNKNOWN)" - &gt;&gt; 2017-02-23-UncaughtWiMAX.txt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479</v>
      </c>
      <c r="B25" s="7">
        <v>4040</v>
      </c>
      <c r="C25" s="21" t="s">
        <v>294</v>
      </c>
      <c r="D25" s="21" t="s">
        <v>667</v>
      </c>
      <c r="E25" s="13">
        <v>42789.21361111111</v>
      </c>
      <c r="F25" s="13">
        <v>42789.218912037039</v>
      </c>
      <c r="G25" s="7">
        <v>1</v>
      </c>
      <c r="H25" s="21" t="s">
        <v>668</v>
      </c>
      <c r="I25" s="13">
        <v>42789.245034722226</v>
      </c>
      <c r="J25" s="7">
        <v>0</v>
      </c>
      <c r="K25" s="98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2.6122685187146999E-2</v>
      </c>
      <c r="N25" s="7">
        <f t="shared" si="2"/>
        <v>37.616666669491678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-02-23T04:07:36-0700',mode:absolute,to:'2017-02-23T06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0.1167</v>
      </c>
      <c r="Z25" s="62">
        <f t="shared" si="9"/>
        <v>23.326799999999999</v>
      </c>
      <c r="AA25" s="62">
        <f t="shared" si="10"/>
        <v>23.210099999999997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0113-23</v>
      </c>
      <c r="AE25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25" s="82" t="str">
        <f t="shared" si="13"/>
        <v>"C:\Program Files (x86)\AstroGrep\AstroGrep.exe" /spath="%USERPROFILE%\AppData\Local\Temp\OnboardLogs" /stypes="app*4040*20170223*" /stext=" 12:.+(\|loc)"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113-23 --locoid 4040 --swversion DE.1.0.9.0 --startMP 204:1167 --initTime 2017-02-23T05:07:36 --startdatetime 2017-02-23T05:15:14 --delay 1 --endMP 204:233268 --enddatetime 2017-02-23T05:52:51 --enforcementcount 0 &gt;&gt;C:\Users\stu\Documents\GitHub\eaglep3-reporting\EC\2017-02-23-refined-times.txt</v>
      </c>
      <c r="AI2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{"issue":{"subject":"","project_id":79,"tracker_id":40,"status_id":1,"priority_id":2,"assigned_to_id":23,"start_date":"2017-02-23","description":"","custom_fields":[{"id":1,"name":"Subdivision","value":"EC"},{"id":4,"name":"Milepost","value":"23.3268"},{"id":17,"name":"Train ID","value":"113-23"},{"id":16,"name":"Locomotive ID","value":"4040"},{"id":130,"name":"Impact","value":""},{"id":150,"name":"Time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4040 --day 2017-02-23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487</v>
      </c>
      <c r="B26" s="7">
        <v>4039</v>
      </c>
      <c r="C26" s="21" t="s">
        <v>294</v>
      </c>
      <c r="D26" s="21" t="s">
        <v>669</v>
      </c>
      <c r="E26" s="13">
        <v>42789.251168981478</v>
      </c>
      <c r="F26" s="13">
        <v>42789.257824074077</v>
      </c>
      <c r="G26" s="7">
        <v>1</v>
      </c>
      <c r="H26" s="21" t="s">
        <v>268</v>
      </c>
      <c r="I26" s="13">
        <v>42789.285856481481</v>
      </c>
      <c r="J26" s="7">
        <v>0</v>
      </c>
      <c r="K26" s="98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2.8032407404680271E-2</v>
      </c>
      <c r="N26" s="7">
        <f t="shared" si="2"/>
        <v>40.36666666273959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-02-23T05:01:41-0700',mode:absolute,to:'2017-02-23T07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23.295200000000001</v>
      </c>
      <c r="Z26" s="62">
        <f t="shared" si="9"/>
        <v>1.3599999999999999E-2</v>
      </c>
      <c r="AA26" s="62">
        <f t="shared" si="10"/>
        <v>23.281600000000001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0114-23</v>
      </c>
      <c r="AE26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26" s="82" t="str">
        <f t="shared" si="13"/>
        <v>"C:\Program Files (x86)\AstroGrep\AstroGrep.exe" /spath="%USERPROFILE%\AppData\Local\Temp\OnboardLogs" /stypes="app*4039*20170223*" /stext=" 13:.+(\|loc)"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114-23 --locoid 4039 --swversion DE.1.0.9.0 --startMP 204:232952 --initTime 2017-02-23T06:01:41 --startdatetime 2017-02-23T06:11:16 --delay 1 --endMP 204:136 --enddatetime 2017-02-23T06:51:38 --enforcementcount 0 &gt;&gt;C:\Users\stu\Documents\GitHub\eaglep3-reporting\EC\2017-02-23-refined-times.txt</v>
      </c>
      <c r="AI2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{"issue":{"subject":"","project_id":79,"tracker_id":40,"status_id":1,"priority_id":2,"assigned_to_id":23,"start_date":"2017-02-23","description":"","custom_fields":[{"id":1,"name":"Subdivision","value":"EC"},{"id":4,"name":"Milepost","value":"0.0136"},{"id":17,"name":"Train ID","value":"114-23"},{"id":16,"name":"Locomotive ID","value":"4039"},{"id":130,"name":"Impact","value":""},{"id":150,"name":"Time of Event (Mountain Time)","value":"06:51:38"},{"id":151,"name":"Denver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4039 --day 2017-02-23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482</v>
      </c>
      <c r="B27" s="7">
        <v>4046</v>
      </c>
      <c r="C27" s="21" t="s">
        <v>294</v>
      </c>
      <c r="D27" s="21" t="s">
        <v>279</v>
      </c>
      <c r="E27" s="13">
        <v>42789.227384259262</v>
      </c>
      <c r="F27" s="13">
        <v>42789.229328703703</v>
      </c>
      <c r="G27" s="7">
        <v>2</v>
      </c>
      <c r="H27" s="21" t="s">
        <v>319</v>
      </c>
      <c r="I27" s="13">
        <v>42789.255196759259</v>
      </c>
      <c r="J27" s="7">
        <v>0</v>
      </c>
      <c r="K27" s="98" t="str">
        <f t="shared" si="0"/>
        <v>4045/4046</v>
      </c>
      <c r="L27" s="21" t="str">
        <f>VLOOKUP(A27,'Trips&amp;Operators'!$C$1:$G$99999,5,FALSE)</f>
        <v>STARKS ANGELINA</v>
      </c>
      <c r="M27" s="6">
        <f t="shared" si="1"/>
        <v>2.5868055556202307E-2</v>
      </c>
      <c r="N27" s="7">
        <f t="shared" si="2"/>
        <v>37.250000000931323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-02-23T04:27:26-0700',mode:absolute,to:'2017-02-23T07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7.5399999999999995E-2</v>
      </c>
      <c r="Z27" s="62">
        <f t="shared" si="9"/>
        <v>23.329699999999999</v>
      </c>
      <c r="AA27" s="62">
        <f t="shared" si="10"/>
        <v>23.254300000000001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0115-23</v>
      </c>
      <c r="AE27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27" s="82" t="str">
        <f t="shared" si="13"/>
        <v>"C:\Program Files (x86)\AstroGrep\AstroGrep.exe" /spath="%USERPROFILE%\AppData\Local\Temp\OnboardLogs" /stypes="app*4046*20170223*" /stext=" 13:.+(\|loc)"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115-23 --locoid 4046 --swversion DE.1.0.9.0 --startMP 204:754 --initTime 2017-02-23T05:27:26 --startdatetime 2017-02-23T05:30:14 --delay 2 --endMP 204:233297 --enddatetime 2017-02-23T06:07:29 --enforcementcount 0 &gt;&gt;C:\Users\stu\Documents\GitHub\eaglep3-reporting\EC\2017-02-23-refined-times.txt</v>
      </c>
      <c r="AI2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{"issue":{"subject":"","project_id":79,"tracker_id":40,"status_id":1,"priority_id":2,"assigned_to_id":23,"start_date":"2017-02-23","description":"","custom_fields":[{"id":1,"name":"Subdivision","value":"EC"},{"id":4,"name":"Milepost","value":"23.3297"},{"id":17,"name":"Train ID","value":"115-23"},{"id":16,"name":"Locomotive ID","value":"4046"},{"id":130,"name":"Impact","value":""},{"id":150,"name":"Time of Event (Mountain Time)","value":"06:07:29"},{"id":151,"name":"Denver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4046 --day 2017-02-23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491</v>
      </c>
      <c r="B28" s="7">
        <v>4045</v>
      </c>
      <c r="C28" s="21" t="s">
        <v>294</v>
      </c>
      <c r="D28" s="21" t="s">
        <v>317</v>
      </c>
      <c r="E28" s="13">
        <v>42789.266539351855</v>
      </c>
      <c r="F28" s="13">
        <v>42789.268240740741</v>
      </c>
      <c r="G28" s="7">
        <v>1</v>
      </c>
      <c r="H28" s="21" t="s">
        <v>184</v>
      </c>
      <c r="I28" s="13">
        <v>42789.294999999998</v>
      </c>
      <c r="J28" s="7">
        <v>0</v>
      </c>
      <c r="K28" s="98" t="str">
        <f t="shared" si="0"/>
        <v>4045/4046</v>
      </c>
      <c r="L28" s="21" t="str">
        <f>VLOOKUP(A28,'Trips&amp;Operators'!$C$1:$G$99999,5,FALSE)</f>
        <v>STARKS ANGELINA</v>
      </c>
      <c r="M28" s="6">
        <f t="shared" si="1"/>
        <v>2.675925925723277E-2</v>
      </c>
      <c r="N28" s="7">
        <f t="shared" si="2"/>
        <v>38.533333330415189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-02-23T05:23:49-0700',mode:absolute,to:'2017-02-23T08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23.2987</v>
      </c>
      <c r="Z28" s="62">
        <f t="shared" si="9"/>
        <v>1.49E-2</v>
      </c>
      <c r="AA28" s="62">
        <f t="shared" si="10"/>
        <v>23.283799999999999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0116-23</v>
      </c>
      <c r="AE28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28" s="82" t="str">
        <f t="shared" si="13"/>
        <v>"C:\Program Files (x86)\AstroGrep\AstroGrep.exe" /spath="%USERPROFILE%\AppData\Local\Temp\OnboardLogs" /stypes="app*4045*20170223*" /stext=" 14:.+(\|loc)"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116-23 --locoid 4045 --swversion DE.1.0.9.0 --startMP 204:232987 --initTime 2017-02-23T06:23:49 --startdatetime 2017-02-23T06:26:16 --delay 1 --endMP 204:149 --enddatetime 2017-02-23T07:04:48 --enforcementcount 0 &gt;&gt;C:\Users\stu\Documents\GitHub\eaglep3-reporting\EC\2017-02-23-refined-times.txt</v>
      </c>
      <c r="AI2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ID","value":"116-23"},{"id":16,"name":"Locomotive ID","value":"4045"},{"id":130,"name":"Impact","value":""},{"id":150,"name":"Time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4045 --day 2017-02-23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483</v>
      </c>
      <c r="B29" s="7">
        <v>4029</v>
      </c>
      <c r="C29" s="21" t="s">
        <v>294</v>
      </c>
      <c r="D29" s="21" t="s">
        <v>333</v>
      </c>
      <c r="E29" s="13">
        <v>42789.230057870373</v>
      </c>
      <c r="F29" s="13">
        <v>42789.239756944444</v>
      </c>
      <c r="G29" s="7">
        <v>1</v>
      </c>
      <c r="H29" s="21" t="s">
        <v>670</v>
      </c>
      <c r="I29" s="13">
        <v>42789.265972222223</v>
      </c>
      <c r="J29" s="7">
        <v>0</v>
      </c>
      <c r="K29" s="98" t="str">
        <f t="shared" si="0"/>
        <v>4029/4030</v>
      </c>
      <c r="L29" s="21" t="str">
        <f>VLOOKUP(A29,'Trips&amp;Operators'!$C$1:$G$99999,5,FALSE)</f>
        <v>BONDS REYNALDO</v>
      </c>
      <c r="M29" s="6">
        <f t="shared" si="1"/>
        <v>2.6215277779556345E-2</v>
      </c>
      <c r="N29" s="7">
        <f t="shared" si="2"/>
        <v>37.750000002561137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-02-23T04:31:17-0700',mode:absolute,to:'2017-02-23T07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4.3299999999999998E-2</v>
      </c>
      <c r="Z29" s="62">
        <f t="shared" si="9"/>
        <v>23.331199999999999</v>
      </c>
      <c r="AA29" s="62">
        <f t="shared" si="10"/>
        <v>23.2879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0117-23</v>
      </c>
      <c r="AE29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29" s="82" t="str">
        <f t="shared" si="13"/>
        <v>"C:\Program Files (x86)\AstroGrep\AstroGrep.exe" /spath="%USERPROFILE%\AppData\Local\Temp\OnboardLogs" /stypes="app*4029*20170223*" /stext=" 13:.+(\|loc)"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117-23 --locoid 4029 --swversion DE.1.0.9.0 --startMP 204:433 --initTime 2017-02-23T05:31:17 --startdatetime 2017-02-23T05:45:15 --delay 1 --endMP 204:233312 --enddatetime 2017-02-23T06:23:00 --enforcementcount 0 &gt;&gt;C:\Users\stu\Documents\GitHub\eaglep3-reporting\EC\2017-02-23-refined-times.txt</v>
      </c>
      <c r="AI2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ID","value":"117-23"},{"id":16,"name":"Locomotive ID","value":"4029"},{"id":130,"name":"Impact","value":""},{"id":150,"name":"Time of Event (Mountain Time)","value":"06:23:00"},{"id":151,"name":"Denver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4029 --day 2017-02-23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413</v>
      </c>
      <c r="B30" s="7">
        <v>4030</v>
      </c>
      <c r="C30" s="21" t="s">
        <v>294</v>
      </c>
      <c r="D30" s="21" t="s">
        <v>250</v>
      </c>
      <c r="E30" s="13">
        <v>42789.276180555556</v>
      </c>
      <c r="F30" s="13">
        <v>42789.278634259259</v>
      </c>
      <c r="G30" s="7">
        <v>1</v>
      </c>
      <c r="H30" s="21" t="s">
        <v>671</v>
      </c>
      <c r="I30" s="13">
        <v>42789.306307870371</v>
      </c>
      <c r="J30" s="7">
        <v>0</v>
      </c>
      <c r="K30" s="98" t="str">
        <f t="shared" si="0"/>
        <v>4029/4030</v>
      </c>
      <c r="L30" s="21" t="str">
        <f>VLOOKUP(A30,'Trips&amp;Operators'!$C$1:$G$99999,5,FALSE)</f>
        <v>BONDS REYNALDO</v>
      </c>
      <c r="M30" s="6">
        <f t="shared" si="1"/>
        <v>2.7673611111822538E-2</v>
      </c>
      <c r="N30" s="7">
        <f t="shared" si="2"/>
        <v>39.850000001024455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-02-23T05:37:42-0700',mode:absolute,to:'2017-02-23T08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23.297799999999999</v>
      </c>
      <c r="Z30" s="62">
        <f t="shared" si="9"/>
        <v>1.72E-2</v>
      </c>
      <c r="AA30" s="62">
        <f t="shared" si="10"/>
        <v>23.2806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0118-23</v>
      </c>
      <c r="AE30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30" s="82" t="str">
        <f t="shared" si="13"/>
        <v>"C:\Program Files (x86)\AstroGrep\AstroGrep.exe" /spath="%USERPROFILE%\AppData\Local\Temp\OnboardLogs" /stypes="app*4030*20170223*" /stext=" 14:.+(\|loc)"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118-23 --locoid 4030 --swversion DE.1.0.9.0 --startMP 204:232978 --initTime 2017-02-23T06:37:42 --startdatetime 2017-02-23T06:41:14 --delay 1 --endMP 204:172 --enddatetime 2017-02-23T07:21:05 --enforcementcount 0 &gt;&gt;C:\Users\stu\Documents\GitHub\eaglep3-reporting\EC\2017-02-23-refined-times.txt</v>
      </c>
      <c r="AI3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{"issue":{"subject":"","project_id":79,"tracker_id":40,"status_id":1,"priority_id":2,"assigned_to_id":23,"start_date":"2017-02-23","description":"","custom_fields":[{"id":1,"name":"Subdivision","value":"EC"},{"id":4,"name":"Milepost","value":"0.0172"},{"id":17,"name":"Train ID","value":"118-23"},{"id":16,"name":"Locomotive ID","value":"4030"},{"id":130,"name":"Impact","value":""},{"id":150,"name":"Time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4030 --day 2017-02-23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486</v>
      </c>
      <c r="B31" s="7">
        <v>4006</v>
      </c>
      <c r="C31" s="21" t="s">
        <v>294</v>
      </c>
      <c r="D31" s="21" t="s">
        <v>672</v>
      </c>
      <c r="E31" s="13">
        <v>42789.247627314813</v>
      </c>
      <c r="F31" s="13">
        <v>42789.250150462962</v>
      </c>
      <c r="G31" s="7">
        <v>0</v>
      </c>
      <c r="H31" s="21" t="s">
        <v>673</v>
      </c>
      <c r="I31" s="13">
        <v>42789.276458333334</v>
      </c>
      <c r="J31" s="7">
        <v>0</v>
      </c>
      <c r="K31" s="98" t="str">
        <f t="shared" si="0"/>
        <v>4005/4006</v>
      </c>
      <c r="L31" s="21" t="str">
        <f>VLOOKUP(A31,'Trips&amp;Operators'!$C$1:$G$99999,5,FALSE)</f>
        <v>ROBINSON KADDIBA</v>
      </c>
      <c r="M31" s="6">
        <f t="shared" si="1"/>
        <v>2.6307870371965691E-2</v>
      </c>
      <c r="N31" s="7">
        <f t="shared" si="2"/>
        <v>37.883333335630596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-02-23T04:56:35-0700',mode:absolute,to:'2017-02-23T07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7.5899999999999995E-2</v>
      </c>
      <c r="Z31" s="62">
        <f t="shared" si="9"/>
        <v>23.333600000000001</v>
      </c>
      <c r="AA31" s="62">
        <f t="shared" si="10"/>
        <v>23.2577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0119-23</v>
      </c>
      <c r="AE31" s="85" t="str">
        <f t="shared" si="12"/>
        <v>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 &amp; aws s3 cp s3://rtdc.mdm.uploadarchive.raw/RTDC4006/ "%USERPROFILE%\AppData\Local\Temp\OnboardLogs"\RTDC4006\2017-02-24 --exclude "*" --recursive --include "*20170224*" &amp; "%USERPROFILE%\Documents\GitHub\mrs-test-scripts\Headless Mode &amp; Sideloading\WalkAndUnGZ.bat" "%USERPROFILE%\AppData\Local\Temp\OnboardLogs"\RTDC4006\2017-02-24</v>
      </c>
      <c r="AF31" s="82" t="str">
        <f t="shared" si="13"/>
        <v>"C:\Program Files (x86)\AstroGrep\AstroGrep.exe" /spath="%USERPROFILE%\AppData\Local\Temp\OnboardLogs" /stypes="app*4006*20170223*" /stext=" 13:.+(\|loc)"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119-23 --locoid 4006 --swversion DE.1.0.9.0 --startMP 204:759 --initTime 2017-02-23T05:56:35 --startdatetime 2017-02-23T06:00:13 --delay 0 --endMP 204:233336 --enddatetime 2017-02-23T06:38:06 --enforcementcount 0 &gt;&gt;C:\Users\stu\Documents\GitHub\eaglep3-reporting\EC\2017-02-23-refined-times.txt</v>
      </c>
      <c r="AI3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{"issue":{"subject":"","project_id":79,"tracker_id":40,"status_id":1,"priority_id":2,"assigned_to_id":23,"start_date":"2017-02-23","description":"","custom_fields":[{"id":1,"name":"Subdivision","value":"EC"},{"id":4,"name":"Milepost","value":"23.3336"},{"id":17,"name":"Train ID","value":"119-23"},{"id":16,"name":"Locomotive ID","value":"4006"},{"id":130,"name":"Impact","value":""},{"id":150,"name":"Time of Event (Mountain Time)","value":"06:38:06"},{"id":151,"name":"Denver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4006 --day 2017-02-23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"%USERPROFILE%\AppData\Local\Temp\OnboardLogs"\RTDC4006\*4006*20170223* | grep -SE "(Enforcement Action)|(\[TIMEOUT)|(CHR.+\|PRM\|1\|D.+(SWITCH|SIGNAL).+UNKNOWN)" - &gt;&gt; 2017-02-23-UncaughtWiMAX.txt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496</v>
      </c>
      <c r="B32" s="7">
        <v>4005</v>
      </c>
      <c r="C32" s="21" t="s">
        <v>294</v>
      </c>
      <c r="D32" s="21" t="s">
        <v>339</v>
      </c>
      <c r="E32" s="13">
        <v>42789.283587962964</v>
      </c>
      <c r="F32" s="13">
        <v>42789.289050925923</v>
      </c>
      <c r="G32" s="7">
        <v>1</v>
      </c>
      <c r="H32" s="21" t="s">
        <v>674</v>
      </c>
      <c r="I32" s="13">
        <v>42789.317060185182</v>
      </c>
      <c r="J32" s="7">
        <v>0</v>
      </c>
      <c r="K32" s="98" t="str">
        <f t="shared" si="0"/>
        <v>4005/4006</v>
      </c>
      <c r="L32" s="21" t="str">
        <f>VLOOKUP(A32,'Trips&amp;Operators'!$C$1:$G$99999,5,FALSE)</f>
        <v>ROBINSON KADDIBA</v>
      </c>
      <c r="M32" s="6">
        <f t="shared" si="1"/>
        <v>2.8009259258396924E-2</v>
      </c>
      <c r="N32" s="7">
        <f t="shared" si="2"/>
        <v>40.33333333209157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-02-23T05:48:22-0700',mode:absolute,to:'2017-02-23T08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23.300599999999999</v>
      </c>
      <c r="Z32" s="62">
        <f t="shared" si="9"/>
        <v>0.1171</v>
      </c>
      <c r="AA32" s="62">
        <f t="shared" si="10"/>
        <v>23.183499999999999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0120-23</v>
      </c>
      <c r="AE32" s="85" t="str">
        <f t="shared" si="12"/>
        <v>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 &amp; aws s3 cp s3://rtdc.mdm.uploadarchive.raw/RTDC4005/ "%USERPROFILE%\AppData\Local\Temp\OnboardLogs"\RTDC4005\2017-02-24 --exclude "*" --recursive --include "*20170224*" &amp; "%USERPROFILE%\Documents\GitHub\mrs-test-scripts\Headless Mode &amp; Sideloading\WalkAndUnGZ.bat" "%USERPROFILE%\AppData\Local\Temp\OnboardLogs"\RTDC4005\2017-02-24</v>
      </c>
      <c r="AF32" s="82" t="str">
        <f t="shared" si="13"/>
        <v>"C:\Program Files (x86)\AstroGrep\AstroGrep.exe" /spath="%USERPROFILE%\AppData\Local\Temp\OnboardLogs" /stypes="app*4005*20170223*" /stext=" 14:.+(\|loc)"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120-23 --locoid 4005 --swversion DE.1.0.9.0 --startMP 204:233006 --initTime 2017-02-23T06:48:22 --startdatetime 2017-02-23T06:56:14 --delay 1 --endMP 204:1171 --enddatetime 2017-02-23T07:36:34 --enforcementcount 0 &gt;&gt;C:\Users\stu\Documents\GitHub\eaglep3-reporting\EC\2017-02-23-refined-times.txt</v>
      </c>
      <c r="AI3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{"issue":{"subject":"","project_id":79,"tracker_id":40,"status_id":1,"priority_id":2,"assigned_to_id":23,"start_date":"2017-02-23","description":"","custom_fields":[{"id":1,"name":"Subdivision","value":"EC"},{"id":4,"name":"Milepost","value":"0.1171"},{"id":17,"name":"Train ID","value":"120-23"},{"id":16,"name":"Locomotive ID","value":"4005"},{"id":130,"name":"Impact","value":""},{"id":150,"name":"Time of Event (Mountain Time)","value":"07:36:34"},{"id":151,"name":"Denver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4005 --day 2017-02-23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"%USERPROFILE%\AppData\Local\Temp\OnboardLogs"\RTDC4005\*4005*20170223* | grep -SE "(Enforcement Action)|(\[TIMEOUT)|(CHR.+\|PRM\|1\|D.+(SWITCH|SIGNAL).+UNKNOWN)" - &gt;&gt; 2017-02-23-UncaughtWiMAX.txt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490</v>
      </c>
      <c r="B33" s="7">
        <v>4011</v>
      </c>
      <c r="C33" s="21" t="s">
        <v>294</v>
      </c>
      <c r="D33" s="21" t="s">
        <v>296</v>
      </c>
      <c r="E33" s="13">
        <v>42789.256365740737</v>
      </c>
      <c r="F33" s="13">
        <v>42789.260613425926</v>
      </c>
      <c r="G33" s="7">
        <v>1</v>
      </c>
      <c r="H33" s="21" t="s">
        <v>670</v>
      </c>
      <c r="I33" s="13">
        <v>42789.285578703704</v>
      </c>
      <c r="J33" s="7">
        <v>0</v>
      </c>
      <c r="K33" s="98" t="str">
        <f t="shared" si="0"/>
        <v>4011/4012</v>
      </c>
      <c r="L33" s="21" t="str">
        <f>VLOOKUP(A33,'Trips&amp;Operators'!$C$1:$G$99999,5,FALSE)</f>
        <v>GEBRETEKLE DAGNEW</v>
      </c>
      <c r="M33" s="6">
        <f t="shared" si="1"/>
        <v>2.4965277778392192E-2</v>
      </c>
      <c r="N33" s="7">
        <f t="shared" si="2"/>
        <v>35.950000000884756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-02-23T05:09:10-0700',mode:absolute,to:'2017-02-23T07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4.58E-2</v>
      </c>
      <c r="Z33" s="62">
        <f t="shared" si="9"/>
        <v>23.331199999999999</v>
      </c>
      <c r="AA33" s="62">
        <f t="shared" si="10"/>
        <v>23.285399999999999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0121-23</v>
      </c>
      <c r="AE33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33" s="82" t="str">
        <f t="shared" si="13"/>
        <v>"C:\Program Files (x86)\AstroGrep\AstroGrep.exe" /spath="%USERPROFILE%\AppData\Local\Temp\OnboardLogs" /stypes="app*4011*20170223*" /stext=" 13:.+(\|loc)"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121-23 --locoid 4011 --swversion DE.1.0.9.0 --startMP 204:458 --initTime 2017-02-23T06:09:10 --startdatetime 2017-02-23T06:15:17 --delay 1 --endMP 204:233312 --enddatetime 2017-02-23T06:51:14 --enforcementcount 0 &gt;&gt;C:\Users\stu\Documents\GitHub\eaglep3-reporting\EC\2017-02-23-refined-times.txt</v>
      </c>
      <c r="AI3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ID","value":"121-23"},{"id":16,"name":"Locomotive ID","value":"4011"},{"id":130,"name":"Impact","value":""},{"id":150,"name":"Time of Event (Mountain Time)","value":"06:51:14"},{"id":151,"name":"Denver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4011 --day 2017-02-23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498</v>
      </c>
      <c r="B34" s="7">
        <v>4012</v>
      </c>
      <c r="C34" s="21" t="s">
        <v>294</v>
      </c>
      <c r="D34" s="21" t="s">
        <v>283</v>
      </c>
      <c r="E34" s="13">
        <v>42789.295381944445</v>
      </c>
      <c r="F34" s="13">
        <v>42789.299583333333</v>
      </c>
      <c r="G34" s="7">
        <v>1</v>
      </c>
      <c r="H34" s="21" t="s">
        <v>207</v>
      </c>
      <c r="I34" s="13">
        <v>42789.326180555552</v>
      </c>
      <c r="J34" s="7">
        <v>0</v>
      </c>
      <c r="K34" s="98" t="str">
        <f t="shared" si="0"/>
        <v>4011/4012</v>
      </c>
      <c r="L34" s="21" t="str">
        <f>VLOOKUP(A34,'Trips&amp;Operators'!$C$1:$G$99999,5,FALSE)</f>
        <v>GEBRETEKLE DAGNEW</v>
      </c>
      <c r="M34" s="6">
        <f t="shared" si="1"/>
        <v>2.6597222218697425E-2</v>
      </c>
      <c r="N34" s="7">
        <f t="shared" si="2"/>
        <v>38.299999994924292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-02-23T06:05:21-0700',mode:absolute,to:'2017-02-23T08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23.298200000000001</v>
      </c>
      <c r="Z34" s="62">
        <f t="shared" si="9"/>
        <v>1.5800000000000002E-2</v>
      </c>
      <c r="AA34" s="62">
        <f t="shared" si="10"/>
        <v>23.282400000000003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0122-23</v>
      </c>
      <c r="AE34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34" s="82" t="str">
        <f t="shared" si="13"/>
        <v>"C:\Program Files (x86)\AstroGrep\AstroGrep.exe" /spath="%USERPROFILE%\AppData\Local\Temp\OnboardLogs" /stypes="app*4012*20170223*" /stext=" 14:.+(\|loc)"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122-23 --locoid 4012 --swversion DE.1.0.9.0 --startMP 204:232982 --initTime 2017-02-23T07:05:21 --startdatetime 2017-02-23T07:11:24 --delay 1 --endMP 204:158 --enddatetime 2017-02-23T07:49:42 --enforcementcount 0 &gt;&gt;C:\Users\stu\Documents\GitHub\eaglep3-reporting\EC\2017-02-23-refined-times.txt</v>
      </c>
      <c r="AI3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ID","value":"122-23"},{"id":16,"name":"Locomotive ID","value":"4012"},{"id":130,"name":"Impact","value":""},{"id":150,"name":"Time of Event (Mountain Time)","value":"07:49:42"},{"id":151,"name":"Denver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4012 --day 2017-02-23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492</v>
      </c>
      <c r="B35" s="7">
        <v>4009</v>
      </c>
      <c r="C35" s="21" t="s">
        <v>294</v>
      </c>
      <c r="D35" s="21" t="s">
        <v>247</v>
      </c>
      <c r="E35" s="13">
        <v>42789.267962962964</v>
      </c>
      <c r="F35" s="13">
        <v>42789.271145833336</v>
      </c>
      <c r="G35" s="7">
        <v>2</v>
      </c>
      <c r="H35" s="21" t="s">
        <v>675</v>
      </c>
      <c r="I35" s="13">
        <v>42789.295960648145</v>
      </c>
      <c r="J35" s="7">
        <v>0</v>
      </c>
      <c r="K35" s="98" t="str">
        <f t="shared" si="0"/>
        <v>4009/4010</v>
      </c>
      <c r="L35" s="21" t="str">
        <f>VLOOKUP(A35,'Trips&amp;Operators'!$C$1:$G$99999,5,FALSE)</f>
        <v>ROCHA YAOTL</v>
      </c>
      <c r="M35" s="6">
        <f t="shared" si="1"/>
        <v>2.4814814809360541E-2</v>
      </c>
      <c r="N35" s="7">
        <f t="shared" si="2"/>
        <v>35.73333332547918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-02-23T05:25:52-0700',mode:absolute,to:'2017-02-23T08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4.5499999999999999E-2</v>
      </c>
      <c r="Z35" s="62">
        <f t="shared" si="9"/>
        <v>23.3338</v>
      </c>
      <c r="AA35" s="62">
        <f t="shared" si="10"/>
        <v>23.2883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0123-23</v>
      </c>
      <c r="AE35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35" s="82" t="str">
        <f t="shared" si="13"/>
        <v>"C:\Program Files (x86)\AstroGrep\AstroGrep.exe" /spath="%USERPROFILE%\AppData\Local\Temp\OnboardLogs" /stypes="app*4009*20170223*" /stext=" 14:.+(\|loc)"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123-23 --locoid 4009 --swversion DE.1.0.9.0 --startMP 204:455 --initTime 2017-02-23T06:25:52 --startdatetime 2017-02-23T06:30:27 --delay 2 --endMP 204:233338 --enddatetime 2017-02-23T07:06:11 --enforcementcount 0 &gt;&gt;C:\Users\stu\Documents\GitHub\eaglep3-reporting\EC\2017-02-23-refined-times.txt</v>
      </c>
      <c r="AI3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{"issue":{"subject":"","project_id":79,"tracker_id":40,"status_id":1,"priority_id":2,"assigned_to_id":23,"start_date":"2017-02-23","description":"","custom_fields":[{"id":1,"name":"Subdivision","value":"EC"},{"id":4,"name":"Milepost","value":"23.3338"},{"id":17,"name":"Train ID","value":"123-23"},{"id":16,"name":"Locomotive ID","value":"4009"},{"id":130,"name":"Impact","value":""},{"id":150,"name":"Time of Event (Mountain Time)","value":"07:06:11"},{"id":151,"name":"Denver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4009 --day 2017-02-23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416</v>
      </c>
      <c r="B36" s="7">
        <v>4010</v>
      </c>
      <c r="C36" s="21" t="s">
        <v>294</v>
      </c>
      <c r="D36" s="21" t="s">
        <v>381</v>
      </c>
      <c r="E36" s="13">
        <v>42789.308749999997</v>
      </c>
      <c r="F36" s="13">
        <v>42789.31009259259</v>
      </c>
      <c r="G36" s="7">
        <v>0</v>
      </c>
      <c r="H36" s="21" t="s">
        <v>203</v>
      </c>
      <c r="I36" s="13">
        <v>42789.33697916667</v>
      </c>
      <c r="J36" s="7">
        <v>0</v>
      </c>
      <c r="K36" s="98" t="str">
        <f t="shared" si="0"/>
        <v>4009/4010</v>
      </c>
      <c r="L36" s="21" t="str">
        <f>VLOOKUP(A36,'Trips&amp;Operators'!$C$1:$G$99999,5,FALSE)</f>
        <v>ROCHA YAOTL</v>
      </c>
      <c r="M36" s="6">
        <f t="shared" si="1"/>
        <v>2.6886574079981074E-2</v>
      </c>
      <c r="N36" s="7">
        <f t="shared" si="2"/>
        <v>38.716666675172746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-02-23T06:24:36-0700',mode:absolute,to:'2017-02-23T09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23.3019</v>
      </c>
      <c r="Z36" s="62">
        <f t="shared" si="9"/>
        <v>1.6E-2</v>
      </c>
      <c r="AA36" s="62">
        <f t="shared" si="10"/>
        <v>23.285900000000002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0124-23</v>
      </c>
      <c r="AE36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36" s="82" t="str">
        <f t="shared" si="13"/>
        <v>"C:\Program Files (x86)\AstroGrep\AstroGrep.exe" /spath="%USERPROFILE%\AppData\Local\Temp\OnboardLogs" /stypes="app*4010*20170223*" /stext=" 15:.+(\|loc)"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124-23 --locoid 4010 --swversion DE.1.0.9.0 --startMP 204:233019 --initTime 2017-02-23T07:24:36 --startdatetime 2017-02-23T07:26:32 --delay 0 --endMP 204:160 --enddatetime 2017-02-23T08:05:15 --enforcementcount 0 &gt;&gt;C:\Users\stu\Documents\GitHub\eaglep3-reporting\EC\2017-02-23-refined-times.txt</v>
      </c>
      <c r="AI3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ID","value":"124-23"},{"id":16,"name":"Locomotive ID","value":"4010"},{"id":130,"name":"Impact","value":""},{"id":150,"name":"Time of Event (Mountain Time)","value":"08:05:15"},{"id":151,"name":"Denver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4010 --day 2017-02-23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495</v>
      </c>
      <c r="B37" s="7">
        <v>4003</v>
      </c>
      <c r="C37" s="21" t="s">
        <v>294</v>
      </c>
      <c r="D37" s="21" t="s">
        <v>332</v>
      </c>
      <c r="E37" s="13">
        <v>42789.275370370371</v>
      </c>
      <c r="F37" s="13">
        <v>42789.281469907408</v>
      </c>
      <c r="G37" s="7">
        <v>1</v>
      </c>
      <c r="H37" s="21" t="s">
        <v>289</v>
      </c>
      <c r="I37" s="13">
        <v>42789.306006944447</v>
      </c>
      <c r="J37" s="7">
        <v>0</v>
      </c>
      <c r="K37" s="98" t="str">
        <f t="shared" si="0"/>
        <v>4003/4004</v>
      </c>
      <c r="L37" s="21" t="str">
        <f>VLOOKUP(A37,'Trips&amp;Operators'!$C$1:$G$99999,5,FALSE)</f>
        <v>YORK EDGAR</v>
      </c>
      <c r="M37" s="6">
        <f t="shared" si="1"/>
        <v>2.453703703940846E-2</v>
      </c>
      <c r="N37" s="7">
        <f t="shared" si="2"/>
        <v>35.333333336748183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-02-23T05:36:32-0700',mode:absolute,to:'2017-02-23T08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4.4900000000000002E-2</v>
      </c>
      <c r="Z37" s="62">
        <f t="shared" si="9"/>
        <v>23.330100000000002</v>
      </c>
      <c r="AA37" s="62">
        <f t="shared" si="10"/>
        <v>23.285200000000003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0125-23</v>
      </c>
      <c r="AE37" s="85" t="str">
        <f t="shared" si="12"/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37" s="82" t="str">
        <f t="shared" si="13"/>
        <v>"C:\Program Files (x86)\AstroGrep\AstroGrep.exe" /spath="%USERPROFILE%\AppData\Local\Temp\OnboardLogs" /stypes="app*4003*20170223*" /stext=" 14:.+(\|loc)"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125-23 --locoid 4003 --swversion DE.1.0.9.0 --startMP 204:449 --initTime 2017-02-23T06:36:32 --startdatetime 2017-02-23T06:45:19 --delay 1 --endMP 204:233301 --enddatetime 2017-02-23T07:20:39 --enforcementcount 0 &gt;&gt;C:\Users\stu\Documents\GitHub\eaglep3-reporting\EC\2017-02-23-refined-times.txt</v>
      </c>
      <c r="AI3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{"issue":{"subject":"","project_id":79,"tracker_id":40,"status_id":1,"priority_id":2,"assigned_to_id":23,"start_date":"2017-02-23","description":"","custom_fields":[{"id":1,"name":"Subdivision","value":"EC"},{"id":4,"name":"Milepost","value":"23.3301"},{"id":17,"name":"Train ID","value":"125-23"},{"id":16,"name":"Locomotive ID","value":"4003"},{"id":130,"name":"Impact","value":""},{"id":150,"name":"Time of Event (Mountain Time)","value":"07:20:39"},{"id":151,"name":"Denver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4003 --day 2017-02-23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501</v>
      </c>
      <c r="B38" s="7">
        <v>4004</v>
      </c>
      <c r="C38" s="21" t="s">
        <v>294</v>
      </c>
      <c r="D38" s="21" t="s">
        <v>676</v>
      </c>
      <c r="E38" s="13">
        <v>42789.306898148148</v>
      </c>
      <c r="F38" s="13">
        <v>42789.320370370369</v>
      </c>
      <c r="G38" s="7">
        <v>1</v>
      </c>
      <c r="H38" s="21" t="s">
        <v>213</v>
      </c>
      <c r="I38" s="13">
        <v>42789.34783564815</v>
      </c>
      <c r="J38" s="7">
        <v>0</v>
      </c>
      <c r="K38" s="98" t="str">
        <f t="shared" si="0"/>
        <v>4003/4004</v>
      </c>
      <c r="L38" s="21" t="str">
        <f>VLOOKUP(A38,'Trips&amp;Operators'!$C$1:$G$99999,5,FALSE)</f>
        <v>YORK EDGAR</v>
      </c>
      <c r="M38" s="6">
        <f t="shared" si="1"/>
        <v>2.7465277780720498E-2</v>
      </c>
      <c r="N38" s="7">
        <f t="shared" si="2"/>
        <v>39.550000004237518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-02-23T06:21:56-0700',mode:absolute,to:'2017-02-23T09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23.297699999999999</v>
      </c>
      <c r="Z38" s="62">
        <f t="shared" si="9"/>
        <v>1.54E-2</v>
      </c>
      <c r="AA38" s="62">
        <f t="shared" si="10"/>
        <v>23.282299999999999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0126-23</v>
      </c>
      <c r="AE38" s="85" t="str">
        <f t="shared" si="12"/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AF38" s="82" t="str">
        <f t="shared" si="13"/>
        <v>"C:\Program Files (x86)\AstroGrep\AstroGrep.exe" /spath="%USERPROFILE%\AppData\Local\Temp\OnboardLogs" /stypes="app*4004*20170223*" /stext=" 15:.+(\|loc)"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126-23 --locoid 4004 --swversion DE.1.0.9.0 --startMP 204:232977 --initTime 2017-02-23T07:21:56 --startdatetime 2017-02-23T07:41:20 --delay 1 --endMP 204:154 --enddatetime 2017-02-23T08:20:53 --enforcementcount 0 &gt;&gt;C:\Users\stu\Documents\GitHub\eaglep3-reporting\EC\2017-02-23-refined-times.txt</v>
      </c>
      <c r="AI3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{"issue":{"subject":"","project_id":79,"tracker_id":40,"status_id":1,"priority_id":2,"assigned_to_id":23,"start_date":"2017-02-23","description":"","custom_fields":[{"id":1,"name":"Subdivision","value":"EC"},{"id":4,"name":"Milepost","value":"0.0154"},{"id":17,"name":"Train ID","value":"126-23"},{"id":16,"name":"Locomotive ID","value":"4004"},{"id":130,"name":"Impact","value":""},{"id":150,"name":"Time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4004 --day 2017-02-23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"%USERPROFILE%\AppData\Local\Temp\OnboardLogs"\RTDC4004\*4004*20170223* | grep -SE "(Enforcement Action)|(\[TIMEOUT)|(CHR.+\|PRM\|1\|D.+(SWITCH|SIGNAL).+UNKNOWN)" - &gt;&gt; 2017-02-23-UncaughtWiMAX.txt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497</v>
      </c>
      <c r="B39" s="7">
        <v>4040</v>
      </c>
      <c r="C39" s="21" t="s">
        <v>294</v>
      </c>
      <c r="D39" s="21" t="s">
        <v>275</v>
      </c>
      <c r="E39" s="13">
        <v>42789.288124999999</v>
      </c>
      <c r="F39" s="13">
        <v>42789.292118055557</v>
      </c>
      <c r="G39" s="7">
        <v>1</v>
      </c>
      <c r="H39" s="21" t="s">
        <v>677</v>
      </c>
      <c r="I39" s="13">
        <v>42789.317847222221</v>
      </c>
      <c r="J39" s="7">
        <v>0</v>
      </c>
      <c r="K39" s="98" t="str">
        <f t="shared" si="0"/>
        <v>4039/4040</v>
      </c>
      <c r="L39" s="21" t="str">
        <f>VLOOKUP(A39,'Trips&amp;Operators'!$C$1:$G$99999,5,FALSE)</f>
        <v>BADERTSCHER DIANE</v>
      </c>
      <c r="M39" s="6">
        <f t="shared" si="1"/>
        <v>2.5729166663950309E-2</v>
      </c>
      <c r="N39" s="7">
        <f t="shared" si="2"/>
        <v>37.049999996088445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-02-23T05:54:54-0700',mode:absolute,to:'2017-02-23T08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4.3099999999999999E-2</v>
      </c>
      <c r="Z39" s="62">
        <f t="shared" si="9"/>
        <v>23.3308</v>
      </c>
      <c r="AA39" s="62">
        <f t="shared" si="10"/>
        <v>23.287700000000001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0127-23</v>
      </c>
      <c r="AE39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39" s="82" t="str">
        <f t="shared" si="13"/>
        <v>"C:\Program Files (x86)\AstroGrep\AstroGrep.exe" /spath="%USERPROFILE%\AppData\Local\Temp\OnboardLogs" /stypes="app*4040*20170223*" /stext=" 14:.+(\|loc)"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127-23 --locoid 4040 --swversion DE.1.0.9.0 --startMP 204:431 --initTime 2017-02-23T06:54:54 --startdatetime 2017-02-23T07:00:39 --delay 1 --endMP 204:233308 --enddatetime 2017-02-23T07:37:42 --enforcementcount 0 &gt;&gt;C:\Users\stu\Documents\GitHub\eaglep3-reporting\EC\2017-02-23-refined-times.txt</v>
      </c>
      <c r="AI3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{"issue":{"subject":"","project_id":79,"tracker_id":40,"status_id":1,"priority_id":2,"assigned_to_id":23,"start_date":"2017-02-23","description":"","custom_fields":[{"id":1,"name":"Subdivision","value":"EC"},{"id":4,"name":"Milepost","value":"23.3308"},{"id":17,"name":"Train ID","value":"127-23"},{"id":16,"name":"Locomotive ID","value":"4040"},{"id":130,"name":"Impact","value":""},{"id":150,"name":"Time of Event (Mountain Time)","value":"07:37:42"},{"id":151,"name":"Denver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4040 --day 2017-02-23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507</v>
      </c>
      <c r="B40" s="7">
        <v>4039</v>
      </c>
      <c r="C40" s="21" t="s">
        <v>294</v>
      </c>
      <c r="D40" s="21" t="s">
        <v>249</v>
      </c>
      <c r="E40" s="13">
        <v>42789.320821759262</v>
      </c>
      <c r="F40" s="13">
        <v>42789.330717592595</v>
      </c>
      <c r="G40" s="7">
        <v>1</v>
      </c>
      <c r="H40" s="21" t="s">
        <v>678</v>
      </c>
      <c r="I40" s="13">
        <v>42789.358553240738</v>
      </c>
      <c r="J40" s="7">
        <v>0</v>
      </c>
      <c r="K40" s="98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2.7835648143081926E-2</v>
      </c>
      <c r="N40" s="7">
        <f t="shared" si="2"/>
        <v>40.083333326037973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-02-23T06:41:59-0700',mode:absolute,to:'2017-02-23T09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23.299299999999999</v>
      </c>
      <c r="Z40" s="62">
        <f t="shared" si="9"/>
        <v>1.32E-2</v>
      </c>
      <c r="AA40" s="62">
        <f t="shared" si="10"/>
        <v>23.286099999999998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0128-23</v>
      </c>
      <c r="AE40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40" s="82" t="str">
        <f t="shared" si="13"/>
        <v>"C:\Program Files (x86)\AstroGrep\AstroGrep.exe" /spath="%USERPROFILE%\AppData\Local\Temp\OnboardLogs" /stypes="app*4039*20170223*" /stext=" 15:.+(\|loc)"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128-23 --locoid 4039 --swversion DE.1.0.9.0 --startMP 204:232993 --initTime 2017-02-23T07:41:59 --startdatetime 2017-02-23T07:56:14 --delay 1 --endMP 204:132 --enddatetime 2017-02-23T08:36:19 --enforcementcount 0 &gt;&gt;C:\Users\stu\Documents\GitHub\eaglep3-reporting\EC\2017-02-23-refined-times.txt</v>
      </c>
      <c r="AI4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{"issue":{"subject":"","project_id":79,"tracker_id":40,"status_id":1,"priority_id":2,"assigned_to_id":23,"start_date":"2017-02-23","description":"","custom_fields":[{"id":1,"name":"Subdivision","value":"EC"},{"id":4,"name":"Milepost","value":"0.0132"},{"id":17,"name":"Train ID","value":"128-23"},{"id":16,"name":"Locomotive ID","value":"4039"},{"id":130,"name":"Impact","value":""},{"id":150,"name":"Time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4039 --day 2017-02-23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414</v>
      </c>
      <c r="B41" s="7">
        <v>4046</v>
      </c>
      <c r="C41" s="21" t="s">
        <v>294</v>
      </c>
      <c r="D41" s="21" t="s">
        <v>247</v>
      </c>
      <c r="E41" s="13">
        <v>42789.297858796293</v>
      </c>
      <c r="F41" s="13">
        <v>42789.302256944444</v>
      </c>
      <c r="G41" s="7">
        <v>2</v>
      </c>
      <c r="H41" s="21" t="s">
        <v>318</v>
      </c>
      <c r="I41" s="13">
        <v>42789.328645833331</v>
      </c>
      <c r="J41" s="7">
        <v>0</v>
      </c>
      <c r="K41" s="98" t="str">
        <f t="shared" si="0"/>
        <v>4045/4046</v>
      </c>
      <c r="L41" s="21" t="str">
        <f>VLOOKUP(A41,'Trips&amp;Operators'!$C$1:$G$99999,5,FALSE)</f>
        <v>STARKS ANGELINA</v>
      </c>
      <c r="M41" s="6">
        <f t="shared" si="1"/>
        <v>2.6388888887595385E-2</v>
      </c>
      <c r="N41" s="7">
        <f t="shared" si="2"/>
        <v>37.999999998137355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-02-23T06:08:55-0700',mode:absolute,to:'2017-02-23T08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4.5499999999999999E-2</v>
      </c>
      <c r="Z41" s="62">
        <f t="shared" si="9"/>
        <v>23.331399999999999</v>
      </c>
      <c r="AA41" s="62">
        <f t="shared" si="10"/>
        <v>23.285899999999998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0129-23</v>
      </c>
      <c r="AE41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41" s="82" t="str">
        <f t="shared" si="13"/>
        <v>"C:\Program Files (x86)\AstroGrep\AstroGrep.exe" /spath="%USERPROFILE%\AppData\Local\Temp\OnboardLogs" /stypes="app*4046*20170223*" /stext=" 14:.+(\|loc)"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129-23 --locoid 4046 --swversion DE.1.0.9.0 --startMP 204:455 --initTime 2017-02-23T07:08:55 --startdatetime 2017-02-23T07:15:15 --delay 2 --endMP 204:233314 --enddatetime 2017-02-23T07:53:15 --enforcementcount 0 &gt;&gt;C:\Users\stu\Documents\GitHub\eaglep3-reporting\EC\2017-02-23-refined-times.txt</v>
      </c>
      <c r="AI4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{"issue":{"subject":"","project_id":79,"tracker_id":40,"status_id":1,"priority_id":2,"assigned_to_id":23,"start_date":"2017-02-23","description":"","custom_fields":[{"id":1,"name":"Subdivision","value":"EC"},{"id":4,"name":"Milepost","value":"23.3314"},{"id":17,"name":"Train ID","value":"129-23"},{"id":16,"name":"Locomotive ID","value":"4046"},{"id":130,"name":"Impact","value":""},{"id":150,"name":"Time of Event (Mountain Time)","value":"07:53:15"},{"id":151,"name":"Denver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4046 --day 2017-02-23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419</v>
      </c>
      <c r="B42" s="7">
        <v>4045</v>
      </c>
      <c r="C42" s="21" t="s">
        <v>294</v>
      </c>
      <c r="D42" s="21" t="s">
        <v>336</v>
      </c>
      <c r="E42" s="13">
        <v>42789.339328703703</v>
      </c>
      <c r="F42" s="13">
        <v>42789.341307870367</v>
      </c>
      <c r="G42" s="7">
        <v>1</v>
      </c>
      <c r="H42" s="21" t="s">
        <v>206</v>
      </c>
      <c r="I42" s="13">
        <v>42789.36996527778</v>
      </c>
      <c r="J42" s="7">
        <v>0</v>
      </c>
      <c r="K42" s="98" t="str">
        <f t="shared" si="0"/>
        <v>4045/4046</v>
      </c>
      <c r="L42" s="21" t="str">
        <f>VLOOKUP(A42,'Trips&amp;Operators'!$C$1:$G$99999,5,FALSE)</f>
        <v>STARKS ANGELINA</v>
      </c>
      <c r="M42" s="6">
        <f t="shared" si="1"/>
        <v>2.8657407412538305E-2</v>
      </c>
      <c r="N42" s="7">
        <f t="shared" si="2"/>
        <v>41.266666674055159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-02-23T07:08:38-0700',mode:absolute,to:'2017-02-23T09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23.299199999999999</v>
      </c>
      <c r="Z42" s="62">
        <f t="shared" si="9"/>
        <v>1.52E-2</v>
      </c>
      <c r="AA42" s="62">
        <f t="shared" si="10"/>
        <v>23.283999999999999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0130-23</v>
      </c>
      <c r="AE42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42" s="82" t="str">
        <f t="shared" si="13"/>
        <v>"C:\Program Files (x86)\AstroGrep\AstroGrep.exe" /spath="%USERPROFILE%\AppData\Local\Temp\OnboardLogs" /stypes="app*4045*20170223*" /stext=" 15:.+(\|loc)"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130-23 --locoid 4045 --swversion DE.1.0.9.0 --startMP 204:232992 --initTime 2017-02-23T08:08:38 --startdatetime 2017-02-23T08:11:29 --delay 1 --endMP 204:152 --enddatetime 2017-02-23T08:52:45 --enforcementcount 0 &gt;&gt;C:\Users\stu\Documents\GitHub\eaglep3-reporting\EC\2017-02-23-refined-times.txt</v>
      </c>
      <c r="AI4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{"issue":{"subject":"","project_id":79,"tracker_id":40,"status_id":1,"priority_id":2,"assigned_to_id":23,"start_date":"2017-02-23","description":"","custom_fields":[{"id":1,"name":"Subdivision","value":"EC"},{"id":4,"name":"Milepost","value":"0.0152"},{"id":17,"name":"Train ID","value":"130-23"},{"id":16,"name":"Locomotive ID","value":"4045"},{"id":130,"name":"Impact","value":""},{"id":150,"name":"Time of Event (Mountain Time)","value":"08:52:45"},{"id":151,"name":"Denver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4045 --day 2017-02-23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502</v>
      </c>
      <c r="B43" s="7">
        <v>4029</v>
      </c>
      <c r="C43" s="21" t="s">
        <v>294</v>
      </c>
      <c r="D43" s="21" t="s">
        <v>679</v>
      </c>
      <c r="E43" s="13">
        <v>42789.307986111111</v>
      </c>
      <c r="F43" s="13">
        <v>42789.312858796293</v>
      </c>
      <c r="G43" s="7">
        <v>1</v>
      </c>
      <c r="H43" s="21" t="s">
        <v>270</v>
      </c>
      <c r="I43" s="13">
        <v>42789.338726851849</v>
      </c>
      <c r="J43" s="7">
        <v>0</v>
      </c>
      <c r="K43" s="98" t="str">
        <f t="shared" si="0"/>
        <v>4029/4030</v>
      </c>
      <c r="L43" s="21" t="str">
        <f>VLOOKUP(A43,'Trips&amp;Operators'!$C$1:$G$99999,5,FALSE)</f>
        <v>BONDS REYNALDO</v>
      </c>
      <c r="M43" s="6">
        <f t="shared" si="1"/>
        <v>2.5868055556202307E-2</v>
      </c>
      <c r="N43" s="7">
        <f t="shared" si="2"/>
        <v>37.250000000931323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-02-23T06:23:30-0700',mode:absolute,to:'2017-02-23T09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4.82E-2</v>
      </c>
      <c r="Z43" s="62">
        <f t="shared" si="9"/>
        <v>23.331</v>
      </c>
      <c r="AA43" s="62">
        <f t="shared" si="10"/>
        <v>23.282799999999998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0131-23</v>
      </c>
      <c r="AE43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43" s="82" t="str">
        <f t="shared" si="13"/>
        <v>"C:\Program Files (x86)\AstroGrep\AstroGrep.exe" /spath="%USERPROFILE%\AppData\Local\Temp\OnboardLogs" /stypes="app*4029*20170223*" /stext=" 15:.+(\|loc)"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131-23 --locoid 4029 --swversion DE.1.0.9.0 --startMP 204:482 --initTime 2017-02-23T07:23:30 --startdatetime 2017-02-23T07:30:31 --delay 1 --endMP 204:233310 --enddatetime 2017-02-23T08:07:46 --enforcementcount 0 &gt;&gt;C:\Users\stu\Documents\GitHub\eaglep3-reporting\EC\2017-02-23-refined-times.txt</v>
      </c>
      <c r="AI4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{"issue":{"subject":"","project_id":79,"tracker_id":40,"status_id":1,"priority_id":2,"assigned_to_id":23,"start_date":"2017-02-23","description":"","custom_fields":[{"id":1,"name":"Subdivision","value":"EC"},{"id":4,"name":"Milepost","value":"23.331"},{"id":17,"name":"Train ID","value":"131-23"},{"id":16,"name":"Locomotive ID","value":"4029"},{"id":130,"name":"Impact","value":""},{"id":150,"name":"Time of Event (Mountain Time)","value":"08:07:46"},{"id":151,"name":"Denver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4029 --day 2017-02-23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421</v>
      </c>
      <c r="B44" s="7">
        <v>4030</v>
      </c>
      <c r="C44" s="21" t="s">
        <v>294</v>
      </c>
      <c r="D44" s="21" t="s">
        <v>317</v>
      </c>
      <c r="E44" s="13">
        <v>42789.348587962966</v>
      </c>
      <c r="F44" s="13">
        <v>42789.351597222223</v>
      </c>
      <c r="G44" s="7">
        <v>1</v>
      </c>
      <c r="H44" s="21" t="s">
        <v>203</v>
      </c>
      <c r="I44" s="13">
        <v>42789.381111111114</v>
      </c>
      <c r="J44" s="7">
        <v>0</v>
      </c>
      <c r="K44" s="98" t="str">
        <f t="shared" si="0"/>
        <v>4029/4030</v>
      </c>
      <c r="L44" s="21" t="str">
        <f>VLOOKUP(A44,'Trips&amp;Operators'!$C$1:$G$99999,5,FALSE)</f>
        <v>BONDS REYNALDO</v>
      </c>
      <c r="M44" s="6">
        <f t="shared" si="1"/>
        <v>2.9513888890505768E-2</v>
      </c>
      <c r="N44" s="7">
        <f t="shared" si="2"/>
        <v>42.500000002328306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-02-23T07:21:58-0700',mode:absolute,to:'2017-02-23T10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23.2987</v>
      </c>
      <c r="Z44" s="62">
        <f t="shared" si="9"/>
        <v>1.6E-2</v>
      </c>
      <c r="AA44" s="62">
        <f t="shared" si="10"/>
        <v>23.282700000000002</v>
      </c>
      <c r="AB44" s="59" t="str">
        <f>VLOOKUP(A44,Enforcements!$C$7:$K$13,8,0)</f>
        <v>Bulletin (2)</v>
      </c>
      <c r="AC44" s="55" t="str">
        <f>VLOOKUP(A44,Enforcements!$C$7:$E$13,3,0)</f>
        <v>GRADE CROSSING</v>
      </c>
      <c r="AD44" s="56" t="str">
        <f t="shared" si="11"/>
        <v>0132-23</v>
      </c>
      <c r="AE44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44" s="82" t="str">
        <f t="shared" si="13"/>
        <v>"C:\Program Files (x86)\AstroGrep\AstroGrep.exe" /spath="%USERPROFILE%\AppData\Local\Temp\OnboardLogs" /stypes="app*4030*20170223*" /stext=" 16:.+(\|loc)"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132-23 --locoid 4030 --swversion DE.1.0.9.0 --startMP 204:232987 --initTime 2017-02-23T08:21:58 --startdatetime 2017-02-23T08:26:18 --delay 1 --endMP 204:160 --enddatetime 2017-02-23T09:08:48 --enforcementcount 0 &gt;&gt;C:\Users\stu\Documents\GitHub\eaglep3-reporting\EC\2017-02-23-refined-times.txt</v>
      </c>
      <c r="AI4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ID","value":"132-23"},{"id":16,"name":"Locomotive ID","value":"4030"},{"id":130,"name":"Impact","value":""},{"id":150,"name":"Time of Event (Mountain Time)","value":"09:08:48"},{"id":151,"name":"Denver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4030 --day 2017-02-23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506</v>
      </c>
      <c r="B45" s="7">
        <v>4014</v>
      </c>
      <c r="C45" s="21" t="s">
        <v>294</v>
      </c>
      <c r="D45" s="21" t="s">
        <v>271</v>
      </c>
      <c r="E45" s="13">
        <v>42789.320277777777</v>
      </c>
      <c r="F45" s="13">
        <v>42789.323194444441</v>
      </c>
      <c r="G45" s="7">
        <v>1</v>
      </c>
      <c r="H45" s="21" t="s">
        <v>334</v>
      </c>
      <c r="I45" s="13">
        <v>42789.347650462965</v>
      </c>
      <c r="J45" s="7">
        <v>0</v>
      </c>
      <c r="K45" s="98" t="str">
        <f t="shared" si="0"/>
        <v>4013/4014</v>
      </c>
      <c r="L45" s="21" t="str">
        <f>VLOOKUP(A45,'Trips&amp;Operators'!$C$1:$G$99999,5,FALSE)</f>
        <v>ROBINSON KADDIBA</v>
      </c>
      <c r="M45" s="6">
        <f t="shared" si="1"/>
        <v>2.4456018523778766E-2</v>
      </c>
      <c r="N45" s="7">
        <f t="shared" si="2"/>
        <v>35.216666674241424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-02-23T06:41:12-0700',mode:absolute,to:'2017-02-23T09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187" t="str">
        <f t="shared" si="6"/>
        <v>N</v>
      </c>
      <c r="X45" s="187">
        <f t="shared" si="7"/>
        <v>1</v>
      </c>
      <c r="Y45" s="62">
        <f t="shared" si="8"/>
        <v>4.4400000000000002E-2</v>
      </c>
      <c r="Z45" s="62">
        <f t="shared" si="9"/>
        <v>23.330500000000001</v>
      </c>
      <c r="AA45" s="62">
        <f t="shared" si="10"/>
        <v>23.286100000000001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0133-23</v>
      </c>
      <c r="AE45" s="85" t="str">
        <f t="shared" si="12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45" s="82" t="str">
        <f t="shared" si="13"/>
        <v>"C:\Program Files (x86)\AstroGrep\AstroGrep.exe" /spath="%USERPROFILE%\AppData\Local\Temp\OnboardLogs" /stypes="app*4014*20170223*" /stext=" 15:.+(\|loc)"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133-23 --locoid 4014 --swversion DE.1.0.9.0 --startMP 204:444 --initTime 2017-02-23T07:41:12 --startdatetime 2017-02-23T07:45:24 --delay 1 --endMP 204:233305 --enddatetime 2017-02-23T08:20:37 --enforcementcount 0 &gt;&gt;C:\Users\stu\Documents\GitHub\eaglep3-reporting\EC\2017-02-23-refined-times.txt</v>
      </c>
      <c r="AI4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{"issue":{"subject":"","project_id":79,"tracker_id":40,"status_id":1,"priority_id":2,"assigned_to_id":23,"start_date":"2017-02-23","description":"","custom_fields":[{"id":1,"name":"Subdivision","value":"EC"},{"id":4,"name":"Milepost","value":"23.3305"},{"id":17,"name":"Train ID","value":"133-23"},{"id":16,"name":"Locomotive ID","value":"4014"},{"id":130,"name":"Impact","value":""},{"id":150,"name":"Time of Event (Mountain Time)","value":"08:20:37"},{"id":151,"name":"Denver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4014 --day 2017-02-23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511</v>
      </c>
      <c r="B46" s="7">
        <v>4013</v>
      </c>
      <c r="C46" s="21" t="s">
        <v>294</v>
      </c>
      <c r="D46" s="21" t="s">
        <v>301</v>
      </c>
      <c r="E46" s="13">
        <v>42789.349780092591</v>
      </c>
      <c r="F46" s="13">
        <v>42789.361990740741</v>
      </c>
      <c r="G46" s="7">
        <v>1</v>
      </c>
      <c r="H46" s="21" t="s">
        <v>207</v>
      </c>
      <c r="I46" s="13">
        <v>42789.38890046296</v>
      </c>
      <c r="J46" s="7">
        <v>0</v>
      </c>
      <c r="K46" s="98" t="str">
        <f t="shared" si="0"/>
        <v>4013/4014</v>
      </c>
      <c r="L46" s="21" t="str">
        <f>VLOOKUP(A46,'Trips&amp;Operators'!$C$1:$G$99999,5,FALSE)</f>
        <v>ROBINSON KADDIBA</v>
      </c>
      <c r="M46" s="6">
        <f t="shared" si="1"/>
        <v>2.6909722218988463E-2</v>
      </c>
      <c r="N46" s="7">
        <f t="shared" si="2"/>
        <v>38.749999995343387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-02-23T07:23:41-0700',mode:absolute,to:'2017-02-23T10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187" t="str">
        <f t="shared" si="6"/>
        <v>N</v>
      </c>
      <c r="X46" s="187">
        <f t="shared" si="7"/>
        <v>1</v>
      </c>
      <c r="Y46" s="62">
        <f t="shared" si="8"/>
        <v>23.298400000000001</v>
      </c>
      <c r="Z46" s="62">
        <f t="shared" si="9"/>
        <v>1.5800000000000002E-2</v>
      </c>
      <c r="AA46" s="62">
        <f t="shared" si="10"/>
        <v>23.282600000000002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0134-23</v>
      </c>
      <c r="AE46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46" s="82" t="str">
        <f t="shared" si="13"/>
        <v>"C:\Program Files (x86)\AstroGrep\AstroGrep.exe" /spath="%USERPROFILE%\AppData\Local\Temp\OnboardLogs" /stypes="app*4013*20170223*" /stext=" 16:.+(\|loc)"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134-23 --locoid 4013 --swversion DE.1.0.9.0 --startMP 204:232984 --initTime 2017-02-23T08:23:41 --startdatetime 2017-02-23T08:41:16 --delay 1 --endMP 204:158 --enddatetime 2017-02-23T09:20:01 --enforcementcount 0 &gt;&gt;C:\Users\stu\Documents\GitHub\eaglep3-reporting\EC\2017-02-23-refined-times.txt</v>
      </c>
      <c r="AI4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ID","value":"134-23"},{"id":16,"name":"Locomotive ID","value":"4013"},{"id":130,"name":"Impact","value":""},{"id":150,"name":"Time of Event (Mountain Time)","value":"09:20:01"},{"id":151,"name":"Denver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4013 --day 2017-02-23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508</v>
      </c>
      <c r="B47" s="7">
        <v>4011</v>
      </c>
      <c r="C47" s="21" t="s">
        <v>294</v>
      </c>
      <c r="D47" s="21" t="s">
        <v>296</v>
      </c>
      <c r="E47" s="13">
        <v>42789.328796296293</v>
      </c>
      <c r="F47" s="13">
        <v>42789.333611111113</v>
      </c>
      <c r="G47" s="7">
        <v>1</v>
      </c>
      <c r="H47" s="21" t="s">
        <v>384</v>
      </c>
      <c r="I47" s="13">
        <v>42789.358738425923</v>
      </c>
      <c r="J47" s="7">
        <v>0</v>
      </c>
      <c r="K47" s="98" t="str">
        <f t="shared" si="0"/>
        <v>4011/4012</v>
      </c>
      <c r="L47" s="21" t="str">
        <f>VLOOKUP(A47,'Trips&amp;Operators'!$C$1:$G$99999,5,FALSE)</f>
        <v>GEBRETEKLE DAGNEW</v>
      </c>
      <c r="M47" s="6">
        <f t="shared" si="1"/>
        <v>2.512731480965158E-2</v>
      </c>
      <c r="N47" s="7">
        <f t="shared" si="2"/>
        <v>36.183333325898275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-02-23T06:53:28-0700',mode:absolute,to:'2017-02-23T09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187" t="str">
        <f t="shared" si="6"/>
        <v>N</v>
      </c>
      <c r="X47" s="187">
        <f t="shared" si="7"/>
        <v>1</v>
      </c>
      <c r="Y47" s="62">
        <f t="shared" si="8"/>
        <v>4.58E-2</v>
      </c>
      <c r="Z47" s="62">
        <f t="shared" si="9"/>
        <v>23.332100000000001</v>
      </c>
      <c r="AA47" s="62">
        <f t="shared" si="10"/>
        <v>23.286300000000001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0135-23</v>
      </c>
      <c r="AE47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47" s="82" t="str">
        <f t="shared" si="13"/>
        <v>"C:\Program Files (x86)\AstroGrep\AstroGrep.exe" /spath="%USERPROFILE%\AppData\Local\Temp\OnboardLogs" /stypes="app*4011*20170223*" /stext=" 15:.+(\|loc)"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135-23 --locoid 4011 --swversion DE.1.0.9.0 --startMP 204:458 --initTime 2017-02-23T07:53:28 --startdatetime 2017-02-23T08:00:24 --delay 1 --endMP 204:233321 --enddatetime 2017-02-23T08:36:35 --enforcementcount 0 &gt;&gt;C:\Users\stu\Documents\GitHub\eaglep3-reporting\EC\2017-02-23-refined-times.txt</v>
      </c>
      <c r="AI4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{"issue":{"subject":"","project_id":79,"tracker_id":40,"status_id":1,"priority_id":2,"assigned_to_id":23,"start_date":"2017-02-23","description":"","custom_fields":[{"id":1,"name":"Subdivision","value":"EC"},{"id":4,"name":"Milepost","value":"23.3321"},{"id":17,"name":"Train ID","value":"135-23"},{"id":16,"name":"Locomotive ID","value":"4011"},{"id":130,"name":"Impact","value":""},{"id":150,"name":"Time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4011 --day 2017-02-23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515</v>
      </c>
      <c r="B48" s="7">
        <v>4012</v>
      </c>
      <c r="C48" s="21" t="s">
        <v>294</v>
      </c>
      <c r="D48" s="21" t="s">
        <v>680</v>
      </c>
      <c r="E48" s="13">
        <v>42789.367777777778</v>
      </c>
      <c r="F48" s="13">
        <v>42789.372384259259</v>
      </c>
      <c r="G48" s="7">
        <v>1</v>
      </c>
      <c r="H48" s="21" t="s">
        <v>272</v>
      </c>
      <c r="I48" s="13">
        <v>42789.401574074072</v>
      </c>
      <c r="J48" s="7">
        <v>0</v>
      </c>
      <c r="K48" s="98" t="str">
        <f t="shared" si="0"/>
        <v>4011/4012</v>
      </c>
      <c r="L48" s="21" t="str">
        <f>VLOOKUP(A48,'Trips&amp;Operators'!$C$1:$G$99999,5,FALSE)</f>
        <v>GEBRETEKLE DAGNEW</v>
      </c>
      <c r="M48" s="6">
        <f t="shared" si="1"/>
        <v>2.9189814813435078E-2</v>
      </c>
      <c r="N48" s="7">
        <f t="shared" si="2"/>
        <v>42.033333331346512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-02-23T07:49:36-0700',mode:absolute,to:'2017-02-23T10:38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8" s="187" t="str">
        <f t="shared" si="6"/>
        <v>N</v>
      </c>
      <c r="X48" s="187">
        <f t="shared" si="7"/>
        <v>1</v>
      </c>
      <c r="Y48" s="62">
        <f t="shared" si="8"/>
        <v>23.302299999999999</v>
      </c>
      <c r="Z48" s="62">
        <f t="shared" si="9"/>
        <v>1.47E-2</v>
      </c>
      <c r="AA48" s="62">
        <f t="shared" si="10"/>
        <v>23.287599999999998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0136-23</v>
      </c>
      <c r="AE48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48" s="82" t="str">
        <f t="shared" si="13"/>
        <v>"C:\Program Files (x86)\AstroGrep\AstroGrep.exe" /spath="%USERPROFILE%\AppData\Local\Temp\OnboardLogs" /stypes="app*4012*20170223*" /stext=" 16:.+(\|loc)"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136-23 --locoid 4012 --swversion DE.1.0.9.0 --startMP 204:233023 --initTime 2017-02-23T08:49:36 --startdatetime 2017-02-23T08:56:14 --delay 1 --endMP 204:147 --enddatetime 2017-02-23T09:38:16 --enforcementcount 0 &gt;&gt;C:\Users\stu\Documents\GitHub\eaglep3-reporting\EC\2017-02-23-refined-times.txt</v>
      </c>
      <c r="AI4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ID","value":"136-23"},{"id":16,"name":"Locomotive ID","value":"4012"},{"id":130,"name":"Impact","value":""},{"id":150,"name":"Time of Event (Mountain Time)","value":"09:38:16"},{"id":151,"name":"Denver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4012 --day 2017-02-23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418</v>
      </c>
      <c r="B49" s="7">
        <v>4009</v>
      </c>
      <c r="C49" s="21" t="s">
        <v>294</v>
      </c>
      <c r="D49" s="21" t="s">
        <v>681</v>
      </c>
      <c r="E49" s="13">
        <v>42789.342048611114</v>
      </c>
      <c r="F49" s="13">
        <v>42789.344004629631</v>
      </c>
      <c r="G49" s="7">
        <v>1</v>
      </c>
      <c r="H49" s="21" t="s">
        <v>682</v>
      </c>
      <c r="I49" s="13">
        <v>42789.368472222224</v>
      </c>
      <c r="J49" s="7">
        <v>0</v>
      </c>
      <c r="K49" s="98" t="str">
        <f t="shared" si="0"/>
        <v>4009/4010</v>
      </c>
      <c r="L49" s="21" t="str">
        <f>VLOOKUP(A49,'Trips&amp;Operators'!$C$1:$G$99999,5,FALSE)</f>
        <v>ROCHA YAOTL</v>
      </c>
      <c r="M49" s="6">
        <f t="shared" si="1"/>
        <v>2.4467592593282461E-2</v>
      </c>
      <c r="N49" s="7">
        <f t="shared" si="2"/>
        <v>35.233333334326744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-02-23T07:12:33-0700',mode:absolute,to:'2017-02-23T09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187" t="str">
        <f t="shared" si="6"/>
        <v>N</v>
      </c>
      <c r="X49" s="187">
        <f t="shared" si="7"/>
        <v>1</v>
      </c>
      <c r="Y49" s="62">
        <f t="shared" si="8"/>
        <v>4.3799999999999999E-2</v>
      </c>
      <c r="Z49" s="62">
        <f t="shared" si="9"/>
        <v>23.332799999999999</v>
      </c>
      <c r="AA49" s="62">
        <f t="shared" si="10"/>
        <v>23.288999999999998</v>
      </c>
      <c r="AB49" s="59" t="str">
        <f>VLOOKUP(A49,Enforcements!$C$7:$K$13,8,0)</f>
        <v>Bulletin (2)</v>
      </c>
      <c r="AC49" s="55" t="str">
        <f>VLOOKUP(A49,Enforcements!$C$7:$E$13,3,0)</f>
        <v>GRADE CROSSING</v>
      </c>
      <c r="AD49" s="56" t="str">
        <f t="shared" si="11"/>
        <v>0137-23</v>
      </c>
      <c r="AE49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49" s="82" t="str">
        <f t="shared" si="13"/>
        <v>"C:\Program Files (x86)\AstroGrep\AstroGrep.exe" /spath="%USERPROFILE%\AppData\Local\Temp\OnboardLogs" /stypes="app*4009*20170223*" /stext=" 15:.+(\|loc)"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137-23 --locoid 4009 --swversion DE.1.0.9.0 --startMP 204:438 --initTime 2017-02-23T08:12:33 --startdatetime 2017-02-23T08:15:22 --delay 1 --endMP 204:233328 --enddatetime 2017-02-23T08:50:36 --enforcementcount 0 &gt;&gt;C:\Users\stu\Documents\GitHub\eaglep3-reporting\EC\2017-02-23-refined-times.txt</v>
      </c>
      <c r="AI4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{"issue":{"subject":"","project_id":79,"tracker_id":40,"status_id":1,"priority_id":2,"assigned_to_id":23,"start_date":"2017-02-23","description":"","custom_fields":[{"id":1,"name":"Subdivision","value":"EC"},{"id":4,"name":"Milepost","value":"23.3328"},{"id":17,"name":"Train ID","value":"137-23"},{"id":16,"name":"Locomotive ID","value":"4009"},{"id":130,"name":"Impact","value":""},{"id":150,"name":"Time of Event (Mountain Time)","value":"08:50:36"},{"id":151,"name":"Denver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4009 --day 2017-02-23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423</v>
      </c>
      <c r="B50" s="7">
        <v>4010</v>
      </c>
      <c r="C50" s="21" t="s">
        <v>294</v>
      </c>
      <c r="D50" s="21" t="s">
        <v>316</v>
      </c>
      <c r="E50" s="13">
        <v>42789.381585648145</v>
      </c>
      <c r="F50" s="13">
        <v>42789.382847222223</v>
      </c>
      <c r="G50" s="7">
        <v>1</v>
      </c>
      <c r="H50" s="21" t="s">
        <v>207</v>
      </c>
      <c r="I50" s="13">
        <v>42789.412106481483</v>
      </c>
      <c r="J50" s="7">
        <v>0</v>
      </c>
      <c r="K50" s="98" t="str">
        <f t="shared" si="0"/>
        <v>4009/4010</v>
      </c>
      <c r="L50" s="21" t="str">
        <f>VLOOKUP(A50,'Trips&amp;Operators'!$C$1:$G$99999,5,FALSE)</f>
        <v>ROCHA YAOTL</v>
      </c>
      <c r="M50" s="6">
        <f t="shared" si="1"/>
        <v>2.9259259259561077E-2</v>
      </c>
      <c r="N50" s="7">
        <f t="shared" si="2"/>
        <v>42.133333333767951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-02-23T08:09:29-0700',mode:absolute,to:'2017-02-23T10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0" s="187" t="str">
        <f t="shared" si="6"/>
        <v>N</v>
      </c>
      <c r="X50" s="187">
        <f t="shared" si="7"/>
        <v>1</v>
      </c>
      <c r="Y50" s="62">
        <f t="shared" si="8"/>
        <v>23.2971</v>
      </c>
      <c r="Z50" s="62">
        <f t="shared" si="9"/>
        <v>1.5800000000000002E-2</v>
      </c>
      <c r="AA50" s="62">
        <f t="shared" si="10"/>
        <v>23.281300000000002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0138-23</v>
      </c>
      <c r="AE50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50" s="82" t="str">
        <f t="shared" si="13"/>
        <v>"C:\Program Files (x86)\AstroGrep\AstroGrep.exe" /spath="%USERPROFILE%\AppData\Local\Temp\OnboardLogs" /stypes="app*4010*20170223*" /stext=" 16:.+(\|loc)"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138-23 --locoid 4010 --swversion DE.1.0.9.0 --startMP 204:232971 --initTime 2017-02-23T09:09:29 --startdatetime 2017-02-23T09:11:18 --delay 1 --endMP 204:158 --enddatetime 2017-02-23T09:53:26 --enforcementcount 0 &gt;&gt;C:\Users\stu\Documents\GitHub\eaglep3-reporting\EC\2017-02-23-refined-times.txt</v>
      </c>
      <c r="AI5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ID","value":"138-23"},{"id":16,"name":"Locomotive ID","value":"4010"},{"id":130,"name":"Impact","value":""},{"id":150,"name":"Time of Event (Mountain Time)","value":"09:53:26"},{"id":151,"name":"Denver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4010 --day 2017-02-23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420</v>
      </c>
      <c r="B51" s="7">
        <v>4003</v>
      </c>
      <c r="C51" s="21" t="s">
        <v>294</v>
      </c>
      <c r="D51" s="21" t="s">
        <v>683</v>
      </c>
      <c r="E51" s="13">
        <v>42789.349236111113</v>
      </c>
      <c r="F51" s="13">
        <v>42789.354409722226</v>
      </c>
      <c r="G51" s="7">
        <v>1</v>
      </c>
      <c r="H51" s="21" t="s">
        <v>331</v>
      </c>
      <c r="I51" s="13">
        <v>42789.379687499997</v>
      </c>
      <c r="J51" s="7">
        <v>0</v>
      </c>
      <c r="K51" s="98" t="str">
        <f t="shared" si="0"/>
        <v>4003/4004</v>
      </c>
      <c r="L51" s="21" t="str">
        <f>VLOOKUP(A51,'Trips&amp;Operators'!$C$1:$G$99999,5,FALSE)</f>
        <v>YORK EDGAR</v>
      </c>
      <c r="M51" s="6">
        <f t="shared" si="1"/>
        <v>2.5277777771407273E-2</v>
      </c>
      <c r="N51" s="7">
        <f t="shared" si="2"/>
        <v>36.399999990826473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-02-23T07:22:54-0700',mode:absolute,to:'2017-02-23T10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187" t="str">
        <f t="shared" si="6"/>
        <v>N</v>
      </c>
      <c r="X51" s="187">
        <f t="shared" si="7"/>
        <v>1</v>
      </c>
      <c r="Y51" s="62">
        <f t="shared" si="8"/>
        <v>4.0899999999999999E-2</v>
      </c>
      <c r="Z51" s="62">
        <f t="shared" si="9"/>
        <v>23.329499999999999</v>
      </c>
      <c r="AA51" s="62">
        <f t="shared" si="10"/>
        <v>23.288599999999999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11"/>
        <v>0139-23</v>
      </c>
      <c r="AE51" s="85" t="str">
        <f t="shared" si="12"/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51" s="82" t="str">
        <f t="shared" si="13"/>
        <v>"C:\Program Files (x86)\AstroGrep\AstroGrep.exe" /spath="%USERPROFILE%\AppData\Local\Temp\OnboardLogs" /stypes="app*4003*20170223*" /stext=" 16:.+(\|loc)"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139-23 --locoid 4003 --swversion DE.1.0.9.0 --startMP 204:409 --initTime 2017-02-23T08:22:54 --startdatetime 2017-02-23T08:30:21 --delay 1 --endMP 204:233295 --enddatetime 2017-02-23T09:06:45 --enforcementcount 0 &gt;&gt;C:\Users\stu\Documents\GitHub\eaglep3-reporting\EC\2017-02-23-refined-times.txt</v>
      </c>
      <c r="AI5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ID","value":"139-23"},{"id":16,"name":"Locomotive ID","value":"4003"},{"id":130,"name":"Impact","value":""},{"id":150,"name":"Time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4003 --day 2017-02-23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424</v>
      </c>
      <c r="B52" s="7">
        <v>4004</v>
      </c>
      <c r="C52" s="21" t="s">
        <v>294</v>
      </c>
      <c r="D52" s="21" t="s">
        <v>684</v>
      </c>
      <c r="E52" s="13">
        <v>42789.380879629629</v>
      </c>
      <c r="F52" s="13">
        <v>42789.393657407411</v>
      </c>
      <c r="G52" s="7">
        <v>1</v>
      </c>
      <c r="H52" s="21" t="s">
        <v>685</v>
      </c>
      <c r="I52" s="13">
        <v>42789.427858796298</v>
      </c>
      <c r="J52" s="7">
        <v>0</v>
      </c>
      <c r="K52" s="98" t="str">
        <f t="shared" si="0"/>
        <v>4003/4004</v>
      </c>
      <c r="L52" s="21" t="str">
        <f>VLOOKUP(A52,'Trips&amp;Operators'!$C$1:$G$99999,5,FALSE)</f>
        <v>YORK EDGAR</v>
      </c>
      <c r="M52" s="6">
        <f t="shared" si="1"/>
        <v>3.4201388887595385E-2</v>
      </c>
      <c r="N52" s="7">
        <f t="shared" si="2"/>
        <v>49.249999998137355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-02-23T08:08:28-0700',mode:absolute,to:'2017-02-23T11:16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187" t="str">
        <f t="shared" si="6"/>
        <v>N</v>
      </c>
      <c r="X52" s="187">
        <f t="shared" si="7"/>
        <v>1</v>
      </c>
      <c r="Y52" s="62">
        <f t="shared" si="8"/>
        <v>23.298100000000002</v>
      </c>
      <c r="Z52" s="62">
        <f t="shared" si="9"/>
        <v>0.11749999999999999</v>
      </c>
      <c r="AA52" s="62">
        <f t="shared" si="10"/>
        <v>23.180600000000002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0140-23</v>
      </c>
      <c r="AE52" s="85" t="str">
        <f t="shared" si="12"/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AF52" s="82" t="str">
        <f t="shared" si="13"/>
        <v>"C:\Program Files (x86)\AstroGrep\AstroGrep.exe" /spath="%USERPROFILE%\AppData\Local\Temp\OnboardLogs" /stypes="app*4004*20170223*" /stext=" 17:.+(\|loc)"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140-23 --locoid 4004 --swversion DE.1.0.9.0 --startMP 204:232981 --initTime 2017-02-23T09:08:28 --startdatetime 2017-02-23T09:26:52 --delay 1 --endMP 204:1175 --enddatetime 2017-02-23T10:16:07 --enforcementcount 0 &gt;&gt;C:\Users\stu\Documents\GitHub\eaglep3-reporting\EC\2017-02-23-refined-times.txt</v>
      </c>
      <c r="AI5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{"issue":{"subject":"","project_id":79,"tracker_id":40,"status_id":1,"priority_id":2,"assigned_to_id":23,"start_date":"2017-02-23","description":"","custom_fields":[{"id":1,"name":"Subdivision","value":"EC"},{"id":4,"name":"Milepost","value":"0.1175"},{"id":17,"name":"Train ID","value":"140-23"},{"id":16,"name":"Locomotive ID","value":"4004"},{"id":130,"name":"Impact","value":""},{"id":150,"name":"Time of Event (Mountain Time)","value":"10:16:07"},{"id":151,"name":"Denver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4004 --day 2017-02-23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"%USERPROFILE%\AppData\Local\Temp\OnboardLogs"\RTDC4004\*4004*20170223* | grep -SE "(Enforcement Action)|(\[TIMEOUT)|(CHR.+\|PRM\|1\|D.+(SWITCH|SIGNAL).+UNKNOWN)" - &gt;&gt; 2017-02-23-UncaughtWiMAX.txt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514</v>
      </c>
      <c r="B53" s="7">
        <v>4040</v>
      </c>
      <c r="C53" s="21" t="s">
        <v>294</v>
      </c>
      <c r="D53" s="21" t="s">
        <v>333</v>
      </c>
      <c r="E53" s="13">
        <v>42789.360601851855</v>
      </c>
      <c r="F53" s="13">
        <v>42789.364756944444</v>
      </c>
      <c r="G53" s="7">
        <v>1</v>
      </c>
      <c r="H53" s="21" t="s">
        <v>318</v>
      </c>
      <c r="I53" s="13">
        <v>42789.390497685185</v>
      </c>
      <c r="J53" s="7">
        <v>0</v>
      </c>
      <c r="K53" s="98" t="str">
        <f t="shared" si="0"/>
        <v>4039/4040</v>
      </c>
      <c r="L53" s="21" t="str">
        <f>VLOOKUP(A53,'Trips&amp;Operators'!$C$1:$G$99999,5,FALSE)</f>
        <v>BADERTSCHER DIANE</v>
      </c>
      <c r="M53" s="6">
        <f t="shared" si="1"/>
        <v>2.5740740740729962E-2</v>
      </c>
      <c r="N53" s="7">
        <f t="shared" si="2"/>
        <v>37.066666666651145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-02-23T07:39:16-0700',mode:absolute,to:'2017-02-23T10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87" t="str">
        <f t="shared" si="6"/>
        <v>N</v>
      </c>
      <c r="X53" s="187">
        <f t="shared" si="7"/>
        <v>1</v>
      </c>
      <c r="Y53" s="62">
        <f t="shared" si="8"/>
        <v>4.3299999999999998E-2</v>
      </c>
      <c r="Z53" s="62">
        <f t="shared" si="9"/>
        <v>23.331399999999999</v>
      </c>
      <c r="AA53" s="62">
        <f t="shared" si="10"/>
        <v>23.2881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0141-23</v>
      </c>
      <c r="AE53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53" s="82" t="str">
        <f t="shared" si="13"/>
        <v>"C:\Program Files (x86)\AstroGrep\AstroGrep.exe" /spath="%USERPROFILE%\AppData\Local\Temp\OnboardLogs" /stypes="app*4040*20170223*" /stext=" 16:.+(\|loc)"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141-23 --locoid 4040 --swversion DE.1.0.9.0 --startMP 204:433 --initTime 2017-02-23T08:39:16 --startdatetime 2017-02-23T08:45:15 --delay 1 --endMP 204:233314 --enddatetime 2017-02-23T09:22:19 --enforcementcount 0 &gt;&gt;C:\Users\stu\Documents\GitHub\eaglep3-reporting\EC\2017-02-23-refined-times.txt</v>
      </c>
      <c r="AI5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{"issue":{"subject":"","project_id":79,"tracker_id":40,"status_id":1,"priority_id":2,"assigned_to_id":23,"start_date":"2017-02-23","description":"","custom_fields":[{"id":1,"name":"Subdivision","value":"EC"},{"id":4,"name":"Milepost","value":"23.3314"},{"id":17,"name":"Train ID","value":"141-23"},{"id":16,"name":"Locomotive ID","value":"4040"},{"id":130,"name":"Impact","value":""},{"id":150,"name":"Time of Event (Mountain Time)","value":"09:22:19"},{"id":151,"name":"Denver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4040 --day 2017-02-23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428</v>
      </c>
      <c r="B54" s="7">
        <v>4039</v>
      </c>
      <c r="C54" s="21" t="s">
        <v>294</v>
      </c>
      <c r="D54" s="21" t="s">
        <v>665</v>
      </c>
      <c r="E54" s="13">
        <v>42789.394201388888</v>
      </c>
      <c r="F54" s="13">
        <v>42789.403703703705</v>
      </c>
      <c r="G54" s="7">
        <v>1</v>
      </c>
      <c r="H54" s="21" t="s">
        <v>284</v>
      </c>
      <c r="I54" s="13">
        <v>42789.436840277776</v>
      </c>
      <c r="J54" s="7">
        <v>0</v>
      </c>
      <c r="K54" s="98" t="str">
        <f t="shared" si="0"/>
        <v>4039/4040</v>
      </c>
      <c r="L54" s="21" t="str">
        <f>VLOOKUP(A54,'Trips&amp;Operators'!$C$1:$G$99999,5,FALSE)</f>
        <v>BADERTSCHER DIANE</v>
      </c>
      <c r="M54" s="6">
        <f t="shared" si="1"/>
        <v>3.3136574071249925E-2</v>
      </c>
      <c r="N54" s="7">
        <f t="shared" si="2"/>
        <v>47.716666662599891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-02-23T08:27:39-0700',mode:absolute,to:'2017-02-23T11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87" t="str">
        <f t="shared" si="6"/>
        <v>N</v>
      </c>
      <c r="X54" s="187">
        <f t="shared" si="7"/>
        <v>1</v>
      </c>
      <c r="Y54" s="62">
        <f t="shared" si="8"/>
        <v>23.296299999999999</v>
      </c>
      <c r="Z54" s="62">
        <f t="shared" si="9"/>
        <v>1.6299999999999999E-2</v>
      </c>
      <c r="AA54" s="62">
        <f t="shared" si="10"/>
        <v>23.279999999999998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0142-23</v>
      </c>
      <c r="AE54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54" s="82" t="str">
        <f t="shared" si="13"/>
        <v>"C:\Program Files (x86)\AstroGrep\AstroGrep.exe" /spath="%USERPROFILE%\AppData\Local\Temp\OnboardLogs" /stypes="app*4039*20170223*" /stext=" 17:.+(\|loc)"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142-23 --locoid 4039 --swversion DE.1.0.9.0 --startMP 204:232963 --initTime 2017-02-23T09:27:39 --startdatetime 2017-02-23T09:41:20 --delay 1 --endMP 204:163 --enddatetime 2017-02-23T10:29:03 --enforcementcount 0 &gt;&gt;C:\Users\stu\Documents\GitHub\eaglep3-reporting\EC\2017-02-23-refined-times.txt</v>
      </c>
      <c r="AI5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{"issue":{"subject":"","project_id":79,"tracker_id":40,"status_id":1,"priority_id":2,"assigned_to_id":23,"start_date":"2017-02-23","description":"","custom_fields":[{"id":1,"name":"Subdivision","value":"EC"},{"id":4,"name":"Milepost","value":"0.0163"},{"id":17,"name":"Train ID","value":"142-23"},{"id":16,"name":"Locomotive ID","value":"4039"},{"id":130,"name":"Impact","value":""},{"id":150,"name":"Time of Event (Mountain Time)","value":"10:29:03"},{"id":151,"name":"Denver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4039 --day 2017-02-23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516</v>
      </c>
      <c r="B55" s="7">
        <v>4046</v>
      </c>
      <c r="C55" s="21" t="s">
        <v>294</v>
      </c>
      <c r="D55" s="21" t="s">
        <v>296</v>
      </c>
      <c r="E55" s="13">
        <v>42789.372256944444</v>
      </c>
      <c r="F55" s="13">
        <v>42789.375474537039</v>
      </c>
      <c r="G55" s="7">
        <v>1</v>
      </c>
      <c r="H55" s="21" t="s">
        <v>670</v>
      </c>
      <c r="I55" s="13">
        <v>42789.408333333333</v>
      </c>
      <c r="J55" s="7">
        <v>0</v>
      </c>
      <c r="K55" s="98" t="str">
        <f t="shared" si="0"/>
        <v>4045/4046</v>
      </c>
      <c r="L55" s="21" t="str">
        <f>VLOOKUP(A55,'Trips&amp;Operators'!$C$1:$G$99999,5,FALSE)</f>
        <v>STARKS ANGELINA</v>
      </c>
      <c r="M55" s="6">
        <f t="shared" si="1"/>
        <v>3.2858796294021886E-2</v>
      </c>
      <c r="N55" s="7">
        <f t="shared" si="2"/>
        <v>47.316666663391516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-02-23T07:56:03-0700',mode:absolute,to:'2017-02-23T10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87" t="str">
        <f t="shared" si="6"/>
        <v>N</v>
      </c>
      <c r="X55" s="187">
        <f t="shared" si="7"/>
        <v>1</v>
      </c>
      <c r="Y55" s="62">
        <f t="shared" si="8"/>
        <v>4.58E-2</v>
      </c>
      <c r="Z55" s="62">
        <f t="shared" si="9"/>
        <v>23.331199999999999</v>
      </c>
      <c r="AA55" s="62">
        <f t="shared" si="10"/>
        <v>23.285399999999999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0143-23</v>
      </c>
      <c r="AE55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55" s="82" t="str">
        <f t="shared" si="13"/>
        <v>"C:\Program Files (x86)\AstroGrep\AstroGrep.exe" /spath="%USERPROFILE%\AppData\Local\Temp\OnboardLogs" /stypes="app*4046*20170223*" /stext=" 16:.+(\|loc)"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143-23 --locoid 4046 --swversion DE.1.0.9.0 --startMP 204:458 --initTime 2017-02-23T08:56:03 --startdatetime 2017-02-23T09:00:41 --delay 1 --endMP 204:233312 --enddatetime 2017-02-23T09:48:00 --enforcementcount 0 &gt;&gt;C:\Users\stu\Documents\GitHub\eaglep3-reporting\EC\2017-02-23-refined-times.txt</v>
      </c>
      <c r="AI5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ID","value":"143-23"},{"id":16,"name":"Locomotive ID","value":"4046"},{"id":130,"name":"Impact","value":""},{"id":150,"name":"Time of Event (Mountain Time)","value":"09:48:00"},{"id":151,"name":"Denver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4046 --day 2017-02-23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429</v>
      </c>
      <c r="B56" s="7">
        <v>4045</v>
      </c>
      <c r="C56" s="21" t="s">
        <v>294</v>
      </c>
      <c r="D56" s="21" t="s">
        <v>249</v>
      </c>
      <c r="E56" s="13">
        <v>42789.411446759259</v>
      </c>
      <c r="F56" s="13">
        <v>42789.4140625</v>
      </c>
      <c r="G56" s="7">
        <v>1</v>
      </c>
      <c r="H56" s="21" t="s">
        <v>223</v>
      </c>
      <c r="I56" s="13">
        <v>42789.444699074076</v>
      </c>
      <c r="J56" s="7">
        <v>0</v>
      </c>
      <c r="K56" s="98" t="str">
        <f t="shared" si="0"/>
        <v>4045/4046</v>
      </c>
      <c r="L56" s="21" t="str">
        <f>VLOOKUP(A56,'Trips&amp;Operators'!$C$1:$G$99999,5,FALSE)</f>
        <v>STARKS ANGELINA</v>
      </c>
      <c r="M56" s="6">
        <f t="shared" si="1"/>
        <v>3.0636574076197576E-2</v>
      </c>
      <c r="N56" s="7">
        <f t="shared" si="2"/>
        <v>44.116666669724509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-02-23T08:52:29-0700',mode:absolute,to:'2017-02-23T11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87" t="str">
        <f t="shared" si="6"/>
        <v>N</v>
      </c>
      <c r="X56" s="187">
        <f t="shared" si="7"/>
        <v>1</v>
      </c>
      <c r="Y56" s="62">
        <f t="shared" si="8"/>
        <v>23.299299999999999</v>
      </c>
      <c r="Z56" s="62">
        <f t="shared" si="9"/>
        <v>1.43E-2</v>
      </c>
      <c r="AA56" s="62">
        <f t="shared" si="10"/>
        <v>23.285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0144-23</v>
      </c>
      <c r="AE56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56" s="82" t="str">
        <f t="shared" si="13"/>
        <v>"C:\Program Files (x86)\AstroGrep\AstroGrep.exe" /spath="%USERPROFILE%\AppData\Local\Temp\OnboardLogs" /stypes="app*4045*20170223*" /stext=" 17:.+(\|loc)"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144-23 --locoid 4045 --swversion DE.1.0.9.0 --startMP 204:232993 --initTime 2017-02-23T09:52:29 --startdatetime 2017-02-23T09:56:15 --delay 1 --endMP 204:143 --enddatetime 2017-02-23T10:40:22 --enforcementcount 0 &gt;&gt;C:\Users\stu\Documents\GitHub\eaglep3-reporting\EC\2017-02-23-refined-times.txt</v>
      </c>
      <c r="AI5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ID","value":"144-23"},{"id":16,"name":"Locomotive ID","value":"4045"},{"id":130,"name":"Impact","value":""},{"id":150,"name":"Time of Event (Mountain Time)","value":"10:40:22"},{"id":151,"name":"Denver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4045 --day 2017-02-23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422</v>
      </c>
      <c r="B57" s="7">
        <v>4029</v>
      </c>
      <c r="C57" s="21" t="s">
        <v>294</v>
      </c>
      <c r="D57" s="21" t="s">
        <v>204</v>
      </c>
      <c r="E57" s="13">
        <v>42789.382685185185</v>
      </c>
      <c r="F57" s="13">
        <v>42789.38685185185</v>
      </c>
      <c r="G57" s="7">
        <v>1</v>
      </c>
      <c r="H57" s="21" t="s">
        <v>288</v>
      </c>
      <c r="I57" s="13">
        <v>42789.419444444444</v>
      </c>
      <c r="J57" s="7">
        <v>0</v>
      </c>
      <c r="K57" s="98" t="str">
        <f t="shared" si="0"/>
        <v>4029/4030</v>
      </c>
      <c r="L57" s="21" t="str">
        <f>VLOOKUP(A57,'Trips&amp;Operators'!$C$1:$G$99999,5,FALSE)</f>
        <v>BONDS REYNALDO</v>
      </c>
      <c r="M57" s="6">
        <f t="shared" si="1"/>
        <v>3.2592592593573499E-2</v>
      </c>
      <c r="N57" s="7">
        <f t="shared" si="2"/>
        <v>46.933333334745839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-02-23T08:11:04-0700',mode:absolute,to:'2017-02-23T11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7" s="187" t="str">
        <f t="shared" si="6"/>
        <v>N</v>
      </c>
      <c r="X57" s="187">
        <f t="shared" si="7"/>
        <v>1</v>
      </c>
      <c r="Y57" s="62">
        <f t="shared" si="8"/>
        <v>4.6199999999999998E-2</v>
      </c>
      <c r="Z57" s="62">
        <f t="shared" si="9"/>
        <v>23.330300000000001</v>
      </c>
      <c r="AA57" s="62">
        <f t="shared" si="10"/>
        <v>23.284100000000002</v>
      </c>
      <c r="AB57" s="59" t="str">
        <f>VLOOKUP(A57,Enforcements!$C$7:$K$13,8,0)</f>
        <v>Bulletin (2)</v>
      </c>
      <c r="AC57" s="55" t="str">
        <f>VLOOKUP(A57,Enforcements!$C$7:$E$13,3,0)</f>
        <v>GRADE CROSSING</v>
      </c>
      <c r="AD57" s="56" t="str">
        <f t="shared" si="11"/>
        <v>0145-23</v>
      </c>
      <c r="AE57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57" s="82" t="str">
        <f t="shared" si="13"/>
        <v>"C:\Program Files (x86)\AstroGrep\AstroGrep.exe" /spath="%USERPROFILE%\AppData\Local\Temp\OnboardLogs" /stypes="app*4029*20170223*" /stext=" 17:.+(\|loc)"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145-23 --locoid 4029 --swversion DE.1.0.9.0 --startMP 204:462 --initTime 2017-02-23T09:11:04 --startdatetime 2017-02-23T09:17:04 --delay 1 --endMP 204:233303 --enddatetime 2017-02-23T10:04:00 --enforcementcount 0 &gt;&gt;C:\Users\stu\Documents\GitHub\eaglep3-reporting\EC\2017-02-23-refined-times.txt</v>
      </c>
      <c r="AI5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{"issue":{"subject":"","project_id":79,"tracker_id":40,"status_id":1,"priority_id":2,"assigned_to_id":23,"start_date":"2017-02-23","description":"","custom_fields":[{"id":1,"name":"Subdivision","value":"EC"},{"id":4,"name":"Milepost","value":"23.3303"},{"id":17,"name":"Train ID","value":"145-23"},{"id":16,"name":"Locomotive ID","value":"4029"},{"id":130,"name":"Impact","value":""},{"id":150,"name":"Time of Event (Mountain Time)","value":"10:04:00"},{"id":151,"name":"Denver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4029 --day 2017-02-23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430</v>
      </c>
      <c r="B58" s="7">
        <v>4030</v>
      </c>
      <c r="C58" s="21" t="s">
        <v>294</v>
      </c>
      <c r="D58" s="21" t="s">
        <v>301</v>
      </c>
      <c r="E58" s="13">
        <v>42789.421215277776</v>
      </c>
      <c r="F58" s="13">
        <v>42789.424490740741</v>
      </c>
      <c r="G58" s="7">
        <v>0</v>
      </c>
      <c r="H58" s="21" t="s">
        <v>196</v>
      </c>
      <c r="I58" s="13">
        <v>42789.455451388887</v>
      </c>
      <c r="J58" s="7">
        <v>0</v>
      </c>
      <c r="K58" s="98" t="str">
        <f t="shared" si="0"/>
        <v>4029/4030</v>
      </c>
      <c r="L58" s="21" t="str">
        <f>VLOOKUP(A58,'Trips&amp;Operators'!$C$1:$G$99999,5,FALSE)</f>
        <v>BONDS REYNALDO</v>
      </c>
      <c r="M58" s="6">
        <f t="shared" si="1"/>
        <v>3.0960648145992309E-2</v>
      </c>
      <c r="N58" s="7">
        <f t="shared" si="2"/>
        <v>44.583333330228925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-02-23T09:06:33-0700',mode:absolute,to:'2017-02-23T11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87" t="str">
        <f t="shared" si="6"/>
        <v>N</v>
      </c>
      <c r="X58" s="187">
        <f t="shared" si="7"/>
        <v>1</v>
      </c>
      <c r="Y58" s="62">
        <f t="shared" si="8"/>
        <v>23.298400000000001</v>
      </c>
      <c r="Z58" s="62">
        <f t="shared" si="9"/>
        <v>1.4500000000000001E-2</v>
      </c>
      <c r="AA58" s="62">
        <f t="shared" si="10"/>
        <v>23.283899999999999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0146-23</v>
      </c>
      <c r="AE58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58" s="82" t="str">
        <f t="shared" si="13"/>
        <v>"C:\Program Files (x86)\AstroGrep\AstroGrep.exe" /spath="%USERPROFILE%\AppData\Local\Temp\OnboardLogs" /stypes="app*4030*20170223*" /stext=" 17:.+(\|loc)"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146-23 --locoid 4030 --swversion DE.1.0.9.0 --startMP 204:232984 --initTime 2017-02-23T10:06:33 --startdatetime 2017-02-23T10:11:16 --delay 0 --endMP 204:145 --enddatetime 2017-02-23T10:55:51 --enforcementcount 0 &gt;&gt;C:\Users\stu\Documents\GitHub\eaglep3-reporting\EC\2017-02-23-refined-times.txt</v>
      </c>
      <c r="AI5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{"issue":{"subject":"","project_id":79,"tracker_id":40,"status_id":1,"priority_id":2,"assigned_to_id":23,"start_date":"2017-02-23","description":"","custom_fields":[{"id":1,"name":"Subdivision","value":"EC"},{"id":4,"name":"Milepost","value":"0.0145"},{"id":17,"name":"Train ID","value":"146-23"},{"id":16,"name":"Locomotive ID","value":"4030"},{"id":130,"name":"Impact","value":""},{"id":150,"name":"Time of Event (Mountain Time)","value":"10:55:51"},{"id":151,"name":"Denver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4030 --day 2017-02-23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520</v>
      </c>
      <c r="B59" s="7">
        <v>4014</v>
      </c>
      <c r="C59" s="21" t="s">
        <v>294</v>
      </c>
      <c r="D59" s="21" t="s">
        <v>247</v>
      </c>
      <c r="E59" s="13">
        <v>42789.392754629633</v>
      </c>
      <c r="F59" s="13">
        <v>42789.396041666667</v>
      </c>
      <c r="G59" s="7">
        <v>1</v>
      </c>
      <c r="H59" s="21" t="s">
        <v>319</v>
      </c>
      <c r="I59" s="13">
        <v>42789.428194444445</v>
      </c>
      <c r="J59" s="7">
        <v>0</v>
      </c>
      <c r="K59" s="98" t="str">
        <f t="shared" si="0"/>
        <v>4013/4014</v>
      </c>
      <c r="L59" s="21" t="str">
        <f>VLOOKUP(A59,'Trips&amp;Operators'!$C$1:$G$99999,5,FALSE)</f>
        <v>ROBINSON KADDIBA</v>
      </c>
      <c r="M59" s="6">
        <f t="shared" si="1"/>
        <v>3.2152777777810115E-2</v>
      </c>
      <c r="N59" s="7">
        <f t="shared" si="2"/>
        <v>46.300000000046566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-02-23T08:25:34-0700',mode:absolute,to:'2017-02-23T11:16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9" s="187" t="str">
        <f t="shared" si="6"/>
        <v>N</v>
      </c>
      <c r="X59" s="187">
        <f t="shared" si="7"/>
        <v>1</v>
      </c>
      <c r="Y59" s="62">
        <f t="shared" si="8"/>
        <v>4.5499999999999999E-2</v>
      </c>
      <c r="Z59" s="62">
        <f t="shared" si="9"/>
        <v>23.329699999999999</v>
      </c>
      <c r="AA59" s="62">
        <f t="shared" si="10"/>
        <v>23.284199999999998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0147-23</v>
      </c>
      <c r="AE59" s="85" t="str">
        <f t="shared" si="12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59" s="82" t="str">
        <f t="shared" si="13"/>
        <v>"C:\Program Files (x86)\AstroGrep\AstroGrep.exe" /spath="%USERPROFILE%\AppData\Local\Temp\OnboardLogs" /stypes="app*4014*20170223*" /stext=" 17:.+(\|loc)"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147-23 --locoid 4014 --swversion DE.1.0.9.0 --startMP 204:455 --initTime 2017-02-23T09:25:34 --startdatetime 2017-02-23T09:30:18 --delay 1 --endMP 204:233297 --enddatetime 2017-02-23T10:16:36 --enforcementcount 0 &gt;&gt;C:\Users\stu\Documents\GitHub\eaglep3-reporting\EC\2017-02-23-refined-times.txt</v>
      </c>
      <c r="AI5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{"issue":{"subject":"","project_id":79,"tracker_id":40,"status_id":1,"priority_id":2,"assigned_to_id":23,"start_date":"2017-02-23","description":"","custom_fields":[{"id":1,"name":"Subdivision","value":"EC"},{"id":4,"name":"Milepost","value":"23.3297"},{"id":17,"name":"Train ID","value":"147-23"},{"id":16,"name":"Locomotive ID","value":"4014"},{"id":130,"name":"Impact","value":""},{"id":150,"name":"Time of Event (Mountain Time)","value":"10:16:36"},{"id":151,"name":"Denver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4014 --day 2017-02-23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432</v>
      </c>
      <c r="B60" s="7">
        <v>4013</v>
      </c>
      <c r="C60" s="21" t="s">
        <v>294</v>
      </c>
      <c r="D60" s="21" t="s">
        <v>372</v>
      </c>
      <c r="E60" s="13">
        <v>42789.429791666669</v>
      </c>
      <c r="F60" s="13">
        <v>42789.434861111113</v>
      </c>
      <c r="G60" s="7">
        <v>1</v>
      </c>
      <c r="H60" s="21" t="s">
        <v>203</v>
      </c>
      <c r="I60" s="13">
        <v>42789.465312499997</v>
      </c>
      <c r="J60" s="7">
        <v>0</v>
      </c>
      <c r="K60" s="98" t="str">
        <f t="shared" si="0"/>
        <v>4013/4014</v>
      </c>
      <c r="L60" s="21" t="str">
        <f>VLOOKUP(A60,'Trips&amp;Operators'!$C$1:$G$99999,5,FALSE)</f>
        <v>ROBINSON KADDIBA</v>
      </c>
      <c r="M60" s="6">
        <f t="shared" si="1"/>
        <v>3.0451388884102926E-2</v>
      </c>
      <c r="N60" s="7">
        <f t="shared" si="2"/>
        <v>43.849999993108213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-02-23T09:18:54-0700',mode:absolute,to:'2017-02-23T12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187" t="str">
        <f t="shared" si="6"/>
        <v>N</v>
      </c>
      <c r="X60" s="187">
        <f t="shared" si="7"/>
        <v>1</v>
      </c>
      <c r="Y60" s="62">
        <f t="shared" si="8"/>
        <v>23.3004</v>
      </c>
      <c r="Z60" s="62">
        <f t="shared" si="9"/>
        <v>1.6E-2</v>
      </c>
      <c r="AA60" s="62">
        <f t="shared" si="10"/>
        <v>23.284400000000002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0148-23</v>
      </c>
      <c r="AE60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60" s="82" t="str">
        <f t="shared" si="13"/>
        <v>"C:\Program Files (x86)\AstroGrep\AstroGrep.exe" /spath="%USERPROFILE%\AppData\Local\Temp\OnboardLogs" /stypes="app*4013*20170223*" /stext=" 18:.+(\|loc)"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148-23 --locoid 4013 --swversion DE.1.0.9.0 --startMP 204:233004 --initTime 2017-02-23T10:18:54 --startdatetime 2017-02-23T10:26:12 --delay 1 --endMP 204:160 --enddatetime 2017-02-23T11:10:03 --enforcementcount 0 &gt;&gt;C:\Users\stu\Documents\GitHub\eaglep3-reporting\EC\2017-02-23-refined-times.txt</v>
      </c>
      <c r="AI6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ID","value":"148-23"},{"id":16,"name":"Locomotive ID","value":"4013"},{"id":130,"name":"Impact","value":""},{"id":150,"name":"Time of Event (Mountain Time)","value":"11:10:03"},{"id":151,"name":"Denver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4013 --day 2017-02-23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522</v>
      </c>
      <c r="B61" s="7">
        <v>4011</v>
      </c>
      <c r="C61" s="21" t="s">
        <v>294</v>
      </c>
      <c r="D61" s="21" t="s">
        <v>225</v>
      </c>
      <c r="E61" s="13">
        <v>42789.4059375</v>
      </c>
      <c r="F61" s="13">
        <v>42789.407685185186</v>
      </c>
      <c r="G61" s="7">
        <v>1</v>
      </c>
      <c r="H61" s="21" t="s">
        <v>331</v>
      </c>
      <c r="I61" s="13">
        <v>42789.434328703705</v>
      </c>
      <c r="J61" s="7">
        <v>0</v>
      </c>
      <c r="K61" s="98" t="str">
        <f t="shared" si="0"/>
        <v>4011/4012</v>
      </c>
      <c r="L61" s="21" t="str">
        <f>VLOOKUP(A61,'Trips&amp;Operators'!$C$1:$G$99999,5,FALSE)</f>
        <v>GEBRETEKLE DAGNEW</v>
      </c>
      <c r="M61" s="6">
        <f t="shared" si="1"/>
        <v>2.6643518518540077E-2</v>
      </c>
      <c r="N61" s="7">
        <f t="shared" si="2"/>
        <v>38.366666666697711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-02-23T08:44:33-0700',mode:absolute,to:'2017-02-23T11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187" t="str">
        <f t="shared" si="6"/>
        <v>N</v>
      </c>
      <c r="X61" s="187">
        <f t="shared" si="7"/>
        <v>1</v>
      </c>
      <c r="Y61" s="62">
        <f t="shared" si="8"/>
        <v>4.5100000000000001E-2</v>
      </c>
      <c r="Z61" s="62">
        <f t="shared" si="9"/>
        <v>23.329499999999999</v>
      </c>
      <c r="AA61" s="62">
        <f t="shared" si="10"/>
        <v>23.284399999999998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0149-23</v>
      </c>
      <c r="AE61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61" s="82" t="str">
        <f t="shared" si="13"/>
        <v>"C:\Program Files (x86)\AstroGrep\AstroGrep.exe" /spath="%USERPROFILE%\AppData\Local\Temp\OnboardLogs" /stypes="app*4011*20170223*" /stext=" 17:.+(\|loc)"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149-23 --locoid 4011 --swversion DE.1.0.9.0 --startMP 204:451 --initTime 2017-02-23T09:44:33 --startdatetime 2017-02-23T09:47:04 --delay 1 --endMP 204:233295 --enddatetime 2017-02-23T10:25:26 --enforcementcount 0 &gt;&gt;C:\Users\stu\Documents\GitHub\eaglep3-reporting\EC\2017-02-23-refined-times.txt</v>
      </c>
      <c r="AI6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ID","value":"149-23"},{"id":16,"name":"Locomotive ID","value":"4011"},{"id":130,"name":"Impact","value":""},{"id":150,"name":"Time of Event (Mountain Time)","value":"10:25:26"},{"id":151,"name":"Denver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4011 --day 2017-02-23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434</v>
      </c>
      <c r="B62" s="7">
        <v>4012</v>
      </c>
      <c r="C62" s="21" t="s">
        <v>294</v>
      </c>
      <c r="D62" s="21" t="s">
        <v>281</v>
      </c>
      <c r="E62" s="13">
        <v>42789.438796296294</v>
      </c>
      <c r="F62" s="13">
        <v>42789.445347222223</v>
      </c>
      <c r="G62" s="7">
        <v>1</v>
      </c>
      <c r="H62" s="21" t="s">
        <v>686</v>
      </c>
      <c r="I62" s="13">
        <v>42789.476620370369</v>
      </c>
      <c r="J62" s="7">
        <v>0</v>
      </c>
      <c r="K62" s="98" t="str">
        <f t="shared" si="0"/>
        <v>4011/4012</v>
      </c>
      <c r="L62" s="21" t="str">
        <f>VLOOKUP(A62,'Trips&amp;Operators'!$C$1:$G$99999,5,FALSE)</f>
        <v>GEBRETEKLE DAGNEW</v>
      </c>
      <c r="M62" s="6">
        <f t="shared" si="1"/>
        <v>3.1273148146283347E-2</v>
      </c>
      <c r="N62" s="7">
        <f t="shared" si="2"/>
        <v>45.03333333064802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-02-23T09:31:52-0700',mode:absolute,to:'2017-02-23T12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2" s="187" t="str">
        <f t="shared" si="6"/>
        <v>N</v>
      </c>
      <c r="X62" s="187">
        <f t="shared" si="7"/>
        <v>1</v>
      </c>
      <c r="Y62" s="62">
        <f t="shared" si="8"/>
        <v>23.2973</v>
      </c>
      <c r="Z62" s="62">
        <f t="shared" si="9"/>
        <v>2.4299999999999999E-2</v>
      </c>
      <c r="AA62" s="62">
        <f t="shared" si="10"/>
        <v>23.273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0150-23</v>
      </c>
      <c r="AE62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62" s="82" t="str">
        <f t="shared" si="13"/>
        <v>"C:\Program Files (x86)\AstroGrep\AstroGrep.exe" /spath="%USERPROFILE%\AppData\Local\Temp\OnboardLogs" /stypes="app*4012*20170223*" /stext=" 18:.+(\|loc)"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150-23 --locoid 4012 --swversion DE.1.0.9.0 --startMP 204:232973 --initTime 2017-02-23T10:31:52 --startdatetime 2017-02-23T10:41:18 --delay 1 --endMP 204:243 --enddatetime 2017-02-23T11:26:20 --enforcementcount 0 &gt;&gt;C:\Users\stu\Documents\GitHub\eaglep3-reporting\EC\2017-02-23-refined-times.txt</v>
      </c>
      <c r="AI6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{"issue":{"subject":"","project_id":79,"tracker_id":40,"status_id":1,"priority_id":2,"assigned_to_id":23,"start_date":"2017-02-23","description":"","custom_fields":[{"id":1,"name":"Subdivision","value":"EC"},{"id":4,"name":"Milepost","value":"0.0243"},{"id":17,"name":"Train ID","value":"150-23"},{"id":16,"name":"Locomotive ID","value":"4012"},{"id":130,"name":"Impact","value":""},{"id":150,"name":"Time of Event (Mountain Time)","value":"11:26:20"},{"id":151,"name":"Denver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4012 --day 2017-02-23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426</v>
      </c>
      <c r="B63" s="7">
        <v>4009</v>
      </c>
      <c r="C63" s="21" t="s">
        <v>294</v>
      </c>
      <c r="D63" s="21" t="s">
        <v>681</v>
      </c>
      <c r="E63" s="13">
        <v>42789.414201388892</v>
      </c>
      <c r="F63" s="13">
        <v>42789.416898148149</v>
      </c>
      <c r="G63" s="7">
        <v>1</v>
      </c>
      <c r="H63" s="21" t="s">
        <v>380</v>
      </c>
      <c r="I63" s="13">
        <v>42789.442187499997</v>
      </c>
      <c r="J63" s="7">
        <v>0</v>
      </c>
      <c r="K63" s="98" t="str">
        <f t="shared" si="0"/>
        <v>4009/4010</v>
      </c>
      <c r="L63" s="21" t="str">
        <f>VLOOKUP(A63,'Trips&amp;Operators'!$C$1:$G$99999,5,FALSE)</f>
        <v>ROCHA YAOTL</v>
      </c>
      <c r="M63" s="6">
        <f t="shared" si="1"/>
        <v>2.5289351848186925E-2</v>
      </c>
      <c r="N63" s="7">
        <f t="shared" si="2"/>
        <v>36.416666661389172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-02-23T08:56:27-0700',mode:absolute,to:'2017-02-23T11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187" t="str">
        <f t="shared" si="6"/>
        <v>N</v>
      </c>
      <c r="X63" s="187">
        <f t="shared" si="7"/>
        <v>1</v>
      </c>
      <c r="Y63" s="62">
        <f t="shared" si="8"/>
        <v>4.3799999999999999E-2</v>
      </c>
      <c r="Z63" s="62">
        <f t="shared" si="9"/>
        <v>23.3325</v>
      </c>
      <c r="AA63" s="62">
        <f t="shared" si="10"/>
        <v>23.288699999999999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1"/>
        <v>0151-23</v>
      </c>
      <c r="AE63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63" s="82" t="str">
        <f t="shared" si="13"/>
        <v>"C:\Program Files (x86)\AstroGrep\AstroGrep.exe" /spath="%USERPROFILE%\AppData\Local\Temp\OnboardLogs" /stypes="app*4009*20170223*" /stext=" 17:.+(\|loc)"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151-23 --locoid 4009 --swversion DE.1.0.9.0 --startMP 204:438 --initTime 2017-02-23T09:56:27 --startdatetime 2017-02-23T10:00:20 --delay 1 --endMP 204:233325 --enddatetime 2017-02-23T10:36:45 --enforcementcount 0 &gt;&gt;C:\Users\stu\Documents\GitHub\eaglep3-reporting\EC\2017-02-23-refined-times.txt</v>
      </c>
      <c r="AI6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{"issue":{"subject":"","project_id":79,"tracker_id":40,"status_id":1,"priority_id":2,"assigned_to_id":23,"start_date":"2017-02-23","description":"","custom_fields":[{"id":1,"name":"Subdivision","value":"EC"},{"id":4,"name":"Milepost","value":"23.3325"},{"id":17,"name":"Train ID","value":"151-23"},{"id":16,"name":"Locomotive ID","value":"4009"},{"id":130,"name":"Impact","value":""},{"id":150,"name":"Time of Event (Mountain Time)","value":"10:36:45"},{"id":151,"name":"Denver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4009 --day 2017-02-23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433</v>
      </c>
      <c r="B64" s="7">
        <v>4010</v>
      </c>
      <c r="C64" s="21" t="s">
        <v>294</v>
      </c>
      <c r="D64" s="21" t="s">
        <v>687</v>
      </c>
      <c r="E64" s="13">
        <v>42789.454189814816</v>
      </c>
      <c r="F64" s="13">
        <v>42789.455810185187</v>
      </c>
      <c r="G64" s="7">
        <v>2</v>
      </c>
      <c r="H64" s="21" t="s">
        <v>203</v>
      </c>
      <c r="I64" s="13">
        <v>42789.483240740738</v>
      </c>
      <c r="J64" s="7">
        <v>0</v>
      </c>
      <c r="K64" s="98" t="str">
        <f t="shared" si="0"/>
        <v>4009/4010</v>
      </c>
      <c r="L64" s="21" t="str">
        <f>VLOOKUP(A64,'Trips&amp;Operators'!$C$1:$G$99999,5,FALSE)</f>
        <v>ROCHA YAOTL</v>
      </c>
      <c r="M64" s="6">
        <f t="shared" si="1"/>
        <v>2.7430555550381541E-2</v>
      </c>
      <c r="N64" s="7">
        <f t="shared" si="2"/>
        <v>39.499999992549419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-02-23T09:54:02-0700',mode:absolute,to:'2017-02-23T12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87" t="str">
        <f t="shared" si="6"/>
        <v>N</v>
      </c>
      <c r="X64" s="187">
        <f t="shared" si="7"/>
        <v>1</v>
      </c>
      <c r="Y64" s="62">
        <f t="shared" si="8"/>
        <v>23.285499999999999</v>
      </c>
      <c r="Z64" s="62">
        <f t="shared" si="9"/>
        <v>1.6E-2</v>
      </c>
      <c r="AA64" s="62">
        <f t="shared" si="10"/>
        <v>23.269500000000001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0152-23</v>
      </c>
      <c r="AE64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64" s="82" t="str">
        <f t="shared" si="13"/>
        <v>"C:\Program Files (x86)\AstroGrep\AstroGrep.exe" /spath="%USERPROFILE%\AppData\Local\Temp\OnboardLogs" /stypes="app*4010*20170223*" /stext=" 18:.+(\|loc)"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152-23 --locoid 4010 --swversion DE.1.0.9.0 --startMP 204:232855 --initTime 2017-02-23T10:54:02 --startdatetime 2017-02-23T10:56:22 --delay 2 --endMP 204:160 --enddatetime 2017-02-23T11:35:52 --enforcementcount 0 &gt;&gt;C:\Users\stu\Documents\GitHub\eaglep3-reporting\EC\2017-02-23-refined-times.txt</v>
      </c>
      <c r="AI6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ID","value":"152-23"},{"id":16,"name":"Locomotive ID","value":"4010"},{"id":130,"name":"Impact","value":""},{"id":150,"name":"Time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4010 --day 2017-02-23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524</v>
      </c>
      <c r="B65" s="7">
        <v>4027</v>
      </c>
      <c r="C65" s="21" t="s">
        <v>294</v>
      </c>
      <c r="D65" s="21" t="s">
        <v>260</v>
      </c>
      <c r="E65" s="13">
        <v>42789.425520833334</v>
      </c>
      <c r="F65" s="13">
        <v>42789.427800925929</v>
      </c>
      <c r="G65" s="7">
        <v>1</v>
      </c>
      <c r="H65" s="21" t="s">
        <v>670</v>
      </c>
      <c r="I65" s="13">
        <v>42789.456458333334</v>
      </c>
      <c r="J65" s="7">
        <v>0</v>
      </c>
      <c r="K65" s="98" t="str">
        <f t="shared" si="0"/>
        <v>4027/4028</v>
      </c>
      <c r="L65" s="21" t="str">
        <f>VLOOKUP(A65,'Trips&amp;Operators'!$C$1:$G$99999,5,FALSE)</f>
        <v>SPECTOR MICHAEL</v>
      </c>
      <c r="M65" s="6">
        <f t="shared" si="1"/>
        <v>2.8657407405262347E-2</v>
      </c>
      <c r="N65" s="7">
        <f t="shared" si="2"/>
        <v>41.26666666357778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-02-23T09:12:45-0700',mode:absolute,to:'2017-02-23T11:57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5" s="187" t="str">
        <f t="shared" si="6"/>
        <v>N</v>
      </c>
      <c r="X65" s="187">
        <f t="shared" si="7"/>
        <v>1</v>
      </c>
      <c r="Y65" s="62">
        <f t="shared" si="8"/>
        <v>4.3999999999999997E-2</v>
      </c>
      <c r="Z65" s="62">
        <f t="shared" si="9"/>
        <v>23.331199999999999</v>
      </c>
      <c r="AA65" s="62">
        <f t="shared" si="10"/>
        <v>23.287199999999999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0153-23</v>
      </c>
      <c r="AE65" s="85" t="str">
        <f t="shared" si="12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65" s="82" t="str">
        <f t="shared" si="13"/>
        <v>"C:\Program Files (x86)\AstroGrep\AstroGrep.exe" /spath="%USERPROFILE%\AppData\Local\Temp\OnboardLogs" /stypes="app*4027*20170223*" /stext=" 17:.+(\|loc)"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153-23 --locoid 4027 --swversion DE.1.0.9.0 --startMP 204:440 --initTime 2017-02-23T10:12:45 --startdatetime 2017-02-23T10:16:02 --delay 1 --endMP 204:233312 --enddatetime 2017-02-23T10:57:18 --enforcementcount 0 &gt;&gt;C:\Users\stu\Documents\GitHub\eaglep3-reporting\EC\2017-02-23-refined-times.txt</v>
      </c>
      <c r="AI6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ID","value":"153-23"},{"id":16,"name":"Locomotive ID","value":"4027"},{"id":130,"name":"Impact","value":""},{"id":150,"name":"Time of Event (Mountain Time)","value":"10:57:18"},{"id":151,"name":"Denver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4027 --day 2017-02-23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435</v>
      </c>
      <c r="B66" s="7">
        <v>4028</v>
      </c>
      <c r="C66" s="21" t="s">
        <v>294</v>
      </c>
      <c r="D66" s="21" t="s">
        <v>383</v>
      </c>
      <c r="E66" s="13">
        <v>42789.459502314814</v>
      </c>
      <c r="F66" s="13">
        <v>42789.466215277775</v>
      </c>
      <c r="G66" s="7">
        <v>1</v>
      </c>
      <c r="H66" s="21" t="s">
        <v>184</v>
      </c>
      <c r="I66" s="13">
        <v>42789.496562499997</v>
      </c>
      <c r="J66" s="7">
        <v>0</v>
      </c>
      <c r="K66" s="98" t="str">
        <f t="shared" si="0"/>
        <v>4027/4028</v>
      </c>
      <c r="L66" s="21" t="str">
        <f>VLOOKUP(A66,'Trips&amp;Operators'!$C$1:$G$99999,5,FALSE)</f>
        <v>SPECTOR MICHAEL</v>
      </c>
      <c r="M66" s="6">
        <f t="shared" si="1"/>
        <v>3.0347222222189885E-2</v>
      </c>
      <c r="N66" s="7">
        <f t="shared" si="2"/>
        <v>43.699999999953434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-02-23T10:01:41-0700',mode:absolute,to:'2017-02-23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87" t="str">
        <f t="shared" si="6"/>
        <v>N</v>
      </c>
      <c r="X66" s="187">
        <f t="shared" si="7"/>
        <v>1</v>
      </c>
      <c r="Y66" s="62">
        <f t="shared" si="8"/>
        <v>23.3003</v>
      </c>
      <c r="Z66" s="62">
        <f t="shared" si="9"/>
        <v>1.49E-2</v>
      </c>
      <c r="AA66" s="62">
        <f t="shared" si="10"/>
        <v>23.285399999999999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0154-23</v>
      </c>
      <c r="AE66" s="85" t="str">
        <f t="shared" si="12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66" s="82" t="str">
        <f t="shared" si="13"/>
        <v>"C:\Program Files (x86)\AstroGrep\AstroGrep.exe" /spath="%USERPROFILE%\AppData\Local\Temp\OnboardLogs" /stypes="app*4028*20170223*" /stext=" 18:.+(\|loc)"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154-23 --locoid 4028 --swversion DE.1.0.9.0 --startMP 204:233003 --initTime 2017-02-23T11:01:41 --startdatetime 2017-02-23T11:11:21 --delay 1 --endMP 204:149 --enddatetime 2017-02-23T11:55:03 --enforcementcount 0 &gt;&gt;C:\Users\stu\Documents\GitHub\eaglep3-reporting\EC\2017-02-23-refined-times.txt</v>
      </c>
      <c r="AI6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ID","value":"154-23"},{"id":16,"name":"Locomotive ID","value":"4028"},{"id":130,"name":"Impact","value":""},{"id":150,"name":"Time of Event (Mountain Time)","value":"11:55:03"},{"id":151,"name":"Denver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4028 --day 2017-02-23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525</v>
      </c>
      <c r="B67" s="7">
        <v>4040</v>
      </c>
      <c r="C67" s="21" t="s">
        <v>294</v>
      </c>
      <c r="D67" s="21" t="s">
        <v>688</v>
      </c>
      <c r="E67" s="13">
        <v>42789.438252314816</v>
      </c>
      <c r="F67" s="13">
        <v>42789.440636574072</v>
      </c>
      <c r="G67" s="7">
        <v>3</v>
      </c>
      <c r="H67" s="21" t="s">
        <v>297</v>
      </c>
      <c r="I67" s="13">
        <v>42789.46974537037</v>
      </c>
      <c r="J67" s="7">
        <v>0</v>
      </c>
      <c r="K67" s="98" t="str">
        <f t="shared" si="0"/>
        <v>4039/4040</v>
      </c>
      <c r="L67" s="21" t="str">
        <f>VLOOKUP(A67,'Trips&amp;Operators'!$C$1:$G$99999,5,FALSE)</f>
        <v>SHOOK JOHN</v>
      </c>
      <c r="M67" s="6">
        <f t="shared" si="1"/>
        <v>2.9108796297805384E-2</v>
      </c>
      <c r="N67" s="7">
        <f t="shared" si="2"/>
        <v>41.916666668839753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-02-23T09:31:05-0700',mode:absolute,to:'2017-02-23T12:16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87" t="str">
        <f t="shared" si="6"/>
        <v>N</v>
      </c>
      <c r="X67" s="187">
        <f t="shared" si="7"/>
        <v>1</v>
      </c>
      <c r="Y67" s="62">
        <f t="shared" si="8"/>
        <v>0.10050000000000001</v>
      </c>
      <c r="Z67" s="62">
        <f t="shared" si="9"/>
        <v>23.333200000000001</v>
      </c>
      <c r="AA67" s="62">
        <f t="shared" si="10"/>
        <v>23.232700000000001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0155-23</v>
      </c>
      <c r="AE67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67" s="82" t="str">
        <f t="shared" si="13"/>
        <v>"C:\Program Files (x86)\AstroGrep\AstroGrep.exe" /spath="%USERPROFILE%\AppData\Local\Temp\OnboardLogs" /stypes="app*4040*20170223*" /stext=" 18:.+(\|loc)"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155-23 --locoid 4040 --swversion DE.1.0.9.0 --startMP 204:1005 --initTime 2017-02-23T10:31:05 --startdatetime 2017-02-23T10:34:31 --delay 3 --endMP 204:233332 --enddatetime 2017-02-23T11:16:26 --enforcementcount 0 &gt;&gt;C:\Users\stu\Documents\GitHub\eaglep3-reporting\EC\2017-02-23-refined-times.txt</v>
      </c>
      <c r="AI6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{"issue":{"subject":"","project_id":79,"tracker_id":40,"status_id":1,"priority_id":2,"assigned_to_id":23,"start_date":"2017-02-23","description":"","custom_fields":[{"id":1,"name":"Subdivision","value":"EC"},{"id":4,"name":"Milepost","value":"23.3332"},{"id":17,"name":"Train ID","value":"155-23"},{"id":16,"name":"Locomotive ID","value":"4040"},{"id":130,"name":"Impact","value":""},{"id":150,"name":"Time of Event (Mountain Time)","value":"11:16:26"},{"id":151,"name":"Denver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4040 --day 2017-02-23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533</v>
      </c>
      <c r="B68" s="7">
        <v>4039</v>
      </c>
      <c r="C68" s="21" t="s">
        <v>294</v>
      </c>
      <c r="D68" s="21" t="s">
        <v>689</v>
      </c>
      <c r="E68" s="13">
        <v>42789.474166666667</v>
      </c>
      <c r="F68" s="13">
        <v>42789.476585648146</v>
      </c>
      <c r="G68" s="7">
        <v>1</v>
      </c>
      <c r="H68" s="21" t="s">
        <v>269</v>
      </c>
      <c r="I68" s="13">
        <v>42789.506481481483</v>
      </c>
      <c r="J68" s="7">
        <v>0</v>
      </c>
      <c r="K68" s="98" t="str">
        <f t="shared" si="0"/>
        <v>4039/4040</v>
      </c>
      <c r="L68" s="21" t="str">
        <f>VLOOKUP(A68,'Trips&amp;Operators'!$C$1:$G$99999,5,FALSE)</f>
        <v>SHOOK JOHN</v>
      </c>
      <c r="M68" s="6">
        <f t="shared" si="1"/>
        <v>2.9895833336922806E-2</v>
      </c>
      <c r="N68" s="7">
        <f t="shared" si="2"/>
        <v>43.05000000516884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-02-23T10:22:48-0700',mode:absolute,to:'2017-02-23T13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87" t="str">
        <f t="shared" si="6"/>
        <v>N</v>
      </c>
      <c r="X68" s="187">
        <f t="shared" si="7"/>
        <v>1</v>
      </c>
      <c r="Y68" s="62">
        <f t="shared" si="8"/>
        <v>23.301100000000002</v>
      </c>
      <c r="Z68" s="62">
        <f t="shared" si="9"/>
        <v>1.5599999999999999E-2</v>
      </c>
      <c r="AA68" s="62">
        <f t="shared" si="10"/>
        <v>23.285500000000003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0156-23</v>
      </c>
      <c r="AE68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68" s="82" t="str">
        <f t="shared" si="13"/>
        <v>"C:\Program Files (x86)\AstroGrep\AstroGrep.exe" /spath="%USERPROFILE%\AppData\Local\Temp\OnboardLogs" /stypes="app*4039*20170223*" /stext=" 19:.+(\|loc)"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156-23 --locoid 4039 --swversion DE.1.0.9.0 --startMP 204:233011 --initTime 2017-02-23T11:22:48 --startdatetime 2017-02-23T11:26:17 --delay 1 --endMP 204:156 --enddatetime 2017-02-23T12:09:20 --enforcementcount 0 &gt;&gt;C:\Users\stu\Documents\GitHub\eaglep3-reporting\EC\2017-02-23-refined-times.txt</v>
      </c>
      <c r="AI6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ID","value":"156-23"},{"id":16,"name":"Locomotive ID","value":"4039"},{"id":130,"name":"Impact","value":""},{"id":150,"name":"Time of Event (Mountain Time)","value":"12:09:20"},{"id":151,"name":"Denver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4039 --day 2017-02-23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527</v>
      </c>
      <c r="B69" s="7">
        <v>4046</v>
      </c>
      <c r="C69" s="21" t="s">
        <v>294</v>
      </c>
      <c r="D69" s="21" t="s">
        <v>373</v>
      </c>
      <c r="E69" s="13">
        <v>42789.446273148147</v>
      </c>
      <c r="F69" s="13">
        <v>42789.448391203703</v>
      </c>
      <c r="G69" s="7">
        <v>1</v>
      </c>
      <c r="H69" s="21" t="s">
        <v>252</v>
      </c>
      <c r="I69" s="13">
        <v>42789.47693287037</v>
      </c>
      <c r="J69" s="7">
        <v>0</v>
      </c>
      <c r="K69" s="98" t="str">
        <f t="shared" si="0"/>
        <v>4045/4046</v>
      </c>
      <c r="L69" s="21" t="str">
        <f>VLOOKUP(A69,'Trips&amp;Operators'!$C$1:$G$99999,5,FALSE)</f>
        <v>STARKS ANGELINA</v>
      </c>
      <c r="M69" s="6">
        <f t="shared" si="1"/>
        <v>2.8541666666569654E-2</v>
      </c>
      <c r="N69" s="7">
        <f t="shared" si="2"/>
        <v>41.099999999860302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-02-23T09:42:38-0700',mode:absolute,to:'2017-02-23T12:26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187" t="str">
        <f t="shared" si="6"/>
        <v>N</v>
      </c>
      <c r="X69" s="187">
        <f t="shared" si="7"/>
        <v>1</v>
      </c>
      <c r="Y69" s="62">
        <f t="shared" si="8"/>
        <v>4.4200000000000003E-2</v>
      </c>
      <c r="Z69" s="62">
        <f t="shared" si="9"/>
        <v>23.3293</v>
      </c>
      <c r="AA69" s="62">
        <f t="shared" si="10"/>
        <v>23.2851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0157-23</v>
      </c>
      <c r="AE69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69" s="82" t="str">
        <f t="shared" si="13"/>
        <v>"C:\Program Files (x86)\AstroGrep\AstroGrep.exe" /spath="%USERPROFILE%\AppData\Local\Temp\OnboardLogs" /stypes="app*4046*20170223*" /stext=" 18:.+(\|loc)"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157-23 --locoid 4046 --swversion DE.1.0.9.0 --startMP 204:442 --initTime 2017-02-23T10:42:38 --startdatetime 2017-02-23T10:45:41 --delay 1 --endMP 204:233293 --enddatetime 2017-02-23T11:26:47 --enforcementcount 0 &gt;&gt;C:\Users\stu\Documents\GitHub\eaglep3-reporting\EC\2017-02-23-refined-times.txt</v>
      </c>
      <c r="AI6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{"issue":{"subject":"","project_id":79,"tracker_id":40,"status_id":1,"priority_id":2,"assigned_to_id":23,"start_date":"2017-02-23","description":"","custom_fields":[{"id":1,"name":"Subdivision","value":"EC"},{"id":4,"name":"Milepost","value":"23.3293"},{"id":17,"name":"Train ID","value":"157-23"},{"id":16,"name":"Locomotive ID","value":"4046"},{"id":130,"name":"Impact","value":""},{"id":150,"name":"Time of Event (Mountain Time)","value":"11:26:47"},{"id":151,"name":"Denver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4046 --day 2017-02-23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536</v>
      </c>
      <c r="B70" s="7">
        <v>4045</v>
      </c>
      <c r="C70" s="21" t="s">
        <v>294</v>
      </c>
      <c r="D70" s="21" t="s">
        <v>281</v>
      </c>
      <c r="E70" s="13">
        <v>42789.485115740739</v>
      </c>
      <c r="F70" s="13">
        <v>42789.486990740741</v>
      </c>
      <c r="G70" s="7">
        <v>1</v>
      </c>
      <c r="H70" s="21" t="s">
        <v>269</v>
      </c>
      <c r="I70" s="13">
        <v>42789.516296296293</v>
      </c>
      <c r="J70" s="7">
        <v>0</v>
      </c>
      <c r="K70" s="98" t="str">
        <f t="shared" si="0"/>
        <v>4045/4046</v>
      </c>
      <c r="L70" s="21" t="str">
        <f>VLOOKUP(A70,'Trips&amp;Operators'!$C$1:$G$99999,5,FALSE)</f>
        <v>STARKS ANGELINA</v>
      </c>
      <c r="M70" s="6">
        <f t="shared" si="1"/>
        <v>2.9305555552127771E-2</v>
      </c>
      <c r="N70" s="7">
        <f t="shared" si="2"/>
        <v>42.19999999506399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-02-23T10:38:34-0700',mode:absolute,to:'2017-02-23T13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187" t="str">
        <f t="shared" si="6"/>
        <v>N</v>
      </c>
      <c r="X70" s="187">
        <f t="shared" si="7"/>
        <v>1</v>
      </c>
      <c r="Y70" s="62">
        <f t="shared" si="8"/>
        <v>23.2973</v>
      </c>
      <c r="Z70" s="62">
        <f t="shared" si="9"/>
        <v>1.5599999999999999E-2</v>
      </c>
      <c r="AA70" s="62">
        <f t="shared" si="10"/>
        <v>23.281700000000001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0158-23</v>
      </c>
      <c r="AE70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70" s="82" t="str">
        <f t="shared" si="13"/>
        <v>"C:\Program Files (x86)\AstroGrep\AstroGrep.exe" /spath="%USERPROFILE%\AppData\Local\Temp\OnboardLogs" /stypes="app*4045*20170223*" /stext=" 19:.+(\|loc)"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158-23 --locoid 4045 --swversion DE.1.0.9.0 --startMP 204:232973 --initTime 2017-02-23T11:38:34 --startdatetime 2017-02-23T11:41:16 --delay 1 --endMP 204:156 --enddatetime 2017-02-23T12:23:28 --enforcementcount 0 &gt;&gt;C:\Users\stu\Documents\GitHub\eaglep3-reporting\EC\2017-02-23-refined-times.txt</v>
      </c>
      <c r="AI7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ID","value":"158-23"},{"id":16,"name":"Locomotive ID","value":"4045"},{"id":130,"name":"Impact","value":""},{"id":150,"name":"Time of Event (Mountain Time)","value":"12:23:28"},{"id":151,"name":"Denver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4045 --day 2017-02-23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528</v>
      </c>
      <c r="B71" s="7">
        <v>4029</v>
      </c>
      <c r="C71" s="21" t="s">
        <v>294</v>
      </c>
      <c r="D71" s="21" t="s">
        <v>229</v>
      </c>
      <c r="E71" s="13">
        <v>42789.457488425927</v>
      </c>
      <c r="F71" s="13">
        <v>42789.459155092591</v>
      </c>
      <c r="G71" s="7">
        <v>1</v>
      </c>
      <c r="H71" s="21" t="s">
        <v>371</v>
      </c>
      <c r="I71" s="13">
        <v>42789.486018518517</v>
      </c>
      <c r="J71" s="7">
        <v>0</v>
      </c>
      <c r="K71" s="98" t="str">
        <f t="shared" si="0"/>
        <v>4029/4030</v>
      </c>
      <c r="L71" s="21" t="str">
        <f>VLOOKUP(A71,'Trips&amp;Operators'!$C$1:$G$99999,5,FALSE)</f>
        <v>CLARK KATHLEEN</v>
      </c>
      <c r="M71" s="6">
        <f t="shared" si="1"/>
        <v>2.6863425926421769E-2</v>
      </c>
      <c r="N71" s="7">
        <f t="shared" si="2"/>
        <v>38.683333334047347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-02-23T09:58:47-0700',mode:absolute,to:'2017-02-23T12:39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1" s="187" t="str">
        <f t="shared" si="6"/>
        <v>N</v>
      </c>
      <c r="X71" s="187">
        <f t="shared" si="7"/>
        <v>1</v>
      </c>
      <c r="Y71" s="62">
        <f t="shared" si="8"/>
        <v>4.5999999999999999E-2</v>
      </c>
      <c r="Z71" s="62">
        <f t="shared" si="9"/>
        <v>23.33</v>
      </c>
      <c r="AA71" s="62">
        <f t="shared" si="10"/>
        <v>23.283999999999999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0159-23</v>
      </c>
      <c r="AE71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71" s="82" t="str">
        <f t="shared" si="13"/>
        <v>"C:\Program Files (x86)\AstroGrep\AstroGrep.exe" /spath="%USERPROFILE%\AppData\Local\Temp\OnboardLogs" /stypes="app*4029*20170223*" /stext=" 18:.+(\|loc)"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159-23 --locoid 4029 --swversion DE.1.0.9.0 --startMP 204:460 --initTime 2017-02-23T10:58:47 --startdatetime 2017-02-23T11:01:11 --delay 1 --endMP 204:233300 --enddatetime 2017-02-23T11:39:52 --enforcementcount 0 &gt;&gt;C:\Users\stu\Documents\GitHub\eaglep3-reporting\EC\2017-02-23-refined-times.txt</v>
      </c>
      <c r="AI7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{"issue":{"subject":"","project_id":79,"tracker_id":40,"status_id":1,"priority_id":2,"assigned_to_id":23,"start_date":"2017-02-23","description":"","custom_fields":[{"id":1,"name":"Subdivision","value":"EC"},{"id":4,"name":"Milepost","value":"23.33"},{"id":17,"name":"Train ID","value":"159-23"},{"id":16,"name":"Locomotive ID","value":"4029"},{"id":130,"name":"Impact","value":""},{"id":150,"name":"Time of Event (Mountain Time)","value":"11:39:52"},{"id":151,"name":"Denver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4029 --day 2017-02-23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539</v>
      </c>
      <c r="B72" s="7">
        <v>4030</v>
      </c>
      <c r="C72" s="21" t="s">
        <v>294</v>
      </c>
      <c r="D72" s="21" t="s">
        <v>684</v>
      </c>
      <c r="E72" s="13">
        <v>42789.491782407407</v>
      </c>
      <c r="F72" s="13">
        <v>42789.497384259259</v>
      </c>
      <c r="G72" s="7">
        <v>1</v>
      </c>
      <c r="H72" s="21" t="s">
        <v>255</v>
      </c>
      <c r="I72" s="13">
        <v>42789.527604166666</v>
      </c>
      <c r="J72" s="7">
        <v>0</v>
      </c>
      <c r="K72" s="98" t="str">
        <f t="shared" si="0"/>
        <v>4029/4030</v>
      </c>
      <c r="L72" s="21" t="str">
        <f>VLOOKUP(A72,'Trips&amp;Operators'!$C$1:$G$99999,5,FALSE)</f>
        <v>CLARK KATHLEEN</v>
      </c>
      <c r="M72" s="6">
        <f t="shared" si="1"/>
        <v>3.0219907406717539E-2</v>
      </c>
      <c r="N72" s="7">
        <f t="shared" si="2"/>
        <v>43.516666665673256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-02-23T10:48:10-0700',mode:absolute,to:'2017-02-23T13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187" t="str">
        <f t="shared" si="6"/>
        <v>N</v>
      </c>
      <c r="X72" s="187">
        <f t="shared" si="7"/>
        <v>1</v>
      </c>
      <c r="Y72" s="62">
        <f t="shared" si="8"/>
        <v>23.298100000000002</v>
      </c>
      <c r="Z72" s="62">
        <f t="shared" si="9"/>
        <v>1.61E-2</v>
      </c>
      <c r="AA72" s="62">
        <f t="shared" si="10"/>
        <v>23.282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0160-23</v>
      </c>
      <c r="AE72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72" s="82" t="str">
        <f t="shared" si="13"/>
        <v>"C:\Program Files (x86)\AstroGrep\AstroGrep.exe" /spath="%USERPROFILE%\AppData\Local\Temp\OnboardLogs" /stypes="app*4030*20170223*" /stext=" 19:.+(\|loc)"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160-23 --locoid 4030 --swversion DE.1.0.9.0 --startMP 204:232981 --initTime 2017-02-23T11:48:10 --startdatetime 2017-02-23T11:56:14 --delay 1 --endMP 204:161 --enddatetime 2017-02-23T12:39:45 --enforcementcount 0 &gt;&gt;C:\Users\stu\Documents\GitHub\eaglep3-reporting\EC\2017-02-23-refined-times.txt</v>
      </c>
      <c r="AI7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{"issue":{"subject":"","project_id":79,"tracker_id":40,"status_id":1,"priority_id":2,"assigned_to_id":23,"start_date":"2017-02-23","description":"","custom_fields":[{"id":1,"name":"Subdivision","value":"EC"},{"id":4,"name":"Milepost","value":"0.0161"},{"id":17,"name":"Train ID","value":"160-23"},{"id":16,"name":"Locomotive ID","value":"4030"},{"id":130,"name":"Impact","value":""},{"id":150,"name":"Time of Event (Mountain Time)","value":"12:39:45"},{"id":151,"name":"Denver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4030 --day 2017-02-23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530</v>
      </c>
      <c r="B73" s="7">
        <v>4014</v>
      </c>
      <c r="C73" s="21" t="s">
        <v>294</v>
      </c>
      <c r="D73" s="21" t="s">
        <v>333</v>
      </c>
      <c r="E73" s="13">
        <v>42789.467094907406</v>
      </c>
      <c r="F73" s="13">
        <v>42789.470370370371</v>
      </c>
      <c r="G73" s="7">
        <v>1</v>
      </c>
      <c r="H73" s="21" t="s">
        <v>331</v>
      </c>
      <c r="I73" s="13">
        <v>42789.495833333334</v>
      </c>
      <c r="J73" s="7">
        <v>0</v>
      </c>
      <c r="K73" s="98" t="str">
        <f t="shared" si="0"/>
        <v>4013/4014</v>
      </c>
      <c r="L73" s="21" t="str">
        <f>VLOOKUP(A73,'Trips&amp;Operators'!$C$1:$G$99999,5,FALSE)</f>
        <v>KILLION DAVID</v>
      </c>
      <c r="M73" s="6">
        <f t="shared" si="1"/>
        <v>2.5462962963501923E-2</v>
      </c>
      <c r="N73" s="7">
        <f t="shared" si="2"/>
        <v>36.666666667442769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-02-23T10:12:37-0700',mode:absolute,to:'2017-02-23T12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87" t="str">
        <f t="shared" si="6"/>
        <v>N</v>
      </c>
      <c r="X73" s="187">
        <f t="shared" si="7"/>
        <v>1</v>
      </c>
      <c r="Y73" s="62">
        <f t="shared" si="8"/>
        <v>4.3299999999999998E-2</v>
      </c>
      <c r="Z73" s="62">
        <f t="shared" si="9"/>
        <v>23.329499999999999</v>
      </c>
      <c r="AA73" s="62">
        <f t="shared" si="10"/>
        <v>23.286200000000001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0161-23</v>
      </c>
      <c r="AE73" s="85" t="str">
        <f t="shared" si="12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73" s="82" t="str">
        <f t="shared" si="13"/>
        <v>"C:\Program Files (x86)\AstroGrep\AstroGrep.exe" /spath="%USERPROFILE%\AppData\Local\Temp\OnboardLogs" /stypes="app*4014*20170223*" /stext=" 18:.+(\|loc)"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161-23 --locoid 4014 --swversion DE.1.0.9.0 --startMP 204:433 --initTime 2017-02-23T11:12:37 --startdatetime 2017-02-23T11:17:20 --delay 1 --endMP 204:233295 --enddatetime 2017-02-23T11:54:00 --enforcementcount 0 &gt;&gt;C:\Users\stu\Documents\GitHub\eaglep3-reporting\EC\2017-02-23-refined-times.txt</v>
      </c>
      <c r="AI7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ID","value":"161-23"},{"id":16,"name":"Locomotive ID","value":"4014"},{"id":130,"name":"Impact","value":""},{"id":150,"name":"Time of Event (Mountain Time)","value":"11:54:00"},{"id":151,"name":"Denver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4014 --day 2017-02-23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</row>
    <row r="74" spans="1:91" s="20" customFormat="1" x14ac:dyDescent="0.25">
      <c r="A74" s="33" t="s">
        <v>437</v>
      </c>
      <c r="B74" s="7">
        <v>4013</v>
      </c>
      <c r="C74" s="21" t="s">
        <v>294</v>
      </c>
      <c r="D74" s="21" t="s">
        <v>281</v>
      </c>
      <c r="E74" s="13">
        <v>42789.501562500001</v>
      </c>
      <c r="F74" s="13">
        <v>42789.507789351854</v>
      </c>
      <c r="G74" s="7">
        <v>1</v>
      </c>
      <c r="H74" s="21" t="s">
        <v>203</v>
      </c>
      <c r="I74" s="13">
        <v>42789.536979166667</v>
      </c>
      <c r="J74" s="7">
        <v>0</v>
      </c>
      <c r="K74" s="98" t="str">
        <f t="shared" si="0"/>
        <v>4013/4014</v>
      </c>
      <c r="L74" s="21" t="str">
        <f>VLOOKUP(A74,'Trips&amp;Operators'!$C$1:$G$99999,5,FALSE)</f>
        <v>KILLION DAVID</v>
      </c>
      <c r="M74" s="6">
        <f t="shared" si="1"/>
        <v>2.9189814813435078E-2</v>
      </c>
      <c r="N74" s="7">
        <f t="shared" si="2"/>
        <v>42.033333331346512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-02-23T11:02:15-0700',mode:absolute,to:'2017-02-23T13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87" t="str">
        <f t="shared" si="6"/>
        <v>N</v>
      </c>
      <c r="X74" s="187">
        <f t="shared" si="7"/>
        <v>1</v>
      </c>
      <c r="Y74" s="62">
        <f t="shared" si="8"/>
        <v>23.2973</v>
      </c>
      <c r="Z74" s="62">
        <f t="shared" si="9"/>
        <v>1.6E-2</v>
      </c>
      <c r="AA74" s="62">
        <f t="shared" si="10"/>
        <v>23.281300000000002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0162-23</v>
      </c>
      <c r="AE74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74" s="82" t="str">
        <f t="shared" si="13"/>
        <v>"C:\Program Files (x86)\AstroGrep\AstroGrep.exe" /spath="%USERPROFILE%\AppData\Local\Temp\OnboardLogs" /stypes="app*4013*20170223*" /stext=" 19:.+(\|loc)"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162-23 --locoid 4013 --swversion DE.1.0.9.0 --startMP 204:232973 --initTime 2017-02-23T12:02:15 --startdatetime 2017-02-23T12:11:13 --delay 1 --endMP 204:160 --enddatetime 2017-02-23T12:53:15 --enforcementcount 0 &gt;&gt;C:\Users\stu\Documents\GitHub\eaglep3-reporting\EC\2017-02-23-refined-times.txt</v>
      </c>
      <c r="AI7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ID","value":"162-23"},{"id":16,"name":"Locomotive ID","value":"4013"},{"id":130,"name":"Impact","value":""},{"id":150,"name":"Time of Event (Mountain Time)","value":"12:53:15"},{"id":151,"name":"Denver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4013 --day 2017-02-23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534</v>
      </c>
      <c r="B75" s="7">
        <v>4011</v>
      </c>
      <c r="C75" s="21" t="s">
        <v>294</v>
      </c>
      <c r="D75" s="21" t="s">
        <v>690</v>
      </c>
      <c r="E75" s="13">
        <v>42789.478935185187</v>
      </c>
      <c r="F75" s="13">
        <v>42789.480949074074</v>
      </c>
      <c r="G75" s="7">
        <v>1</v>
      </c>
      <c r="H75" s="21" t="s">
        <v>677</v>
      </c>
      <c r="I75" s="13">
        <v>42789.507164351853</v>
      </c>
      <c r="J75" s="7">
        <v>0</v>
      </c>
      <c r="K75" s="98" t="str">
        <f t="shared" si="0"/>
        <v>4011/4012</v>
      </c>
      <c r="L75" s="21" t="str">
        <f>VLOOKUP(A75,'Trips&amp;Operators'!$C$1:$G$99999,5,FALSE)</f>
        <v>BRUDER RICHARD</v>
      </c>
      <c r="M75" s="6">
        <f t="shared" si="1"/>
        <v>2.6215277779556345E-2</v>
      </c>
      <c r="N75" s="7">
        <f t="shared" si="2"/>
        <v>37.750000002561137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-02-23T10:29:40-0700',mode:absolute,to:'2017-02-23T13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187" t="str">
        <f t="shared" si="6"/>
        <v>N</v>
      </c>
      <c r="X75" s="187">
        <f t="shared" si="7"/>
        <v>1</v>
      </c>
      <c r="Y75" s="62">
        <f t="shared" si="8"/>
        <v>5.4600000000000003E-2</v>
      </c>
      <c r="Z75" s="62">
        <f t="shared" si="9"/>
        <v>23.3308</v>
      </c>
      <c r="AA75" s="62">
        <f t="shared" si="10"/>
        <v>23.276199999999999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0163-23</v>
      </c>
      <c r="AE75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75" s="82" t="str">
        <f t="shared" si="13"/>
        <v>"C:\Program Files (x86)\AstroGrep\AstroGrep.exe" /spath="%USERPROFILE%\AppData\Local\Temp\OnboardLogs" /stypes="app*4011*20170223*" /stext=" 19:.+(\|loc)"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163-23 --locoid 4011 --swversion DE.1.0.9.0 --startMP 204:546 --initTime 2017-02-23T11:29:40 --startdatetime 2017-02-23T11:32:34 --delay 1 --endMP 204:233308 --enddatetime 2017-02-23T12:10:19 --enforcementcount 0 &gt;&gt;C:\Users\stu\Documents\GitHub\eaglep3-reporting\EC\2017-02-23-refined-times.txt</v>
      </c>
      <c r="AI7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{"issue":{"subject":"","project_id":79,"tracker_id":40,"status_id":1,"priority_id":2,"assigned_to_id":23,"start_date":"2017-02-23","description":"","custom_fields":[{"id":1,"name":"Subdivision","value":"EC"},{"id":4,"name":"Milepost","value":"23.3308"},{"id":17,"name":"Train ID","value":"163-23"},{"id":16,"name":"Locomotive ID","value":"4011"},{"id":130,"name":"Impact","value":""},{"id":150,"name":"Time of Event (Mountain Time)","value":"12:10:19"},{"id":151,"name":"Denver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4011 --day 2017-02-23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438</v>
      </c>
      <c r="B76" s="7">
        <v>4012</v>
      </c>
      <c r="C76" s="21" t="s">
        <v>294</v>
      </c>
      <c r="D76" s="21" t="s">
        <v>691</v>
      </c>
      <c r="E76" s="13">
        <v>42789.513356481482</v>
      </c>
      <c r="F76" s="13">
        <v>42789.518275462964</v>
      </c>
      <c r="G76" s="7">
        <v>2</v>
      </c>
      <c r="H76" s="21" t="s">
        <v>196</v>
      </c>
      <c r="I76" s="13">
        <v>42789.549108796295</v>
      </c>
      <c r="J76" s="7">
        <v>0</v>
      </c>
      <c r="K76" s="98" t="str">
        <f t="shared" si="0"/>
        <v>4011/4012</v>
      </c>
      <c r="L76" s="21" t="str">
        <f>VLOOKUP(A76,'Trips&amp;Operators'!$C$1:$G$99999,5,FALSE)</f>
        <v>BRUDER RICHARD</v>
      </c>
      <c r="M76" s="6">
        <f t="shared" si="1"/>
        <v>3.0833333330519963E-2</v>
      </c>
      <c r="N76" s="7">
        <f t="shared" si="2"/>
        <v>44.399999995948747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-02-23T11:19:14-0700',mode:absolute,to:'2017-02-23T14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187" t="str">
        <f t="shared" si="6"/>
        <v>N</v>
      </c>
      <c r="X76" s="187">
        <f t="shared" si="7"/>
        <v>1</v>
      </c>
      <c r="Y76" s="62">
        <f t="shared" si="8"/>
        <v>23.298300000000001</v>
      </c>
      <c r="Z76" s="62">
        <f t="shared" si="9"/>
        <v>1.4500000000000001E-2</v>
      </c>
      <c r="AA76" s="62">
        <f t="shared" si="10"/>
        <v>23.283799999999999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0164-23</v>
      </c>
      <c r="AE76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76" s="82" t="str">
        <f t="shared" si="13"/>
        <v>"C:\Program Files (x86)\AstroGrep\AstroGrep.exe" /spath="%USERPROFILE%\AppData\Local\Temp\OnboardLogs" /stypes="app*4012*20170223*" /stext=" 20:.+(\|loc)"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164-23 --locoid 4012 --swversion DE.1.0.9.0 --startMP 204:232983 --initTime 2017-02-23T12:19:14 --startdatetime 2017-02-23T12:26:19 --delay 2 --endMP 204:145 --enddatetime 2017-02-23T13:10:43 --enforcementcount 0 &gt;&gt;C:\Users\stu\Documents\GitHub\eaglep3-reporting\EC\2017-02-23-refined-times.txt</v>
      </c>
      <c r="AI7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{"issue":{"subject":"","project_id":79,"tracker_id":40,"status_id":1,"priority_id":2,"assigned_to_id":23,"start_date":"2017-02-23","description":"","custom_fields":[{"id":1,"name":"Subdivision","value":"EC"},{"id":4,"name":"Milepost","value":"0.0145"},{"id":17,"name":"Train ID","value":"164-23"},{"id":16,"name":"Locomotive ID","value":"4012"},{"id":130,"name":"Impact","value":""},{"id":150,"name":"Time of Event (Mountain Time)","value":"13:10:43"},{"id":151,"name":"Denver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4012 --day 2017-02-23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537</v>
      </c>
      <c r="B77" s="7">
        <v>4009</v>
      </c>
      <c r="C77" s="21" t="s">
        <v>294</v>
      </c>
      <c r="D77" s="21" t="s">
        <v>271</v>
      </c>
      <c r="E77" s="13">
        <v>42789.485601851855</v>
      </c>
      <c r="F77" s="13">
        <v>42789.489849537036</v>
      </c>
      <c r="G77" s="7">
        <v>1</v>
      </c>
      <c r="H77" s="21" t="s">
        <v>376</v>
      </c>
      <c r="I77" s="13">
        <v>42789.515381944446</v>
      </c>
      <c r="J77" s="7">
        <v>0</v>
      </c>
      <c r="K77" s="98" t="str">
        <f t="shared" ref="K77:K140" si="21">IF(ISEVEN(B77),(B77-1)&amp;"/"&amp;B77,B77&amp;"/"&amp;(B77+1))</f>
        <v>4009/4010</v>
      </c>
      <c r="L77" s="21" t="str">
        <f>VLOOKUP(A77,'Trips&amp;Operators'!$C$1:$G$99999,5,FALSE)</f>
        <v>SMITH MICHAEL</v>
      </c>
      <c r="M77" s="6">
        <f t="shared" ref="M77:M140" si="22">I77-F77</f>
        <v>2.5532407409627922E-2</v>
      </c>
      <c r="N77" s="7">
        <f t="shared" ref="N77:N140" si="23">24*60*SUM($M77:$M77)</f>
        <v>36.766666669864208</v>
      </c>
      <c r="O77" s="7"/>
      <c r="P77" s="7"/>
      <c r="Q77" s="22"/>
      <c r="R77" s="22"/>
      <c r="S77" s="31">
        <f t="shared" ref="S77:S140" si="24">SUM(U77:U77)/IF(AG77="EC",12,1)</f>
        <v>1</v>
      </c>
      <c r="T77" s="46" t="str">
        <f t="shared" ref="T77:T140" si="25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-23T10:39:16-0700',mode:absolute,to:'2017-02-23T13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7" s="187" t="str">
        <f t="shared" ref="W77:W140" si="27">IF(AA77&lt;IF(AG77="EC",23,5.65),"Y","N")</f>
        <v>N</v>
      </c>
      <c r="X77" s="187">
        <f t="shared" ref="X77:X140" si="28">VALUE(LEFT(AD77,4))-VALUE(LEFT(AD76,4))</f>
        <v>1</v>
      </c>
      <c r="Y77" s="62">
        <f t="shared" ref="Y77:Y140" si="29">RIGHT(D77,LEN(D77)-4)/10000</f>
        <v>4.4400000000000002E-2</v>
      </c>
      <c r="Z77" s="62">
        <f t="shared" ref="Z77:Z140" si="30">RIGHT(H77,LEN(H77)-4)/10000</f>
        <v>23.329899999999999</v>
      </c>
      <c r="AA77" s="62">
        <f t="shared" ref="AA77:AA140" si="31">ABS(Z77-Y77)</f>
        <v>23.285499999999999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2">IF(LEN(A77)=6,"0"&amp;A77,A77)</f>
        <v>0165-23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/stypes="app*4009*20170223*" /stext=" 19:.+(\|loc)"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165-23 --locoid 4009 --swversion DE.1.0.9.0 --startMP 204:444 --initTime 2017-02-23T11:39:16 --startdatetime 2017-02-23T11:45:23 --delay 1 --endMP 204:233299 --enddatetime 2017-02-23T12:22:09 --enforcementcount 0 &gt;&gt;C:\Users\stu\Documents\GitHub\eaglep3-reporting\EC\2017-02-23-refined-times.txt</v>
      </c>
      <c r="AI7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{"issue":{"subject":"","project_id":79,"tracker_id":40,"status_id":1,"priority_id":2,"assigned_to_id":23,"start_date":"2017-02-23","description":"","custom_fields":[{"id":1,"name":"Subdivision","value":"EC"},{"id":4,"name":"Milepost","value":"23.3299"},{"id":17,"name":"Train ID","value":"165-23"},{"id":16,"name":"Locomotive ID","value":"4009"},{"id":130,"name":"Impact","value":""},{"id":150,"name":"Time of Event (Mountain Time)","value":"12:22:09"},{"id":151,"name":"Denver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4009 --day 2017-02-23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543</v>
      </c>
      <c r="B78" s="7">
        <v>4010</v>
      </c>
      <c r="C78" s="21" t="s">
        <v>294</v>
      </c>
      <c r="D78" s="21" t="s">
        <v>283</v>
      </c>
      <c r="E78" s="13">
        <v>42789.518530092595</v>
      </c>
      <c r="F78" s="13">
        <v>42789.528958333336</v>
      </c>
      <c r="G78" s="7">
        <v>2</v>
      </c>
      <c r="H78" s="21" t="s">
        <v>213</v>
      </c>
      <c r="I78" s="13">
        <v>42789.556805555556</v>
      </c>
      <c r="J78" s="7">
        <v>0</v>
      </c>
      <c r="K78" s="98" t="str">
        <f t="shared" si="21"/>
        <v>4009/4010</v>
      </c>
      <c r="L78" s="21" t="str">
        <f>VLOOKUP(A78,'Trips&amp;Operators'!$C$1:$G$99999,5,FALSE)</f>
        <v>SMITH MICHAEL</v>
      </c>
      <c r="M78" s="6">
        <f t="shared" si="22"/>
        <v>2.7847222219861578E-2</v>
      </c>
      <c r="N78" s="7">
        <f t="shared" si="23"/>
        <v>40.099999996600673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6"/>
        <v>https://d0f6bd738d7f1b3e5a7ca70fe4ff75f0.us-east-1.aws.found.io/app/kibana#/discover/Steve-Slow-Train-Analysis-(2080s-and-2083s)?_g=(refreshInterval:(display:Off,pause:!f,section:0,value:0),time:(from:'2017-02-23T11:26:41-0700',mode:absolute,to:'2017-02-23T14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187" t="str">
        <f t="shared" si="27"/>
        <v>N</v>
      </c>
      <c r="X78" s="187">
        <f t="shared" si="28"/>
        <v>1</v>
      </c>
      <c r="Y78" s="62">
        <f t="shared" si="29"/>
        <v>23.298200000000001</v>
      </c>
      <c r="Z78" s="62">
        <f t="shared" si="30"/>
        <v>1.54E-2</v>
      </c>
      <c r="AA78" s="62">
        <f t="shared" si="31"/>
        <v>23.282800000000002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0166-23</v>
      </c>
      <c r="AE78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78" s="82" t="str">
        <f t="shared" si="34"/>
        <v>"C:\Program Files (x86)\AstroGrep\AstroGrep.exe" /spath="%USERPROFILE%\AppData\Local\Temp\OnboardLogs" /stypes="app*4010*20170223*" /stext=" 20:.+(\|loc)" /e /r /s</v>
      </c>
      <c r="AG78" s="1" t="str">
        <f t="shared" si="35"/>
        <v>EC</v>
      </c>
      <c r="AH78" s="86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4010 --swversion DE.1.0.9.0 --startMP 204:232982 --initTime 2017-02-23T12:26:41 --startdatetime 2017-02-23T12:41:42 --delay 2 --endMP 204:154 --enddatetime 2017-02-23T13:21:48 --enforcementcount 0 &gt;&gt;C:\Users\stu\Documents\GitHub\eaglep3-reporting\EC\2017-02-23-refined-times.txt</v>
      </c>
      <c r="AI78" s="108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{"issue":{"subject":"","project_id":79,"tracker_id":40,"status_id":1,"priority_id":2,"assigned_to_id":23,"start_date":"2017-02-23","description":"","custom_fields":[{"id":1,"name":"Subdivision","value":"EC"},{"id":4,"name":"Milepost","value":"0.0154"},{"id":17,"name":"Train ID","value":"166-23"},{"id":16,"name":"Locomotive ID","value":"4010"},{"id":130,"name":"Impact","value":""},{"id":150,"name":"Time of Event (Mountain Time)","value":"13:21:48"},{"id":151,"name":"Denver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38">"start /low /b "&amp;dls3logs&amp;" --loco "&amp;B78&amp;" --day "&amp;TEXT(F78,"YYYY-MM-DD")</f>
        <v>start /low /b %USERPROFILE%\Documents\GitHub\eaglep3\Utilities\DownloadLogsFromS3.py --loco 4010 --day 2017-02-23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</row>
    <row r="79" spans="1:91" s="20" customFormat="1" x14ac:dyDescent="0.25">
      <c r="A79" s="33" t="s">
        <v>436</v>
      </c>
      <c r="B79" s="7">
        <v>4027</v>
      </c>
      <c r="C79" s="21" t="s">
        <v>294</v>
      </c>
      <c r="D79" s="21" t="s">
        <v>246</v>
      </c>
      <c r="E79" s="13">
        <v>42789.498865740738</v>
      </c>
      <c r="F79" s="13">
        <v>42789.500567129631</v>
      </c>
      <c r="G79" s="7">
        <v>1</v>
      </c>
      <c r="H79" s="21" t="s">
        <v>692</v>
      </c>
      <c r="I79" s="13">
        <v>42789.527256944442</v>
      </c>
      <c r="J79" s="7">
        <v>0</v>
      </c>
      <c r="K79" s="98" t="str">
        <f t="shared" si="21"/>
        <v>4027/4028</v>
      </c>
      <c r="L79" s="21" t="str">
        <f>VLOOKUP(A79,'Trips&amp;Operators'!$C$1:$G$99999,5,FALSE)</f>
        <v>HAITHCOX MICHAEL</v>
      </c>
      <c r="M79" s="6">
        <f t="shared" si="22"/>
        <v>2.6689814811106771E-2</v>
      </c>
      <c r="N79" s="7">
        <f t="shared" si="23"/>
        <v>38.433333327993751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6"/>
        <v>https://d0f6bd738d7f1b3e5a7ca70fe4ff75f0.us-east-1.aws.found.io/app/kibana#/discover/Steve-Slow-Train-Analysis-(2080s-and-2083s)?_g=(refreshInterval:(display:Off,pause:!f,section:0,value:0),time:(from:'2017-02-23T10:58:22-0700',mode:absolute,to:'2017-02-23T13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87" t="str">
        <f t="shared" si="27"/>
        <v>N</v>
      </c>
      <c r="X79" s="187">
        <f t="shared" si="28"/>
        <v>1</v>
      </c>
      <c r="Y79" s="62">
        <f t="shared" si="29"/>
        <v>4.4600000000000001E-2</v>
      </c>
      <c r="Z79" s="62">
        <f t="shared" si="30"/>
        <v>23.334399999999999</v>
      </c>
      <c r="AA79" s="62">
        <f t="shared" si="31"/>
        <v>23.2898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0167-23</v>
      </c>
      <c r="AE79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79" s="82" t="str">
        <f t="shared" si="34"/>
        <v>"C:\Program Files (x86)\AstroGrep\AstroGrep.exe" /spath="%USERPROFILE%\AppData\Local\Temp\OnboardLogs" /stypes="app*4027*20170223*" /stext=" 19:.+(\|loc)" /e /r /s</v>
      </c>
      <c r="AG79" s="1" t="str">
        <f t="shared" si="35"/>
        <v>EC</v>
      </c>
      <c r="AH79" s="86" t="str">
        <f t="shared" si="36"/>
        <v>"%USERPROFILE%\Documents\GitHub\eaglep3\Utilities\RefineRTDCRunTimes.py" --tripid 167-23 --locoid 4027 --swversion DE.1.0.9.0 --startMP 204:446 --initTime 2017-02-23T11:58:22 --startdatetime 2017-02-23T12:00:49 --delay 1 --endMP 204:233344 --enddatetime 2017-02-23T12:39:15 --enforcementcount 0 &gt;&gt;C:\Users\stu\Documents\GitHub\eaglep3-reporting\EC\2017-02-23-refined-times.txt</v>
      </c>
      <c r="AI7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{"issue":{"subject":"","project_id":79,"tracker_id":40,"status_id":1,"priority_id":2,"assigned_to_id":23,"start_date":"2017-02-23","description":"","custom_fields":[{"id":1,"name":"Subdivision","value":"EC"},{"id":4,"name":"Milepost","value":"23.3344"},{"id":17,"name":"Train ID","value":"167-23"},{"id":16,"name":"Locomotive ID","value":"4027"},{"id":130,"name":"Impact","value":""},{"id":150,"name":"Time of Event (Mountain Time)","value":"12:39:15"},{"id":151,"name":"Denver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8"/>
        <v>start /low /b %USERPROFILE%\Documents\GitHub\eaglep3\Utilities\DownloadLogsFromS3.py --loco 4027 --day 2017-02-23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546</v>
      </c>
      <c r="B80" s="7">
        <v>4028</v>
      </c>
      <c r="C80" s="21" t="s">
        <v>294</v>
      </c>
      <c r="D80" s="21" t="s">
        <v>342</v>
      </c>
      <c r="E80" s="13">
        <v>42789.533530092594</v>
      </c>
      <c r="F80" s="13">
        <v>42789.539212962962</v>
      </c>
      <c r="G80" s="7">
        <v>2</v>
      </c>
      <c r="H80" s="21" t="s">
        <v>207</v>
      </c>
      <c r="I80" s="13">
        <v>42789.571099537039</v>
      </c>
      <c r="J80" s="7">
        <v>0</v>
      </c>
      <c r="K80" s="98" t="str">
        <f t="shared" si="21"/>
        <v>4027/4028</v>
      </c>
      <c r="L80" s="21" t="str">
        <f>VLOOKUP(A80,'Trips&amp;Operators'!$C$1:$G$99999,5,FALSE)</f>
        <v>HAITHCOX MICHAEL</v>
      </c>
      <c r="M80" s="6">
        <f t="shared" si="22"/>
        <v>3.1886574077361729E-2</v>
      </c>
      <c r="N80" s="7">
        <f t="shared" si="23"/>
        <v>45.91666667140089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6"/>
        <v>https://d0f6bd738d7f1b3e5a7ca70fe4ff75f0.us-east-1.aws.found.io/app/kibana#/discover/Steve-Slow-Train-Analysis-(2080s-and-2083s)?_g=(refreshInterval:(display:Off,pause:!f,section:0,value:0),time:(from:'2017-02-23T11:48:17-0700',mode:absolute,to:'2017-02-23T14:42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187" t="str">
        <f t="shared" si="27"/>
        <v>N</v>
      </c>
      <c r="X80" s="187">
        <f t="shared" si="28"/>
        <v>1</v>
      </c>
      <c r="Y80" s="62">
        <f t="shared" si="29"/>
        <v>23.3002</v>
      </c>
      <c r="Z80" s="62">
        <f t="shared" si="30"/>
        <v>1.5800000000000002E-2</v>
      </c>
      <c r="AA80" s="62">
        <f t="shared" si="31"/>
        <v>23.284400000000002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0168-23</v>
      </c>
      <c r="AE80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80" s="82" t="str">
        <f t="shared" si="34"/>
        <v>"C:\Program Files (x86)\AstroGrep\AstroGrep.exe" /spath="%USERPROFILE%\AppData\Local\Temp\OnboardLogs" /stypes="app*4028*20170223*" /stext=" 20:.+(\|loc)" /e /r /s</v>
      </c>
      <c r="AG80" s="1" t="str">
        <f t="shared" si="35"/>
        <v>EC</v>
      </c>
      <c r="AH80" s="86" t="str">
        <f t="shared" si="36"/>
        <v>"%USERPROFILE%\Documents\GitHub\eaglep3\Utilities\RefineRTDCRunTimes.py" --tripid 168-23 --locoid 4028 --swversion DE.1.0.9.0 --startMP 204:233002 --initTime 2017-02-23T12:48:17 --startdatetime 2017-02-23T12:56:28 --delay 2 --endMP 204:158 --enddatetime 2017-02-23T13:42:23 --enforcementcount 0 &gt;&gt;C:\Users\stu\Documents\GitHub\eaglep3-reporting\EC\2017-02-23-refined-times.txt</v>
      </c>
      <c r="AI8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ID","value":"168-23"},{"id":16,"name":"Locomotive ID","value":"4028"},{"id":130,"name":"Impact","value":""},{"id":150,"name":"Time of Event (Mountain Time)","value":"13:42:23"},{"id":151,"name":"Denver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8"/>
        <v>start /low /b %USERPROFILE%\Documents\GitHub\eaglep3\Utilities\DownloadLogsFromS3.py --loco 4028 --day 2017-02-23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540</v>
      </c>
      <c r="B81" s="7">
        <v>4040</v>
      </c>
      <c r="C81" s="21" t="s">
        <v>294</v>
      </c>
      <c r="D81" s="21" t="s">
        <v>274</v>
      </c>
      <c r="E81" s="13">
        <v>42789.508159722223</v>
      </c>
      <c r="F81" s="13">
        <v>42789.51222222222</v>
      </c>
      <c r="G81" s="7">
        <v>2</v>
      </c>
      <c r="H81" s="21" t="s">
        <v>693</v>
      </c>
      <c r="I81" s="13">
        <v>42789.536863425928</v>
      </c>
      <c r="J81" s="7">
        <v>0</v>
      </c>
      <c r="K81" s="98" t="str">
        <f t="shared" si="21"/>
        <v>4039/4040</v>
      </c>
      <c r="L81" s="21" t="str">
        <f>VLOOKUP(A81,'Trips&amp;Operators'!$C$1:$G$99999,5,FALSE)</f>
        <v>HELVIE ADAM</v>
      </c>
      <c r="M81" s="6">
        <f t="shared" si="22"/>
        <v>2.4641203708597459E-2</v>
      </c>
      <c r="N81" s="7">
        <f t="shared" si="23"/>
        <v>35.483333340380341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6"/>
        <v>https://d0f6bd738d7f1b3e5a7ca70fe4ff75f0.us-east-1.aws.found.io/app/kibana#/discover/Steve-Slow-Train-Analysis-(2080s-and-2083s)?_g=(refreshInterval:(display:Off,pause:!f,section:0,value:0),time:(from:'2017-02-23T11:11:45-0700',mode:absolute,to:'2017-02-23T13:53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87" t="str">
        <f t="shared" si="27"/>
        <v>N</v>
      </c>
      <c r="X81" s="187">
        <f t="shared" si="28"/>
        <v>1</v>
      </c>
      <c r="Y81" s="62">
        <f t="shared" si="29"/>
        <v>4.7699999999999999E-2</v>
      </c>
      <c r="Z81" s="62">
        <f t="shared" si="30"/>
        <v>23.332999999999998</v>
      </c>
      <c r="AA81" s="62">
        <f t="shared" si="31"/>
        <v>23.285299999999999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0169-23</v>
      </c>
      <c r="AE81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81" s="82" t="str">
        <f t="shared" si="34"/>
        <v>"C:\Program Files (x86)\AstroGrep\AstroGrep.exe" /spath="%USERPROFILE%\AppData\Local\Temp\OnboardLogs" /stypes="app*4040*20170223*" /stext=" 19:.+(\|loc)" /e /r /s</v>
      </c>
      <c r="AG81" s="1" t="str">
        <f t="shared" si="35"/>
        <v>EC</v>
      </c>
      <c r="AH81" s="86" t="str">
        <f t="shared" si="36"/>
        <v>"%USERPROFILE%\Documents\GitHub\eaglep3\Utilities\RefineRTDCRunTimes.py" --tripid 169-23 --locoid 4040 --swversion DE.1.0.9.0 --startMP 204:477 --initTime 2017-02-23T12:11:45 --startdatetime 2017-02-23T12:17:36 --delay 2 --endMP 204:233330 --enddatetime 2017-02-23T12:53:05 --enforcementcount 0 &gt;&gt;C:\Users\stu\Documents\GitHub\eaglep3-reporting\EC\2017-02-23-refined-times.txt</v>
      </c>
      <c r="AI8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{"issue":{"subject":"","project_id":79,"tracker_id":40,"status_id":1,"priority_id":2,"assigned_to_id":23,"start_date":"2017-02-23","description":"","custom_fields":[{"id":1,"name":"Subdivision","value":"EC"},{"id":4,"name":"Milepost","value":"23.333"},{"id":17,"name":"Train ID","value":"169-23"},{"id":16,"name":"Locomotive ID","value":"4040"},{"id":130,"name":"Impact","value":""},{"id":150,"name":"Time of Event (Mountain Time)","value":"12:53:05"},{"id":151,"name":"Denver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8"/>
        <v>start /low /b %USERPROFILE%\Documents\GitHub\eaglep3\Utilities\DownloadLogsFromS3.py --loco 4040 --day 2017-02-23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439</v>
      </c>
      <c r="B82" s="7">
        <v>4039</v>
      </c>
      <c r="C82" s="21" t="s">
        <v>294</v>
      </c>
      <c r="D82" s="21" t="s">
        <v>336</v>
      </c>
      <c r="E82" s="13">
        <v>42789.543668981481</v>
      </c>
      <c r="F82" s="13">
        <v>42789.549861111111</v>
      </c>
      <c r="G82" s="7">
        <v>2</v>
      </c>
      <c r="H82" s="21" t="s">
        <v>207</v>
      </c>
      <c r="I82" s="13">
        <v>42789.580358796295</v>
      </c>
      <c r="J82" s="7">
        <v>0</v>
      </c>
      <c r="K82" s="98" t="str">
        <f t="shared" si="21"/>
        <v>4039/4040</v>
      </c>
      <c r="L82" s="21" t="str">
        <f>VLOOKUP(A82,'Trips&amp;Operators'!$C$1:$G$99999,5,FALSE)</f>
        <v>HELVIE ADAM</v>
      </c>
      <c r="M82" s="6">
        <f t="shared" si="22"/>
        <v>3.0497685183945578E-2</v>
      </c>
      <c r="N82" s="7">
        <f t="shared" si="23"/>
        <v>43.916666664881632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6"/>
        <v>https://d0f6bd738d7f1b3e5a7ca70fe4ff75f0.us-east-1.aws.found.io/app/kibana#/discover/Steve-Slow-Train-Analysis-(2080s-and-2083s)?_g=(refreshInterval:(display:Off,pause:!f,section:0,value:0),time:(from:'2017-02-23T12:02:53-0700',mode:absolute,to:'2017-02-23T14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87" t="str">
        <f t="shared" si="27"/>
        <v>N</v>
      </c>
      <c r="X82" s="187">
        <f t="shared" si="28"/>
        <v>1</v>
      </c>
      <c r="Y82" s="62">
        <f t="shared" si="29"/>
        <v>23.299199999999999</v>
      </c>
      <c r="Z82" s="62">
        <f t="shared" si="30"/>
        <v>1.5800000000000002E-2</v>
      </c>
      <c r="AA82" s="62">
        <f t="shared" si="31"/>
        <v>23.2834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0170-23</v>
      </c>
      <c r="AE82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82" s="82" t="str">
        <f t="shared" si="34"/>
        <v>"C:\Program Files (x86)\AstroGrep\AstroGrep.exe" /spath="%USERPROFILE%\AppData\Local\Temp\OnboardLogs" /stypes="app*4039*20170223*" /stext=" 20:.+(\|loc)" /e /r /s</v>
      </c>
      <c r="AG82" s="1" t="str">
        <f t="shared" si="35"/>
        <v>EC</v>
      </c>
      <c r="AH82" s="86" t="str">
        <f t="shared" si="36"/>
        <v>"%USERPROFILE%\Documents\GitHub\eaglep3\Utilities\RefineRTDCRunTimes.py" --tripid 170-23 --locoid 4039 --swversion DE.1.0.9.0 --startMP 204:232992 --initTime 2017-02-23T13:02:53 --startdatetime 2017-02-23T13:11:48 --delay 2 --endMP 204:158 --enddatetime 2017-02-23T13:55:43 --enforcementcount 0 &gt;&gt;C:\Users\stu\Documents\GitHub\eaglep3-reporting\EC\2017-02-23-refined-times.txt</v>
      </c>
      <c r="AI8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ID","value":"170-23"},{"id":16,"name":"Locomotive ID","value":"4039"},{"id":130,"name":"Impact","value":""},{"id":150,"name":"Time of Event (Mountain Time)","value":"13:55:43"},{"id":151,"name":"Denver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8"/>
        <v>start /low /b %USERPROFILE%\Documents\GitHub\eaglep3\Utilities\DownloadLogsFromS3.py --loco 4039 --day 2017-02-23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542</v>
      </c>
      <c r="B83" s="7">
        <v>4046</v>
      </c>
      <c r="C83" s="21" t="s">
        <v>294</v>
      </c>
      <c r="D83" s="21" t="s">
        <v>694</v>
      </c>
      <c r="E83" s="13">
        <v>42789.518599537034</v>
      </c>
      <c r="F83" s="13">
        <v>42789.521539351852</v>
      </c>
      <c r="G83" s="7">
        <v>1</v>
      </c>
      <c r="H83" s="21" t="s">
        <v>280</v>
      </c>
      <c r="I83" s="13">
        <v>42789.545891203707</v>
      </c>
      <c r="J83" s="7">
        <v>0</v>
      </c>
      <c r="K83" s="98" t="str">
        <f t="shared" si="21"/>
        <v>4045/4046</v>
      </c>
      <c r="L83" s="21" t="str">
        <f>VLOOKUP(A83,'Trips&amp;Operators'!$C$1:$G$99999,5,FALSE)</f>
        <v>BRANNON JEFFREY</v>
      </c>
      <c r="M83" s="6">
        <f t="shared" si="22"/>
        <v>2.4351851854589768E-2</v>
      </c>
      <c r="N83" s="7">
        <f t="shared" si="23"/>
        <v>35.066666670609266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6"/>
        <v>https://d0f6bd738d7f1b3e5a7ca70fe4ff75f0.us-east-1.aws.found.io/app/kibana#/discover/Steve-Slow-Train-Analysis-(2080s-and-2083s)?_g=(refreshInterval:(display:Off,pause:!f,section:0,value:0),time:(from:'2017-02-23T11:26:47-0700',mode:absolute,to:'2017-02-23T14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3" s="187" t="str">
        <f t="shared" si="27"/>
        <v>N</v>
      </c>
      <c r="X83" s="187">
        <f t="shared" si="28"/>
        <v>1</v>
      </c>
      <c r="Y83" s="62">
        <f t="shared" si="29"/>
        <v>4.6699999999999998E-2</v>
      </c>
      <c r="Z83" s="62">
        <f t="shared" si="30"/>
        <v>23.331700000000001</v>
      </c>
      <c r="AA83" s="62">
        <f t="shared" si="31"/>
        <v>23.285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0171-23</v>
      </c>
      <c r="AE83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83" s="82" t="str">
        <f t="shared" si="34"/>
        <v>"C:\Program Files (x86)\AstroGrep\AstroGrep.exe" /spath="%USERPROFILE%\AppData\Local\Temp\OnboardLogs" /stypes="app*4046*20170223*" /stext=" 20:.+(\|loc)" /e /r /s</v>
      </c>
      <c r="AG83" s="1" t="str">
        <f t="shared" si="35"/>
        <v>EC</v>
      </c>
      <c r="AH83" s="86" t="str">
        <f t="shared" si="36"/>
        <v>"%USERPROFILE%\Documents\GitHub\eaglep3\Utilities\RefineRTDCRunTimes.py" --tripid 171-23 --locoid 4046 --swversion DE.1.0.9.0 --startMP 204:467 --initTime 2017-02-23T12:26:47 --startdatetime 2017-02-23T12:31:01 --delay 1 --endMP 204:233317 --enddatetime 2017-02-23T13:06:05 --enforcementcount 0 &gt;&gt;C:\Users\stu\Documents\GitHub\eaglep3-reporting\EC\2017-02-23-refined-times.txt</v>
      </c>
      <c r="AI8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{"issue":{"subject":"","project_id":79,"tracker_id":40,"status_id":1,"priority_id":2,"assigned_to_id":23,"start_date":"2017-02-23","description":"","custom_fields":[{"id":1,"name":"Subdivision","value":"EC"},{"id":4,"name":"Milepost","value":"23.3317"},{"id":17,"name":"Train ID","value":"171-23"},{"id":16,"name":"Locomotive ID","value":"4046"},{"id":130,"name":"Impact","value":""},{"id":150,"name":"Time of Event (Mountain Time)","value":"13:06:05"},{"id":151,"name":"Denver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8"/>
        <v>start /low /b %USERPROFILE%\Documents\GitHub\eaglep3\Utilities\DownloadLogsFromS3.py --loco 4046 --day 2017-02-23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440</v>
      </c>
      <c r="B84" s="7">
        <v>4045</v>
      </c>
      <c r="C84" s="21" t="s">
        <v>294</v>
      </c>
      <c r="D84" s="21" t="s">
        <v>259</v>
      </c>
      <c r="E84" s="13">
        <v>42789.547083333331</v>
      </c>
      <c r="F84" s="13">
        <v>42789.559884259259</v>
      </c>
      <c r="G84" s="7">
        <v>1</v>
      </c>
      <c r="H84" s="21" t="s">
        <v>272</v>
      </c>
      <c r="I84" s="13">
        <v>42789.586331018516</v>
      </c>
      <c r="J84" s="7">
        <v>0</v>
      </c>
      <c r="K84" s="98" t="str">
        <f t="shared" si="21"/>
        <v>4045/4046</v>
      </c>
      <c r="L84" s="21" t="str">
        <f>VLOOKUP(A84,'Trips&amp;Operators'!$C$1:$G$99999,5,FALSE)</f>
        <v>BRANNON JEFFREY</v>
      </c>
      <c r="M84" s="6">
        <f t="shared" si="22"/>
        <v>2.6446759256941732E-2</v>
      </c>
      <c r="N84" s="7">
        <f t="shared" si="23"/>
        <v>38.083333329996094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6"/>
        <v>https://d0f6bd738d7f1b3e5a7ca70fe4ff75f0.us-east-1.aws.found.io/app/kibana#/discover/Steve-Slow-Train-Analysis-(2080s-and-2083s)?_g=(refreshInterval:(display:Off,pause:!f,section:0,value:0),time:(from:'2017-02-23T12:07:48-0700',mode:absolute,to:'2017-02-23T15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4" s="187" t="str">
        <f t="shared" si="27"/>
        <v>N</v>
      </c>
      <c r="X84" s="187">
        <f t="shared" si="28"/>
        <v>1</v>
      </c>
      <c r="Y84" s="62">
        <f t="shared" si="29"/>
        <v>23.299600000000002</v>
      </c>
      <c r="Z84" s="62">
        <f t="shared" si="30"/>
        <v>1.47E-2</v>
      </c>
      <c r="AA84" s="62">
        <f t="shared" si="31"/>
        <v>23.2849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0172-23</v>
      </c>
      <c r="AE84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84" s="82" t="str">
        <f t="shared" si="34"/>
        <v>"C:\Program Files (x86)\AstroGrep\AstroGrep.exe" /spath="%USERPROFILE%\AppData\Local\Temp\OnboardLogs" /stypes="app*4045*20170223*" /stext=" 21:.+(\|loc)" /e /r /s</v>
      </c>
      <c r="AG84" s="1" t="str">
        <f t="shared" si="35"/>
        <v>EC</v>
      </c>
      <c r="AH84" s="86" t="str">
        <f t="shared" si="36"/>
        <v>"%USERPROFILE%\Documents\GitHub\eaglep3\Utilities\RefineRTDCRunTimes.py" --tripid 172-23 --locoid 4045 --swversion DE.1.0.9.0 --startMP 204:232996 --initTime 2017-02-23T13:07:48 --startdatetime 2017-02-23T13:26:14 --delay 1 --endMP 204:147 --enddatetime 2017-02-23T14:04:19 --enforcementcount 0 &gt;&gt;C:\Users\stu\Documents\GitHub\eaglep3-reporting\EC\2017-02-23-refined-times.txt</v>
      </c>
      <c r="AI8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ID","value":"172-23"},{"id":16,"name":"Locomotive ID","value":"4045"},{"id":130,"name":"Impact","value":""},{"id":150,"name":"Time of Event (Mountain Time)","value":"14:04:19"},{"id":151,"name":"Denver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8"/>
        <v>start /low /b %USERPROFILE%\Documents\GitHub\eaglep3\Utilities\DownloadLogsFromS3.py --loco 4045 --day 2017-02-23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545</v>
      </c>
      <c r="B85" s="7">
        <v>4029</v>
      </c>
      <c r="C85" s="21" t="s">
        <v>294</v>
      </c>
      <c r="D85" s="21" t="s">
        <v>695</v>
      </c>
      <c r="E85" s="13">
        <v>42789.528703703705</v>
      </c>
      <c r="F85" s="13">
        <v>42789.531423611108</v>
      </c>
      <c r="G85" s="7">
        <v>1</v>
      </c>
      <c r="H85" s="21" t="s">
        <v>696</v>
      </c>
      <c r="I85" s="13">
        <v>42789.565381944441</v>
      </c>
      <c r="J85" s="7">
        <v>0</v>
      </c>
      <c r="K85" s="98" t="str">
        <f t="shared" si="21"/>
        <v>4029/4030</v>
      </c>
      <c r="L85" s="21" t="str">
        <f>VLOOKUP(A85,'Trips&amp;Operators'!$C$1:$G$99999,5,FALSE)</f>
        <v>CLARK KATHLEEN</v>
      </c>
      <c r="M85" s="6">
        <f t="shared" si="22"/>
        <v>3.3958333333430346E-2</v>
      </c>
      <c r="N85" s="7">
        <f t="shared" si="23"/>
        <v>48.900000000139698</v>
      </c>
      <c r="O85" s="7"/>
      <c r="P85" s="7"/>
      <c r="Q85" s="22"/>
      <c r="R85" s="22"/>
      <c r="S85" s="31">
        <f t="shared" si="24"/>
        <v>1</v>
      </c>
      <c r="T85" s="46" t="str">
        <f t="shared" si="25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6"/>
        <v>https://d0f6bd738d7f1b3e5a7ca70fe4ff75f0.us-east-1.aws.found.io/app/kibana#/discover/Steve-Slow-Train-Analysis-(2080s-and-2083s)?_g=(refreshInterval:(display:Off,pause:!f,section:0,value:0),time:(from:'2017-02-23T11:41:20-0700',mode:absolute,to:'2017-02-23T14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187" t="str">
        <f t="shared" si="27"/>
        <v>N</v>
      </c>
      <c r="X85" s="187">
        <f t="shared" si="28"/>
        <v>1</v>
      </c>
      <c r="Y85" s="62">
        <f t="shared" si="29"/>
        <v>5.0200000000000002E-2</v>
      </c>
      <c r="Z85" s="62">
        <f t="shared" si="30"/>
        <v>23.327400000000001</v>
      </c>
      <c r="AA85" s="62">
        <f t="shared" si="31"/>
        <v>23.277200000000001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0173-23</v>
      </c>
      <c r="AE85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85" s="82" t="str">
        <f t="shared" si="34"/>
        <v>"C:\Program Files (x86)\AstroGrep\AstroGrep.exe" /spath="%USERPROFILE%\AppData\Local\Temp\OnboardLogs" /stypes="app*4029*20170223*" /stext=" 20:.+(\|loc)" /e /r /s</v>
      </c>
      <c r="AG85" s="1" t="str">
        <f t="shared" si="35"/>
        <v>EC</v>
      </c>
      <c r="AH85" s="86" t="str">
        <f t="shared" si="36"/>
        <v>"%USERPROFILE%\Documents\GitHub\eaglep3\Utilities\RefineRTDCRunTimes.py" --tripid 173-23 --locoid 4029 --swversion DE.1.0.9.0 --startMP 204:502 --initTime 2017-02-23T12:41:20 --startdatetime 2017-02-23T12:45:15 --delay 1 --endMP 204:233274 --enddatetime 2017-02-23T13:34:09 --enforcementcount 0 &gt;&gt;C:\Users\stu\Documents\GitHub\eaglep3-reporting\EC\2017-02-23-refined-times.txt</v>
      </c>
      <c r="AI8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{"issue":{"subject":"","project_id":79,"tracker_id":40,"status_id":1,"priority_id":2,"assigned_to_id":23,"start_date":"2017-02-23","description":"","custom_fields":[{"id":1,"name":"Subdivision","value":"EC"},{"id":4,"name":"Milepost","value":"23.3274"},{"id":17,"name":"Train ID","value":"173-23"},{"id":16,"name":"Locomotive ID","value":"4029"},{"id":130,"name":"Impact","value":""},{"id":150,"name":"Time of Event (Mountain Time)","value":"13:34:09"},{"id":151,"name":"Denver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8"/>
        <v>start /low /b %USERPROFILE%\Documents\GitHub\eaglep3\Utilities\DownloadLogsFromS3.py --loco 4029 --day 2017-02-23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552</v>
      </c>
      <c r="B86" s="7">
        <v>4030</v>
      </c>
      <c r="C86" s="21" t="s">
        <v>294</v>
      </c>
      <c r="D86" s="21" t="s">
        <v>697</v>
      </c>
      <c r="E86" s="13">
        <v>42789.570451388892</v>
      </c>
      <c r="F86" s="13">
        <v>42789.572835648149</v>
      </c>
      <c r="G86" s="7">
        <v>1</v>
      </c>
      <c r="H86" s="21" t="s">
        <v>671</v>
      </c>
      <c r="I86" s="13">
        <v>42789.600138888891</v>
      </c>
      <c r="J86" s="7">
        <v>0</v>
      </c>
      <c r="K86" s="98" t="str">
        <f t="shared" si="21"/>
        <v>4029/4030</v>
      </c>
      <c r="L86" s="21" t="str">
        <f>VLOOKUP(A86,'Trips&amp;Operators'!$C$1:$G$99999,5,FALSE)</f>
        <v>CLARK KATHLEEN</v>
      </c>
      <c r="M86" s="6">
        <f t="shared" si="22"/>
        <v>2.7303240742185153E-2</v>
      </c>
      <c r="N86" s="7">
        <f t="shared" si="23"/>
        <v>39.31666666874662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6"/>
        <v>https://d0f6bd738d7f1b3e5a7ca70fe4ff75f0.us-east-1.aws.found.io/app/kibana#/discover/Steve-Slow-Train-Analysis-(2080s-and-2083s)?_g=(refreshInterval:(display:Off,pause:!f,section:0,value:0),time:(from:'2017-02-23T12:41:27-0700',mode:absolute,to:'2017-02-23T15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87" t="str">
        <f t="shared" si="27"/>
        <v>N</v>
      </c>
      <c r="X86" s="187">
        <f t="shared" si="28"/>
        <v>1</v>
      </c>
      <c r="Y86" s="62">
        <f t="shared" si="29"/>
        <v>23.295000000000002</v>
      </c>
      <c r="Z86" s="62">
        <f t="shared" si="30"/>
        <v>1.72E-2</v>
      </c>
      <c r="AA86" s="62">
        <f t="shared" si="31"/>
        <v>23.277800000000003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0174-23</v>
      </c>
      <c r="AE86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86" s="82" t="str">
        <f t="shared" si="34"/>
        <v>"C:\Program Files (x86)\AstroGrep\AstroGrep.exe" /spath="%USERPROFILE%\AppData\Local\Temp\OnboardLogs" /stypes="app*4030*20170223*" /stext=" 21:.+(\|loc)" /e /r /s</v>
      </c>
      <c r="AG86" s="1" t="str">
        <f t="shared" si="35"/>
        <v>EC</v>
      </c>
      <c r="AH86" s="86" t="str">
        <f t="shared" si="36"/>
        <v>"%USERPROFILE%\Documents\GitHub\eaglep3\Utilities\RefineRTDCRunTimes.py" --tripid 174-23 --locoid 4030 --swversion DE.1.0.9.0 --startMP 204:232950 --initTime 2017-02-23T13:41:27 --startdatetime 2017-02-23T13:44:53 --delay 1 --endMP 204:172 --enddatetime 2017-02-23T14:24:12 --enforcementcount 0 &gt;&gt;C:\Users\stu\Documents\GitHub\eaglep3-reporting\EC\2017-02-23-refined-times.txt</v>
      </c>
      <c r="AI8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{"issue":{"subject":"","project_id":79,"tracker_id":40,"status_id":1,"priority_id":2,"assigned_to_id":23,"start_date":"2017-02-23","description":"","custom_fields":[{"id":1,"name":"Subdivision","value":"EC"},{"id":4,"name":"Milepost","value":"0.0172"},{"id":17,"name":"Train ID","value":"174-23"},{"id":16,"name":"Locomotive ID","value":"4030"},{"id":130,"name":"Impact","value":""},{"id":150,"name":"Time of Event (Mountain Time)","value":"14:24:12"},{"id":151,"name":"Denver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8"/>
        <v>start /low /b %USERPROFILE%\Documents\GitHub\eaglep3\Utilities\DownloadLogsFromS3.py --loco 4030 --day 2017-02-23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</row>
    <row r="87" spans="1:91" s="20" customFormat="1" x14ac:dyDescent="0.25">
      <c r="A87" s="33" t="s">
        <v>547</v>
      </c>
      <c r="B87" s="7">
        <v>4014</v>
      </c>
      <c r="C87" s="21" t="s">
        <v>294</v>
      </c>
      <c r="D87" s="21" t="s">
        <v>225</v>
      </c>
      <c r="E87" s="13">
        <v>42789.538530092592</v>
      </c>
      <c r="F87" s="13">
        <v>42789.541851851849</v>
      </c>
      <c r="G87" s="7">
        <v>2</v>
      </c>
      <c r="H87" s="21" t="s">
        <v>698</v>
      </c>
      <c r="I87" s="13">
        <v>42789.574016203704</v>
      </c>
      <c r="J87" s="7">
        <v>0</v>
      </c>
      <c r="K87" s="98" t="str">
        <f t="shared" si="21"/>
        <v>4013/4014</v>
      </c>
      <c r="L87" s="21" t="str">
        <f>VLOOKUP(A87,'Trips&amp;Operators'!$C$1:$G$99999,5,FALSE)</f>
        <v>KILLION DAVID</v>
      </c>
      <c r="M87" s="6">
        <f t="shared" si="22"/>
        <v>3.2164351854589768E-2</v>
      </c>
      <c r="N87" s="7">
        <f t="shared" si="23"/>
        <v>46.316666670609266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6"/>
        <v>https://d0f6bd738d7f1b3e5a7ca70fe4ff75f0.us-east-1.aws.found.io/app/kibana#/discover/Steve-Slow-Train-Analysis-(2080s-and-2083s)?_g=(refreshInterval:(display:Off,pause:!f,section:0,value:0),time:(from:'2017-02-23T11:55:29-0700',mode:absolute,to:'2017-02-23T14:46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187" t="str">
        <f t="shared" si="27"/>
        <v>N</v>
      </c>
      <c r="X87" s="187">
        <f t="shared" si="28"/>
        <v>1</v>
      </c>
      <c r="Y87" s="62">
        <f t="shared" si="29"/>
        <v>4.5100000000000001E-2</v>
      </c>
      <c r="Z87" s="62">
        <f t="shared" si="30"/>
        <v>23.328499999999998</v>
      </c>
      <c r="AA87" s="62">
        <f t="shared" si="31"/>
        <v>23.283399999999997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0175-23</v>
      </c>
      <c r="AE87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87" s="82" t="str">
        <f t="shared" si="34"/>
        <v>"C:\Program Files (x86)\AstroGrep\AstroGrep.exe" /spath="%USERPROFILE%\AppData\Local\Temp\OnboardLogs" /stypes="app*4014*20170223*" /stext=" 20:.+(\|loc)" /e /r /s</v>
      </c>
      <c r="AG87" s="1" t="str">
        <f t="shared" si="35"/>
        <v>EC</v>
      </c>
      <c r="AH87" s="86" t="str">
        <f t="shared" si="36"/>
        <v>"%USERPROFILE%\Documents\GitHub\eaglep3\Utilities\RefineRTDCRunTimes.py" --tripid 175-23 --locoid 4014 --swversion DE.1.0.9.0 --startMP 204:451 --initTime 2017-02-23T12:55:29 --startdatetime 2017-02-23T13:00:16 --delay 2 --endMP 204:233285 --enddatetime 2017-02-23T13:46:35 --enforcementcount 0 &gt;&gt;C:\Users\stu\Documents\GitHub\eaglep3-reporting\EC\2017-02-23-refined-times.txt</v>
      </c>
      <c r="AI8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{"issue":{"subject":"","project_id":79,"tracker_id":40,"status_id":1,"priority_id":2,"assigned_to_id":23,"start_date":"2017-02-23","description":"","custom_fields":[{"id":1,"name":"Subdivision","value":"EC"},{"id":4,"name":"Milepost","value":"23.3285"},{"id":17,"name":"Train ID","value":"175-23"},{"id":16,"name":"Locomotive ID","value":"4014"},{"id":130,"name":"Impact","value":""},{"id":150,"name":"Time of Event (Mountain Time)","value":"13:46:35"},{"id":151,"name":"Denver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8"/>
        <v>start /low /b %USERPROFILE%\Documents\GitHub\eaglep3\Utilities\DownloadLogsFromS3.py --loco 4014 --day 2017-02-23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554</v>
      </c>
      <c r="B88" s="7">
        <v>4013</v>
      </c>
      <c r="C88" s="21" t="s">
        <v>294</v>
      </c>
      <c r="D88" s="21" t="s">
        <v>276</v>
      </c>
      <c r="E88" s="13">
        <v>42789.579780092594</v>
      </c>
      <c r="F88" s="13">
        <v>42789.581712962965</v>
      </c>
      <c r="G88" s="7">
        <v>1</v>
      </c>
      <c r="H88" s="21" t="s">
        <v>699</v>
      </c>
      <c r="I88" s="13">
        <v>42789.610729166663</v>
      </c>
      <c r="J88" s="7">
        <v>0</v>
      </c>
      <c r="K88" s="98" t="str">
        <f t="shared" si="21"/>
        <v>4013/4014</v>
      </c>
      <c r="L88" s="21" t="str">
        <f>VLOOKUP(A88,'Trips&amp;Operators'!$C$1:$G$99999,5,FALSE)</f>
        <v>KILLION DAVID</v>
      </c>
      <c r="M88" s="6">
        <f t="shared" si="22"/>
        <v>2.901620369812008E-2</v>
      </c>
      <c r="N88" s="7">
        <f t="shared" si="23"/>
        <v>41.783333325292915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6"/>
        <v>https://d0f6bd738d7f1b3e5a7ca70fe4ff75f0.us-east-1.aws.found.io/app/kibana#/discover/Steve-Slow-Train-Analysis-(2080s-and-2083s)?_g=(refreshInterval:(display:Off,pause:!f,section:0,value:0),time:(from:'2017-02-23T12:54:53-0700',mode:absolute,to:'2017-02-23T15:39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187" t="str">
        <f t="shared" si="27"/>
        <v>N</v>
      </c>
      <c r="X88" s="187">
        <f t="shared" si="28"/>
        <v>1</v>
      </c>
      <c r="Y88" s="62">
        <f t="shared" si="29"/>
        <v>23.298500000000001</v>
      </c>
      <c r="Z88" s="62">
        <f t="shared" si="30"/>
        <v>1.9099999999999999E-2</v>
      </c>
      <c r="AA88" s="62">
        <f t="shared" si="31"/>
        <v>23.279399999999999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0176-23</v>
      </c>
      <c r="AE88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88" s="82" t="str">
        <f t="shared" si="34"/>
        <v>"C:\Program Files (x86)\AstroGrep\AstroGrep.exe" /spath="%USERPROFILE%\AppData\Local\Temp\OnboardLogs" /stypes="app*4013*20170223*" /stext=" 21:.+(\|loc)" /e /r /s</v>
      </c>
      <c r="AG88" s="1" t="str">
        <f t="shared" si="35"/>
        <v>EC</v>
      </c>
      <c r="AH88" s="86" t="str">
        <f t="shared" si="36"/>
        <v>"%USERPROFILE%\Documents\GitHub\eaglep3\Utilities\RefineRTDCRunTimes.py" --tripid 176-23 --locoid 4013 --swversion DE.1.0.9.0 --startMP 204:232985 --initTime 2017-02-23T13:54:53 --startdatetime 2017-02-23T13:57:40 --delay 1 --endMP 204:191 --enddatetime 2017-02-23T14:39:27 --enforcementcount 0 &gt;&gt;C:\Users\stu\Documents\GitHub\eaglep3-reporting\EC\2017-02-23-refined-times.txt</v>
      </c>
      <c r="AI8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{"issue":{"subject":"","project_id":79,"tracker_id":40,"status_id":1,"priority_id":2,"assigned_to_id":23,"start_date":"2017-02-23","description":"","custom_fields":[{"id":1,"name":"Subdivision","value":"EC"},{"id":4,"name":"Milepost","value":"0.0191"},{"id":17,"name":"Train ID","value":"176-23"},{"id":16,"name":"Locomotive ID","value":"4013"},{"id":130,"name":"Impact","value":""},{"id":150,"name":"Time of Event (Mountain Time)","value":"14:39:27"},{"id":151,"name":"Denver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8"/>
        <v>start /low /b %USERPROFILE%\Documents\GitHub\eaglep3\Utilities\DownloadLogsFromS3.py --loco 4013 --day 2017-02-23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549</v>
      </c>
      <c r="B89" s="7">
        <v>4011</v>
      </c>
      <c r="C89" s="21" t="s">
        <v>294</v>
      </c>
      <c r="D89" s="21" t="s">
        <v>225</v>
      </c>
      <c r="E89" s="13">
        <v>42789.55027777778</v>
      </c>
      <c r="F89" s="13">
        <v>42789.55300925926</v>
      </c>
      <c r="G89" s="7">
        <v>1</v>
      </c>
      <c r="H89" s="21" t="s">
        <v>331</v>
      </c>
      <c r="I89" s="13">
        <v>42789.586099537039</v>
      </c>
      <c r="J89" s="7">
        <v>0</v>
      </c>
      <c r="K89" s="98" t="str">
        <f t="shared" si="21"/>
        <v>4011/4012</v>
      </c>
      <c r="L89" s="21" t="str">
        <f>VLOOKUP(A89,'Trips&amp;Operators'!$C$1:$G$99999,5,FALSE)</f>
        <v>BRUDER RICHARD</v>
      </c>
      <c r="M89" s="6">
        <f t="shared" si="22"/>
        <v>3.309027777868323E-2</v>
      </c>
      <c r="N89" s="7">
        <f t="shared" si="23"/>
        <v>47.650000001303852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6"/>
        <v>https://d0f6bd738d7f1b3e5a7ca70fe4ff75f0.us-east-1.aws.found.io/app/kibana#/discover/Steve-Slow-Train-Analysis-(2080s-and-2083s)?_g=(refreshInterval:(display:Off,pause:!f,section:0,value:0),time:(from:'2017-02-23T12:12:24-0700',mode:absolute,to:'2017-02-23T15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9" s="187" t="str">
        <f t="shared" si="27"/>
        <v>N</v>
      </c>
      <c r="X89" s="187">
        <f t="shared" si="28"/>
        <v>1</v>
      </c>
      <c r="Y89" s="62">
        <f t="shared" si="29"/>
        <v>4.5100000000000001E-2</v>
      </c>
      <c r="Z89" s="62">
        <f t="shared" si="30"/>
        <v>23.329499999999999</v>
      </c>
      <c r="AA89" s="62">
        <f t="shared" si="31"/>
        <v>23.284399999999998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0177-23</v>
      </c>
      <c r="AE89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89" s="82" t="str">
        <f t="shared" si="34"/>
        <v>"C:\Program Files (x86)\AstroGrep\AstroGrep.exe" /spath="%USERPROFILE%\AppData\Local\Temp\OnboardLogs" /stypes="app*4011*20170223*" /stext=" 21:.+(\|loc)" /e /r /s</v>
      </c>
      <c r="AG89" s="1" t="str">
        <f t="shared" si="35"/>
        <v>EC</v>
      </c>
      <c r="AH89" s="86" t="str">
        <f t="shared" si="36"/>
        <v>"%USERPROFILE%\Documents\GitHub\eaglep3\Utilities\RefineRTDCRunTimes.py" --tripid 177-23 --locoid 4011 --swversion DE.1.0.9.0 --startMP 204:451 --initTime 2017-02-23T13:12:24 --startdatetime 2017-02-23T13:16:20 --delay 1 --endMP 204:233295 --enddatetime 2017-02-23T14:03:59 --enforcementcount 0 &gt;&gt;C:\Users\stu\Documents\GitHub\eaglep3-reporting\EC\2017-02-23-refined-times.txt</v>
      </c>
      <c r="AI8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ID","value":"177-23"},{"id":16,"name":"Locomotive ID","value":"4011"},{"id":130,"name":"Impact","value":""},{"id":150,"name":"Time of Event (Mountain Time)","value":"14:03:59"},{"id":151,"name":"Denver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8"/>
        <v>start /low /b %USERPROFILE%\Documents\GitHub\eaglep3\Utilities\DownloadLogsFromS3.py --loco 4011 --day 2017-02-23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442</v>
      </c>
      <c r="B90" s="7">
        <v>4012</v>
      </c>
      <c r="C90" s="21" t="s">
        <v>294</v>
      </c>
      <c r="D90" s="21" t="s">
        <v>676</v>
      </c>
      <c r="E90" s="13">
        <v>42789.588379629633</v>
      </c>
      <c r="F90" s="13">
        <v>42789.591215277775</v>
      </c>
      <c r="G90" s="7">
        <v>1</v>
      </c>
      <c r="H90" s="21" t="s">
        <v>269</v>
      </c>
      <c r="I90" s="13">
        <v>42789.619837962964</v>
      </c>
      <c r="J90" s="7">
        <v>0</v>
      </c>
      <c r="K90" s="98" t="str">
        <f t="shared" si="21"/>
        <v>4011/4012</v>
      </c>
      <c r="L90" s="21" t="str">
        <f>VLOOKUP(A90,'Trips&amp;Operators'!$C$1:$G$99999,5,FALSE)</f>
        <v>BRUDER RICHARD</v>
      </c>
      <c r="M90" s="6">
        <f t="shared" si="22"/>
        <v>2.8622685189475305E-2</v>
      </c>
      <c r="N90" s="7">
        <f t="shared" si="23"/>
        <v>41.21666667284444</v>
      </c>
      <c r="O90" s="7"/>
      <c r="P90" s="7"/>
      <c r="Q90" s="22"/>
      <c r="R90" s="22"/>
      <c r="S90" s="31">
        <f t="shared" si="24"/>
        <v>1</v>
      </c>
      <c r="T90" s="46" t="str">
        <f t="shared" si="25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6"/>
        <v>https://d0f6bd738d7f1b3e5a7ca70fe4ff75f0.us-east-1.aws.found.io/app/kibana#/discover/Steve-Slow-Train-Analysis-(2080s-and-2083s)?_g=(refreshInterval:(display:Off,pause:!f,section:0,value:0),time:(from:'2017-02-23T13:07:16-0700',mode:absolute,to:'2017-02-23T15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0" s="187" t="str">
        <f t="shared" si="27"/>
        <v>N</v>
      </c>
      <c r="X90" s="187">
        <f t="shared" si="28"/>
        <v>1</v>
      </c>
      <c r="Y90" s="62">
        <f t="shared" si="29"/>
        <v>23.297699999999999</v>
      </c>
      <c r="Z90" s="62">
        <f t="shared" si="30"/>
        <v>1.5599999999999999E-2</v>
      </c>
      <c r="AA90" s="62">
        <f t="shared" si="31"/>
        <v>23.2821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0178-23</v>
      </c>
      <c r="AE90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90" s="82" t="str">
        <f t="shared" si="34"/>
        <v>"C:\Program Files (x86)\AstroGrep\AstroGrep.exe" /spath="%USERPROFILE%\AppData\Local\Temp\OnboardLogs" /stypes="app*4012*20170223*" /stext=" 21:.+(\|loc)" /e /r /s</v>
      </c>
      <c r="AG90" s="1" t="str">
        <f t="shared" si="35"/>
        <v>EC</v>
      </c>
      <c r="AH90" s="86" t="str">
        <f t="shared" si="36"/>
        <v>"%USERPROFILE%\Documents\GitHub\eaglep3\Utilities\RefineRTDCRunTimes.py" --tripid 178-23 --locoid 4012 --swversion DE.1.0.9.0 --startMP 204:232977 --initTime 2017-02-23T14:07:16 --startdatetime 2017-02-23T14:11:21 --delay 1 --endMP 204:156 --enddatetime 2017-02-23T14:52:34 --enforcementcount 0 &gt;&gt;C:\Users\stu\Documents\GitHub\eaglep3-reporting\EC\2017-02-23-refined-times.txt</v>
      </c>
      <c r="AI9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ID","value":"178-23"},{"id":16,"name":"Locomotive ID","value":"4012"},{"id":130,"name":"Impact","value":""},{"id":150,"name":"Time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8"/>
        <v>start /low /b %USERPROFILE%\Documents\GitHub\eaglep3\Utilities\DownloadLogsFromS3.py --loco 4012 --day 2017-02-23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550</v>
      </c>
      <c r="B91" s="7">
        <v>4009</v>
      </c>
      <c r="C91" s="21" t="s">
        <v>294</v>
      </c>
      <c r="D91" s="21" t="s">
        <v>286</v>
      </c>
      <c r="E91" s="13">
        <v>42789.558692129627</v>
      </c>
      <c r="F91" s="13">
        <v>42789.562685185185</v>
      </c>
      <c r="G91" s="7">
        <v>1</v>
      </c>
      <c r="H91" s="21" t="s">
        <v>692</v>
      </c>
      <c r="I91" s="13">
        <v>42789.58866898148</v>
      </c>
      <c r="J91" s="7">
        <v>0</v>
      </c>
      <c r="K91" s="98" t="str">
        <f t="shared" si="21"/>
        <v>4009/4010</v>
      </c>
      <c r="L91" s="21" t="str">
        <f>VLOOKUP(A91,'Trips&amp;Operators'!$C$1:$G$99999,5,FALSE)</f>
        <v>SMITH MICHAEL</v>
      </c>
      <c r="M91" s="6">
        <f t="shared" si="22"/>
        <v>2.5983796294895001E-2</v>
      </c>
      <c r="N91" s="7">
        <f t="shared" si="23"/>
        <v>37.416666664648801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6"/>
        <v>https://d0f6bd738d7f1b3e5a7ca70fe4ff75f0.us-east-1.aws.found.io/app/kibana#/discover/Steve-Slow-Train-Analysis-(2080s-and-2083s)?_g=(refreshInterval:(display:Off,pause:!f,section:0,value:0),time:(from:'2017-02-23T12:24:31-0700',mode:absolute,to:'2017-02-23T15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1" s="187" t="str">
        <f t="shared" si="27"/>
        <v>N</v>
      </c>
      <c r="X91" s="187">
        <f t="shared" si="28"/>
        <v>1</v>
      </c>
      <c r="Y91" s="62">
        <f t="shared" si="29"/>
        <v>4.4699999999999997E-2</v>
      </c>
      <c r="Z91" s="62">
        <f t="shared" si="30"/>
        <v>23.334399999999999</v>
      </c>
      <c r="AA91" s="62">
        <f t="shared" si="31"/>
        <v>23.2897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0179-23</v>
      </c>
      <c r="AE91" s="85" t="str">
        <f t="shared" si="33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91" s="82" t="str">
        <f t="shared" si="34"/>
        <v>"C:\Program Files (x86)\AstroGrep\AstroGrep.exe" /spath="%USERPROFILE%\AppData\Local\Temp\OnboardLogs" /stypes="app*4009*20170223*" /stext=" 21:.+(\|loc)" /e /r /s</v>
      </c>
      <c r="AG91" s="1" t="str">
        <f t="shared" si="35"/>
        <v>EC</v>
      </c>
      <c r="AH91" s="86" t="str">
        <f t="shared" si="36"/>
        <v>"%USERPROFILE%\Documents\GitHub\eaglep3\Utilities\RefineRTDCRunTimes.py" --tripid 179-23 --locoid 4009 --swversion DE.1.0.9.0 --startMP 204:447 --initTime 2017-02-23T13:24:31 --startdatetime 2017-02-23T13:30:16 --delay 1 --endMP 204:233344 --enddatetime 2017-02-23T14:07:41 --enforcementcount 0 &gt;&gt;C:\Users\stu\Documents\GitHub\eaglep3-reporting\EC\2017-02-23-refined-times.txt</v>
      </c>
      <c r="AI9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{"issue":{"subject":"","project_id":79,"tracker_id":40,"status_id":1,"priority_id":2,"assigned_to_id":23,"start_date":"2017-02-23","description":"","custom_fields":[{"id":1,"name":"Subdivision","value":"EC"},{"id":4,"name":"Milepost","value":"23.3344"},{"id":17,"name":"Train ID","value":"179-23"},{"id":16,"name":"Locomotive ID","value":"4009"},{"id":130,"name":"Impact","value":""},{"id":150,"name":"Time of Event (Mountain Time)","value":"14:07:41"},{"id":151,"name":"Denver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8"/>
        <v>start /low /b %USERPROFILE%\Documents\GitHub\eaglep3\Utilities\DownloadLogsFromS3.py --loco 4009 --day 2017-02-23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557</v>
      </c>
      <c r="B92" s="7">
        <v>4010</v>
      </c>
      <c r="C92" s="21" t="s">
        <v>294</v>
      </c>
      <c r="D92" s="21" t="s">
        <v>251</v>
      </c>
      <c r="E92" s="13">
        <v>42789.593090277776</v>
      </c>
      <c r="F92" s="13">
        <v>42789.6016087963</v>
      </c>
      <c r="G92" s="7">
        <v>1</v>
      </c>
      <c r="H92" s="21" t="s">
        <v>207</v>
      </c>
      <c r="I92" s="13">
        <v>42789.630497685182</v>
      </c>
      <c r="J92" s="7">
        <v>0</v>
      </c>
      <c r="K92" s="98" t="str">
        <f t="shared" si="21"/>
        <v>4009/4010</v>
      </c>
      <c r="L92" s="21" t="str">
        <f>VLOOKUP(A92,'Trips&amp;Operators'!$C$1:$G$99999,5,FALSE)</f>
        <v>SMITH MICHAEL</v>
      </c>
      <c r="M92" s="6">
        <f t="shared" si="22"/>
        <v>2.8888888882647734E-2</v>
      </c>
      <c r="N92" s="7">
        <f t="shared" si="23"/>
        <v>41.599999991012737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6"/>
        <v>https://d0f6bd738d7f1b3e5a7ca70fe4ff75f0.us-east-1.aws.found.io/app/kibana#/discover/Steve-Slow-Train-Analysis-(2080s-and-2083s)?_g=(refreshInterval:(display:Off,pause:!f,section:0,value:0),time:(from:'2017-02-23T13:14:03-0700',mode:absolute,to:'2017-02-23T16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187" t="str">
        <f t="shared" si="27"/>
        <v>N</v>
      </c>
      <c r="X92" s="187">
        <f t="shared" si="28"/>
        <v>1</v>
      </c>
      <c r="Y92" s="62">
        <f t="shared" si="29"/>
        <v>23.299099999999999</v>
      </c>
      <c r="Z92" s="62">
        <f t="shared" si="30"/>
        <v>1.5800000000000002E-2</v>
      </c>
      <c r="AA92" s="62">
        <f t="shared" si="31"/>
        <v>23.283300000000001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0180-23</v>
      </c>
      <c r="AE92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92" s="82" t="str">
        <f t="shared" si="34"/>
        <v>"C:\Program Files (x86)\AstroGrep\AstroGrep.exe" /spath="%USERPROFILE%\AppData\Local\Temp\OnboardLogs" /stypes="app*4010*20170223*" /stext=" 22:.+(\|loc)" /e /r /s</v>
      </c>
      <c r="AG92" s="1" t="str">
        <f t="shared" si="35"/>
        <v>EC</v>
      </c>
      <c r="AH92" s="86" t="str">
        <f t="shared" si="36"/>
        <v>"%USERPROFILE%\Documents\GitHub\eaglep3\Utilities\RefineRTDCRunTimes.py" --tripid 180-23 --locoid 4010 --swversion DE.1.0.9.0 --startMP 204:232991 --initTime 2017-02-23T14:14:03 --startdatetime 2017-02-23T14:26:19 --delay 1 --endMP 204:158 --enddatetime 2017-02-23T15:07:55 --enforcementcount 0 &gt;&gt;C:\Users\stu\Documents\GitHub\eaglep3-reporting\EC\2017-02-23-refined-times.txt</v>
      </c>
      <c r="AI9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ID","value":"180-23"},{"id":16,"name":"Locomotive ID","value":"4010"},{"id":130,"name":"Impact","value":""},{"id":150,"name":"Time of Event (Mountain Time)","value":"15:07:55"},{"id":151,"name":"Denver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8"/>
        <v>start /low /b %USERPROFILE%\Documents\GitHub\eaglep3\Utilities\DownloadLogsFromS3.py --loco 4010 --day 2017-02-23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553</v>
      </c>
      <c r="B93" s="7">
        <v>4027</v>
      </c>
      <c r="C93" s="21" t="s">
        <v>294</v>
      </c>
      <c r="D93" s="21" t="s">
        <v>296</v>
      </c>
      <c r="E93" s="13">
        <v>42789.57230324074</v>
      </c>
      <c r="F93" s="13">
        <v>42789.573842592596</v>
      </c>
      <c r="G93" s="7">
        <v>1</v>
      </c>
      <c r="H93" s="21" t="s">
        <v>693</v>
      </c>
      <c r="I93" s="13">
        <v>42789.600208333337</v>
      </c>
      <c r="J93" s="7">
        <v>0</v>
      </c>
      <c r="K93" s="98" t="str">
        <f t="shared" si="21"/>
        <v>4027/4028</v>
      </c>
      <c r="L93" s="21" t="str">
        <f>VLOOKUP(A93,'Trips&amp;Operators'!$C$1:$G$99999,5,FALSE)</f>
        <v>HAITHCOX MICHAEL</v>
      </c>
      <c r="M93" s="6">
        <f t="shared" si="22"/>
        <v>2.6365740741312038E-2</v>
      </c>
      <c r="N93" s="7">
        <f t="shared" si="23"/>
        <v>37.966666667489335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6"/>
        <v>https://d0f6bd738d7f1b3e5a7ca70fe4ff75f0.us-east-1.aws.found.io/app/kibana#/discover/Steve-Slow-Train-Analysis-(2080s-and-2083s)?_g=(refreshInterval:(display:Off,pause:!f,section:0,value:0),time:(from:'2017-02-23T12:44:07-0700',mode:absolute,to:'2017-02-23T15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87" t="str">
        <f t="shared" si="27"/>
        <v>N</v>
      </c>
      <c r="X93" s="187">
        <f t="shared" si="28"/>
        <v>1</v>
      </c>
      <c r="Y93" s="62">
        <f t="shared" si="29"/>
        <v>4.58E-2</v>
      </c>
      <c r="Z93" s="62">
        <f t="shared" si="30"/>
        <v>23.332999999999998</v>
      </c>
      <c r="AA93" s="62">
        <f t="shared" si="31"/>
        <v>23.287199999999999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0181-23</v>
      </c>
      <c r="AE93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93" s="82" t="str">
        <f t="shared" si="34"/>
        <v>"C:\Program Files (x86)\AstroGrep\AstroGrep.exe" /spath="%USERPROFILE%\AppData\Local\Temp\OnboardLogs" /stypes="app*4027*20170223*" /stext=" 21:.+(\|loc)" /e /r /s</v>
      </c>
      <c r="AG93" s="1" t="str">
        <f t="shared" si="35"/>
        <v>EC</v>
      </c>
      <c r="AH93" s="86" t="str">
        <f t="shared" si="36"/>
        <v>"%USERPROFILE%\Documents\GitHub\eaglep3\Utilities\RefineRTDCRunTimes.py" --tripid 181-23 --locoid 4027 --swversion DE.1.0.9.0 --startMP 204:458 --initTime 2017-02-23T13:44:07 --startdatetime 2017-02-23T13:46:20 --delay 1 --endMP 204:233330 --enddatetime 2017-02-23T14:24:18 --enforcementcount 0 &gt;&gt;C:\Users\stu\Documents\GitHub\eaglep3-reporting\EC\2017-02-23-refined-times.txt</v>
      </c>
      <c r="AI9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{"issue":{"subject":"","project_id":79,"tracker_id":40,"status_id":1,"priority_id":2,"assigned_to_id":23,"start_date":"2017-02-23","description":"","custom_fields":[{"id":1,"name":"Subdivision","value":"EC"},{"id":4,"name":"Milepost","value":"23.333"},{"id":17,"name":"Train ID","value":"181-23"},{"id":16,"name":"Locomotive ID","value":"4027"},{"id":130,"name":"Impact","value":""},{"id":150,"name":"Time of Event (Mountain Time)","value":"14:24:18"},{"id":151,"name":"Denver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8"/>
        <v>start /low /b %USERPROFILE%\Documents\GitHub\eaglep3\Utilities\DownloadLogsFromS3.py --loco 4027 --day 2017-02-23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443</v>
      </c>
      <c r="B94" s="7">
        <v>4028</v>
      </c>
      <c r="C94" s="21" t="s">
        <v>294</v>
      </c>
      <c r="D94" s="21" t="s">
        <v>295</v>
      </c>
      <c r="E94" s="13">
        <v>42789.606516203705</v>
      </c>
      <c r="F94" s="13">
        <v>42789.61215277778</v>
      </c>
      <c r="G94" s="7">
        <v>1</v>
      </c>
      <c r="H94" s="21" t="s">
        <v>272</v>
      </c>
      <c r="I94" s="13">
        <v>42789.641331018516</v>
      </c>
      <c r="J94" s="7">
        <v>0</v>
      </c>
      <c r="K94" s="98" t="str">
        <f t="shared" si="21"/>
        <v>4027/4028</v>
      </c>
      <c r="L94" s="21" t="str">
        <f>VLOOKUP(A94,'Trips&amp;Operators'!$C$1:$G$99999,5,FALSE)</f>
        <v>HAITHCOX MICHAEL</v>
      </c>
      <c r="M94" s="6">
        <f t="shared" si="22"/>
        <v>2.9178240736655425E-2</v>
      </c>
      <c r="N94" s="7">
        <f t="shared" si="23"/>
        <v>42.016666660783812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6"/>
        <v>https://d0f6bd738d7f1b3e5a7ca70fe4ff75f0.us-east-1.aws.found.io/app/kibana#/discover/Steve-Slow-Train-Analysis-(2080s-and-2083s)?_g=(refreshInterval:(display:Off,pause:!f,section:0,value:0),time:(from:'2017-02-23T13:33:23-0700',mode:absolute,to:'2017-02-23T16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4" s="187" t="str">
        <f t="shared" si="27"/>
        <v>N</v>
      </c>
      <c r="X94" s="187">
        <f t="shared" si="28"/>
        <v>1</v>
      </c>
      <c r="Y94" s="62">
        <f t="shared" si="29"/>
        <v>23.298999999999999</v>
      </c>
      <c r="Z94" s="62">
        <f t="shared" si="30"/>
        <v>1.47E-2</v>
      </c>
      <c r="AA94" s="62">
        <f t="shared" si="31"/>
        <v>23.284299999999998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0182-23</v>
      </c>
      <c r="AE94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94" s="82" t="str">
        <f t="shared" si="34"/>
        <v>"C:\Program Files (x86)\AstroGrep\AstroGrep.exe" /spath="%USERPROFILE%\AppData\Local\Temp\OnboardLogs" /stypes="app*4028*20170223*" /stext=" 22:.+(\|loc)" /e /r /s</v>
      </c>
      <c r="AG94" s="1" t="str">
        <f t="shared" si="35"/>
        <v>EC</v>
      </c>
      <c r="AH94" s="86" t="str">
        <f t="shared" si="36"/>
        <v>"%USERPROFILE%\Documents\GitHub\eaglep3\Utilities\RefineRTDCRunTimes.py" --tripid 182-23 --locoid 4028 --swversion DE.1.0.9.0 --startMP 204:232990 --initTime 2017-02-23T14:33:23 --startdatetime 2017-02-23T14:41:30 --delay 1 --endMP 204:147 --enddatetime 2017-02-23T15:23:31 --enforcementcount 0 &gt;&gt;C:\Users\stu\Documents\GitHub\eaglep3-reporting\EC\2017-02-23-refined-times.txt</v>
      </c>
      <c r="AI9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ID","value":"182-23"},{"id":16,"name":"Locomotive ID","value":"4028"},{"id":130,"name":"Impact","value":""},{"id":150,"name":"Time of Event (Mountain Time)","value":"15:23:31"},{"id":151,"name":"Denver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8"/>
        <v>start /low /b %USERPROFILE%\Documents\GitHub\eaglep3\Utilities\DownloadLogsFromS3.py --loco 4028 --day 2017-02-23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441</v>
      </c>
      <c r="B95" s="7">
        <v>4040</v>
      </c>
      <c r="C95" s="21" t="s">
        <v>294</v>
      </c>
      <c r="D95" s="21" t="s">
        <v>700</v>
      </c>
      <c r="E95" s="13">
        <v>42789.58222222222</v>
      </c>
      <c r="F95" s="13">
        <v>42789.584467592591</v>
      </c>
      <c r="G95" s="7">
        <v>1</v>
      </c>
      <c r="H95" s="21" t="s">
        <v>701</v>
      </c>
      <c r="I95" s="13">
        <v>42789.61037037037</v>
      </c>
      <c r="J95" s="7">
        <v>0</v>
      </c>
      <c r="K95" s="98" t="str">
        <f t="shared" si="21"/>
        <v>4039/4040</v>
      </c>
      <c r="L95" s="21" t="str">
        <f>VLOOKUP(A95,'Trips&amp;Operators'!$C$1:$G$99999,5,FALSE)</f>
        <v>HELVIE ADAM</v>
      </c>
      <c r="M95" s="6">
        <f t="shared" si="22"/>
        <v>2.5902777779265307E-2</v>
      </c>
      <c r="N95" s="7">
        <f t="shared" si="23"/>
        <v>37.300000002142042</v>
      </c>
      <c r="O95" s="7"/>
      <c r="P95" s="7"/>
      <c r="Q95" s="22"/>
      <c r="R95" s="22"/>
      <c r="S95" s="31">
        <f t="shared" si="24"/>
        <v>1</v>
      </c>
      <c r="T95" s="46" t="str">
        <f t="shared" si="25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6"/>
        <v>https://d0f6bd738d7f1b3e5a7ca70fe4ff75f0.us-east-1.aws.found.io/app/kibana#/discover/Steve-Slow-Train-Analysis-(2080s-and-2083s)?_g=(refreshInterval:(display:Off,pause:!f,section:0,value:0),time:(from:'2017-02-23T12:58:24-0700',mode:absolute,to:'2017-02-23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87" t="str">
        <f t="shared" si="27"/>
        <v>N</v>
      </c>
      <c r="X95" s="187">
        <f t="shared" si="28"/>
        <v>1</v>
      </c>
      <c r="Y95" s="62">
        <f t="shared" si="29"/>
        <v>4.8599999999999997E-2</v>
      </c>
      <c r="Z95" s="62">
        <f t="shared" si="30"/>
        <v>23.334900000000001</v>
      </c>
      <c r="AA95" s="62">
        <f t="shared" si="31"/>
        <v>23.286300000000001</v>
      </c>
      <c r="AB95" s="59" t="str">
        <f>VLOOKUP(A95,Enforcements!$C$7:$K$13,8,0)</f>
        <v>Bulletin (2)</v>
      </c>
      <c r="AC95" s="55" t="str">
        <f>VLOOKUP(A95,Enforcements!$C$7:$E$13,3,0)</f>
        <v>GRADE CROSSING</v>
      </c>
      <c r="AD95" s="56" t="str">
        <f t="shared" si="32"/>
        <v>0183-23</v>
      </c>
      <c r="AE95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95" s="82" t="str">
        <f t="shared" si="34"/>
        <v>"C:\Program Files (x86)\AstroGrep\AstroGrep.exe" /spath="%USERPROFILE%\AppData\Local\Temp\OnboardLogs" /stypes="app*4040*20170223*" /stext=" 21:.+(\|loc)" /e /r /s</v>
      </c>
      <c r="AG95" s="1" t="str">
        <f t="shared" si="35"/>
        <v>EC</v>
      </c>
      <c r="AH95" s="86" t="str">
        <f t="shared" si="36"/>
        <v>"%USERPROFILE%\Documents\GitHub\eaglep3\Utilities\RefineRTDCRunTimes.py" --tripid 183-23 --locoid 4040 --swversion DE.1.0.9.0 --startMP 204:486 --initTime 2017-02-23T13:58:24 --startdatetime 2017-02-23T14:01:38 --delay 1 --endMP 204:233349 --enddatetime 2017-02-23T14:38:56 --enforcementcount 0 &gt;&gt;C:\Users\stu\Documents\GitHub\eaglep3-reporting\EC\2017-02-23-refined-times.txt</v>
      </c>
      <c r="AI9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{"issue":{"subject":"","project_id":79,"tracker_id":40,"status_id":1,"priority_id":2,"assigned_to_id":23,"start_date":"2017-02-23","description":"","custom_fields":[{"id":1,"name":"Subdivision","value":"EC"},{"id":4,"name":"Milepost","value":"23.3349"},{"id":17,"name":"Train ID","value":"183-23"},{"id":16,"name":"Locomotive ID","value":"4040"},{"id":130,"name":"Impact","value":""},{"id":150,"name":"Time of Event (Mountain Time)","value":"14:38:56"},{"id":151,"name":"Denver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8"/>
        <v>start /low /b %USERPROFILE%\Documents\GitHub\eaglep3\Utilities\DownloadLogsFromS3.py --loco 4040 --day 2017-02-23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561</v>
      </c>
      <c r="B96" s="7">
        <v>4039</v>
      </c>
      <c r="C96" s="21" t="s">
        <v>294</v>
      </c>
      <c r="D96" s="21" t="s">
        <v>385</v>
      </c>
      <c r="E96" s="13">
        <v>42789.618715277778</v>
      </c>
      <c r="F96" s="13">
        <v>42789.622465277775</v>
      </c>
      <c r="G96" s="7">
        <v>1</v>
      </c>
      <c r="H96" s="21" t="s">
        <v>194</v>
      </c>
      <c r="I96" s="13">
        <v>42789.649641203701</v>
      </c>
      <c r="J96" s="7">
        <v>0</v>
      </c>
      <c r="K96" s="98" t="str">
        <f t="shared" si="21"/>
        <v>4039/4040</v>
      </c>
      <c r="L96" s="21" t="str">
        <f>VLOOKUP(A96,'Trips&amp;Operators'!$C$1:$G$99999,5,FALSE)</f>
        <v>HELVIE ADAM</v>
      </c>
      <c r="M96" s="6">
        <f t="shared" si="22"/>
        <v>2.7175925926712807E-2</v>
      </c>
      <c r="N96" s="7">
        <f t="shared" si="23"/>
        <v>39.133333334466442</v>
      </c>
      <c r="O96" s="7"/>
      <c r="P96" s="7"/>
      <c r="Q96" s="22"/>
      <c r="R96" s="22"/>
      <c r="S96" s="31">
        <f t="shared" si="24"/>
        <v>1</v>
      </c>
      <c r="T96" s="46" t="str">
        <f t="shared" si="25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6"/>
        <v>https://d0f6bd738d7f1b3e5a7ca70fe4ff75f0.us-east-1.aws.found.io/app/kibana#/discover/Steve-Slow-Train-Analysis-(2080s-and-2083s)?_g=(refreshInterval:(display:Off,pause:!f,section:0,value:0),time:(from:'2017-02-23T13:50:57-0700',mode:absolute,to:'2017-02-23T16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87" t="str">
        <f t="shared" si="27"/>
        <v>N</v>
      </c>
      <c r="X96" s="187">
        <f t="shared" si="28"/>
        <v>1</v>
      </c>
      <c r="Y96" s="62">
        <f t="shared" si="29"/>
        <v>23.302800000000001</v>
      </c>
      <c r="Z96" s="62">
        <f t="shared" si="30"/>
        <v>1.4999999999999999E-2</v>
      </c>
      <c r="AA96" s="62">
        <f t="shared" si="31"/>
        <v>23.287800000000001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0184-23</v>
      </c>
      <c r="AE96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96" s="82" t="str">
        <f t="shared" si="34"/>
        <v>"C:\Program Files (x86)\AstroGrep\AstroGrep.exe" /spath="%USERPROFILE%\AppData\Local\Temp\OnboardLogs" /stypes="app*4039*20170223*" /stext=" 22:.+(\|loc)" /e /r /s</v>
      </c>
      <c r="AG96" s="1" t="str">
        <f t="shared" si="35"/>
        <v>EC</v>
      </c>
      <c r="AH96" s="86" t="str">
        <f t="shared" si="36"/>
        <v>"%USERPROFILE%\Documents\GitHub\eaglep3\Utilities\RefineRTDCRunTimes.py" --tripid 184-23 --locoid 4039 --swversion DE.1.0.9.0 --startMP 204:233028 --initTime 2017-02-23T14:50:57 --startdatetime 2017-02-23T14:56:21 --delay 1 --endMP 204:150 --enddatetime 2017-02-23T15:35:29 --enforcementcount 0 &gt;&gt;C:\Users\stu\Documents\GitHub\eaglep3-reporting\EC\2017-02-23-refined-times.txt</v>
      </c>
      <c r="AI9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{"issue":{"subject":"","project_id":79,"tracker_id":40,"status_id":1,"priority_id":2,"assigned_to_id":23,"start_date":"2017-02-23","description":"","custom_fields":[{"id":1,"name":"Subdivision","value":"EC"},{"id":4,"name":"Milepost","value":"0.015"},{"id":17,"name":"Train ID","value":"184-23"},{"id":16,"name":"Locomotive ID","value":"4039"},{"id":130,"name":"Impact","value":""},{"id":150,"name":"Time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8"/>
        <v>start /low /b %USERPROFILE%\Documents\GitHub\eaglep3\Utilities\DownloadLogsFromS3.py --loco 4039 --day 2017-02-23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555</v>
      </c>
      <c r="B97" s="7">
        <v>4046</v>
      </c>
      <c r="C97" s="21" t="s">
        <v>294</v>
      </c>
      <c r="D97" s="21" t="s">
        <v>229</v>
      </c>
      <c r="E97" s="13">
        <v>42789.587754629632</v>
      </c>
      <c r="F97" s="13">
        <v>42789.593912037039</v>
      </c>
      <c r="G97" s="7">
        <v>1</v>
      </c>
      <c r="H97" s="21" t="s">
        <v>288</v>
      </c>
      <c r="I97" s="13">
        <v>42789.620173611111</v>
      </c>
      <c r="J97" s="7">
        <v>0</v>
      </c>
      <c r="K97" s="98" t="str">
        <f t="shared" si="21"/>
        <v>4045/4046</v>
      </c>
      <c r="L97" s="21" t="str">
        <f>VLOOKUP(A97,'Trips&amp;Operators'!$C$1:$G$99999,5,FALSE)</f>
        <v>BRANNON JEFFREY</v>
      </c>
      <c r="M97" s="6">
        <f t="shared" si="22"/>
        <v>2.626157407212304E-2</v>
      </c>
      <c r="N97" s="7">
        <f t="shared" si="23"/>
        <v>37.816666663857177</v>
      </c>
      <c r="O97" s="7"/>
      <c r="P97" s="7"/>
      <c r="Q97" s="22"/>
      <c r="R97" s="22"/>
      <c r="S97" s="31">
        <f t="shared" si="24"/>
        <v>1</v>
      </c>
      <c r="T97" s="46" t="str">
        <f t="shared" si="25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6"/>
        <v>https://d0f6bd738d7f1b3e5a7ca70fe4ff75f0.us-east-1.aws.found.io/app/kibana#/discover/Steve-Slow-Train-Analysis-(2080s-and-2083s)?_g=(refreshInterval:(display:Off,pause:!f,section:0,value:0),time:(from:'2017-02-23T13:06:22-0700',mode:absolute,to:'2017-02-23T15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187" t="str">
        <f t="shared" si="27"/>
        <v>N</v>
      </c>
      <c r="X97" s="187">
        <f t="shared" si="28"/>
        <v>1</v>
      </c>
      <c r="Y97" s="62">
        <f t="shared" si="29"/>
        <v>4.5999999999999999E-2</v>
      </c>
      <c r="Z97" s="62">
        <f t="shared" si="30"/>
        <v>23.330300000000001</v>
      </c>
      <c r="AA97" s="62">
        <f t="shared" si="31"/>
        <v>23.284300000000002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0185-23</v>
      </c>
      <c r="AE97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97" s="82" t="str">
        <f t="shared" si="34"/>
        <v>"C:\Program Files (x86)\AstroGrep\AstroGrep.exe" /spath="%USERPROFILE%\AppData\Local\Temp\OnboardLogs" /stypes="app*4046*20170223*" /stext=" 21:.+(\|loc)" /e /r /s</v>
      </c>
      <c r="AG97" s="1" t="str">
        <f t="shared" si="35"/>
        <v>EC</v>
      </c>
      <c r="AH97" s="86" t="str">
        <f t="shared" si="36"/>
        <v>"%USERPROFILE%\Documents\GitHub\eaglep3\Utilities\RefineRTDCRunTimes.py" --tripid 185-23 --locoid 4046 --swversion DE.1.0.9.0 --startMP 204:460 --initTime 2017-02-23T14:06:22 --startdatetime 2017-02-23T14:15:14 --delay 1 --endMP 204:233303 --enddatetime 2017-02-23T14:53:03 --enforcementcount 0 &gt;&gt;C:\Users\stu\Documents\GitHub\eaglep3-reporting\EC\2017-02-23-refined-times.txt</v>
      </c>
      <c r="AI9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{"issue":{"subject":"","project_id":79,"tracker_id":40,"status_id":1,"priority_id":2,"assigned_to_id":23,"start_date":"2017-02-23","description":"","custom_fields":[{"id":1,"name":"Subdivision","value":"EC"},{"id":4,"name":"Milepost","value":"23.3303"},{"id":17,"name":"Train ID","value":"185-23"},{"id":16,"name":"Locomotive ID","value":"4046"},{"id":130,"name":"Impact","value":""},{"id":150,"name":"Time of Event (Mountain Time)","value":"14:53:03"},{"id":151,"name":"Denver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8"/>
        <v>start /low /b %USERPROFILE%\Documents\GitHub\eaglep3\Utilities\DownloadLogsFromS3.py --loco 4046 --day 2017-02-23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563</v>
      </c>
      <c r="B98" s="7">
        <v>4045</v>
      </c>
      <c r="C98" s="21" t="s">
        <v>294</v>
      </c>
      <c r="D98" s="21" t="s">
        <v>283</v>
      </c>
      <c r="E98" s="13">
        <v>42789.621446759258</v>
      </c>
      <c r="F98" s="13">
        <v>42789.632800925923</v>
      </c>
      <c r="G98" s="7">
        <v>0</v>
      </c>
      <c r="H98" s="21" t="s">
        <v>194</v>
      </c>
      <c r="I98" s="13">
        <v>42789.659699074073</v>
      </c>
      <c r="J98" s="7">
        <v>0</v>
      </c>
      <c r="K98" s="98" t="str">
        <f t="shared" si="21"/>
        <v>4045/4046</v>
      </c>
      <c r="L98" s="21" t="str">
        <f>VLOOKUP(A98,'Trips&amp;Operators'!$C$1:$G$99999,5,FALSE)</f>
        <v>BRANNON JEFFREY</v>
      </c>
      <c r="M98" s="6">
        <f t="shared" si="22"/>
        <v>2.6898148149484769E-2</v>
      </c>
      <c r="N98" s="7">
        <f t="shared" si="23"/>
        <v>38.733333335258067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6"/>
        <v>https://d0f6bd738d7f1b3e5a7ca70fe4ff75f0.us-east-1.aws.found.io/app/kibana#/discover/Steve-Slow-Train-Analysis-(2080s-and-2083s)?_g=(refreshInterval:(display:Off,pause:!f,section:0,value:0),time:(from:'2017-02-23T13:54:53-0700',mode:absolute,to:'2017-02-23T16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187" t="str">
        <f t="shared" si="27"/>
        <v>N</v>
      </c>
      <c r="X98" s="187">
        <f t="shared" si="28"/>
        <v>1</v>
      </c>
      <c r="Y98" s="62">
        <f t="shared" si="29"/>
        <v>23.298200000000001</v>
      </c>
      <c r="Z98" s="62">
        <f t="shared" si="30"/>
        <v>1.4999999999999999E-2</v>
      </c>
      <c r="AA98" s="62">
        <f t="shared" si="31"/>
        <v>23.283200000000001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0186-23</v>
      </c>
      <c r="AE98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98" s="82" t="str">
        <f t="shared" si="34"/>
        <v>"C:\Program Files (x86)\AstroGrep\AstroGrep.exe" /spath="%USERPROFILE%\AppData\Local\Temp\OnboardLogs" /stypes="app*4045*20170223*" /stext=" 22:.+(\|loc)" /e /r /s</v>
      </c>
      <c r="AG98" s="1" t="str">
        <f t="shared" si="35"/>
        <v>EC</v>
      </c>
      <c r="AH98" s="86" t="str">
        <f t="shared" si="36"/>
        <v>"%USERPROFILE%\Documents\GitHub\eaglep3\Utilities\RefineRTDCRunTimes.py" --tripid 186-23 --locoid 4045 --swversion DE.1.0.9.0 --startMP 204:232982 --initTime 2017-02-23T14:54:53 --startdatetime 2017-02-23T15:11:14 --delay 0 --endMP 204:150 --enddatetime 2017-02-23T15:49:58 --enforcementcount 0 &gt;&gt;C:\Users\stu\Documents\GitHub\eaglep3-reporting\EC\2017-02-23-refined-times.txt</v>
      </c>
      <c r="AI9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{"issue":{"subject":"","project_id":79,"tracker_id":40,"status_id":1,"priority_id":2,"assigned_to_id":23,"start_date":"2017-02-23","description":"","custom_fields":[{"id":1,"name":"Subdivision","value":"EC"},{"id":4,"name":"Milepost","value":"0.015"},{"id":17,"name":"Train ID","value":"186-23"},{"id":16,"name":"Locomotive ID","value":"4045"},{"id":130,"name":"Impact","value":""},{"id":150,"name":"Time of Event (Mountain Time)","value":"15:49:58"},{"id":151,"name":"Denver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8"/>
        <v>start /low /b %USERPROFILE%\Documents\GitHub\eaglep3\Utilities\DownloadLogsFromS3.py --loco 4045 --day 2017-02-23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558</v>
      </c>
      <c r="B99" s="7">
        <v>4029</v>
      </c>
      <c r="C99" s="21" t="s">
        <v>294</v>
      </c>
      <c r="D99" s="21" t="s">
        <v>702</v>
      </c>
      <c r="E99" s="13">
        <v>42789.601921296293</v>
      </c>
      <c r="F99" s="13">
        <v>42789.60434027778</v>
      </c>
      <c r="G99" s="7">
        <v>1</v>
      </c>
      <c r="H99" s="21" t="s">
        <v>320</v>
      </c>
      <c r="I99" s="13">
        <v>42789.630752314813</v>
      </c>
      <c r="J99" s="7">
        <v>0</v>
      </c>
      <c r="K99" s="98" t="str">
        <f t="shared" si="21"/>
        <v>4029/4030</v>
      </c>
      <c r="L99" s="21" t="str">
        <f>VLOOKUP(A99,'Trips&amp;Operators'!$C$1:$G$99999,5,FALSE)</f>
        <v>CLARK KATHLEEN</v>
      </c>
      <c r="M99" s="6">
        <f t="shared" si="22"/>
        <v>2.6412037033878732E-2</v>
      </c>
      <c r="N99" s="7">
        <f t="shared" si="23"/>
        <v>38.033333328785375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6"/>
        <v>https://d0f6bd738d7f1b3e5a7ca70fe4ff75f0.us-east-1.aws.found.io/app/kibana#/discover/Steve-Slow-Train-Analysis-(2080s-and-2083s)?_g=(refreshInterval:(display:Off,pause:!f,section:0,value:0),time:(from:'2017-02-23T13:26:46-0700',mode:absolute,to:'2017-02-23T16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187" t="str">
        <f t="shared" si="27"/>
        <v>N</v>
      </c>
      <c r="X99" s="187">
        <f t="shared" si="28"/>
        <v>1</v>
      </c>
      <c r="Y99" s="62">
        <f t="shared" si="29"/>
        <v>4.9099999999999998E-2</v>
      </c>
      <c r="Z99" s="62">
        <f t="shared" si="30"/>
        <v>23.328900000000001</v>
      </c>
      <c r="AA99" s="62">
        <f t="shared" si="31"/>
        <v>23.279800000000002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0187-23</v>
      </c>
      <c r="AE99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99" s="82" t="str">
        <f t="shared" si="34"/>
        <v>"C:\Program Files (x86)\AstroGrep\AstroGrep.exe" /spath="%USERPROFILE%\AppData\Local\Temp\OnboardLogs" /stypes="app*4029*20170223*" /stext=" 22:.+(\|loc)" /e /r /s</v>
      </c>
      <c r="AG99" s="1" t="str">
        <f t="shared" si="35"/>
        <v>EC</v>
      </c>
      <c r="AH99" s="86" t="str">
        <f t="shared" si="36"/>
        <v>"%USERPROFILE%\Documents\GitHub\eaglep3\Utilities\RefineRTDCRunTimes.py" --tripid 187-23 --locoid 4029 --swversion DE.1.0.9.0 --startMP 204:491 --initTime 2017-02-23T14:26:46 --startdatetime 2017-02-23T14:30:15 --delay 1 --endMP 204:233289 --enddatetime 2017-02-23T15:08:17 --enforcementcount 0 &gt;&gt;C:\Users\stu\Documents\GitHub\eaglep3-reporting\EC\2017-02-23-refined-times.txt</v>
      </c>
      <c r="AI9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{"issue":{"subject":"","project_id":79,"tracker_id":40,"status_id":1,"priority_id":2,"assigned_to_id":23,"start_date":"2017-02-23","description":"","custom_fields":[{"id":1,"name":"Subdivision","value":"EC"},{"id":4,"name":"Milepost","value":"23.3289"},{"id":17,"name":"Train ID","value":"187-23"},{"id":16,"name":"Locomotive ID","value":"4029"},{"id":130,"name":"Impact","value":""},{"id":150,"name":"Time of Event (Mountain Time)","value":"15:08:17"},{"id":151,"name":"Denver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8"/>
        <v>start /low /b %USERPROFILE%\Documents\GitHub\eaglep3\Utilities\DownloadLogsFromS3.py --loco 4029 --day 2017-02-23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566</v>
      </c>
      <c r="B100" s="7">
        <v>4030</v>
      </c>
      <c r="C100" s="21" t="s">
        <v>294</v>
      </c>
      <c r="D100" s="21" t="s">
        <v>703</v>
      </c>
      <c r="E100" s="13">
        <v>42789.636956018519</v>
      </c>
      <c r="F100" s="13">
        <v>42789.643229166664</v>
      </c>
      <c r="G100" s="7">
        <v>1</v>
      </c>
      <c r="H100" s="21" t="s">
        <v>704</v>
      </c>
      <c r="I100" s="13">
        <v>42789.671886574077</v>
      </c>
      <c r="J100" s="7">
        <v>0</v>
      </c>
      <c r="K100" s="98" t="str">
        <f t="shared" si="21"/>
        <v>4029/4030</v>
      </c>
      <c r="L100" s="21" t="str">
        <f>VLOOKUP(A100,'Trips&amp;Operators'!$C$1:$G$99999,5,FALSE)</f>
        <v>CLARK KATHLEEN</v>
      </c>
      <c r="M100" s="6">
        <f t="shared" si="22"/>
        <v>2.8657407412538305E-2</v>
      </c>
      <c r="N100" s="7">
        <f t="shared" si="23"/>
        <v>41.266666674055159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6"/>
        <v>https://d0f6bd738d7f1b3e5a7ca70fe4ff75f0.us-east-1.aws.found.io/app/kibana#/discover/Steve-Slow-Train-Analysis-(2080s-and-2083s)?_g=(refreshInterval:(display:Off,pause:!f,section:0,value:0),time:(from:'2017-02-23T14:17:13-0700',mode:absolute,to:'2017-02-23T17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187" t="str">
        <f t="shared" si="27"/>
        <v>N</v>
      </c>
      <c r="X100" s="187">
        <f t="shared" si="28"/>
        <v>1</v>
      </c>
      <c r="Y100" s="62">
        <f t="shared" si="29"/>
        <v>23.296199999999999</v>
      </c>
      <c r="Z100" s="62">
        <f t="shared" si="30"/>
        <v>1.8100000000000002E-2</v>
      </c>
      <c r="AA100" s="62">
        <f t="shared" si="31"/>
        <v>23.278099999999998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0188-23</v>
      </c>
      <c r="AE100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00" s="82" t="str">
        <f t="shared" si="34"/>
        <v>"C:\Program Files (x86)\AstroGrep\AstroGrep.exe" /spath="%USERPROFILE%\AppData\Local\Temp\OnboardLogs" /stypes="app*4030*20170223*" /stext=" 23:.+(\|loc)" /e /r /s</v>
      </c>
      <c r="AG100" s="1" t="str">
        <f t="shared" si="35"/>
        <v>EC</v>
      </c>
      <c r="AH100" s="86" t="str">
        <f t="shared" si="36"/>
        <v>"%USERPROFILE%\Documents\GitHub\eaglep3\Utilities\RefineRTDCRunTimes.py" --tripid 188-23 --locoid 4030 --swversion DE.1.0.9.0 --startMP 204:232962 --initTime 2017-02-23T15:17:13 --startdatetime 2017-02-23T15:26:15 --delay 1 --endMP 204:181 --enddatetime 2017-02-23T16:07:31 --enforcementcount 0 &gt;&gt;C:\Users\stu\Documents\GitHub\eaglep3-reporting\EC\2017-02-23-refined-times.txt</v>
      </c>
      <c r="AI10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{"issue":{"subject":"","project_id":79,"tracker_id":40,"status_id":1,"priority_id":2,"assigned_to_id":23,"start_date":"2017-02-23","description":"","custom_fields":[{"id":1,"name":"Subdivision","value":"EC"},{"id":4,"name":"Milepost","value":"0.0181"},{"id":17,"name":"Train ID","value":"188-23"},{"id":16,"name":"Locomotive ID","value":"4030"},{"id":130,"name":"Impact","value":""},{"id":150,"name":"Time of Event (Mountain Time)","value":"16:07:31"},{"id":151,"name":"Denver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8"/>
        <v>start /low /b %USERPROFILE%\Documents\GitHub\eaglep3\Utilities\DownloadLogsFromS3.py --loco 4030 --day 2017-02-23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3" t="s">
        <v>560</v>
      </c>
      <c r="B101" s="7">
        <v>4014</v>
      </c>
      <c r="C101" s="21" t="s">
        <v>294</v>
      </c>
      <c r="D101" s="21" t="s">
        <v>705</v>
      </c>
      <c r="E101" s="13">
        <v>42789.612210648149</v>
      </c>
      <c r="F101" s="13">
        <v>42789.614768518521</v>
      </c>
      <c r="G101" s="7">
        <v>1</v>
      </c>
      <c r="H101" s="21" t="s">
        <v>334</v>
      </c>
      <c r="I101" s="13">
        <v>42789.640474537038</v>
      </c>
      <c r="J101" s="7">
        <v>0</v>
      </c>
      <c r="K101" s="98" t="str">
        <f t="shared" si="21"/>
        <v>4013/4014</v>
      </c>
      <c r="L101" s="21" t="str">
        <f>VLOOKUP(A101,'Trips&amp;Operators'!$C$1:$G$99999,5,FALSE)</f>
        <v>KILLION DAVID</v>
      </c>
      <c r="M101" s="6">
        <f t="shared" si="22"/>
        <v>2.5706018517666962E-2</v>
      </c>
      <c r="N101" s="7">
        <f t="shared" si="23"/>
        <v>37.016666665440425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6"/>
        <v>https://d0f6bd738d7f1b3e5a7ca70fe4ff75f0.us-east-1.aws.found.io/app/kibana#/discover/Steve-Slow-Train-Analysis-(2080s-and-2083s)?_g=(refreshInterval:(display:Off,pause:!f,section:0,value:0),time:(from:'2017-02-23T13:41:35-0700',mode:absolute,to:'2017-02-23T16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187" t="str">
        <f t="shared" si="27"/>
        <v>N</v>
      </c>
      <c r="X101" s="187">
        <f t="shared" si="28"/>
        <v>1</v>
      </c>
      <c r="Y101" s="62">
        <f t="shared" si="29"/>
        <v>4.7800000000000002E-2</v>
      </c>
      <c r="Z101" s="62">
        <f t="shared" si="30"/>
        <v>23.330500000000001</v>
      </c>
      <c r="AA101" s="62">
        <f t="shared" si="31"/>
        <v>23.282700000000002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0189-23</v>
      </c>
      <c r="AE101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01" s="82" t="str">
        <f t="shared" si="34"/>
        <v>"C:\Program Files (x86)\AstroGrep\AstroGrep.exe" /spath="%USERPROFILE%\AppData\Local\Temp\OnboardLogs" /stypes="app*4014*20170223*" /stext=" 22:.+(\|loc)" /e /r /s</v>
      </c>
      <c r="AG101" s="1" t="str">
        <f t="shared" si="35"/>
        <v>EC</v>
      </c>
      <c r="AH101" s="86" t="str">
        <f t="shared" si="36"/>
        <v>"%USERPROFILE%\Documents\GitHub\eaglep3\Utilities\RefineRTDCRunTimes.py" --tripid 189-23 --locoid 4014 --swversion DE.1.0.9.0 --startMP 204:478 --initTime 2017-02-23T14:41:35 --startdatetime 2017-02-23T14:45:16 --delay 1 --endMP 204:233305 --enddatetime 2017-02-23T15:22:17 --enforcementcount 0 &gt;&gt;C:\Users\stu\Documents\GitHub\eaglep3-reporting\EC\2017-02-23-refined-times.txt</v>
      </c>
      <c r="AI10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{"issue":{"subject":"","project_id":79,"tracker_id":40,"status_id":1,"priority_id":2,"assigned_to_id":23,"start_date":"2017-02-23","description":"","custom_fields":[{"id":1,"name":"Subdivision","value":"EC"},{"id":4,"name":"Milepost","value":"23.3305"},{"id":17,"name":"Train ID","value":"189-23"},{"id":16,"name":"Locomotive ID","value":"4014"},{"id":130,"name":"Impact","value":""},{"id":150,"name":"Time of Event (Mountain Time)","value":"15:22:17"},{"id":151,"name":"Denver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8"/>
        <v>start /low /b %USERPROFILE%\Documents\GitHub\eaglep3\Utilities\DownloadLogsFromS3.py --loco 4014 --day 2017-02-23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</row>
    <row r="102" spans="1:91" s="20" customFormat="1" x14ac:dyDescent="0.25">
      <c r="A102" s="33" t="s">
        <v>567</v>
      </c>
      <c r="B102" s="7">
        <v>4013</v>
      </c>
      <c r="C102" s="21" t="s">
        <v>294</v>
      </c>
      <c r="D102" s="21" t="s">
        <v>281</v>
      </c>
      <c r="E102" s="13">
        <v>42789.647094907406</v>
      </c>
      <c r="F102" s="13">
        <v>42789.653715277775</v>
      </c>
      <c r="G102" s="7">
        <v>1</v>
      </c>
      <c r="H102" s="21" t="s">
        <v>223</v>
      </c>
      <c r="I102" s="13">
        <v>42789.681597222225</v>
      </c>
      <c r="J102" s="7">
        <v>0</v>
      </c>
      <c r="K102" s="98" t="str">
        <f t="shared" si="21"/>
        <v>4013/4014</v>
      </c>
      <c r="L102" s="21" t="str">
        <f>VLOOKUP(A102,'Trips&amp;Operators'!$C$1:$G$99999,5,FALSE)</f>
        <v>KILLION DAVID</v>
      </c>
      <c r="M102" s="6">
        <f t="shared" si="22"/>
        <v>2.7881944450200535E-2</v>
      </c>
      <c r="N102" s="7">
        <f t="shared" si="23"/>
        <v>40.150000008288771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6"/>
        <v>https://d0f6bd738d7f1b3e5a7ca70fe4ff75f0.us-east-1.aws.found.io/app/kibana#/discover/Steve-Slow-Train-Analysis-(2080s-and-2083s)?_g=(refreshInterval:(display:Off,pause:!f,section:0,value:0),time:(from:'2017-02-23T14:31:49-0700',mode:absolute,to:'2017-02-23T17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187" t="str">
        <f t="shared" si="27"/>
        <v>N</v>
      </c>
      <c r="X102" s="187">
        <f t="shared" si="28"/>
        <v>1</v>
      </c>
      <c r="Y102" s="62">
        <f t="shared" si="29"/>
        <v>23.2973</v>
      </c>
      <c r="Z102" s="62">
        <f t="shared" si="30"/>
        <v>1.43E-2</v>
      </c>
      <c r="AA102" s="62">
        <f t="shared" si="31"/>
        <v>23.283000000000001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0190-23</v>
      </c>
      <c r="AE102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02" s="82" t="str">
        <f t="shared" si="34"/>
        <v>"C:\Program Files (x86)\AstroGrep\AstroGrep.exe" /spath="%USERPROFILE%\AppData\Local\Temp\OnboardLogs" /stypes="app*4013*20170223*" /stext=" 23:.+(\|loc)" /e /r /s</v>
      </c>
      <c r="AG102" s="1" t="str">
        <f t="shared" si="35"/>
        <v>EC</v>
      </c>
      <c r="AH102" s="86" t="str">
        <f t="shared" si="36"/>
        <v>"%USERPROFILE%\Documents\GitHub\eaglep3\Utilities\RefineRTDCRunTimes.py" --tripid 190-23 --locoid 4013 --swversion DE.1.0.9.0 --startMP 204:232973 --initTime 2017-02-23T15:31:49 --startdatetime 2017-02-23T15:41:21 --delay 1 --endMP 204:143 --enddatetime 2017-02-23T16:21:30 --enforcementcount 0 &gt;&gt;C:\Users\stu\Documents\GitHub\eaglep3-reporting\EC\2017-02-23-refined-times.txt</v>
      </c>
      <c r="AI10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ID","value":"190-23"},{"id":16,"name":"Locomotive ID","value":"4013"},{"id":130,"name":"Impact","value":""},{"id":150,"name":"Time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8"/>
        <v>start /low /b %USERPROFILE%\Documents\GitHub\eaglep3\Utilities\DownloadLogsFromS3.py --loco 4013 --day 2017-02-23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3" t="s">
        <v>562</v>
      </c>
      <c r="B103" s="7">
        <v>4011</v>
      </c>
      <c r="C103" s="21" t="s">
        <v>294</v>
      </c>
      <c r="D103" s="21" t="s">
        <v>229</v>
      </c>
      <c r="E103" s="13">
        <v>42789.621111111112</v>
      </c>
      <c r="F103" s="13">
        <v>42789.625173611108</v>
      </c>
      <c r="G103" s="7">
        <v>1</v>
      </c>
      <c r="H103" s="21" t="s">
        <v>677</v>
      </c>
      <c r="I103" s="13">
        <v>42789.650543981479</v>
      </c>
      <c r="J103" s="7">
        <v>0</v>
      </c>
      <c r="K103" s="98" t="str">
        <f t="shared" si="21"/>
        <v>4011/4012</v>
      </c>
      <c r="L103" s="21" t="str">
        <f>VLOOKUP(A103,'Trips&amp;Operators'!$C$1:$G$99999,5,FALSE)</f>
        <v>BRUDER RICHARD</v>
      </c>
      <c r="M103" s="6">
        <f t="shared" si="22"/>
        <v>2.5370370371092577E-2</v>
      </c>
      <c r="N103" s="7">
        <f t="shared" si="23"/>
        <v>36.53333333437331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6"/>
        <v>https://d0f6bd738d7f1b3e5a7ca70fe4ff75f0.us-east-1.aws.found.io/app/kibana#/discover/Steve-Slow-Train-Analysis-(2080s-and-2083s)?_g=(refreshInterval:(display:Off,pause:!f,section:0,value:0),time:(from:'2017-02-23T13:54:24-0700',mode:absolute,to:'2017-02-23T16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3" s="187" t="str">
        <f t="shared" si="27"/>
        <v>N</v>
      </c>
      <c r="X103" s="187">
        <f t="shared" si="28"/>
        <v>1</v>
      </c>
      <c r="Y103" s="62">
        <f t="shared" si="29"/>
        <v>4.5999999999999999E-2</v>
      </c>
      <c r="Z103" s="62">
        <f t="shared" si="30"/>
        <v>23.3308</v>
      </c>
      <c r="AA103" s="62">
        <f t="shared" si="31"/>
        <v>23.284800000000001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0191-23</v>
      </c>
      <c r="AE103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03" s="82" t="str">
        <f t="shared" si="34"/>
        <v>"C:\Program Files (x86)\AstroGrep\AstroGrep.exe" /spath="%USERPROFILE%\AppData\Local\Temp\OnboardLogs" /stypes="app*4011*20170223*" /stext=" 22:.+(\|loc)" /e /r /s</v>
      </c>
      <c r="AG103" s="1" t="str">
        <f t="shared" si="35"/>
        <v>EC</v>
      </c>
      <c r="AH103" s="86" t="str">
        <f t="shared" si="36"/>
        <v>"%USERPROFILE%\Documents\GitHub\eaglep3\Utilities\RefineRTDCRunTimes.py" --tripid 191-23 --locoid 4011 --swversion DE.1.0.9.0 --startMP 204:460 --initTime 2017-02-23T14:54:24 --startdatetime 2017-02-23T15:00:15 --delay 1 --endMP 204:233308 --enddatetime 2017-02-23T15:36:47 --enforcementcount 0 &gt;&gt;C:\Users\stu\Documents\GitHub\eaglep3-reporting\EC\2017-02-23-refined-times.txt</v>
      </c>
      <c r="AI10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{"issue":{"subject":"","project_id":79,"tracker_id":40,"status_id":1,"priority_id":2,"assigned_to_id":23,"start_date":"2017-02-23","description":"","custom_fields":[{"id":1,"name":"Subdivision","value":"EC"},{"id":4,"name":"Milepost","value":"23.3308"},{"id":17,"name":"Train ID","value":"191-23"},{"id":16,"name":"Locomotive ID","value":"4011"},{"id":130,"name":"Impact","value":""},{"id":150,"name":"Time of Event (Mountain Time)","value":"15:36:47"},{"id":151,"name":"Denver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8"/>
        <v>start /low /b %USERPROFILE%\Documents\GitHub\eaglep3\Utilities\DownloadLogsFromS3.py --loco 4011 --day 2017-02-23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</row>
    <row r="104" spans="1:91" s="20" customFormat="1" x14ac:dyDescent="0.25">
      <c r="A104" s="33" t="s">
        <v>571</v>
      </c>
      <c r="B104" s="7">
        <v>4012</v>
      </c>
      <c r="C104" s="21" t="s">
        <v>294</v>
      </c>
      <c r="D104" s="21" t="s">
        <v>691</v>
      </c>
      <c r="E104" s="13">
        <v>42789.658252314817</v>
      </c>
      <c r="F104" s="13">
        <v>42789.664236111108</v>
      </c>
      <c r="G104" s="7">
        <v>1</v>
      </c>
      <c r="H104" s="21" t="s">
        <v>207</v>
      </c>
      <c r="I104" s="13">
        <v>42789.693124999998</v>
      </c>
      <c r="J104" s="7">
        <v>0</v>
      </c>
      <c r="K104" s="98" t="str">
        <f t="shared" si="21"/>
        <v>4011/4012</v>
      </c>
      <c r="L104" s="21" t="str">
        <f>VLOOKUP(A104,'Trips&amp;Operators'!$C$1:$G$99999,5,FALSE)</f>
        <v>BRUDER RICHARD</v>
      </c>
      <c r="M104" s="6">
        <f t="shared" si="22"/>
        <v>2.8888888889923692E-2</v>
      </c>
      <c r="N104" s="7">
        <f t="shared" si="23"/>
        <v>41.600000001490116</v>
      </c>
      <c r="O104" s="7"/>
      <c r="P104" s="7"/>
      <c r="Q104" s="22"/>
      <c r="R104" s="22"/>
      <c r="S104" s="31">
        <f t="shared" si="24"/>
        <v>1</v>
      </c>
      <c r="T104" s="46" t="str">
        <f t="shared" si="25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6"/>
        <v>https://d0f6bd738d7f1b3e5a7ca70fe4ff75f0.us-east-1.aws.found.io/app/kibana#/discover/Steve-Slow-Train-Analysis-(2080s-and-2083s)?_g=(refreshInterval:(display:Off,pause:!f,section:0,value:0),time:(from:'2017-02-23T14:47:53-0700',mode:absolute,to:'2017-02-23T17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4" s="187" t="str">
        <f t="shared" si="27"/>
        <v>N</v>
      </c>
      <c r="X104" s="187">
        <f t="shared" si="28"/>
        <v>1</v>
      </c>
      <c r="Y104" s="62">
        <f t="shared" si="29"/>
        <v>23.298300000000001</v>
      </c>
      <c r="Z104" s="62">
        <f t="shared" si="30"/>
        <v>1.5800000000000002E-2</v>
      </c>
      <c r="AA104" s="62">
        <f t="shared" si="31"/>
        <v>23.282500000000002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2"/>
        <v>0192-23</v>
      </c>
      <c r="AE104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04" s="82" t="str">
        <f t="shared" si="34"/>
        <v>"C:\Program Files (x86)\AstroGrep\AstroGrep.exe" /spath="%USERPROFILE%\AppData\Local\Temp\OnboardLogs" /stypes="app*4012*20170223*" /stext=" 23:.+(\|loc)" /e /r /s</v>
      </c>
      <c r="AG104" s="1" t="str">
        <f t="shared" si="35"/>
        <v>EC</v>
      </c>
      <c r="AH104" s="86" t="str">
        <f t="shared" si="36"/>
        <v>"%USERPROFILE%\Documents\GitHub\eaglep3\Utilities\RefineRTDCRunTimes.py" --tripid 192-23 --locoid 4012 --swversion DE.1.0.9.0 --startMP 204:232983 --initTime 2017-02-23T15:47:53 --startdatetime 2017-02-23T15:56:30 --delay 1 --endMP 204:158 --enddatetime 2017-02-23T16:38:06 --enforcementcount 0 &gt;&gt;C:\Users\stu\Documents\GitHub\eaglep3-reporting\EC\2017-02-23-refined-times.txt</v>
      </c>
      <c r="AI10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ID","value":"192-23"},{"id":16,"name":"Locomotive ID","value":"4012"},{"id":130,"name":"Impact","value":""},{"id":150,"name":"Time of Event (Mountain Time)","value":"16:38:06"},{"id":151,"name":"Denver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8"/>
        <v>start /low /b %USERPROFILE%\Documents\GitHub\eaglep3\Utilities\DownloadLogsFromS3.py --loco 4012 --day 2017-02-23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564</v>
      </c>
      <c r="B105" s="7">
        <v>4009</v>
      </c>
      <c r="C105" s="21" t="s">
        <v>294</v>
      </c>
      <c r="D105" s="21" t="s">
        <v>702</v>
      </c>
      <c r="E105" s="13">
        <v>42789.632337962961</v>
      </c>
      <c r="F105" s="13">
        <v>42789.635868055557</v>
      </c>
      <c r="G105" s="7">
        <v>1</v>
      </c>
      <c r="H105" s="21" t="s">
        <v>289</v>
      </c>
      <c r="I105" s="13">
        <v>42789.661574074074</v>
      </c>
      <c r="J105" s="7">
        <v>0</v>
      </c>
      <c r="K105" s="98" t="str">
        <f t="shared" si="21"/>
        <v>4009/4010</v>
      </c>
      <c r="L105" s="21" t="str">
        <f>VLOOKUP(A105,'Trips&amp;Operators'!$C$1:$G$99999,5,FALSE)</f>
        <v>SMITH MICHAEL</v>
      </c>
      <c r="M105" s="6">
        <f t="shared" si="22"/>
        <v>2.5706018517666962E-2</v>
      </c>
      <c r="N105" s="7">
        <f t="shared" si="23"/>
        <v>37.016666665440425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6"/>
        <v>https://d0f6bd738d7f1b3e5a7ca70fe4ff75f0.us-east-1.aws.found.io/app/kibana#/discover/Steve-Slow-Train-Analysis-(2080s-and-2083s)?_g=(refreshInterval:(display:Off,pause:!f,section:0,value:0),time:(from:'2017-02-23T14:10:34-0700',mode:absolute,to:'2017-02-23T16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5" s="187" t="str">
        <f t="shared" si="27"/>
        <v>N</v>
      </c>
      <c r="X105" s="187">
        <f t="shared" si="28"/>
        <v>1</v>
      </c>
      <c r="Y105" s="62">
        <f t="shared" si="29"/>
        <v>4.9099999999999998E-2</v>
      </c>
      <c r="Z105" s="62">
        <f t="shared" si="30"/>
        <v>23.330100000000002</v>
      </c>
      <c r="AA105" s="62">
        <f t="shared" si="31"/>
        <v>23.281000000000002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0193-23</v>
      </c>
      <c r="AE105" s="85" t="str">
        <f t="shared" si="33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105" s="82" t="str">
        <f t="shared" si="34"/>
        <v>"C:\Program Files (x86)\AstroGrep\AstroGrep.exe" /spath="%USERPROFILE%\AppData\Local\Temp\OnboardLogs" /stypes="app*4009*20170223*" /stext=" 22:.+(\|loc)" /e /r /s</v>
      </c>
      <c r="AG105" s="1" t="str">
        <f t="shared" si="35"/>
        <v>EC</v>
      </c>
      <c r="AH105" s="86" t="str">
        <f t="shared" si="36"/>
        <v>"%USERPROFILE%\Documents\GitHub\eaglep3\Utilities\RefineRTDCRunTimes.py" --tripid 193-23 --locoid 4009 --swversion DE.1.0.9.0 --startMP 204:491 --initTime 2017-02-23T15:10:34 --startdatetime 2017-02-23T15:15:39 --delay 1 --endMP 204:233301 --enddatetime 2017-02-23T15:52:40 --enforcementcount 0 &gt;&gt;C:\Users\stu\Documents\GitHub\eaglep3-reporting\EC\2017-02-23-refined-times.txt</v>
      </c>
      <c r="AI10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{"issue":{"subject":"","project_id":79,"tracker_id":40,"status_id":1,"priority_id":2,"assigned_to_id":23,"start_date":"2017-02-23","description":"","custom_fields":[{"id":1,"name":"Subdivision","value":"EC"},{"id":4,"name":"Milepost","value":"23.3301"},{"id":17,"name":"Train ID","value":"193-23"},{"id":16,"name":"Locomotive ID","value":"4009"},{"id":130,"name":"Impact","value":""},{"id":150,"name":"Time of Event (Mountain Time)","value":"15:52:40"},{"id":151,"name":"Denver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8"/>
        <v>start /low /b %USERPROFILE%\Documents\GitHub\eaglep3\Utilities\DownloadLogsFromS3.py --loco 4009 --day 2017-02-23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572</v>
      </c>
      <c r="B106" s="7">
        <v>4010</v>
      </c>
      <c r="C106" s="21" t="s">
        <v>294</v>
      </c>
      <c r="D106" s="21" t="s">
        <v>295</v>
      </c>
      <c r="E106" s="13">
        <v>42789.664282407408</v>
      </c>
      <c r="F106" s="13">
        <v>42789.67454861111</v>
      </c>
      <c r="G106" s="7">
        <v>1</v>
      </c>
      <c r="H106" s="21" t="s">
        <v>207</v>
      </c>
      <c r="I106" s="13">
        <v>42789.702719907407</v>
      </c>
      <c r="J106" s="7">
        <v>0</v>
      </c>
      <c r="K106" s="98" t="str">
        <f t="shared" si="21"/>
        <v>4009/4010</v>
      </c>
      <c r="L106" s="21" t="str">
        <f>VLOOKUP(A106,'Trips&amp;Operators'!$C$1:$G$99999,5,FALSE)</f>
        <v>SMITH MICHAEL</v>
      </c>
      <c r="M106" s="6">
        <f t="shared" si="22"/>
        <v>2.8171296296932269E-2</v>
      </c>
      <c r="N106" s="7">
        <f t="shared" si="23"/>
        <v>40.566666667582467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6"/>
        <v>https://d0f6bd738d7f1b3e5a7ca70fe4ff75f0.us-east-1.aws.found.io/app/kibana#/discover/Steve-Slow-Train-Analysis-(2080s-and-2083s)?_g=(refreshInterval:(display:Off,pause:!f,section:0,value:0),time:(from:'2017-02-23T14:56:34-0700',mode:absolute,to:'2017-02-23T17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6" s="187" t="str">
        <f t="shared" si="27"/>
        <v>N</v>
      </c>
      <c r="X106" s="187">
        <f t="shared" si="28"/>
        <v>1</v>
      </c>
      <c r="Y106" s="62">
        <f t="shared" si="29"/>
        <v>23.298999999999999</v>
      </c>
      <c r="Z106" s="62">
        <f t="shared" si="30"/>
        <v>1.5800000000000002E-2</v>
      </c>
      <c r="AA106" s="62">
        <f t="shared" si="31"/>
        <v>23.283200000000001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0194-23</v>
      </c>
      <c r="AE106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106" s="82" t="str">
        <f t="shared" si="34"/>
        <v>"C:\Program Files (x86)\AstroGrep\AstroGrep.exe" /spath="%USERPROFILE%\AppData\Local\Temp\OnboardLogs" /stypes="app*4010*20170223*" /stext=" 23:.+(\|loc)" /e /r /s</v>
      </c>
      <c r="AG106" s="1" t="str">
        <f t="shared" si="35"/>
        <v>EC</v>
      </c>
      <c r="AH106" s="86" t="str">
        <f t="shared" si="36"/>
        <v>"%USERPROFILE%\Documents\GitHub\eaglep3\Utilities\RefineRTDCRunTimes.py" --tripid 194-23 --locoid 4010 --swversion DE.1.0.9.0 --startMP 204:232990 --initTime 2017-02-23T15:56:34 --startdatetime 2017-02-23T16:11:21 --delay 1 --endMP 204:158 --enddatetime 2017-02-23T16:51:55 --enforcementcount 0 &gt;&gt;C:\Users\stu\Documents\GitHub\eaglep3-reporting\EC\2017-02-23-refined-times.txt</v>
      </c>
      <c r="AI10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ID","value":"194-23"},{"id":16,"name":"Locomotive ID","value":"4010"},{"id":130,"name":"Impact","value":""},{"id":150,"name":"Time of Event (Mountain Time)","value":"16:51:55"},{"id":151,"name":"Denver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8"/>
        <v>start /low /b %USERPROFILE%\Documents\GitHub\eaglep3\Utilities\DownloadLogsFromS3.py --loco 4010 --day 2017-02-23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444</v>
      </c>
      <c r="B107" s="7">
        <v>4027</v>
      </c>
      <c r="C107" s="21" t="s">
        <v>294</v>
      </c>
      <c r="D107" s="21" t="s">
        <v>246</v>
      </c>
      <c r="E107" s="13">
        <v>42789.642858796295</v>
      </c>
      <c r="F107" s="13">
        <v>42789.646064814813</v>
      </c>
      <c r="G107" s="7">
        <v>1</v>
      </c>
      <c r="H107" s="21" t="s">
        <v>378</v>
      </c>
      <c r="I107" s="13">
        <v>42789.672997685186</v>
      </c>
      <c r="J107" s="7">
        <v>0</v>
      </c>
      <c r="K107" s="98" t="str">
        <f t="shared" si="21"/>
        <v>4027/4028</v>
      </c>
      <c r="L107" s="21" t="str">
        <f>VLOOKUP(A107,'Trips&amp;Operators'!$C$1:$G$99999,5,FALSE)</f>
        <v>HAITHCOX MICHAEL</v>
      </c>
      <c r="M107" s="6">
        <f t="shared" si="22"/>
        <v>2.6932870372547768E-2</v>
      </c>
      <c r="N107" s="7">
        <f t="shared" si="23"/>
        <v>38.783333336468786</v>
      </c>
      <c r="O107" s="7"/>
      <c r="P107" s="7"/>
      <c r="Q107" s="22"/>
      <c r="R107" s="22"/>
      <c r="S107" s="31">
        <f t="shared" si="24"/>
        <v>1</v>
      </c>
      <c r="T107" s="46" t="str">
        <f t="shared" si="25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6"/>
        <v>https://d0f6bd738d7f1b3e5a7ca70fe4ff75f0.us-east-1.aws.found.io/app/kibana#/discover/Steve-Slow-Train-Analysis-(2080s-and-2083s)?_g=(refreshInterval:(display:Off,pause:!f,section:0,value:0),time:(from:'2017-02-23T14:25:43-0700',mode:absolute,to:'2017-02-23T17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87" t="str">
        <f t="shared" si="27"/>
        <v>N</v>
      </c>
      <c r="X107" s="187">
        <f t="shared" si="28"/>
        <v>1</v>
      </c>
      <c r="Y107" s="62">
        <f t="shared" si="29"/>
        <v>4.4600000000000001E-2</v>
      </c>
      <c r="Z107" s="62">
        <f t="shared" si="30"/>
        <v>23.332699999999999</v>
      </c>
      <c r="AA107" s="62">
        <f t="shared" si="31"/>
        <v>23.2881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0195-23</v>
      </c>
      <c r="AE107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07" s="82" t="str">
        <f t="shared" si="34"/>
        <v>"C:\Program Files (x86)\AstroGrep\AstroGrep.exe" /spath="%USERPROFILE%\AppData\Local\Temp\OnboardLogs" /stypes="app*4027*20170223*" /stext=" 23:.+(\|loc)" /e /r /s</v>
      </c>
      <c r="AG107" s="1" t="str">
        <f t="shared" si="35"/>
        <v>EC</v>
      </c>
      <c r="AH107" s="86" t="str">
        <f t="shared" si="36"/>
        <v>"%USERPROFILE%\Documents\GitHub\eaglep3\Utilities\RefineRTDCRunTimes.py" --tripid 195-23 --locoid 4027 --swversion DE.1.0.9.0 --startMP 204:446 --initTime 2017-02-23T15:25:43 --startdatetime 2017-02-23T15:30:20 --delay 1 --endMP 204:233327 --enddatetime 2017-02-23T16:09:07 --enforcementcount 0 &gt;&gt;C:\Users\stu\Documents\GitHub\eaglep3-reporting\EC\2017-02-23-refined-times.txt</v>
      </c>
      <c r="AI10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{"issue":{"subject":"","project_id":79,"tracker_id":40,"status_id":1,"priority_id":2,"assigned_to_id":23,"start_date":"2017-02-23","description":"","custom_fields":[{"id":1,"name":"Subdivision","value":"EC"},{"id":4,"name":"Milepost","value":"23.3327"},{"id":17,"name":"Train ID","value":"195-23"},{"id":16,"name":"Locomotive ID","value":"4027"},{"id":130,"name":"Impact","value":""},{"id":150,"name":"Time of Event (Mountain Time)","value":"16:09:07"},{"id":151,"name":"Denver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8"/>
        <v>start /low /b %USERPROFILE%\Documents\GitHub\eaglep3\Utilities\DownloadLogsFromS3.py --loco 4027 --day 2017-02-23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576</v>
      </c>
      <c r="B108" s="7">
        <v>4028</v>
      </c>
      <c r="C108" s="21" t="s">
        <v>294</v>
      </c>
      <c r="D108" s="21" t="s">
        <v>706</v>
      </c>
      <c r="E108" s="13">
        <v>42789.678854166668</v>
      </c>
      <c r="F108" s="13">
        <v>42789.684930555559</v>
      </c>
      <c r="G108" s="7">
        <v>0</v>
      </c>
      <c r="H108" s="21" t="s">
        <v>184</v>
      </c>
      <c r="I108" s="13">
        <v>42789.713530092595</v>
      </c>
      <c r="J108" s="7">
        <v>0</v>
      </c>
      <c r="K108" s="98" t="str">
        <f t="shared" si="21"/>
        <v>4027/4028</v>
      </c>
      <c r="L108" s="21" t="str">
        <f>VLOOKUP(A108,'Trips&amp;Operators'!$C$1:$G$99999,5,FALSE)</f>
        <v>HAITHCOX MICHAEL</v>
      </c>
      <c r="M108" s="6">
        <f t="shared" si="22"/>
        <v>2.8599537035916001E-2</v>
      </c>
      <c r="N108" s="7">
        <f t="shared" si="23"/>
        <v>41.183333331719041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6"/>
        <v>https://d0f6bd738d7f1b3e5a7ca70fe4ff75f0.us-east-1.aws.found.io/app/kibana#/discover/Steve-Slow-Train-Analysis-(2080s-and-2083s)?_g=(refreshInterval:(display:Off,pause:!f,section:0,value:0),time:(from:'2017-02-23T15:17:33-0700',mode:absolute,to:'2017-02-23T18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8" s="187" t="str">
        <f t="shared" si="27"/>
        <v>N</v>
      </c>
      <c r="X108" s="187">
        <f t="shared" si="28"/>
        <v>1</v>
      </c>
      <c r="Y108" s="62">
        <f t="shared" si="29"/>
        <v>23.301300000000001</v>
      </c>
      <c r="Z108" s="62">
        <f t="shared" si="30"/>
        <v>1.49E-2</v>
      </c>
      <c r="AA108" s="62">
        <f t="shared" si="31"/>
        <v>23.2864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0196-23</v>
      </c>
      <c r="AE108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08" s="82" t="str">
        <f t="shared" si="34"/>
        <v>"C:\Program Files (x86)\AstroGrep\AstroGrep.exe" /spath="%USERPROFILE%\AppData\Local\Temp\OnboardLogs" /stypes="app*4028*20170224*" /stext=" 00:.+(\|loc)" /e /r /s</v>
      </c>
      <c r="AG108" s="1" t="str">
        <f t="shared" si="35"/>
        <v>EC</v>
      </c>
      <c r="AH108" s="86" t="str">
        <f t="shared" si="36"/>
        <v>"%USERPROFILE%\Documents\GitHub\eaglep3\Utilities\RefineRTDCRunTimes.py" --tripid 196-23 --locoid 4028 --swversion DE.1.0.9.0 --startMP 204:233013 --initTime 2017-02-23T16:17:33 --startdatetime 2017-02-23T16:26:18 --delay 0 --endMP 204:149 --enddatetime 2017-02-23T17:07:29 --enforcementcount 0 &gt;&gt;C:\Users\stu\Documents\GitHub\eaglep3-reporting\EC\2017-02-23-refined-times.txt</v>
      </c>
      <c r="AI10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ID","value":"196-23"},{"id":16,"name":"Locomotive ID","value":"4028"},{"id":130,"name":"Impact","value":""},{"id":150,"name":"Time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8"/>
        <v>start /low /b %USERPROFILE%\Documents\GitHub\eaglep3\Utilities\DownloadLogsFromS3.py --loco 4028 --day 2017-02-23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569</v>
      </c>
      <c r="B109" s="7">
        <v>4040</v>
      </c>
      <c r="C109" s="21" t="s">
        <v>294</v>
      </c>
      <c r="D109" s="21" t="s">
        <v>246</v>
      </c>
      <c r="E109" s="13">
        <v>42789.653113425928</v>
      </c>
      <c r="F109" s="13">
        <v>42789.657199074078</v>
      </c>
      <c r="G109" s="7">
        <v>1</v>
      </c>
      <c r="H109" s="21" t="s">
        <v>682</v>
      </c>
      <c r="I109" s="13">
        <v>42789.682210648149</v>
      </c>
      <c r="J109" s="7">
        <v>0</v>
      </c>
      <c r="K109" s="98" t="str">
        <f t="shared" si="21"/>
        <v>4039/4040</v>
      </c>
      <c r="L109" s="21" t="str">
        <f>VLOOKUP(A109,'Trips&amp;Operators'!$C$1:$G$99999,5,FALSE)</f>
        <v>HELVIE ADAM</v>
      </c>
      <c r="M109" s="6">
        <f t="shared" si="22"/>
        <v>2.5011574070958886E-2</v>
      </c>
      <c r="N109" s="7">
        <f t="shared" si="23"/>
        <v>36.016666662180796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6"/>
        <v>https://d0f6bd738d7f1b3e5a7ca70fe4ff75f0.us-east-1.aws.found.io/app/kibana#/discover/Steve-Slow-Train-Analysis-(2080s-and-2083s)?_g=(refreshInterval:(display:Off,pause:!f,section:0,value:0),time:(from:'2017-02-23T14:40:29-0700',mode:absolute,to:'2017-02-23T17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87" t="str">
        <f t="shared" si="27"/>
        <v>N</v>
      </c>
      <c r="X109" s="187">
        <f t="shared" si="28"/>
        <v>1</v>
      </c>
      <c r="Y109" s="62">
        <f t="shared" si="29"/>
        <v>4.4600000000000001E-2</v>
      </c>
      <c r="Z109" s="62">
        <f t="shared" si="30"/>
        <v>23.332799999999999</v>
      </c>
      <c r="AA109" s="62">
        <f t="shared" si="31"/>
        <v>23.2882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0197-23</v>
      </c>
      <c r="AE109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109" s="82" t="str">
        <f t="shared" si="34"/>
        <v>"C:\Program Files (x86)\AstroGrep\AstroGrep.exe" /spath="%USERPROFILE%\AppData\Local\Temp\OnboardLogs" /stypes="app*4040*20170223*" /stext=" 23:.+(\|loc)" /e /r /s</v>
      </c>
      <c r="AG109" s="1" t="str">
        <f t="shared" si="35"/>
        <v>EC</v>
      </c>
      <c r="AH109" s="86" t="str">
        <f t="shared" si="36"/>
        <v>"%USERPROFILE%\Documents\GitHub\eaglep3\Utilities\RefineRTDCRunTimes.py" --tripid 197-23 --locoid 4040 --swversion DE.1.0.9.0 --startMP 204:446 --initTime 2017-02-23T15:40:29 --startdatetime 2017-02-23T15:46:22 --delay 1 --endMP 204:233328 --enddatetime 2017-02-23T16:22:23 --enforcementcount 0 &gt;&gt;C:\Users\stu\Documents\GitHub\eaglep3-reporting\EC\2017-02-23-refined-times.txt</v>
      </c>
      <c r="AI10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{"issue":{"subject":"","project_id":79,"tracker_id":40,"status_id":1,"priority_id":2,"assigned_to_id":23,"start_date":"2017-02-23","description":"","custom_fields":[{"id":1,"name":"Subdivision","value":"EC"},{"id":4,"name":"Milepost","value":"23.3328"},{"id":17,"name":"Train ID","value":"197-23"},{"id":16,"name":"Locomotive ID","value":"4040"},{"id":130,"name":"Impact","value":""},{"id":150,"name":"Time of Event (Mountain Time)","value":"16:22:23"},{"id":151,"name":"Denver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8"/>
        <v>start /low /b %USERPROFILE%\Documents\GitHub\eaglep3\Utilities\DownloadLogsFromS3.py --loco 4040 --day 2017-02-23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580</v>
      </c>
      <c r="B110" s="7">
        <v>4039</v>
      </c>
      <c r="C110" s="21" t="s">
        <v>294</v>
      </c>
      <c r="D110" s="21" t="s">
        <v>707</v>
      </c>
      <c r="E110" s="13">
        <v>42789.69332175926</v>
      </c>
      <c r="F110" s="13">
        <v>42789.6953125</v>
      </c>
      <c r="G110" s="7">
        <v>1</v>
      </c>
      <c r="H110" s="21" t="s">
        <v>207</v>
      </c>
      <c r="I110" s="13">
        <v>42789.722708333335</v>
      </c>
      <c r="J110" s="7">
        <v>0</v>
      </c>
      <c r="K110" s="98" t="str">
        <f t="shared" si="21"/>
        <v>4039/4040</v>
      </c>
      <c r="L110" s="21" t="str">
        <f>VLOOKUP(A110,'Trips&amp;Operators'!$C$1:$G$99999,5,FALSE)</f>
        <v>HELVIE ADAM</v>
      </c>
      <c r="M110" s="6">
        <f t="shared" si="22"/>
        <v>2.7395833334594499E-2</v>
      </c>
      <c r="N110" s="7">
        <f t="shared" si="23"/>
        <v>39.450000001816079</v>
      </c>
      <c r="O110" s="7"/>
      <c r="P110" s="7"/>
      <c r="Q110" s="22"/>
      <c r="R110" s="22"/>
      <c r="S110" s="31">
        <f t="shared" si="24"/>
        <v>1</v>
      </c>
      <c r="T110" s="46" t="str">
        <f t="shared" si="25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6"/>
        <v>https://d0f6bd738d7f1b3e5a7ca70fe4ff75f0.us-east-1.aws.found.io/app/kibana#/discover/Steve-Slow-Train-Analysis-(2080s-and-2083s)?_g=(refreshInterval:(display:Off,pause:!f,section:0,value:0),time:(from:'2017-02-23T15:38:23-0700',mode:absolute,to:'2017-02-23T18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87" t="str">
        <f t="shared" si="27"/>
        <v>N</v>
      </c>
      <c r="X110" s="187">
        <f t="shared" si="28"/>
        <v>1</v>
      </c>
      <c r="Y110" s="62">
        <f t="shared" si="29"/>
        <v>23.300899999999999</v>
      </c>
      <c r="Z110" s="62">
        <f t="shared" si="30"/>
        <v>1.5800000000000002E-2</v>
      </c>
      <c r="AA110" s="62">
        <f t="shared" si="31"/>
        <v>23.2851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0198-23</v>
      </c>
      <c r="AE110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110" s="82" t="str">
        <f t="shared" si="34"/>
        <v>"C:\Program Files (x86)\AstroGrep\AstroGrep.exe" /spath="%USERPROFILE%\AppData\Local\Temp\OnboardLogs" /stypes="app*4039*20170224*" /stext=" 00:.+(\|loc)" /e /r /s</v>
      </c>
      <c r="AG110" s="1" t="str">
        <f t="shared" si="35"/>
        <v>EC</v>
      </c>
      <c r="AH110" s="86" t="str">
        <f t="shared" si="36"/>
        <v>"%USERPROFILE%\Documents\GitHub\eaglep3\Utilities\RefineRTDCRunTimes.py" --tripid 198-23 --locoid 4039 --swversion DE.1.0.9.0 --startMP 204:233009 --initTime 2017-02-23T16:38:23 --startdatetime 2017-02-23T16:41:15 --delay 1 --endMP 204:158 --enddatetime 2017-02-23T17:20:42 --enforcementcount 0 &gt;&gt;C:\Users\stu\Documents\GitHub\eaglep3-reporting\EC\2017-02-23-refined-times.txt</v>
      </c>
      <c r="AI11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ID","value":"198-23"},{"id":16,"name":"Locomotive ID","value":"4039"},{"id":130,"name":"Impact","value":""},{"id":150,"name":"Time of Event (Mountain Time)","value":"17:20:42"},{"id":151,"name":"Denver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8"/>
        <v>start /low /b %USERPROFILE%\Documents\GitHub\eaglep3\Utilities\DownloadLogsFromS3.py --loco 4039 --day 2017-02-23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"%USERPROFILE%\AppData\Local\Temp\OnboardLogs"\RTDC4039\*4039*20170224* | grep -SE "(Enforcement Action)|(\[TIMEOUT)|(CHR.+\|PRM\|1\|D.+(SWITCH|SIGNAL).+UNKNOWN)" - &gt;&gt; 2017-02-23-UncaughtWiMAX.txt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446</v>
      </c>
      <c r="B111" s="7">
        <v>4046</v>
      </c>
      <c r="C111" s="21" t="s">
        <v>294</v>
      </c>
      <c r="D111" s="21" t="s">
        <v>694</v>
      </c>
      <c r="E111" s="13">
        <v>42789.662453703706</v>
      </c>
      <c r="F111" s="13">
        <v>42789.666828703703</v>
      </c>
      <c r="G111" s="7">
        <v>1</v>
      </c>
      <c r="H111" s="21" t="s">
        <v>378</v>
      </c>
      <c r="I111" s="13">
        <v>42789.692499999997</v>
      </c>
      <c r="J111" s="7">
        <v>0</v>
      </c>
      <c r="K111" s="98" t="str">
        <f t="shared" si="21"/>
        <v>4045/4046</v>
      </c>
      <c r="L111" s="21" t="str">
        <f>VLOOKUP(A111,'Trips&amp;Operators'!$C$1:$G$99999,5,FALSE)</f>
        <v>BRANNON JEFFREY</v>
      </c>
      <c r="M111" s="6">
        <f t="shared" si="22"/>
        <v>2.5671296294603962E-2</v>
      </c>
      <c r="N111" s="7">
        <f t="shared" si="23"/>
        <v>36.966666664229706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6"/>
        <v>https://d0f6bd738d7f1b3e5a7ca70fe4ff75f0.us-east-1.aws.found.io/app/kibana#/discover/Steve-Slow-Train-Analysis-(2080s-and-2083s)?_g=(refreshInterval:(display:Off,pause:!f,section:0,value:0),time:(from:'2017-02-23T14:53:56-0700',mode:absolute,to:'2017-02-23T17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1" s="187" t="str">
        <f t="shared" si="27"/>
        <v>N</v>
      </c>
      <c r="X111" s="187">
        <f t="shared" si="28"/>
        <v>1</v>
      </c>
      <c r="Y111" s="62">
        <f t="shared" si="29"/>
        <v>4.6699999999999998E-2</v>
      </c>
      <c r="Z111" s="62">
        <f t="shared" si="30"/>
        <v>23.332699999999999</v>
      </c>
      <c r="AA111" s="62">
        <f t="shared" si="31"/>
        <v>23.285999999999998</v>
      </c>
      <c r="AB111" s="59" t="str">
        <f>VLOOKUP(A111,Enforcements!$C$7:$K$13,8,0)</f>
        <v>Bulletin (2)</v>
      </c>
      <c r="AC111" s="55" t="str">
        <f>VLOOKUP(A111,Enforcements!$C$7:$E$13,3,0)</f>
        <v>GRADE CROSSING</v>
      </c>
      <c r="AD111" s="56" t="str">
        <f t="shared" si="32"/>
        <v>0199-23</v>
      </c>
      <c r="AE111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11" s="82" t="str">
        <f t="shared" si="34"/>
        <v>"C:\Program Files (x86)\AstroGrep\AstroGrep.exe" /spath="%USERPROFILE%\AppData\Local\Temp\OnboardLogs" /stypes="app*4046*20170223*" /stext=" 23:.+(\|loc)" /e /r /s</v>
      </c>
      <c r="AG111" s="1" t="str">
        <f t="shared" si="35"/>
        <v>EC</v>
      </c>
      <c r="AH111" s="86" t="str">
        <f t="shared" si="36"/>
        <v>"%USERPROFILE%\Documents\GitHub\eaglep3\Utilities\RefineRTDCRunTimes.py" --tripid 199-23 --locoid 4046 --swversion DE.1.0.9.0 --startMP 204:467 --initTime 2017-02-23T15:53:56 --startdatetime 2017-02-23T16:00:14 --delay 1 --endMP 204:233327 --enddatetime 2017-02-23T16:37:12 --enforcementcount 0 &gt;&gt;C:\Users\stu\Documents\GitHub\eaglep3-reporting\EC\2017-02-23-refined-times.txt</v>
      </c>
      <c r="AI11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{"issue":{"subject":"","project_id":79,"tracker_id":40,"status_id":1,"priority_id":2,"assigned_to_id":23,"start_date":"2017-02-23","description":"","custom_fields":[{"id":1,"name":"Subdivision","value":"EC"},{"id":4,"name":"Milepost","value":"23.3327"},{"id":17,"name":"Train ID","value":"199-23"},{"id":16,"name":"Locomotive ID","value":"4046"},{"id":130,"name":"Impact","value":""},{"id":150,"name":"Time of Event (Mountain Time)","value":"16:37:12"},{"id":151,"name":"Denver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8"/>
        <v>start /low /b %USERPROFILE%\Documents\GitHub\eaglep3\Utilities\DownloadLogsFromS3.py --loco 4046 --day 2017-02-23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447</v>
      </c>
      <c r="B112" s="7">
        <v>4045</v>
      </c>
      <c r="C112" s="21" t="s">
        <v>294</v>
      </c>
      <c r="D112" s="21" t="s">
        <v>372</v>
      </c>
      <c r="E112" s="13">
        <v>42789.693564814814</v>
      </c>
      <c r="F112" s="13">
        <v>42789.705729166664</v>
      </c>
      <c r="G112" s="7">
        <v>1</v>
      </c>
      <c r="H112" s="21" t="s">
        <v>196</v>
      </c>
      <c r="I112" s="13">
        <v>42789.733090277776</v>
      </c>
      <c r="J112" s="7">
        <v>0</v>
      </c>
      <c r="K112" s="98" t="str">
        <f t="shared" si="21"/>
        <v>4045/4046</v>
      </c>
      <c r="L112" s="21" t="str">
        <f>VLOOKUP(A112,'Trips&amp;Operators'!$C$1:$G$99999,5,FALSE)</f>
        <v>BRANNON JEFFREY</v>
      </c>
      <c r="M112" s="6">
        <f t="shared" si="22"/>
        <v>2.73611111115315E-2</v>
      </c>
      <c r="N112" s="7">
        <f t="shared" si="23"/>
        <v>39.40000000060536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6"/>
        <v>https://d0f6bd738d7f1b3e5a7ca70fe4ff75f0.us-east-1.aws.found.io/app/kibana#/discover/Steve-Slow-Train-Analysis-(2080s-and-2083s)?_g=(refreshInterval:(display:Off,pause:!f,section:0,value:0),time:(from:'2017-02-23T15:38:44-0700',mode:absolute,to:'2017-02-23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2" s="187" t="str">
        <f t="shared" si="27"/>
        <v>N</v>
      </c>
      <c r="X112" s="187">
        <f t="shared" si="28"/>
        <v>1</v>
      </c>
      <c r="Y112" s="62">
        <f t="shared" si="29"/>
        <v>23.3004</v>
      </c>
      <c r="Z112" s="62">
        <f t="shared" si="30"/>
        <v>1.4500000000000001E-2</v>
      </c>
      <c r="AA112" s="62">
        <f t="shared" si="31"/>
        <v>23.285899999999998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0200-23</v>
      </c>
      <c r="AE112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12" s="82" t="str">
        <f t="shared" si="34"/>
        <v>"C:\Program Files (x86)\AstroGrep\AstroGrep.exe" /spath="%USERPROFILE%\AppData\Local\Temp\OnboardLogs" /stypes="app*4045*20170224*" /stext=" 00:.+(\|loc)" /e /r /s</v>
      </c>
      <c r="AG112" s="1" t="str">
        <f t="shared" si="35"/>
        <v>EC</v>
      </c>
      <c r="AH112" s="86" t="str">
        <f t="shared" si="36"/>
        <v>"%USERPROFILE%\Documents\GitHub\eaglep3\Utilities\RefineRTDCRunTimes.py" --tripid 200-23 --locoid 4045 --swversion DE.1.0.9.0 --startMP 204:233004 --initTime 2017-02-23T16:38:44 --startdatetime 2017-02-23T16:56:15 --delay 1 --endMP 204:145 --enddatetime 2017-02-23T17:35:39 --enforcementcount 0 &gt;&gt;C:\Users\stu\Documents\GitHub\eaglep3-reporting\EC\2017-02-23-refined-times.txt</v>
      </c>
      <c r="AI11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{"issue":{"subject":"","project_id":79,"tracker_id":40,"status_id":1,"priority_id":2,"assigned_to_id":23,"start_date":"2017-02-23","description":"","custom_fields":[{"id":1,"name":"Subdivision","value":"EC"},{"id":4,"name":"Milepost","value":"0.0145"},{"id":17,"name":"Train ID","value":"200-23"},{"id":16,"name":"Locomotive ID","value":"4045"},{"id":130,"name":"Impact","value":""},{"id":150,"name":"Time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8"/>
        <v>start /low /b %USERPROFILE%\Documents\GitHub\eaglep3\Utilities\DownloadLogsFromS3.py --loco 4045 --day 2017-02-23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574</v>
      </c>
      <c r="B113" s="7">
        <v>4029</v>
      </c>
      <c r="C113" s="21" t="s">
        <v>294</v>
      </c>
      <c r="D113" s="21" t="s">
        <v>708</v>
      </c>
      <c r="E113" s="13">
        <v>42789.673043981478</v>
      </c>
      <c r="F113" s="13">
        <v>42789.677268518521</v>
      </c>
      <c r="G113" s="7">
        <v>1</v>
      </c>
      <c r="H113" s="21" t="s">
        <v>331</v>
      </c>
      <c r="I113" s="13">
        <v>42789.703912037039</v>
      </c>
      <c r="J113" s="7">
        <v>0</v>
      </c>
      <c r="K113" s="98" t="str">
        <f t="shared" si="21"/>
        <v>4029/4030</v>
      </c>
      <c r="L113" s="21" t="str">
        <f>VLOOKUP(A113,'Trips&amp;Operators'!$C$1:$G$99999,5,FALSE)</f>
        <v>CLARK KATHLEEN</v>
      </c>
      <c r="M113" s="6">
        <f t="shared" si="22"/>
        <v>2.6643518518540077E-2</v>
      </c>
      <c r="N113" s="7">
        <f t="shared" si="23"/>
        <v>38.366666666697711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6"/>
        <v>https://d0f6bd738d7f1b3e5a7ca70fe4ff75f0.us-east-1.aws.found.io/app/kibana#/discover/Steve-Slow-Train-Analysis-(2080s-and-2083s)?_g=(refreshInterval:(display:Off,pause:!f,section:0,value:0),time:(from:'2017-02-23T15:09:11-0700',mode:absolute,to:'2017-02-23T17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187" t="str">
        <f t="shared" si="27"/>
        <v>N</v>
      </c>
      <c r="X113" s="187">
        <f t="shared" si="28"/>
        <v>1</v>
      </c>
      <c r="Y113" s="62">
        <f t="shared" si="29"/>
        <v>4.6899999999999997E-2</v>
      </c>
      <c r="Z113" s="62">
        <f t="shared" si="30"/>
        <v>23.329499999999999</v>
      </c>
      <c r="AA113" s="62">
        <f t="shared" si="31"/>
        <v>23.282599999999999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0201-23</v>
      </c>
      <c r="AE113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113" s="82" t="str">
        <f t="shared" si="34"/>
        <v>"C:\Program Files (x86)\AstroGrep\AstroGrep.exe" /spath="%USERPROFILE%\AppData\Local\Temp\OnboardLogs" /stypes="app*4029*20170223*" /stext=" 23:.+(\|loc)" /e /r /s</v>
      </c>
      <c r="AG113" s="1" t="str">
        <f t="shared" si="35"/>
        <v>EC</v>
      </c>
      <c r="AH113" s="86" t="str">
        <f t="shared" si="36"/>
        <v>"%USERPROFILE%\Documents\GitHub\eaglep3\Utilities\RefineRTDCRunTimes.py" --tripid 201-23 --locoid 4029 --swversion DE.1.0.9.0 --startMP 204:469 --initTime 2017-02-23T16:09:11 --startdatetime 2017-02-23T16:15:16 --delay 1 --endMP 204:233295 --enddatetime 2017-02-23T16:53:38 --enforcementcount 0 &gt;&gt;C:\Users\stu\Documents\GitHub\eaglep3-reporting\EC\2017-02-23-refined-times.txt</v>
      </c>
      <c r="AI11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ID","value":"201-23"},{"id":16,"name":"Locomotive ID","value":"4029"},{"id":130,"name":"Impact","value":""},{"id":150,"name":"Time of Event (Mountain Time)","value":"16:53:38"},{"id":151,"name":"Denver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8"/>
        <v>start /low /b %USERPROFILE%\Documents\GitHub\eaglep3\Utilities\DownloadLogsFromS3.py --loco 4029 --day 2017-02-23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583</v>
      </c>
      <c r="B114" s="7">
        <v>4030</v>
      </c>
      <c r="C114" s="21" t="s">
        <v>294</v>
      </c>
      <c r="D114" s="21" t="s">
        <v>709</v>
      </c>
      <c r="E114" s="13">
        <v>42789.710104166668</v>
      </c>
      <c r="F114" s="13">
        <v>42789.716145833336</v>
      </c>
      <c r="G114" s="7">
        <v>1</v>
      </c>
      <c r="H114" s="21" t="s">
        <v>710</v>
      </c>
      <c r="I114" s="13">
        <v>42789.744375000002</v>
      </c>
      <c r="J114" s="7">
        <v>0</v>
      </c>
      <c r="K114" s="98" t="str">
        <f t="shared" si="21"/>
        <v>4029/4030</v>
      </c>
      <c r="L114" s="21" t="str">
        <f>VLOOKUP(A114,'Trips&amp;Operators'!$C$1:$G$99999,5,FALSE)</f>
        <v>CLARK KATHLEEN</v>
      </c>
      <c r="M114" s="6">
        <f t="shared" si="22"/>
        <v>2.8229166666278616E-2</v>
      </c>
      <c r="N114" s="7">
        <f t="shared" si="23"/>
        <v>40.649999999441206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6"/>
        <v>https://d0f6bd738d7f1b3e5a7ca70fe4ff75f0.us-east-1.aws.found.io/app/kibana#/discover/Steve-Slow-Train-Analysis-(2080s-and-2083s)?_g=(refreshInterval:(display:Off,pause:!f,section:0,value:0),time:(from:'2017-02-23T16:02:33-0700',mode:absolute,to:'2017-02-23T18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4" s="187" t="str">
        <f t="shared" si="27"/>
        <v>N</v>
      </c>
      <c r="X114" s="187">
        <f t="shared" si="28"/>
        <v>1</v>
      </c>
      <c r="Y114" s="62">
        <f t="shared" si="29"/>
        <v>23.2959</v>
      </c>
      <c r="Z114" s="62">
        <f t="shared" si="30"/>
        <v>0.02</v>
      </c>
      <c r="AA114" s="62">
        <f t="shared" si="31"/>
        <v>23.2759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0202-23</v>
      </c>
      <c r="AE114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14" s="82" t="str">
        <f t="shared" si="34"/>
        <v>"C:\Program Files (x86)\AstroGrep\AstroGrep.exe" /spath="%USERPROFILE%\AppData\Local\Temp\OnboardLogs" /stypes="app*4030*20170224*" /stext=" 00:.+(\|loc)" /e /r /s</v>
      </c>
      <c r="AG114" s="1" t="str">
        <f t="shared" si="35"/>
        <v>EC</v>
      </c>
      <c r="AH114" s="86" t="str">
        <f t="shared" si="36"/>
        <v>"%USERPROFILE%\Documents\GitHub\eaglep3\Utilities\RefineRTDCRunTimes.py" --tripid 202-23 --locoid 4030 --swversion DE.1.0.9.0 --startMP 204:232959 --initTime 2017-02-23T17:02:33 --startdatetime 2017-02-23T17:11:15 --delay 1 --endMP 204:200 --enddatetime 2017-02-23T17:51:54 --enforcementcount 0 &gt;&gt;C:\Users\stu\Documents\GitHub\eaglep3-reporting\EC\2017-02-23-refined-times.txt</v>
      </c>
      <c r="AI11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{"issue":{"subject":"","project_id":79,"tracker_id":40,"status_id":1,"priority_id":2,"assigned_to_id":23,"start_date":"2017-02-23","description":"","custom_fields":[{"id":1,"name":"Subdivision","value":"EC"},{"id":4,"name":"Milepost","value":"0.02"},{"id":17,"name":"Train ID","value":"202-23"},{"id":16,"name":"Locomotive ID","value":"4030"},{"id":130,"name":"Impact","value":""},{"id":150,"name":"Time of Event (Mountain Time)","value":"17:51:54"},{"id":151,"name":"Denver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8"/>
        <v>start /low /b %USERPROFILE%\Documents\GitHub\eaglep3\Utilities\DownloadLogsFromS3.py --loco 4030 --day 2017-02-23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"%USERPROFILE%\AppData\Local\Temp\OnboardLogs"\RTDC4030\*4030*20170224* | grep -SE "(Enforcement Action)|(\[TIMEOUT)|(CHR.+\|PRM\|1\|D.+(SWITCH|SIGNAL).+UNKNOWN)" - &gt;&gt; 2017-02-23-UncaughtWiMAX.txt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577</v>
      </c>
      <c r="B115" s="7">
        <v>4014</v>
      </c>
      <c r="C115" s="21" t="s">
        <v>294</v>
      </c>
      <c r="D115" s="21" t="s">
        <v>332</v>
      </c>
      <c r="E115" s="13">
        <v>42789.683692129627</v>
      </c>
      <c r="F115" s="13">
        <v>42789.687777777777</v>
      </c>
      <c r="G115" s="7">
        <v>1</v>
      </c>
      <c r="H115" s="21" t="s">
        <v>341</v>
      </c>
      <c r="I115" s="13">
        <v>42789.714039351849</v>
      </c>
      <c r="J115" s="7">
        <v>0</v>
      </c>
      <c r="K115" s="98" t="str">
        <f t="shared" si="21"/>
        <v>4013/4014</v>
      </c>
      <c r="L115" s="21" t="str">
        <f>VLOOKUP(A115,'Trips&amp;Operators'!$C$1:$G$99999,5,FALSE)</f>
        <v>KILLION DAVID</v>
      </c>
      <c r="M115" s="6">
        <f t="shared" si="22"/>
        <v>2.626157407212304E-2</v>
      </c>
      <c r="N115" s="7">
        <f t="shared" si="23"/>
        <v>37.816666663857177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6"/>
        <v>https://d0f6bd738d7f1b3e5a7ca70fe4ff75f0.us-east-1.aws.found.io/app/kibana#/discover/Steve-Slow-Train-Analysis-(2080s-and-2083s)?_g=(refreshInterval:(display:Off,pause:!f,section:0,value:0),time:(from:'2017-02-23T15:24:31-0700',mode:absolute,to:'2017-02-23T18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187" t="str">
        <f t="shared" si="27"/>
        <v>N</v>
      </c>
      <c r="X115" s="187">
        <f t="shared" si="28"/>
        <v>1</v>
      </c>
      <c r="Y115" s="62">
        <f t="shared" si="29"/>
        <v>4.4900000000000002E-2</v>
      </c>
      <c r="Z115" s="62">
        <f t="shared" si="30"/>
        <v>23.330200000000001</v>
      </c>
      <c r="AA115" s="62">
        <f t="shared" si="31"/>
        <v>23.285300000000003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0203-23</v>
      </c>
      <c r="AE115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15" s="82" t="str">
        <f t="shared" si="34"/>
        <v>"C:\Program Files (x86)\AstroGrep\AstroGrep.exe" /spath="%USERPROFILE%\AppData\Local\Temp\OnboardLogs" /stypes="app*4014*20170224*" /stext=" 00:.+(\|loc)" /e /r /s</v>
      </c>
      <c r="AG115" s="1" t="str">
        <f t="shared" si="35"/>
        <v>EC</v>
      </c>
      <c r="AH115" s="86" t="str">
        <f t="shared" si="36"/>
        <v>"%USERPROFILE%\Documents\GitHub\eaglep3\Utilities\RefineRTDCRunTimes.py" --tripid 203-23 --locoid 4014 --swversion DE.1.0.9.0 --startMP 204:449 --initTime 2017-02-23T16:24:31 --startdatetime 2017-02-23T16:30:24 --delay 1 --endMP 204:233302 --enddatetime 2017-02-23T17:08:13 --enforcementcount 0 &gt;&gt;C:\Users\stu\Documents\GitHub\eaglep3-reporting\EC\2017-02-23-refined-times.txt</v>
      </c>
      <c r="AI11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{"issue":{"subject":"","project_id":79,"tracker_id":40,"status_id":1,"priority_id":2,"assigned_to_id":23,"start_date":"2017-02-23","description":"","custom_fields":[{"id":1,"name":"Subdivision","value":"EC"},{"id":4,"name":"Milepost","value":"23.3302"},{"id":17,"name":"Train ID","value":"203-23"},{"id":16,"name":"Locomotive ID","value":"4014"},{"id":130,"name":"Impact","value":""},{"id":150,"name":"Time of Event (Mountain Time)","value":"17:08:13"},{"id":151,"name":"Denver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8"/>
        <v>start /low /b %USERPROFILE%\Documents\GitHub\eaglep3\Utilities\DownloadLogsFromS3.py --loco 4014 --day 2017-02-23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586</v>
      </c>
      <c r="B116" s="7">
        <v>4013</v>
      </c>
      <c r="C116" s="21" t="s">
        <v>294</v>
      </c>
      <c r="D116" s="21" t="s">
        <v>684</v>
      </c>
      <c r="E116" s="13">
        <v>42789.720173611109</v>
      </c>
      <c r="F116" s="13">
        <v>42789.726574074077</v>
      </c>
      <c r="G116" s="7">
        <v>1</v>
      </c>
      <c r="H116" s="21" t="s">
        <v>337</v>
      </c>
      <c r="I116" s="13">
        <v>42789.754351851851</v>
      </c>
      <c r="J116" s="7">
        <v>0</v>
      </c>
      <c r="K116" s="98" t="str">
        <f t="shared" si="21"/>
        <v>4013/4014</v>
      </c>
      <c r="L116" s="21" t="str">
        <f>VLOOKUP(A116,'Trips&amp;Operators'!$C$1:$G$99999,5,FALSE)</f>
        <v>KILLION DAVID</v>
      </c>
      <c r="M116" s="6">
        <f t="shared" si="22"/>
        <v>2.7777777773735579E-2</v>
      </c>
      <c r="N116" s="7">
        <f t="shared" si="23"/>
        <v>39.999999994179234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6"/>
        <v>https://d0f6bd738d7f1b3e5a7ca70fe4ff75f0.us-east-1.aws.found.io/app/kibana#/discover/Steve-Slow-Train-Analysis-(2080s-and-2083s)?_g=(refreshInterval:(display:Off,pause:!f,section:0,value:0),time:(from:'2017-02-23T16:17:03-0700',mode:absolute,to:'2017-02-23T19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187" t="str">
        <f t="shared" si="27"/>
        <v>N</v>
      </c>
      <c r="X116" s="187">
        <f t="shared" si="28"/>
        <v>1</v>
      </c>
      <c r="Y116" s="62">
        <f t="shared" si="29"/>
        <v>23.298100000000002</v>
      </c>
      <c r="Z116" s="62">
        <f t="shared" si="30"/>
        <v>1.6500000000000001E-2</v>
      </c>
      <c r="AA116" s="62">
        <f t="shared" si="31"/>
        <v>23.281600000000001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0204-23</v>
      </c>
      <c r="AE116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16" s="82" t="str">
        <f t="shared" si="34"/>
        <v>"C:\Program Files (x86)\AstroGrep\AstroGrep.exe" /spath="%USERPROFILE%\AppData\Local\Temp\OnboardLogs" /stypes="app*4013*20170224*" /stext=" 01:.+(\|loc)" /e /r /s</v>
      </c>
      <c r="AG116" s="1" t="str">
        <f t="shared" si="35"/>
        <v>EC</v>
      </c>
      <c r="AH116" s="86" t="str">
        <f t="shared" si="36"/>
        <v>"%USERPROFILE%\Documents\GitHub\eaglep3\Utilities\RefineRTDCRunTimes.py" --tripid 204-23 --locoid 4013 --swversion DE.1.0.9.0 --startMP 204:232981 --initTime 2017-02-23T17:17:03 --startdatetime 2017-02-23T17:26:16 --delay 1 --endMP 204:165 --enddatetime 2017-02-23T18:06:16 --enforcementcount 0 &gt;&gt;C:\Users\stu\Documents\GitHub\eaglep3-reporting\EC\2017-02-23-refined-times.txt</v>
      </c>
      <c r="AI11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{"issue":{"subject":"","project_id":79,"tracker_id":40,"status_id":1,"priority_id":2,"assigned_to_id":23,"start_date":"2017-02-23","description":"","custom_fields":[{"id":1,"name":"Subdivision","value":"EC"},{"id":4,"name":"Milepost","value":"0.0165"},{"id":17,"name":"Train ID","value":"204-23"},{"id":16,"name":"Locomotive ID","value":"4013"},{"id":130,"name":"Impact","value":""},{"id":150,"name":"Time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8"/>
        <v>start /low /b %USERPROFILE%\Documents\GitHub\eaglep3\Utilities\DownloadLogsFromS3.py --loco 4013 --day 2017-02-23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581</v>
      </c>
      <c r="B117" s="7">
        <v>4011</v>
      </c>
      <c r="C117" s="21" t="s">
        <v>294</v>
      </c>
      <c r="D117" s="21" t="s">
        <v>694</v>
      </c>
      <c r="E117" s="13">
        <v>42789.694722222222</v>
      </c>
      <c r="F117" s="13">
        <v>42789.698113425926</v>
      </c>
      <c r="G117" s="7">
        <v>1</v>
      </c>
      <c r="H117" s="21" t="s">
        <v>334</v>
      </c>
      <c r="I117" s="13">
        <v>42789.723356481481</v>
      </c>
      <c r="J117" s="7">
        <v>0</v>
      </c>
      <c r="K117" s="98" t="str">
        <f t="shared" si="21"/>
        <v>4011/4012</v>
      </c>
      <c r="L117" s="21" t="str">
        <f>VLOOKUP(A117,'Trips&amp;Operators'!$C$1:$G$99999,5,FALSE)</f>
        <v>BRUDER RICHARD</v>
      </c>
      <c r="M117" s="6">
        <f t="shared" si="22"/>
        <v>2.5243055555620231E-2</v>
      </c>
      <c r="N117" s="7">
        <f t="shared" si="23"/>
        <v>36.350000000093132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6"/>
        <v>https://d0f6bd738d7f1b3e5a7ca70fe4ff75f0.us-east-1.aws.found.io/app/kibana#/discover/Steve-Slow-Train-Analysis-(2080s-and-2083s)?_g=(refreshInterval:(display:Off,pause:!f,section:0,value:0),time:(from:'2017-02-23T15:40:24-0700',mode:absolute,to:'2017-02-23T18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187" t="str">
        <f t="shared" si="27"/>
        <v>N</v>
      </c>
      <c r="X117" s="187">
        <f t="shared" si="28"/>
        <v>1</v>
      </c>
      <c r="Y117" s="62">
        <f t="shared" si="29"/>
        <v>4.6699999999999998E-2</v>
      </c>
      <c r="Z117" s="62">
        <f t="shared" si="30"/>
        <v>23.330500000000001</v>
      </c>
      <c r="AA117" s="62">
        <f t="shared" si="31"/>
        <v>23.283799999999999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0205-23</v>
      </c>
      <c r="AE117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17" s="82" t="str">
        <f t="shared" si="34"/>
        <v>"C:\Program Files (x86)\AstroGrep\AstroGrep.exe" /spath="%USERPROFILE%\AppData\Local\Temp\OnboardLogs" /stypes="app*4011*20170224*" /stext=" 00:.+(\|loc)" /e /r /s</v>
      </c>
      <c r="AG117" s="1" t="str">
        <f t="shared" si="35"/>
        <v>EC</v>
      </c>
      <c r="AH117" s="86" t="str">
        <f t="shared" si="36"/>
        <v>"%USERPROFILE%\Documents\GitHub\eaglep3\Utilities\RefineRTDCRunTimes.py" --tripid 205-23 --locoid 4011 --swversion DE.1.0.9.0 --startMP 204:467 --initTime 2017-02-23T16:40:24 --startdatetime 2017-02-23T16:45:17 --delay 1 --endMP 204:233305 --enddatetime 2017-02-23T17:21:38 --enforcementcount 0 &gt;&gt;C:\Users\stu\Documents\GitHub\eaglep3-reporting\EC\2017-02-23-refined-times.txt</v>
      </c>
      <c r="AI11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{"issue":{"subject":"","project_id":79,"tracker_id":40,"status_id":1,"priority_id":2,"assigned_to_id":23,"start_date":"2017-02-23","description":"","custom_fields":[{"id":1,"name":"Subdivision","value":"EC"},{"id":4,"name":"Milepost","value":"23.3305"},{"id":17,"name":"Train ID","value":"205-23"},{"id":16,"name":"Locomotive ID","value":"4011"},{"id":130,"name":"Impact","value":""},{"id":150,"name":"Time of Event (Mountain Time)","value":"17:21:38"},{"id":151,"name":"Denver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8"/>
        <v>start /low /b %USERPROFILE%\Documents\GitHub\eaglep3\Utilities\DownloadLogsFromS3.py --loco 4011 --day 2017-02-23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450</v>
      </c>
      <c r="B118" s="7">
        <v>4012</v>
      </c>
      <c r="C118" s="21" t="s">
        <v>294</v>
      </c>
      <c r="D118" s="21" t="s">
        <v>301</v>
      </c>
      <c r="E118" s="13">
        <v>42789.732210648152</v>
      </c>
      <c r="F118" s="13">
        <v>42789.736967592595</v>
      </c>
      <c r="G118" s="7">
        <v>1</v>
      </c>
      <c r="H118" s="21" t="s">
        <v>206</v>
      </c>
      <c r="I118" s="13">
        <v>42789.765462962961</v>
      </c>
      <c r="J118" s="7">
        <v>0</v>
      </c>
      <c r="K118" s="98" t="str">
        <f t="shared" si="21"/>
        <v>4011/4012</v>
      </c>
      <c r="L118" s="21" t="str">
        <f>VLOOKUP(A118,'Trips&amp;Operators'!$C$1:$G$99999,5,FALSE)</f>
        <v>BRUDER RICHARD</v>
      </c>
      <c r="M118" s="6">
        <f t="shared" si="22"/>
        <v>2.8495370366727002E-2</v>
      </c>
      <c r="N118" s="7">
        <f t="shared" si="23"/>
        <v>41.033333328086883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6"/>
        <v>https://d0f6bd738d7f1b3e5a7ca70fe4ff75f0.us-east-1.aws.found.io/app/kibana#/discover/Steve-Slow-Train-Analysis-(2080s-and-2083s)?_g=(refreshInterval:(display:Off,pause:!f,section:0,value:0),time:(from:'2017-02-23T16:34:23-0700',mode:absolute,to:'2017-02-23T19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8" s="187" t="str">
        <f t="shared" si="27"/>
        <v>N</v>
      </c>
      <c r="X118" s="187">
        <f t="shared" si="28"/>
        <v>1</v>
      </c>
      <c r="Y118" s="62">
        <f t="shared" si="29"/>
        <v>23.298400000000001</v>
      </c>
      <c r="Z118" s="62">
        <f t="shared" si="30"/>
        <v>1.52E-2</v>
      </c>
      <c r="AA118" s="62">
        <f t="shared" si="31"/>
        <v>23.283200000000001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0206-23</v>
      </c>
      <c r="AE118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18" s="82" t="str">
        <f t="shared" si="34"/>
        <v>"C:\Program Files (x86)\AstroGrep\AstroGrep.exe" /spath="%USERPROFILE%\AppData\Local\Temp\OnboardLogs" /stypes="app*4012*20170224*" /stext=" 01:.+(\|loc)" /e /r /s</v>
      </c>
      <c r="AG118" s="1" t="str">
        <f t="shared" si="35"/>
        <v>EC</v>
      </c>
      <c r="AH118" s="86" t="str">
        <f t="shared" si="36"/>
        <v>"%USERPROFILE%\Documents\GitHub\eaglep3\Utilities\RefineRTDCRunTimes.py" --tripid 206-23 --locoid 4012 --swversion DE.1.0.9.0 --startMP 204:232984 --initTime 2017-02-23T17:34:23 --startdatetime 2017-02-23T17:41:14 --delay 1 --endMP 204:152 --enddatetime 2017-02-23T18:22:16 --enforcementcount 0 &gt;&gt;C:\Users\stu\Documents\GitHub\eaglep3-reporting\EC\2017-02-23-refined-times.txt</v>
      </c>
      <c r="AI11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{"issue":{"subject":"","project_id":79,"tracker_id":40,"status_id":1,"priority_id":2,"assigned_to_id":23,"start_date":"2017-02-23","description":"","custom_fields":[{"id":1,"name":"Subdivision","value":"EC"},{"id":4,"name":"Milepost","value":"0.0152"},{"id":17,"name":"Train ID","value":"206-23"},{"id":16,"name":"Locomotive ID","value":"4012"},{"id":130,"name":"Impact","value":""},{"id":150,"name":"Time of Event (Mountain Time)","value":"18:22:16"},{"id":151,"name":"Denver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8"/>
        <v>start /low /b %USERPROFILE%\Documents\GitHub\eaglep3\Utilities\DownloadLogsFromS3.py --loco 4012 --day 2017-02-23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582</v>
      </c>
      <c r="B119" s="7">
        <v>4009</v>
      </c>
      <c r="C119" s="21" t="s">
        <v>294</v>
      </c>
      <c r="D119" s="21" t="s">
        <v>711</v>
      </c>
      <c r="E119" s="13">
        <v>42789.704594907409</v>
      </c>
      <c r="F119" s="13">
        <v>42789.708599537036</v>
      </c>
      <c r="G119" s="7">
        <v>1</v>
      </c>
      <c r="H119" s="21" t="s">
        <v>319</v>
      </c>
      <c r="I119" s="13">
        <v>42789.734409722223</v>
      </c>
      <c r="J119" s="7">
        <v>0</v>
      </c>
      <c r="K119" s="98" t="str">
        <f t="shared" si="21"/>
        <v>4009/4010</v>
      </c>
      <c r="L119" s="21" t="str">
        <f>VLOOKUP(A119,'Trips&amp;Operators'!$C$1:$G$99999,5,FALSE)</f>
        <v>SMITH MICHAEL</v>
      </c>
      <c r="M119" s="6">
        <f t="shared" si="22"/>
        <v>2.5810185186855961E-2</v>
      </c>
      <c r="N119" s="7">
        <f t="shared" si="23"/>
        <v>37.166666669072583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6"/>
        <v>https://d0f6bd738d7f1b3e5a7ca70fe4ff75f0.us-east-1.aws.found.io/app/kibana#/discover/Steve-Slow-Train-Analysis-(2080s-and-2083s)?_g=(refreshInterval:(display:Off,pause:!f,section:0,value:0),time:(from:'2017-02-23T15:54:37-0700',mode:absolute,to:'2017-02-23T18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9" s="187" t="str">
        <f t="shared" si="27"/>
        <v>N</v>
      </c>
      <c r="X119" s="187">
        <f t="shared" si="28"/>
        <v>1</v>
      </c>
      <c r="Y119" s="62">
        <f t="shared" si="29"/>
        <v>4.7300000000000002E-2</v>
      </c>
      <c r="Z119" s="62">
        <f t="shared" si="30"/>
        <v>23.329699999999999</v>
      </c>
      <c r="AA119" s="62">
        <f t="shared" si="31"/>
        <v>23.282399999999999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0207-23</v>
      </c>
      <c r="AE119" s="85" t="str">
        <f t="shared" si="33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119" s="82" t="str">
        <f t="shared" si="34"/>
        <v>"C:\Program Files (x86)\AstroGrep\AstroGrep.exe" /spath="%USERPROFILE%\AppData\Local\Temp\OnboardLogs" /stypes="app*4009*20170224*" /stext=" 00:.+(\|loc)" /e /r /s</v>
      </c>
      <c r="AG119" s="1" t="str">
        <f t="shared" si="35"/>
        <v>EC</v>
      </c>
      <c r="AH119" s="86" t="str">
        <f t="shared" si="36"/>
        <v>"%USERPROFILE%\Documents\GitHub\eaglep3\Utilities\RefineRTDCRunTimes.py" --tripid 207-23 --locoid 4009 --swversion DE.1.0.9.0 --startMP 204:473 --initTime 2017-02-23T16:54:37 --startdatetime 2017-02-23T17:00:23 --delay 1 --endMP 204:233297 --enddatetime 2017-02-23T17:37:33 --enforcementcount 0 &gt;&gt;C:\Users\stu\Documents\GitHub\eaglep3-reporting\EC\2017-02-23-refined-times.txt</v>
      </c>
      <c r="AI11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{"issue":{"subject":"","project_id":79,"tracker_id":40,"status_id":1,"priority_id":2,"assigned_to_id":23,"start_date":"2017-02-23","description":"","custom_fields":[{"id":1,"name":"Subdivision","value":"EC"},{"id":4,"name":"Milepost","value":"23.3297"},{"id":17,"name":"Train ID","value":"207-23"},{"id":16,"name":"Locomotive ID","value":"4009"},{"id":130,"name":"Impact","value":""},{"id":150,"name":"Time of Event (Mountain Time)","value":"17:37:33"},{"id":151,"name":"Denver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8"/>
        <v>start /low /b %USERPROFILE%\Documents\GitHub\eaglep3\Utilities\DownloadLogsFromS3.py --loco 4009 --day 2017-02-23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592</v>
      </c>
      <c r="B120" s="7">
        <v>4010</v>
      </c>
      <c r="C120" s="21" t="s">
        <v>294</v>
      </c>
      <c r="D120" s="21" t="s">
        <v>276</v>
      </c>
      <c r="E120" s="13">
        <v>42789.73982638889</v>
      </c>
      <c r="F120" s="13">
        <v>42789.747465277775</v>
      </c>
      <c r="G120" s="7">
        <v>1</v>
      </c>
      <c r="H120" s="21" t="s">
        <v>206</v>
      </c>
      <c r="I120" s="13">
        <v>42789.776354166665</v>
      </c>
      <c r="J120" s="7">
        <v>0</v>
      </c>
      <c r="K120" s="98" t="str">
        <f t="shared" si="21"/>
        <v>4009/4010</v>
      </c>
      <c r="L120" s="21" t="str">
        <f>VLOOKUP(A120,'Trips&amp;Operators'!$C$1:$G$99999,5,FALSE)</f>
        <v>SMITH MICHAEL</v>
      </c>
      <c r="M120" s="6">
        <f t="shared" si="22"/>
        <v>2.8888888889923692E-2</v>
      </c>
      <c r="N120" s="7">
        <f t="shared" si="23"/>
        <v>41.600000001490116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6"/>
        <v>https://d0f6bd738d7f1b3e5a7ca70fe4ff75f0.us-east-1.aws.found.io/app/kibana#/discover/Steve-Slow-Train-Analysis-(2080s-and-2083s)?_g=(refreshInterval:(display:Off,pause:!f,section:0,value:0),time:(from:'2017-02-23T16:45:21-0700',mode:absolute,to:'2017-02-23T19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0" s="187" t="str">
        <f t="shared" si="27"/>
        <v>N</v>
      </c>
      <c r="X120" s="187">
        <f t="shared" si="28"/>
        <v>1</v>
      </c>
      <c r="Y120" s="62">
        <f t="shared" si="29"/>
        <v>23.298500000000001</v>
      </c>
      <c r="Z120" s="62">
        <f t="shared" si="30"/>
        <v>1.52E-2</v>
      </c>
      <c r="AA120" s="62">
        <f t="shared" si="31"/>
        <v>23.283300000000001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0208-23</v>
      </c>
      <c r="AE120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120" s="82" t="str">
        <f t="shared" si="34"/>
        <v>"C:\Program Files (x86)\AstroGrep\AstroGrep.exe" /spath="%USERPROFILE%\AppData\Local\Temp\OnboardLogs" /stypes="app*4010*20170224*" /stext=" 01:.+(\|loc)" /e /r /s</v>
      </c>
      <c r="AG120" s="1" t="str">
        <f t="shared" si="35"/>
        <v>EC</v>
      </c>
      <c r="AH120" s="86" t="str">
        <f t="shared" si="36"/>
        <v>"%USERPROFILE%\Documents\GitHub\eaglep3\Utilities\RefineRTDCRunTimes.py" --tripid 208-23 --locoid 4010 --swversion DE.1.0.9.0 --startMP 204:232985 --initTime 2017-02-23T17:45:21 --startdatetime 2017-02-23T17:56:21 --delay 1 --endMP 204:152 --enddatetime 2017-02-23T18:37:57 --enforcementcount 0 &gt;&gt;C:\Users\stu\Documents\GitHub\eaglep3-reporting\EC\2017-02-23-refined-times.txt</v>
      </c>
      <c r="AI12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{"issue":{"subject":"","project_id":79,"tracker_id":40,"status_id":1,"priority_id":2,"assigned_to_id":23,"start_date":"2017-02-23","description":"","custom_fields":[{"id":1,"name":"Subdivision","value":"EC"},{"id":4,"name":"Milepost","value":"0.0152"},{"id":17,"name":"Train ID","value":"208-23"},{"id":16,"name":"Locomotive ID","value":"4010"},{"id":130,"name":"Impact","value":""},{"id":150,"name":"Time of Event (Mountain Time)","value":"18:37:57"},{"id":151,"name":"Denver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8"/>
        <v>start /low /b %USERPROFILE%\Documents\GitHub\eaglep3\Utilities\DownloadLogsFromS3.py --loco 4010 --day 2017-02-23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585</v>
      </c>
      <c r="B121" s="7">
        <v>4027</v>
      </c>
      <c r="C121" s="21" t="s">
        <v>294</v>
      </c>
      <c r="D121" s="21" t="s">
        <v>287</v>
      </c>
      <c r="E121" s="13">
        <v>42789.717256944445</v>
      </c>
      <c r="F121" s="13">
        <v>42789.718969907408</v>
      </c>
      <c r="G121" s="7">
        <v>1</v>
      </c>
      <c r="H121" s="21" t="s">
        <v>376</v>
      </c>
      <c r="I121" s="13">
        <v>42789.744502314818</v>
      </c>
      <c r="J121" s="7">
        <v>0</v>
      </c>
      <c r="K121" s="98" t="str">
        <f t="shared" si="21"/>
        <v>4027/4028</v>
      </c>
      <c r="L121" s="21" t="str">
        <f>VLOOKUP(A121,'Trips&amp;Operators'!$C$1:$G$99999,5,FALSE)</f>
        <v>CHANDLER KELVIN</v>
      </c>
      <c r="M121" s="6">
        <f t="shared" si="22"/>
        <v>2.5532407409627922E-2</v>
      </c>
      <c r="N121" s="7">
        <f t="shared" si="23"/>
        <v>36.766666669864208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6"/>
        <v>https://d0f6bd738d7f1b3e5a7ca70fe4ff75f0.us-east-1.aws.found.io/app/kibana#/discover/Steve-Slow-Train-Analysis-(2080s-and-2083s)?_g=(refreshInterval:(display:Off,pause:!f,section:0,value:0),time:(from:'2017-02-23T16:12:51-0700',mode:absolute,to:'2017-02-23T18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87" t="str">
        <f t="shared" si="27"/>
        <v>N</v>
      </c>
      <c r="X121" s="187">
        <f t="shared" si="28"/>
        <v>1</v>
      </c>
      <c r="Y121" s="62">
        <f t="shared" si="29"/>
        <v>4.6600000000000003E-2</v>
      </c>
      <c r="Z121" s="62">
        <f t="shared" si="30"/>
        <v>23.329899999999999</v>
      </c>
      <c r="AA121" s="62">
        <f t="shared" si="31"/>
        <v>23.283299999999997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0209-23</v>
      </c>
      <c r="AE121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21" s="82" t="str">
        <f t="shared" si="34"/>
        <v>"C:\Program Files (x86)\AstroGrep\AstroGrep.exe" /spath="%USERPROFILE%\AppData\Local\Temp\OnboardLogs" /stypes="app*4027*20170224*" /stext=" 00:.+(\|loc)" /e /r /s</v>
      </c>
      <c r="AG121" s="1" t="str">
        <f t="shared" si="35"/>
        <v>EC</v>
      </c>
      <c r="AH121" s="86" t="str">
        <f t="shared" si="36"/>
        <v>"%USERPROFILE%\Documents\GitHub\eaglep3\Utilities\RefineRTDCRunTimes.py" --tripid 209-23 --locoid 4027 --swversion DE.1.0.9.0 --startMP 204:466 --initTime 2017-02-23T17:12:51 --startdatetime 2017-02-23T17:15:19 --delay 1 --endMP 204:233299 --enddatetime 2017-02-23T17:52:05 --enforcementcount 0 &gt;&gt;C:\Users\stu\Documents\GitHub\eaglep3-reporting\EC\2017-02-23-refined-times.txt</v>
      </c>
      <c r="AI12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{"issue":{"subject":"","project_id":79,"tracker_id":40,"status_id":1,"priority_id":2,"assigned_to_id":23,"start_date":"2017-02-23","description":"","custom_fields":[{"id":1,"name":"Subdivision","value":"EC"},{"id":4,"name":"Milepost","value":"23.3299"},{"id":17,"name":"Train ID","value":"209-23"},{"id":16,"name":"Locomotive ID","value":"4027"},{"id":130,"name":"Impact","value":""},{"id":150,"name":"Time of Event (Mountain Time)","value":"17:52:05"},{"id":151,"name":"Denver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8"/>
        <v>start /low /b %USERPROFILE%\Documents\GitHub\eaglep3\Utilities\DownloadLogsFromS3.py --loco 4027 --day 2017-02-23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595</v>
      </c>
      <c r="B122" s="7">
        <v>4028</v>
      </c>
      <c r="C122" s="21" t="s">
        <v>294</v>
      </c>
      <c r="D122" s="21" t="s">
        <v>712</v>
      </c>
      <c r="E122" s="13">
        <v>42789.754710648151</v>
      </c>
      <c r="F122" s="13">
        <v>42789.757939814815</v>
      </c>
      <c r="G122" s="7">
        <v>1</v>
      </c>
      <c r="H122" s="21" t="s">
        <v>207</v>
      </c>
      <c r="I122" s="13">
        <v>42789.786354166667</v>
      </c>
      <c r="J122" s="7">
        <v>0</v>
      </c>
      <c r="K122" s="98" t="str">
        <f t="shared" si="21"/>
        <v>4027/4028</v>
      </c>
      <c r="L122" s="21" t="str">
        <f>VLOOKUP(A122,'Trips&amp;Operators'!$C$1:$G$99999,5,FALSE)</f>
        <v>CHANDLER KELVIN</v>
      </c>
      <c r="M122" s="6">
        <f t="shared" si="22"/>
        <v>2.8414351851097308E-2</v>
      </c>
      <c r="N122" s="7">
        <f t="shared" si="23"/>
        <v>40.916666665580124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6"/>
        <v>https://d0f6bd738d7f1b3e5a7ca70fe4ff75f0.us-east-1.aws.found.io/app/kibana#/discover/Steve-Slow-Train-Analysis-(2080s-and-2083s)?_g=(refreshInterval:(display:Off,pause:!f,section:0,value:0),time:(from:'2017-02-23T17:06:47-0700',mode:absolute,to:'2017-02-23T19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187" t="str">
        <f t="shared" si="27"/>
        <v>N</v>
      </c>
      <c r="X122" s="187">
        <f t="shared" si="28"/>
        <v>1</v>
      </c>
      <c r="Y122" s="62">
        <f t="shared" si="29"/>
        <v>23.296700000000001</v>
      </c>
      <c r="Z122" s="62">
        <f t="shared" si="30"/>
        <v>1.5800000000000002E-2</v>
      </c>
      <c r="AA122" s="62">
        <f t="shared" si="31"/>
        <v>23.280900000000003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0210-23</v>
      </c>
      <c r="AE122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22" s="82" t="str">
        <f t="shared" si="34"/>
        <v>"C:\Program Files (x86)\AstroGrep\AstroGrep.exe" /spath="%USERPROFILE%\AppData\Local\Temp\OnboardLogs" /stypes="app*4028*20170224*" /stext=" 01:.+(\|loc)" /e /r /s</v>
      </c>
      <c r="AG122" s="1" t="str">
        <f t="shared" si="35"/>
        <v>EC</v>
      </c>
      <c r="AH122" s="86" t="str">
        <f t="shared" si="36"/>
        <v>"%USERPROFILE%\Documents\GitHub\eaglep3\Utilities\RefineRTDCRunTimes.py" --tripid 210-23 --locoid 4028 --swversion DE.1.0.9.0 --startMP 204:232967 --initTime 2017-02-23T18:06:47 --startdatetime 2017-02-23T18:11:26 --delay 1 --endMP 204:158 --enddatetime 2017-02-23T18:52:21 --enforcementcount 0 &gt;&gt;C:\Users\stu\Documents\GitHub\eaglep3-reporting\EC\2017-02-23-refined-times.txt</v>
      </c>
      <c r="AI12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ID","value":"210-23"},{"id":16,"name":"Locomotive ID","value":"4028"},{"id":130,"name":"Impact","value":""},{"id":150,"name":"Time of Event (Mountain Time)","value":"18:52:21"},{"id":151,"name":"Denver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8"/>
        <v>start /low /b %USERPROFILE%\Documents\GitHub\eaglep3\Utilities\DownloadLogsFromS3.py --loco 4028 --day 2017-02-23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588</v>
      </c>
      <c r="B123" s="7">
        <v>4040</v>
      </c>
      <c r="C123" s="21" t="s">
        <v>294</v>
      </c>
      <c r="D123" s="21" t="s">
        <v>713</v>
      </c>
      <c r="E123" s="13">
        <v>42789.72446759259</v>
      </c>
      <c r="F123" s="13">
        <v>42789.729363425926</v>
      </c>
      <c r="G123" s="7">
        <v>1</v>
      </c>
      <c r="H123" s="21" t="s">
        <v>670</v>
      </c>
      <c r="I123" s="13">
        <v>42789.756412037037</v>
      </c>
      <c r="J123" s="7">
        <v>0</v>
      </c>
      <c r="K123" s="98" t="str">
        <f t="shared" si="21"/>
        <v>4039/4040</v>
      </c>
      <c r="L123" s="21" t="str">
        <f>VLOOKUP(A123,'Trips&amp;Operators'!$C$1:$G$99999,5,FALSE)</f>
        <v>HAITHCOX MICHAEL</v>
      </c>
      <c r="M123" s="6">
        <f t="shared" si="22"/>
        <v>2.7048611111240461E-2</v>
      </c>
      <c r="N123" s="7">
        <f t="shared" si="23"/>
        <v>38.950000000186265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6"/>
        <v>https://d0f6bd738d7f1b3e5a7ca70fe4ff75f0.us-east-1.aws.found.io/app/kibana#/discover/Steve-Slow-Train-Analysis-(2080s-and-2083s)?_g=(refreshInterval:(display:Off,pause:!f,section:0,value:0),time:(from:'2017-02-23T16:23:14-0700',mode:absolute,to:'2017-02-23T19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87" t="str">
        <f t="shared" si="27"/>
        <v>N</v>
      </c>
      <c r="X123" s="187">
        <f t="shared" si="28"/>
        <v>1</v>
      </c>
      <c r="Y123" s="62">
        <f t="shared" si="29"/>
        <v>4.8399999999999999E-2</v>
      </c>
      <c r="Z123" s="62">
        <f t="shared" si="30"/>
        <v>23.331199999999999</v>
      </c>
      <c r="AA123" s="62">
        <f t="shared" si="31"/>
        <v>23.282799999999998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0211-23</v>
      </c>
      <c r="AE123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123" s="82" t="str">
        <f t="shared" si="34"/>
        <v>"C:\Program Files (x86)\AstroGrep\AstroGrep.exe" /spath="%USERPROFILE%\AppData\Local\Temp\OnboardLogs" /stypes="app*4040*20170224*" /stext=" 01:.+(\|loc)" /e /r /s</v>
      </c>
      <c r="AG123" s="1" t="str">
        <f t="shared" si="35"/>
        <v>EC</v>
      </c>
      <c r="AH123" s="86" t="str">
        <f t="shared" si="36"/>
        <v>"%USERPROFILE%\Documents\GitHub\eaglep3\Utilities\RefineRTDCRunTimes.py" --tripid 211-23 --locoid 4040 --swversion DE.1.0.9.0 --startMP 204:484 --initTime 2017-02-23T17:23:14 --startdatetime 2017-02-23T17:30:17 --delay 1 --endMP 204:233312 --enddatetime 2017-02-23T18:09:14 --enforcementcount 0 &gt;&gt;C:\Users\stu\Documents\GitHub\eaglep3-reporting\EC\2017-02-23-refined-times.txt</v>
      </c>
      <c r="AI12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ID","value":"211-23"},{"id":16,"name":"Locomotive ID","value":"4040"},{"id":130,"name":"Impact","value":""},{"id":150,"name":"Time of Event (Mountain Time)","value":"18:09:14"},{"id":151,"name":"Denver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8"/>
        <v>start /low /b %USERPROFILE%\Documents\GitHub\eaglep3\Utilities\DownloadLogsFromS3.py --loco 4040 --day 2017-02-23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"%USERPROFILE%\AppData\Local\Temp\OnboardLogs"\RTDC4040\*4040*20170224* | grep -SE "(Enforcement Action)|(\[TIMEOUT)|(CHR.+\|PRM\|1\|D.+(SWITCH|SIGNAL).+UNKNOWN)" - &gt;&gt; 2017-02-23-UncaughtWiMAX.txt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599</v>
      </c>
      <c r="B124" s="7">
        <v>4039</v>
      </c>
      <c r="C124" s="21" t="s">
        <v>294</v>
      </c>
      <c r="D124" s="21" t="s">
        <v>300</v>
      </c>
      <c r="E124" s="13">
        <v>42789.76185185185</v>
      </c>
      <c r="F124" s="13">
        <v>42789.768240740741</v>
      </c>
      <c r="G124" s="7">
        <v>1</v>
      </c>
      <c r="H124" s="21" t="s">
        <v>272</v>
      </c>
      <c r="I124" s="13">
        <v>42789.796909722223</v>
      </c>
      <c r="J124" s="7">
        <v>0</v>
      </c>
      <c r="K124" s="98" t="str">
        <f t="shared" si="21"/>
        <v>4039/4040</v>
      </c>
      <c r="L124" s="21" t="str">
        <f>VLOOKUP(A124,'Trips&amp;Operators'!$C$1:$G$99999,5,FALSE)</f>
        <v>HAITHCOX MICHAEL</v>
      </c>
      <c r="M124" s="6">
        <f t="shared" si="22"/>
        <v>2.8668981482042E-2</v>
      </c>
      <c r="N124" s="7">
        <f t="shared" si="23"/>
        <v>41.28333333414048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6"/>
        <v>https://d0f6bd738d7f1b3e5a7ca70fe4ff75f0.us-east-1.aws.found.io/app/kibana#/discover/Steve-Slow-Train-Analysis-(2080s-and-2083s)?_g=(refreshInterval:(display:Off,pause:!f,section:0,value:0),time:(from:'2017-02-23T17:17:04-0700',mode:absolute,to:'2017-02-23T20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87" t="str">
        <f t="shared" si="27"/>
        <v>N</v>
      </c>
      <c r="X124" s="187">
        <f t="shared" si="28"/>
        <v>1</v>
      </c>
      <c r="Y124" s="62">
        <f t="shared" si="29"/>
        <v>23.299399999999999</v>
      </c>
      <c r="Z124" s="62">
        <f t="shared" si="30"/>
        <v>1.47E-2</v>
      </c>
      <c r="AA124" s="62">
        <f t="shared" si="31"/>
        <v>23.284699999999997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0212-23</v>
      </c>
      <c r="AE124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124" s="82" t="str">
        <f t="shared" si="34"/>
        <v>"C:\Program Files (x86)\AstroGrep\AstroGrep.exe" /spath="%USERPROFILE%\AppData\Local\Temp\OnboardLogs" /stypes="app*4039*20170224*" /stext=" 02:.+(\|loc)" /e /r /s</v>
      </c>
      <c r="AG124" s="1" t="str">
        <f t="shared" si="35"/>
        <v>EC</v>
      </c>
      <c r="AH124" s="86" t="str">
        <f t="shared" si="36"/>
        <v>"%USERPROFILE%\Documents\GitHub\eaglep3\Utilities\RefineRTDCRunTimes.py" --tripid 212-23 --locoid 4039 --swversion DE.1.0.9.0 --startMP 204:232994 --initTime 2017-02-23T18:17:04 --startdatetime 2017-02-23T18:26:16 --delay 1 --endMP 204:147 --enddatetime 2017-02-23T19:07:33 --enforcementcount 0 &gt;&gt;C:\Users\stu\Documents\GitHub\eaglep3-reporting\EC\2017-02-23-refined-times.txt</v>
      </c>
      <c r="AI12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ID","value":"212-23"},{"id":16,"name":"Locomotive ID","value":"4039"},{"id":130,"name":"Impact","value":""},{"id":150,"name":"Time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8"/>
        <v>start /low /b %USERPROFILE%\Documents\GitHub\eaglep3\Utilities\DownloadLogsFromS3.py --loco 4039 --day 2017-02-23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"%USERPROFILE%\AppData\Local\Temp\OnboardLogs"\RTDC4039\*4039*20170224* | grep -SE "(Enforcement Action)|(\[TIMEOUT)|(CHR.+\|PRM\|1\|D.+(SWITCH|SIGNAL).+UNKNOWN)" - &gt;&gt; 2017-02-23-UncaughtWiMAX.txt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449</v>
      </c>
      <c r="B125" s="7">
        <v>4046</v>
      </c>
      <c r="C125" s="21" t="s">
        <v>294</v>
      </c>
      <c r="D125" s="21" t="s">
        <v>285</v>
      </c>
      <c r="E125" s="13">
        <v>42789.735381944447</v>
      </c>
      <c r="F125" s="13">
        <v>42789.739756944444</v>
      </c>
      <c r="G125" s="7">
        <v>1</v>
      </c>
      <c r="H125" s="21" t="s">
        <v>375</v>
      </c>
      <c r="I125" s="13">
        <v>42789.765127314815</v>
      </c>
      <c r="J125" s="7">
        <v>0</v>
      </c>
      <c r="K125" s="98" t="str">
        <f t="shared" si="21"/>
        <v>4045/4046</v>
      </c>
      <c r="L125" s="21" t="str">
        <f>VLOOKUP(A125,'Trips&amp;Operators'!$C$1:$G$99999,5,FALSE)</f>
        <v>NEWELL JAMES</v>
      </c>
      <c r="M125" s="6">
        <f t="shared" si="22"/>
        <v>2.5370370371092577E-2</v>
      </c>
      <c r="N125" s="7">
        <f t="shared" si="23"/>
        <v>36.53333333437331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6"/>
        <v>https://d0f6bd738d7f1b3e5a7ca70fe4ff75f0.us-east-1.aws.found.io/app/kibana#/discover/Steve-Slow-Train-Analysis-(2080s-and-2083s)?_g=(refreshInterval:(display:Off,pause:!f,section:0,value:0),time:(from:'2017-02-23T16:38:57-0700',mode:absolute,to:'2017-02-23T19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187" t="str">
        <f t="shared" si="27"/>
        <v>N</v>
      </c>
      <c r="X125" s="187">
        <f t="shared" si="28"/>
        <v>1</v>
      </c>
      <c r="Y125" s="62">
        <f t="shared" si="29"/>
        <v>4.7500000000000001E-2</v>
      </c>
      <c r="Z125" s="62">
        <f t="shared" si="30"/>
        <v>23.331600000000002</v>
      </c>
      <c r="AA125" s="62">
        <f t="shared" si="31"/>
        <v>23.284100000000002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0213-23</v>
      </c>
      <c r="AE125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25" s="82" t="str">
        <f t="shared" si="34"/>
        <v>"C:\Program Files (x86)\AstroGrep\AstroGrep.exe" /spath="%USERPROFILE%\AppData\Local\Temp\OnboardLogs" /stypes="app*4046*20170224*" /stext=" 01:.+(\|loc)" /e /r /s</v>
      </c>
      <c r="AG125" s="1" t="str">
        <f t="shared" si="35"/>
        <v>EC</v>
      </c>
      <c r="AH125" s="86" t="str">
        <f t="shared" si="36"/>
        <v>"%USERPROFILE%\Documents\GitHub\eaglep3\Utilities\RefineRTDCRunTimes.py" --tripid 213-23 --locoid 4046 --swversion DE.1.0.9.0 --startMP 204:475 --initTime 2017-02-23T17:38:57 --startdatetime 2017-02-23T17:45:15 --delay 1 --endMP 204:233316 --enddatetime 2017-02-23T18:21:47 --enforcementcount 0 &gt;&gt;C:\Users\stu\Documents\GitHub\eaglep3-reporting\EC\2017-02-23-refined-times.txt</v>
      </c>
      <c r="AI12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{"issue":{"subject":"","project_id":79,"tracker_id":40,"status_id":1,"priority_id":2,"assigned_to_id":23,"start_date":"2017-02-23","description":"","custom_fields":[{"id":1,"name":"Subdivision","value":"EC"},{"id":4,"name":"Milepost","value":"23.3316"},{"id":17,"name":"Train ID","value":"213-23"},{"id":16,"name":"Locomotive ID","value":"4046"},{"id":130,"name":"Impact","value":""},{"id":150,"name":"Time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8"/>
        <v>start /low /b %USERPROFILE%\Documents\GitHub\eaglep3\Utilities\DownloadLogsFromS3.py --loco 4046 --day 2017-02-23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455</v>
      </c>
      <c r="B126" s="7">
        <v>4045</v>
      </c>
      <c r="C126" s="21" t="s">
        <v>294</v>
      </c>
      <c r="D126" s="21" t="s">
        <v>676</v>
      </c>
      <c r="E126" s="13">
        <v>42789.768645833334</v>
      </c>
      <c r="F126" s="13">
        <v>42789.778657407405</v>
      </c>
      <c r="G126" s="7">
        <v>1</v>
      </c>
      <c r="H126" s="21" t="s">
        <v>223</v>
      </c>
      <c r="I126" s="13">
        <v>42789.80667824074</v>
      </c>
      <c r="J126" s="7">
        <v>0</v>
      </c>
      <c r="K126" s="98" t="str">
        <f t="shared" si="21"/>
        <v>4045/4046</v>
      </c>
      <c r="L126" s="21" t="str">
        <f>VLOOKUP(A126,'Trips&amp;Operators'!$C$1:$G$99999,5,FALSE)</f>
        <v>NEWELL JAMES</v>
      </c>
      <c r="M126" s="6">
        <f t="shared" si="22"/>
        <v>2.8020833335176576E-2</v>
      </c>
      <c r="N126" s="7">
        <f t="shared" si="23"/>
        <v>40.350000002654269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6"/>
        <v>https://d0f6bd738d7f1b3e5a7ca70fe4ff75f0.us-east-1.aws.found.io/app/kibana#/discover/Steve-Slow-Train-Analysis-(2080s-and-2083s)?_g=(refreshInterval:(display:Off,pause:!f,section:0,value:0),time:(from:'2017-02-23T17:26:51-0700',mode:absolute,to:'2017-02-23T20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187" t="str">
        <f t="shared" si="27"/>
        <v>N</v>
      </c>
      <c r="X126" s="187">
        <f t="shared" si="28"/>
        <v>1</v>
      </c>
      <c r="Y126" s="62">
        <f t="shared" si="29"/>
        <v>23.297699999999999</v>
      </c>
      <c r="Z126" s="62">
        <f t="shared" si="30"/>
        <v>1.43E-2</v>
      </c>
      <c r="AA126" s="62">
        <f t="shared" si="31"/>
        <v>23.2834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0214-23</v>
      </c>
      <c r="AE126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26" s="82" t="str">
        <f t="shared" si="34"/>
        <v>"C:\Program Files (x86)\AstroGrep\AstroGrep.exe" /spath="%USERPROFILE%\AppData\Local\Temp\OnboardLogs" /stypes="app*4045*20170224*" /stext=" 02:.+(\|loc)" /e /r /s</v>
      </c>
      <c r="AG126" s="1" t="str">
        <f t="shared" si="35"/>
        <v>EC</v>
      </c>
      <c r="AH126" s="86" t="str">
        <f t="shared" si="36"/>
        <v>"%USERPROFILE%\Documents\GitHub\eaglep3\Utilities\RefineRTDCRunTimes.py" --tripid 214-23 --locoid 4045 --swversion DE.1.0.9.0 --startMP 204:232977 --initTime 2017-02-23T18:26:51 --startdatetime 2017-02-23T18:41:16 --delay 1 --endMP 204:143 --enddatetime 2017-02-23T19:21:37 --enforcementcount 0 &gt;&gt;C:\Users\stu\Documents\GitHub\eaglep3-reporting\EC\2017-02-23-refined-times.txt</v>
      </c>
      <c r="AI12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ID","value":"214-23"},{"id":16,"name":"Locomotive ID","value":"4045"},{"id":130,"name":"Impact","value":""},{"id":150,"name":"Time of Event (Mountain Time)","value":"19:21:37"},{"id":151,"name":"Denver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8"/>
        <v>start /low /b %USERPROFILE%\Documents\GitHub\eaglep3\Utilities\DownloadLogsFromS3.py --loco 4045 --day 2017-02-23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594</v>
      </c>
      <c r="B127" s="7">
        <v>4029</v>
      </c>
      <c r="C127" s="21" t="s">
        <v>294</v>
      </c>
      <c r="D127" s="21" t="s">
        <v>714</v>
      </c>
      <c r="E127" s="13">
        <v>42789.745636574073</v>
      </c>
      <c r="F127" s="13">
        <v>42789.750150462962</v>
      </c>
      <c r="G127" s="7">
        <v>1</v>
      </c>
      <c r="H127" s="21" t="s">
        <v>715</v>
      </c>
      <c r="I127" s="13">
        <v>42789.775833333333</v>
      </c>
      <c r="J127" s="7">
        <v>0</v>
      </c>
      <c r="K127" s="98" t="str">
        <f t="shared" si="21"/>
        <v>4029/4030</v>
      </c>
      <c r="L127" s="21" t="str">
        <f>VLOOKUP(A127,'Trips&amp;Operators'!$C$1:$G$99999,5,FALSE)</f>
        <v>BRANNON JEFFREY</v>
      </c>
      <c r="M127" s="6">
        <f t="shared" si="22"/>
        <v>2.5682870371383615E-2</v>
      </c>
      <c r="N127" s="7">
        <f t="shared" si="23"/>
        <v>36.983333334792405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6"/>
        <v>https://d0f6bd738d7f1b3e5a7ca70fe4ff75f0.us-east-1.aws.found.io/app/kibana#/discover/Steve-Slow-Train-Analysis-(2080s-and-2083s)?_g=(refreshInterval:(display:Off,pause:!f,section:0,value:0),time:(from:'2017-02-23T16:53:43-0700',mode:absolute,to:'2017-02-23T19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87" t="str">
        <f t="shared" si="27"/>
        <v>N</v>
      </c>
      <c r="X127" s="187">
        <f t="shared" si="28"/>
        <v>1</v>
      </c>
      <c r="Y127" s="62">
        <f t="shared" si="29"/>
        <v>4.9700000000000001E-2</v>
      </c>
      <c r="Z127" s="62">
        <f t="shared" si="30"/>
        <v>23.325299999999999</v>
      </c>
      <c r="AA127" s="62">
        <f t="shared" si="31"/>
        <v>23.275599999999997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0215-23</v>
      </c>
      <c r="AE127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127" s="82" t="str">
        <f t="shared" si="34"/>
        <v>"C:\Program Files (x86)\AstroGrep\AstroGrep.exe" /spath="%USERPROFILE%\AppData\Local\Temp\OnboardLogs" /stypes="app*4029*20170224*" /stext=" 01:.+(\|loc)" /e /r /s</v>
      </c>
      <c r="AG127" s="1" t="str">
        <f t="shared" si="35"/>
        <v>EC</v>
      </c>
      <c r="AH127" s="86" t="str">
        <f t="shared" si="36"/>
        <v>"%USERPROFILE%\Documents\GitHub\eaglep3\Utilities\RefineRTDCRunTimes.py" --tripid 215-23 --locoid 4029 --swversion DE.1.0.9.0 --startMP 204:497 --initTime 2017-02-23T17:53:43 --startdatetime 2017-02-23T18:00:13 --delay 1 --endMP 204:233253 --enddatetime 2017-02-23T18:37:12 --enforcementcount 0 &gt;&gt;C:\Users\stu\Documents\GitHub\eaglep3-reporting\EC\2017-02-23-refined-times.txt</v>
      </c>
      <c r="AI12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{"issue":{"subject":"","project_id":79,"tracker_id":40,"status_id":1,"priority_id":2,"assigned_to_id":23,"start_date":"2017-02-23","description":"","custom_fields":[{"id":1,"name":"Subdivision","value":"EC"},{"id":4,"name":"Milepost","value":"23.3253"},{"id":17,"name":"Train ID","value":"215-23"},{"id":16,"name":"Locomotive ID","value":"4029"},{"id":130,"name":"Impact","value":""},{"id":150,"name":"Time of Event (Mountain Time)","value":"18:37:12"},{"id":151,"name":"Denver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8"/>
        <v>start /low /b %USERPROFILE%\Documents\GitHub\eaglep3\Utilities\DownloadLogsFromS3.py --loco 4029 --day 2017-02-23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"%USERPROFILE%\AppData\Local\Temp\OnboardLogs"\RTDC4029\*4029*20170224* | grep -SE "(Enforcement Action)|(\[TIMEOUT)|(CHR.+\|PRM\|1\|D.+(SWITCH|SIGNAL).+UNKNOWN)" - &gt;&gt; 2017-02-23-UncaughtWiMAX.txt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602</v>
      </c>
      <c r="B128" s="7">
        <v>4030</v>
      </c>
      <c r="C128" s="21" t="s">
        <v>294</v>
      </c>
      <c r="D128" s="21" t="s">
        <v>716</v>
      </c>
      <c r="E128" s="13">
        <v>42789.776770833334</v>
      </c>
      <c r="F128" s="13">
        <v>42789.789039351854</v>
      </c>
      <c r="G128" s="7">
        <v>1</v>
      </c>
      <c r="H128" s="21" t="s">
        <v>248</v>
      </c>
      <c r="I128" s="13">
        <v>42789.816805555558</v>
      </c>
      <c r="J128" s="7">
        <v>0</v>
      </c>
      <c r="K128" s="98" t="str">
        <f t="shared" si="21"/>
        <v>4029/4030</v>
      </c>
      <c r="L128" s="21" t="str">
        <f>VLOOKUP(A128,'Trips&amp;Operators'!$C$1:$G$99999,5,FALSE)</f>
        <v>BRANNON JEFFREY</v>
      </c>
      <c r="M128" s="6">
        <f t="shared" si="22"/>
        <v>2.7766203704231884E-2</v>
      </c>
      <c r="N128" s="7">
        <f t="shared" si="23"/>
        <v>39.983333334093913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6"/>
        <v>https://d0f6bd738d7f1b3e5a7ca70fe4ff75f0.us-east-1.aws.found.io/app/kibana#/discover/Steve-Slow-Train-Analysis-(2080s-and-2083s)?_g=(refreshInterval:(display:Off,pause:!f,section:0,value:0),time:(from:'2017-02-23T17:38:33-0700',mode:absolute,to:'2017-02-23T20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187" t="str">
        <f t="shared" si="27"/>
        <v>N</v>
      </c>
      <c r="X128" s="187">
        <f t="shared" si="28"/>
        <v>1</v>
      </c>
      <c r="Y128" s="62">
        <f t="shared" si="29"/>
        <v>23.2928</v>
      </c>
      <c r="Z128" s="62">
        <f t="shared" si="30"/>
        <v>1.3899999999999999E-2</v>
      </c>
      <c r="AA128" s="62">
        <f t="shared" si="31"/>
        <v>23.2789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0216-23</v>
      </c>
      <c r="AE128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28" s="82" t="str">
        <f t="shared" si="34"/>
        <v>"C:\Program Files (x86)\AstroGrep\AstroGrep.exe" /spath="%USERPROFILE%\AppData\Local\Temp\OnboardLogs" /stypes="app*4030*20170224*" /stext=" 02:.+(\|loc)" /e /r /s</v>
      </c>
      <c r="AG128" s="1" t="str">
        <f t="shared" si="35"/>
        <v>EC</v>
      </c>
      <c r="AH128" s="86" t="str">
        <f t="shared" si="36"/>
        <v>"%USERPROFILE%\Documents\GitHub\eaglep3\Utilities\RefineRTDCRunTimes.py" --tripid 216-23 --locoid 4030 --swversion DE.1.0.9.0 --startMP 204:232928 --initTime 2017-02-23T18:38:33 --startdatetime 2017-02-23T18:56:13 --delay 1 --endMP 204:139 --enddatetime 2017-02-23T19:36:12 --enforcementcount 0 &gt;&gt;C:\Users\stu\Documents\GitHub\eaglep3-reporting\EC\2017-02-23-refined-times.txt</v>
      </c>
      <c r="AI12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{"issue":{"subject":"","project_id":79,"tracker_id":40,"status_id":1,"priority_id":2,"assigned_to_id":23,"start_date":"2017-02-23","description":"","custom_fields":[{"id":1,"name":"Subdivision","value":"EC"},{"id":4,"name":"Milepost","value":"0.0139"},{"id":17,"name":"Train ID","value":"216-23"},{"id":16,"name":"Locomotive ID","value":"4030"},{"id":130,"name":"Impact","value":""},{"id":150,"name":"Time of Event (Mountain Time)","value":"19:36:12"},{"id":151,"name":"Denver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8"/>
        <v>start /low /b %USERPROFILE%\Documents\GitHub\eaglep3\Utilities\DownloadLogsFromS3.py --loco 4030 --day 2017-02-23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"%USERPROFILE%\AppData\Local\Temp\OnboardLogs"\RTDC4030\*4030*20170224* | grep -SE "(Enforcement Action)|(\[TIMEOUT)|(CHR.+\|PRM\|1\|D.+(SWITCH|SIGNAL).+UNKNOWN)" - &gt;&gt; 2017-02-23-UncaughtWiMAX.txt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596</v>
      </c>
      <c r="B129" s="7">
        <v>4014</v>
      </c>
      <c r="C129" s="21" t="s">
        <v>294</v>
      </c>
      <c r="D129" s="21" t="s">
        <v>241</v>
      </c>
      <c r="E129" s="13">
        <v>42789.756805555553</v>
      </c>
      <c r="F129" s="13">
        <v>42789.760648148149</v>
      </c>
      <c r="G129" s="7">
        <v>3</v>
      </c>
      <c r="H129" s="21" t="s">
        <v>335</v>
      </c>
      <c r="I129" s="13">
        <v>42789.78696759259</v>
      </c>
      <c r="J129" s="7">
        <v>0</v>
      </c>
      <c r="K129" s="98" t="str">
        <f t="shared" si="21"/>
        <v>4013/4014</v>
      </c>
      <c r="L129" s="21" t="str">
        <f>VLOOKUP(A129,'Trips&amp;Operators'!$C$1:$G$99999,5,FALSE)</f>
        <v>BROWN JACOB</v>
      </c>
      <c r="M129" s="6">
        <f t="shared" si="22"/>
        <v>2.6319444441469386E-2</v>
      </c>
      <c r="N129" s="7">
        <f t="shared" si="23"/>
        <v>37.899999995715916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6"/>
        <v>https://d0f6bd738d7f1b3e5a7ca70fe4ff75f0.us-east-1.aws.found.io/app/kibana#/discover/Steve-Slow-Train-Analysis-(2080s-and-2083s)?_g=(refreshInterval:(display:Off,pause:!f,section:0,value:0),time:(from:'2017-02-23T17:09:48-0700',mode:absolute,to:'2017-02-23T19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187" t="str">
        <f t="shared" si="27"/>
        <v>N</v>
      </c>
      <c r="X129" s="187">
        <f t="shared" si="28"/>
        <v>1</v>
      </c>
      <c r="Y129" s="62">
        <f t="shared" si="29"/>
        <v>4.53E-2</v>
      </c>
      <c r="Z129" s="62">
        <f t="shared" si="30"/>
        <v>23.331800000000001</v>
      </c>
      <c r="AA129" s="62">
        <f t="shared" si="31"/>
        <v>23.2865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0217-23</v>
      </c>
      <c r="AE129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29" s="82" t="str">
        <f t="shared" si="34"/>
        <v>"C:\Program Files (x86)\AstroGrep\AstroGrep.exe" /spath="%USERPROFILE%\AppData\Local\Temp\OnboardLogs" /stypes="app*4014*20170224*" /stext=" 01:.+(\|loc)" /e /r /s</v>
      </c>
      <c r="AG129" s="1" t="str">
        <f t="shared" si="35"/>
        <v>EC</v>
      </c>
      <c r="AH129" s="86" t="str">
        <f t="shared" si="36"/>
        <v>"%USERPROFILE%\Documents\GitHub\eaglep3\Utilities\RefineRTDCRunTimes.py" --tripid 217-23 --locoid 4014 --swversion DE.1.0.9.0 --startMP 204:453 --initTime 2017-02-23T18:09:48 --startdatetime 2017-02-23T18:15:20 --delay 3 --endMP 204:233318 --enddatetime 2017-02-23T18:53:14 --enforcementcount 0 &gt;&gt;C:\Users\stu\Documents\GitHub\eaglep3-reporting\EC\2017-02-23-refined-times.txt</v>
      </c>
      <c r="AI12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{"issue":{"subject":"","project_id":79,"tracker_id":40,"status_id":1,"priority_id":2,"assigned_to_id":23,"start_date":"2017-02-23","description":"","custom_fields":[{"id":1,"name":"Subdivision","value":"EC"},{"id":4,"name":"Milepost","value":"23.3318"},{"id":17,"name":"Train ID","value":"217-23"},{"id":16,"name":"Locomotive ID","value":"4014"},{"id":130,"name":"Impact","value":""},{"id":150,"name":"Time of Event (Mountain Time)","value":"18:53:14"},{"id":151,"name":"Denver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8"/>
        <v>start /low /b %USERPROFILE%\Documents\GitHub\eaglep3\Utilities\DownloadLogsFromS3.py --loco 4014 --day 2017-02-23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605</v>
      </c>
      <c r="B130" s="7">
        <v>4013</v>
      </c>
      <c r="C130" s="21" t="s">
        <v>294</v>
      </c>
      <c r="D130" s="21" t="s">
        <v>301</v>
      </c>
      <c r="E130" s="13">
        <v>42789.795428240737</v>
      </c>
      <c r="F130" s="13">
        <v>42789.799502314818</v>
      </c>
      <c r="G130" s="7">
        <v>1</v>
      </c>
      <c r="H130" s="21" t="s">
        <v>268</v>
      </c>
      <c r="I130" s="13">
        <v>42789.827928240738</v>
      </c>
      <c r="J130" s="7">
        <v>0</v>
      </c>
      <c r="K130" s="98" t="str">
        <f t="shared" si="21"/>
        <v>4013/4014</v>
      </c>
      <c r="L130" s="21" t="str">
        <f>VLOOKUP(A130,'Trips&amp;Operators'!$C$1:$G$99999,5,FALSE)</f>
        <v>BROWN JACOB</v>
      </c>
      <c r="M130" s="6">
        <f t="shared" si="22"/>
        <v>2.8425925920601003E-2</v>
      </c>
      <c r="N130" s="7">
        <f t="shared" si="23"/>
        <v>40.933333325665444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6"/>
        <v>https://d0f6bd738d7f1b3e5a7ca70fe4ff75f0.us-east-1.aws.found.io/app/kibana#/discover/Steve-Slow-Train-Analysis-(2080s-and-2083s)?_g=(refreshInterval:(display:Off,pause:!f,section:0,value:0),time:(from:'2017-02-23T18:05:25-0700',mode:absolute,to:'2017-02-23T20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0" s="187" t="str">
        <f t="shared" si="27"/>
        <v>N</v>
      </c>
      <c r="X130" s="187">
        <f t="shared" si="28"/>
        <v>1</v>
      </c>
      <c r="Y130" s="62">
        <f t="shared" si="29"/>
        <v>23.298400000000001</v>
      </c>
      <c r="Z130" s="62">
        <f t="shared" si="30"/>
        <v>1.3599999999999999E-2</v>
      </c>
      <c r="AA130" s="62">
        <f t="shared" si="31"/>
        <v>23.284800000000001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0218-23</v>
      </c>
      <c r="AE130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30" s="82" t="str">
        <f t="shared" si="34"/>
        <v>"C:\Program Files (x86)\AstroGrep\AstroGrep.exe" /spath="%USERPROFILE%\AppData\Local\Temp\OnboardLogs" /stypes="app*4013*20170224*" /stext=" 02:.+(\|loc)" /e /r /s</v>
      </c>
      <c r="AG130" s="1" t="str">
        <f t="shared" si="35"/>
        <v>EC</v>
      </c>
      <c r="AH130" s="86" t="str">
        <f t="shared" si="36"/>
        <v>"%USERPROFILE%\Documents\GitHub\eaglep3\Utilities\RefineRTDCRunTimes.py" --tripid 218-23 --locoid 4013 --swversion DE.1.0.9.0 --startMP 204:232984 --initTime 2017-02-23T19:05:25 --startdatetime 2017-02-23T19:11:17 --delay 1 --endMP 204:136 --enddatetime 2017-02-23T19:52:13 --enforcementcount 0 &gt;&gt;C:\Users\stu\Documents\GitHub\eaglep3-reporting\EC\2017-02-23-refined-times.txt</v>
      </c>
      <c r="AI13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{"issue":{"subject":"","project_id":79,"tracker_id":40,"status_id":1,"priority_id":2,"assigned_to_id":23,"start_date":"2017-02-23","description":"","custom_fields":[{"id":1,"name":"Subdivision","value":"EC"},{"id":4,"name":"Milepost","value":"0.0136"},{"id":17,"name":"Train ID","value":"218-23"},{"id":16,"name":"Locomotive ID","value":"4013"},{"id":130,"name":"Impact","value":""},{"id":150,"name":"Time of Event (Mountain Time)","value":"19:52:13"},{"id":151,"name":"Denver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8"/>
        <v>start /low /b %USERPROFILE%\Documents\GitHub\eaglep3\Utilities\DownloadLogsFromS3.py --loco 4013 --day 2017-02-23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453</v>
      </c>
      <c r="B131" s="7">
        <v>4011</v>
      </c>
      <c r="C131" s="21" t="s">
        <v>294</v>
      </c>
      <c r="D131" s="21" t="s">
        <v>717</v>
      </c>
      <c r="E131" s="13">
        <v>42789.76835648148</v>
      </c>
      <c r="F131" s="13">
        <v>42789.770983796298</v>
      </c>
      <c r="G131" s="7">
        <v>2</v>
      </c>
      <c r="H131" s="21" t="s">
        <v>718</v>
      </c>
      <c r="I131" s="13">
        <v>42789.797129629631</v>
      </c>
      <c r="J131" s="7">
        <v>0</v>
      </c>
      <c r="K131" s="98" t="str">
        <f t="shared" si="21"/>
        <v>4011/4012</v>
      </c>
      <c r="L131" s="21" t="str">
        <f>VLOOKUP(A131,'Trips&amp;Operators'!$C$1:$G$99999,5,FALSE)</f>
        <v>HILLS DUSTIN</v>
      </c>
      <c r="M131" s="6">
        <f t="shared" si="22"/>
        <v>2.6145833333430346E-2</v>
      </c>
      <c r="N131" s="7">
        <f t="shared" si="23"/>
        <v>37.650000000139698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6"/>
        <v>https://d0f6bd738d7f1b3e5a7ca70fe4ff75f0.us-east-1.aws.found.io/app/kibana#/discover/Steve-Slow-Train-Analysis-(2080s-and-2083s)?_g=(refreshInterval:(display:Off,pause:!f,section:0,value:0),time:(from:'2017-02-23T17:26:26-0700',mode:absolute,to:'2017-02-23T20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187" t="str">
        <f t="shared" si="27"/>
        <v>N</v>
      </c>
      <c r="X131" s="187">
        <f t="shared" si="28"/>
        <v>1</v>
      </c>
      <c r="Y131" s="62">
        <f t="shared" si="29"/>
        <v>4.2599999999999999E-2</v>
      </c>
      <c r="Z131" s="62">
        <f t="shared" si="30"/>
        <v>23.337399999999999</v>
      </c>
      <c r="AA131" s="62">
        <f t="shared" si="31"/>
        <v>23.294799999999999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0219-23</v>
      </c>
      <c r="AE131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31" s="82" t="str">
        <f t="shared" si="34"/>
        <v>"C:\Program Files (x86)\AstroGrep\AstroGrep.exe" /spath="%USERPROFILE%\AppData\Local\Temp\OnboardLogs" /stypes="app*4011*20170224*" /stext=" 02:.+(\|loc)" /e /r /s</v>
      </c>
      <c r="AG131" s="1" t="str">
        <f t="shared" si="35"/>
        <v>EC</v>
      </c>
      <c r="AH131" s="86" t="str">
        <f t="shared" si="36"/>
        <v>"%USERPROFILE%\Documents\GitHub\eaglep3\Utilities\RefineRTDCRunTimes.py" --tripid 219-23 --locoid 4011 --swversion DE.1.0.9.0 --startMP 204:426 --initTime 2017-02-23T18:26:26 --startdatetime 2017-02-23T18:30:13 --delay 2 --endMP 204:233374 --enddatetime 2017-02-23T19:07:52 --enforcementcount 0 &gt;&gt;C:\Users\stu\Documents\GitHub\eaglep3-reporting\EC\2017-02-23-refined-times.txt</v>
      </c>
      <c r="AI13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{"issue":{"subject":"","project_id":79,"tracker_id":40,"status_id":1,"priority_id":2,"assigned_to_id":23,"start_date":"2017-02-23","description":"","custom_fields":[{"id":1,"name":"Subdivision","value":"EC"},{"id":4,"name":"Milepost","value":"23.3374"},{"id":17,"name":"Train ID","value":"219-23"},{"id":16,"name":"Locomotive ID","value":"4011"},{"id":130,"name":"Impact","value":""},{"id":150,"name":"Time of Event (Mountain Time)","value":"19:07:52"},{"id":151,"name":"Denver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8"/>
        <v>start /low /b %USERPROFILE%\Documents\GitHub\eaglep3\Utilities\DownloadLogsFromS3.py --loco 4011 --day 2017-02-23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457</v>
      </c>
      <c r="B132" s="7">
        <v>4012</v>
      </c>
      <c r="C132" s="21" t="s">
        <v>294</v>
      </c>
      <c r="D132" s="21" t="s">
        <v>382</v>
      </c>
      <c r="E132" s="13">
        <v>42789.80028935185</v>
      </c>
      <c r="F132" s="13">
        <v>42789.810370370367</v>
      </c>
      <c r="G132" s="7">
        <v>1</v>
      </c>
      <c r="H132" s="21" t="s">
        <v>719</v>
      </c>
      <c r="I132" s="13">
        <v>42789.84070601852</v>
      </c>
      <c r="J132" s="7">
        <v>0</v>
      </c>
      <c r="K132" s="98" t="str">
        <f t="shared" si="21"/>
        <v>4011/4012</v>
      </c>
      <c r="L132" s="21" t="str">
        <f>VLOOKUP(A132,'Trips&amp;Operators'!$C$1:$G$99999,5,FALSE)</f>
        <v>HILLS DUSTIN</v>
      </c>
      <c r="M132" s="6">
        <f t="shared" si="22"/>
        <v>3.033564815268619E-2</v>
      </c>
      <c r="N132" s="7">
        <f t="shared" si="23"/>
        <v>43.683333339868113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6"/>
        <v>https://d0f6bd738d7f1b3e5a7ca70fe4ff75f0.us-east-1.aws.found.io/app/kibana#/discover/Steve-Slow-Train-Analysis-(2080s-and-2083s)?_g=(refreshInterval:(display:Off,pause:!f,section:0,value:0),time:(from:'2017-02-23T18:12:25-0700',mode:absolute,to:'2017-02-23T21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2" s="187" t="str">
        <f t="shared" si="27"/>
        <v>N</v>
      </c>
      <c r="X132" s="187">
        <f t="shared" si="28"/>
        <v>1</v>
      </c>
      <c r="Y132" s="62">
        <f t="shared" si="29"/>
        <v>23.305499999999999</v>
      </c>
      <c r="Z132" s="62">
        <f t="shared" si="30"/>
        <v>1.23E-2</v>
      </c>
      <c r="AA132" s="62">
        <f t="shared" si="31"/>
        <v>23.293199999999999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0220-23</v>
      </c>
      <c r="AE132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32" s="82" t="str">
        <f t="shared" si="34"/>
        <v>"C:\Program Files (x86)\AstroGrep\AstroGrep.exe" /spath="%USERPROFILE%\AppData\Local\Temp\OnboardLogs" /stypes="app*4012*20170224*" /stext=" 03:.+(\|loc)" /e /r /s</v>
      </c>
      <c r="AG132" s="1" t="str">
        <f t="shared" si="35"/>
        <v>EC</v>
      </c>
      <c r="AH132" s="86" t="str">
        <f t="shared" si="36"/>
        <v>"%USERPROFILE%\Documents\GitHub\eaglep3\Utilities\RefineRTDCRunTimes.py" --tripid 220-23 --locoid 4012 --swversion DE.1.0.9.0 --startMP 204:233055 --initTime 2017-02-23T19:12:25 --startdatetime 2017-02-23T19:26:56 --delay 1 --endMP 204:123 --enddatetime 2017-02-23T20:10:37 --enforcementcount 0 &gt;&gt;C:\Users\stu\Documents\GitHub\eaglep3-reporting\EC\2017-02-23-refined-times.txt</v>
      </c>
      <c r="AI13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{"issue":{"subject":"","project_id":79,"tracker_id":40,"status_id":1,"priority_id":2,"assigned_to_id":23,"start_date":"2017-02-23","description":"","custom_fields":[{"id":1,"name":"Subdivision","value":"EC"},{"id":4,"name":"Milepost","value":"0.0123"},{"id":17,"name":"Train ID","value":"220-23"},{"id":16,"name":"Locomotive ID","value":"4012"},{"id":130,"name":"Impact","value":""},{"id":150,"name":"Time of Event (Mountain Time)","value":"20:10:37"},{"id":151,"name":"Denver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8"/>
        <v>start /low /b %USERPROFILE%\Documents\GitHub\eaglep3\Utilities\DownloadLogsFromS3.py --loco 4012 --day 2017-02-23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454</v>
      </c>
      <c r="B133" s="7">
        <v>4027</v>
      </c>
      <c r="C133" s="21" t="s">
        <v>294</v>
      </c>
      <c r="D133" s="21" t="s">
        <v>277</v>
      </c>
      <c r="E133" s="13">
        <v>42789.79115740741</v>
      </c>
      <c r="F133" s="13">
        <v>42789.792627314811</v>
      </c>
      <c r="G133" s="7">
        <v>1</v>
      </c>
      <c r="H133" s="21" t="s">
        <v>720</v>
      </c>
      <c r="I133" s="13">
        <v>42789.818842592591</v>
      </c>
      <c r="J133" s="7">
        <v>0</v>
      </c>
      <c r="K133" s="98" t="str">
        <f t="shared" si="21"/>
        <v>4027/4028</v>
      </c>
      <c r="L133" s="21" t="str">
        <f>VLOOKUP(A133,'Trips&amp;Operators'!$C$1:$G$99999,5,FALSE)</f>
        <v>CHANDLER KELVIN</v>
      </c>
      <c r="M133" s="6">
        <f t="shared" si="22"/>
        <v>2.6215277779556345E-2</v>
      </c>
      <c r="N133" s="7">
        <f t="shared" si="23"/>
        <v>37.750000002561137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6"/>
        <v>https://d0f6bd738d7f1b3e5a7ca70fe4ff75f0.us-east-1.aws.found.io/app/kibana#/discover/Steve-Slow-Train-Analysis-(2080s-and-2083s)?_g=(refreshInterval:(display:Off,pause:!f,section:0,value:0),time:(from:'2017-02-23T17:59:16-0700',mode:absolute,to:'2017-02-23T20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87" t="str">
        <f t="shared" si="27"/>
        <v>N</v>
      </c>
      <c r="X133" s="187">
        <f t="shared" si="28"/>
        <v>1</v>
      </c>
      <c r="Y133" s="62">
        <f t="shared" si="29"/>
        <v>4.7100000000000003E-2</v>
      </c>
      <c r="Z133" s="62">
        <f t="shared" si="30"/>
        <v>23.328299999999999</v>
      </c>
      <c r="AA133" s="62">
        <f t="shared" si="31"/>
        <v>23.281199999999998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0221-23</v>
      </c>
      <c r="AE133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33" s="82" t="str">
        <f t="shared" si="34"/>
        <v>"C:\Program Files (x86)\AstroGrep\AstroGrep.exe" /spath="%USERPROFILE%\AppData\Local\Temp\OnboardLogs" /stypes="app*4027*20170224*" /stext=" 02:.+(\|loc)" /e /r /s</v>
      </c>
      <c r="AG133" s="1" t="str">
        <f t="shared" si="35"/>
        <v>EC</v>
      </c>
      <c r="AH133" s="86" t="str">
        <f t="shared" si="36"/>
        <v>"%USERPROFILE%\Documents\GitHub\eaglep3\Utilities\RefineRTDCRunTimes.py" --tripid 221-23 --locoid 4027 --swversion DE.1.0.9.0 --startMP 204:471 --initTime 2017-02-23T18:59:16 --startdatetime 2017-02-23T19:01:23 --delay 1 --endMP 204:233283 --enddatetime 2017-02-23T19:39:08 --enforcementcount 0 &gt;&gt;C:\Users\stu\Documents\GitHub\eaglep3-reporting\EC\2017-02-23-refined-times.txt</v>
      </c>
      <c r="AI13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{"issue":{"subject":"","project_id":79,"tracker_id":40,"status_id":1,"priority_id":2,"assigned_to_id":23,"start_date":"2017-02-23","description":"","custom_fields":[{"id":1,"name":"Subdivision","value":"EC"},{"id":4,"name":"Milepost","value":"23.3283"},{"id":17,"name":"Train ID","value":"221-23"},{"id":16,"name":"Locomotive ID","value":"4027"},{"id":130,"name":"Impact","value":""},{"id":150,"name":"Time of Event (Mountain Time)","value":"19:39:08"},{"id":151,"name":"Denver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8"/>
        <v>start /low /b %USERPROFILE%\Documents\GitHub\eaglep3\Utilities\DownloadLogsFromS3.py --loco 4027 --day 2017-02-23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458</v>
      </c>
      <c r="B134" s="7">
        <v>4028</v>
      </c>
      <c r="C134" s="21" t="s">
        <v>294</v>
      </c>
      <c r="D134" s="21" t="s">
        <v>709</v>
      </c>
      <c r="E134" s="13">
        <v>42789.825474537036</v>
      </c>
      <c r="F134" s="13">
        <v>42789.831261574072</v>
      </c>
      <c r="G134" s="7">
        <v>1</v>
      </c>
      <c r="H134" s="21" t="s">
        <v>203</v>
      </c>
      <c r="I134" s="13">
        <v>42789.86136574074</v>
      </c>
      <c r="J134" s="7">
        <v>0</v>
      </c>
      <c r="K134" s="98" t="str">
        <f t="shared" si="21"/>
        <v>4027/4028</v>
      </c>
      <c r="L134" s="21" t="str">
        <f>VLOOKUP(A134,'Trips&amp;Operators'!$C$1:$G$99999,5,FALSE)</f>
        <v>CHANDLER KELVIN</v>
      </c>
      <c r="M134" s="6">
        <f t="shared" si="22"/>
        <v>3.0104166668024845E-2</v>
      </c>
      <c r="N134" s="7">
        <f t="shared" si="23"/>
        <v>43.350000001955777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6"/>
        <v>https://d0f6bd738d7f1b3e5a7ca70fe4ff75f0.us-east-1.aws.found.io/app/kibana#/discover/Steve-Slow-Train-Analysis-(2080s-and-2083s)?_g=(refreshInterval:(display:Off,pause:!f,section:0,value:0),time:(from:'2017-02-23T18:48:41-0700',mode:absolute,to:'2017-02-23T21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187" t="str">
        <f t="shared" si="27"/>
        <v>N</v>
      </c>
      <c r="X134" s="187">
        <f t="shared" si="28"/>
        <v>1</v>
      </c>
      <c r="Y134" s="62">
        <f t="shared" si="29"/>
        <v>23.2959</v>
      </c>
      <c r="Z134" s="62">
        <f t="shared" si="30"/>
        <v>1.6E-2</v>
      </c>
      <c r="AA134" s="62">
        <f t="shared" si="31"/>
        <v>23.279900000000001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0222-23</v>
      </c>
      <c r="AE134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34" s="82" t="str">
        <f t="shared" si="34"/>
        <v>"C:\Program Files (x86)\AstroGrep\AstroGrep.exe" /spath="%USERPROFILE%\AppData\Local\Temp\OnboardLogs" /stypes="app*4028*20170224*" /stext=" 03:.+(\|loc)" /e /r /s</v>
      </c>
      <c r="AG134" s="1" t="str">
        <f t="shared" si="35"/>
        <v>EC</v>
      </c>
      <c r="AH134" s="86" t="str">
        <f t="shared" si="36"/>
        <v>"%USERPROFILE%\Documents\GitHub\eaglep3\Utilities\RefineRTDCRunTimes.py" --tripid 222-23 --locoid 4028 --swversion DE.1.0.9.0 --startMP 204:232959 --initTime 2017-02-23T19:48:41 --startdatetime 2017-02-23T19:57:01 --delay 1 --endMP 204:160 --enddatetime 2017-02-23T20:40:22 --enforcementcount 0 &gt;&gt;C:\Users\stu\Documents\GitHub\eaglep3-reporting\EC\2017-02-23-refined-times.txt</v>
      </c>
      <c r="AI13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ID","value":"222-23"},{"id":16,"name":"Locomotive ID","value":"4028"},{"id":130,"name":"Impact","value":""},{"id":150,"name":"Time of Event (Mountain Time)","value":"20:40:22"},{"id":151,"name":"Denver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8"/>
        <v>start /low /b %USERPROFILE%\Documents\GitHub\eaglep3\Utilities\DownloadLogsFromS3.py --loco 4028 --day 2017-02-23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456</v>
      </c>
      <c r="B135" s="7">
        <v>4046</v>
      </c>
      <c r="C135" s="21" t="s">
        <v>294</v>
      </c>
      <c r="D135" s="21" t="s">
        <v>711</v>
      </c>
      <c r="E135" s="13">
        <v>42789.808125000003</v>
      </c>
      <c r="F135" s="13">
        <v>42789.812673611108</v>
      </c>
      <c r="G135" s="7">
        <v>1</v>
      </c>
      <c r="H135" s="21" t="s">
        <v>331</v>
      </c>
      <c r="I135" s="13">
        <v>42789.839791666665</v>
      </c>
      <c r="J135" s="7">
        <v>0</v>
      </c>
      <c r="K135" s="98" t="str">
        <f t="shared" si="21"/>
        <v>4045/4046</v>
      </c>
      <c r="L135" s="21" t="str">
        <f>VLOOKUP(A135,'Trips&amp;Operators'!$C$1:$G$99999,5,FALSE)</f>
        <v>LOPES KIMBERLY</v>
      </c>
      <c r="M135" s="6">
        <f t="shared" si="22"/>
        <v>2.7118055557366461E-2</v>
      </c>
      <c r="N135" s="7">
        <f t="shared" si="23"/>
        <v>39.050000002607703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6"/>
        <v>https://d0f6bd738d7f1b3e5a7ca70fe4ff75f0.us-east-1.aws.found.io/app/kibana#/discover/Steve-Slow-Train-Analysis-(2080s-and-2083s)?_g=(refreshInterval:(display:Off,pause:!f,section:0,value:0),time:(from:'2017-02-23T18:23:42-0700',mode:absolute,to:'2017-02-23T21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5" s="187" t="str">
        <f t="shared" si="27"/>
        <v>N</v>
      </c>
      <c r="X135" s="187">
        <f t="shared" si="28"/>
        <v>1</v>
      </c>
      <c r="Y135" s="62">
        <f t="shared" si="29"/>
        <v>4.7300000000000002E-2</v>
      </c>
      <c r="Z135" s="62">
        <f t="shared" si="30"/>
        <v>23.329499999999999</v>
      </c>
      <c r="AA135" s="62">
        <f t="shared" si="31"/>
        <v>23.2822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0223-23</v>
      </c>
      <c r="AE135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35" s="82" t="str">
        <f t="shared" si="34"/>
        <v>"C:\Program Files (x86)\AstroGrep\AstroGrep.exe" /spath="%USERPROFILE%\AppData\Local\Temp\OnboardLogs" /stypes="app*4046*20170224*" /stext=" 03:.+(\|loc)" /e /r /s</v>
      </c>
      <c r="AG135" s="1" t="str">
        <f t="shared" si="35"/>
        <v>EC</v>
      </c>
      <c r="AH135" s="86" t="str">
        <f t="shared" si="36"/>
        <v>"%USERPROFILE%\Documents\GitHub\eaglep3\Utilities\RefineRTDCRunTimes.py" --tripid 223-23 --locoid 4046 --swversion DE.1.0.9.0 --startMP 204:473 --initTime 2017-02-23T19:23:42 --startdatetime 2017-02-23T19:30:15 --delay 1 --endMP 204:233295 --enddatetime 2017-02-23T20:09:18 --enforcementcount 0 &gt;&gt;C:\Users\stu\Documents\GitHub\eaglep3-reporting\EC\2017-02-23-refined-times.txt</v>
      </c>
      <c r="AI13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ID","value":"223-23"},{"id":16,"name":"Locomotive ID","value":"4046"},{"id":130,"name":"Impact","value":""},{"id":150,"name":"Time of Event (Mountain Time)","value":"20:09:18"},{"id":151,"name":"Denver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8"/>
        <v>start /low /b %USERPROFILE%\Documents\GitHub\eaglep3\Utilities\DownloadLogsFromS3.py --loco 4046 --day 2017-02-23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3" t="s">
        <v>614</v>
      </c>
      <c r="B136" s="7">
        <v>4045</v>
      </c>
      <c r="C136" s="21" t="s">
        <v>294</v>
      </c>
      <c r="D136" s="21" t="s">
        <v>684</v>
      </c>
      <c r="E136" s="13">
        <v>42789.841041666667</v>
      </c>
      <c r="F136" s="13">
        <v>42789.8515625</v>
      </c>
      <c r="G136" s="7">
        <v>1</v>
      </c>
      <c r="H136" s="21" t="s">
        <v>721</v>
      </c>
      <c r="I136" s="13">
        <v>42789.885972222219</v>
      </c>
      <c r="J136" s="7">
        <v>0</v>
      </c>
      <c r="K136" s="98" t="str">
        <f t="shared" si="21"/>
        <v>4045/4046</v>
      </c>
      <c r="L136" s="21" t="str">
        <f>VLOOKUP(A136,'Trips&amp;Operators'!$C$1:$G$99999,5,FALSE)</f>
        <v>LOPES KIMBERLY</v>
      </c>
      <c r="M136" s="6">
        <f t="shared" si="22"/>
        <v>3.4409722218697425E-2</v>
      </c>
      <c r="N136" s="7">
        <f t="shared" si="23"/>
        <v>49.549999994924292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6"/>
        <v>https://d0f6bd738d7f1b3e5a7ca70fe4ff75f0.us-east-1.aws.found.io/app/kibana#/discover/Steve-Slow-Train-Analysis-(2080s-and-2083s)?_g=(refreshInterval:(display:Off,pause:!f,section:0,value:0),time:(from:'2017-02-23T19:11:06-0700',mode:absolute,to:'2017-02-23T22:15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6" s="187" t="str">
        <f t="shared" si="27"/>
        <v>N</v>
      </c>
      <c r="X136" s="187">
        <f t="shared" si="28"/>
        <v>1</v>
      </c>
      <c r="Y136" s="62">
        <f t="shared" si="29"/>
        <v>23.298100000000002</v>
      </c>
      <c r="Z136" s="62">
        <f t="shared" si="30"/>
        <v>1.6899999999999998E-2</v>
      </c>
      <c r="AA136" s="62">
        <f t="shared" si="31"/>
        <v>23.281200000000002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0224-23</v>
      </c>
      <c r="AE136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36" s="82" t="str">
        <f t="shared" si="34"/>
        <v>"C:\Program Files (x86)\AstroGrep\AstroGrep.exe" /spath="%USERPROFILE%\AppData\Local\Temp\OnboardLogs" /stypes="app*4045*20170224*" /stext=" 04:.+(\|loc)" /e /r /s</v>
      </c>
      <c r="AG136" s="1" t="str">
        <f t="shared" si="35"/>
        <v>EC</v>
      </c>
      <c r="AH136" s="86" t="str">
        <f t="shared" si="36"/>
        <v>"%USERPROFILE%\Documents\GitHub\eaglep3\Utilities\RefineRTDCRunTimes.py" --tripid 224-23 --locoid 4045 --swversion DE.1.0.9.0 --startMP 204:232981 --initTime 2017-02-23T20:11:06 --startdatetime 2017-02-23T20:26:15 --delay 1 --endMP 204:169 --enddatetime 2017-02-23T21:15:48 --enforcementcount 0 &gt;&gt;C:\Users\stu\Documents\GitHub\eaglep3-reporting\EC\2017-02-23-refined-times.txt</v>
      </c>
      <c r="AI13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{"issue":{"subject":"","project_id":79,"tracker_id":40,"status_id":1,"priority_id":2,"assigned_to_id":23,"start_date":"2017-02-23","description":"","custom_fields":[{"id":1,"name":"Subdivision","value":"EC"},{"id":4,"name":"Milepost","value":"0.0169"},{"id":17,"name":"Train ID","value":"224-23"},{"id":16,"name":"Locomotive ID","value":"4045"},{"id":130,"name":"Impact","value":""},{"id":150,"name":"Time of Event (Mountain Time)","value":"21:15:48"},{"id":151,"name":"Denver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8"/>
        <v>start /low /b %USERPROFILE%\Documents\GitHub\eaglep3\Utilities\DownloadLogsFromS3.py --loco 4045 --day 2017-02-23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</row>
    <row r="137" spans="1:91" s="20" customFormat="1" x14ac:dyDescent="0.25">
      <c r="A137" s="33" t="s">
        <v>613</v>
      </c>
      <c r="B137" s="7">
        <v>4014</v>
      </c>
      <c r="C137" s="21" t="s">
        <v>294</v>
      </c>
      <c r="D137" s="21" t="s">
        <v>247</v>
      </c>
      <c r="E137" s="13">
        <v>42789.829652777778</v>
      </c>
      <c r="F137" s="13">
        <v>42789.833553240744</v>
      </c>
      <c r="G137" s="7">
        <v>1</v>
      </c>
      <c r="H137" s="21" t="s">
        <v>722</v>
      </c>
      <c r="I137" s="13">
        <v>42789.860289351855</v>
      </c>
      <c r="J137" s="7">
        <v>0</v>
      </c>
      <c r="K137" s="98" t="str">
        <f t="shared" si="21"/>
        <v>4013/4014</v>
      </c>
      <c r="L137" s="21" t="str">
        <f>VLOOKUP(A137,'Trips&amp;Operators'!$C$1:$G$99999,5,FALSE)</f>
        <v>BROWN JACOB</v>
      </c>
      <c r="M137" s="6">
        <f t="shared" si="22"/>
        <v>2.6736111110949423E-2</v>
      </c>
      <c r="N137" s="7">
        <f t="shared" si="23"/>
        <v>38.499999999767169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6"/>
        <v>https://d0f6bd738d7f1b3e5a7ca70fe4ff75f0.us-east-1.aws.found.io/app/kibana#/discover/Steve-Slow-Train-Analysis-(2080s-and-2083s)?_g=(refreshInterval:(display:Off,pause:!f,section:0,value:0),time:(from:'2017-02-23T18:54:42-0700',mode:absolute,to:'2017-02-23T21:38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187" t="str">
        <f t="shared" si="27"/>
        <v>N</v>
      </c>
      <c r="X137" s="187">
        <f t="shared" si="28"/>
        <v>1</v>
      </c>
      <c r="Y137" s="62">
        <f t="shared" si="29"/>
        <v>4.5499999999999999E-2</v>
      </c>
      <c r="Z137" s="62">
        <f t="shared" si="30"/>
        <v>23.334199999999999</v>
      </c>
      <c r="AA137" s="62">
        <f t="shared" si="31"/>
        <v>23.288699999999999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0225-23</v>
      </c>
      <c r="AE137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37" s="82" t="str">
        <f t="shared" si="34"/>
        <v>"C:\Program Files (x86)\AstroGrep\AstroGrep.exe" /spath="%USERPROFILE%\AppData\Local\Temp\OnboardLogs" /stypes="app*4014*20170224*" /stext=" 03:.+(\|loc)" /e /r /s</v>
      </c>
      <c r="AG137" s="1" t="str">
        <f t="shared" si="35"/>
        <v>EC</v>
      </c>
      <c r="AH137" s="86" t="str">
        <f t="shared" si="36"/>
        <v>"%USERPROFILE%\Documents\GitHub\eaglep3\Utilities\RefineRTDCRunTimes.py" --tripid 225-23 --locoid 4014 --swversion DE.1.0.9.0 --startMP 204:455 --initTime 2017-02-23T19:54:42 --startdatetime 2017-02-23T20:00:19 --delay 1 --endMP 204:233342 --enddatetime 2017-02-23T20:38:49 --enforcementcount 0 &gt;&gt;C:\Users\stu\Documents\GitHub\eaglep3-reporting\EC\2017-02-23-refined-times.txt</v>
      </c>
      <c r="AI13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{"issue":{"subject":"","project_id":79,"tracker_id":40,"status_id":1,"priority_id":2,"assigned_to_id":23,"start_date":"2017-02-23","description":"","custom_fields":[{"id":1,"name":"Subdivision","value":"EC"},{"id":4,"name":"Milepost","value":"23.3342"},{"id":17,"name":"Train ID","value":"225-23"},{"id":16,"name":"Locomotive ID","value":"4014"},{"id":130,"name":"Impact","value":""},{"id":150,"name":"Time of Event (Mountain Time)","value":"20:38:49"},{"id":151,"name":"Denver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8"/>
        <v>start /low /b %USERPROFILE%\Documents\GitHub\eaglep3\Utilities\DownloadLogsFromS3.py --loco 4014 --day 2017-02-23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459</v>
      </c>
      <c r="B138" s="7">
        <v>4013</v>
      </c>
      <c r="C138" s="21" t="s">
        <v>294</v>
      </c>
      <c r="D138" s="21" t="s">
        <v>723</v>
      </c>
      <c r="E138" s="13">
        <v>42789.870393518519</v>
      </c>
      <c r="F138" s="13">
        <v>42789.872372685182</v>
      </c>
      <c r="G138" s="7">
        <v>1</v>
      </c>
      <c r="H138" s="21" t="s">
        <v>194</v>
      </c>
      <c r="I138" s="13">
        <v>42789.902673611112</v>
      </c>
      <c r="J138" s="7">
        <v>0</v>
      </c>
      <c r="K138" s="98" t="str">
        <f t="shared" si="21"/>
        <v>4013/4014</v>
      </c>
      <c r="L138" s="21" t="str">
        <f>VLOOKUP(A138,'Trips&amp;Operators'!$C$1:$G$99999,5,FALSE)</f>
        <v>BROWN JACOB</v>
      </c>
      <c r="M138" s="6">
        <f t="shared" si="22"/>
        <v>3.030092592962319E-2</v>
      </c>
      <c r="N138" s="7">
        <f t="shared" si="23"/>
        <v>43.633333338657394</v>
      </c>
      <c r="O138" s="7"/>
      <c r="P138" s="7"/>
      <c r="Q138" s="22"/>
      <c r="R138" s="22"/>
      <c r="S138" s="31">
        <f t="shared" si="24"/>
        <v>1</v>
      </c>
      <c r="T138" s="46" t="str">
        <f t="shared" si="25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6"/>
        <v>https://d0f6bd738d7f1b3e5a7ca70fe4ff75f0.us-east-1.aws.found.io/app/kibana#/discover/Steve-Slow-Train-Analysis-(2080s-and-2083s)?_g=(refreshInterval:(display:Off,pause:!f,section:0,value:0),time:(from:'2017-02-23T19:53:22-0700',mode:absolute,to:'2017-02-23T22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187" t="str">
        <f t="shared" si="27"/>
        <v>N</v>
      </c>
      <c r="X138" s="187">
        <f t="shared" si="28"/>
        <v>1</v>
      </c>
      <c r="Y138" s="62">
        <f t="shared" si="29"/>
        <v>23.302700000000002</v>
      </c>
      <c r="Z138" s="62">
        <f t="shared" si="30"/>
        <v>1.4999999999999999E-2</v>
      </c>
      <c r="AA138" s="62">
        <f t="shared" si="31"/>
        <v>23.287700000000001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0226-23</v>
      </c>
      <c r="AE138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38" s="82" t="str">
        <f t="shared" si="34"/>
        <v>"C:\Program Files (x86)\AstroGrep\AstroGrep.exe" /spath="%USERPROFILE%\AppData\Local\Temp\OnboardLogs" /stypes="app*4013*20170224*" /stext=" 04:.+(\|loc)" /e /r /s</v>
      </c>
      <c r="AG138" s="1" t="str">
        <f t="shared" si="35"/>
        <v>EC</v>
      </c>
      <c r="AH138" s="86" t="str">
        <f t="shared" si="36"/>
        <v>"%USERPROFILE%\Documents\GitHub\eaglep3\Utilities\RefineRTDCRunTimes.py" --tripid 226-23 --locoid 4013 --swversion DE.1.0.9.0 --startMP 204:233027 --initTime 2017-02-23T20:53:22 --startdatetime 2017-02-23T20:56:13 --delay 1 --endMP 204:150 --enddatetime 2017-02-23T21:39:51 --enforcementcount 0 &gt;&gt;C:\Users\stu\Documents\GitHub\eaglep3-reporting\EC\2017-02-23-refined-times.txt</v>
      </c>
      <c r="AI13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{"issue":{"subject":"","project_id":79,"tracker_id":40,"status_id":1,"priority_id":2,"assigned_to_id":23,"start_date":"2017-02-23","description":"","custom_fields":[{"id":1,"name":"Subdivision","value":"EC"},{"id":4,"name":"Milepost","value":"0.015"},{"id":17,"name":"Train ID","value":"226-23"},{"id":16,"name":"Locomotive ID","value":"4013"},{"id":130,"name":"Impact","value":""},{"id":150,"name":"Time of Event (Mountain Time)","value":"21:39:51"},{"id":151,"name":"Denver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8"/>
        <v>start /low /b %USERPROFILE%\Documents\GitHub\eaglep3\Utilities\DownloadLogsFromS3.py --loco 4013 --day 2017-02-23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617</v>
      </c>
      <c r="B139" s="7">
        <v>4011</v>
      </c>
      <c r="C139" s="21" t="s">
        <v>294</v>
      </c>
      <c r="D139" s="21" t="s">
        <v>260</v>
      </c>
      <c r="E139" s="13">
        <v>42789.846493055556</v>
      </c>
      <c r="F139" s="13">
        <v>42789.854375000003</v>
      </c>
      <c r="G139" s="7">
        <v>1</v>
      </c>
      <c r="H139" s="21" t="s">
        <v>384</v>
      </c>
      <c r="I139" s="13">
        <v>42789.881331018521</v>
      </c>
      <c r="J139" s="7">
        <v>0</v>
      </c>
      <c r="K139" s="98" t="str">
        <f t="shared" si="21"/>
        <v>4011/4012</v>
      </c>
      <c r="L139" s="21" t="str">
        <f>VLOOKUP(A139,'Trips&amp;Operators'!$C$1:$G$99999,5,FALSE)</f>
        <v>DELGADO DIANAH</v>
      </c>
      <c r="M139" s="6">
        <f t="shared" si="22"/>
        <v>2.6956018518831115E-2</v>
      </c>
      <c r="N139" s="7">
        <f t="shared" si="23"/>
        <v>38.816666667116806</v>
      </c>
      <c r="O139" s="7"/>
      <c r="P139" s="7"/>
      <c r="Q139" s="22"/>
      <c r="R139" s="22"/>
      <c r="S139" s="31">
        <f t="shared" si="24"/>
        <v>1</v>
      </c>
      <c r="T139" s="46" t="str">
        <f t="shared" si="25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6"/>
        <v>https://d0f6bd738d7f1b3e5a7ca70fe4ff75f0.us-east-1.aws.found.io/app/kibana#/discover/Steve-Slow-Train-Analysis-(2080s-and-2083s)?_g=(refreshInterval:(display:Off,pause:!f,section:0,value:0),time:(from:'2017-02-23T19:18:57-0700',mode:absolute,to:'2017-02-23T22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87" t="str">
        <f t="shared" si="27"/>
        <v>N</v>
      </c>
      <c r="X139" s="187">
        <f t="shared" si="28"/>
        <v>1</v>
      </c>
      <c r="Y139" s="62">
        <f t="shared" si="29"/>
        <v>4.3999999999999997E-2</v>
      </c>
      <c r="Z139" s="62">
        <f t="shared" si="30"/>
        <v>23.332100000000001</v>
      </c>
      <c r="AA139" s="62">
        <f t="shared" si="31"/>
        <v>23.2881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0227-23</v>
      </c>
      <c r="AE139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39" s="82" t="str">
        <f t="shared" si="34"/>
        <v>"C:\Program Files (x86)\AstroGrep\AstroGrep.exe" /spath="%USERPROFILE%\AppData\Local\Temp\OnboardLogs" /stypes="app*4011*20170224*" /stext=" 04:.+(\|loc)" /e /r /s</v>
      </c>
      <c r="AG139" s="1" t="str">
        <f t="shared" si="35"/>
        <v>EC</v>
      </c>
      <c r="AH139" s="86" t="str">
        <f t="shared" si="36"/>
        <v>"%USERPROFILE%\Documents\GitHub\eaglep3\Utilities\RefineRTDCRunTimes.py" --tripid 227-23 --locoid 4011 --swversion DE.1.0.9.0 --startMP 204:440 --initTime 2017-02-23T20:18:57 --startdatetime 2017-02-23T20:30:18 --delay 1 --endMP 204:233321 --enddatetime 2017-02-23T21:09:07 --enforcementcount 0 &gt;&gt;C:\Users\stu\Documents\GitHub\eaglep3-reporting\EC\2017-02-23-refined-times.txt</v>
      </c>
      <c r="AI13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{"issue":{"subject":"","project_id":79,"tracker_id":40,"status_id":1,"priority_id":2,"assigned_to_id":23,"start_date":"2017-02-23","description":"","custom_fields":[{"id":1,"name":"Subdivision","value":"EC"},{"id":4,"name":"Milepost","value":"23.3321"},{"id":17,"name":"Train ID","value":"227-23"},{"id":16,"name":"Locomotive ID","value":"4011"},{"id":130,"name":"Impact","value":""},{"id":150,"name":"Time of Event (Mountain Time)","value":"21:09:07"},{"id":151,"name":"Denver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8"/>
        <v>start /low /b %USERPROFILE%\Documents\GitHub\eaglep3\Utilities\DownloadLogsFromS3.py --loco 4011 --day 2017-02-23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626</v>
      </c>
      <c r="B140" s="7">
        <v>4012</v>
      </c>
      <c r="C140" s="21" t="s">
        <v>294</v>
      </c>
      <c r="D140" s="21" t="s">
        <v>724</v>
      </c>
      <c r="E140" s="13">
        <v>42789.889317129629</v>
      </c>
      <c r="F140" s="13">
        <v>42789.893379629626</v>
      </c>
      <c r="G140" s="7">
        <v>1</v>
      </c>
      <c r="H140" s="21" t="s">
        <v>223</v>
      </c>
      <c r="I140" s="13">
        <v>42789.928668981483</v>
      </c>
      <c r="J140" s="7">
        <v>0</v>
      </c>
      <c r="K140" s="98" t="str">
        <f t="shared" si="21"/>
        <v>4011/4012</v>
      </c>
      <c r="L140" s="21" t="str">
        <f>VLOOKUP(A140,'Trips&amp;Operators'!$C$1:$G$99999,5,FALSE)</f>
        <v>DELGADO DIANAH</v>
      </c>
      <c r="M140" s="6">
        <f t="shared" si="22"/>
        <v>3.5289351857500151E-2</v>
      </c>
      <c r="N140" s="7">
        <f t="shared" si="23"/>
        <v>50.816666674800217</v>
      </c>
      <c r="O140" s="7"/>
      <c r="P140" s="7"/>
      <c r="Q140" s="22"/>
      <c r="R140" s="22"/>
      <c r="S140" s="31">
        <f t="shared" si="24"/>
        <v>1</v>
      </c>
      <c r="T140" s="46" t="str">
        <f t="shared" si="25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6"/>
        <v>https://d0f6bd738d7f1b3e5a7ca70fe4ff75f0.us-east-1.aws.found.io/app/kibana#/discover/Steve-Slow-Train-Analysis-(2080s-and-2083s)?_g=(refreshInterval:(display:Off,pause:!f,section:0,value:0),time:(from:'2017-02-23T20:20:37-0700',mode:absolute,to:'2017-02-23T23:17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0" s="187" t="str">
        <f t="shared" si="27"/>
        <v>N</v>
      </c>
      <c r="X140" s="187">
        <f t="shared" si="28"/>
        <v>1</v>
      </c>
      <c r="Y140" s="62">
        <f t="shared" si="29"/>
        <v>23.302099999999999</v>
      </c>
      <c r="Z140" s="62">
        <f t="shared" si="30"/>
        <v>1.43E-2</v>
      </c>
      <c r="AA140" s="62">
        <f t="shared" si="31"/>
        <v>23.287800000000001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0228-23</v>
      </c>
      <c r="AE140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40" s="82" t="str">
        <f t="shared" si="34"/>
        <v>"C:\Program Files (x86)\AstroGrep\AstroGrep.exe" /spath="%USERPROFILE%\AppData\Local\Temp\OnboardLogs" /stypes="app*4012*20170224*" /stext=" 05:.+(\|loc)" /e /r /s</v>
      </c>
      <c r="AG140" s="1" t="str">
        <f t="shared" si="35"/>
        <v>EC</v>
      </c>
      <c r="AH140" s="86" t="str">
        <f t="shared" si="36"/>
        <v>"%USERPROFILE%\Documents\GitHub\eaglep3\Utilities\RefineRTDCRunTimes.py" --tripid 228-23 --locoid 4012 --swversion DE.1.0.9.0 --startMP 204:233021 --initTime 2017-02-23T21:20:37 --startdatetime 2017-02-23T21:26:28 --delay 1 --endMP 204:143 --enddatetime 2017-02-23T22:17:17 --enforcementcount 0 &gt;&gt;C:\Users\stu\Documents\GitHub\eaglep3-reporting\EC\2017-02-23-refined-times.txt</v>
      </c>
      <c r="AI14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ID","value":"228-23"},{"id":16,"name":"Locomotive ID","value":"4012"},{"id":130,"name":"Impact","value":""},{"id":150,"name":"Time of Event (Mountain Time)","value":"22:17:17"},{"id":151,"name":"Denver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8"/>
        <v>start /low /b %USERPROFILE%\Documents\GitHub\eaglep3\Utilities\DownloadLogsFromS3.py --loco 4012 --day 2017-02-23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622</v>
      </c>
      <c r="B141" s="7">
        <v>4027</v>
      </c>
      <c r="C141" s="21" t="s">
        <v>294</v>
      </c>
      <c r="D141" s="21" t="s">
        <v>271</v>
      </c>
      <c r="E141" s="13">
        <v>42789.872164351851</v>
      </c>
      <c r="F141" s="13">
        <v>42789.8752662037</v>
      </c>
      <c r="G141" s="7">
        <v>1</v>
      </c>
      <c r="H141" s="21" t="s">
        <v>320</v>
      </c>
      <c r="I141" s="13">
        <v>42789.901180555556</v>
      </c>
      <c r="J141" s="7">
        <v>0</v>
      </c>
      <c r="K141" s="98" t="str">
        <f t="shared" ref="K141:K204" si="39">IF(ISEVEN(B141),(B141-1)&amp;"/"&amp;B141,B141&amp;"/"&amp;(B141+1))</f>
        <v>4027/4028</v>
      </c>
      <c r="L141" s="21" t="str">
        <f>VLOOKUP(A141,'Trips&amp;Operators'!$C$1:$G$99999,5,FALSE)</f>
        <v>CHANDLER KELVIN</v>
      </c>
      <c r="M141" s="6">
        <f t="shared" ref="M141:M204" si="40">I141-F141</f>
        <v>2.5914351856044959E-2</v>
      </c>
      <c r="N141" s="7">
        <f t="shared" ref="N141:N204" si="41">24*60*SUM($M141:$M141)</f>
        <v>37.316666672704741</v>
      </c>
      <c r="O141" s="7"/>
      <c r="P141" s="7"/>
      <c r="Q141" s="22"/>
      <c r="R141" s="22"/>
      <c r="S141" s="31">
        <f t="shared" ref="S141:S204" si="42">SUM(U141:U141)/IF(AG141="EC",12,1)</f>
        <v>1</v>
      </c>
      <c r="T141" s="46" t="str">
        <f t="shared" ref="T141:T204" si="43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-23T19:55:55-0700',mode:absolute,to:'2017-02-23T22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187" t="str">
        <f t="shared" ref="W141:W204" si="45">IF(AA141&lt;IF(AG141="EC",23,5.65),"Y","N")</f>
        <v>N</v>
      </c>
      <c r="X141" s="187">
        <f t="shared" ref="X141:X204" si="46">VALUE(LEFT(AD141,4))-VALUE(LEFT(AD140,4))</f>
        <v>1</v>
      </c>
      <c r="Y141" s="62">
        <f t="shared" ref="Y141:Y204" si="47">RIGHT(D141,LEN(D141)-4)/10000</f>
        <v>4.4400000000000002E-2</v>
      </c>
      <c r="Z141" s="62">
        <f t="shared" ref="Z141:Z204" si="48">RIGHT(H141,LEN(H141)-4)/10000</f>
        <v>23.328900000000001</v>
      </c>
      <c r="AA141" s="62">
        <f t="shared" ref="AA141:AA204" si="49">ABS(Z141-Y141)</f>
        <v>23.284500000000001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0">IF(LEN(A141)=6,"0"&amp;A141,A141)</f>
        <v>0229-23</v>
      </c>
      <c r="AE141" s="85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41" s="82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/stypes="app*4027*20170224*" /stext=" 04:.+(\|loc)"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6" t="str">
        <f t="shared" si="36"/>
        <v>"%USERPROFILE%\Documents\GitHub\eaglep3\Utilities\RefineRTDCRunTimes.py" --tripid 229-23 --locoid 4027 --swversion DE.1.0.9.0 --startMP 204:444 --initTime 2017-02-23T20:55:55 --startdatetime 2017-02-23T21:00:23 --delay 1 --endMP 204:233289 --enddatetime 2017-02-23T21:37:42 --enforcementcount 0 &gt;&gt;C:\Users\stu\Documents\GitHub\eaglep3-reporting\EC\2017-02-23-refined-times.txt</v>
      </c>
      <c r="AI14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{"issue":{"subject":"","project_id":79,"tracker_id":40,"status_id":1,"priority_id":2,"assigned_to_id":23,"start_date":"2017-02-23","description":"","custom_fields":[{"id":1,"name":"Subdivision","value":"EC"},{"id":4,"name":"Milepost","value":"23.3289"},{"id":17,"name":"Train ID","value":"229-23"},{"id":16,"name":"Locomotive ID","value":"4027"},{"id":130,"name":"Impact","value":""},{"id":150,"name":"Time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8"/>
        <v>start /low /b %USERPROFILE%\Documents\GitHub\eaglep3\Utilities\DownloadLogsFromS3.py --loco 4027 --day 2017-02-23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628</v>
      </c>
      <c r="B142" s="7">
        <v>4028</v>
      </c>
      <c r="C142" s="21" t="s">
        <v>294</v>
      </c>
      <c r="D142" s="21" t="s">
        <v>725</v>
      </c>
      <c r="E142" s="13">
        <v>42789.90896990741</v>
      </c>
      <c r="F142" s="13">
        <v>42789.914502314816</v>
      </c>
      <c r="G142" s="7">
        <v>1</v>
      </c>
      <c r="H142" s="21" t="s">
        <v>213</v>
      </c>
      <c r="I142" s="13">
        <v>42789.950590277775</v>
      </c>
      <c r="J142" s="7">
        <v>0</v>
      </c>
      <c r="K142" s="98" t="str">
        <f t="shared" si="39"/>
        <v>4027/4028</v>
      </c>
      <c r="L142" s="21" t="str">
        <f>VLOOKUP(A142,'Trips&amp;Operators'!$C$1:$G$99999,5,FALSE)</f>
        <v>CHANDLER KELVIN</v>
      </c>
      <c r="M142" s="6">
        <f t="shared" si="40"/>
        <v>3.608796295884531E-2</v>
      </c>
      <c r="N142" s="7">
        <f t="shared" si="41"/>
        <v>51.966666660737246</v>
      </c>
      <c r="O142" s="7"/>
      <c r="P142" s="7"/>
      <c r="Q142" s="22"/>
      <c r="R142" s="22"/>
      <c r="S142" s="31">
        <f t="shared" si="42"/>
        <v>1</v>
      </c>
      <c r="T142" s="46" t="str">
        <f t="shared" si="43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4"/>
        <v>https://d0f6bd738d7f1b3e5a7ca70fe4ff75f0.us-east-1.aws.found.io/app/kibana#/discover/Steve-Slow-Train-Analysis-(2080s-and-2083s)?_g=(refreshInterval:(display:Off,pause:!f,section:0,value:0),time:(from:'2017-02-23T20:48:55-0700',mode:absolute,to:'2017-02-23T23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2" s="187" t="str">
        <f t="shared" si="45"/>
        <v>N</v>
      </c>
      <c r="X142" s="187">
        <f t="shared" si="46"/>
        <v>1</v>
      </c>
      <c r="Y142" s="62">
        <f t="shared" si="47"/>
        <v>23.297599999999999</v>
      </c>
      <c r="Z142" s="62">
        <f t="shared" si="48"/>
        <v>1.54E-2</v>
      </c>
      <c r="AA142" s="62">
        <f t="shared" si="49"/>
        <v>23.2822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0"/>
        <v>0230-23</v>
      </c>
      <c r="AE142" s="85" t="str">
        <f t="shared" si="51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42" s="82" t="str">
        <f t="shared" si="52"/>
        <v>"C:\Program Files (x86)\AstroGrep\AstroGrep.exe" /spath="%USERPROFILE%\AppData\Local\Temp\OnboardLogs" /stypes="app*4028*20170224*" /stext=" 05:.+(\|loc)" /e /r /s</v>
      </c>
      <c r="AG142" s="1" t="str">
        <f t="shared" si="53"/>
        <v>EC</v>
      </c>
      <c r="AH142" s="86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230-23 --locoid 4028 --swversion DE.1.0.9.0 --startMP 204:232976 --initTime 2017-02-23T21:48:55 --startdatetime 2017-02-23T21:56:53 --delay 1 --endMP 204:154 --enddatetime 2017-02-23T22:48:51 --enforcementcount 0 &gt;&gt;C:\Users\stu\Documents\GitHub\eaglep3-reporting\EC\2017-02-23-refined-times.txt</v>
      </c>
      <c r="AI142" s="108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{"issue":{"subject":"","project_id":79,"tracker_id":40,"status_id":1,"priority_id":2,"assigned_to_id":23,"start_date":"2017-02-23","description":"","custom_fields":[{"id":1,"name":"Subdivision","value":"EC"},{"id":4,"name":"Milepost","value":"0.0154"},{"id":17,"name":"Train ID","value":"230-23"},{"id":16,"name":"Locomotive ID","value":"4028"},{"id":130,"name":"Impact","value":""},{"id":150,"name":"Time of Event (Mountain Time)","value":"22:48:51"},{"id":151,"name":"Denver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56">"start /low /b "&amp;dls3logs&amp;" --loco "&amp;B142&amp;" --day "&amp;TEXT(F142,"YYYY-MM-DD")</f>
        <v>start /low /b %USERPROFILE%\Documents\GitHub\eaglep3\Utilities\DownloadLogsFromS3.py --loco 4028 --day 2017-02-23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</row>
    <row r="143" spans="1:91" s="20" customFormat="1" x14ac:dyDescent="0.25">
      <c r="A143" s="33" t="s">
        <v>624</v>
      </c>
      <c r="B143" s="7">
        <v>4046</v>
      </c>
      <c r="C143" s="21" t="s">
        <v>294</v>
      </c>
      <c r="D143" s="21" t="s">
        <v>254</v>
      </c>
      <c r="E143" s="13">
        <v>42789.887997685182</v>
      </c>
      <c r="F143" s="13">
        <v>42789.896041666667</v>
      </c>
      <c r="G143" s="7">
        <v>1</v>
      </c>
      <c r="H143" s="21" t="s">
        <v>692</v>
      </c>
      <c r="I143" s="13">
        <v>42789.922766203701</v>
      </c>
      <c r="J143" s="7">
        <v>0</v>
      </c>
      <c r="K143" s="98" t="str">
        <f t="shared" si="39"/>
        <v>4045/4046</v>
      </c>
      <c r="L143" s="21" t="str">
        <f>VLOOKUP(A143,'Trips&amp;Operators'!$C$1:$G$99999,5,FALSE)</f>
        <v>WHITED DUSTIN</v>
      </c>
      <c r="M143" s="6">
        <f t="shared" si="40"/>
        <v>2.6724537034169771E-2</v>
      </c>
      <c r="N143" s="7">
        <f t="shared" si="41"/>
        <v>38.48333332920447</v>
      </c>
      <c r="O143" s="7"/>
      <c r="P143" s="7"/>
      <c r="Q143" s="22"/>
      <c r="R143" s="22"/>
      <c r="S143" s="31">
        <f t="shared" si="42"/>
        <v>1</v>
      </c>
      <c r="T143" s="46" t="str">
        <f t="shared" si="43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4"/>
        <v>https://d0f6bd738d7f1b3e5a7ca70fe4ff75f0.us-east-1.aws.found.io/app/kibana#/discover/Steve-Slow-Train-Analysis-(2080s-and-2083s)?_g=(refreshInterval:(display:Off,pause:!f,section:0,value:0),time:(from:'2017-02-23T20:18:43-0700',mode:absolute,to:'2017-02-23T23:08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187" t="str">
        <f t="shared" si="45"/>
        <v>N</v>
      </c>
      <c r="X143" s="187">
        <f t="shared" si="46"/>
        <v>1</v>
      </c>
      <c r="Y143" s="62">
        <f t="shared" si="47"/>
        <v>4.6399999999999997E-2</v>
      </c>
      <c r="Z143" s="62">
        <f t="shared" si="48"/>
        <v>23.334399999999999</v>
      </c>
      <c r="AA143" s="62">
        <f t="shared" si="49"/>
        <v>23.288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0"/>
        <v>0231-23</v>
      </c>
      <c r="AE143" s="85" t="str">
        <f t="shared" si="51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43" s="82" t="str">
        <f t="shared" si="52"/>
        <v>"C:\Program Files (x86)\AstroGrep\AstroGrep.exe" /spath="%USERPROFILE%\AppData\Local\Temp\OnboardLogs" /stypes="app*4046*20170224*" /stext=" 05:.+(\|loc)" /e /r /s</v>
      </c>
      <c r="AG143" s="1" t="str">
        <f t="shared" si="53"/>
        <v>EC</v>
      </c>
      <c r="AH143" s="86" t="str">
        <f t="shared" si="54"/>
        <v>"%USERPROFILE%\Documents\GitHub\eaglep3\Utilities\RefineRTDCRunTimes.py" --tripid 231-23 --locoid 4046 --swversion DE.1.0.9.0 --startMP 204:464 --initTime 2017-02-23T21:18:43 --startdatetime 2017-02-23T21:30:18 --delay 1 --endMP 204:233344 --enddatetime 2017-02-23T22:08:47 --enforcementcount 0 &gt;&gt;C:\Users\stu\Documents\GitHub\eaglep3-reporting\EC\2017-02-23-refined-times.txt</v>
      </c>
      <c r="AI143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{"issue":{"subject":"","project_id":79,"tracker_id":40,"status_id":1,"priority_id":2,"assigned_to_id":23,"start_date":"2017-02-23","description":"","custom_fields":[{"id":1,"name":"Subdivision","value":"EC"},{"id":4,"name":"Milepost","value":"23.3344"},{"id":17,"name":"Train ID","value":"231-23"},{"id":16,"name":"Locomotive ID","value":"4046"},{"id":130,"name":"Impact","value":""},{"id":150,"name":"Time of Event (Mountain Time)","value":"22:08:47"},{"id":151,"name":"Denver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56"/>
        <v>start /low /b %USERPROFILE%\Documents\GitHub\eaglep3\Utilities\DownloadLogsFromS3.py --loco 4046 --day 2017-02-23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461</v>
      </c>
      <c r="B144" s="7">
        <v>4045</v>
      </c>
      <c r="C144" s="21" t="s">
        <v>294</v>
      </c>
      <c r="D144" s="21" t="s">
        <v>726</v>
      </c>
      <c r="E144" s="13">
        <v>42789.933912037035</v>
      </c>
      <c r="F144" s="13">
        <v>42789.935578703706</v>
      </c>
      <c r="G144" s="7">
        <v>1</v>
      </c>
      <c r="H144" s="21" t="s">
        <v>248</v>
      </c>
      <c r="I144" s="13">
        <v>42789.970555555556</v>
      </c>
      <c r="J144" s="7">
        <v>0</v>
      </c>
      <c r="K144" s="98" t="str">
        <f t="shared" si="39"/>
        <v>4045/4046</v>
      </c>
      <c r="L144" s="21" t="str">
        <f>VLOOKUP(A144,'Trips&amp;Operators'!$C$1:$G$99999,5,FALSE)</f>
        <v>WHITED DUSTIN</v>
      </c>
      <c r="M144" s="6">
        <f t="shared" si="40"/>
        <v>3.4976851849933155E-2</v>
      </c>
      <c r="N144" s="7">
        <f t="shared" si="41"/>
        <v>50.366666663903743</v>
      </c>
      <c r="O144" s="7"/>
      <c r="P144" s="7"/>
      <c r="Q144" s="22"/>
      <c r="R144" s="22"/>
      <c r="S144" s="31">
        <f t="shared" si="42"/>
        <v>1</v>
      </c>
      <c r="T144" s="46" t="str">
        <f t="shared" si="43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4"/>
        <v>https://d0f6bd738d7f1b3e5a7ca70fe4ff75f0.us-east-1.aws.found.io/app/kibana#/discover/Steve-Slow-Train-Analysis-(2080s-and-2083s)?_g=(refreshInterval:(display:Off,pause:!f,section:0,value:0),time:(from:'2017-02-23T21:24:50-0700',mode:absolute,to:'2017-02-24T00:17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187" t="str">
        <f t="shared" si="45"/>
        <v>N</v>
      </c>
      <c r="X144" s="187">
        <f t="shared" si="46"/>
        <v>1</v>
      </c>
      <c r="Y144" s="62">
        <f t="shared" si="47"/>
        <v>23.301500000000001</v>
      </c>
      <c r="Z144" s="62">
        <f t="shared" si="48"/>
        <v>1.3899999999999999E-2</v>
      </c>
      <c r="AA144" s="62">
        <f t="shared" si="49"/>
        <v>23.287600000000001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0"/>
        <v>0232-23</v>
      </c>
      <c r="AE144" s="85" t="str">
        <f t="shared" si="51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44" s="82" t="str">
        <f t="shared" si="52"/>
        <v>"C:\Program Files (x86)\AstroGrep\AstroGrep.exe" /spath="%USERPROFILE%\AppData\Local\Temp\OnboardLogs" /stypes="app*4045*20170224*" /stext=" 06:.+(\|loc)" /e /r /s</v>
      </c>
      <c r="AG144" s="1" t="str">
        <f t="shared" si="53"/>
        <v>EC</v>
      </c>
      <c r="AH144" s="86" t="str">
        <f t="shared" si="54"/>
        <v>"%USERPROFILE%\Documents\GitHub\eaglep3\Utilities\RefineRTDCRunTimes.py" --tripid 232-23 --locoid 4045 --swversion DE.1.0.9.0 --startMP 204:233015 --initTime 2017-02-23T22:24:50 --startdatetime 2017-02-23T22:27:14 --delay 1 --endMP 204:139 --enddatetime 2017-02-23T23:17:36 --enforcementcount 0 &gt;&gt;C:\Users\stu\Documents\GitHub\eaglep3-reporting\EC\2017-02-23-refined-times.txt</v>
      </c>
      <c r="AI144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{"issue":{"subject":"","project_id":79,"tracker_id":40,"status_id":1,"priority_id":2,"assigned_to_id":23,"start_date":"2017-02-23","description":"","custom_fields":[{"id":1,"name":"Subdivision","value":"EC"},{"id":4,"name":"Milepost","value":"0.0139"},{"id":17,"name":"Train ID","value":"232-23"},{"id":16,"name":"Locomotive ID","value":"4045"},{"id":130,"name":"Impact","value":""},{"id":150,"name":"Time of Event (Mountain Time)","value":"23:17:36"},{"id":151,"name":"Denver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56"/>
        <v>start /low /b %USERPROFILE%\Documents\GitHub\eaglep3\Utilities\DownloadLogsFromS3.py --loco 4045 --day 2017-02-23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627</v>
      </c>
      <c r="B145" s="7">
        <v>4014</v>
      </c>
      <c r="C145" s="21" t="s">
        <v>294</v>
      </c>
      <c r="D145" s="21" t="s">
        <v>229</v>
      </c>
      <c r="E145" s="13">
        <v>42789.907002314816</v>
      </c>
      <c r="F145" s="13">
        <v>42789.919074074074</v>
      </c>
      <c r="G145" s="7">
        <v>1</v>
      </c>
      <c r="H145" s="21" t="s">
        <v>289</v>
      </c>
      <c r="I145" s="13">
        <v>42789.953136574077</v>
      </c>
      <c r="J145" s="7">
        <v>0</v>
      </c>
      <c r="K145" s="98" t="str">
        <f t="shared" si="39"/>
        <v>4013/4014</v>
      </c>
      <c r="L145" s="21" t="str">
        <f>VLOOKUP(A145,'Trips&amp;Operators'!$C$1:$G$99999,5,FALSE)</f>
        <v>BROWN JACOB</v>
      </c>
      <c r="M145" s="6">
        <f t="shared" si="40"/>
        <v>3.4062500002619345E-2</v>
      </c>
      <c r="N145" s="7">
        <f t="shared" si="41"/>
        <v>49.050000003771856</v>
      </c>
      <c r="O145" s="7"/>
      <c r="P145" s="7"/>
      <c r="Q145" s="22"/>
      <c r="R145" s="22"/>
      <c r="S145" s="31">
        <f t="shared" si="42"/>
        <v>1</v>
      </c>
      <c r="T145" s="46" t="str">
        <f t="shared" si="43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4"/>
        <v>https://d0f6bd738d7f1b3e5a7ca70fe4ff75f0.us-east-1.aws.found.io/app/kibana#/discover/Steve-Slow-Train-Analysis-(2080s-and-2083s)?_g=(refreshInterval:(display:Off,pause:!f,section:0,value:0),time:(from:'2017-02-23T20:46:05-0700',mode:absolute,to:'2017-02-23T23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5" s="187" t="str">
        <f t="shared" si="45"/>
        <v>N</v>
      </c>
      <c r="X145" s="187">
        <f t="shared" si="46"/>
        <v>1</v>
      </c>
      <c r="Y145" s="62">
        <f t="shared" si="47"/>
        <v>4.5999999999999999E-2</v>
      </c>
      <c r="Z145" s="62">
        <f t="shared" si="48"/>
        <v>23.330100000000002</v>
      </c>
      <c r="AA145" s="62">
        <f t="shared" si="49"/>
        <v>23.284100000000002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0"/>
        <v>0233-23</v>
      </c>
      <c r="AE145" s="85" t="str">
        <f t="shared" si="51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45" s="82" t="str">
        <f t="shared" si="52"/>
        <v>"C:\Program Files (x86)\AstroGrep\AstroGrep.exe" /spath="%USERPROFILE%\AppData\Local\Temp\OnboardLogs" /stypes="app*4014*20170224*" /stext=" 05:.+(\|loc)" /e /r /s</v>
      </c>
      <c r="AG145" s="1" t="str">
        <f t="shared" si="53"/>
        <v>EC</v>
      </c>
      <c r="AH145" s="86" t="str">
        <f t="shared" si="54"/>
        <v>"%USERPROFILE%\Documents\GitHub\eaglep3\Utilities\RefineRTDCRunTimes.py" --tripid 233-23 --locoid 4014 --swversion DE.1.0.9.0 --startMP 204:460 --initTime 2017-02-23T21:46:05 --startdatetime 2017-02-23T22:03:28 --delay 1 --endMP 204:233301 --enddatetime 2017-02-23T22:52:31 --enforcementcount 0 &gt;&gt;C:\Users\stu\Documents\GitHub\eaglep3-reporting\EC\2017-02-23-refined-times.txt</v>
      </c>
      <c r="AI145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{"issue":{"subject":"","project_id":79,"tracker_id":40,"status_id":1,"priority_id":2,"assigned_to_id":23,"start_date":"2017-02-23","description":"","custom_fields":[{"id":1,"name":"Subdivision","value":"EC"},{"id":4,"name":"Milepost","value":"23.3301"},{"id":17,"name":"Train ID","value":"233-23"},{"id":16,"name":"Locomotive ID","value":"4014"},{"id":130,"name":"Impact","value":""},{"id":150,"name":"Time of Event (Mountain Time)","value":"22:52:31"},{"id":151,"name":"Denver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56"/>
        <v>start /low /b %USERPROFILE%\Documents\GitHub\eaglep3\Utilities\DownloadLogsFromS3.py --loco 4014 --day 2017-02-23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633</v>
      </c>
      <c r="B146" s="7">
        <v>4013</v>
      </c>
      <c r="C146" s="21" t="s">
        <v>294</v>
      </c>
      <c r="D146" s="21" t="s">
        <v>340</v>
      </c>
      <c r="E146" s="13">
        <v>42789.958738425928</v>
      </c>
      <c r="F146" s="13">
        <v>42789.960416666669</v>
      </c>
      <c r="G146" s="7">
        <v>1</v>
      </c>
      <c r="H146" s="21" t="s">
        <v>377</v>
      </c>
      <c r="I146" s="13">
        <v>42789.989803240744</v>
      </c>
      <c r="J146" s="7">
        <v>0</v>
      </c>
      <c r="K146" s="98" t="str">
        <f t="shared" si="39"/>
        <v>4013/4014</v>
      </c>
      <c r="L146" s="21" t="str">
        <f>VLOOKUP(A146,'Trips&amp;Operators'!$C$1:$G$99999,5,FALSE)</f>
        <v>BROWN JACOB</v>
      </c>
      <c r="M146" s="6">
        <f t="shared" si="40"/>
        <v>2.9386574075033423E-2</v>
      </c>
      <c r="N146" s="7">
        <f t="shared" si="41"/>
        <v>42.316666668048128</v>
      </c>
      <c r="O146" s="7"/>
      <c r="P146" s="7"/>
      <c r="Q146" s="22"/>
      <c r="R146" s="22"/>
      <c r="S146" s="31">
        <f t="shared" si="42"/>
        <v>1</v>
      </c>
      <c r="T146" s="46" t="str">
        <f t="shared" si="43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4"/>
        <v>https://d0f6bd738d7f1b3e5a7ca70fe4ff75f0.us-east-1.aws.found.io/app/kibana#/discover/Steve-Slow-Train-Analysis-(2080s-and-2083s)?_g=(refreshInterval:(display:Off,pause:!f,section:0,value:0),time:(from:'2017-02-23T22:00:35-0700',mode:absolute,to:'2017-02-24T00:45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187" t="str">
        <f t="shared" si="45"/>
        <v>N</v>
      </c>
      <c r="X146" s="187">
        <f t="shared" si="46"/>
        <v>1</v>
      </c>
      <c r="Y146" s="62">
        <f t="shared" si="47"/>
        <v>23.2988</v>
      </c>
      <c r="Z146" s="62">
        <f t="shared" si="48"/>
        <v>1.83E-2</v>
      </c>
      <c r="AA146" s="62">
        <f t="shared" si="49"/>
        <v>23.2805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0"/>
        <v>0234-23</v>
      </c>
      <c r="AE146" s="85" t="str">
        <f t="shared" si="51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46" s="82" t="str">
        <f t="shared" si="52"/>
        <v>"C:\Program Files (x86)\AstroGrep\AstroGrep.exe" /spath="%USERPROFILE%\AppData\Local\Temp\OnboardLogs" /stypes="app*4013*20170224*" /stext=" 06:.+(\|loc)" /e /r /s</v>
      </c>
      <c r="AG146" s="1" t="str">
        <f t="shared" si="53"/>
        <v>EC</v>
      </c>
      <c r="AH146" s="86" t="str">
        <f t="shared" si="54"/>
        <v>"%USERPROFILE%\Documents\GitHub\eaglep3\Utilities\RefineRTDCRunTimes.py" --tripid 234-23 --locoid 4013 --swversion DE.1.0.9.0 --startMP 204:232988 --initTime 2017-02-23T23:00:35 --startdatetime 2017-02-23T23:03:00 --delay 1 --endMP 204:183 --enddatetime 2017-02-23T23:45:19 --enforcementcount 0 &gt;&gt;C:\Users\stu\Documents\GitHub\eaglep3-reporting\EC\2017-02-23-refined-times.txt</v>
      </c>
      <c r="AI146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{"issue":{"subject":"","project_id":79,"tracker_id":40,"status_id":1,"priority_id":2,"assigned_to_id":23,"start_date":"2017-02-23","description":"","custom_fields":[{"id":1,"name":"Subdivision","value":"EC"},{"id":4,"name":"Milepost","value":"0.0183"},{"id":17,"name":"Train ID","value":"234-23"},{"id":16,"name":"Locomotive ID","value":"4013"},{"id":130,"name":"Impact","value":""},{"id":150,"name":"Time of Event (Mountain Time)","value":"23:45:19"},{"id":151,"name":"Denver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56"/>
        <v>start /low /b %USERPROFILE%\Documents\GitHub\eaglep3\Utilities\DownloadLogsFromS3.py --loco 4013 --day 2017-02-23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630</v>
      </c>
      <c r="B147" s="7">
        <v>4011</v>
      </c>
      <c r="C147" s="21" t="s">
        <v>294</v>
      </c>
      <c r="D147" s="21" t="s">
        <v>332</v>
      </c>
      <c r="E147" s="13">
        <v>42789.933611111112</v>
      </c>
      <c r="F147" s="13">
        <v>42789.937824074077</v>
      </c>
      <c r="G147" s="7">
        <v>2</v>
      </c>
      <c r="H147" s="21" t="s">
        <v>384</v>
      </c>
      <c r="I147" s="13">
        <v>42789.966631944444</v>
      </c>
      <c r="J147" s="7">
        <v>0</v>
      </c>
      <c r="K147" s="98" t="str">
        <f t="shared" si="39"/>
        <v>4011/4012</v>
      </c>
      <c r="L147" s="21" t="str">
        <f>VLOOKUP(A147,'Trips&amp;Operators'!$C$1:$G$99999,5,FALSE)</f>
        <v>DELGADO DIANAH</v>
      </c>
      <c r="M147" s="6">
        <f t="shared" si="40"/>
        <v>2.880787036701804E-2</v>
      </c>
      <c r="N147" s="7">
        <f t="shared" si="41"/>
        <v>41.483333328505978</v>
      </c>
      <c r="O147" s="7"/>
      <c r="P147" s="7"/>
      <c r="Q147" s="22"/>
      <c r="R147" s="22"/>
      <c r="S147" s="31">
        <f t="shared" si="42"/>
        <v>1</v>
      </c>
      <c r="T147" s="46" t="str">
        <f t="shared" si="43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4"/>
        <v>https://d0f6bd738d7f1b3e5a7ca70fe4ff75f0.us-east-1.aws.found.io/app/kibana#/discover/Steve-Slow-Train-Analysis-(2080s-and-2083s)?_g=(refreshInterval:(display:Off,pause:!f,section:0,value:0),time:(from:'2017-02-23T21:24:24-0700',mode:absolute,to:'2017-02-24T00:11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87" t="str">
        <f t="shared" si="45"/>
        <v>N</v>
      </c>
      <c r="X147" s="187">
        <f t="shared" si="46"/>
        <v>1</v>
      </c>
      <c r="Y147" s="62">
        <f t="shared" si="47"/>
        <v>4.4900000000000002E-2</v>
      </c>
      <c r="Z147" s="62">
        <f t="shared" si="48"/>
        <v>23.332100000000001</v>
      </c>
      <c r="AA147" s="62">
        <f t="shared" si="49"/>
        <v>23.287200000000002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0"/>
        <v>0235-23</v>
      </c>
      <c r="AE147" s="85" t="str">
        <f t="shared" si="51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47" s="82" t="str">
        <f t="shared" si="52"/>
        <v>"C:\Program Files (x86)\AstroGrep\AstroGrep.exe" /spath="%USERPROFILE%\AppData\Local\Temp\OnboardLogs" /stypes="app*4011*20170224*" /stext=" 06:.+(\|loc)" /e /r /s</v>
      </c>
      <c r="AG147" s="1" t="str">
        <f t="shared" si="53"/>
        <v>EC</v>
      </c>
      <c r="AH147" s="86" t="str">
        <f t="shared" si="54"/>
        <v>"%USERPROFILE%\Documents\GitHub\eaglep3\Utilities\RefineRTDCRunTimes.py" --tripid 235-23 --locoid 4011 --swversion DE.1.0.9.0 --startMP 204:449 --initTime 2017-02-23T22:24:24 --startdatetime 2017-02-23T22:30:28 --delay 2 --endMP 204:233321 --enddatetime 2017-02-23T23:11:57 --enforcementcount 0 &gt;&gt;C:\Users\stu\Documents\GitHub\eaglep3-reporting\EC\2017-02-23-refined-times.txt</v>
      </c>
      <c r="AI147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{"issue":{"subject":"","project_id":79,"tracker_id":40,"status_id":1,"priority_id":2,"assigned_to_id":23,"start_date":"2017-02-23","description":"","custom_fields":[{"id":1,"name":"Subdivision","value":"EC"},{"id":4,"name":"Milepost","value":"23.3321"},{"id":17,"name":"Train ID","value":"235-23"},{"id":16,"name":"Locomotive ID","value":"4011"},{"id":130,"name":"Impact","value":""},{"id":150,"name":"Time of Event (Mountain Time)","value":"23:11:57"},{"id":151,"name":"Denver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56"/>
        <v>start /low /b %USERPROFILE%\Documents\GitHub\eaglep3\Utilities\DownloadLogsFromS3.py --loco 4011 --day 2017-02-23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634</v>
      </c>
      <c r="B148" s="7">
        <v>4012</v>
      </c>
      <c r="C148" s="21" t="s">
        <v>294</v>
      </c>
      <c r="D148" s="21" t="s">
        <v>726</v>
      </c>
      <c r="E148" s="13">
        <v>42789.973090277781</v>
      </c>
      <c r="F148" s="13">
        <v>42789.976770833331</v>
      </c>
      <c r="G148" s="7">
        <v>1</v>
      </c>
      <c r="H148" s="21" t="s">
        <v>727</v>
      </c>
      <c r="I148" s="13">
        <v>42790.006944444445</v>
      </c>
      <c r="J148" s="7">
        <v>0</v>
      </c>
      <c r="K148" s="98" t="str">
        <f t="shared" si="39"/>
        <v>4011/4012</v>
      </c>
      <c r="L148" s="21" t="str">
        <f>VLOOKUP(A148,'Trips&amp;Operators'!$C$1:$G$99999,5,FALSE)</f>
        <v>DELGADO DIANAH</v>
      </c>
      <c r="M148" s="6">
        <f t="shared" si="40"/>
        <v>3.0173611114150845E-2</v>
      </c>
      <c r="N148" s="7">
        <f t="shared" si="41"/>
        <v>43.450000004377216</v>
      </c>
      <c r="O148" s="7"/>
      <c r="P148" s="7"/>
      <c r="Q148" s="22"/>
      <c r="R148" s="22"/>
      <c r="S148" s="31">
        <f t="shared" si="42"/>
        <v>1</v>
      </c>
      <c r="T148" s="46" t="str">
        <f t="shared" si="43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4"/>
        <v>https://d0f6bd738d7f1b3e5a7ca70fe4ff75f0.us-east-1.aws.found.io/app/kibana#/discover/Steve-Slow-Train-Analysis-(2080s-and-2083s)?_g=(refreshInterval:(display:Off,pause:!f,section:0,value:0),time:(from:'2017-02-23T22:21:15-0700',mode:absolute,to:'2017-02-24T01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8" s="187" t="str">
        <f t="shared" si="45"/>
        <v>N</v>
      </c>
      <c r="X148" s="187">
        <f t="shared" si="46"/>
        <v>1</v>
      </c>
      <c r="Y148" s="62">
        <f t="shared" si="47"/>
        <v>23.301500000000001</v>
      </c>
      <c r="Z148" s="62">
        <f t="shared" si="48"/>
        <v>1.2999999999999999E-2</v>
      </c>
      <c r="AA148" s="62">
        <f t="shared" si="49"/>
        <v>23.288499999999999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0"/>
        <v>0236-23</v>
      </c>
      <c r="AE148" s="85" t="str">
        <f t="shared" si="51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48" s="82" t="str">
        <f t="shared" si="52"/>
        <v>"C:\Program Files (x86)\AstroGrep\AstroGrep.exe" /spath="%USERPROFILE%\AppData\Local\Temp\OnboardLogs" /stypes="app*4012*20170224*" /stext=" 07:.+(\|loc)" /e /r /s</v>
      </c>
      <c r="AG148" s="1" t="str">
        <f t="shared" si="53"/>
        <v>EC</v>
      </c>
      <c r="AH148" s="86" t="str">
        <f t="shared" si="54"/>
        <v>"%USERPROFILE%\Documents\GitHub\eaglep3\Utilities\RefineRTDCRunTimes.py" --tripid 236-23 --locoid 4012 --swversion DE.1.0.9.0 --startMP 204:233015 --initTime 2017-02-23T23:21:15 --startdatetime 2017-02-23T23:26:33 --delay 1 --endMP 204:130 --enddatetime 2017-02-24T00:10:00 --enforcementcount 0 &gt;&gt;C:\Users\stu\Documents\GitHub\eaglep3-reporting\EC\2017-02-23-refined-times.txt</v>
      </c>
      <c r="AI148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{"issue":{"subject":"","project_id":79,"tracker_id":40,"status_id":1,"priority_id":2,"assigned_to_id":23,"start_date":"2017-02-24","description":"","custom_fields":[{"id":1,"name":"Subdivision","value":"EC"},{"id":4,"name":"Milepost","value":"0.013"},{"id":17,"name":"Train ID","value":"236-23"},{"id":16,"name":"Locomotive ID","value":"4012"},{"id":130,"name":"Impact","value":""},{"id":150,"name":"Time of Event (Mountain Time)","value":"00:10:00"},{"id":151,"name":"Denver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56"/>
        <v>start /low /b %USERPROFILE%\Documents\GitHub\eaglep3\Utilities\DownloadLogsFromS3.py --loco 4012 --day 2017-02-23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</row>
    <row r="149" spans="1:91" x14ac:dyDescent="0.25">
      <c r="A149" s="33" t="s">
        <v>632</v>
      </c>
      <c r="B149" s="7">
        <v>4027</v>
      </c>
      <c r="C149" s="21" t="s">
        <v>294</v>
      </c>
      <c r="D149" s="21" t="s">
        <v>274</v>
      </c>
      <c r="E149" s="13">
        <v>42789.957175925927</v>
      </c>
      <c r="F149" s="13">
        <v>42789.959976851853</v>
      </c>
      <c r="G149" s="7">
        <v>1</v>
      </c>
      <c r="H149" s="21" t="s">
        <v>389</v>
      </c>
      <c r="I149" s="13">
        <v>42789.990752314814</v>
      </c>
      <c r="J149" s="7">
        <v>0</v>
      </c>
      <c r="K149" s="98" t="str">
        <f t="shared" si="39"/>
        <v>4027/4028</v>
      </c>
      <c r="L149" s="21" t="str">
        <f>VLOOKUP(A149,'Trips&amp;Operators'!$C$1:$G$99999,5,FALSE)</f>
        <v>CHANDLER KELVIN</v>
      </c>
      <c r="M149" s="6">
        <f t="shared" si="40"/>
        <v>3.0775462961173616E-2</v>
      </c>
      <c r="N149" s="7">
        <f t="shared" si="41"/>
        <v>44.316666664090008</v>
      </c>
      <c r="O149" s="7"/>
      <c r="P149" s="7"/>
      <c r="Q149" s="22"/>
      <c r="R149" s="22"/>
      <c r="S149" s="31">
        <f t="shared" si="42"/>
        <v>1</v>
      </c>
      <c r="T149" s="46" t="str">
        <f t="shared" si="43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4"/>
        <v>https://d0f6bd738d7f1b3e5a7ca70fe4ff75f0.us-east-1.aws.found.io/app/kibana#/discover/Steve-Slow-Train-Analysis-(2080s-and-2083s)?_g=(refreshInterval:(display:Off,pause:!f,section:0,value:0),time:(from:'2017-02-23T21:58:20-0700',mode:absolute,to:'2017-02-24T00:46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187" t="str">
        <f t="shared" si="45"/>
        <v>N</v>
      </c>
      <c r="X149" s="187">
        <f t="shared" si="46"/>
        <v>1</v>
      </c>
      <c r="Y149" s="62">
        <f t="shared" si="47"/>
        <v>4.7699999999999999E-2</v>
      </c>
      <c r="Z149" s="62">
        <f t="shared" si="48"/>
        <v>23.327000000000002</v>
      </c>
      <c r="AA149" s="62">
        <f t="shared" si="49"/>
        <v>23.279300000000003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0"/>
        <v>0237-23</v>
      </c>
      <c r="AE149" s="85" t="str">
        <f t="shared" si="51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49" s="82" t="str">
        <f t="shared" si="52"/>
        <v>"C:\Program Files (x86)\AstroGrep\AstroGrep.exe" /spath="%USERPROFILE%\AppData\Local\Temp\OnboardLogs" /stypes="app*4027*20170224*" /stext=" 06:.+(\|loc)" /e /r /s</v>
      </c>
      <c r="AG149" s="1" t="str">
        <f t="shared" si="53"/>
        <v>EC</v>
      </c>
      <c r="AH149" s="86" t="str">
        <f t="shared" si="54"/>
        <v>"%USERPROFILE%\Documents\GitHub\eaglep3\Utilities\RefineRTDCRunTimes.py" --tripid 237-23 --locoid 4027 --swversion DE.1.0.9.0 --startMP 204:477 --initTime 2017-02-23T22:58:20 --startdatetime 2017-02-23T23:02:22 --delay 1 --endMP 204:233270 --enddatetime 2017-02-23T23:46:41 --enforcementcount 0 &gt;&gt;C:\Users\stu\Documents\GitHub\eaglep3-reporting\EC\2017-02-23-refined-times.txt</v>
      </c>
      <c r="AI149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{"issue":{"subject":"","project_id":79,"tracker_id":40,"status_id":1,"priority_id":2,"assigned_to_id":23,"start_date":"2017-02-23","description":"","custom_fields":[{"id":1,"name":"Subdivision","value":"EC"},{"id":4,"name":"Milepost","value":"23.327"},{"id":17,"name":"Train ID","value":"237-23"},{"id":16,"name":"Locomotive ID","value":"4027"},{"id":130,"name":"Impact","value":""},{"id":150,"name":"Time of Event (Mountain Time)","value":"23:46:41"},{"id":151,"name":"Denver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56"/>
        <v>start /low /b %USERPROFILE%\Documents\GitHub\eaglep3\Utilities\DownloadLogsFromS3.py --loco 4027 --day 2017-02-23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</row>
    <row r="150" spans="1:91" x14ac:dyDescent="0.25">
      <c r="A150" s="33" t="s">
        <v>636</v>
      </c>
      <c r="B150" s="7">
        <v>4028</v>
      </c>
      <c r="C150" s="21" t="s">
        <v>294</v>
      </c>
      <c r="D150" s="21" t="s">
        <v>669</v>
      </c>
      <c r="E150" s="13">
        <v>42789.995173611111</v>
      </c>
      <c r="F150" s="13">
        <v>42789.997777777775</v>
      </c>
      <c r="G150" s="7">
        <v>1</v>
      </c>
      <c r="H150" s="21" t="s">
        <v>255</v>
      </c>
      <c r="I150" s="13">
        <v>42790.032233796293</v>
      </c>
      <c r="J150" s="7">
        <v>0</v>
      </c>
      <c r="K150" s="98" t="str">
        <f t="shared" si="39"/>
        <v>4027/4028</v>
      </c>
      <c r="L150" s="21" t="str">
        <f>VLOOKUP(A150,'Trips&amp;Operators'!$C$1:$G$99999,5,FALSE)</f>
        <v>CHANDLER KELVIN</v>
      </c>
      <c r="M150" s="6">
        <f t="shared" si="40"/>
        <v>3.4456018518540077E-2</v>
      </c>
      <c r="N150" s="7">
        <f t="shared" si="41"/>
        <v>49.616666666697711</v>
      </c>
      <c r="O150" s="7"/>
      <c r="P150" s="7"/>
      <c r="Q150" s="22"/>
      <c r="R150" s="22"/>
      <c r="S150" s="31">
        <f t="shared" si="42"/>
        <v>1</v>
      </c>
      <c r="T150" s="46" t="str">
        <f t="shared" si="43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4"/>
        <v>https://d0f6bd738d7f1b3e5a7ca70fe4ff75f0.us-east-1.aws.found.io/app/kibana#/discover/Steve-Slow-Train-Analysis-(2080s-and-2083s)?_g=(refreshInterval:(display:Off,pause:!f,section:0,value:0),time:(from:'2017-02-23T22:53:03-0700',mode:absolute,to:'2017-02-24T01:46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0" s="187" t="str">
        <f t="shared" si="45"/>
        <v>N</v>
      </c>
      <c r="X150" s="187">
        <f t="shared" si="46"/>
        <v>1</v>
      </c>
      <c r="Y150" s="62">
        <f t="shared" si="47"/>
        <v>23.295200000000001</v>
      </c>
      <c r="Z150" s="62">
        <f t="shared" si="48"/>
        <v>1.61E-2</v>
      </c>
      <c r="AA150" s="62">
        <f t="shared" si="49"/>
        <v>23.2791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0"/>
        <v>0238-23</v>
      </c>
      <c r="AE150" s="85" t="str">
        <f t="shared" si="51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50" s="82" t="str">
        <f t="shared" si="52"/>
        <v>"C:\Program Files (x86)\AstroGrep\AstroGrep.exe" /spath="%USERPROFILE%\AppData\Local\Temp\OnboardLogs" /stypes="app*4028*20170224*" /stext=" 07:.+(\|loc)" /e /r /s</v>
      </c>
      <c r="AG150" s="1" t="str">
        <f t="shared" si="53"/>
        <v>EC</v>
      </c>
      <c r="AH150" s="86" t="str">
        <f t="shared" si="54"/>
        <v>"%USERPROFILE%\Documents\GitHub\eaglep3\Utilities\RefineRTDCRunTimes.py" --tripid 238-23 --locoid 4028 --swversion DE.1.0.9.0 --startMP 204:232952 --initTime 2017-02-23T23:53:03 --startdatetime 2017-02-23T23:56:48 --delay 1 --endMP 204:161 --enddatetime 2017-02-24T00:46:25 --enforcementcount 0 &gt;&gt;C:\Users\stu\Documents\GitHub\eaglep3-reporting\EC\2017-02-23-refined-times.txt</v>
      </c>
      <c r="AI150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{"issue":{"subject":"","project_id":79,"tracker_id":40,"status_id":1,"priority_id":2,"assigned_to_id":23,"start_date":"2017-02-24","description":"","custom_fields":[{"id":1,"name":"Subdivision","value":"EC"},{"id":4,"name":"Milepost","value":"0.0161"},{"id":17,"name":"Train ID","value":"238-23"},{"id":16,"name":"Locomotive ID","value":"4028"},{"id":130,"name":"Impact","value":""},{"id":150,"name":"Time of Event (Mountain Time)","value":"00:46:25"},{"id":151,"name":"Denver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56"/>
        <v>start /low /b %USERPROFILE%\Documents\GitHub\eaglep3\Utilities\DownloadLogsFromS3.py --loco 4028 --day 2017-02-23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</row>
    <row r="151" spans="1:91" x14ac:dyDescent="0.25">
      <c r="A151" s="33" t="s">
        <v>635</v>
      </c>
      <c r="B151" s="7">
        <v>4046</v>
      </c>
      <c r="C151" s="21" t="s">
        <v>294</v>
      </c>
      <c r="D151" s="21" t="s">
        <v>296</v>
      </c>
      <c r="E151" s="13">
        <v>42789.973333333335</v>
      </c>
      <c r="F151" s="13">
        <v>42789.979513888888</v>
      </c>
      <c r="G151" s="7">
        <v>2</v>
      </c>
      <c r="H151" s="21" t="s">
        <v>341</v>
      </c>
      <c r="I151" s="13">
        <v>42790.007557870369</v>
      </c>
      <c r="J151" s="7">
        <v>0</v>
      </c>
      <c r="K151" s="98" t="str">
        <f t="shared" si="39"/>
        <v>4045/4046</v>
      </c>
      <c r="L151" s="21" t="str">
        <f>VLOOKUP(A151,'Trips&amp;Operators'!$C$1:$G$99999,5,FALSE)</f>
        <v>MCREYNOLDS KYLE</v>
      </c>
      <c r="M151" s="6">
        <f t="shared" si="40"/>
        <v>2.8043981481459923E-2</v>
      </c>
      <c r="N151" s="7">
        <f t="shared" si="41"/>
        <v>40.383333333302289</v>
      </c>
      <c r="O151" s="7"/>
      <c r="P151" s="7"/>
      <c r="Q151" s="22"/>
      <c r="R151" s="22"/>
      <c r="S151" s="31">
        <f t="shared" si="42"/>
        <v>1</v>
      </c>
      <c r="T151" s="46" t="str">
        <f t="shared" si="43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4"/>
        <v>https://d0f6bd738d7f1b3e5a7ca70fe4ff75f0.us-east-1.aws.found.io/app/kibana#/discover/Steve-Slow-Train-Analysis-(2080s-and-2083s)?_g=(refreshInterval:(display:Off,pause:!f,section:0,value:0),time:(from:'2017-02-23T22:21:36-0700',mode:absolute,to:'2017-02-24T01:10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87" t="str">
        <f t="shared" si="45"/>
        <v>N</v>
      </c>
      <c r="X151" s="187">
        <f t="shared" si="46"/>
        <v>1</v>
      </c>
      <c r="Y151" s="62">
        <f t="shared" si="47"/>
        <v>4.58E-2</v>
      </c>
      <c r="Z151" s="62">
        <f t="shared" si="48"/>
        <v>23.330200000000001</v>
      </c>
      <c r="AA151" s="62">
        <f t="shared" si="49"/>
        <v>23.284400000000002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0"/>
        <v>0239-23</v>
      </c>
      <c r="AE151" s="85" t="str">
        <f t="shared" si="51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51" s="82" t="str">
        <f t="shared" si="52"/>
        <v>"C:\Program Files (x86)\AstroGrep\AstroGrep.exe" /spath="%USERPROFILE%\AppData\Local\Temp\OnboardLogs" /stypes="app*4046*20170224*" /stext=" 07:.+(\|loc)" /e /r /s</v>
      </c>
      <c r="AG151" s="1" t="str">
        <f t="shared" si="53"/>
        <v>EC</v>
      </c>
      <c r="AH151" s="86" t="str">
        <f t="shared" si="54"/>
        <v>"%USERPROFILE%\Documents\GitHub\eaglep3\Utilities\RefineRTDCRunTimes.py" --tripid 239-23 --locoid 4046 --swversion DE.1.0.9.0 --startMP 204:458 --initTime 2017-02-23T23:21:36 --startdatetime 2017-02-23T23:30:30 --delay 2 --endMP 204:233302 --enddatetime 2017-02-24T00:10:53 --enforcementcount 0 &gt;&gt;C:\Users\stu\Documents\GitHub\eaglep3-reporting\EC\2017-02-23-refined-times.txt</v>
      </c>
      <c r="AI151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{"issue":{"subject":"","project_id":79,"tracker_id":40,"status_id":1,"priority_id":2,"assigned_to_id":23,"start_date":"2017-02-24","description":"","custom_fields":[{"id":1,"name":"Subdivision","value":"EC"},{"id":4,"name":"Milepost","value":"23.3302"},{"id":17,"name":"Train ID","value":"239-23"},{"id":16,"name":"Locomotive ID","value":"4046"},{"id":130,"name":"Impact","value":""},{"id":150,"name":"Time of Event (Mountain Time)","value":"00:10:53"},{"id":151,"name":"Denver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56"/>
        <v>start /low /b %USERPROFILE%\Documents\GitHub\eaglep3\Utilities\DownloadLogsFromS3.py --loco 4046 --day 2017-02-23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</row>
    <row r="152" spans="1:91" x14ac:dyDescent="0.25">
      <c r="A152" s="33" t="s">
        <v>639</v>
      </c>
      <c r="B152" s="7">
        <v>4045</v>
      </c>
      <c r="C152" s="21" t="s">
        <v>294</v>
      </c>
      <c r="D152" s="21" t="s">
        <v>691</v>
      </c>
      <c r="E152" s="13">
        <v>42790.015949074077</v>
      </c>
      <c r="F152" s="13">
        <v>42790.018275462964</v>
      </c>
      <c r="G152" s="7">
        <v>1</v>
      </c>
      <c r="H152" s="21" t="s">
        <v>203</v>
      </c>
      <c r="I152" s="13">
        <v>42790.048888888887</v>
      </c>
      <c r="J152" s="7">
        <v>0</v>
      </c>
      <c r="K152" s="98" t="str">
        <f t="shared" si="39"/>
        <v>4045/4046</v>
      </c>
      <c r="L152" s="21" t="str">
        <f>VLOOKUP(A152,'Trips&amp;Operators'!$C$1:$G$99999,5,FALSE)</f>
        <v>MCREYNOLDS KYLE</v>
      </c>
      <c r="M152" s="6">
        <f t="shared" si="40"/>
        <v>3.0613425922638271E-2</v>
      </c>
      <c r="N152" s="7">
        <f t="shared" si="41"/>
        <v>44.08333332859911</v>
      </c>
      <c r="O152" s="7"/>
      <c r="P152" s="7"/>
      <c r="Q152" s="22"/>
      <c r="R152" s="22"/>
      <c r="S152" s="31">
        <f t="shared" si="42"/>
        <v>1</v>
      </c>
      <c r="T152" s="46" t="str">
        <f t="shared" si="43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4"/>
        <v>https://d0f6bd738d7f1b3e5a7ca70fe4ff75f0.us-east-1.aws.found.io/app/kibana#/discover/Steve-Slow-Train-Analysis-(2080s-and-2083s)?_g=(refreshInterval:(display:Off,pause:!f,section:0,value:0),time:(from:'2017-02-23T23:22:58-0700',mode:absolute,to:'2017-02-24T02:10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87" t="str">
        <f t="shared" si="45"/>
        <v>N</v>
      </c>
      <c r="X152" s="187">
        <f t="shared" si="46"/>
        <v>1</v>
      </c>
      <c r="Y152" s="62">
        <f t="shared" si="47"/>
        <v>23.298300000000001</v>
      </c>
      <c r="Z152" s="62">
        <f t="shared" si="48"/>
        <v>1.6E-2</v>
      </c>
      <c r="AA152" s="62">
        <f t="shared" si="49"/>
        <v>23.282300000000003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0"/>
        <v>0240-23</v>
      </c>
      <c r="AE152" s="85" t="str">
        <f t="shared" si="51"/>
        <v>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 &amp; 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</v>
      </c>
      <c r="AF152" s="82" t="str">
        <f t="shared" si="52"/>
        <v>"C:\Program Files (x86)\AstroGrep\AstroGrep.exe" /spath="%USERPROFILE%\AppData\Local\Temp\OnboardLogs" /stypes="app*4045*20170224*" /stext=" 08:.+(\|loc)" /e /r /s</v>
      </c>
      <c r="AG152" s="1" t="str">
        <f t="shared" si="53"/>
        <v>EC</v>
      </c>
      <c r="AH152" s="86" t="str">
        <f t="shared" si="54"/>
        <v>"%USERPROFILE%\Documents\GitHub\eaglep3\Utilities\RefineRTDCRunTimes.py" --tripid 240-23 --locoid 4045 --swversion DE.1.0.9.0 --startMP 204:232983 --initTime 2017-02-24T00:22:58 --startdatetime 2017-02-24T00:26:19 --delay 1 --endMP 204:160 --enddatetime 2017-02-24T01:10:24 --enforcementcount 0 &gt;&gt;C:\Users\stu\Documents\GitHub\eaglep3-reporting\EC\2017-02-23-refined-times.txt</v>
      </c>
      <c r="AI152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{"issue":{"subject":"","project_id":79,"tracker_id":40,"status_id":1,"priority_id":2,"assigned_to_id":23,"start_date":"2017-02-24","description":"","custom_fields":[{"id":1,"name":"Subdivision","value":"EC"},{"id":4,"name":"Milepost","value":"0.016"},{"id":17,"name":"Train ID","value":"240-23"},{"id":16,"name":"Locomotive ID","value":"4045"},{"id":130,"name":"Impact","value":""},{"id":150,"name":"Time of Event (Mountain Time)","value":"01:10:24"},{"id":151,"name":"Denver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56"/>
        <v>start /low /b %USERPROFILE%\Documents\GitHub\eaglep3\Utilities\DownloadLogsFromS3.py --loco 4045 --day 2017-02-24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</row>
    <row r="153" spans="1:91" x14ac:dyDescent="0.25">
      <c r="A153" s="33" t="s">
        <v>637</v>
      </c>
      <c r="B153" s="7">
        <v>4014</v>
      </c>
      <c r="C153" s="21" t="s">
        <v>294</v>
      </c>
      <c r="D153" s="21" t="s">
        <v>241</v>
      </c>
      <c r="E153" s="13">
        <v>42789.996608796297</v>
      </c>
      <c r="F153" s="13">
        <v>42790.00072916667</v>
      </c>
      <c r="G153" s="7">
        <v>2</v>
      </c>
      <c r="H153" s="21" t="s">
        <v>376</v>
      </c>
      <c r="I153" s="13">
        <v>42790.027499999997</v>
      </c>
      <c r="J153" s="7">
        <v>0</v>
      </c>
      <c r="K153" s="98" t="str">
        <f t="shared" si="39"/>
        <v>4013/4014</v>
      </c>
      <c r="L153" s="21" t="str">
        <f>VLOOKUP(A153,'Trips&amp;Operators'!$C$1:$G$99999,5,FALSE)</f>
        <v>BROWN JACOB</v>
      </c>
      <c r="M153" s="6">
        <f t="shared" si="40"/>
        <v>2.6770833326736465E-2</v>
      </c>
      <c r="N153" s="7">
        <f t="shared" si="41"/>
        <v>38.54999999050051</v>
      </c>
      <c r="O153" s="7"/>
      <c r="P153" s="7"/>
      <c r="Q153" s="22"/>
      <c r="R153" s="22"/>
      <c r="S153" s="31">
        <f t="shared" si="42"/>
        <v>1</v>
      </c>
      <c r="T153" s="46" t="str">
        <f t="shared" si="43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4"/>
        <v>https://d0f6bd738d7f1b3e5a7ca70fe4ff75f0.us-east-1.aws.found.io/app/kibana#/discover/Steve-Slow-Train-Analysis-(2080s-and-2083s)?_g=(refreshInterval:(display:Off,pause:!f,section:0,value:0),time:(from:'2017-02-23T22:55:07-0700',mode:absolute,to:'2017-02-24T01:39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3" s="187" t="str">
        <f t="shared" si="45"/>
        <v>N</v>
      </c>
      <c r="X153" s="187">
        <f t="shared" si="46"/>
        <v>1</v>
      </c>
      <c r="Y153" s="62">
        <f t="shared" si="47"/>
        <v>4.53E-2</v>
      </c>
      <c r="Z153" s="62">
        <f t="shared" si="48"/>
        <v>23.329899999999999</v>
      </c>
      <c r="AA153" s="62">
        <f t="shared" si="49"/>
        <v>23.284599999999998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0"/>
        <v>0241-23</v>
      </c>
      <c r="AE153" s="85" t="str">
        <f t="shared" si="51"/>
        <v>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 &amp; aws s3 cp s3://rtdc.mdm.uploadarchive.raw/RTDC4014/ "%USERPROFILE%\AppData\Local\Temp\OnboardLogs"\RTDC4014\2017-02-25 --exclude "*" --recursive --include "*20170225*" &amp; "%USERPROFILE%\Documents\GitHub\mrs-test-scripts\Headless Mode &amp; Sideloading\WalkAndUnGZ.bat" "%USERPROFILE%\AppData\Local\Temp\OnboardLogs"\RTDC4014\2017-02-25</v>
      </c>
      <c r="AF153" s="82" t="str">
        <f t="shared" si="52"/>
        <v>"C:\Program Files (x86)\AstroGrep\AstroGrep.exe" /spath="%USERPROFILE%\AppData\Local\Temp\OnboardLogs" /stypes="app*4014*20170224*" /stext=" 07:.+(\|loc)" /e /r /s</v>
      </c>
      <c r="AG153" s="1" t="str">
        <f t="shared" si="53"/>
        <v>EC</v>
      </c>
      <c r="AH153" s="86" t="str">
        <f t="shared" si="54"/>
        <v>"%USERPROFILE%\Documents\GitHub\eaglep3\Utilities\RefineRTDCRunTimes.py" --tripid 241-23 --locoid 4014 --swversion DE.1.0.9.0 --startMP 204:453 --initTime 2017-02-23T23:55:07 --startdatetime 2017-02-24T00:01:03 --delay 2 --endMP 204:233299 --enddatetime 2017-02-24T00:39:36 --enforcementcount 0 &gt;&gt;C:\Users\stu\Documents\GitHub\eaglep3-reporting\EC\2017-02-23-refined-times.txt</v>
      </c>
      <c r="AI153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{"issue":{"subject":"","project_id":79,"tracker_id":40,"status_id":1,"priority_id":2,"assigned_to_id":23,"start_date":"2017-02-24","description":"","custom_fields":[{"id":1,"name":"Subdivision","value":"EC"},{"id":4,"name":"Milepost","value":"23.3299"},{"id":17,"name":"Train ID","value":"241-23"},{"id":16,"name":"Locomotive ID","value":"4014"},{"id":130,"name":"Impact","value":""},{"id":150,"name":"Time of Event (Mountain Time)","value":"00:39:36"},{"id":151,"name":"Denver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56"/>
        <v>start /low /b %USERPROFILE%\Documents\GitHub\eaglep3\Utilities\DownloadLogsFromS3.py --loco 4014 --day 2017-02-24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</row>
    <row r="154" spans="1:91" x14ac:dyDescent="0.25">
      <c r="A154" s="33" t="s">
        <v>462</v>
      </c>
      <c r="B154" s="7">
        <v>4013</v>
      </c>
      <c r="C154" s="21" t="s">
        <v>294</v>
      </c>
      <c r="D154" s="21" t="s">
        <v>728</v>
      </c>
      <c r="E154" s="13">
        <v>42790.037928240738</v>
      </c>
      <c r="F154" s="13">
        <v>42790.039525462962</v>
      </c>
      <c r="G154" s="7">
        <v>1</v>
      </c>
      <c r="H154" s="21" t="s">
        <v>184</v>
      </c>
      <c r="I154" s="13">
        <v>42790.066041666665</v>
      </c>
      <c r="J154" s="7">
        <v>0</v>
      </c>
      <c r="K154" s="98" t="str">
        <f t="shared" si="39"/>
        <v>4013/4014</v>
      </c>
      <c r="L154" s="21" t="str">
        <f>VLOOKUP(A154,'Trips&amp;Operators'!$C$1:$G$99999,5,FALSE)</f>
        <v>BROWN JACOB</v>
      </c>
      <c r="M154" s="6">
        <f t="shared" si="40"/>
        <v>2.6516203703067731E-2</v>
      </c>
      <c r="N154" s="7">
        <f t="shared" si="41"/>
        <v>38.183333332417533</v>
      </c>
      <c r="O154" s="7"/>
      <c r="P154" s="7"/>
      <c r="Q154" s="22"/>
      <c r="R154" s="22"/>
      <c r="S154" s="31">
        <f t="shared" si="42"/>
        <v>1</v>
      </c>
      <c r="T154" s="46" t="str">
        <f t="shared" si="43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4"/>
        <v>https://d0f6bd738d7f1b3e5a7ca70fe4ff75f0.us-east-1.aws.found.io/app/kibana#/discover/Steve-Slow-Train-Analysis-(2080s-and-2083s)?_g=(refreshInterval:(display:Off,pause:!f,section:0,value:0),time:(from:'2017-02-23T23:54:37-0700',mode:absolute,to:'2017-02-24T02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4" s="187" t="str">
        <f t="shared" si="45"/>
        <v>N</v>
      </c>
      <c r="X154" s="187">
        <f t="shared" si="46"/>
        <v>1</v>
      </c>
      <c r="Y154" s="62">
        <f t="shared" si="47"/>
        <v>23.3049</v>
      </c>
      <c r="Z154" s="62">
        <f t="shared" si="48"/>
        <v>1.49E-2</v>
      </c>
      <c r="AA154" s="62">
        <f t="shared" si="49"/>
        <v>23.29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0"/>
        <v>0242-23</v>
      </c>
      <c r="AE154" s="85" t="str">
        <f t="shared" si="51"/>
        <v>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 &amp; aws s3 cp s3://rtdc.mdm.uploadarchive.raw/RTDC4013/ "%USERPROFILE%\AppData\Local\Temp\OnboardLogs"\RTDC4013\2017-02-25 --exclude "*" --recursive --include "*20170225*" &amp; "%USERPROFILE%\Documents\GitHub\mrs-test-scripts\Headless Mode &amp; Sideloading\WalkAndUnGZ.bat" "%USERPROFILE%\AppData\Local\Temp\OnboardLogs"\RTDC4013\2017-02-25</v>
      </c>
      <c r="AF154" s="82" t="str">
        <f t="shared" si="52"/>
        <v>"C:\Program Files (x86)\AstroGrep\AstroGrep.exe" /spath="%USERPROFILE%\AppData\Local\Temp\OnboardLogs" /stypes="app*4013*20170224*" /stext=" 08:.+(\|loc)" /e /r /s</v>
      </c>
      <c r="AG154" s="1" t="str">
        <f t="shared" si="53"/>
        <v>EC</v>
      </c>
      <c r="AH154" s="86" t="str">
        <f t="shared" si="54"/>
        <v>"%USERPROFILE%\Documents\GitHub\eaglep3\Utilities\RefineRTDCRunTimes.py" --tripid 242-23 --locoid 4013 --swversion DE.1.0.9.0 --startMP 204:233049 --initTime 2017-02-24T00:54:37 --startdatetime 2017-02-24T00:56:55 --delay 1 --endMP 204:149 --enddatetime 2017-02-24T01:35:06 --enforcementcount 0 &gt;&gt;C:\Users\stu\Documents\GitHub\eaglep3-reporting\EC\2017-02-23-refined-times.txt</v>
      </c>
      <c r="AI154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{"issue":{"subject":"","project_id":79,"tracker_id":40,"status_id":1,"priority_id":2,"assigned_to_id":23,"start_date":"2017-02-24","description":"","custom_fields":[{"id":1,"name":"Subdivision","value":"EC"},{"id":4,"name":"Milepost","value":"0.0149"},{"id":17,"name":"Train ID","value":"242-23"},{"id":16,"name":"Locomotive ID","value":"4013"},{"id":130,"name":"Impact","value":""},{"id":150,"name":"Time of Event (Mountain Time)","value":"01:35:06"},{"id":151,"name":"Denver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56"/>
        <v>start /low /b %USERPROFILE%\Documents\GitHub\eaglep3\Utilities\DownloadLogsFromS3.py --loco 4013 --day 2017-02-24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</row>
    <row r="155" spans="1:91" x14ac:dyDescent="0.25">
      <c r="A155" s="33" t="s">
        <v>638</v>
      </c>
      <c r="B155" s="7">
        <v>4011</v>
      </c>
      <c r="C155" s="21" t="s">
        <v>294</v>
      </c>
      <c r="D155" s="21" t="s">
        <v>296</v>
      </c>
      <c r="E155" s="13">
        <v>42790.012743055559</v>
      </c>
      <c r="F155" s="13">
        <v>42790.021099537036</v>
      </c>
      <c r="G155" s="7">
        <v>1</v>
      </c>
      <c r="H155" s="21" t="s">
        <v>379</v>
      </c>
      <c r="I155" s="13">
        <v>42790.053912037038</v>
      </c>
      <c r="J155" s="7">
        <v>0</v>
      </c>
      <c r="K155" s="98" t="str">
        <f t="shared" si="39"/>
        <v>4011/4012</v>
      </c>
      <c r="L155" s="21" t="str">
        <f>VLOOKUP(A155,'Trips&amp;Operators'!$C$1:$G$99999,5,FALSE)</f>
        <v>HILLS DUSTIN</v>
      </c>
      <c r="M155" s="6">
        <f t="shared" si="40"/>
        <v>3.2812500001455192E-2</v>
      </c>
      <c r="N155" s="7">
        <f t="shared" si="41"/>
        <v>47.250000002095476</v>
      </c>
      <c r="O155" s="7"/>
      <c r="P155" s="7"/>
      <c r="Q155" s="22"/>
      <c r="R155" s="22"/>
      <c r="S155" s="31">
        <f t="shared" si="42"/>
        <v>1</v>
      </c>
      <c r="T155" s="46" t="str">
        <f t="shared" si="43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4"/>
        <v>https://d0f6bd738d7f1b3e5a7ca70fe4ff75f0.us-east-1.aws.found.io/app/kibana#/discover/Steve-Slow-Train-Analysis-(2080s-and-2083s)?_g=(refreshInterval:(display:Off,pause:!f,section:0,value:0),time:(from:'2017-02-23T23:18:21-0700',mode:absolute,to:'2017-02-24T02:17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187" t="str">
        <f t="shared" si="45"/>
        <v>N</v>
      </c>
      <c r="X155" s="187">
        <f t="shared" si="46"/>
        <v>1</v>
      </c>
      <c r="Y155" s="62">
        <f t="shared" si="47"/>
        <v>4.58E-2</v>
      </c>
      <c r="Z155" s="62">
        <f t="shared" si="48"/>
        <v>23.337</v>
      </c>
      <c r="AA155" s="62">
        <f t="shared" si="49"/>
        <v>23.2912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0"/>
        <v>0243-23</v>
      </c>
      <c r="AE155" s="85" t="str">
        <f t="shared" si="51"/>
        <v>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 &amp; aws s3 cp s3://rtdc.mdm.uploadarchive.raw/RTDC4011/ "%USERPROFILE%\AppData\Local\Temp\OnboardLogs"\RTDC4011\2017-02-25 --exclude "*" --recursive --include "*20170225*" &amp; "%USERPROFILE%\Documents\GitHub\mrs-test-scripts\Headless Mode &amp; Sideloading\WalkAndUnGZ.bat" "%USERPROFILE%\AppData\Local\Temp\OnboardLogs"\RTDC4011\2017-02-25</v>
      </c>
      <c r="AF155" s="82" t="str">
        <f t="shared" si="52"/>
        <v>"C:\Program Files (x86)\AstroGrep\AstroGrep.exe" /spath="%USERPROFILE%\AppData\Local\Temp\OnboardLogs" /stypes="app*4011*20170224*" /stext=" 08:.+(\|loc)" /e /r /s</v>
      </c>
      <c r="AG155" s="1" t="str">
        <f t="shared" si="53"/>
        <v>EC</v>
      </c>
      <c r="AH155" s="86" t="str">
        <f t="shared" si="54"/>
        <v>"%USERPROFILE%\Documents\GitHub\eaglep3\Utilities\RefineRTDCRunTimes.py" --tripid 243-23 --locoid 4011 --swversion DE.1.0.9.0 --startMP 204:458 --initTime 2017-02-24T00:18:21 --startdatetime 2017-02-24T00:30:23 --delay 1 --endMP 204:233370 --enddatetime 2017-02-24T01:17:38 --enforcementcount 0 &gt;&gt;C:\Users\stu\Documents\GitHub\eaglep3-reporting\EC\2017-02-23-refined-times.txt</v>
      </c>
      <c r="AI155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{"issue":{"subject":"","project_id":79,"tracker_id":40,"status_id":1,"priority_id":2,"assigned_to_id":23,"start_date":"2017-02-24","description":"","custom_fields":[{"id":1,"name":"Subdivision","value":"EC"},{"id":4,"name":"Milepost","value":"23.337"},{"id":17,"name":"Train ID","value":"243-23"},{"id":16,"name":"Locomotive ID","value":"4011"},{"id":130,"name":"Impact","value":""},{"id":150,"name":"Time of Event (Mountain Time)","value":"01:17:38"},{"id":151,"name":"Denver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56"/>
        <v>start /low /b %USERPROFILE%\Documents\GitHub\eaglep3\Utilities\DownloadLogsFromS3.py --loco 4011 --day 2017-02-24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</row>
    <row r="156" spans="1:91" s="20" customFormat="1" x14ac:dyDescent="0.25">
      <c r="A156" s="33" t="s">
        <v>642</v>
      </c>
      <c r="B156" s="7">
        <v>4012</v>
      </c>
      <c r="C156" s="21" t="s">
        <v>294</v>
      </c>
      <c r="D156" s="21" t="s">
        <v>729</v>
      </c>
      <c r="E156" s="13">
        <v>42790.058055555557</v>
      </c>
      <c r="F156" s="13">
        <v>42790.060393518521</v>
      </c>
      <c r="G156" s="7">
        <v>1</v>
      </c>
      <c r="H156" s="21" t="s">
        <v>730</v>
      </c>
      <c r="I156" s="13">
        <v>42790.086539351854</v>
      </c>
      <c r="J156" s="7">
        <v>0</v>
      </c>
      <c r="K156" s="98" t="str">
        <f t="shared" si="39"/>
        <v>4011/4012</v>
      </c>
      <c r="L156" s="21" t="str">
        <f>VLOOKUP(A156,'Trips&amp;Operators'!$C$1:$G$99999,5,FALSE)</f>
        <v>HILLS DUSTIN</v>
      </c>
      <c r="M156" s="6">
        <f t="shared" si="40"/>
        <v>2.6145833333430346E-2</v>
      </c>
      <c r="N156" s="7">
        <f t="shared" si="41"/>
        <v>37.650000000139698</v>
      </c>
      <c r="O156" s="7"/>
      <c r="P156" s="7"/>
      <c r="Q156" s="22"/>
      <c r="R156" s="22"/>
      <c r="S156" s="31">
        <f t="shared" si="42"/>
        <v>1</v>
      </c>
      <c r="T156" s="46" t="str">
        <f t="shared" si="43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44"/>
        <v>https://d0f6bd738d7f1b3e5a7ca70fe4ff75f0.us-east-1.aws.found.io/app/kibana#/discover/Steve-Slow-Train-Analysis-(2080s-and-2083s)?_g=(refreshInterval:(display:Off,pause:!f,section:0,value:0),time:(from:'2017-02-24T00:23:36-0700',mode:absolute,to:'2017-02-24T03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187" t="str">
        <f t="shared" si="45"/>
        <v>N</v>
      </c>
      <c r="X156" s="187">
        <f t="shared" si="46"/>
        <v>1</v>
      </c>
      <c r="Y156" s="62">
        <f t="shared" si="47"/>
        <v>23.308800000000002</v>
      </c>
      <c r="Z156" s="62">
        <f t="shared" si="48"/>
        <v>1.0699999999999999E-2</v>
      </c>
      <c r="AA156" s="62">
        <f t="shared" si="49"/>
        <v>23.298100000000002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0"/>
        <v>0244-23</v>
      </c>
      <c r="AE156" s="85" t="str">
        <f t="shared" si="51"/>
        <v>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 &amp; aws s3 cp s3://rtdc.mdm.uploadarchive.raw/RTDC4012/ "%USERPROFILE%\AppData\Local\Temp\OnboardLogs"\RTDC4012\2017-02-25 --exclude "*" --recursive --include "*20170225*" &amp; "%USERPROFILE%\Documents\GitHub\mrs-test-scripts\Headless Mode &amp; Sideloading\WalkAndUnGZ.bat" "%USERPROFILE%\AppData\Local\Temp\OnboardLogs"\RTDC4012\2017-02-25</v>
      </c>
      <c r="AF156" s="82" t="str">
        <f t="shared" si="52"/>
        <v>"C:\Program Files (x86)\AstroGrep\AstroGrep.exe" /spath="%USERPROFILE%\AppData\Local\Temp\OnboardLogs" /stypes="app*4012*20170224*" /stext=" 09:.+(\|loc)" /e /r /s</v>
      </c>
      <c r="AG156" s="1" t="str">
        <f t="shared" si="53"/>
        <v>EC</v>
      </c>
      <c r="AH156" s="86" t="str">
        <f t="shared" si="54"/>
        <v>"%USERPROFILE%\Documents\GitHub\eaglep3\Utilities\RefineRTDCRunTimes.py" --tripid 244-23 --locoid 4012 --swversion DE.1.0.9.0 --startMP 204:233088 --initTime 2017-02-24T01:23:36 --startdatetime 2017-02-24T01:26:58 --delay 1 --endMP 204:107 --enddatetime 2017-02-24T02:04:37 --enforcementcount 0 &gt;&gt;C:\Users\stu\Documents\GitHub\eaglep3-reporting\EC\2017-02-23-refined-times.txt</v>
      </c>
      <c r="AI156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{"issue":{"subject":"","project_id":79,"tracker_id":40,"status_id":1,"priority_id":2,"assigned_to_id":23,"start_date":"2017-02-24","description":"","custom_fields":[{"id":1,"name":"Subdivision","value":"EC"},{"id":4,"name":"Milepost","value":"0.0107"},{"id":17,"name":"Train ID","value":"244-23"},{"id":16,"name":"Locomotive ID","value":"4012"},{"id":130,"name":"Impact","value":""},{"id":150,"name":"Time of Event (Mountain Time)","value":"02:04:37"},{"id":151,"name":"Denver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56"/>
        <v>start /low /b %USERPROFILE%\Documents\GitHub\eaglep3\Utilities\DownloadLogsFromS3.py --loco 4012 --day 2017-02-24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477</v>
      </c>
      <c r="B157" s="7">
        <v>4026</v>
      </c>
      <c r="C157" s="21" t="s">
        <v>294</v>
      </c>
      <c r="D157" s="21" t="s">
        <v>801</v>
      </c>
      <c r="E157" s="13">
        <v>42789.212500000001</v>
      </c>
      <c r="F157" s="13">
        <v>42789.215937499997</v>
      </c>
      <c r="G157" s="7">
        <v>1</v>
      </c>
      <c r="H157" s="21" t="s">
        <v>802</v>
      </c>
      <c r="I157" s="13">
        <v>42789.225856481484</v>
      </c>
      <c r="J157" s="7">
        <v>0</v>
      </c>
      <c r="K157" s="98" t="str">
        <f t="shared" si="39"/>
        <v>4025/4026</v>
      </c>
      <c r="L157" s="21" t="str">
        <f>VLOOKUP(A157,'Trips&amp;Operators'!$C$1:$G$99999,5,FALSE)</f>
        <v>SHOOK JOHN</v>
      </c>
      <c r="M157" s="6">
        <f t="shared" si="40"/>
        <v>9.9189814864075743E-3</v>
      </c>
      <c r="N157" s="7">
        <f t="shared" si="41"/>
        <v>14.283333340426907</v>
      </c>
      <c r="O157" s="7"/>
      <c r="P157" s="7"/>
      <c r="Q157" s="22"/>
      <c r="R157" s="22"/>
      <c r="S157" s="31">
        <f t="shared" si="42"/>
        <v>1</v>
      </c>
      <c r="T157" s="46" t="str">
        <f t="shared" si="43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44"/>
        <v>https://d0f6bd738d7f1b3e5a7ca70fe4ff75f0.us-east-1.aws.found.io/app/kibana#/discover/Steve-Slow-Train-Analysis-(2080s-and-2083s)?_g=(refreshInterval:(display:Off,pause:!f,section:0,value:0),time:(from:'2017-02-23T04:06:00-0700',mode:absolute,to:'2017-02-23T06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7" t="str">
        <f t="shared" si="45"/>
        <v>N</v>
      </c>
      <c r="X157" s="187">
        <f t="shared" si="46"/>
        <v>556</v>
      </c>
      <c r="Y157" s="62">
        <f t="shared" si="47"/>
        <v>5.8681000000000001</v>
      </c>
      <c r="Z157" s="62">
        <f t="shared" si="48"/>
        <v>7.3800000000000004E-2</v>
      </c>
      <c r="AA157" s="62">
        <f t="shared" si="49"/>
        <v>5.7942999999999998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0"/>
        <v>0800-23</v>
      </c>
      <c r="AE157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57" s="82" t="str">
        <f t="shared" si="52"/>
        <v>"C:\Program Files (x86)\AstroGrep\AstroGrep.exe" /spath="%USERPROFILE%\AppData\Local\Temp\OnboardLogs" /stypes="app*4026*20170223*" /stext=" 12:.+(\|loc)" /e /r /s</v>
      </c>
      <c r="AG157" s="1" t="str">
        <f t="shared" si="53"/>
        <v>NW</v>
      </c>
      <c r="AH157" s="86" t="str">
        <f t="shared" si="54"/>
        <v>"%USERPROFILE%\Documents\GitHub\eaglep3\Utilities\RefineRTDCRunTimes.py" --tripid 800-23 --locoid 4026 --swversion DE.1.0.9.0 --startMP 300:58681 --initTime 2017-02-23T05:06:00 --startdatetime 2017-02-23T05:10:57 --delay 1 --endMP 204:738 --enddatetime 2017-02-23T05:25:14 --enforcementcount 0 &gt;&gt;C:\Users\stu\Documents\GitHub\eaglep3-reporting\EC\2017-02-23-refined-times.txt</v>
      </c>
      <c r="AI15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{"issue":{"subject":"","project_id":79,"tracker_id":40,"status_id":1,"priority_id":2,"assigned_to_id":23,"start_date":"2017-02-23","description":"","custom_fields":[{"id":1,"name":"Subdivision","value":"NW"},{"id":4,"name":"Milepost","value":"0.0738"},{"id":17,"name":"Train ID","value":"800-23"},{"id":16,"name":"Locomotive ID","value":"4026"},{"id":130,"name":"Impact","value":""},{"id":150,"name":"Time of Event (Mountain Time)","value":"05:25:14"},{"id":151,"name":"Denver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56"/>
        <v>start /low /b %USERPROFILE%\Documents\GitHub\eaglep3\Utilities\DownloadLogsFromS3.py --loco 4026 --day 2017-02-23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58" spans="1:91" x14ac:dyDescent="0.25">
      <c r="A158" s="33" t="s">
        <v>481</v>
      </c>
      <c r="B158" s="7">
        <v>4025</v>
      </c>
      <c r="C158" s="21" t="s">
        <v>294</v>
      </c>
      <c r="D158" s="21" t="s">
        <v>803</v>
      </c>
      <c r="E158" s="13">
        <v>42789.22755787037</v>
      </c>
      <c r="F158" s="13">
        <v>42789.243935185186</v>
      </c>
      <c r="G158" s="7">
        <v>1</v>
      </c>
      <c r="H158" s="21" t="s">
        <v>804</v>
      </c>
      <c r="I158" s="13">
        <v>42789.253692129627</v>
      </c>
      <c r="J158" s="7">
        <v>0</v>
      </c>
      <c r="K158" s="98" t="str">
        <f t="shared" si="39"/>
        <v>4025/4026</v>
      </c>
      <c r="L158" s="21" t="str">
        <f>VLOOKUP(A158,'Trips&amp;Operators'!$C$1:$G$99999,5,FALSE)</f>
        <v>SHOOK JOHN</v>
      </c>
      <c r="M158" s="6">
        <f t="shared" si="40"/>
        <v>9.7569444405962713E-3</v>
      </c>
      <c r="N158" s="7">
        <f t="shared" si="41"/>
        <v>14.049999994458631</v>
      </c>
      <c r="O158" s="7"/>
      <c r="P158" s="7"/>
      <c r="Q158" s="22"/>
      <c r="R158" s="22"/>
      <c r="S158" s="31">
        <f t="shared" si="42"/>
        <v>1</v>
      </c>
      <c r="T158" s="46" t="str">
        <f t="shared" si="43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44"/>
        <v>https://d0f6bd738d7f1b3e5a7ca70fe4ff75f0.us-east-1.aws.found.io/app/kibana#/discover/Steve-Slow-Train-Analysis-(2080s-and-2083s)?_g=(refreshInterval:(display:Off,pause:!f,section:0,value:0),time:(from:'2017-02-23T04:27:41-0700',mode:absolute,to:'2017-02-23T07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187" t="str">
        <f t="shared" si="45"/>
        <v>N</v>
      </c>
      <c r="X158" s="187">
        <f t="shared" si="46"/>
        <v>1</v>
      </c>
      <c r="Y158" s="62">
        <f t="shared" si="47"/>
        <v>0.1042</v>
      </c>
      <c r="Z158" s="62">
        <f t="shared" si="48"/>
        <v>5.8992000000000004</v>
      </c>
      <c r="AA158" s="62">
        <f t="shared" si="49"/>
        <v>5.7950000000000008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0"/>
        <v>0801-23</v>
      </c>
      <c r="AE158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58" s="82" t="str">
        <f t="shared" si="52"/>
        <v>"C:\Program Files (x86)\AstroGrep\AstroGrep.exe" /spath="%USERPROFILE%\AppData\Local\Temp\OnboardLogs" /stypes="app*4025*20170223*" /stext=" 13:.+(\|loc)" /e /r /s</v>
      </c>
      <c r="AG158" s="1" t="str">
        <f t="shared" si="53"/>
        <v>NW</v>
      </c>
      <c r="AH158" s="86" t="str">
        <f t="shared" si="54"/>
        <v>"%USERPROFILE%\Documents\GitHub\eaglep3\Utilities\RefineRTDCRunTimes.py" --tripid 801-23 --locoid 4025 --swversion DE.1.0.9.0 --startMP 204:1042 --initTime 2017-02-23T05:27:41 --startdatetime 2017-02-23T05:51:16 --delay 1 --endMP 300:58992 --enddatetime 2017-02-23T06:05:19 --enforcementcount 0 &gt;&gt;C:\Users\stu\Documents\GitHub\eaglep3-reporting\EC\2017-02-23-refined-times.txt</v>
      </c>
      <c r="AI15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{"issue":{"subject":"","project_id":79,"tracker_id":40,"status_id":1,"priority_id":2,"assigned_to_id":23,"start_date":"2017-02-23","description":"","custom_fields":[{"id":1,"name":"Subdivision","value":"NW"},{"id":4,"name":"Milepost","value":"5.8992"},{"id":17,"name":"Train ID","value":"801-23"},{"id":16,"name":"Locomotive ID","value":"4025"},{"id":130,"name":"Impact","value":""},{"id":150,"name":"Time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56"/>
        <v>start /low /b %USERPROFILE%\Documents\GitHub\eaglep3\Utilities\DownloadLogsFromS3.py --loco 4025 --day 2017-02-23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59" spans="1:91" x14ac:dyDescent="0.25">
      <c r="A159" s="33" t="s">
        <v>489</v>
      </c>
      <c r="B159" s="7">
        <v>4026</v>
      </c>
      <c r="C159" s="21" t="s">
        <v>294</v>
      </c>
      <c r="D159" s="21" t="s">
        <v>805</v>
      </c>
      <c r="E159" s="13">
        <v>42789.255474537036</v>
      </c>
      <c r="F159" s="13">
        <v>42789.257696759261</v>
      </c>
      <c r="G159" s="7">
        <v>1</v>
      </c>
      <c r="H159" s="21" t="s">
        <v>806</v>
      </c>
      <c r="I159" s="13">
        <v>42789.267685185187</v>
      </c>
      <c r="J159" s="7">
        <v>0</v>
      </c>
      <c r="K159" s="98" t="str">
        <f t="shared" si="39"/>
        <v>4025/4026</v>
      </c>
      <c r="L159" s="21" t="str">
        <f>VLOOKUP(A159,'Trips&amp;Operators'!$C$1:$G$99999,5,FALSE)</f>
        <v>SHOOK JOHN</v>
      </c>
      <c r="M159" s="6">
        <f t="shared" si="40"/>
        <v>9.9884259252576157E-3</v>
      </c>
      <c r="N159" s="7">
        <f t="shared" si="41"/>
        <v>14.383333332370967</v>
      </c>
      <c r="O159" s="7"/>
      <c r="P159" s="7"/>
      <c r="Q159" s="22"/>
      <c r="R159" s="22"/>
      <c r="S159" s="31">
        <f t="shared" si="42"/>
        <v>1</v>
      </c>
      <c r="T159" s="46" t="str">
        <f t="shared" si="43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44"/>
        <v>https://d0f6bd738d7f1b3e5a7ca70fe4ff75f0.us-east-1.aws.found.io/app/kibana#/discover/Steve-Slow-Train-Analysis-(2080s-and-2083s)?_g=(refreshInterval:(display:Off,pause:!f,section:0,value:0),time:(from:'2017-02-23T05:07:53-0700',mode:absolute,to:'2017-02-23T07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9" s="187" t="str">
        <f t="shared" si="45"/>
        <v>N</v>
      </c>
      <c r="X159" s="187">
        <f t="shared" si="46"/>
        <v>1</v>
      </c>
      <c r="Y159" s="62">
        <f t="shared" si="47"/>
        <v>5.8678999999999997</v>
      </c>
      <c r="Z159" s="62">
        <f t="shared" si="48"/>
        <v>7.17E-2</v>
      </c>
      <c r="AA159" s="62">
        <f t="shared" si="49"/>
        <v>5.7961999999999998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0"/>
        <v>0802-23</v>
      </c>
      <c r="AE159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59" s="82" t="str">
        <f t="shared" si="52"/>
        <v>"C:\Program Files (x86)\AstroGrep\AstroGrep.exe" /spath="%USERPROFILE%\AppData\Local\Temp\OnboardLogs" /stypes="app*4026*20170223*" /stext=" 13:.+(\|loc)" /e /r /s</v>
      </c>
      <c r="AG159" s="1" t="str">
        <f t="shared" si="53"/>
        <v>NW</v>
      </c>
      <c r="AH159" s="86" t="str">
        <f t="shared" si="54"/>
        <v>"%USERPROFILE%\Documents\GitHub\eaglep3\Utilities\RefineRTDCRunTimes.py" --tripid 802-23 --locoid 4026 --swversion DE.1.0.9.0 --startMP 300:58679 --initTime 2017-02-23T06:07:53 --startdatetime 2017-02-23T06:11:05 --delay 1 --endMP 204:717 --enddatetime 2017-02-23T06:25:28 --enforcementcount 0 &gt;&gt;C:\Users\stu\Documents\GitHub\eaglep3-reporting\EC\2017-02-23-refined-times.txt</v>
      </c>
      <c r="AI15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{"issue":{"subject":"","project_id":79,"tracker_id":40,"status_id":1,"priority_id":2,"assigned_to_id":23,"start_date":"2017-02-23","description":"","custom_fields":[{"id":1,"name":"Subdivision","value":"NW"},{"id":4,"name":"Milepost","value":"0.0717"},{"id":17,"name":"Train ID","value":"802-23"},{"id":16,"name":"Locomotive ID","value":"4026"},{"id":130,"name":"Impact","value":""},{"id":150,"name":"Time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56"/>
        <v>start /low /b %USERPROFILE%\Documents\GitHub\eaglep3\Utilities\DownloadLogsFromS3.py --loco 4026 --day 2017-02-23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60" spans="1:91" s="20" customFormat="1" x14ac:dyDescent="0.25">
      <c r="A160" s="33" t="s">
        <v>412</v>
      </c>
      <c r="B160" s="7">
        <v>4020</v>
      </c>
      <c r="C160" s="21" t="s">
        <v>294</v>
      </c>
      <c r="D160" s="21" t="s">
        <v>807</v>
      </c>
      <c r="E160" s="13">
        <v>42789.26185185185</v>
      </c>
      <c r="F160" s="13">
        <v>42789.264884259261</v>
      </c>
      <c r="G160" s="7">
        <v>1</v>
      </c>
      <c r="H160" s="21" t="s">
        <v>808</v>
      </c>
      <c r="I160" s="13">
        <v>42789.273715277777</v>
      </c>
      <c r="J160" s="7">
        <v>0</v>
      </c>
      <c r="K160" s="98" t="str">
        <f t="shared" si="39"/>
        <v>4019/4020</v>
      </c>
      <c r="L160" s="21" t="str">
        <f>VLOOKUP(A160,'Trips&amp;Operators'!$C$1:$G$99999,5,FALSE)</f>
        <v>LOZA FIDEL</v>
      </c>
      <c r="M160" s="6">
        <f t="shared" si="40"/>
        <v>8.8310185165028088E-3</v>
      </c>
      <c r="N160" s="7">
        <f t="shared" si="41"/>
        <v>12.716666663764045</v>
      </c>
      <c r="O160" s="7"/>
      <c r="P160" s="7"/>
      <c r="Q160" s="22"/>
      <c r="R160" s="22"/>
      <c r="S160" s="31">
        <f t="shared" si="42"/>
        <v>1</v>
      </c>
      <c r="T160" s="46" t="str">
        <f t="shared" si="43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4"/>
        <v>https://d0f6bd738d7f1b3e5a7ca70fe4ff75f0.us-east-1.aws.found.io/app/kibana#/discover/Steve-Slow-Train-Analysis-(2080s-and-2083s)?_g=(refreshInterval:(display:Off,pause:!f,section:0,value:0),time:(from:'2017-02-23T05:17:04-0700',mode:absolute,to:'2017-02-23T07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187" t="str">
        <f t="shared" si="45"/>
        <v>N</v>
      </c>
      <c r="X160" s="187">
        <f t="shared" si="46"/>
        <v>1</v>
      </c>
      <c r="Y160" s="62">
        <f t="shared" si="47"/>
        <v>9.7199999999999995E-2</v>
      </c>
      <c r="Z160" s="62">
        <f t="shared" si="48"/>
        <v>5.8975999999999997</v>
      </c>
      <c r="AA160" s="62">
        <f t="shared" si="49"/>
        <v>5.8003999999999998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0"/>
        <v>0803-23</v>
      </c>
      <c r="AE16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60" s="82" t="str">
        <f t="shared" si="52"/>
        <v>"C:\Program Files (x86)\AstroGrep\AstroGrep.exe" /spath="%USERPROFILE%\AppData\Local\Temp\OnboardLogs" /stypes="app*4020*20170223*" /stext=" 13:.+(\|loc)" /e /r /s</v>
      </c>
      <c r="AG160" s="1" t="str">
        <f t="shared" si="53"/>
        <v>NW</v>
      </c>
      <c r="AH160" s="86" t="str">
        <f t="shared" si="54"/>
        <v>"%USERPROFILE%\Documents\GitHub\eaglep3\Utilities\RefineRTDCRunTimes.py" --tripid 803-23 --locoid 4020 --swversion DE.1.0.9.0 --startMP 204:972 --initTime 2017-02-23T06:17:04 --startdatetime 2017-02-23T06:21:26 --delay 1 --endMP 300:58976 --enddatetime 2017-02-23T06:34:09 --enforcementcount 0 &gt;&gt;C:\Users\stu\Documents\GitHub\eaglep3-reporting\EC\2017-02-23-refined-times.txt</v>
      </c>
      <c r="AI16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{"issue":{"subject":"","project_id":79,"tracker_id":40,"status_id":1,"priority_id":2,"assigned_to_id":23,"start_date":"2017-02-23","description":"","custom_fields":[{"id":1,"name":"Subdivision","value":"NW"},{"id":4,"name":"Milepost","value":"5.8976"},{"id":17,"name":"Train ID","value":"803-23"},{"id":16,"name":"Locomotive ID","value":"4020"},{"id":130,"name":"Impact","value":""},{"id":150,"name":"Time of Event (Mountain Time)","value":"06:34:09"},{"id":151,"name":"Denver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56"/>
        <v>start /low /b %USERPROFILE%\Documents\GitHub\eaglep3\Utilities\DownloadLogsFromS3.py --loco 4020 --day 2017-02-23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494</v>
      </c>
      <c r="B161" s="7">
        <v>4019</v>
      </c>
      <c r="C161" s="21" t="s">
        <v>294</v>
      </c>
      <c r="D161" s="21" t="s">
        <v>325</v>
      </c>
      <c r="E161" s="13">
        <v>42789.275312500002</v>
      </c>
      <c r="F161" s="13">
        <v>42789.277083333334</v>
      </c>
      <c r="G161" s="7">
        <v>1</v>
      </c>
      <c r="H161" s="21" t="s">
        <v>809</v>
      </c>
      <c r="I161" s="13">
        <v>42789.288171296299</v>
      </c>
      <c r="J161" s="7">
        <v>0</v>
      </c>
      <c r="K161" s="98" t="str">
        <f t="shared" si="39"/>
        <v>4019/4020</v>
      </c>
      <c r="L161" s="21" t="str">
        <f>VLOOKUP(A161,'Trips&amp;Operators'!$C$1:$G$99999,5,FALSE)</f>
        <v>LOZA FIDEL</v>
      </c>
      <c r="M161" s="6">
        <f t="shared" si="40"/>
        <v>1.1087962964666076E-2</v>
      </c>
      <c r="N161" s="7">
        <f t="shared" si="41"/>
        <v>15.966666669119149</v>
      </c>
      <c r="O161" s="7"/>
      <c r="P161" s="7"/>
      <c r="Q161" s="22"/>
      <c r="R161" s="22"/>
      <c r="S161" s="31">
        <f t="shared" si="42"/>
        <v>1</v>
      </c>
      <c r="T161" s="46" t="str">
        <f t="shared" si="43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4"/>
        <v>https://d0f6bd738d7f1b3e5a7ca70fe4ff75f0.us-east-1.aws.found.io/app/kibana#/discover/Steve-Slow-Train-Analysis-(2080s-and-2083s)?_g=(refreshInterval:(display:Off,pause:!f,section:0,value:0),time:(from:'2017-02-23T05:36:27-0700',mode:absolute,to:'2017-02-23T07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187" t="str">
        <f t="shared" si="45"/>
        <v>N</v>
      </c>
      <c r="X161" s="187">
        <f t="shared" si="46"/>
        <v>1</v>
      </c>
      <c r="Y161" s="62">
        <f t="shared" si="47"/>
        <v>5.8655999999999997</v>
      </c>
      <c r="Z161" s="62">
        <f t="shared" si="48"/>
        <v>6.7000000000000004E-2</v>
      </c>
      <c r="AA161" s="62">
        <f t="shared" si="49"/>
        <v>5.7985999999999995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0"/>
        <v>0804-23</v>
      </c>
      <c r="AE16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61" s="82" t="str">
        <f t="shared" si="52"/>
        <v>"C:\Program Files (x86)\AstroGrep\AstroGrep.exe" /spath="%USERPROFILE%\AppData\Local\Temp\OnboardLogs" /stypes="app*4019*20170223*" /stext=" 13:.+(\|loc)" /e /r /s</v>
      </c>
      <c r="AG161" s="1" t="str">
        <f t="shared" si="53"/>
        <v>NW</v>
      </c>
      <c r="AH161" s="86" t="str">
        <f t="shared" si="54"/>
        <v>"%USERPROFILE%\Documents\GitHub\eaglep3\Utilities\RefineRTDCRunTimes.py" --tripid 804-23 --locoid 4019 --swversion DE.1.0.9.0 --startMP 300:58656 --initTime 2017-02-23T06:36:27 --startdatetime 2017-02-23T06:39:00 --delay 1 --endMP 204:670 --enddatetime 2017-02-23T06:54:58 --enforcementcount 0 &gt;&gt;C:\Users\stu\Documents\GitHub\eaglep3-reporting\EC\2017-02-23-refined-times.txt</v>
      </c>
      <c r="AI16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{"issue":{"subject":"","project_id":79,"tracker_id":40,"status_id":1,"priority_id":2,"assigned_to_id":23,"start_date":"2017-02-23","description":"","custom_fields":[{"id":1,"name":"Subdivision","value":"NW"},{"id":4,"name":"Milepost","value":"0.067"},{"id":17,"name":"Train ID","value":"804-23"},{"id":16,"name":"Locomotive ID","value":"4019"},{"id":130,"name":"Impact","value":""},{"id":150,"name":"Time of Event (Mountain Time)","value":"06:54:58"},{"id":151,"name":"Denver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56"/>
        <v>start /low /b %USERPROFILE%\Documents\GitHub\eaglep3\Utilities\DownloadLogsFromS3.py --loco 4019 --day 2017-02-23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62" spans="1:91" x14ac:dyDescent="0.25">
      <c r="A162" s="33" t="s">
        <v>493</v>
      </c>
      <c r="B162" s="7">
        <v>4025</v>
      </c>
      <c r="C162" s="21" t="s">
        <v>294</v>
      </c>
      <c r="D162" s="21" t="s">
        <v>810</v>
      </c>
      <c r="E162" s="13">
        <v>42789.269502314812</v>
      </c>
      <c r="F162" s="13">
        <v>42789.285590277781</v>
      </c>
      <c r="G162" s="7">
        <v>1</v>
      </c>
      <c r="H162" s="21" t="s">
        <v>811</v>
      </c>
      <c r="I162" s="13">
        <v>42789.295405092591</v>
      </c>
      <c r="J162" s="7">
        <v>0</v>
      </c>
      <c r="K162" s="98" t="str">
        <f t="shared" si="39"/>
        <v>4025/4026</v>
      </c>
      <c r="L162" s="21" t="str">
        <f>VLOOKUP(A162,'Trips&amp;Operators'!$C$1:$G$99999,5,FALSE)</f>
        <v>SHOOK JOHN</v>
      </c>
      <c r="M162" s="6">
        <f t="shared" si="40"/>
        <v>9.814814809942618E-3</v>
      </c>
      <c r="N162" s="7">
        <f t="shared" si="41"/>
        <v>14.13333332631737</v>
      </c>
      <c r="O162" s="7"/>
      <c r="P162" s="7"/>
      <c r="Q162" s="22"/>
      <c r="R162" s="22"/>
      <c r="S162" s="31">
        <f t="shared" si="42"/>
        <v>1</v>
      </c>
      <c r="T162" s="46" t="str">
        <f t="shared" si="43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4"/>
        <v>https://d0f6bd738d7f1b3e5a7ca70fe4ff75f0.us-east-1.aws.found.io/app/kibana#/discover/Steve-Slow-Train-Analysis-(2080s-and-2083s)?_g=(refreshInterval:(display:Off,pause:!f,section:0,value:0),time:(from:'2017-02-23T05:28:05-0700',mode:absolute,to:'2017-02-23T08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187" t="str">
        <f t="shared" si="45"/>
        <v>N</v>
      </c>
      <c r="X162" s="187">
        <f t="shared" si="46"/>
        <v>1</v>
      </c>
      <c r="Y162" s="62">
        <f t="shared" si="47"/>
        <v>0.1016</v>
      </c>
      <c r="Z162" s="62">
        <f t="shared" si="48"/>
        <v>5.9001000000000001</v>
      </c>
      <c r="AA162" s="62">
        <f t="shared" si="49"/>
        <v>5.7984999999999998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0"/>
        <v>0805-23</v>
      </c>
      <c r="AE162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62" s="82" t="str">
        <f t="shared" si="52"/>
        <v>"C:\Program Files (x86)\AstroGrep\AstroGrep.exe" /spath="%USERPROFILE%\AppData\Local\Temp\OnboardLogs" /stypes="app*4025*20170223*" /stext=" 14:.+(\|loc)" /e /r /s</v>
      </c>
      <c r="AG162" s="1" t="str">
        <f t="shared" si="53"/>
        <v>NW</v>
      </c>
      <c r="AH162" s="86" t="str">
        <f t="shared" si="54"/>
        <v>"%USERPROFILE%\Documents\GitHub\eaglep3\Utilities\RefineRTDCRunTimes.py" --tripid 805-23 --locoid 4025 --swversion DE.1.0.9.0 --startMP 204:1016 --initTime 2017-02-23T06:28:05 --startdatetime 2017-02-23T06:51:15 --delay 1 --endMP 300:59001 --enddatetime 2017-02-23T07:05:23 --enforcementcount 0 &gt;&gt;C:\Users\stu\Documents\GitHub\eaglep3-reporting\EC\2017-02-23-refined-times.txt</v>
      </c>
      <c r="AI16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{"issue":{"subject":"","project_id":79,"tracker_id":40,"status_id":1,"priority_id":2,"assigned_to_id":23,"start_date":"2017-02-23","description":"","custom_fields":[{"id":1,"name":"Subdivision","value":"NW"},{"id":4,"name":"Milepost","value":"5.9001"},{"id":17,"name":"Train ID","value":"805-23"},{"id":16,"name":"Locomotive ID","value":"4025"},{"id":130,"name":"Impact","value":""},{"id":150,"name":"Time of Event (Mountain Time)","value":"07:05:23"},{"id":151,"name":"Denver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56"/>
        <v>start /low /b %USERPROFILE%\Documents\GitHub\eaglep3\Utilities\DownloadLogsFromS3.py --loco 4025 --day 2017-02-23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63" spans="1:91" x14ac:dyDescent="0.25">
      <c r="A163" s="33" t="s">
        <v>499</v>
      </c>
      <c r="B163" s="7">
        <v>4026</v>
      </c>
      <c r="C163" s="21" t="s">
        <v>294</v>
      </c>
      <c r="D163" s="21" t="s">
        <v>812</v>
      </c>
      <c r="E163" s="13">
        <v>42789.29724537037</v>
      </c>
      <c r="F163" s="13">
        <v>42789.299513888887</v>
      </c>
      <c r="G163" s="7">
        <v>1</v>
      </c>
      <c r="H163" s="21" t="s">
        <v>813</v>
      </c>
      <c r="I163" s="13">
        <v>42789.309282407405</v>
      </c>
      <c r="J163" s="7">
        <v>0</v>
      </c>
      <c r="K163" s="98" t="str">
        <f t="shared" si="39"/>
        <v>4025/4026</v>
      </c>
      <c r="L163" s="21" t="str">
        <f>VLOOKUP(A163,'Trips&amp;Operators'!$C$1:$G$99999,5,FALSE)</f>
        <v>SHOOK JOHN</v>
      </c>
      <c r="M163" s="6">
        <f t="shared" si="40"/>
        <v>9.7685185173759237E-3</v>
      </c>
      <c r="N163" s="7">
        <f t="shared" si="41"/>
        <v>14.06666666502133</v>
      </c>
      <c r="O163" s="7"/>
      <c r="P163" s="7"/>
      <c r="Q163" s="22"/>
      <c r="R163" s="22"/>
      <c r="S163" s="31">
        <f t="shared" si="42"/>
        <v>1</v>
      </c>
      <c r="T163" s="46" t="str">
        <f t="shared" si="43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4"/>
        <v>https://d0f6bd738d7f1b3e5a7ca70fe4ff75f0.us-east-1.aws.found.io/app/kibana#/discover/Steve-Slow-Train-Analysis-(2080s-and-2083s)?_g=(refreshInterval:(display:Off,pause:!f,section:0,value:0),time:(from:'2017-02-23T06:08:02-0700',mode:absolute,to:'2017-02-23T08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3" s="187" t="str">
        <f t="shared" si="45"/>
        <v>N</v>
      </c>
      <c r="X163" s="187">
        <f t="shared" si="46"/>
        <v>1</v>
      </c>
      <c r="Y163" s="62">
        <f t="shared" si="47"/>
        <v>5.8685</v>
      </c>
      <c r="Z163" s="62">
        <f t="shared" si="48"/>
        <v>7.2900000000000006E-2</v>
      </c>
      <c r="AA163" s="62">
        <f t="shared" si="49"/>
        <v>5.7956000000000003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0"/>
        <v>0806-23</v>
      </c>
      <c r="AE163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63" s="82" t="str">
        <f t="shared" si="52"/>
        <v>"C:\Program Files (x86)\AstroGrep\AstroGrep.exe" /spath="%USERPROFILE%\AppData\Local\Temp\OnboardLogs" /stypes="app*4026*20170223*" /stext=" 14:.+(\|loc)" /e /r /s</v>
      </c>
      <c r="AG163" s="1" t="str">
        <f t="shared" si="53"/>
        <v>NW</v>
      </c>
      <c r="AH163" s="86" t="str">
        <f t="shared" si="54"/>
        <v>"%USERPROFILE%\Documents\GitHub\eaglep3\Utilities\RefineRTDCRunTimes.py" --tripid 806-23 --locoid 4026 --swversion DE.1.0.9.0 --startMP 300:58685 --initTime 2017-02-23T07:08:02 --startdatetime 2017-02-23T07:11:18 --delay 1 --endMP 204:729 --enddatetime 2017-02-23T07:25:22 --enforcementcount 0 &gt;&gt;C:\Users\stu\Documents\GitHub\eaglep3-reporting\EC\2017-02-23-refined-times.txt</v>
      </c>
      <c r="AI16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{"issue":{"subject":"","project_id":79,"tracker_id":40,"status_id":1,"priority_id":2,"assigned_to_id":23,"start_date":"2017-02-23","description":"","custom_fields":[{"id":1,"name":"Subdivision","value":"NW"},{"id":4,"name":"Milepost","value":"0.0729"},{"id":17,"name":"Train ID","value":"806-23"},{"id":16,"name":"Locomotive ID","value":"4026"},{"id":130,"name":"Impact","value":""},{"id":150,"name":"Time of Event (Mountain Time)","value":"07:25:22"},{"id":151,"name":"Denver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56"/>
        <v>start /low /b %USERPROFILE%\Documents\GitHub\eaglep3\Utilities\DownloadLogsFromS3.py --loco 4026 --day 2017-02-23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64" spans="1:91" s="20" customFormat="1" x14ac:dyDescent="0.25">
      <c r="A164" s="33" t="s">
        <v>500</v>
      </c>
      <c r="B164" s="7">
        <v>4020</v>
      </c>
      <c r="C164" s="21" t="s">
        <v>294</v>
      </c>
      <c r="D164" s="21" t="s">
        <v>814</v>
      </c>
      <c r="E164" s="13">
        <v>42789.301874999997</v>
      </c>
      <c r="F164" s="13">
        <v>42789.306493055556</v>
      </c>
      <c r="G164" s="7">
        <v>1</v>
      </c>
      <c r="H164" s="21" t="s">
        <v>815</v>
      </c>
      <c r="I164" s="13">
        <v>42789.315381944441</v>
      </c>
      <c r="J164" s="7">
        <v>0</v>
      </c>
      <c r="K164" s="98" t="str">
        <f t="shared" si="39"/>
        <v>4019/4020</v>
      </c>
      <c r="L164" s="21" t="str">
        <f>VLOOKUP(A164,'Trips&amp;Operators'!$C$1:$G$99999,5,FALSE)</f>
        <v>LOZA FIDEL</v>
      </c>
      <c r="M164" s="6">
        <f t="shared" si="40"/>
        <v>8.8888888858491555E-3</v>
      </c>
      <c r="N164" s="7">
        <f t="shared" si="41"/>
        <v>12.799999995622784</v>
      </c>
      <c r="O164" s="7"/>
      <c r="P164" s="7"/>
      <c r="Q164" s="22"/>
      <c r="R164" s="22"/>
      <c r="S164" s="31">
        <f t="shared" si="42"/>
        <v>1</v>
      </c>
      <c r="T164" s="46" t="str">
        <f t="shared" si="43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4"/>
        <v>https://d0f6bd738d7f1b3e5a7ca70fe4ff75f0.us-east-1.aws.found.io/app/kibana#/discover/Steve-Slow-Train-Analysis-(2080s-and-2083s)?_g=(refreshInterval:(display:Off,pause:!f,section:0,value:0),time:(from:'2017-02-23T06:14:42-0700',mode:absolute,to:'2017-02-23T08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187" t="str">
        <f t="shared" si="45"/>
        <v>N</v>
      </c>
      <c r="X164" s="187">
        <f t="shared" si="46"/>
        <v>1</v>
      </c>
      <c r="Y164" s="62">
        <f t="shared" si="47"/>
        <v>9.5799999999999996E-2</v>
      </c>
      <c r="Z164" s="62">
        <f t="shared" si="48"/>
        <v>5.8959999999999999</v>
      </c>
      <c r="AA164" s="62">
        <f t="shared" si="49"/>
        <v>5.8002000000000002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0"/>
        <v>0807-23</v>
      </c>
      <c r="AE164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64" s="82" t="str">
        <f t="shared" si="52"/>
        <v>"C:\Program Files (x86)\AstroGrep\AstroGrep.exe" /spath="%USERPROFILE%\AppData\Local\Temp\OnboardLogs" /stypes="app*4020*20170223*" /stext=" 14:.+(\|loc)" /e /r /s</v>
      </c>
      <c r="AG164" s="1" t="str">
        <f t="shared" si="53"/>
        <v>NW</v>
      </c>
      <c r="AH164" s="86" t="str">
        <f t="shared" si="54"/>
        <v>"%USERPROFILE%\Documents\GitHub\eaglep3\Utilities\RefineRTDCRunTimes.py" --tripid 807-23 --locoid 4020 --swversion DE.1.0.9.0 --startMP 204:958 --initTime 2017-02-23T07:14:42 --startdatetime 2017-02-23T07:21:21 --delay 1 --endMP 300:58960 --enddatetime 2017-02-23T07:34:09 --enforcementcount 0 &gt;&gt;C:\Users\stu\Documents\GitHub\eaglep3-reporting\EC\2017-02-23-refined-times.txt</v>
      </c>
      <c r="AI16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{"issue":{"subject":"","project_id":79,"tracker_id":40,"status_id":1,"priority_id":2,"assigned_to_id":23,"start_date":"2017-02-23","description":"","custom_fields":[{"id":1,"name":"Subdivision","value":"NW"},{"id":4,"name":"Milepost","value":"5.896"},{"id":17,"name":"Train ID","value":"807-23"},{"id":16,"name":"Locomotive ID","value":"4020"},{"id":130,"name":"Impact","value":""},{"id":150,"name":"Time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56"/>
        <v>start /low /b %USERPROFILE%\Documents\GitHub\eaglep3\Utilities\DownloadLogsFromS3.py --loco 4020 --day 2017-02-23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504</v>
      </c>
      <c r="B165" s="7">
        <v>4019</v>
      </c>
      <c r="C165" s="21" t="s">
        <v>294</v>
      </c>
      <c r="D165" s="21" t="s">
        <v>816</v>
      </c>
      <c r="E165" s="13">
        <v>42789.316400462965</v>
      </c>
      <c r="F165" s="13">
        <v>42789.318136574075</v>
      </c>
      <c r="G165" s="7">
        <v>1</v>
      </c>
      <c r="H165" s="21" t="s">
        <v>401</v>
      </c>
      <c r="I165" s="13">
        <v>42789.329895833333</v>
      </c>
      <c r="J165" s="7">
        <v>0</v>
      </c>
      <c r="K165" s="98" t="str">
        <f t="shared" si="39"/>
        <v>4019/4020</v>
      </c>
      <c r="L165" s="21" t="str">
        <f>VLOOKUP(A165,'Trips&amp;Operators'!$C$1:$G$99999,5,FALSE)</f>
        <v>LOZA FIDEL</v>
      </c>
      <c r="M165" s="6">
        <f t="shared" si="40"/>
        <v>1.1759259257814847E-2</v>
      </c>
      <c r="N165" s="7">
        <f t="shared" si="41"/>
        <v>16.93333333125338</v>
      </c>
      <c r="O165" s="7"/>
      <c r="P165" s="7"/>
      <c r="Q165" s="22"/>
      <c r="R165" s="22"/>
      <c r="S165" s="31">
        <f t="shared" si="42"/>
        <v>1</v>
      </c>
      <c r="T165" s="46" t="str">
        <f t="shared" si="43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4"/>
        <v>https://d0f6bd738d7f1b3e5a7ca70fe4ff75f0.us-east-1.aws.found.io/app/kibana#/discover/Steve-Slow-Train-Analysis-(2080s-and-2083s)?_g=(refreshInterval:(display:Off,pause:!f,section:0,value:0),time:(from:'2017-02-23T06:35:37-0700',mode:absolute,to:'2017-02-23T08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187" t="str">
        <f t="shared" si="45"/>
        <v>N</v>
      </c>
      <c r="X165" s="187">
        <f t="shared" si="46"/>
        <v>1</v>
      </c>
      <c r="Y165" s="62">
        <f t="shared" si="47"/>
        <v>5.8653000000000004</v>
      </c>
      <c r="Z165" s="62">
        <f t="shared" si="48"/>
        <v>6.8400000000000002E-2</v>
      </c>
      <c r="AA165" s="62">
        <f t="shared" si="49"/>
        <v>5.7969000000000008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0"/>
        <v>0808-23</v>
      </c>
      <c r="AE165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65" s="82" t="str">
        <f t="shared" si="52"/>
        <v>"C:\Program Files (x86)\AstroGrep\AstroGrep.exe" /spath="%USERPROFILE%\AppData\Local\Temp\OnboardLogs" /stypes="app*4019*20170223*" /stext=" 14:.+(\|loc)" /e /r /s</v>
      </c>
      <c r="AG165" s="1" t="str">
        <f t="shared" si="53"/>
        <v>NW</v>
      </c>
      <c r="AH165" s="86" t="str">
        <f t="shared" si="54"/>
        <v>"%USERPROFILE%\Documents\GitHub\eaglep3\Utilities\RefineRTDCRunTimes.py" --tripid 808-23 --locoid 4019 --swversion DE.1.0.9.0 --startMP 300:58653 --initTime 2017-02-23T07:35:37 --startdatetime 2017-02-23T07:38:07 --delay 1 --endMP 204:684 --enddatetime 2017-02-23T07:55:03 --enforcementcount 0 &gt;&gt;C:\Users\stu\Documents\GitHub\eaglep3-reporting\EC\2017-02-23-refined-times.txt</v>
      </c>
      <c r="AI16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{"issue":{"subject":"","project_id":79,"tracker_id":40,"status_id":1,"priority_id":2,"assigned_to_id":23,"start_date":"2017-02-23","description":"","custom_fields":[{"id":1,"name":"Subdivision","value":"NW"},{"id":4,"name":"Milepost","value":"0.0684"},{"id":17,"name":"Train ID","value":"808-23"},{"id":16,"name":"Locomotive ID","value":"4019"},{"id":130,"name":"Impact","value":""},{"id":150,"name":"Time of Event (Mountain Time)","value":"07:55:03"},{"id":151,"name":"Denver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56"/>
        <v>start /low /b %USERPROFILE%\Documents\GitHub\eaglep3\Utilities\DownloadLogsFromS3.py --loco 4019 --day 2017-02-23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66" spans="1:91" s="20" customFormat="1" x14ac:dyDescent="0.25">
      <c r="A166" s="33" t="s">
        <v>503</v>
      </c>
      <c r="B166" s="7">
        <v>4025</v>
      </c>
      <c r="C166" s="21" t="s">
        <v>294</v>
      </c>
      <c r="D166" s="21" t="s">
        <v>817</v>
      </c>
      <c r="E166" s="13">
        <v>42789.311215277776</v>
      </c>
      <c r="F166" s="13">
        <v>42789.327361111114</v>
      </c>
      <c r="G166" s="7">
        <v>1</v>
      </c>
      <c r="H166" s="21" t="s">
        <v>818</v>
      </c>
      <c r="I166" s="13">
        <v>42789.336759259262</v>
      </c>
      <c r="J166" s="7">
        <v>0</v>
      </c>
      <c r="K166" s="98" t="str">
        <f t="shared" si="39"/>
        <v>4025/4026</v>
      </c>
      <c r="L166" s="21" t="str">
        <f>VLOOKUP(A166,'Trips&amp;Operators'!$C$1:$G$99999,5,FALSE)</f>
        <v>SHOOK JOHN</v>
      </c>
      <c r="M166" s="6">
        <f t="shared" si="40"/>
        <v>9.3981481477385387E-3</v>
      </c>
      <c r="N166" s="7">
        <f t="shared" si="41"/>
        <v>13.533333332743496</v>
      </c>
      <c r="O166" s="7"/>
      <c r="P166" s="7"/>
      <c r="Q166" s="22"/>
      <c r="R166" s="22"/>
      <c r="S166" s="31">
        <f t="shared" si="42"/>
        <v>1</v>
      </c>
      <c r="T166" s="46" t="str">
        <f t="shared" si="43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4"/>
        <v>https://d0f6bd738d7f1b3e5a7ca70fe4ff75f0.us-east-1.aws.found.io/app/kibana#/discover/Steve-Slow-Train-Analysis-(2080s-and-2083s)?_g=(refreshInterval:(display:Off,pause:!f,section:0,value:0),time:(from:'2017-02-23T06:28:09-0700',mode:absolute,to:'2017-02-23T09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187" t="str">
        <f t="shared" si="45"/>
        <v>N</v>
      </c>
      <c r="X166" s="187">
        <f t="shared" si="46"/>
        <v>1</v>
      </c>
      <c r="Y166" s="62">
        <f t="shared" si="47"/>
        <v>0.1027</v>
      </c>
      <c r="Z166" s="62">
        <f t="shared" si="48"/>
        <v>5.8998999999999997</v>
      </c>
      <c r="AA166" s="62">
        <f t="shared" si="49"/>
        <v>5.7972000000000001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0"/>
        <v>0809-23</v>
      </c>
      <c r="AE166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66" s="82" t="str">
        <f t="shared" si="52"/>
        <v>"C:\Program Files (x86)\AstroGrep\AstroGrep.exe" /spath="%USERPROFILE%\AppData\Local\Temp\OnboardLogs" /stypes="app*4025*20170223*" /stext=" 15:.+(\|loc)" /e /r /s</v>
      </c>
      <c r="AG166" s="1" t="str">
        <f t="shared" si="53"/>
        <v>NW</v>
      </c>
      <c r="AH166" s="86" t="str">
        <f t="shared" si="54"/>
        <v>"%USERPROFILE%\Documents\GitHub\eaglep3\Utilities\RefineRTDCRunTimes.py" --tripid 809-23 --locoid 4025 --swversion DE.1.0.9.0 --startMP 204:1027 --initTime 2017-02-23T07:28:09 --startdatetime 2017-02-23T07:51:24 --delay 1 --endMP 300:58999 --enddatetime 2017-02-23T08:04:56 --enforcementcount 0 &gt;&gt;C:\Users\stu\Documents\GitHub\eaglep3-reporting\EC\2017-02-23-refined-times.txt</v>
      </c>
      <c r="AI16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{"issue":{"subject":"","project_id":79,"tracker_id":40,"status_id":1,"priority_id":2,"assigned_to_id":23,"start_date":"2017-02-23","description":"","custom_fields":[{"id":1,"name":"Subdivision","value":"NW"},{"id":4,"name":"Milepost","value":"5.8999"},{"id":17,"name":"Train ID","value":"809-23"},{"id":16,"name":"Locomotive ID","value":"4025"},{"id":130,"name":"Impact","value":""},{"id":150,"name":"Time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56"/>
        <v>start /low /b %USERPROFILE%\Documents\GitHub\eaglep3\Utilities\DownloadLogsFromS3.py --loco 4025 --day 2017-02-23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509</v>
      </c>
      <c r="B167" s="7">
        <v>4026</v>
      </c>
      <c r="C167" s="21" t="s">
        <v>294</v>
      </c>
      <c r="D167" s="21" t="s">
        <v>844</v>
      </c>
      <c r="E167" s="13">
        <v>42789.338680555556</v>
      </c>
      <c r="F167" s="13">
        <v>42789.341053240743</v>
      </c>
      <c r="G167" s="7">
        <v>1</v>
      </c>
      <c r="H167" s="21" t="s">
        <v>184</v>
      </c>
      <c r="I167" s="13">
        <v>42789.350810185184</v>
      </c>
      <c r="J167" s="7">
        <v>0</v>
      </c>
      <c r="K167" s="98" t="str">
        <f t="shared" si="39"/>
        <v>4025/4026</v>
      </c>
      <c r="L167" s="21" t="str">
        <f>VLOOKUP(A167,'Trips&amp;Operators'!$C$1:$G$99999,5,FALSE)</f>
        <v>SHOOK JOHN</v>
      </c>
      <c r="M167" s="6">
        <f t="shared" si="40"/>
        <v>9.7569444405962713E-3</v>
      </c>
      <c r="N167" s="7">
        <f t="shared" si="41"/>
        <v>14.049999994458631</v>
      </c>
      <c r="O167" s="7"/>
      <c r="P167" s="7"/>
      <c r="Q167" s="22"/>
      <c r="R167" s="22"/>
      <c r="S167" s="31">
        <f t="shared" si="42"/>
        <v>1</v>
      </c>
      <c r="T167" s="46" t="str">
        <f t="shared" si="43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4"/>
        <v>https://d0f6bd738d7f1b3e5a7ca70fe4ff75f0.us-east-1.aws.found.io/app/kibana#/discover/Steve-Slow-Train-Analysis-(2080s-and-2083s)?_g=(refreshInterval:(display:Off,pause:!f,section:0,value:0),time:(from:'2017-02-23T07:07:42-0700',mode:absolute,to:'2017-02-23T09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187" t="str">
        <f t="shared" si="45"/>
        <v>N</v>
      </c>
      <c r="X167" s="187">
        <f t="shared" si="46"/>
        <v>1</v>
      </c>
      <c r="Y167" s="62">
        <f t="shared" si="47"/>
        <v>5.8692000000000002</v>
      </c>
      <c r="Z167" s="62">
        <f t="shared" si="48"/>
        <v>1.49E-2</v>
      </c>
      <c r="AA167" s="62">
        <f t="shared" si="49"/>
        <v>5.8543000000000003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0"/>
        <v>0810-23</v>
      </c>
      <c r="AE167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67" s="82" t="str">
        <f t="shared" si="52"/>
        <v>"C:\Program Files (x86)\AstroGrep\AstroGrep.exe" /spath="%USERPROFILE%\AppData\Local\Temp\OnboardLogs" /stypes="app*4026*20170223*" /stext=" 15:.+(\|loc)" /e /r /s</v>
      </c>
      <c r="AG167" s="1" t="str">
        <f t="shared" si="53"/>
        <v>NW</v>
      </c>
      <c r="AH167" s="86" t="str">
        <f t="shared" si="54"/>
        <v>"%USERPROFILE%\Documents\GitHub\eaglep3\Utilities\RefineRTDCRunTimes.py" --tripid 810-23 --locoid 4026 --swversion DE.1.0.9.0 --startMP 300:58692 --initTime 2017-02-23T08:07:42 --startdatetime 2017-02-23T08:11:07 --delay 1 --endMP 204:149 --enddatetime 2017-02-23T08:25:10 --enforcementcount 0 &gt;&gt;C:\Users\stu\Documents\GitHub\eaglep3-reporting\EC\2017-02-23-refined-times.txt</v>
      </c>
      <c r="AI16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{"issue":{"subject":"","project_id":79,"tracker_id":40,"status_id":1,"priority_id":2,"assigned_to_id":23,"start_date":"2017-02-23","description":"","custom_fields":[{"id":1,"name":"Subdivision","value":"NW"},{"id":4,"name":"Milepost","value":"0.0149"},{"id":17,"name":"Train ID","value":"810-23"},{"id":16,"name":"Locomotive ID","value":"4026"},{"id":130,"name":"Impact","value":""},{"id":150,"name":"Time of Event (Mountain Time)","value":"08:25:10"},{"id":151,"name":"Denver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56"/>
        <v>start /low /b %USERPROFILE%\Documents\GitHub\eaglep3\Utilities\DownloadLogsFromS3.py --loco 4026 --day 2017-02-23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68" spans="1:91" s="20" customFormat="1" x14ac:dyDescent="0.25">
      <c r="A168" s="33" t="s">
        <v>510</v>
      </c>
      <c r="B168" s="7">
        <v>4020</v>
      </c>
      <c r="C168" s="21" t="s">
        <v>294</v>
      </c>
      <c r="D168" s="21" t="s">
        <v>322</v>
      </c>
      <c r="E168" s="13">
        <v>42789.343414351853</v>
      </c>
      <c r="F168" s="13">
        <v>42789.34814814815</v>
      </c>
      <c r="G168" s="7">
        <v>1</v>
      </c>
      <c r="H168" s="21" t="s">
        <v>391</v>
      </c>
      <c r="I168" s="13">
        <v>42789.357303240744</v>
      </c>
      <c r="J168" s="7">
        <v>0</v>
      </c>
      <c r="K168" s="98" t="str">
        <f t="shared" si="39"/>
        <v>4019/4020</v>
      </c>
      <c r="L168" s="21" t="str">
        <f>VLOOKUP(A168,'Trips&amp;Operators'!$C$1:$G$99999,5,FALSE)</f>
        <v>LOZA FIDEL</v>
      </c>
      <c r="M168" s="6">
        <f t="shared" si="40"/>
        <v>9.1550925935734995E-3</v>
      </c>
      <c r="N168" s="7">
        <f t="shared" si="41"/>
        <v>13.183333334745839</v>
      </c>
      <c r="O168" s="7"/>
      <c r="P168" s="7"/>
      <c r="Q168" s="22"/>
      <c r="R168" s="22"/>
      <c r="S168" s="31">
        <f t="shared" si="42"/>
        <v>1</v>
      </c>
      <c r="T168" s="46" t="str">
        <f t="shared" si="43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4"/>
        <v>https://d0f6bd738d7f1b3e5a7ca70fe4ff75f0.us-east-1.aws.found.io/app/kibana#/discover/Steve-Slow-Train-Analysis-(2080s-and-2083s)?_g=(refreshInterval:(display:Off,pause:!f,section:0,value:0),time:(from:'2017-02-23T07:14:31-0700',mode:absolute,to:'2017-02-23T09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187" t="str">
        <f t="shared" si="45"/>
        <v>N</v>
      </c>
      <c r="X168" s="187">
        <f t="shared" si="46"/>
        <v>1</v>
      </c>
      <c r="Y168" s="62">
        <f t="shared" si="47"/>
        <v>9.74E-2</v>
      </c>
      <c r="Z168" s="62">
        <f t="shared" si="48"/>
        <v>5.8952</v>
      </c>
      <c r="AA168" s="62">
        <f t="shared" si="49"/>
        <v>5.7977999999999996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0"/>
        <v>0811-23</v>
      </c>
      <c r="AE168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68" s="82" t="str">
        <f t="shared" si="52"/>
        <v>"C:\Program Files (x86)\AstroGrep\AstroGrep.exe" /spath="%USERPROFILE%\AppData\Local\Temp\OnboardLogs" /stypes="app*4020*20170223*" /stext=" 15:.+(\|loc)" /e /r /s</v>
      </c>
      <c r="AG168" s="1" t="str">
        <f t="shared" si="53"/>
        <v>NW</v>
      </c>
      <c r="AH168" s="86" t="str">
        <f t="shared" si="54"/>
        <v>"%USERPROFILE%\Documents\GitHub\eaglep3\Utilities\RefineRTDCRunTimes.py" --tripid 811-23 --locoid 4020 --swversion DE.1.0.9.0 --startMP 204:974 --initTime 2017-02-23T08:14:31 --startdatetime 2017-02-23T08:21:20 --delay 1 --endMP 300:58952 --enddatetime 2017-02-23T08:34:31 --enforcementcount 0 &gt;&gt;C:\Users\stu\Documents\GitHub\eaglep3-reporting\EC\2017-02-23-refined-times.txt</v>
      </c>
      <c r="AI16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{"issue":{"subject":"","project_id":79,"tracker_id":40,"status_id":1,"priority_id":2,"assigned_to_id":23,"start_date":"2017-02-23","description":"","custom_fields":[{"id":1,"name":"Subdivision","value":"NW"},{"id":4,"name":"Milepost","value":"5.8952"},{"id":17,"name":"Train ID","value":"811-23"},{"id":16,"name":"Locomotive ID","value":"4020"},{"id":130,"name":"Impact","value":""},{"id":150,"name":"Time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56"/>
        <v>start /low /b %USERPROFILE%\Documents\GitHub\eaglep3\Utilities\DownloadLogsFromS3.py --loco 4020 --day 2017-02-23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513</v>
      </c>
      <c r="B169" s="7">
        <v>4019</v>
      </c>
      <c r="C169" s="21" t="s">
        <v>294</v>
      </c>
      <c r="D169" s="21" t="s">
        <v>404</v>
      </c>
      <c r="E169" s="13">
        <v>42789.358622685184</v>
      </c>
      <c r="F169" s="13">
        <v>42789.360532407409</v>
      </c>
      <c r="G169" s="7">
        <v>1</v>
      </c>
      <c r="H169" s="21" t="s">
        <v>845</v>
      </c>
      <c r="I169" s="13">
        <v>42789.374756944446</v>
      </c>
      <c r="J169" s="7">
        <v>0</v>
      </c>
      <c r="K169" s="98" t="str">
        <f t="shared" si="39"/>
        <v>4019/4020</v>
      </c>
      <c r="L169" s="21" t="str">
        <f>VLOOKUP(A169,'Trips&amp;Operators'!$C$1:$G$99999,5,FALSE)</f>
        <v>LOZA FIDEL</v>
      </c>
      <c r="M169" s="6">
        <f t="shared" si="40"/>
        <v>1.4224537037080154E-2</v>
      </c>
      <c r="N169" s="7">
        <f t="shared" si="41"/>
        <v>20.483333333395422</v>
      </c>
      <c r="O169" s="7"/>
      <c r="P169" s="7"/>
      <c r="Q169" s="22"/>
      <c r="R169" s="22"/>
      <c r="S169" s="31">
        <f t="shared" si="42"/>
        <v>1</v>
      </c>
      <c r="T169" s="46" t="str">
        <f t="shared" si="43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4"/>
        <v>https://d0f6bd738d7f1b3e5a7ca70fe4ff75f0.us-east-1.aws.found.io/app/kibana#/discover/Steve-Slow-Train-Analysis-(2080s-and-2083s)?_g=(refreshInterval:(display:Off,pause:!f,section:0,value:0),time:(from:'2017-02-23T07:36:25-0700',mode:absolute,to:'2017-02-23T09:59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187" t="str">
        <f t="shared" si="45"/>
        <v>N</v>
      </c>
      <c r="X169" s="187">
        <f t="shared" si="46"/>
        <v>1</v>
      </c>
      <c r="Y169" s="62">
        <f t="shared" si="47"/>
        <v>5.8632</v>
      </c>
      <c r="Z169" s="62">
        <f t="shared" si="48"/>
        <v>6.7699999999999996E-2</v>
      </c>
      <c r="AA169" s="62">
        <f t="shared" si="49"/>
        <v>5.7954999999999997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0"/>
        <v>0812-23</v>
      </c>
      <c r="AE169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69" s="82" t="str">
        <f t="shared" si="52"/>
        <v>"C:\Program Files (x86)\AstroGrep\AstroGrep.exe" /spath="%USERPROFILE%\AppData\Local\Temp\OnboardLogs" /stypes="app*4019*20170223*" /stext=" 15:.+(\|loc)" /e /r /s</v>
      </c>
      <c r="AG169" s="1" t="str">
        <f t="shared" si="53"/>
        <v>NW</v>
      </c>
      <c r="AH169" s="86" t="str">
        <f t="shared" si="54"/>
        <v>"%USERPROFILE%\Documents\GitHub\eaglep3\Utilities\RefineRTDCRunTimes.py" --tripid 812-23 --locoid 4019 --swversion DE.1.0.9.0 --startMP 300:58632 --initTime 2017-02-23T08:36:25 --startdatetime 2017-02-23T08:39:10 --delay 1 --endMP 204:677 --enddatetime 2017-02-23T08:59:39 --enforcementcount 0 &gt;&gt;C:\Users\stu\Documents\GitHub\eaglep3-reporting\EC\2017-02-23-refined-times.txt</v>
      </c>
      <c r="AI16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{"issue":{"subject":"","project_id":79,"tracker_id":40,"status_id":1,"priority_id":2,"assigned_to_id":23,"start_date":"2017-02-23","description":"","custom_fields":[{"id":1,"name":"Subdivision","value":"NW"},{"id":4,"name":"Milepost","value":"0.0677"},{"id":17,"name":"Train ID","value":"812-23"},{"id":16,"name":"Locomotive ID","value":"4019"},{"id":130,"name":"Impact","value":""},{"id":150,"name":"Time of Event (Mountain Time)","value":"08:59:39"},{"id":151,"name":"Denver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56"/>
        <v>start /low /b %USERPROFILE%\Documents\GitHub\eaglep3\Utilities\DownloadLogsFromS3.py --loco 4019 --day 2017-02-23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0" spans="1:91" s="20" customFormat="1" x14ac:dyDescent="0.25">
      <c r="A170" s="33" t="s">
        <v>517</v>
      </c>
      <c r="B170" s="7">
        <v>4020</v>
      </c>
      <c r="C170" s="21" t="s">
        <v>294</v>
      </c>
      <c r="D170" s="21" t="s">
        <v>396</v>
      </c>
      <c r="E170" s="13">
        <v>42789.387013888889</v>
      </c>
      <c r="F170" s="13">
        <v>42789.389849537038</v>
      </c>
      <c r="G170" s="7">
        <v>1</v>
      </c>
      <c r="H170" s="21" t="s">
        <v>321</v>
      </c>
      <c r="I170" s="13">
        <v>42789.401770833334</v>
      </c>
      <c r="J170" s="7">
        <v>0</v>
      </c>
      <c r="K170" s="98" t="str">
        <f t="shared" si="39"/>
        <v>4019/4020</v>
      </c>
      <c r="L170" s="21" t="str">
        <f>VLOOKUP(A170,'Trips&amp;Operators'!$C$1:$G$99999,5,FALSE)</f>
        <v>LOZA FIDEL</v>
      </c>
      <c r="M170" s="6">
        <f t="shared" si="40"/>
        <v>1.1921296296350192E-2</v>
      </c>
      <c r="N170" s="7">
        <f t="shared" si="41"/>
        <v>17.166666666744277</v>
      </c>
      <c r="O170" s="7"/>
      <c r="P170" s="7"/>
      <c r="Q170" s="22"/>
      <c r="R170" s="22"/>
      <c r="S170" s="31">
        <f t="shared" si="42"/>
        <v>1</v>
      </c>
      <c r="T170" s="46" t="str">
        <f t="shared" si="43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4"/>
        <v>https://d0f6bd738d7f1b3e5a7ca70fe4ff75f0.us-east-1.aws.found.io/app/kibana#/discover/Steve-Slow-Train-Analysis-(2080s-and-2083s)?_g=(refreshInterval:(display:Off,pause:!f,section:0,value:0),time:(from:'2017-02-23T08:17:18-0700',mode:absolute,to:'2017-02-23T10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87" t="str">
        <f t="shared" si="45"/>
        <v>N</v>
      </c>
      <c r="X170" s="187">
        <f t="shared" si="46"/>
        <v>1</v>
      </c>
      <c r="Y170" s="62">
        <f t="shared" si="47"/>
        <v>9.6500000000000002E-2</v>
      </c>
      <c r="Z170" s="62">
        <f t="shared" si="48"/>
        <v>5.8930999999999996</v>
      </c>
      <c r="AA170" s="62">
        <f t="shared" si="49"/>
        <v>5.7965999999999998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0"/>
        <v>0813-23</v>
      </c>
      <c r="AE17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0" s="82" t="str">
        <f t="shared" si="52"/>
        <v>"C:\Program Files (x86)\AstroGrep\AstroGrep.exe" /spath="%USERPROFILE%\AppData\Local\Temp\OnboardLogs" /stypes="app*4020*20170223*" /stext=" 16:.+(\|loc)" /e /r /s</v>
      </c>
      <c r="AG170" s="1" t="str">
        <f t="shared" si="53"/>
        <v>NW</v>
      </c>
      <c r="AH170" s="86" t="str">
        <f t="shared" si="54"/>
        <v>"%USERPROFILE%\Documents\GitHub\eaglep3\Utilities\RefineRTDCRunTimes.py" --tripid 813-23 --locoid 4020 --swversion DE.1.0.9.0 --startMP 204:965 --initTime 2017-02-23T09:17:18 --startdatetime 2017-02-23T09:21:23 --delay 1 --endMP 300:58931 --enddatetime 2017-02-23T09:38:33 --enforcementcount 0 &gt;&gt;C:\Users\stu\Documents\GitHub\eaglep3-reporting\EC\2017-02-23-refined-times.txt</v>
      </c>
      <c r="AI17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{"issue":{"subject":"","project_id":79,"tracker_id":40,"status_id":1,"priority_id":2,"assigned_to_id":23,"start_date":"2017-02-23","description":"","custom_fields":[{"id":1,"name":"Subdivision","value":"NW"},{"id":4,"name":"Milepost","value":"5.8931"},{"id":17,"name":"Train ID","value":"813-23"},{"id":16,"name":"Locomotive ID","value":"4020"},{"id":130,"name":"Impact","value":""},{"id":150,"name":"Time of Event (Mountain Time)","value":"09:38:33"},{"id":151,"name":"Denver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56"/>
        <v>start /low /b %USERPROFILE%\Documents\GitHub\eaglep3\Utilities\DownloadLogsFromS3.py --loco 4020 --day 2017-02-23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521</v>
      </c>
      <c r="B171" s="7">
        <v>4019</v>
      </c>
      <c r="C171" s="21" t="s">
        <v>294</v>
      </c>
      <c r="D171" s="21" t="s">
        <v>846</v>
      </c>
      <c r="E171" s="13">
        <v>42789.402766203704</v>
      </c>
      <c r="F171" s="13">
        <v>42789.404131944444</v>
      </c>
      <c r="G171" s="7">
        <v>1</v>
      </c>
      <c r="H171" s="21" t="s">
        <v>666</v>
      </c>
      <c r="I171" s="13">
        <v>42789.415682870371</v>
      </c>
      <c r="J171" s="7">
        <v>0</v>
      </c>
      <c r="K171" s="98" t="str">
        <f t="shared" si="39"/>
        <v>4019/4020</v>
      </c>
      <c r="L171" s="21" t="str">
        <f>VLOOKUP(A171,'Trips&amp;Operators'!$C$1:$G$99999,5,FALSE)</f>
        <v>LOZA FIDEL</v>
      </c>
      <c r="M171" s="6">
        <f t="shared" si="40"/>
        <v>1.1550925926712807E-2</v>
      </c>
      <c r="N171" s="7">
        <f t="shared" si="41"/>
        <v>16.633333334466442</v>
      </c>
      <c r="O171" s="7"/>
      <c r="P171" s="7"/>
      <c r="Q171" s="22"/>
      <c r="R171" s="22"/>
      <c r="S171" s="31">
        <f t="shared" si="42"/>
        <v>1</v>
      </c>
      <c r="T171" s="46" t="str">
        <f t="shared" si="43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4"/>
        <v>https://d0f6bd738d7f1b3e5a7ca70fe4ff75f0.us-east-1.aws.found.io/app/kibana#/discover/Steve-Slow-Train-Analysis-(2080s-and-2083s)?_g=(refreshInterval:(display:Off,pause:!f,section:0,value:0),time:(from:'2017-02-23T08:39:59-0700',mode:absolute,to:'2017-02-23T10:58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87" t="str">
        <f t="shared" si="45"/>
        <v>N</v>
      </c>
      <c r="X171" s="187">
        <f t="shared" si="46"/>
        <v>1</v>
      </c>
      <c r="Y171" s="62">
        <f t="shared" si="47"/>
        <v>5.8533999999999997</v>
      </c>
      <c r="Z171" s="62">
        <f t="shared" si="48"/>
        <v>6.9900000000000004E-2</v>
      </c>
      <c r="AA171" s="62">
        <f t="shared" si="49"/>
        <v>5.7835000000000001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0"/>
        <v>0814-23</v>
      </c>
      <c r="AE17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1" s="82" t="str">
        <f t="shared" si="52"/>
        <v>"C:\Program Files (x86)\AstroGrep\AstroGrep.exe" /spath="%USERPROFILE%\AppData\Local\Temp\OnboardLogs" /stypes="app*4019*20170223*" /stext=" 16:.+(\|loc)" /e /r /s</v>
      </c>
      <c r="AG171" s="1" t="str">
        <f t="shared" si="53"/>
        <v>NW</v>
      </c>
      <c r="AH171" s="86" t="str">
        <f t="shared" si="54"/>
        <v>"%USERPROFILE%\Documents\GitHub\eaglep3\Utilities\RefineRTDCRunTimes.py" --tripid 814-23 --locoid 4019 --swversion DE.1.0.9.0 --startMP 300:58534 --initTime 2017-02-23T09:39:59 --startdatetime 2017-02-23T09:41:57 --delay 1 --endMP 204:699 --enddatetime 2017-02-23T09:58:35 --enforcementcount 0 &gt;&gt;C:\Users\stu\Documents\GitHub\eaglep3-reporting\EC\2017-02-23-refined-times.txt</v>
      </c>
      <c r="AI17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{"issue":{"subject":"","project_id":79,"tracker_id":40,"status_id":1,"priority_id":2,"assigned_to_id":23,"start_date":"2017-02-23","description":"","custom_fields":[{"id":1,"name":"Subdivision","value":"NW"},{"id":4,"name":"Milepost","value":"0.0699"},{"id":17,"name":"Train ID","value":"814-23"},{"id":16,"name":"Locomotive ID","value":"4019"},{"id":130,"name":"Impact","value":""},{"id":150,"name":"Time of Event (Mountain Time)","value":"09:58:35"},{"id":151,"name":"Denver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56"/>
        <v>start /low /b %USERPROFILE%\Documents\GitHub\eaglep3\Utilities\DownloadLogsFromS3.py --loco 4019 --day 2017-02-23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2" spans="1:91" x14ac:dyDescent="0.25">
      <c r="A172" s="33" t="s">
        <v>523</v>
      </c>
      <c r="B172" s="7">
        <v>4020</v>
      </c>
      <c r="C172" s="21" t="s">
        <v>294</v>
      </c>
      <c r="D172" s="21" t="s">
        <v>847</v>
      </c>
      <c r="E172" s="13">
        <v>42789.419421296298</v>
      </c>
      <c r="F172" s="13">
        <v>42789.431469907409</v>
      </c>
      <c r="G172" s="7">
        <v>1</v>
      </c>
      <c r="H172" s="21" t="s">
        <v>391</v>
      </c>
      <c r="I172" s="13">
        <v>42789.440717592595</v>
      </c>
      <c r="J172" s="7">
        <v>0</v>
      </c>
      <c r="K172" s="98" t="str">
        <f t="shared" si="39"/>
        <v>4019/4020</v>
      </c>
      <c r="L172" s="21" t="str">
        <f>VLOOKUP(A172,'Trips&amp;Operators'!$C$1:$G$99999,5,FALSE)</f>
        <v>LOZA FIDEL</v>
      </c>
      <c r="M172" s="6">
        <f t="shared" si="40"/>
        <v>9.2476851859828457E-3</v>
      </c>
      <c r="N172" s="7">
        <f t="shared" si="41"/>
        <v>13.316666667815298</v>
      </c>
      <c r="O172" s="7"/>
      <c r="P172" s="7"/>
      <c r="Q172" s="22"/>
      <c r="R172" s="22"/>
      <c r="S172" s="31">
        <f t="shared" si="42"/>
        <v>1</v>
      </c>
      <c r="T172" s="46" t="str">
        <f t="shared" si="43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4"/>
        <v>https://d0f6bd738d7f1b3e5a7ca70fe4ff75f0.us-east-1.aws.found.io/app/kibana#/discover/Steve-Slow-Train-Analysis-(2080s-and-2083s)?_g=(refreshInterval:(display:Off,pause:!f,section:0,value:0),time:(from:'2017-02-23T09:03:58-0700',mode:absolute,to:'2017-02-23T11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87" t="str">
        <f t="shared" si="45"/>
        <v>N</v>
      </c>
      <c r="X172" s="187">
        <f t="shared" si="46"/>
        <v>1</v>
      </c>
      <c r="Y172" s="62">
        <f t="shared" si="47"/>
        <v>9.8100000000000007E-2</v>
      </c>
      <c r="Z172" s="62">
        <f t="shared" si="48"/>
        <v>5.8952</v>
      </c>
      <c r="AA172" s="62">
        <f t="shared" si="49"/>
        <v>5.7971000000000004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0"/>
        <v>0815-23</v>
      </c>
      <c r="AE172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2" s="82" t="str">
        <f t="shared" si="52"/>
        <v>"C:\Program Files (x86)\AstroGrep\AstroGrep.exe" /spath="%USERPROFILE%\AppData\Local\Temp\OnboardLogs" /stypes="app*4020*20170223*" /stext=" 17:.+(\|loc)" /e /r /s</v>
      </c>
      <c r="AG172" s="1" t="str">
        <f t="shared" si="53"/>
        <v>NW</v>
      </c>
      <c r="AH172" s="86" t="str">
        <f t="shared" si="54"/>
        <v>"%USERPROFILE%\Documents\GitHub\eaglep3\Utilities\RefineRTDCRunTimes.py" --tripid 815-23 --locoid 4020 --swversion DE.1.0.9.0 --startMP 204:981 --initTime 2017-02-23T10:03:58 --startdatetime 2017-02-23T10:21:19 --delay 1 --endMP 300:58952 --enddatetime 2017-02-23T10:34:38 --enforcementcount 0 &gt;&gt;C:\Users\stu\Documents\GitHub\eaglep3-reporting\EC\2017-02-23-refined-times.txt</v>
      </c>
      <c r="AI17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{"issue":{"subject":"","project_id":79,"tracker_id":40,"status_id":1,"priority_id":2,"assigned_to_id":23,"start_date":"2017-02-23","description":"","custom_fields":[{"id":1,"name":"Subdivision","value":"NW"},{"id":4,"name":"Milepost","value":"5.8952"},{"id":17,"name":"Train ID","value":"815-23"},{"id":16,"name":"Locomotive ID","value":"4020"},{"id":130,"name":"Impact","value":""},{"id":150,"name":"Time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56"/>
        <v>start /low /b %USERPROFILE%\Documents\GitHub\eaglep3\Utilities\DownloadLogsFromS3.py --loco 4020 --day 2017-02-23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73" spans="1:91" x14ac:dyDescent="0.25">
      <c r="A173" s="33" t="s">
        <v>526</v>
      </c>
      <c r="B173" s="7">
        <v>4019</v>
      </c>
      <c r="C173" s="21" t="s">
        <v>294</v>
      </c>
      <c r="D173" s="21" t="s">
        <v>848</v>
      </c>
      <c r="E173" s="13">
        <v>42789.441874999997</v>
      </c>
      <c r="F173" s="13">
        <v>42789.444120370368</v>
      </c>
      <c r="G173" s="7">
        <v>1</v>
      </c>
      <c r="H173" s="21" t="s">
        <v>849</v>
      </c>
      <c r="I173" s="13">
        <v>42789.454872685186</v>
      </c>
      <c r="J173" s="7">
        <v>0</v>
      </c>
      <c r="K173" s="98" t="str">
        <f t="shared" si="39"/>
        <v>4019/4020</v>
      </c>
      <c r="L173" s="21" t="str">
        <f>VLOOKUP(A173,'Trips&amp;Operators'!$C$1:$G$99999,5,FALSE)</f>
        <v>LOZA FIDEL</v>
      </c>
      <c r="M173" s="6">
        <f t="shared" si="40"/>
        <v>1.0752314818091691E-2</v>
      </c>
      <c r="N173" s="7">
        <f t="shared" si="41"/>
        <v>15.483333338052034</v>
      </c>
      <c r="O173" s="7"/>
      <c r="P173" s="7"/>
      <c r="Q173" s="22"/>
      <c r="R173" s="22"/>
      <c r="S173" s="31">
        <f t="shared" si="42"/>
        <v>1</v>
      </c>
      <c r="T173" s="46" t="str">
        <f t="shared" si="43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4"/>
        <v>https://d0f6bd738d7f1b3e5a7ca70fe4ff75f0.us-east-1.aws.found.io/app/kibana#/discover/Steve-Slow-Train-Analysis-(2080s-and-2083s)?_g=(refreshInterval:(display:Off,pause:!f,section:0,value:0),time:(from:'2017-02-23T09:36:18-0700',mode:absolute,to:'2017-02-23T11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87" t="str">
        <f t="shared" si="45"/>
        <v>N</v>
      </c>
      <c r="X173" s="187">
        <f t="shared" si="46"/>
        <v>1</v>
      </c>
      <c r="Y173" s="62">
        <f t="shared" si="47"/>
        <v>5.8644999999999996</v>
      </c>
      <c r="Z173" s="62">
        <f t="shared" si="48"/>
        <v>6.9099999999999995E-2</v>
      </c>
      <c r="AA173" s="62">
        <f t="shared" si="49"/>
        <v>5.7953999999999999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0"/>
        <v>0816-23</v>
      </c>
      <c r="AE173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3" s="82" t="str">
        <f t="shared" si="52"/>
        <v>"C:\Program Files (x86)\AstroGrep\AstroGrep.exe" /spath="%USERPROFILE%\AppData\Local\Temp\OnboardLogs" /stypes="app*4019*20170223*" /stext=" 17:.+(\|loc)" /e /r /s</v>
      </c>
      <c r="AG173" s="1" t="str">
        <f t="shared" si="53"/>
        <v>NW</v>
      </c>
      <c r="AH173" s="86" t="str">
        <f t="shared" si="54"/>
        <v>"%USERPROFILE%\Documents\GitHub\eaglep3\Utilities\RefineRTDCRunTimes.py" --tripid 816-23 --locoid 4019 --swversion DE.1.0.9.0 --startMP 300:58645 --initTime 2017-02-23T10:36:18 --startdatetime 2017-02-23T10:39:32 --delay 1 --endMP 204:691 --enddatetime 2017-02-23T10:55:01 --enforcementcount 0 &gt;&gt;C:\Users\stu\Documents\GitHub\eaglep3-reporting\EC\2017-02-23-refined-times.txt</v>
      </c>
      <c r="AI17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{"issue":{"subject":"","project_id":79,"tracker_id":40,"status_id":1,"priority_id":2,"assigned_to_id":23,"start_date":"2017-02-23","description":"","custom_fields":[{"id":1,"name":"Subdivision","value":"NW"},{"id":4,"name":"Milepost","value":"0.0691"},{"id":17,"name":"Train ID","value":"816-23"},{"id":16,"name":"Locomotive ID","value":"4019"},{"id":130,"name":"Impact","value":""},{"id":150,"name":"Time of Event (Mountain Time)","value":"10:55:01"},{"id":151,"name":"Denver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56"/>
        <v>start /low /b %USERPROFILE%\Documents\GitHub\eaglep3\Utilities\DownloadLogsFromS3.py --loco 4019 --day 2017-02-23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4" spans="1:91" s="20" customFormat="1" x14ac:dyDescent="0.25">
      <c r="A174" s="33" t="s">
        <v>529</v>
      </c>
      <c r="B174" s="7">
        <v>4020</v>
      </c>
      <c r="C174" s="21" t="s">
        <v>294</v>
      </c>
      <c r="D174" s="21" t="s">
        <v>405</v>
      </c>
      <c r="E174" s="13">
        <v>42789.458657407406</v>
      </c>
      <c r="F174" s="13">
        <v>42789.473136574074</v>
      </c>
      <c r="G174" s="7">
        <v>1</v>
      </c>
      <c r="H174" s="21" t="s">
        <v>398</v>
      </c>
      <c r="I174" s="13">
        <v>42789.482916666668</v>
      </c>
      <c r="J174" s="7">
        <v>0</v>
      </c>
      <c r="K174" s="98" t="str">
        <f t="shared" si="39"/>
        <v>4019/4020</v>
      </c>
      <c r="L174" s="21" t="str">
        <f>VLOOKUP(A174,'Trips&amp;Operators'!$C$1:$G$99999,5,FALSE)</f>
        <v>LOZA FIDEL</v>
      </c>
      <c r="M174" s="6">
        <f t="shared" si="40"/>
        <v>9.7800925941555761E-3</v>
      </c>
      <c r="N174" s="7">
        <f t="shared" si="41"/>
        <v>14.08333333558403</v>
      </c>
      <c r="O174" s="7"/>
      <c r="P174" s="7"/>
      <c r="Q174" s="22"/>
      <c r="R174" s="22"/>
      <c r="S174" s="31">
        <f t="shared" si="42"/>
        <v>1</v>
      </c>
      <c r="T174" s="46" t="str">
        <f t="shared" si="43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4"/>
        <v>https://d0f6bd738d7f1b3e5a7ca70fe4ff75f0.us-east-1.aws.found.io/app/kibana#/discover/Steve-Slow-Train-Analysis-(2080s-and-2083s)?_g=(refreshInterval:(display:Off,pause:!f,section:0,value:0),time:(from:'2017-02-23T10:00:28-0700',mode:absolute,to:'2017-02-23T12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87" t="str">
        <f t="shared" si="45"/>
        <v>N</v>
      </c>
      <c r="X174" s="187">
        <f t="shared" si="46"/>
        <v>1</v>
      </c>
      <c r="Y174" s="62">
        <f t="shared" si="47"/>
        <v>9.7100000000000006E-2</v>
      </c>
      <c r="Z174" s="62">
        <f t="shared" si="48"/>
        <v>5.8939000000000004</v>
      </c>
      <c r="AA174" s="62">
        <f t="shared" si="49"/>
        <v>5.7968000000000002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0"/>
        <v>0817-23</v>
      </c>
      <c r="AE174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4" s="82" t="str">
        <f t="shared" si="52"/>
        <v>"C:\Program Files (x86)\AstroGrep\AstroGrep.exe" /spath="%USERPROFILE%\AppData\Local\Temp\OnboardLogs" /stypes="app*4020*20170223*" /stext=" 18:.+(\|loc)" /e /r /s</v>
      </c>
      <c r="AG174" s="1" t="str">
        <f t="shared" si="53"/>
        <v>NW</v>
      </c>
      <c r="AH174" s="86" t="str">
        <f t="shared" si="54"/>
        <v>"%USERPROFILE%\Documents\GitHub\eaglep3\Utilities\RefineRTDCRunTimes.py" --tripid 817-23 --locoid 4020 --swversion DE.1.0.9.0 --startMP 204:971 --initTime 2017-02-23T11:00:28 --startdatetime 2017-02-23T11:21:19 --delay 1 --endMP 300:58939 --enddatetime 2017-02-23T11:35:24 --enforcementcount 0 &gt;&gt;C:\Users\stu\Documents\GitHub\eaglep3-reporting\EC\2017-02-23-refined-times.txt</v>
      </c>
      <c r="AI17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{"issue":{"subject":"","project_id":79,"tracker_id":40,"status_id":1,"priority_id":2,"assigned_to_id":23,"start_date":"2017-02-23","description":"","custom_fields":[{"id":1,"name":"Subdivision","value":"NW"},{"id":4,"name":"Milepost","value":"5.8939"},{"id":17,"name":"Train ID","value":"817-23"},{"id":16,"name":"Locomotive ID","value":"4020"},{"id":130,"name":"Impact","value":""},{"id":150,"name":"Time of Event (Mountain Time)","value":"11:35:24"},{"id":151,"name":"Denver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56"/>
        <v>start /low /b %USERPROFILE%\Documents\GitHub\eaglep3\Utilities\DownloadLogsFromS3.py --loco 4020 --day 2017-02-23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535</v>
      </c>
      <c r="B175" s="7">
        <v>4019</v>
      </c>
      <c r="C175" s="21" t="s">
        <v>294</v>
      </c>
      <c r="D175" s="21" t="s">
        <v>850</v>
      </c>
      <c r="E175" s="13">
        <v>42789.484050925923</v>
      </c>
      <c r="F175" s="13">
        <v>42789.485868055555</v>
      </c>
      <c r="G175" s="7">
        <v>1</v>
      </c>
      <c r="H175" s="21" t="s">
        <v>845</v>
      </c>
      <c r="I175" s="13">
        <v>42789.496261574073</v>
      </c>
      <c r="J175" s="7">
        <v>0</v>
      </c>
      <c r="K175" s="98" t="str">
        <f t="shared" si="39"/>
        <v>4019/4020</v>
      </c>
      <c r="L175" s="21" t="str">
        <f>VLOOKUP(A175,'Trips&amp;Operators'!$C$1:$G$99999,5,FALSE)</f>
        <v>LOZA FIDEL</v>
      </c>
      <c r="M175" s="6">
        <f t="shared" si="40"/>
        <v>1.0393518517958E-2</v>
      </c>
      <c r="N175" s="7">
        <f t="shared" si="41"/>
        <v>14.96666666585952</v>
      </c>
      <c r="O175" s="7"/>
      <c r="P175" s="7"/>
      <c r="Q175" s="22"/>
      <c r="R175" s="22"/>
      <c r="S175" s="31">
        <f t="shared" si="42"/>
        <v>1</v>
      </c>
      <c r="T175" s="46" t="str">
        <f t="shared" si="43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4"/>
        <v>https://d0f6bd738d7f1b3e5a7ca70fe4ff75f0.us-east-1.aws.found.io/app/kibana#/discover/Steve-Slow-Train-Analysis-(2080s-and-2083s)?_g=(refreshInterval:(display:Off,pause:!f,section:0,value:0),time:(from:'2017-02-23T10:37:02-0700',mode:absolute,to:'2017-02-23T12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87" t="str">
        <f t="shared" si="45"/>
        <v>N</v>
      </c>
      <c r="X175" s="187">
        <f t="shared" si="46"/>
        <v>1</v>
      </c>
      <c r="Y175" s="62">
        <f t="shared" si="47"/>
        <v>5.8619000000000003</v>
      </c>
      <c r="Z175" s="62">
        <f t="shared" si="48"/>
        <v>6.7699999999999996E-2</v>
      </c>
      <c r="AA175" s="62">
        <f t="shared" si="49"/>
        <v>5.7942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0"/>
        <v>0818-23</v>
      </c>
      <c r="AE175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5" s="82" t="str">
        <f t="shared" si="52"/>
        <v>"C:\Program Files (x86)\AstroGrep\AstroGrep.exe" /spath="%USERPROFILE%\AppData\Local\Temp\OnboardLogs" /stypes="app*4019*20170223*" /stext=" 18:.+(\|loc)" /e /r /s</v>
      </c>
      <c r="AG175" s="1" t="str">
        <f t="shared" si="53"/>
        <v>NW</v>
      </c>
      <c r="AH175" s="86" t="str">
        <f t="shared" si="54"/>
        <v>"%USERPROFILE%\Documents\GitHub\eaglep3\Utilities\RefineRTDCRunTimes.py" --tripid 818-23 --locoid 4019 --swversion DE.1.0.9.0 --startMP 300:58619 --initTime 2017-02-23T11:37:02 --startdatetime 2017-02-23T11:39:39 --delay 1 --endMP 204:677 --enddatetime 2017-02-23T11:54:37 --enforcementcount 0 &gt;&gt;C:\Users\stu\Documents\GitHub\eaglep3-reporting\EC\2017-02-23-refined-times.txt</v>
      </c>
      <c r="AI17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{"issue":{"subject":"","project_id":79,"tracker_id":40,"status_id":1,"priority_id":2,"assigned_to_id":23,"start_date":"2017-02-23","description":"","custom_fields":[{"id":1,"name":"Subdivision","value":"NW"},{"id":4,"name":"Milepost","value":"0.0677"},{"id":17,"name":"Train ID","value":"818-23"},{"id":16,"name":"Locomotive ID","value":"4019"},{"id":130,"name":"Impact","value":""},{"id":150,"name":"Time of Event (Mountain Time)","value":"11:54:37"},{"id":151,"name":"Denver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56"/>
        <v>start /low /b %USERPROFILE%\Documents\GitHub\eaglep3\Utilities\DownloadLogsFromS3.py --loco 4019 --day 2017-02-23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6" spans="1:91" s="20" customFormat="1" x14ac:dyDescent="0.25">
      <c r="A176" s="33" t="s">
        <v>541</v>
      </c>
      <c r="B176" s="7">
        <v>4020</v>
      </c>
      <c r="C176" s="21" t="s">
        <v>294</v>
      </c>
      <c r="D176" s="21" t="s">
        <v>322</v>
      </c>
      <c r="E176" s="13">
        <v>42789.511180555557</v>
      </c>
      <c r="F176" s="13">
        <v>42789.514872685184</v>
      </c>
      <c r="G176" s="7">
        <v>1</v>
      </c>
      <c r="H176" s="21" t="s">
        <v>344</v>
      </c>
      <c r="I176" s="13">
        <v>42789.524085648147</v>
      </c>
      <c r="J176" s="7">
        <v>0</v>
      </c>
      <c r="K176" s="98" t="str">
        <f t="shared" si="39"/>
        <v>4019/4020</v>
      </c>
      <c r="L176" s="21" t="str">
        <f>VLOOKUP(A176,'Trips&amp;Operators'!$C$1:$G$99999,5,FALSE)</f>
        <v>LOZA FIDEL</v>
      </c>
      <c r="M176" s="6">
        <f t="shared" si="40"/>
        <v>9.2129629629198462E-3</v>
      </c>
      <c r="N176" s="7">
        <f t="shared" si="41"/>
        <v>13.266666666604578</v>
      </c>
      <c r="O176" s="7"/>
      <c r="P176" s="7"/>
      <c r="Q176" s="22"/>
      <c r="R176" s="22"/>
      <c r="S176" s="31">
        <f t="shared" si="42"/>
        <v>1</v>
      </c>
      <c r="T176" s="46" t="str">
        <f t="shared" si="43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4"/>
        <v>https://d0f6bd738d7f1b3e5a7ca70fe4ff75f0.us-east-1.aws.found.io/app/kibana#/discover/Steve-Slow-Train-Analysis-(2080s-and-2083s)?_g=(refreshInterval:(display:Off,pause:!f,section:0,value:0),time:(from:'2017-02-23T11:16:06-0700',mode:absolute,to:'2017-02-23T13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87" t="str">
        <f t="shared" si="45"/>
        <v>N</v>
      </c>
      <c r="X176" s="187">
        <f t="shared" si="46"/>
        <v>1</v>
      </c>
      <c r="Y176" s="62">
        <f t="shared" si="47"/>
        <v>9.74E-2</v>
      </c>
      <c r="Z176" s="62">
        <f t="shared" si="48"/>
        <v>5.8948</v>
      </c>
      <c r="AA176" s="62">
        <f t="shared" si="49"/>
        <v>5.7973999999999997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0"/>
        <v>0819-23</v>
      </c>
      <c r="AE176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6" s="82" t="str">
        <f t="shared" si="52"/>
        <v>"C:\Program Files (x86)\AstroGrep\AstroGrep.exe" /spath="%USERPROFILE%\AppData\Local\Temp\OnboardLogs" /stypes="app*4020*20170223*" /stext=" 19:.+(\|loc)" /e /r /s</v>
      </c>
      <c r="AG176" s="1" t="str">
        <f t="shared" si="53"/>
        <v>NW</v>
      </c>
      <c r="AH176" s="86" t="str">
        <f t="shared" si="54"/>
        <v>"%USERPROFILE%\Documents\GitHub\eaglep3\Utilities\RefineRTDCRunTimes.py" --tripid 819-23 --locoid 4020 --swversion DE.1.0.9.0 --startMP 204:974 --initTime 2017-02-23T12:16:06 --startdatetime 2017-02-23T12:21:25 --delay 1 --endMP 300:58948 --enddatetime 2017-02-23T12:34:41 --enforcementcount 0 &gt;&gt;C:\Users\stu\Documents\GitHub\eaglep3-reporting\EC\2017-02-23-refined-times.txt</v>
      </c>
      <c r="AI17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{"issue":{"subject":"","project_id":79,"tracker_id":40,"status_id":1,"priority_id":2,"assigned_to_id":23,"start_date":"2017-02-23","description":"","custom_fields":[{"id":1,"name":"Subdivision","value":"NW"},{"id":4,"name":"Milepost","value":"5.8948"},{"id":17,"name":"Train ID","value":"819-23"},{"id":16,"name":"Locomotive ID","value":"4020"},{"id":130,"name":"Impact","value":""},{"id":150,"name":"Time of Event (Mountain Time)","value":"12:34:41"},{"id":151,"name":"Denver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56"/>
        <v>start /low /b %USERPROFILE%\Documents\GitHub\eaglep3\Utilities\DownloadLogsFromS3.py --loco 4020 --day 2017-02-23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40" x14ac:dyDescent="0.25">
      <c r="A177" s="33" t="s">
        <v>544</v>
      </c>
      <c r="B177" s="7">
        <v>4019</v>
      </c>
      <c r="C177" s="21" t="s">
        <v>294</v>
      </c>
      <c r="D177" s="21" t="s">
        <v>851</v>
      </c>
      <c r="E177" s="13">
        <v>42789.525185185186</v>
      </c>
      <c r="F177" s="13">
        <v>42789.527083333334</v>
      </c>
      <c r="G177" s="7">
        <v>1</v>
      </c>
      <c r="H177" s="21" t="s">
        <v>399</v>
      </c>
      <c r="I177" s="13">
        <v>42789.537951388891</v>
      </c>
      <c r="J177" s="7">
        <v>0</v>
      </c>
      <c r="K177" s="98" t="str">
        <f t="shared" si="39"/>
        <v>4019/4020</v>
      </c>
      <c r="L177" s="21" t="str">
        <f>VLOOKUP(A177,'Trips&amp;Operators'!$C$1:$G$99999,5,FALSE)</f>
        <v>LOZA FIDEL</v>
      </c>
      <c r="M177" s="6">
        <f t="shared" si="40"/>
        <v>1.0868055556784384E-2</v>
      </c>
      <c r="N177" s="7">
        <f t="shared" si="41"/>
        <v>15.650000001769513</v>
      </c>
      <c r="O177" s="7"/>
      <c r="P177" s="7"/>
      <c r="Q177" s="22"/>
      <c r="R177" s="22"/>
      <c r="S177" s="31">
        <f t="shared" si="42"/>
        <v>1</v>
      </c>
      <c r="T177" s="46" t="str">
        <f t="shared" si="43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4"/>
        <v>https://d0f6bd738d7f1b3e5a7ca70fe4ff75f0.us-east-1.aws.found.io/app/kibana#/discover/Steve-Slow-Train-Analysis-(2080s-and-2083s)?_g=(refreshInterval:(display:Off,pause:!f,section:0,value:0),time:(from:'2017-02-23T11:36:16-0700',mode:absolute,to:'2017-02-23T13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87" t="str">
        <f t="shared" si="45"/>
        <v>N</v>
      </c>
      <c r="X177" s="187">
        <f t="shared" si="46"/>
        <v>1</v>
      </c>
      <c r="Y177" s="62">
        <f t="shared" si="47"/>
        <v>5.8640999999999996</v>
      </c>
      <c r="Z177" s="62">
        <f t="shared" si="48"/>
        <v>6.7799999999999999E-2</v>
      </c>
      <c r="AA177" s="62">
        <f t="shared" si="49"/>
        <v>5.7962999999999996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0"/>
        <v>0820-23</v>
      </c>
      <c r="AE177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7" s="82" t="str">
        <f t="shared" si="52"/>
        <v>"C:\Program Files (x86)\AstroGrep\AstroGrep.exe" /spath="%USERPROFILE%\AppData\Local\Temp\OnboardLogs" /stypes="app*4019*20170223*" /stext=" 19:.+(\|loc)" /e /r /s</v>
      </c>
      <c r="AG177" s="1" t="str">
        <f t="shared" si="53"/>
        <v>NW</v>
      </c>
      <c r="AH177" s="86" t="str">
        <f t="shared" si="54"/>
        <v>"%USERPROFILE%\Documents\GitHub\eaglep3\Utilities\RefineRTDCRunTimes.py" --tripid 820-23 --locoid 4019 --swversion DE.1.0.9.0 --startMP 300:58641 --initTime 2017-02-23T12:36:16 --startdatetime 2017-02-23T12:39:00 --delay 1 --endMP 204:678 --enddatetime 2017-02-23T12:54:39 --enforcementcount 0 &gt;&gt;C:\Users\stu\Documents\GitHub\eaglep3-reporting\EC\2017-02-23-refined-times.txt</v>
      </c>
      <c r="AI17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{"issue":{"subject":"","project_id":79,"tracker_id":40,"status_id":1,"priority_id":2,"assigned_to_id":23,"start_date":"2017-02-23","description":"","custom_fields":[{"id":1,"name":"Subdivision","value":"NW"},{"id":4,"name":"Milepost","value":"0.0678"},{"id":17,"name":"Train ID","value":"820-23"},{"id":16,"name":"Locomotive ID","value":"4019"},{"id":130,"name":"Impact","value":""},{"id":150,"name":"Time of Event (Mountain Time)","value":"12:54:39"},{"id":151,"name":"Denver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56"/>
        <v>start /low /b %USERPROFILE%\Documents\GitHub\eaglep3\Utilities\DownloadLogsFromS3.py --loco 4019 --day 2017-02-23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8" spans="1:40" x14ac:dyDescent="0.25">
      <c r="A178" s="33" t="s">
        <v>548</v>
      </c>
      <c r="B178" s="7">
        <v>4020</v>
      </c>
      <c r="C178" s="21" t="s">
        <v>294</v>
      </c>
      <c r="D178" s="21" t="s">
        <v>852</v>
      </c>
      <c r="E178" s="13">
        <v>42789.545300925929</v>
      </c>
      <c r="F178" s="13">
        <v>42789.556469907409</v>
      </c>
      <c r="G178" s="7">
        <v>1</v>
      </c>
      <c r="H178" s="21" t="s">
        <v>815</v>
      </c>
      <c r="I178" s="13">
        <v>42789.565844907411</v>
      </c>
      <c r="J178" s="7">
        <v>0</v>
      </c>
      <c r="K178" s="98" t="str">
        <f t="shared" si="39"/>
        <v>4019/4020</v>
      </c>
      <c r="L178" s="21" t="str">
        <f>VLOOKUP(A178,'Trips&amp;Operators'!$C$1:$G$99999,5,FALSE)</f>
        <v>LEVERE CRAIG</v>
      </c>
      <c r="M178" s="6">
        <f t="shared" si="40"/>
        <v>9.3750000014551915E-3</v>
      </c>
      <c r="N178" s="7">
        <f t="shared" si="41"/>
        <v>13.500000002095476</v>
      </c>
      <c r="O178" s="7"/>
      <c r="P178" s="7"/>
      <c r="Q178" s="22"/>
      <c r="R178" s="22"/>
      <c r="S178" s="31">
        <f t="shared" si="42"/>
        <v>1</v>
      </c>
      <c r="T178" s="46" t="str">
        <f t="shared" si="43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4"/>
        <v>https://d0f6bd738d7f1b3e5a7ca70fe4ff75f0.us-east-1.aws.found.io/app/kibana#/discover/Steve-Slow-Train-Analysis-(2080s-and-2083s)?_g=(refreshInterval:(display:Off,pause:!f,section:0,value:0),time:(from:'2017-02-23T12:05:14-0700',mode:absolute,to:'2017-02-23T14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87" t="str">
        <f t="shared" si="45"/>
        <v>N</v>
      </c>
      <c r="X178" s="187">
        <f t="shared" si="46"/>
        <v>1</v>
      </c>
      <c r="Y178" s="62">
        <f t="shared" si="47"/>
        <v>9.6199999999999994E-2</v>
      </c>
      <c r="Z178" s="62">
        <f t="shared" si="48"/>
        <v>5.8959999999999999</v>
      </c>
      <c r="AA178" s="62">
        <f t="shared" si="49"/>
        <v>5.7998000000000003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0"/>
        <v>0821-23</v>
      </c>
      <c r="AE178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8" s="82" t="str">
        <f t="shared" si="52"/>
        <v>"C:\Program Files (x86)\AstroGrep\AstroGrep.exe" /spath="%USERPROFILE%\AppData\Local\Temp\OnboardLogs" /stypes="app*4020*20170223*" /stext=" 20:.+(\|loc)" /e /r /s</v>
      </c>
      <c r="AG178" s="1" t="str">
        <f t="shared" si="53"/>
        <v>NW</v>
      </c>
      <c r="AH178" s="86" t="str">
        <f t="shared" si="54"/>
        <v>"%USERPROFILE%\Documents\GitHub\eaglep3\Utilities\RefineRTDCRunTimes.py" --tripid 821-23 --locoid 4020 --swversion DE.1.0.9.0 --startMP 204:962 --initTime 2017-02-23T13:05:14 --startdatetime 2017-02-23T13:21:19 --delay 1 --endMP 300:58960 --enddatetime 2017-02-23T13:34:49 --enforcementcount 0 &gt;&gt;C:\Users\stu\Documents\GitHub\eaglep3-reporting\EC\2017-02-23-refined-times.txt</v>
      </c>
      <c r="AI17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{"issue":{"subject":"","project_id":79,"tracker_id":40,"status_id":1,"priority_id":2,"assigned_to_id":23,"start_date":"2017-02-23","description":"","custom_fields":[{"id":1,"name":"Subdivision","value":"NW"},{"id":4,"name":"Milepost","value":"5.896"},{"id":17,"name":"Train ID","value":"821-23"},{"id":16,"name":"Locomotive ID","value":"4020"},{"id":130,"name":"Impact","value":""},{"id":150,"name":"Time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56"/>
        <v>start /low /b %USERPROFILE%\Documents\GitHub\eaglep3\Utilities\DownloadLogsFromS3.py --loco 4020 --day 2017-02-23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79" spans="1:40" x14ac:dyDescent="0.25">
      <c r="A179" s="33" t="s">
        <v>551</v>
      </c>
      <c r="B179" s="7">
        <v>4019</v>
      </c>
      <c r="C179" s="21" t="s">
        <v>294</v>
      </c>
      <c r="D179" s="21" t="s">
        <v>345</v>
      </c>
      <c r="E179" s="13">
        <v>42789.566805555558</v>
      </c>
      <c r="F179" s="13">
        <v>42789.568391203706</v>
      </c>
      <c r="G179" s="7">
        <v>1</v>
      </c>
      <c r="H179" s="21" t="s">
        <v>853</v>
      </c>
      <c r="I179" s="13">
        <v>42789.580150462964</v>
      </c>
      <c r="J179" s="7">
        <v>0</v>
      </c>
      <c r="K179" s="98" t="str">
        <f t="shared" si="39"/>
        <v>4019/4020</v>
      </c>
      <c r="L179" s="21" t="str">
        <f>VLOOKUP(A179,'Trips&amp;Operators'!$C$1:$G$99999,5,FALSE)</f>
        <v>LEVERE CRAIG</v>
      </c>
      <c r="M179" s="6">
        <f t="shared" si="40"/>
        <v>1.1759259257814847E-2</v>
      </c>
      <c r="N179" s="7">
        <f t="shared" si="41"/>
        <v>16.93333333125338</v>
      </c>
      <c r="O179" s="7"/>
      <c r="P179" s="7"/>
      <c r="Q179" s="22"/>
      <c r="R179" s="22"/>
      <c r="S179" s="31">
        <f t="shared" si="42"/>
        <v>1</v>
      </c>
      <c r="T179" s="46" t="str">
        <f t="shared" si="43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4"/>
        <v>https://d0f6bd738d7f1b3e5a7ca70fe4ff75f0.us-east-1.aws.found.io/app/kibana#/discover/Steve-Slow-Train-Analysis-(2080s-and-2083s)?_g=(refreshInterval:(display:Off,pause:!f,section:0,value:0),time:(from:'2017-02-23T12:36:12-0700',mode:absolute,to:'2017-02-23T14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87" t="str">
        <f t="shared" si="45"/>
        <v>N</v>
      </c>
      <c r="X179" s="187">
        <f t="shared" si="46"/>
        <v>1</v>
      </c>
      <c r="Y179" s="62">
        <f t="shared" si="47"/>
        <v>5.8635999999999999</v>
      </c>
      <c r="Z179" s="62">
        <f t="shared" si="48"/>
        <v>6.9599999999999995E-2</v>
      </c>
      <c r="AA179" s="62">
        <f t="shared" si="49"/>
        <v>5.7939999999999996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0"/>
        <v>0822-23</v>
      </c>
      <c r="AE179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9" s="82" t="str">
        <f t="shared" si="52"/>
        <v>"C:\Program Files (x86)\AstroGrep\AstroGrep.exe" /spath="%USERPROFILE%\AppData\Local\Temp\OnboardLogs" /stypes="app*4019*20170223*" /stext=" 20:.+(\|loc)" /e /r /s</v>
      </c>
      <c r="AG179" s="1" t="str">
        <f t="shared" si="53"/>
        <v>NW</v>
      </c>
      <c r="AH179" s="86" t="str">
        <f t="shared" si="54"/>
        <v>"%USERPROFILE%\Documents\GitHub\eaglep3\Utilities\RefineRTDCRunTimes.py" --tripid 822-23 --locoid 4019 --swversion DE.1.0.9.0 --startMP 300:58636 --initTime 2017-02-23T13:36:12 --startdatetime 2017-02-23T13:38:29 --delay 1 --endMP 204:696 --enddatetime 2017-02-23T13:55:25 --enforcementcount 0 &gt;&gt;C:\Users\stu\Documents\GitHub\eaglep3-reporting\EC\2017-02-23-refined-times.txt</v>
      </c>
      <c r="AI17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{"issue":{"subject":"","project_id":79,"tracker_id":40,"status_id":1,"priority_id":2,"assigned_to_id":23,"start_date":"2017-02-23","description":"","custom_fields":[{"id":1,"name":"Subdivision","value":"NW"},{"id":4,"name":"Milepost","value":"0.0696"},{"id":17,"name":"Train ID","value":"822-23"},{"id":16,"name":"Locomotive ID","value":"4019"},{"id":130,"name":"Impact","value":""},{"id":150,"name":"Time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56"/>
        <v>start /low /b %USERPROFILE%\Documents\GitHub\eaglep3\Utilities\DownloadLogsFromS3.py --loco 4019 --day 2017-02-23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0" spans="1:40" x14ac:dyDescent="0.25">
      <c r="A180" s="33" t="s">
        <v>556</v>
      </c>
      <c r="B180" s="7">
        <v>4020</v>
      </c>
      <c r="C180" s="21" t="s">
        <v>294</v>
      </c>
      <c r="D180" s="21" t="s">
        <v>854</v>
      </c>
      <c r="E180" s="13">
        <v>42789.58935185185</v>
      </c>
      <c r="F180" s="13">
        <v>42789.59815972222</v>
      </c>
      <c r="G180" s="7">
        <v>1</v>
      </c>
      <c r="H180" s="21" t="s">
        <v>855</v>
      </c>
      <c r="I180" s="13">
        <v>42789.607743055552</v>
      </c>
      <c r="J180" s="7">
        <v>0</v>
      </c>
      <c r="K180" s="98" t="str">
        <f t="shared" si="39"/>
        <v>4019/4020</v>
      </c>
      <c r="L180" s="21" t="str">
        <f>VLOOKUP(A180,'Trips&amp;Operators'!$C$1:$G$99999,5,FALSE)</f>
        <v>LEVERE CRAIG</v>
      </c>
      <c r="M180" s="6">
        <f t="shared" si="40"/>
        <v>9.5833333325572312E-3</v>
      </c>
      <c r="N180" s="7">
        <f t="shared" si="41"/>
        <v>13.799999998882413</v>
      </c>
      <c r="O180" s="7"/>
      <c r="P180" s="7"/>
      <c r="Q180" s="22"/>
      <c r="R180" s="22"/>
      <c r="S180" s="31">
        <f t="shared" si="42"/>
        <v>1</v>
      </c>
      <c r="T180" s="46" t="str">
        <f t="shared" si="43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4"/>
        <v>https://d0f6bd738d7f1b3e5a7ca70fe4ff75f0.us-east-1.aws.found.io/app/kibana#/discover/Steve-Slow-Train-Analysis-(2080s-and-2083s)?_g=(refreshInterval:(display:Off,pause:!f,section:0,value:0),time:(from:'2017-02-23T13:08:40-0700',mode:absolute,to:'2017-02-23T15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87" t="str">
        <f t="shared" si="45"/>
        <v>N</v>
      </c>
      <c r="X180" s="187">
        <f t="shared" si="46"/>
        <v>1</v>
      </c>
      <c r="Y180" s="62">
        <f t="shared" si="47"/>
        <v>9.8500000000000004E-2</v>
      </c>
      <c r="Z180" s="62">
        <f t="shared" si="48"/>
        <v>5.8909000000000002</v>
      </c>
      <c r="AA180" s="62">
        <f t="shared" si="49"/>
        <v>5.7924000000000007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0"/>
        <v>0823-23</v>
      </c>
      <c r="AE18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80" s="82" t="str">
        <f t="shared" si="52"/>
        <v>"C:\Program Files (x86)\AstroGrep\AstroGrep.exe" /spath="%USERPROFILE%\AppData\Local\Temp\OnboardLogs" /stypes="app*4020*20170223*" /stext=" 21:.+(\|loc)" /e /r /s</v>
      </c>
      <c r="AG180" s="1" t="str">
        <f t="shared" si="53"/>
        <v>NW</v>
      </c>
      <c r="AH180" s="86" t="str">
        <f t="shared" si="54"/>
        <v>"%USERPROFILE%\Documents\GitHub\eaglep3\Utilities\RefineRTDCRunTimes.py" --tripid 823-23 --locoid 4020 --swversion DE.1.0.9.0 --startMP 204:985 --initTime 2017-02-23T14:08:40 --startdatetime 2017-02-23T14:21:21 --delay 1 --endMP 300:58909 --enddatetime 2017-02-23T14:35:09 --enforcementcount 0 &gt;&gt;C:\Users\stu\Documents\GitHub\eaglep3-reporting\EC\2017-02-23-refined-times.txt</v>
      </c>
      <c r="AI18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{"issue":{"subject":"","project_id":79,"tracker_id":40,"status_id":1,"priority_id":2,"assigned_to_id":23,"start_date":"2017-02-23","description":"","custom_fields":[{"id":1,"name":"Subdivision","value":"NW"},{"id":4,"name":"Milepost","value":"5.8909"},{"id":17,"name":"Train ID","value":"823-23"},{"id":16,"name":"Locomotive ID","value":"4020"},{"id":130,"name":"Impact","value":""},{"id":150,"name":"Time of Event (Mountain Time)","value":"14:35:09"},{"id":151,"name":"Denver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56"/>
        <v>start /low /b %USERPROFILE%\Documents\GitHub\eaglep3\Utilities\DownloadLogsFromS3.py --loco 4020 --day 2017-02-23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81" spans="1:40" x14ac:dyDescent="0.25">
      <c r="A181" s="33" t="s">
        <v>559</v>
      </c>
      <c r="B181" s="7">
        <v>4019</v>
      </c>
      <c r="C181" s="21" t="s">
        <v>294</v>
      </c>
      <c r="D181" s="21" t="s">
        <v>856</v>
      </c>
      <c r="E181" s="13">
        <v>42789.6091087963</v>
      </c>
      <c r="F181" s="13">
        <v>42789.610567129632</v>
      </c>
      <c r="G181" s="7">
        <v>1</v>
      </c>
      <c r="H181" s="21" t="s">
        <v>392</v>
      </c>
      <c r="I181" s="13">
        <v>42789.622418981482</v>
      </c>
      <c r="J181" s="7">
        <v>0</v>
      </c>
      <c r="K181" s="98" t="str">
        <f t="shared" si="39"/>
        <v>4019/4020</v>
      </c>
      <c r="L181" s="21" t="str">
        <f>VLOOKUP(A181,'Trips&amp;Operators'!$C$1:$G$99999,5,FALSE)</f>
        <v>LEVERE CRAIG</v>
      </c>
      <c r="M181" s="6">
        <f t="shared" si="40"/>
        <v>1.1851851850224193E-2</v>
      </c>
      <c r="N181" s="7">
        <f t="shared" si="41"/>
        <v>17.066666664322838</v>
      </c>
      <c r="O181" s="7"/>
      <c r="P181" s="7"/>
      <c r="Q181" s="22"/>
      <c r="R181" s="22"/>
      <c r="S181" s="31">
        <f t="shared" si="42"/>
        <v>1</v>
      </c>
      <c r="T181" s="46" t="str">
        <f t="shared" si="43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4"/>
        <v>https://d0f6bd738d7f1b3e5a7ca70fe4ff75f0.us-east-1.aws.found.io/app/kibana#/discover/Steve-Slow-Train-Analysis-(2080s-and-2083s)?_g=(refreshInterval:(display:Off,pause:!f,section:0,value:0),time:(from:'2017-02-23T13:37:07-0700',mode:absolute,to:'2017-02-23T15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87" t="str">
        <f t="shared" si="45"/>
        <v>N</v>
      </c>
      <c r="X181" s="187">
        <f t="shared" si="46"/>
        <v>1</v>
      </c>
      <c r="Y181" s="62">
        <f t="shared" si="47"/>
        <v>5.8605999999999998</v>
      </c>
      <c r="Z181" s="62">
        <f t="shared" si="48"/>
        <v>6.8199999999999997E-2</v>
      </c>
      <c r="AA181" s="62">
        <f t="shared" si="49"/>
        <v>5.7923999999999998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0"/>
        <v>0824-23</v>
      </c>
      <c r="AE18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81" s="82" t="str">
        <f t="shared" si="52"/>
        <v>"C:\Program Files (x86)\AstroGrep\AstroGrep.exe" /spath="%USERPROFILE%\AppData\Local\Temp\OnboardLogs" /stypes="app*4019*20170223*" /stext=" 21:.+(\|loc)" /e /r /s</v>
      </c>
      <c r="AG181" s="1" t="str">
        <f t="shared" si="53"/>
        <v>NW</v>
      </c>
      <c r="AH181" s="86" t="str">
        <f t="shared" si="54"/>
        <v>"%USERPROFILE%\Documents\GitHub\eaglep3\Utilities\RefineRTDCRunTimes.py" --tripid 824-23 --locoid 4019 --swversion DE.1.0.9.0 --startMP 300:58606 --initTime 2017-02-23T14:37:07 --startdatetime 2017-02-23T14:39:13 --delay 1 --endMP 204:682 --enddatetime 2017-02-23T14:56:17 --enforcementcount 0 &gt;&gt;C:\Users\stu\Documents\GitHub\eaglep3-reporting\EC\2017-02-23-refined-times.txt</v>
      </c>
      <c r="AI18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{"issue":{"subject":"","project_id":79,"tracker_id":40,"status_id":1,"priority_id":2,"assigned_to_id":23,"start_date":"2017-02-23","description":"","custom_fields":[{"id":1,"name":"Subdivision","value":"NW"},{"id":4,"name":"Milepost","value":"0.0682"},{"id":17,"name":"Train ID","value":"824-23"},{"id":16,"name":"Locomotive ID","value":"4019"},{"id":130,"name":"Impact","value":""},{"id":150,"name":"Time of Event (Mountain Time)","value":"14:56:17"},{"id":151,"name":"Denver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56"/>
        <v>start /low /b %USERPROFILE%\Documents\GitHub\eaglep3\Utilities\DownloadLogsFromS3.py --loco 4019 --day 2017-02-23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2" spans="1:40" x14ac:dyDescent="0.25">
      <c r="A182" s="33" t="s">
        <v>565</v>
      </c>
      <c r="B182" s="7">
        <v>4020</v>
      </c>
      <c r="C182" s="21" t="s">
        <v>294</v>
      </c>
      <c r="D182" s="21" t="s">
        <v>394</v>
      </c>
      <c r="E182" s="13">
        <v>42789.633599537039</v>
      </c>
      <c r="F182" s="13">
        <v>42789.639780092592</v>
      </c>
      <c r="G182" s="7">
        <v>1</v>
      </c>
      <c r="H182" s="21" t="s">
        <v>395</v>
      </c>
      <c r="I182" s="13">
        <v>42789.649537037039</v>
      </c>
      <c r="J182" s="7">
        <v>0</v>
      </c>
      <c r="K182" s="98" t="str">
        <f t="shared" si="39"/>
        <v>4019/4020</v>
      </c>
      <c r="L182" s="21" t="str">
        <f>VLOOKUP(A182,'Trips&amp;Operators'!$C$1:$G$99999,5,FALSE)</f>
        <v>LEVERE CRAIG</v>
      </c>
      <c r="M182" s="6">
        <f t="shared" si="40"/>
        <v>9.7569444478722289E-3</v>
      </c>
      <c r="N182" s="7">
        <f t="shared" si="41"/>
        <v>14.05000000493601</v>
      </c>
      <c r="O182" s="7"/>
      <c r="P182" s="7"/>
      <c r="Q182" s="22"/>
      <c r="R182" s="22"/>
      <c r="S182" s="31">
        <f t="shared" si="42"/>
        <v>1</v>
      </c>
      <c r="T182" s="46" t="str">
        <f t="shared" si="43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4"/>
        <v>https://d0f6bd738d7f1b3e5a7ca70fe4ff75f0.us-east-1.aws.found.io/app/kibana#/discover/Steve-Slow-Train-Analysis-(2080s-and-2083s)?_g=(refreshInterval:(display:Off,pause:!f,section:0,value:0),time:(from:'2017-02-23T14:12:23-0700',mode:absolute,to:'2017-02-23T16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87" t="str">
        <f t="shared" si="45"/>
        <v>N</v>
      </c>
      <c r="X182" s="187">
        <f t="shared" si="46"/>
        <v>1</v>
      </c>
      <c r="Y182" s="62">
        <f t="shared" si="47"/>
        <v>9.7799999999999998E-2</v>
      </c>
      <c r="Z182" s="62">
        <f t="shared" si="48"/>
        <v>5.8973000000000004</v>
      </c>
      <c r="AA182" s="62">
        <f t="shared" si="49"/>
        <v>5.7995000000000001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0"/>
        <v>0825-23</v>
      </c>
      <c r="AE182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82" s="82" t="str">
        <f t="shared" si="52"/>
        <v>"C:\Program Files (x86)\AstroGrep\AstroGrep.exe" /spath="%USERPROFILE%\AppData\Local\Temp\OnboardLogs" /stypes="app*4020*20170223*" /stext=" 22:.+(\|loc)" /e /r /s</v>
      </c>
      <c r="AG182" s="1" t="str">
        <f t="shared" si="53"/>
        <v>NW</v>
      </c>
      <c r="AH182" s="86" t="str">
        <f t="shared" si="54"/>
        <v>"%USERPROFILE%\Documents\GitHub\eaglep3\Utilities\RefineRTDCRunTimes.py" --tripid 825-23 --locoid 4020 --swversion DE.1.0.9.0 --startMP 204:978 --initTime 2017-02-23T15:12:23 --startdatetime 2017-02-23T15:21:17 --delay 1 --endMP 300:58973 --enddatetime 2017-02-23T15:35:20 --enforcementcount 0 &gt;&gt;C:\Users\stu\Documents\GitHub\eaglep3-reporting\EC\2017-02-23-refined-times.txt</v>
      </c>
      <c r="AI18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{"issue":{"subject":"","project_id":79,"tracker_id":40,"status_id":1,"priority_id":2,"assigned_to_id":23,"start_date":"2017-02-23","description":"","custom_fields":[{"id":1,"name":"Subdivision","value":"NW"},{"id":4,"name":"Milepost","value":"5.8973"},{"id":17,"name":"Train ID","value":"825-23"},{"id":16,"name":"Locomotive ID","value":"4020"},{"id":130,"name":"Impact","value":""},{"id":150,"name":"Time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56"/>
        <v>start /low /b %USERPROFILE%\Documents\GitHub\eaglep3\Utilities\DownloadLogsFromS3.py --loco 4020 --day 2017-02-23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83" spans="1:40" x14ac:dyDescent="0.25">
      <c r="A183" s="33" t="s">
        <v>568</v>
      </c>
      <c r="B183" s="7">
        <v>4019</v>
      </c>
      <c r="C183" s="21" t="s">
        <v>294</v>
      </c>
      <c r="D183" s="21" t="s">
        <v>857</v>
      </c>
      <c r="E183" s="13">
        <v>42789.650509259256</v>
      </c>
      <c r="F183" s="13">
        <v>42789.652025462965</v>
      </c>
      <c r="G183" s="7">
        <v>1</v>
      </c>
      <c r="H183" s="21" t="s">
        <v>401</v>
      </c>
      <c r="I183" s="13">
        <v>42789.664363425924</v>
      </c>
      <c r="J183" s="7">
        <v>0</v>
      </c>
      <c r="K183" s="98" t="str">
        <f t="shared" si="39"/>
        <v>4019/4020</v>
      </c>
      <c r="L183" s="21" t="str">
        <f>VLOOKUP(A183,'Trips&amp;Operators'!$C$1:$G$99999,5,FALSE)</f>
        <v>LEVERE CRAIG</v>
      </c>
      <c r="M183" s="6">
        <f t="shared" si="40"/>
        <v>1.2337962958554272E-2</v>
      </c>
      <c r="N183" s="7">
        <f t="shared" si="41"/>
        <v>17.766666660318151</v>
      </c>
      <c r="O183" s="7"/>
      <c r="P183" s="7"/>
      <c r="Q183" s="22"/>
      <c r="R183" s="22"/>
      <c r="S183" s="31">
        <f t="shared" si="42"/>
        <v>1</v>
      </c>
      <c r="T183" s="46" t="str">
        <f t="shared" si="43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4"/>
        <v>https://d0f6bd738d7f1b3e5a7ca70fe4ff75f0.us-east-1.aws.found.io/app/kibana#/discover/Steve-Slow-Train-Analysis-(2080s-and-2083s)?_g=(refreshInterval:(display:Off,pause:!f,section:0,value:0),time:(from:'2017-02-23T14:36:44-0700',mode:absolute,to:'2017-02-23T16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87" t="str">
        <f t="shared" si="45"/>
        <v>N</v>
      </c>
      <c r="X183" s="187">
        <f t="shared" si="46"/>
        <v>1</v>
      </c>
      <c r="Y183" s="62">
        <f t="shared" si="47"/>
        <v>5.8647</v>
      </c>
      <c r="Z183" s="62">
        <f t="shared" si="48"/>
        <v>6.8400000000000002E-2</v>
      </c>
      <c r="AA183" s="62">
        <f t="shared" si="49"/>
        <v>5.7963000000000005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0"/>
        <v>0826-23</v>
      </c>
      <c r="AE183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83" s="82" t="str">
        <f t="shared" si="52"/>
        <v>"C:\Program Files (x86)\AstroGrep\AstroGrep.exe" /spath="%USERPROFILE%\AppData\Local\Temp\OnboardLogs" /stypes="app*4019*20170223*" /stext=" 22:.+(\|loc)" /e /r /s</v>
      </c>
      <c r="AG183" s="1" t="str">
        <f t="shared" si="53"/>
        <v>NW</v>
      </c>
      <c r="AH183" s="86" t="str">
        <f t="shared" si="54"/>
        <v>"%USERPROFILE%\Documents\GitHub\eaglep3\Utilities\RefineRTDCRunTimes.py" --tripid 826-23 --locoid 4019 --swversion DE.1.0.9.0 --startMP 300:58647 --initTime 2017-02-23T15:36:44 --startdatetime 2017-02-23T15:38:55 --delay 1 --endMP 204:684 --enddatetime 2017-02-23T15:56:41 --enforcementcount 0 &gt;&gt;C:\Users\stu\Documents\GitHub\eaglep3-reporting\EC\2017-02-23-refined-times.txt</v>
      </c>
      <c r="AI18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{"issue":{"subject":"","project_id":79,"tracker_id":40,"status_id":1,"priority_id":2,"assigned_to_id":23,"start_date":"2017-02-23","description":"","custom_fields":[{"id":1,"name":"Subdivision","value":"NW"},{"id":4,"name":"Milepost","value":"0.0684"},{"id":17,"name":"Train ID","value":"826-23"},{"id":16,"name":"Locomotive ID","value":"4019"},{"id":130,"name":"Impact","value":""},{"id":150,"name":"Time of Event (Mountain Time)","value":"15:56:41"},{"id":151,"name":"Denver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56"/>
        <v>start /low /b %USERPROFILE%\Documents\GitHub\eaglep3\Utilities\DownloadLogsFromS3.py --loco 4019 --day 2017-02-23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4" spans="1:40" x14ac:dyDescent="0.25">
      <c r="A184" s="33" t="s">
        <v>570</v>
      </c>
      <c r="B184" s="7">
        <v>4025</v>
      </c>
      <c r="C184" s="21" t="s">
        <v>294</v>
      </c>
      <c r="D184" s="21" t="s">
        <v>858</v>
      </c>
      <c r="E184" s="13">
        <v>42789.653946759259</v>
      </c>
      <c r="F184" s="13">
        <v>42789.660694444443</v>
      </c>
      <c r="G184" s="7">
        <v>1</v>
      </c>
      <c r="H184" s="21" t="s">
        <v>859</v>
      </c>
      <c r="I184" s="13">
        <v>42789.670497685183</v>
      </c>
      <c r="J184" s="7">
        <v>0</v>
      </c>
      <c r="K184" s="98" t="str">
        <f t="shared" si="39"/>
        <v>4025/4026</v>
      </c>
      <c r="L184" s="21" t="str">
        <f>VLOOKUP(A184,'Trips&amp;Operators'!$C$1:$G$99999,5,FALSE)</f>
        <v>STORY SAMANTHA</v>
      </c>
      <c r="M184" s="6">
        <f t="shared" si="40"/>
        <v>9.8032407404389232E-3</v>
      </c>
      <c r="N184" s="7">
        <f t="shared" si="41"/>
        <v>14.116666666232049</v>
      </c>
      <c r="O184" s="7"/>
      <c r="P184" s="7"/>
      <c r="Q184" s="22"/>
      <c r="R184" s="22"/>
      <c r="S184" s="31">
        <f t="shared" si="42"/>
        <v>1</v>
      </c>
      <c r="T184" s="46" t="str">
        <f t="shared" si="43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4"/>
        <v>https://d0f6bd738d7f1b3e5a7ca70fe4ff75f0.us-east-1.aws.found.io/app/kibana#/discover/Steve-Slow-Train-Analysis-(2080s-and-2083s)?_g=(refreshInterval:(display:Off,pause:!f,section:0,value:0),time:(from:'2017-02-23T14:41:41-0700',mode:absolute,to:'2017-02-23T17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187" t="str">
        <f t="shared" si="45"/>
        <v>N</v>
      </c>
      <c r="X184" s="187">
        <f t="shared" si="46"/>
        <v>1</v>
      </c>
      <c r="Y184" s="62">
        <f t="shared" si="47"/>
        <v>0.10059999999999999</v>
      </c>
      <c r="Z184" s="62">
        <f t="shared" si="48"/>
        <v>5.8954000000000004</v>
      </c>
      <c r="AA184" s="62">
        <f t="shared" si="49"/>
        <v>5.7948000000000004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0"/>
        <v>0827-23</v>
      </c>
      <c r="AE184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84" s="82" t="str">
        <f t="shared" si="52"/>
        <v>"C:\Program Files (x86)\AstroGrep\AstroGrep.exe" /spath="%USERPROFILE%\AppData\Local\Temp\OnboardLogs" /stypes="app*4025*20170223*" /stext=" 23:.+(\|loc)" /e /r /s</v>
      </c>
      <c r="AG184" s="1" t="str">
        <f t="shared" si="53"/>
        <v>NW</v>
      </c>
      <c r="AH184" s="86" t="str">
        <f t="shared" si="54"/>
        <v>"%USERPROFILE%\Documents\GitHub\eaglep3\Utilities\RefineRTDCRunTimes.py" --tripid 827-23 --locoid 4025 --swversion DE.1.0.9.0 --startMP 204:1006 --initTime 2017-02-23T15:41:41 --startdatetime 2017-02-23T15:51:24 --delay 1 --endMP 300:58954 --enddatetime 2017-02-23T16:05:31 --enforcementcount 0 &gt;&gt;C:\Users\stu\Documents\GitHub\eaglep3-reporting\EC\2017-02-23-refined-times.txt</v>
      </c>
      <c r="AI18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{"issue":{"subject":"","project_id":79,"tracker_id":40,"status_id":1,"priority_id":2,"assigned_to_id":23,"start_date":"2017-02-23","description":"","custom_fields":[{"id":1,"name":"Subdivision","value":"NW"},{"id":4,"name":"Milepost","value":"5.8954"},{"id":17,"name":"Train ID","value":"827-23"},{"id":16,"name":"Locomotive ID","value":"4025"},{"id":130,"name":"Impact","value":""},{"id":150,"name":"Time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56"/>
        <v>start /low /b %USERPROFILE%\Documents\GitHub\eaglep3\Utilities\DownloadLogsFromS3.py --loco 4025 --day 2017-02-23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85" spans="1:40" x14ac:dyDescent="0.25">
      <c r="A185" s="33" t="s">
        <v>573</v>
      </c>
      <c r="B185" s="7">
        <v>4026</v>
      </c>
      <c r="C185" s="21" t="s">
        <v>294</v>
      </c>
      <c r="D185" s="21" t="s">
        <v>402</v>
      </c>
      <c r="E185" s="13">
        <v>42789.671597222223</v>
      </c>
      <c r="F185" s="13">
        <v>42789.672893518517</v>
      </c>
      <c r="G185" s="7">
        <v>1</v>
      </c>
      <c r="H185" s="21" t="s">
        <v>860</v>
      </c>
      <c r="I185" s="13">
        <v>42789.684733796297</v>
      </c>
      <c r="J185" s="7">
        <v>0</v>
      </c>
      <c r="K185" s="98" t="str">
        <f t="shared" si="39"/>
        <v>4025/4026</v>
      </c>
      <c r="L185" s="21" t="str">
        <f>VLOOKUP(A185,'Trips&amp;Operators'!$C$1:$G$99999,5,FALSE)</f>
        <v>STORY SAMANTHA</v>
      </c>
      <c r="M185" s="6">
        <f t="shared" si="40"/>
        <v>1.1840277780720498E-2</v>
      </c>
      <c r="N185" s="7">
        <f t="shared" si="41"/>
        <v>17.050000004237518</v>
      </c>
      <c r="O185" s="7"/>
      <c r="P185" s="7"/>
      <c r="Q185" s="22"/>
      <c r="R185" s="22"/>
      <c r="S185" s="31">
        <f t="shared" si="42"/>
        <v>1</v>
      </c>
      <c r="T185" s="46" t="str">
        <f t="shared" si="43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4"/>
        <v>https://d0f6bd738d7f1b3e5a7ca70fe4ff75f0.us-east-1.aws.found.io/app/kibana#/discover/Steve-Slow-Train-Analysis-(2080s-and-2083s)?_g=(refreshInterval:(display:Off,pause:!f,section:0,value:0),time:(from:'2017-02-23T15:07:06-0700',mode:absolute,to:'2017-02-23T17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187" t="str">
        <f t="shared" si="45"/>
        <v>N</v>
      </c>
      <c r="X185" s="187">
        <f t="shared" si="46"/>
        <v>1</v>
      </c>
      <c r="Y185" s="62">
        <f t="shared" si="47"/>
        <v>5.8638000000000003</v>
      </c>
      <c r="Z185" s="62">
        <f t="shared" si="48"/>
        <v>7.0800000000000002E-2</v>
      </c>
      <c r="AA185" s="62">
        <f t="shared" si="49"/>
        <v>5.7930000000000001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0"/>
        <v>0828-23</v>
      </c>
      <c r="AE185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85" s="82" t="str">
        <f t="shared" si="52"/>
        <v>"C:\Program Files (x86)\AstroGrep\AstroGrep.exe" /spath="%USERPROFILE%\AppData\Local\Temp\OnboardLogs" /stypes="app*4026*20170223*" /stext=" 23:.+(\|loc)" /e /r /s</v>
      </c>
      <c r="AG185" s="1" t="str">
        <f t="shared" si="53"/>
        <v>NW</v>
      </c>
      <c r="AH185" s="86" t="str">
        <f t="shared" si="54"/>
        <v>"%USERPROFILE%\Documents\GitHub\eaglep3\Utilities\RefineRTDCRunTimes.py" --tripid 828-23 --locoid 4026 --swversion DE.1.0.9.0 --startMP 300:58638 --initTime 2017-02-23T16:07:06 --startdatetime 2017-02-23T16:08:58 --delay 1 --endMP 204:708 --enddatetime 2017-02-23T16:26:01 --enforcementcount 0 &gt;&gt;C:\Users\stu\Documents\GitHub\eaglep3-reporting\EC\2017-02-23-refined-times.txt</v>
      </c>
      <c r="AI18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{"issue":{"subject":"","project_id":79,"tracker_id":40,"status_id":1,"priority_id":2,"assigned_to_id":23,"start_date":"2017-02-23","description":"","custom_fields":[{"id":1,"name":"Subdivision","value":"NW"},{"id":4,"name":"Milepost","value":"0.0708"},{"id":17,"name":"Train ID","value":"828-23"},{"id":16,"name":"Locomotive ID","value":"4026"},{"id":130,"name":"Impact","value":""},{"id":150,"name":"Time of Event (Mountain Time)","value":"16:26:01"},{"id":151,"name":"Denver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56"/>
        <v>start /low /b %USERPROFILE%\Documents\GitHub\eaglep3\Utilities\DownloadLogsFromS3.py --loco 4026 --day 2017-02-23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86" spans="1:40" x14ac:dyDescent="0.25">
      <c r="A186" s="33" t="s">
        <v>575</v>
      </c>
      <c r="B186" s="7">
        <v>4020</v>
      </c>
      <c r="C186" s="21" t="s">
        <v>294</v>
      </c>
      <c r="D186" s="21" t="s">
        <v>405</v>
      </c>
      <c r="E186" s="13">
        <v>42789.674803240741</v>
      </c>
      <c r="F186" s="13">
        <v>42789.681481481479</v>
      </c>
      <c r="G186" s="7">
        <v>1</v>
      </c>
      <c r="H186" s="21" t="s">
        <v>861</v>
      </c>
      <c r="I186" s="13">
        <v>42789.691770833335</v>
      </c>
      <c r="J186" s="7">
        <v>0</v>
      </c>
      <c r="K186" s="98" t="str">
        <f t="shared" si="39"/>
        <v>4019/4020</v>
      </c>
      <c r="L186" s="21" t="str">
        <f>VLOOKUP(A186,'Trips&amp;Operators'!$C$1:$G$99999,5,FALSE)</f>
        <v>LEVERE CRAIG</v>
      </c>
      <c r="M186" s="6">
        <f t="shared" si="40"/>
        <v>1.0289351856044959E-2</v>
      </c>
      <c r="N186" s="7">
        <f t="shared" si="41"/>
        <v>14.816666672704741</v>
      </c>
      <c r="O186" s="7"/>
      <c r="P186" s="7"/>
      <c r="Q186" s="22"/>
      <c r="R186" s="22"/>
      <c r="S186" s="31">
        <f t="shared" si="42"/>
        <v>1</v>
      </c>
      <c r="T186" s="46" t="str">
        <f t="shared" si="43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4"/>
        <v>https://d0f6bd738d7f1b3e5a7ca70fe4ff75f0.us-east-1.aws.found.io/app/kibana#/discover/Steve-Slow-Train-Analysis-(2080s-and-2083s)?_g=(refreshInterval:(display:Off,pause:!f,section:0,value:0),time:(from:'2017-02-23T15:11:43-0700',mode:absolute,to:'2017-02-23T17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187" t="str">
        <f t="shared" si="45"/>
        <v>N</v>
      </c>
      <c r="X186" s="187">
        <f t="shared" si="46"/>
        <v>1</v>
      </c>
      <c r="Y186" s="62">
        <f t="shared" si="47"/>
        <v>9.7100000000000006E-2</v>
      </c>
      <c r="Z186" s="62">
        <f t="shared" si="48"/>
        <v>5.8968999999999996</v>
      </c>
      <c r="AA186" s="62">
        <f t="shared" si="49"/>
        <v>5.7997999999999994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0"/>
        <v>0829-23</v>
      </c>
      <c r="AE186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86" s="82" t="str">
        <f t="shared" si="52"/>
        <v>"C:\Program Files (x86)\AstroGrep\AstroGrep.exe" /spath="%USERPROFILE%\AppData\Local\Temp\OnboardLogs" /stypes="app*4020*20170223*" /stext=" 23:.+(\|loc)" /e /r /s</v>
      </c>
      <c r="AG186" s="1" t="str">
        <f t="shared" si="53"/>
        <v>NW</v>
      </c>
      <c r="AH186" s="86" t="str">
        <f t="shared" si="54"/>
        <v>"%USERPROFILE%\Documents\GitHub\eaglep3\Utilities\RefineRTDCRunTimes.py" --tripid 829-23 --locoid 4020 --swversion DE.1.0.9.0 --startMP 204:971 --initTime 2017-02-23T16:11:43 --startdatetime 2017-02-23T16:21:20 --delay 1 --endMP 300:58969 --enddatetime 2017-02-23T16:36:09 --enforcementcount 0 &gt;&gt;C:\Users\stu\Documents\GitHub\eaglep3-reporting\EC\2017-02-23-refined-times.txt</v>
      </c>
      <c r="AI18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{"issue":{"subject":"","project_id":79,"tracker_id":40,"status_id":1,"priority_id":2,"assigned_to_id":23,"start_date":"2017-02-23","description":"","custom_fields":[{"id":1,"name":"Subdivision","value":"NW"},{"id":4,"name":"Milepost","value":"5.8969"},{"id":17,"name":"Train ID","value":"829-23"},{"id":16,"name":"Locomotive ID","value":"4020"},{"id":130,"name":"Impact","value":""},{"id":150,"name":"Time of Event (Mountain Time)","value":"16:36:09"},{"id":151,"name":"Denver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56"/>
        <v>start /low /b %USERPROFILE%\Documents\GitHub\eaglep3\Utilities\DownloadLogsFromS3.py --loco 4020 --day 2017-02-23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87" spans="1:40" x14ac:dyDescent="0.25">
      <c r="A187" s="33" t="s">
        <v>579</v>
      </c>
      <c r="B187" s="7">
        <v>4019</v>
      </c>
      <c r="C187" s="21" t="s">
        <v>294</v>
      </c>
      <c r="D187" s="21" t="s">
        <v>848</v>
      </c>
      <c r="E187" s="13">
        <v>42789.693009259259</v>
      </c>
      <c r="F187" s="13">
        <v>42789.694513888891</v>
      </c>
      <c r="G187" s="7">
        <v>1</v>
      </c>
      <c r="H187" s="21" t="s">
        <v>403</v>
      </c>
      <c r="I187" s="13">
        <v>42789.705648148149</v>
      </c>
      <c r="J187" s="7">
        <v>0</v>
      </c>
      <c r="K187" s="98" t="str">
        <f t="shared" si="39"/>
        <v>4019/4020</v>
      </c>
      <c r="L187" s="21" t="str">
        <f>VLOOKUP(A187,'Trips&amp;Operators'!$C$1:$G$99999,5,FALSE)</f>
        <v>LEVERE CRAIG</v>
      </c>
      <c r="M187" s="6">
        <f t="shared" si="40"/>
        <v>1.113425925723277E-2</v>
      </c>
      <c r="N187" s="7">
        <f t="shared" si="41"/>
        <v>16.033333330415189</v>
      </c>
      <c r="O187" s="7"/>
      <c r="P187" s="7"/>
      <c r="Q187" s="22"/>
      <c r="R187" s="22"/>
      <c r="S187" s="31">
        <f t="shared" si="42"/>
        <v>1</v>
      </c>
      <c r="T187" s="46" t="str">
        <f t="shared" si="43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4"/>
        <v>https://d0f6bd738d7f1b3e5a7ca70fe4ff75f0.us-east-1.aws.found.io/app/kibana#/discover/Steve-Slow-Train-Analysis-(2080s-and-2083s)?_g=(refreshInterval:(display:Off,pause:!f,section:0,value:0),time:(from:'2017-02-23T15:37:56-0700',mode:absolute,to:'2017-02-23T17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187" t="str">
        <f t="shared" si="45"/>
        <v>N</v>
      </c>
      <c r="X187" s="187">
        <f t="shared" si="46"/>
        <v>1</v>
      </c>
      <c r="Y187" s="62">
        <f t="shared" si="47"/>
        <v>5.8644999999999996</v>
      </c>
      <c r="Z187" s="62">
        <f t="shared" si="48"/>
        <v>7.0099999999999996E-2</v>
      </c>
      <c r="AA187" s="62">
        <f t="shared" si="49"/>
        <v>5.7943999999999996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0"/>
        <v>0830-23</v>
      </c>
      <c r="AE187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87" s="82" t="str">
        <f t="shared" si="52"/>
        <v>"C:\Program Files (x86)\AstroGrep\AstroGrep.exe" /spath="%USERPROFILE%\AppData\Local\Temp\OnboardLogs" /stypes="app*4019*20170223*" /stext=" 23:.+(\|loc)" /e /r /s</v>
      </c>
      <c r="AG187" s="1" t="str">
        <f t="shared" si="53"/>
        <v>NW</v>
      </c>
      <c r="AH187" s="86" t="str">
        <f t="shared" si="54"/>
        <v>"%USERPROFILE%\Documents\GitHub\eaglep3\Utilities\RefineRTDCRunTimes.py" --tripid 830-23 --locoid 4019 --swversion DE.1.0.9.0 --startMP 300:58645 --initTime 2017-02-23T16:37:56 --startdatetime 2017-02-23T16:40:06 --delay 1 --endMP 204:701 --enddatetime 2017-02-23T16:56:08 --enforcementcount 0 &gt;&gt;C:\Users\stu\Documents\GitHub\eaglep3-reporting\EC\2017-02-23-refined-times.txt</v>
      </c>
      <c r="AI18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{"issue":{"subject":"","project_id":79,"tracker_id":40,"status_id":1,"priority_id":2,"assigned_to_id":23,"start_date":"2017-02-23","description":"","custom_fields":[{"id":1,"name":"Subdivision","value":"NW"},{"id":4,"name":"Milepost","value":"0.0701"},{"id":17,"name":"Train ID","value":"830-23"},{"id":16,"name":"Locomotive ID","value":"4019"},{"id":130,"name":"Impact","value":""},{"id":150,"name":"Time of Event (Mountain Time)","value":"16:56:08"},{"id":151,"name":"Denver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56"/>
        <v>start /low /b %USERPROFILE%\Documents\GitHub\eaglep3\Utilities\DownloadLogsFromS3.py --loco 4019 --day 2017-02-23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8" spans="1:40" x14ac:dyDescent="0.25">
      <c r="A188" s="33" t="s">
        <v>578</v>
      </c>
      <c r="B188" s="7">
        <v>4025</v>
      </c>
      <c r="C188" s="21" t="s">
        <v>294</v>
      </c>
      <c r="D188" s="21" t="s">
        <v>348</v>
      </c>
      <c r="E188" s="13">
        <v>42789.691666666666</v>
      </c>
      <c r="F188" s="13">
        <v>42789.702349537038</v>
      </c>
      <c r="G188" s="7">
        <v>1</v>
      </c>
      <c r="H188" s="21" t="s">
        <v>346</v>
      </c>
      <c r="I188" s="13">
        <v>42789.712337962963</v>
      </c>
      <c r="J188" s="7">
        <v>0</v>
      </c>
      <c r="K188" s="98" t="str">
        <f t="shared" si="39"/>
        <v>4025/4026</v>
      </c>
      <c r="L188" s="21" t="str">
        <f>VLOOKUP(A188,'Trips&amp;Operators'!$C$1:$G$99999,5,FALSE)</f>
        <v>STORY SAMANTHA</v>
      </c>
      <c r="M188" s="6">
        <f t="shared" si="40"/>
        <v>9.9884259252576157E-3</v>
      </c>
      <c r="N188" s="7">
        <f t="shared" si="41"/>
        <v>14.383333332370967</v>
      </c>
      <c r="O188" s="7"/>
      <c r="P188" s="7"/>
      <c r="Q188" s="22"/>
      <c r="R188" s="22"/>
      <c r="S188" s="31">
        <f t="shared" si="42"/>
        <v>1</v>
      </c>
      <c r="T188" s="46" t="str">
        <f t="shared" si="43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4"/>
        <v>https://d0f6bd738d7f1b3e5a7ca70fe4ff75f0.us-east-1.aws.found.io/app/kibana#/discover/Steve-Slow-Train-Analysis-(2080s-and-2083s)?_g=(refreshInterval:(display:Off,pause:!f,section:0,value:0),time:(from:'2017-02-23T15:36:00-0700',mode:absolute,to:'2017-02-23T18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187" t="str">
        <f t="shared" si="45"/>
        <v>N</v>
      </c>
      <c r="X188" s="187">
        <f t="shared" si="46"/>
        <v>1</v>
      </c>
      <c r="Y188" s="62">
        <f t="shared" si="47"/>
        <v>9.8299999999999998E-2</v>
      </c>
      <c r="Z188" s="62">
        <f t="shared" si="48"/>
        <v>5.8944000000000001</v>
      </c>
      <c r="AA188" s="62">
        <f t="shared" si="49"/>
        <v>5.7961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0"/>
        <v>0831-23</v>
      </c>
      <c r="AE188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88" s="82" t="str">
        <f t="shared" si="52"/>
        <v>"C:\Program Files (x86)\AstroGrep\AstroGrep.exe" /spath="%USERPROFILE%\AppData\Local\Temp\OnboardLogs" /stypes="app*4025*20170224*" /stext=" 00:.+(\|loc)" /e /r /s</v>
      </c>
      <c r="AG188" s="1" t="str">
        <f t="shared" si="53"/>
        <v>NW</v>
      </c>
      <c r="AH188" s="86" t="str">
        <f t="shared" si="54"/>
        <v>"%USERPROFILE%\Documents\GitHub\eaglep3\Utilities\RefineRTDCRunTimes.py" --tripid 831-23 --locoid 4025 --swversion DE.1.0.9.0 --startMP 204:983 --initTime 2017-02-23T16:36:00 --startdatetime 2017-02-23T16:51:23 --delay 1 --endMP 300:58944 --enddatetime 2017-02-23T17:05:46 --enforcementcount 0 &gt;&gt;C:\Users\stu\Documents\GitHub\eaglep3-reporting\EC\2017-02-23-refined-times.txt</v>
      </c>
      <c r="AI18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{"issue":{"subject":"","project_id":79,"tracker_id":40,"status_id":1,"priority_id":2,"assigned_to_id":23,"start_date":"2017-02-23","description":"","custom_fields":[{"id":1,"name":"Subdivision","value":"NW"},{"id":4,"name":"Milepost","value":"5.8944"},{"id":17,"name":"Train ID","value":"831-23"},{"id":16,"name":"Locomotive ID","value":"4025"},{"id":130,"name":"Impact","value":""},{"id":150,"name":"Time of Event (Mountain Time)","value":"17:05:46"},{"id":151,"name":"Denver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56"/>
        <v>start /low /b %USERPROFILE%\Documents\GitHub\eaglep3\Utilities\DownloadLogsFromS3.py --loco 4025 --day 2017-02-23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89" spans="1:40" x14ac:dyDescent="0.25">
      <c r="A189" s="33" t="s">
        <v>448</v>
      </c>
      <c r="B189" s="7">
        <v>4026</v>
      </c>
      <c r="C189" s="21" t="s">
        <v>294</v>
      </c>
      <c r="D189" s="21" t="s">
        <v>862</v>
      </c>
      <c r="E189" s="13">
        <v>42789.713287037041</v>
      </c>
      <c r="F189" s="13">
        <v>42789.71671296296</v>
      </c>
      <c r="G189" s="7">
        <v>3</v>
      </c>
      <c r="H189" s="21" t="s">
        <v>863</v>
      </c>
      <c r="I189" s="13">
        <v>42789.725960648146</v>
      </c>
      <c r="J189" s="7">
        <v>0</v>
      </c>
      <c r="K189" s="98" t="str">
        <f t="shared" si="39"/>
        <v>4025/4026</v>
      </c>
      <c r="L189" s="21" t="str">
        <f>VLOOKUP(A189,'Trips&amp;Operators'!$C$1:$G$99999,5,FALSE)</f>
        <v>STORY SAMANTHA</v>
      </c>
      <c r="M189" s="6">
        <f t="shared" si="40"/>
        <v>9.2476851859828457E-3</v>
      </c>
      <c r="N189" s="7">
        <f t="shared" si="41"/>
        <v>13.316666667815298</v>
      </c>
      <c r="O189" s="7"/>
      <c r="P189" s="7"/>
      <c r="Q189" s="22"/>
      <c r="R189" s="22"/>
      <c r="S189" s="31">
        <f t="shared" si="42"/>
        <v>1</v>
      </c>
      <c r="T189" s="46" t="str">
        <f t="shared" si="43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4"/>
        <v>https://d0f6bd738d7f1b3e5a7ca70fe4ff75f0.us-east-1.aws.found.io/app/kibana#/discover/Steve-Slow-Train-Analysis-(2080s-and-2083s)?_g=(refreshInterval:(display:Off,pause:!f,section:0,value:0),time:(from:'2017-02-23T16:07:08-0700',mode:absolute,to:'2017-02-23T18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187" t="str">
        <f t="shared" si="45"/>
        <v>N</v>
      </c>
      <c r="X189" s="187">
        <f t="shared" si="46"/>
        <v>1</v>
      </c>
      <c r="Y189" s="62">
        <f t="shared" si="47"/>
        <v>5.7343000000000002</v>
      </c>
      <c r="Z189" s="62">
        <f t="shared" si="48"/>
        <v>7.8700000000000006E-2</v>
      </c>
      <c r="AA189" s="62">
        <f t="shared" si="49"/>
        <v>5.6555999999999997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0"/>
        <v>0832-23</v>
      </c>
      <c r="AE189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89" s="82" t="str">
        <f t="shared" si="52"/>
        <v>"C:\Program Files (x86)\AstroGrep\AstroGrep.exe" /spath="%USERPROFILE%\AppData\Local\Temp\OnboardLogs" /stypes="app*4026*20170224*" /stext=" 00:.+(\|loc)" /e /r /s</v>
      </c>
      <c r="AG189" s="1" t="str">
        <f t="shared" si="53"/>
        <v>NW</v>
      </c>
      <c r="AH189" s="86" t="str">
        <f t="shared" si="54"/>
        <v>"%USERPROFILE%\Documents\GitHub\eaglep3\Utilities\RefineRTDCRunTimes.py" --tripid 832-23 --locoid 4026 --swversion DE.1.0.9.0 --startMP 300:57343 --initTime 2017-02-23T17:07:08 --startdatetime 2017-02-23T17:12:04 --delay 3 --endMP 204:787 --enddatetime 2017-02-23T17:25:23 --enforcementcount 0 &gt;&gt;C:\Users\stu\Documents\GitHub\eaglep3-reporting\EC\2017-02-23-refined-times.txt</v>
      </c>
      <c r="AI18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{"issue":{"subject":"","project_id":79,"tracker_id":40,"status_id":1,"priority_id":2,"assigned_to_id":23,"start_date":"2017-02-23","description":"","custom_fields":[{"id":1,"name":"Subdivision","value":"NW"},{"id":4,"name":"Milepost","value":"0.0787"},{"id":17,"name":"Train ID","value":"832-23"},{"id":16,"name":"Locomotive ID","value":"4026"},{"id":130,"name":"Impact","value":""},{"id":150,"name":"Time of Event (Mountain Time)","value":"17:25:23"},{"id":151,"name":"Denver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56"/>
        <v>start /low /b %USERPROFILE%\Documents\GitHub\eaglep3\Utilities\DownloadLogsFromS3.py --loco 4026 --day 2017-02-23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2017-02-23-UncaughtWiMAX.txt</v>
      </c>
    </row>
    <row r="190" spans="1:40" x14ac:dyDescent="0.25">
      <c r="A190" s="33" t="s">
        <v>584</v>
      </c>
      <c r="B190" s="7">
        <v>4020</v>
      </c>
      <c r="C190" s="21" t="s">
        <v>294</v>
      </c>
      <c r="D190" s="21" t="s">
        <v>847</v>
      </c>
      <c r="E190" s="13">
        <v>42789.710393518515</v>
      </c>
      <c r="F190" s="13">
        <v>42789.723275462966</v>
      </c>
      <c r="G190" s="7">
        <v>1</v>
      </c>
      <c r="H190" s="21" t="s">
        <v>397</v>
      </c>
      <c r="I190" s="13">
        <v>42789.733368055553</v>
      </c>
      <c r="J190" s="7">
        <v>0</v>
      </c>
      <c r="K190" s="98" t="str">
        <f t="shared" si="39"/>
        <v>4019/4020</v>
      </c>
      <c r="L190" s="21" t="str">
        <f>VLOOKUP(A190,'Trips&amp;Operators'!$C$1:$G$99999,5,FALSE)</f>
        <v>LEVERE CRAIG</v>
      </c>
      <c r="M190" s="6">
        <f t="shared" si="40"/>
        <v>1.0092592587170657E-2</v>
      </c>
      <c r="N190" s="7">
        <f t="shared" si="41"/>
        <v>14.533333325525746</v>
      </c>
      <c r="O190" s="7"/>
      <c r="P190" s="7"/>
      <c r="Q190" s="22"/>
      <c r="R190" s="22"/>
      <c r="S190" s="31">
        <f t="shared" si="42"/>
        <v>1</v>
      </c>
      <c r="T190" s="46" t="str">
        <f t="shared" si="43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4"/>
        <v>https://d0f6bd738d7f1b3e5a7ca70fe4ff75f0.us-east-1.aws.found.io/app/kibana#/discover/Steve-Slow-Train-Analysis-(2080s-and-2083s)?_g=(refreshInterval:(display:Off,pause:!f,section:0,value:0),time:(from:'2017-02-23T16:02:58-0700',mode:absolute,to:'2017-02-23T18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187" t="str">
        <f t="shared" si="45"/>
        <v>N</v>
      </c>
      <c r="X190" s="187">
        <f t="shared" si="46"/>
        <v>1</v>
      </c>
      <c r="Y190" s="62">
        <f t="shared" si="47"/>
        <v>9.8100000000000007E-2</v>
      </c>
      <c r="Z190" s="62">
        <f t="shared" si="48"/>
        <v>5.8949999999999996</v>
      </c>
      <c r="AA190" s="62">
        <f t="shared" si="49"/>
        <v>5.7968999999999999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0"/>
        <v>0833-23</v>
      </c>
      <c r="AE19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90" s="82" t="str">
        <f t="shared" si="52"/>
        <v>"C:\Program Files (x86)\AstroGrep\AstroGrep.exe" /spath="%USERPROFILE%\AppData\Local\Temp\OnboardLogs" /stypes="app*4020*20170224*" /stext=" 00:.+(\|loc)" /e /r /s</v>
      </c>
      <c r="AG190" s="1" t="str">
        <f t="shared" si="53"/>
        <v>NW</v>
      </c>
      <c r="AH190" s="86" t="str">
        <f t="shared" si="54"/>
        <v>"%USERPROFILE%\Documents\GitHub\eaglep3\Utilities\RefineRTDCRunTimes.py" --tripid 833-23 --locoid 4020 --swversion DE.1.0.9.0 --startMP 204:981 --initTime 2017-02-23T17:02:58 --startdatetime 2017-02-23T17:21:31 --delay 1 --endMP 300:58950 --enddatetime 2017-02-23T17:36:03 --enforcementcount 0 &gt;&gt;C:\Users\stu\Documents\GitHub\eaglep3-reporting\EC\2017-02-23-refined-times.txt</v>
      </c>
      <c r="AI19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{"issue":{"subject":"","project_id":79,"tracker_id":40,"status_id":1,"priority_id":2,"assigned_to_id":23,"start_date":"2017-02-23","description":"","custom_fields":[{"id":1,"name":"Subdivision","value":"NW"},{"id":4,"name":"Milepost","value":"5.895"},{"id":17,"name":"Train ID","value":"833-23"},{"id":16,"name":"Locomotive ID","value":"4020"},{"id":130,"name":"Impact","value":""},{"id":150,"name":"Time of Event (Mountain Time)","value":"17:36:03"},{"id":151,"name":"Denver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56"/>
        <v>start /low /b %USERPROFILE%\Documents\GitHub\eaglep3\Utilities\DownloadLogsFromS3.py --loco 4020 --day 2017-02-23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191" spans="1:40" x14ac:dyDescent="0.25">
      <c r="A191" s="33" t="s">
        <v>590</v>
      </c>
      <c r="B191" s="7">
        <v>4019</v>
      </c>
      <c r="C191" s="21" t="s">
        <v>294</v>
      </c>
      <c r="D191" s="21" t="s">
        <v>324</v>
      </c>
      <c r="E191" s="13">
        <v>42789.734409722223</v>
      </c>
      <c r="F191" s="13">
        <v>42789.735706018517</v>
      </c>
      <c r="G191" s="7">
        <v>1</v>
      </c>
      <c r="H191" s="21" t="s">
        <v>864</v>
      </c>
      <c r="I191" s="13">
        <v>42789.749074074076</v>
      </c>
      <c r="J191" s="7">
        <v>0</v>
      </c>
      <c r="K191" s="98" t="str">
        <f t="shared" si="39"/>
        <v>4019/4020</v>
      </c>
      <c r="L191" s="21" t="str">
        <f>VLOOKUP(A191,'Trips&amp;Operators'!$C$1:$G$99999,5,FALSE)</f>
        <v>LEVERE CRAIG</v>
      </c>
      <c r="M191" s="6">
        <f t="shared" si="40"/>
        <v>1.336805555911269E-2</v>
      </c>
      <c r="N191" s="7">
        <f t="shared" si="41"/>
        <v>19.250000005122274</v>
      </c>
      <c r="O191" s="7"/>
      <c r="P191" s="7"/>
      <c r="Q191" s="22"/>
      <c r="R191" s="22"/>
      <c r="S191" s="31">
        <f t="shared" si="42"/>
        <v>1</v>
      </c>
      <c r="T191" s="46" t="str">
        <f t="shared" si="43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4"/>
        <v>https://d0f6bd738d7f1b3e5a7ca70fe4ff75f0.us-east-1.aws.found.io/app/kibana#/discover/Steve-Slow-Train-Analysis-(2080s-and-2083s)?_g=(refreshInterval:(display:Off,pause:!f,section:0,value:0),time:(from:'2017-02-23T16:37:33-0700',mode:absolute,to:'2017-02-23T18:58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187" t="str">
        <f t="shared" si="45"/>
        <v>N</v>
      </c>
      <c r="X191" s="187">
        <f t="shared" si="46"/>
        <v>1</v>
      </c>
      <c r="Y191" s="62">
        <f t="shared" si="47"/>
        <v>5.8628</v>
      </c>
      <c r="Z191" s="62">
        <f t="shared" si="48"/>
        <v>6.9800000000000001E-2</v>
      </c>
      <c r="AA191" s="62">
        <f t="shared" si="49"/>
        <v>5.7930000000000001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0"/>
        <v>0834-23</v>
      </c>
      <c r="AE19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1" s="82" t="str">
        <f t="shared" si="52"/>
        <v>"C:\Program Files (x86)\AstroGrep\AstroGrep.exe" /spath="%USERPROFILE%\AppData\Local\Temp\OnboardLogs" /stypes="app*4019*20170224*" /stext=" 00:.+(\|loc)" /e /r /s</v>
      </c>
      <c r="AG191" s="1" t="str">
        <f t="shared" si="53"/>
        <v>NW</v>
      </c>
      <c r="AH191" s="86" t="str">
        <f t="shared" si="54"/>
        <v>"%USERPROFILE%\Documents\GitHub\eaglep3\Utilities\RefineRTDCRunTimes.py" --tripid 834-23 --locoid 4019 --swversion DE.1.0.9.0 --startMP 300:58628 --initTime 2017-02-23T17:37:33 --startdatetime 2017-02-23T17:39:25 --delay 1 --endMP 204:698 --enddatetime 2017-02-23T17:58:40 --enforcementcount 0 &gt;&gt;C:\Users\stu\Documents\GitHub\eaglep3-reporting\EC\2017-02-23-refined-times.txt</v>
      </c>
      <c r="AI19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{"issue":{"subject":"","project_id":79,"tracker_id":40,"status_id":1,"priority_id":2,"assigned_to_id":23,"start_date":"2017-02-23","description":"","custom_fields":[{"id":1,"name":"Subdivision","value":"NW"},{"id":4,"name":"Milepost","value":"0.0698"},{"id":17,"name":"Train ID","value":"834-23"},{"id":16,"name":"Locomotive ID","value":"4019"},{"id":130,"name":"Impact","value":""},{"id":150,"name":"Time of Event (Mountain Time)","value":"17:58:40"},{"id":151,"name":"Denver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56"/>
        <v>start /low /b %USERPROFILE%\Documents\GitHub\eaglep3\Utilities\DownloadLogsFromS3.py --loco 4019 --day 2017-02-23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192" spans="1:40" x14ac:dyDescent="0.25">
      <c r="A192" s="33" t="s">
        <v>589</v>
      </c>
      <c r="B192" s="7">
        <v>4025</v>
      </c>
      <c r="C192" s="21" t="s">
        <v>294</v>
      </c>
      <c r="D192" s="21" t="s">
        <v>865</v>
      </c>
      <c r="E192" s="13">
        <v>42789.729687500003</v>
      </c>
      <c r="F192" s="13">
        <v>42789.743935185186</v>
      </c>
      <c r="G192" s="7">
        <v>0</v>
      </c>
      <c r="H192" s="21" t="s">
        <v>866</v>
      </c>
      <c r="I192" s="13">
        <v>42789.754074074073</v>
      </c>
      <c r="J192" s="7">
        <v>0</v>
      </c>
      <c r="K192" s="98" t="str">
        <f t="shared" si="39"/>
        <v>4025/4026</v>
      </c>
      <c r="L192" s="21" t="str">
        <f>VLOOKUP(A192,'Trips&amp;Operators'!$C$1:$G$99999,5,FALSE)</f>
        <v>STORY SAMANTHA</v>
      </c>
      <c r="M192" s="6">
        <f t="shared" si="40"/>
        <v>1.0138888887013309E-2</v>
      </c>
      <c r="N192" s="7">
        <f t="shared" si="41"/>
        <v>14.599999997299165</v>
      </c>
      <c r="O192" s="7"/>
      <c r="P192" s="7"/>
      <c r="Q192" s="22"/>
      <c r="R192" s="22"/>
      <c r="S192" s="31">
        <f t="shared" si="42"/>
        <v>1</v>
      </c>
      <c r="T192" s="46" t="str">
        <f t="shared" si="43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4"/>
        <v>https://d0f6bd738d7f1b3e5a7ca70fe4ff75f0.us-east-1.aws.found.io/app/kibana#/discover/Steve-Slow-Train-Analysis-(2080s-and-2083s)?_g=(refreshInterval:(display:Off,pause:!f,section:0,value:0),time:(from:'2017-02-23T16:30:45-0700',mode:absolute,to:'2017-02-23T19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187" t="str">
        <f t="shared" si="45"/>
        <v>N</v>
      </c>
      <c r="X192" s="187">
        <f t="shared" si="46"/>
        <v>1</v>
      </c>
      <c r="Y192" s="62">
        <f t="shared" si="47"/>
        <v>0.10829999999999999</v>
      </c>
      <c r="Z192" s="62">
        <f t="shared" si="48"/>
        <v>5.8994</v>
      </c>
      <c r="AA192" s="62">
        <f t="shared" si="49"/>
        <v>5.7911000000000001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0"/>
        <v>0835-23</v>
      </c>
      <c r="AE192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92" s="82" t="str">
        <f t="shared" si="52"/>
        <v>"C:\Program Files (x86)\AstroGrep\AstroGrep.exe" /spath="%USERPROFILE%\AppData\Local\Temp\OnboardLogs" /stypes="app*4025*20170224*" /stext=" 01:.+(\|loc)" /e /r /s</v>
      </c>
      <c r="AG192" s="1" t="str">
        <f t="shared" si="53"/>
        <v>NW</v>
      </c>
      <c r="AH192" s="86" t="str">
        <f t="shared" si="54"/>
        <v>"%USERPROFILE%\Documents\GitHub\eaglep3\Utilities\RefineRTDCRunTimes.py" --tripid 835-23 --locoid 4025 --swversion DE.1.0.9.0 --startMP 204:1083 --initTime 2017-02-23T17:30:45 --startdatetime 2017-02-23T17:51:16 --delay 0 --endMP 300:58994 --enddatetime 2017-02-23T18:05:52 --enforcementcount 0 &gt;&gt;C:\Users\stu\Documents\GitHub\eaglep3-reporting\EC\2017-02-23-refined-times.txt</v>
      </c>
      <c r="AI19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{"issue":{"subject":"","project_id":79,"tracker_id":40,"status_id":1,"priority_id":2,"assigned_to_id":23,"start_date":"2017-02-23","description":"","custom_fields":[{"id":1,"name":"Subdivision","value":"NW"},{"id":4,"name":"Milepost","value":"5.8994"},{"id":17,"name":"Train ID","value":"835-23"},{"id":16,"name":"Locomotive ID","value":"4025"},{"id":130,"name":"Impact","value":""},{"id":150,"name":"Time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56"/>
        <v>start /low /b %USERPROFILE%\Documents\GitHub\eaglep3\Utilities\DownloadLogsFromS3.py --loco 4025 --day 2017-02-23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2017-02-23-UncaughtWiMAX.txt</v>
      </c>
    </row>
    <row r="193" spans="1:40" x14ac:dyDescent="0.25">
      <c r="A193" s="33" t="s">
        <v>452</v>
      </c>
      <c r="B193" s="7">
        <v>4026</v>
      </c>
      <c r="C193" s="21" t="s">
        <v>294</v>
      </c>
      <c r="D193" s="21" t="s">
        <v>867</v>
      </c>
      <c r="E193" s="13">
        <v>42789.756018518521</v>
      </c>
      <c r="F193" s="13">
        <v>42789.757407407407</v>
      </c>
      <c r="G193" s="7">
        <v>1</v>
      </c>
      <c r="H193" s="21" t="s">
        <v>868</v>
      </c>
      <c r="I193" s="13">
        <v>42789.770879629628</v>
      </c>
      <c r="J193" s="7">
        <v>0</v>
      </c>
      <c r="K193" s="98" t="str">
        <f t="shared" si="39"/>
        <v>4025/4026</v>
      </c>
      <c r="L193" s="21" t="str">
        <f>VLOOKUP(A193,'Trips&amp;Operators'!$C$1:$G$99999,5,FALSE)</f>
        <v>STORY SAMANTHA</v>
      </c>
      <c r="M193" s="6">
        <f t="shared" si="40"/>
        <v>1.3472222221025731E-2</v>
      </c>
      <c r="N193" s="7">
        <f t="shared" si="41"/>
        <v>19.399999998277053</v>
      </c>
      <c r="O193" s="7"/>
      <c r="P193" s="7"/>
      <c r="Q193" s="22"/>
      <c r="R193" s="22"/>
      <c r="S193" s="31">
        <f t="shared" si="42"/>
        <v>1</v>
      </c>
      <c r="T193" s="46" t="str">
        <f t="shared" si="43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4"/>
        <v>https://d0f6bd738d7f1b3e5a7ca70fe4ff75f0.us-east-1.aws.found.io/app/kibana#/discover/Steve-Slow-Train-Analysis-(2080s-and-2083s)?_g=(refreshInterval:(display:Off,pause:!f,section:0,value:0),time:(from:'2017-02-23T17:08:40-0700',mode:absolute,to:'2017-02-23T19:30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87" t="str">
        <f t="shared" si="45"/>
        <v>N</v>
      </c>
      <c r="X193" s="187">
        <f t="shared" si="46"/>
        <v>1</v>
      </c>
      <c r="Y193" s="62">
        <f t="shared" si="47"/>
        <v>5.8682999999999996</v>
      </c>
      <c r="Z193" s="62">
        <f t="shared" si="48"/>
        <v>6.4000000000000001E-2</v>
      </c>
      <c r="AA193" s="62">
        <f t="shared" si="49"/>
        <v>5.8042999999999996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0"/>
        <v>0836-23</v>
      </c>
      <c r="AE193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93" s="82" t="str">
        <f t="shared" si="52"/>
        <v>"C:\Program Files (x86)\AstroGrep\AstroGrep.exe" /spath="%USERPROFILE%\AppData\Local\Temp\OnboardLogs" /stypes="app*4026*20170224*" /stext=" 01:.+(\|loc)" /e /r /s</v>
      </c>
      <c r="AG193" s="1" t="str">
        <f t="shared" si="53"/>
        <v>NW</v>
      </c>
      <c r="AH193" s="86" t="str">
        <f t="shared" si="54"/>
        <v>"%USERPROFILE%\Documents\GitHub\eaglep3\Utilities\RefineRTDCRunTimes.py" --tripid 836-23 --locoid 4026 --swversion DE.1.0.9.0 --startMP 300:58683 --initTime 2017-02-23T18:08:40 --startdatetime 2017-02-23T18:10:40 --delay 1 --endMP 204:640 --enddatetime 2017-02-23T18:30:04 --enforcementcount 0 &gt;&gt;C:\Users\stu\Documents\GitHub\eaglep3-reporting\EC\2017-02-23-refined-times.txt</v>
      </c>
      <c r="AI19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{"issue":{"subject":"","project_id":79,"tracker_id":40,"status_id":1,"priority_id":2,"assigned_to_id":23,"start_date":"2017-02-23","description":"","custom_fields":[{"id":1,"name":"Subdivision","value":"NW"},{"id":4,"name":"Milepost","value":"0.064"},{"id":17,"name":"Train ID","value":"836-23"},{"id":16,"name":"Locomotive ID","value":"4026"},{"id":130,"name":"Impact","value":""},{"id":150,"name":"Time of Event (Mountain Time)","value":"18:30:04"},{"id":151,"name":"Denver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56"/>
        <v>start /low /b %USERPROFILE%\Documents\GitHub\eaglep3\Utilities\DownloadLogsFromS3.py --loco 4026 --day 2017-02-23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2017-02-23-UncaughtWiMAX.txt</v>
      </c>
    </row>
    <row r="194" spans="1:40" x14ac:dyDescent="0.25">
      <c r="A194" s="33" t="s">
        <v>597</v>
      </c>
      <c r="B194" s="7">
        <v>4020</v>
      </c>
      <c r="C194" s="21" t="s">
        <v>294</v>
      </c>
      <c r="D194" s="21" t="s">
        <v>394</v>
      </c>
      <c r="E194" s="13">
        <v>42789.759791666664</v>
      </c>
      <c r="F194" s="13">
        <v>42789.764768518522</v>
      </c>
      <c r="G194" s="7">
        <v>1</v>
      </c>
      <c r="H194" s="21" t="s">
        <v>869</v>
      </c>
      <c r="I194" s="13">
        <v>42789.774930555555</v>
      </c>
      <c r="J194" s="7">
        <v>0</v>
      </c>
      <c r="K194" s="98" t="str">
        <f t="shared" si="39"/>
        <v>4019/4020</v>
      </c>
      <c r="L194" s="21" t="str">
        <f>VLOOKUP(A194,'Trips&amp;Operators'!$C$1:$G$99999,5,FALSE)</f>
        <v>LEVERE CRAIG</v>
      </c>
      <c r="M194" s="6">
        <f t="shared" si="40"/>
        <v>1.0162037033296656E-2</v>
      </c>
      <c r="N194" s="7">
        <f t="shared" si="41"/>
        <v>14.633333327947184</v>
      </c>
      <c r="O194" s="7"/>
      <c r="P194" s="7"/>
      <c r="Q194" s="22"/>
      <c r="R194" s="22"/>
      <c r="S194" s="31">
        <f t="shared" si="42"/>
        <v>1</v>
      </c>
      <c r="T194" s="46" t="str">
        <f t="shared" si="43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4"/>
        <v>https://d0f6bd738d7f1b3e5a7ca70fe4ff75f0.us-east-1.aws.found.io/app/kibana#/discover/Steve-Slow-Train-Analysis-(2080s-and-2083s)?_g=(refreshInterval:(display:Off,pause:!f,section:0,value:0),time:(from:'2017-02-23T17:14:06-0700',mode:absolute,to:'2017-02-23T19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4" s="187" t="str">
        <f t="shared" si="45"/>
        <v>N</v>
      </c>
      <c r="X194" s="187">
        <f t="shared" si="46"/>
        <v>1</v>
      </c>
      <c r="Y194" s="62">
        <f t="shared" si="47"/>
        <v>9.7799999999999998E-2</v>
      </c>
      <c r="Z194" s="62">
        <f t="shared" si="48"/>
        <v>5.8956</v>
      </c>
      <c r="AA194" s="62">
        <f t="shared" si="49"/>
        <v>5.7977999999999996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0"/>
        <v>0837-23</v>
      </c>
      <c r="AE194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94" s="82" t="str">
        <f t="shared" si="52"/>
        <v>"C:\Program Files (x86)\AstroGrep\AstroGrep.exe" /spath="%USERPROFILE%\AppData\Local\Temp\OnboardLogs" /stypes="app*4020*20170224*" /stext=" 01:.+(\|loc)" /e /r /s</v>
      </c>
      <c r="AG194" s="1" t="str">
        <f t="shared" si="53"/>
        <v>NW</v>
      </c>
      <c r="AH194" s="86" t="str">
        <f t="shared" si="54"/>
        <v>"%USERPROFILE%\Documents\GitHub\eaglep3\Utilities\RefineRTDCRunTimes.py" --tripid 837-23 --locoid 4020 --swversion DE.1.0.9.0 --startMP 204:978 --initTime 2017-02-23T18:14:06 --startdatetime 2017-02-23T18:21:16 --delay 1 --endMP 300:58956 --enddatetime 2017-02-23T18:35:54 --enforcementcount 0 &gt;&gt;C:\Users\stu\Documents\GitHub\eaglep3-reporting\EC\2017-02-23-refined-times.txt</v>
      </c>
      <c r="AI19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{"issue":{"subject":"","project_id":79,"tracker_id":40,"status_id":1,"priority_id":2,"assigned_to_id":23,"start_date":"2017-02-23","description":"","custom_fields":[{"id":1,"name":"Subdivision","value":"NW"},{"id":4,"name":"Milepost","value":"5.8956"},{"id":17,"name":"Train ID","value":"837-23"},{"id":16,"name":"Locomotive ID","value":"4020"},{"id":130,"name":"Impact","value":""},{"id":150,"name":"Time of Event (Mountain Time)","value":"18:35:54"},{"id":151,"name":"Denver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56"/>
        <v>start /low /b %USERPROFILE%\Documents\GitHub\eaglep3\Utilities\DownloadLogsFromS3.py --loco 4020 --day 2017-02-23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195" spans="1:40" x14ac:dyDescent="0.25">
      <c r="A195" s="33" t="s">
        <v>601</v>
      </c>
      <c r="B195" s="7">
        <v>4019</v>
      </c>
      <c r="C195" s="21" t="s">
        <v>294</v>
      </c>
      <c r="D195" s="21" t="s">
        <v>870</v>
      </c>
      <c r="E195" s="13">
        <v>42789.775891203702</v>
      </c>
      <c r="F195" s="13">
        <v>42789.777418981481</v>
      </c>
      <c r="G195" s="7">
        <v>1</v>
      </c>
      <c r="H195" s="21" t="s">
        <v>403</v>
      </c>
      <c r="I195" s="13">
        <v>42789.789733796293</v>
      </c>
      <c r="J195" s="7">
        <v>0</v>
      </c>
      <c r="K195" s="98" t="str">
        <f t="shared" si="39"/>
        <v>4019/4020</v>
      </c>
      <c r="L195" s="21" t="str">
        <f>VLOOKUP(A195,'Trips&amp;Operators'!$C$1:$G$99999,5,FALSE)</f>
        <v>LEVERE CRAIG</v>
      </c>
      <c r="M195" s="6">
        <f t="shared" si="40"/>
        <v>1.2314814812270924E-2</v>
      </c>
      <c r="N195" s="7">
        <f t="shared" si="41"/>
        <v>17.733333329670131</v>
      </c>
      <c r="O195" s="7"/>
      <c r="P195" s="7"/>
      <c r="Q195" s="22"/>
      <c r="R195" s="22"/>
      <c r="S195" s="31">
        <f t="shared" si="42"/>
        <v>1</v>
      </c>
      <c r="T195" s="46" t="str">
        <f t="shared" si="43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4"/>
        <v>https://d0f6bd738d7f1b3e5a7ca70fe4ff75f0.us-east-1.aws.found.io/app/kibana#/discover/Steve-Slow-Train-Analysis-(2080s-and-2083s)?_g=(refreshInterval:(display:Off,pause:!f,section:0,value:0),time:(from:'2017-02-23T17:37:17-0700',mode:absolute,to:'2017-02-23T19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187" t="str">
        <f t="shared" si="45"/>
        <v>N</v>
      </c>
      <c r="X195" s="187">
        <f t="shared" si="46"/>
        <v>1</v>
      </c>
      <c r="Y195" s="62">
        <f t="shared" si="47"/>
        <v>5.8639999999999999</v>
      </c>
      <c r="Z195" s="62">
        <f t="shared" si="48"/>
        <v>7.0099999999999996E-2</v>
      </c>
      <c r="AA195" s="62">
        <f t="shared" si="49"/>
        <v>5.7938999999999998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0"/>
        <v>0838-23</v>
      </c>
      <c r="AE195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5" s="82" t="str">
        <f t="shared" si="52"/>
        <v>"C:\Program Files (x86)\AstroGrep\AstroGrep.exe" /spath="%USERPROFILE%\AppData\Local\Temp\OnboardLogs" /stypes="app*4019*20170224*" /stext=" 01:.+(\|loc)" /e /r /s</v>
      </c>
      <c r="AG195" s="1" t="str">
        <f t="shared" si="53"/>
        <v>NW</v>
      </c>
      <c r="AH195" s="86" t="str">
        <f t="shared" si="54"/>
        <v>"%USERPROFILE%\Documents\GitHub\eaglep3\Utilities\RefineRTDCRunTimes.py" --tripid 838-23 --locoid 4019 --swversion DE.1.0.9.0 --startMP 300:58640 --initTime 2017-02-23T18:37:17 --startdatetime 2017-02-23T18:39:29 --delay 1 --endMP 204:701 --enddatetime 2017-02-23T18:57:13 --enforcementcount 0 &gt;&gt;C:\Users\stu\Documents\GitHub\eaglep3-reporting\EC\2017-02-23-refined-times.txt</v>
      </c>
      <c r="AI19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{"issue":{"subject":"","project_id":79,"tracker_id":40,"status_id":1,"priority_id":2,"assigned_to_id":23,"start_date":"2017-02-23","description":"","custom_fields":[{"id":1,"name":"Subdivision","value":"NW"},{"id":4,"name":"Milepost","value":"0.0701"},{"id":17,"name":"Train ID","value":"838-23"},{"id":16,"name":"Locomotive ID","value":"4019"},{"id":130,"name":"Impact","value":""},{"id":150,"name":"Time of Event (Mountain Time)","value":"18:57:13"},{"id":151,"name":"Denver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56"/>
        <v>start /low /b %USERPROFILE%\Documents\GitHub\eaglep3\Utilities\DownloadLogsFromS3.py --loco 4019 --day 2017-02-23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196" spans="1:40" x14ac:dyDescent="0.25">
      <c r="A196" s="33" t="s">
        <v>604</v>
      </c>
      <c r="B196" s="7">
        <v>4025</v>
      </c>
      <c r="C196" s="21" t="s">
        <v>294</v>
      </c>
      <c r="D196" s="21" t="s">
        <v>871</v>
      </c>
      <c r="E196" s="13">
        <v>42789.783576388887</v>
      </c>
      <c r="F196" s="13">
        <v>42789.785694444443</v>
      </c>
      <c r="G196" s="7">
        <v>1</v>
      </c>
      <c r="H196" s="21" t="s">
        <v>866</v>
      </c>
      <c r="I196" s="13">
        <v>42789.795752314814</v>
      </c>
      <c r="J196" s="7">
        <v>0</v>
      </c>
      <c r="K196" s="98" t="str">
        <f t="shared" si="39"/>
        <v>4025/4026</v>
      </c>
      <c r="L196" s="21" t="str">
        <f>VLOOKUP(A196,'Trips&amp;Operators'!$C$1:$G$99999,5,FALSE)</f>
        <v>STORY SAMANTHA</v>
      </c>
      <c r="M196" s="6">
        <f t="shared" si="40"/>
        <v>1.0057870371383615E-2</v>
      </c>
      <c r="N196" s="7">
        <f t="shared" si="41"/>
        <v>14.483333334792405</v>
      </c>
      <c r="O196" s="7"/>
      <c r="P196" s="7"/>
      <c r="Q196" s="22"/>
      <c r="R196" s="22"/>
      <c r="S196" s="31">
        <f t="shared" si="42"/>
        <v>1</v>
      </c>
      <c r="T196" s="46" t="str">
        <f t="shared" si="43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44"/>
        <v>https://d0f6bd738d7f1b3e5a7ca70fe4ff75f0.us-east-1.aws.found.io/app/kibana#/discover/Steve-Slow-Train-Analysis-(2080s-and-2083s)?_g=(refreshInterval:(display:Off,pause:!f,section:0,value:0),time:(from:'2017-02-23T17:48:21-0700',mode:absolute,to:'2017-02-23T20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87" t="str">
        <f t="shared" si="45"/>
        <v>N</v>
      </c>
      <c r="X196" s="187">
        <f t="shared" si="46"/>
        <v>1</v>
      </c>
      <c r="Y196" s="62">
        <f t="shared" si="47"/>
        <v>9.1999999999999998E-2</v>
      </c>
      <c r="Z196" s="62">
        <f t="shared" si="48"/>
        <v>5.8994</v>
      </c>
      <c r="AA196" s="62">
        <f t="shared" si="49"/>
        <v>5.8074000000000003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0"/>
        <v>0839-23</v>
      </c>
      <c r="AE196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96" s="82" t="str">
        <f t="shared" si="52"/>
        <v>"C:\Program Files (x86)\AstroGrep\AstroGrep.exe" /spath="%USERPROFILE%\AppData\Local\Temp\OnboardLogs" /stypes="app*4025*20170224*" /stext=" 02:.+(\|loc)" /e /r /s</v>
      </c>
      <c r="AG196" s="1" t="str">
        <f t="shared" si="53"/>
        <v>NW</v>
      </c>
      <c r="AH196" s="86" t="str">
        <f t="shared" si="54"/>
        <v>"%USERPROFILE%\Documents\GitHub\eaglep3\Utilities\RefineRTDCRunTimes.py" --tripid 839-23 --locoid 4025 --swversion DE.1.0.9.0 --startMP 204:920 --initTime 2017-02-23T18:48:21 --startdatetime 2017-02-23T18:51:24 --delay 1 --endMP 300:58994 --enddatetime 2017-02-23T19:05:53 --enforcementcount 0 &gt;&gt;C:\Users\stu\Documents\GitHub\eaglep3-reporting\EC\2017-02-23-refined-times.txt</v>
      </c>
      <c r="AI19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{"issue":{"subject":"","project_id":79,"tracker_id":40,"status_id":1,"priority_id":2,"assigned_to_id":23,"start_date":"2017-02-23","description":"","custom_fields":[{"id":1,"name":"Subdivision","value":"NW"},{"id":4,"name":"Milepost","value":"5.8994"},{"id":17,"name":"Train ID","value":"839-23"},{"id":16,"name":"Locomotive ID","value":"4025"},{"id":130,"name":"Impact","value":""},{"id":150,"name":"Time of Event (Mountain Time)","value":"19:05:53"},{"id":151,"name":"Denver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56"/>
        <v>start /low /b %USERPROFILE%\Documents\GitHub\eaglep3\Utilities\DownloadLogsFromS3.py --loco 4025 --day 2017-02-23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2017-02-23-UncaughtWiMAX.txt</v>
      </c>
    </row>
    <row r="197" spans="1:40" x14ac:dyDescent="0.25">
      <c r="A197" s="33" t="s">
        <v>611</v>
      </c>
      <c r="B197" s="7">
        <v>4019</v>
      </c>
      <c r="C197" s="21" t="s">
        <v>294</v>
      </c>
      <c r="D197" s="21" t="s">
        <v>298</v>
      </c>
      <c r="E197" s="13">
        <v>42789.81726851852</v>
      </c>
      <c r="F197" s="13">
        <v>42789.818749999999</v>
      </c>
      <c r="G197" s="7">
        <v>1</v>
      </c>
      <c r="H197" s="21" t="s">
        <v>299</v>
      </c>
      <c r="I197" s="13">
        <v>42789.831909722219</v>
      </c>
      <c r="J197" s="7">
        <v>0</v>
      </c>
      <c r="K197" s="98" t="str">
        <f t="shared" si="39"/>
        <v>4019/4020</v>
      </c>
      <c r="L197" s="21" t="str">
        <f>VLOOKUP(A197,'Trips&amp;Operators'!$C$1:$G$99999,5,FALSE)</f>
        <v>LEVERE CRAIG</v>
      </c>
      <c r="M197" s="6">
        <f t="shared" si="40"/>
        <v>1.3159722220734693E-2</v>
      </c>
      <c r="N197" s="7">
        <f t="shared" si="41"/>
        <v>18.949999997857958</v>
      </c>
      <c r="O197" s="7"/>
      <c r="P197" s="7"/>
      <c r="Q197" s="22"/>
      <c r="R197" s="22"/>
      <c r="S197" s="31">
        <f t="shared" si="42"/>
        <v>1</v>
      </c>
      <c r="T197" s="46" t="str">
        <f t="shared" si="43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4"/>
        <v>https://d0f6bd738d7f1b3e5a7ca70fe4ff75f0.us-east-1.aws.found.io/app/kibana#/discover/Steve-Slow-Train-Analysis-(2080s-and-2083s)?_g=(refreshInterval:(display:Off,pause:!f,section:0,value:0),time:(from:'2017-02-23T18:36:52-0700',mode:absolute,to:'2017-02-23T20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87" t="str">
        <f t="shared" si="45"/>
        <v>N</v>
      </c>
      <c r="X197" s="187">
        <f t="shared" si="46"/>
        <v>1</v>
      </c>
      <c r="Y197" s="62">
        <f t="shared" si="47"/>
        <v>5.8630000000000004</v>
      </c>
      <c r="Z197" s="62">
        <f t="shared" si="48"/>
        <v>6.9199999999999998E-2</v>
      </c>
      <c r="AA197" s="62">
        <f t="shared" si="49"/>
        <v>5.7938000000000001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0"/>
        <v>0840-23</v>
      </c>
      <c r="AE197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7" s="82" t="str">
        <f t="shared" si="52"/>
        <v>"C:\Program Files (x86)\AstroGrep\AstroGrep.exe" /spath="%USERPROFILE%\AppData\Local\Temp\OnboardLogs" /stypes="app*4019*20170224*" /stext=" 02:.+(\|loc)" /e /r /s</v>
      </c>
      <c r="AG197" s="1" t="str">
        <f t="shared" si="53"/>
        <v>NW</v>
      </c>
      <c r="AH197" s="86" t="str">
        <f t="shared" si="54"/>
        <v>"%USERPROFILE%\Documents\GitHub\eaglep3\Utilities\RefineRTDCRunTimes.py" --tripid 840-23 --locoid 4019 --swversion DE.1.0.9.0 --startMP 300:58630 --initTime 2017-02-23T19:36:52 --startdatetime 2017-02-23T19:39:00 --delay 1 --endMP 204:692 --enddatetime 2017-02-23T19:57:57 --enforcementcount 0 &gt;&gt;C:\Users\stu\Documents\GitHub\eaglep3-reporting\EC\2017-02-23-refined-times.txt</v>
      </c>
      <c r="AI19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{"issue":{"subject":"","project_id":79,"tracker_id":40,"status_id":1,"priority_id":2,"assigned_to_id":23,"start_date":"2017-02-23","description":"","custom_fields":[{"id":1,"name":"Subdivision","value":"NW"},{"id":4,"name":"Milepost","value":"0.0692"},{"id":17,"name":"Train ID","value":"840-23"},{"id":16,"name":"Locomotive ID","value":"4019"},{"id":130,"name":"Impact","value":""},{"id":150,"name":"Time of Event (Mountain Time)","value":"19:57:57"},{"id":151,"name":"Denver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56"/>
        <v>start /low /b %USERPROFILE%\Documents\GitHub\eaglep3\Utilities\DownloadLogsFromS3.py --loco 4019 --day 2017-02-23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198" spans="1:40" x14ac:dyDescent="0.25">
      <c r="A198" s="33" t="s">
        <v>608</v>
      </c>
      <c r="B198" s="7">
        <v>4020</v>
      </c>
      <c r="C198" s="21" t="s">
        <v>294</v>
      </c>
      <c r="D198" s="21" t="s">
        <v>322</v>
      </c>
      <c r="E198" s="13">
        <v>42789.80060185185</v>
      </c>
      <c r="F198" s="13">
        <v>42789.806608796294</v>
      </c>
      <c r="G198" s="7">
        <v>1</v>
      </c>
      <c r="H198" s="21" t="s">
        <v>872</v>
      </c>
      <c r="I198" s="13">
        <v>42789.816354166665</v>
      </c>
      <c r="J198" s="7">
        <v>0</v>
      </c>
      <c r="K198" s="98" t="str">
        <f t="shared" si="39"/>
        <v>4019/4020</v>
      </c>
      <c r="L198" s="21" t="str">
        <f>VLOOKUP(A198,'Trips&amp;Operators'!$C$1:$G$99999,5,FALSE)</f>
        <v>LEVERE CRAIG</v>
      </c>
      <c r="M198" s="6">
        <f t="shared" si="40"/>
        <v>9.7453703710925765E-3</v>
      </c>
      <c r="N198" s="7">
        <f t="shared" si="41"/>
        <v>14.03333333437331</v>
      </c>
      <c r="O198" s="7"/>
      <c r="P198" s="7"/>
      <c r="Q198" s="22"/>
      <c r="R198" s="22"/>
      <c r="S198" s="31">
        <f t="shared" si="42"/>
        <v>1</v>
      </c>
      <c r="T198" s="46" t="str">
        <f t="shared" si="43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4"/>
        <v>https://d0f6bd738d7f1b3e5a7ca70fe4ff75f0.us-east-1.aws.found.io/app/kibana#/discover/Steve-Slow-Train-Analysis-(2080s-and-2083s)?_g=(refreshInterval:(display:Off,pause:!f,section:0,value:0),time:(from:'2017-02-23T18:12:52-0700',mode:absolute,to:'2017-02-23T20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187" t="str">
        <f t="shared" si="45"/>
        <v>N</v>
      </c>
      <c r="X198" s="187">
        <f t="shared" si="46"/>
        <v>1</v>
      </c>
      <c r="Y198" s="62">
        <f t="shared" si="47"/>
        <v>9.74E-2</v>
      </c>
      <c r="Z198" s="62">
        <f t="shared" si="48"/>
        <v>5.8935000000000004</v>
      </c>
      <c r="AA198" s="62">
        <f t="shared" si="49"/>
        <v>5.7961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0"/>
        <v>0841-23</v>
      </c>
      <c r="AE198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98" s="82" t="str">
        <f t="shared" si="52"/>
        <v>"C:\Program Files (x86)\AstroGrep\AstroGrep.exe" /spath="%USERPROFILE%\AppData\Local\Temp\OnboardLogs" /stypes="app*4020*20170224*" /stext=" 02:.+(\|loc)" /e /r /s</v>
      </c>
      <c r="AG198" s="1" t="str">
        <f t="shared" si="53"/>
        <v>NW</v>
      </c>
      <c r="AH198" s="86" t="str">
        <f t="shared" si="54"/>
        <v>"%USERPROFILE%\Documents\GitHub\eaglep3\Utilities\RefineRTDCRunTimes.py" --tripid 841-23 --locoid 4020 --swversion DE.1.0.9.0 --startMP 204:974 --initTime 2017-02-23T19:12:52 --startdatetime 2017-02-23T19:21:31 --delay 1 --endMP 300:58935 --enddatetime 2017-02-23T19:35:33 --enforcementcount 0 &gt;&gt;C:\Users\stu\Documents\GitHub\eaglep3-reporting\EC\2017-02-23-refined-times.txt</v>
      </c>
      <c r="AI19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{"issue":{"subject":"","project_id":79,"tracker_id":40,"status_id":1,"priority_id":2,"assigned_to_id":23,"start_date":"2017-02-23","description":"","custom_fields":[{"id":1,"name":"Subdivision","value":"NW"},{"id":4,"name":"Milepost","value":"5.8935"},{"id":17,"name":"Train ID","value":"841-23"},{"id":16,"name":"Locomotive ID","value":"4020"},{"id":130,"name":"Impact","value":""},{"id":150,"name":"Time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56"/>
        <v>start /low /b %USERPROFILE%\Documents\GitHub\eaglep3\Utilities\DownloadLogsFromS3.py --loco 4020 --day 2017-02-23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199" spans="1:40" x14ac:dyDescent="0.25">
      <c r="A199" s="33" t="s">
        <v>621</v>
      </c>
      <c r="B199" s="7">
        <v>4019</v>
      </c>
      <c r="C199" s="21" t="s">
        <v>294</v>
      </c>
      <c r="D199" s="21" t="s">
        <v>390</v>
      </c>
      <c r="E199" s="13">
        <v>42789.859386574077</v>
      </c>
      <c r="F199" s="13">
        <v>42789.860949074071</v>
      </c>
      <c r="G199" s="7">
        <v>1</v>
      </c>
      <c r="H199" s="21" t="s">
        <v>873</v>
      </c>
      <c r="I199" s="13">
        <v>42789.871967592589</v>
      </c>
      <c r="J199" s="7">
        <v>0</v>
      </c>
      <c r="K199" s="98" t="str">
        <f t="shared" si="39"/>
        <v>4019/4020</v>
      </c>
      <c r="L199" s="21" t="str">
        <f>VLOOKUP(A199,'Trips&amp;Operators'!$C$1:$G$99999,5,FALSE)</f>
        <v>LEVERE CRAIG</v>
      </c>
      <c r="M199" s="6">
        <f t="shared" si="40"/>
        <v>1.1018518518540077E-2</v>
      </c>
      <c r="N199" s="7">
        <f t="shared" si="41"/>
        <v>15.866666666697711</v>
      </c>
      <c r="O199" s="7"/>
      <c r="P199" s="7"/>
      <c r="Q199" s="22"/>
      <c r="R199" s="22"/>
      <c r="S199" s="31">
        <f t="shared" si="42"/>
        <v>1</v>
      </c>
      <c r="T199" s="46" t="str">
        <f t="shared" si="43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4"/>
        <v>https://d0f6bd738d7f1b3e5a7ca70fe4ff75f0.us-east-1.aws.found.io/app/kibana#/discover/Steve-Slow-Train-Analysis-(2080s-and-2083s)?_g=(refreshInterval:(display:Off,pause:!f,section:0,value:0),time:(from:'2017-02-23T19:37:31-0700',mode:absolute,to:'2017-02-23T21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87" t="str">
        <f t="shared" si="45"/>
        <v>N</v>
      </c>
      <c r="X199" s="187">
        <f t="shared" si="46"/>
        <v>1</v>
      </c>
      <c r="Y199" s="62">
        <f t="shared" si="47"/>
        <v>5.8616999999999999</v>
      </c>
      <c r="Z199" s="62">
        <f t="shared" si="48"/>
        <v>7.0499999999999993E-2</v>
      </c>
      <c r="AA199" s="62">
        <f t="shared" si="49"/>
        <v>5.7911999999999999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0"/>
        <v>0842-23</v>
      </c>
      <c r="AE199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9" s="82" t="str">
        <f t="shared" si="52"/>
        <v>"C:\Program Files (x86)\AstroGrep\AstroGrep.exe" /spath="%USERPROFILE%\AppData\Local\Temp\OnboardLogs" /stypes="app*4019*20170224*" /stext=" 03:.+(\|loc)" /e /r /s</v>
      </c>
      <c r="AG199" s="1" t="str">
        <f t="shared" si="53"/>
        <v>NW</v>
      </c>
      <c r="AH199" s="86" t="str">
        <f t="shared" si="54"/>
        <v>"%USERPROFILE%\Documents\GitHub\eaglep3\Utilities\RefineRTDCRunTimes.py" --tripid 842-23 --locoid 4019 --swversion DE.1.0.9.0 --startMP 300:58617 --initTime 2017-02-23T20:37:31 --startdatetime 2017-02-23T20:39:46 --delay 1 --endMP 204:705 --enddatetime 2017-02-23T20:55:38 --enforcementcount 0 &gt;&gt;C:\Users\stu\Documents\GitHub\eaglep3-reporting\EC\2017-02-23-refined-times.txt</v>
      </c>
      <c r="AI19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{"issue":{"subject":"","project_id":79,"tracker_id":40,"status_id":1,"priority_id":2,"assigned_to_id":23,"start_date":"2017-02-23","description":"","custom_fields":[{"id":1,"name":"Subdivision","value":"NW"},{"id":4,"name":"Milepost","value":"0.0705"},{"id":17,"name":"Train ID","value":"842-23"},{"id":16,"name":"Locomotive ID","value":"4019"},{"id":130,"name":"Impact","value":""},{"id":150,"name":"Time of Event (Mountain Time)","value":"20:55:38"},{"id":151,"name":"Denver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56"/>
        <v>start /low /b %USERPROFILE%\Documents\GitHub\eaglep3\Utilities\DownloadLogsFromS3.py --loco 4019 --day 2017-02-23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200" spans="1:40" x14ac:dyDescent="0.25">
      <c r="A200" s="33" t="s">
        <v>615</v>
      </c>
      <c r="B200" s="7">
        <v>4020</v>
      </c>
      <c r="C200" s="21" t="s">
        <v>294</v>
      </c>
      <c r="D200" s="21" t="s">
        <v>323</v>
      </c>
      <c r="E200" s="13">
        <v>42789.841041666667</v>
      </c>
      <c r="F200" s="13">
        <v>42789.848113425927</v>
      </c>
      <c r="G200" s="7">
        <v>2</v>
      </c>
      <c r="H200" s="21" t="s">
        <v>861</v>
      </c>
      <c r="I200" s="13">
        <v>42789.857812499999</v>
      </c>
      <c r="J200" s="7">
        <v>0</v>
      </c>
      <c r="K200" s="98" t="str">
        <f t="shared" si="39"/>
        <v>4019/4020</v>
      </c>
      <c r="L200" s="21" t="str">
        <f>VLOOKUP(A200,'Trips&amp;Operators'!$C$1:$G$99999,5,FALSE)</f>
        <v>LEVERE CRAIG</v>
      </c>
      <c r="M200" s="6">
        <f t="shared" si="40"/>
        <v>9.6990740712499246E-3</v>
      </c>
      <c r="N200" s="7">
        <f t="shared" si="41"/>
        <v>13.966666662599891</v>
      </c>
      <c r="O200" s="7"/>
      <c r="P200" s="7"/>
      <c r="Q200" s="22"/>
      <c r="R200" s="22"/>
      <c r="S200" s="31">
        <f t="shared" si="42"/>
        <v>1</v>
      </c>
      <c r="T200" s="46" t="str">
        <f t="shared" si="43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4"/>
        <v>https://d0f6bd738d7f1b3e5a7ca70fe4ff75f0.us-east-1.aws.found.io/app/kibana#/discover/Steve-Slow-Train-Analysis-(2080s-and-2083s)?_g=(refreshInterval:(display:Off,pause:!f,section:0,value:0),time:(from:'2017-02-23T19:11:06-0700',mode:absolute,to:'2017-02-23T21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87" t="str">
        <f t="shared" si="45"/>
        <v>N</v>
      </c>
      <c r="X200" s="187">
        <f t="shared" si="46"/>
        <v>1</v>
      </c>
      <c r="Y200" s="62">
        <f t="shared" si="47"/>
        <v>9.69E-2</v>
      </c>
      <c r="Z200" s="62">
        <f t="shared" si="48"/>
        <v>5.8968999999999996</v>
      </c>
      <c r="AA200" s="62">
        <f t="shared" si="49"/>
        <v>5.8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0"/>
        <v>0843-23</v>
      </c>
      <c r="AE20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200" s="82" t="str">
        <f t="shared" si="52"/>
        <v>"C:\Program Files (x86)\AstroGrep\AstroGrep.exe" /spath="%USERPROFILE%\AppData\Local\Temp\OnboardLogs" /stypes="app*4020*20170224*" /stext=" 03:.+(\|loc)" /e /r /s</v>
      </c>
      <c r="AG200" s="1" t="str">
        <f t="shared" si="53"/>
        <v>NW</v>
      </c>
      <c r="AH200" s="86" t="str">
        <f t="shared" si="54"/>
        <v>"%USERPROFILE%\Documents\GitHub\eaglep3\Utilities\RefineRTDCRunTimes.py" --tripid 843-23 --locoid 4020 --swversion DE.1.0.9.0 --startMP 204:969 --initTime 2017-02-23T20:11:06 --startdatetime 2017-02-23T20:21:17 --delay 2 --endMP 300:58969 --enddatetime 2017-02-23T20:35:15 --enforcementcount 0 &gt;&gt;C:\Users\stu\Documents\GitHub\eaglep3-reporting\EC\2017-02-23-refined-times.txt</v>
      </c>
      <c r="AI20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{"issue":{"subject":"","project_id":79,"tracker_id":40,"status_id":1,"priority_id":2,"assigned_to_id":23,"start_date":"2017-02-23","description":"","custom_fields":[{"id":1,"name":"Subdivision","value":"NW"},{"id":4,"name":"Milepost","value":"5.8969"},{"id":17,"name":"Train ID","value":"843-23"},{"id":16,"name":"Locomotive ID","value":"4020"},{"id":130,"name":"Impact","value":""},{"id":150,"name":"Time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56"/>
        <v>start /low /b %USERPROFILE%\Documents\GitHub\eaglep3\Utilities\DownloadLogsFromS3.py --loco 4020 --day 2017-02-23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201" spans="1:40" x14ac:dyDescent="0.25">
      <c r="A201" s="33" t="s">
        <v>460</v>
      </c>
      <c r="B201" s="7">
        <v>4019</v>
      </c>
      <c r="C201" s="21" t="s">
        <v>294</v>
      </c>
      <c r="D201" s="21" t="s">
        <v>848</v>
      </c>
      <c r="E201" s="13">
        <v>42789.900567129633</v>
      </c>
      <c r="F201" s="13">
        <v>42789.901967592596</v>
      </c>
      <c r="G201" s="7">
        <v>1</v>
      </c>
      <c r="H201" s="21" t="s">
        <v>853</v>
      </c>
      <c r="I201" s="13">
        <v>42789.913217592592</v>
      </c>
      <c r="J201" s="7">
        <v>0</v>
      </c>
      <c r="K201" s="98" t="str">
        <f t="shared" si="39"/>
        <v>4019/4020</v>
      </c>
      <c r="L201" s="21" t="str">
        <f>VLOOKUP(A201,'Trips&amp;Operators'!$C$1:$G$99999,5,FALSE)</f>
        <v>STORY SAMANTHA</v>
      </c>
      <c r="M201" s="6">
        <f t="shared" si="40"/>
        <v>1.1249999995925464E-2</v>
      </c>
      <c r="N201" s="7">
        <f t="shared" si="41"/>
        <v>16.199999994132668</v>
      </c>
      <c r="O201" s="7"/>
      <c r="P201" s="7"/>
      <c r="Q201" s="22"/>
      <c r="R201" s="22"/>
      <c r="S201" s="31">
        <f t="shared" si="42"/>
        <v>1</v>
      </c>
      <c r="T201" s="46" t="str">
        <f t="shared" si="43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4"/>
        <v>https://d0f6bd738d7f1b3e5a7ca70fe4ff75f0.us-east-1.aws.found.io/app/kibana#/discover/Steve-Slow-Train-Analysis-(2080s-and-2083s)?_g=(refreshInterval:(display:Off,pause:!f,section:0,value:0),time:(from:'2017-02-23T20:36:49-0700',mode:absolute,to:'2017-02-23T22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87" t="str">
        <f t="shared" si="45"/>
        <v>N</v>
      </c>
      <c r="X201" s="187">
        <f t="shared" si="46"/>
        <v>1</v>
      </c>
      <c r="Y201" s="62">
        <f t="shared" si="47"/>
        <v>5.8644999999999996</v>
      </c>
      <c r="Z201" s="62">
        <f t="shared" si="48"/>
        <v>6.9599999999999995E-2</v>
      </c>
      <c r="AA201" s="62">
        <f t="shared" si="49"/>
        <v>5.7948999999999993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0"/>
        <v>0844-23</v>
      </c>
      <c r="AE20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201" s="82" t="str">
        <f t="shared" si="52"/>
        <v>"C:\Program Files (x86)\AstroGrep\AstroGrep.exe" /spath="%USERPROFILE%\AppData\Local\Temp\OnboardLogs" /stypes="app*4019*20170224*" /stext=" 04:.+(\|loc)" /e /r /s</v>
      </c>
      <c r="AG201" s="1" t="str">
        <f t="shared" si="53"/>
        <v>NW</v>
      </c>
      <c r="AH201" s="86" t="str">
        <f t="shared" si="54"/>
        <v>"%USERPROFILE%\Documents\GitHub\eaglep3\Utilities\RefineRTDCRunTimes.py" --tripid 844-23 --locoid 4019 --swversion DE.1.0.9.0 --startMP 300:58645 --initTime 2017-02-23T21:36:49 --startdatetime 2017-02-23T21:38:50 --delay 1 --endMP 204:696 --enddatetime 2017-02-23T21:55:02 --enforcementcount 0 &gt;&gt;C:\Users\stu\Documents\GitHub\eaglep3-reporting\EC\2017-02-23-refined-times.txt</v>
      </c>
      <c r="AI20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{"issue":{"subject":"","project_id":79,"tracker_id":40,"status_id":1,"priority_id":2,"assigned_to_id":23,"start_date":"2017-02-23","description":"","custom_fields":[{"id":1,"name":"Subdivision","value":"NW"},{"id":4,"name":"Milepost","value":"0.0696"},{"id":17,"name":"Train ID","value":"844-23"},{"id":16,"name":"Locomotive ID","value":"4019"},{"id":130,"name":"Impact","value":""},{"id":150,"name":"Time of Event (Mountain Time)","value":"21:55:02"},{"id":151,"name":"Denver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56"/>
        <v>start /low /b %USERPROFILE%\Documents\GitHub\eaglep3\Utilities\DownloadLogsFromS3.py --loco 4019 --day 2017-02-23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202" spans="1:40" x14ac:dyDescent="0.25">
      <c r="A202" s="33" t="s">
        <v>623</v>
      </c>
      <c r="B202" s="7">
        <v>4020</v>
      </c>
      <c r="C202" s="21" t="s">
        <v>294</v>
      </c>
      <c r="D202" s="21" t="s">
        <v>322</v>
      </c>
      <c r="E202" s="13">
        <v>42789.877800925926</v>
      </c>
      <c r="F202" s="13">
        <v>42789.889826388891</v>
      </c>
      <c r="G202" s="7">
        <v>2</v>
      </c>
      <c r="H202" s="21" t="s">
        <v>861</v>
      </c>
      <c r="I202" s="13">
        <v>42789.899548611109</v>
      </c>
      <c r="J202" s="7">
        <v>0</v>
      </c>
      <c r="K202" s="98" t="str">
        <f t="shared" si="39"/>
        <v>4019/4020</v>
      </c>
      <c r="L202" s="21" t="str">
        <f>VLOOKUP(A202,'Trips&amp;Operators'!$C$1:$G$99999,5,FALSE)</f>
        <v>STORY SAMANTHA</v>
      </c>
      <c r="M202" s="6">
        <f t="shared" si="40"/>
        <v>9.7222222175332718E-3</v>
      </c>
      <c r="N202" s="7">
        <f t="shared" si="41"/>
        <v>13.999999993247911</v>
      </c>
      <c r="O202" s="7"/>
      <c r="P202" s="7"/>
      <c r="Q202" s="22"/>
      <c r="R202" s="22"/>
      <c r="S202" s="31">
        <f t="shared" si="42"/>
        <v>1</v>
      </c>
      <c r="T202" s="46" t="str">
        <f t="shared" si="43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44"/>
        <v>https://d0f6bd738d7f1b3e5a7ca70fe4ff75f0.us-east-1.aws.found.io/app/kibana#/discover/Steve-Slow-Train-Analysis-(2080s-and-2083s)?_g=(refreshInterval:(display:Off,pause:!f,section:0,value:0),time:(from:'2017-02-23T20:04:02-0700',mode:absolute,to:'2017-02-23T22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87" t="str">
        <f t="shared" si="45"/>
        <v>N</v>
      </c>
      <c r="X202" s="187">
        <f t="shared" si="46"/>
        <v>1</v>
      </c>
      <c r="Y202" s="62">
        <f t="shared" si="47"/>
        <v>9.74E-2</v>
      </c>
      <c r="Z202" s="62">
        <f t="shared" si="48"/>
        <v>5.8968999999999996</v>
      </c>
      <c r="AA202" s="62">
        <f t="shared" si="49"/>
        <v>5.7994999999999992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0"/>
        <v>0845-23</v>
      </c>
      <c r="AE202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202" s="82" t="str">
        <f t="shared" si="52"/>
        <v>"C:\Program Files (x86)\AstroGrep\AstroGrep.exe" /spath="%USERPROFILE%\AppData\Local\Temp\OnboardLogs" /stypes="app*4020*20170224*" /stext=" 04:.+(\|loc)" /e /r /s</v>
      </c>
      <c r="AG202" s="1" t="str">
        <f t="shared" si="53"/>
        <v>NW</v>
      </c>
      <c r="AH202" s="86" t="str">
        <f t="shared" si="54"/>
        <v>"%USERPROFILE%\Documents\GitHub\eaglep3\Utilities\RefineRTDCRunTimes.py" --tripid 845-23 --locoid 4020 --swversion DE.1.0.9.0 --startMP 204:974 --initTime 2017-02-23T21:04:02 --startdatetime 2017-02-23T21:21:21 --delay 2 --endMP 300:58969 --enddatetime 2017-02-23T21:35:21 --enforcementcount 0 &gt;&gt;C:\Users\stu\Documents\GitHub\eaglep3-reporting\EC\2017-02-23-refined-times.txt</v>
      </c>
      <c r="AI20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{"issue":{"subject":"","project_id":79,"tracker_id":40,"status_id":1,"priority_id":2,"assigned_to_id":23,"start_date":"2017-02-23","description":"","custom_fields":[{"id":1,"name":"Subdivision","value":"NW"},{"id":4,"name":"Milepost","value":"5.8969"},{"id":17,"name":"Train ID","value":"845-23"},{"id":16,"name":"Locomotive ID","value":"4020"},{"id":130,"name":"Impact","value":""},{"id":150,"name":"Time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56"/>
        <v>start /low /b %USERPROFILE%\Documents\GitHub\eaglep3\Utilities\DownloadLogsFromS3.py --loco 4020 --day 2017-02-23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203" spans="1:40" x14ac:dyDescent="0.25">
      <c r="A203" s="33" t="s">
        <v>629</v>
      </c>
      <c r="B203" s="7">
        <v>4020</v>
      </c>
      <c r="C203" s="21" t="s">
        <v>294</v>
      </c>
      <c r="D203" s="21" t="s">
        <v>400</v>
      </c>
      <c r="E203" s="13">
        <v>42789.924571759257</v>
      </c>
      <c r="F203" s="13">
        <v>42789.931597222225</v>
      </c>
      <c r="G203" s="7">
        <v>2</v>
      </c>
      <c r="H203" s="21" t="s">
        <v>874</v>
      </c>
      <c r="I203" s="13">
        <v>42789.941331018519</v>
      </c>
      <c r="J203" s="7">
        <v>0</v>
      </c>
      <c r="K203" s="98" t="str">
        <f t="shared" si="39"/>
        <v>4019/4020</v>
      </c>
      <c r="L203" s="21" t="str">
        <f>VLOOKUP(A203,'Trips&amp;Operators'!$C$1:$G$99999,5,FALSE)</f>
        <v>STORY SAMANTHA</v>
      </c>
      <c r="M203" s="6">
        <f t="shared" si="40"/>
        <v>9.7337962943129241E-3</v>
      </c>
      <c r="N203" s="7">
        <f t="shared" si="41"/>
        <v>14.016666663810611</v>
      </c>
      <c r="O203" s="7"/>
      <c r="P203" s="7"/>
      <c r="Q203" s="22"/>
      <c r="R203" s="22"/>
      <c r="S203" s="31">
        <f t="shared" si="42"/>
        <v>1</v>
      </c>
      <c r="T203" s="46" t="str">
        <f t="shared" si="43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44"/>
        <v>https://d0f6bd738d7f1b3e5a7ca70fe4ff75f0.us-east-1.aws.found.io/app/kibana#/discover/Steve-Slow-Train-Analysis-(2080s-and-2083s)?_g=(refreshInterval:(display:Off,pause:!f,section:0,value:0),time:(from:'2017-02-23T21:11:23-0700',mode:absolute,to:'2017-02-23T23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187" t="str">
        <f t="shared" si="45"/>
        <v>N</v>
      </c>
      <c r="X203" s="187">
        <f t="shared" si="46"/>
        <v>2</v>
      </c>
      <c r="Y203" s="62">
        <f t="shared" si="47"/>
        <v>9.7600000000000006E-2</v>
      </c>
      <c r="Z203" s="62">
        <f t="shared" si="48"/>
        <v>5.8967000000000001</v>
      </c>
      <c r="AA203" s="62">
        <f t="shared" si="49"/>
        <v>5.7991000000000001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0"/>
        <v>0847-23</v>
      </c>
      <c r="AE203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203" s="82" t="str">
        <f t="shared" si="52"/>
        <v>"C:\Program Files (x86)\AstroGrep\AstroGrep.exe" /spath="%USERPROFILE%\AppData\Local\Temp\OnboardLogs" /stypes="app*4020*20170224*" /stext=" 05:.+(\|loc)" /e /r /s</v>
      </c>
      <c r="AG203" s="1" t="str">
        <f t="shared" si="53"/>
        <v>NW</v>
      </c>
      <c r="AH203" s="86" t="str">
        <f t="shared" si="54"/>
        <v>"%USERPROFILE%\Documents\GitHub\eaglep3\Utilities\RefineRTDCRunTimes.py" --tripid 847-23 --locoid 4020 --swversion DE.1.0.9.0 --startMP 204:976 --initTime 2017-02-23T22:11:23 --startdatetime 2017-02-23T22:21:30 --delay 2 --endMP 300:58967 --enddatetime 2017-02-23T22:35:31 --enforcementcount 0 &gt;&gt;C:\Users\stu\Documents\GitHub\eaglep3-reporting\EC\2017-02-23-refined-times.txt</v>
      </c>
      <c r="AI20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{"issue":{"subject":"","project_id":79,"tracker_id":40,"status_id":1,"priority_id":2,"assigned_to_id":23,"start_date":"2017-02-23","description":"","custom_fields":[{"id":1,"name":"Subdivision","value":"NW"},{"id":4,"name":"Milepost","value":"5.8967"},{"id":17,"name":"Train ID","value":"847-23"},{"id":16,"name":"Locomotive ID","value":"4020"},{"id":130,"name":"Impact","value":""},{"id":150,"name":"Time of Event (Mountain Time)","value":"22:35:31"},{"id":151,"name":"Denver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56"/>
        <v>start /low /b %USERPROFILE%\Documents\GitHub\eaglep3\Utilities\DownloadLogsFromS3.py --loco 4020 --day 2017-02-23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204" spans="1:40" x14ac:dyDescent="0.25">
      <c r="A204" s="33" t="s">
        <v>369</v>
      </c>
      <c r="B204" s="7">
        <v>4008</v>
      </c>
      <c r="C204" s="21" t="s">
        <v>294</v>
      </c>
      <c r="D204" s="21" t="s">
        <v>731</v>
      </c>
      <c r="E204" s="13">
        <v>42789.113969907405</v>
      </c>
      <c r="F204" s="13">
        <v>42789.115416666667</v>
      </c>
      <c r="G204" s="7">
        <v>1</v>
      </c>
      <c r="H204" s="21" t="s">
        <v>258</v>
      </c>
      <c r="I204" s="13">
        <v>42789.126736111109</v>
      </c>
      <c r="J204" s="7">
        <v>0</v>
      </c>
      <c r="K204" s="98" t="str">
        <f t="shared" si="39"/>
        <v>4007/4008</v>
      </c>
      <c r="L204" s="21" t="str">
        <f>VLOOKUP(A204,'Trips&amp;Operators'!$C$1:$G$99999,5,FALSE)</f>
        <v>BADERTSCHER DIANE</v>
      </c>
      <c r="M204" s="6">
        <f t="shared" si="40"/>
        <v>1.1319444442051463E-2</v>
      </c>
      <c r="N204" s="7">
        <f t="shared" si="41"/>
        <v>16.299999996554106</v>
      </c>
      <c r="O204" s="7"/>
      <c r="P204" s="7"/>
      <c r="Q204" s="22"/>
      <c r="R204" s="22"/>
      <c r="S204" s="31">
        <f t="shared" si="42"/>
        <v>1</v>
      </c>
      <c r="T204" s="46" t="str">
        <f t="shared" si="43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44"/>
        <v>https://d0f6bd738d7f1b3e5a7ca70fe4ff75f0.us-east-1.aws.found.io/app/kibana#/discover/Steve-Slow-Train-Analysis-(2080s-and-2083s)?_g=(refreshInterval:(display:Off,pause:!f,section:0,value:0),time:(from:'2017-02-23T01:44:07-0700',mode:absolute,to:'2017-02-23T04:02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7" t="str">
        <f t="shared" si="45"/>
        <v>Y</v>
      </c>
      <c r="X204" s="187">
        <f t="shared" si="46"/>
        <v>-545</v>
      </c>
      <c r="Y204" s="62">
        <f t="shared" si="47"/>
        <v>2.2679</v>
      </c>
      <c r="Z204" s="62">
        <f t="shared" si="48"/>
        <v>1.41E-2</v>
      </c>
      <c r="AA204" s="62">
        <f t="shared" si="49"/>
        <v>2.2538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0"/>
        <v>0302-23</v>
      </c>
      <c r="AE204" s="85" t="str">
        <f t="shared" si="51"/>
        <v>aws s3 cp s3://rtdc.mdm.uploadarchive.raw/RTDC4008/ "%USERPROFILE%\AppData\Local\Temp\OnboardLogs"\RTDC4008\2017-02-23 --exclude "*" --recursive --include "*20170223*" &amp; "%USERPROFILE%\Documents\GitHub\mrs-test-scripts\Headless Mode &amp; Sideloading\WalkAndUnGZ.bat" "%USERPROFILE%\AppData\Local\Temp\OnboardLogs"\RTDC4008\2017-02-23 &amp; aws s3 cp s3://rtdc.mdm.uploadarchive.raw/RTDC4008/ "%USERPROFILE%\AppData\Local\Temp\OnboardLogs"\RTDC4008\2017-02-24 --exclude "*" --recursive --include "*20170224*" &amp; "%USERPROFILE%\Documents\GitHub\mrs-test-scripts\Headless Mode &amp; Sideloading\WalkAndUnGZ.bat" "%USERPROFILE%\AppData\Local\Temp\OnboardLogs"\RTDC4008\2017-02-24</v>
      </c>
      <c r="AF204" s="82" t="str">
        <f t="shared" si="52"/>
        <v>"C:\Program Files (x86)\AstroGrep\AstroGrep.exe" /spath="%USERPROFILE%\AppData\Local\Temp\OnboardLogs" /stypes="app*4008*20170223*" /stext=" 10:.+(\|loc)" /e /r /s</v>
      </c>
      <c r="AG204" s="1" t="str">
        <f t="shared" si="53"/>
        <v>Other</v>
      </c>
      <c r="AH204" s="86" t="str">
        <f t="shared" si="54"/>
        <v>"%USERPROFILE%\Documents\GitHub\eaglep3\Utilities\RefineRTDCRunTimes.py" --tripid 302-23 --locoid 4008 --swversion DE.1.0.9.0 --startMP 300:22679 --initTime 2017-02-23T02:44:07 --startdatetime 2017-02-23T02:46:12 --delay 1 --endMP 204:141 --enddatetime 2017-02-23T03:02:30 --enforcementcount 0 &gt;&gt;C:\Users\stu\Documents\GitHub\eaglep3-reporting\EC\2017-02-23-refined-times.txt</v>
      </c>
      <c r="AI204" s="108" t="str">
        <f t="shared" si="55"/>
        <v>echo {"issue":{"subject":"","project_id":79,"tracker_id":40,"status_id":1,"priority_id":2,"assigned_to_id":23,"start_date":"2017-02-23","description":"","custom_fields":[{"id":1,"name":"Subdivision","value":"Other"},{"id":4,"name":"Milepost","value":"0.0141"},{"id":17,"name":"Train ID","value":"302-23"},{"id":16,"name":"Locomotive ID","value":"4008"},{"id":130,"name":"Impact","value":""},{"id":150,"name":"Time of Event (Mountain Time)","value":"03:02:30"},{"id":151,"name":"Denver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56"/>
        <v>start /low /b %USERPROFILE%\Documents\GitHub\eaglep3\Utilities\DownloadLogsFromS3.py --loco 4008 --day 2017-02-23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"%USERPROFILE%\AppData\Local\Temp\OnboardLogs"\RTDC4008\*4008*20170223* | grep -SE "(Enforcement Action)|(\[TIMEOUT)|(CHR.+\|PRM\|1\|D.+(SWITCH|SIGNAL).+UNKNOWN)" - &gt;&gt; 2017-02-23-UncaughtWiMAX.txt</v>
      </c>
    </row>
    <row r="205" spans="1:40" x14ac:dyDescent="0.25">
      <c r="A205" s="33" t="s">
        <v>603</v>
      </c>
      <c r="B205" s="7">
        <v>4009</v>
      </c>
      <c r="C205" s="21" t="s">
        <v>294</v>
      </c>
      <c r="D205" s="21" t="s">
        <v>229</v>
      </c>
      <c r="E205" s="13">
        <v>42789.778668981482</v>
      </c>
      <c r="F205" s="13">
        <v>25568.708333333332</v>
      </c>
      <c r="G205" s="7">
        <v>1</v>
      </c>
      <c r="H205" s="21" t="s">
        <v>343</v>
      </c>
      <c r="I205" s="13">
        <v>25568.708333333332</v>
      </c>
      <c r="J205" s="7">
        <v>0</v>
      </c>
      <c r="K205" s="98" t="str">
        <f t="shared" ref="K205:K271" si="57">IF(ISEVEN(B205),(B205-1)&amp;"/"&amp;B205,B205&amp;"/"&amp;(B205+1))</f>
        <v>4009/4010</v>
      </c>
      <c r="L205" s="21" t="str">
        <f>VLOOKUP(A205,'Trips&amp;Operators'!$C$1:$G$99999,5,FALSE)</f>
        <v>SMITH MICHAEL</v>
      </c>
      <c r="M205" s="6">
        <f t="shared" ref="M205:M271" si="58">I205-F205</f>
        <v>0</v>
      </c>
      <c r="N205" s="7">
        <f t="shared" ref="N205:N271" si="59">24*60*SUM($M205:$M205)</f>
        <v>0</v>
      </c>
      <c r="O205" s="7"/>
      <c r="P205" s="7"/>
      <c r="Q205" s="22"/>
      <c r="R205" s="22"/>
      <c r="S205" s="31">
        <f t="shared" ref="S205:S271" si="60">SUM(U205:U205)/IF(AG205="EC",12,1)</f>
        <v>1</v>
      </c>
      <c r="T205" s="46" t="str">
        <f t="shared" ref="T205:T271" si="61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71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-23T17:41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187" t="str">
        <f t="shared" ref="W205:W271" si="63">IF(AA205&lt;IF(AG205="EC",23,5.65),"Y","N")</f>
        <v>Y</v>
      </c>
      <c r="X205" s="187">
        <f t="shared" ref="X205:X271" si="64">VALUE(LEFT(AD205,4))-VALUE(LEFT(AD204,4))</f>
        <v>1</v>
      </c>
      <c r="Y205" s="62">
        <f t="shared" ref="Y205:Y271" si="65">RIGHT(D205,LEN(D205)-4)/10000</f>
        <v>4.5999999999999999E-2</v>
      </c>
      <c r="Z205" s="62">
        <f t="shared" ref="Z205:Z271" si="66">RIGHT(H205,LEN(H205)-4)/10000</f>
        <v>2.3302</v>
      </c>
      <c r="AA205" s="62">
        <f t="shared" ref="AA205:AA268" si="67">ABS(Z205-Y205)</f>
        <v>2.2842000000000002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71" si="68">IF(LEN(A205)=6,"0"&amp;A205,A205)</f>
        <v>0303-23</v>
      </c>
      <c r="AE205" s="85" t="str">
        <f t="shared" ref="AE205:AE271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5" s="82" t="str">
        <f t="shared" ref="AF205:AF271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/stypes="app*4009*19700101*" /stext=" 00:.+(\|loc)" /e /r /s</v>
      </c>
      <c r="AG205" s="1" t="str">
        <f t="shared" ref="AG205:AG271" si="71">IFERROR(IF(VALUE(LEFT(AD205,2))&lt;=2,"EC",IF(OR(VALUE(LEFT(AD205,2))=8,VALUE(LEFT(AD205,2))=18),"NW","Other")),"Other")</f>
        <v>Other</v>
      </c>
      <c r="AH205" s="86" t="str">
        <f t="shared" si="54"/>
        <v>"%USERPROFILE%\Documents\GitHub\eaglep3\Utilities\RefineRTDCRunTimes.py" --tripid 303-23 --locoid 4009 --swversion DE.1.0.9.0 --startMP 204:460 --initTime 2017-02-23T18:41:17 --startdatetime 1969-12-31T17:00:00 --delay 1 --endMP 300:23302 --enddatetime 1969-12-31T17:00:00 --enforcementcount 0 &gt;&gt;C:\Users\stu\Documents\GitHub\eaglep3-reporting\EC\2017-02-23-refined-times.txt</v>
      </c>
      <c r="AI205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56"/>
        <v>start /low /b %USERPROFILE%\Documents\GitHub\eaglep3\Utilities\DownloadLogsFromS3.py --loco 4009 --day 1969-12-31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2017-02-23-UncaughtWiMAX.txt</v>
      </c>
    </row>
    <row r="206" spans="1:40" x14ac:dyDescent="0.25">
      <c r="A206" s="33" t="s">
        <v>465</v>
      </c>
      <c r="B206" s="7">
        <v>4030</v>
      </c>
      <c r="C206" s="21" t="s">
        <v>294</v>
      </c>
      <c r="D206" s="21" t="s">
        <v>732</v>
      </c>
      <c r="E206" s="13">
        <v>42789.135081018518</v>
      </c>
      <c r="F206" s="13">
        <v>42789.137013888889</v>
      </c>
      <c r="G206" s="7">
        <v>1</v>
      </c>
      <c r="H206" s="21" t="s">
        <v>203</v>
      </c>
      <c r="I206" s="13">
        <v>42789.142372685186</v>
      </c>
      <c r="J206" s="7">
        <v>0</v>
      </c>
      <c r="K206" s="98" t="str">
        <f t="shared" si="57"/>
        <v>4029/4030</v>
      </c>
      <c r="L206" s="21" t="str">
        <f>VLOOKUP(A206,'Trips&amp;Operators'!$C$1:$G$99999,5,FALSE)</f>
        <v>BONDS REYNALDO</v>
      </c>
      <c r="M206" s="6">
        <f t="shared" si="58"/>
        <v>5.3587962975143455E-3</v>
      </c>
      <c r="N206" s="7">
        <f t="shared" si="59"/>
        <v>7.7166666684206575</v>
      </c>
      <c r="O206" s="7"/>
      <c r="P206" s="7"/>
      <c r="Q206" s="22"/>
      <c r="R206" s="22"/>
      <c r="S206" s="31">
        <f t="shared" si="60"/>
        <v>1</v>
      </c>
      <c r="T206" s="46" t="str">
        <f t="shared" si="61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62"/>
        <v>https://d0f6bd738d7f1b3e5a7ca70fe4ff75f0.us-east-1.aws.found.io/app/kibana#/discover/Steve-Slow-Train-Analysis-(2080s-and-2083s)?_g=(refreshInterval:(display:Off,pause:!f,section:0,value:0),time:(from:'2017-02-23T02:14:31-0700',mode:absolute,to:'2017-02-23T04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187" t="str">
        <f t="shared" si="63"/>
        <v>Y</v>
      </c>
      <c r="X206" s="187">
        <f t="shared" si="64"/>
        <v>1</v>
      </c>
      <c r="Y206" s="62">
        <f t="shared" si="65"/>
        <v>2.2254999999999998</v>
      </c>
      <c r="Z206" s="62">
        <f t="shared" si="66"/>
        <v>1.6E-2</v>
      </c>
      <c r="AA206" s="62">
        <f t="shared" si="67"/>
        <v>2.2094999999999998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68"/>
        <v>0304-23</v>
      </c>
      <c r="AE206" s="85" t="str">
        <f t="shared" si="69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206" s="82" t="str">
        <f t="shared" si="70"/>
        <v>"C:\Program Files (x86)\AstroGrep\AstroGrep.exe" /spath="%USERPROFILE%\AppData\Local\Temp\OnboardLogs" /stypes="app*4030*20170223*" /stext=" 10:.+(\|loc)" /e /r /s</v>
      </c>
      <c r="AG206" s="1" t="str">
        <f t="shared" si="71"/>
        <v>Other</v>
      </c>
      <c r="AH206" s="86" t="str">
        <f t="shared" ref="AH206:AH269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304-23 --locoid 4030 --swversion DE.1.0.9.0 --startMP 300:22255 --initTime 2017-02-23T03:14:31 --startdatetime 2017-02-23T03:17:18 --delay 1 --endMP 204:160 --enddatetime 2017-02-23T03:25:01 --enforcementcount 0 &gt;&gt;C:\Users\stu\Documents\GitHub\eaglep3-reporting\EC\2017-02-23-refined-times.txt</v>
      </c>
      <c r="AI206" s="108" t="str">
        <f t="shared" ref="AI206:AI269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{"issue":{"subject":"","project_id":79,"tracker_id":40,"status_id":1,"priority_id":2,"assigned_to_id":23,"start_date":"2017-02-23","description":"","custom_fields":[{"id":1,"name":"Subdivision","value":"Other"},{"id":4,"name":"Milepost","value":"0.016"},{"id":17,"name":"Train ID","value":"304-23"},{"id":16,"name":"Locomotive ID","value":"4030"},{"id":130,"name":"Impact","value":""},{"id":150,"name":"Time of Event (Mountain Time)","value":"03:25:01"},{"id":151,"name":"Denver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69" si="74">"start /low /b "&amp;dls3logs&amp;" --loco "&amp;B206&amp;" --day "&amp;TEXT(F206,"YYYY-MM-DD")</f>
        <v>start /low /b %USERPROFILE%\Documents\GitHub\eaglep3\Utilities\DownloadLogsFromS3.py --loco 4030 --day 2017-02-23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</row>
    <row r="207" spans="1:40" x14ac:dyDescent="0.25">
      <c r="A207" s="33" t="s">
        <v>607</v>
      </c>
      <c r="B207" s="7">
        <v>4040</v>
      </c>
      <c r="C207" s="21" t="s">
        <v>294</v>
      </c>
      <c r="D207" s="21" t="s">
        <v>332</v>
      </c>
      <c r="E207" s="13">
        <v>42789.798310185186</v>
      </c>
      <c r="F207" s="13">
        <v>25568.708333333332</v>
      </c>
      <c r="G207" s="7">
        <v>1</v>
      </c>
      <c r="H207" s="21" t="s">
        <v>273</v>
      </c>
      <c r="I207" s="13">
        <v>25568.708333333332</v>
      </c>
      <c r="J207" s="7">
        <v>0</v>
      </c>
      <c r="K207" s="98" t="str">
        <f t="shared" si="57"/>
        <v>4039/4040</v>
      </c>
      <c r="L207" s="21" t="str">
        <f>VLOOKUP(A207,'Trips&amp;Operators'!$C$1:$G$99999,5,FALSE)</f>
        <v>HAITHCOX MICHAEL</v>
      </c>
      <c r="M207" s="6">
        <f t="shared" si="58"/>
        <v>0</v>
      </c>
      <c r="N207" s="7">
        <f t="shared" si="59"/>
        <v>0</v>
      </c>
      <c r="O207" s="7"/>
      <c r="P207" s="7"/>
      <c r="Q207" s="22"/>
      <c r="R207" s="22"/>
      <c r="S207" s="31">
        <f t="shared" si="60"/>
        <v>1</v>
      </c>
      <c r="T207" s="46" t="str">
        <f t="shared" si="61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62"/>
        <v>https://d0f6bd738d7f1b3e5a7ca70fe4ff75f0.us-east-1.aws.found.io/app/kibana#/discover/Steve-Slow-Train-Analysis-(2080s-and-2083s)?_g=(refreshInterval:(display:Off,pause:!f,section:0,value:0),time:(from:'2017-02-23T18:09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87" t="str">
        <f t="shared" si="63"/>
        <v>Y</v>
      </c>
      <c r="X207" s="187">
        <f t="shared" si="64"/>
        <v>1</v>
      </c>
      <c r="Y207" s="62">
        <f t="shared" si="65"/>
        <v>4.4900000000000002E-2</v>
      </c>
      <c r="Z207" s="62">
        <f t="shared" si="66"/>
        <v>2.3346</v>
      </c>
      <c r="AA207" s="62">
        <f t="shared" si="67"/>
        <v>2.2896999999999998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68"/>
        <v>0305-23</v>
      </c>
      <c r="AE207" s="85" t="str">
        <f t="shared" si="6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7" s="82" t="str">
        <f t="shared" si="70"/>
        <v>"C:\Program Files (x86)\AstroGrep\AstroGrep.exe" /spath="%USERPROFILE%\AppData\Local\Temp\OnboardLogs" /stypes="app*4040*19700101*" /stext=" 00:.+(\|loc)" /e /r /s</v>
      </c>
      <c r="AG207" s="1" t="str">
        <f t="shared" si="71"/>
        <v>Other</v>
      </c>
      <c r="AH207" s="86" t="str">
        <f t="shared" si="72"/>
        <v>"%USERPROFILE%\Documents\GitHub\eaglep3\Utilities\RefineRTDCRunTimes.py" --tripid 305-23 --locoid 4040 --swversion DE.1.0.9.0 --startMP 204:449 --initTime 2017-02-23T19:09:34 --startdatetime 1969-12-31T17:00:00 --delay 1 --endMP 300:23346 --enddatetime 1969-12-31T17:00:00 --enforcementcount 0 &gt;&gt;C:\Users\stu\Documents\GitHub\eaglep3-reporting\EC\2017-02-23-refined-times.txt</v>
      </c>
      <c r="AI207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ID","value":"305-23"},{"id":16,"name":"Locomotive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4"/>
        <v>start /low /b %USERPROFILE%\Documents\GitHub\eaglep3\Utilities\DownloadLogsFromS3.py --loco 4040 --day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2017-02-23-UncaughtWiMAX.txt</v>
      </c>
    </row>
    <row r="208" spans="1:40" x14ac:dyDescent="0.25">
      <c r="A208" s="33" t="s">
        <v>467</v>
      </c>
      <c r="B208" s="7">
        <v>4013</v>
      </c>
      <c r="C208" s="21" t="s">
        <v>294</v>
      </c>
      <c r="D208" s="21" t="s">
        <v>733</v>
      </c>
      <c r="E208" s="13">
        <v>42789.157129629632</v>
      </c>
      <c r="F208" s="13">
        <v>42789.159548611111</v>
      </c>
      <c r="G208" s="7">
        <v>3</v>
      </c>
      <c r="H208" s="21" t="s">
        <v>184</v>
      </c>
      <c r="I208" s="13">
        <v>42789.164884259262</v>
      </c>
      <c r="J208" s="7">
        <v>0</v>
      </c>
      <c r="K208" s="98" t="str">
        <f t="shared" si="57"/>
        <v>4013/4014</v>
      </c>
      <c r="L208" s="21" t="str">
        <f>VLOOKUP(A208,'Trips&amp;Operators'!$C$1:$G$99999,5,FALSE)</f>
        <v>ROBINSON KADDIBA</v>
      </c>
      <c r="M208" s="6">
        <f t="shared" si="58"/>
        <v>5.3356481512309983E-3</v>
      </c>
      <c r="N208" s="7">
        <f t="shared" si="59"/>
        <v>7.6833333377726376</v>
      </c>
      <c r="O208" s="7"/>
      <c r="P208" s="7"/>
      <c r="Q208" s="22"/>
      <c r="R208" s="22"/>
      <c r="S208" s="31">
        <f t="shared" si="60"/>
        <v>1</v>
      </c>
      <c r="T208" s="46" t="str">
        <f t="shared" si="61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62"/>
        <v>https://d0f6bd738d7f1b3e5a7ca70fe4ff75f0.us-east-1.aws.found.io/app/kibana#/discover/Steve-Slow-Train-Analysis-(2080s-and-2083s)?_g=(refreshInterval:(display:Off,pause:!f,section:0,value:0),time:(from:'2017-02-23T02:46:16-0700',mode:absolute,to:'2017-02-23T04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8" s="187" t="str">
        <f t="shared" si="63"/>
        <v>Y</v>
      </c>
      <c r="X208" s="187">
        <f t="shared" si="64"/>
        <v>1</v>
      </c>
      <c r="Y208" s="62">
        <f t="shared" si="65"/>
        <v>2.2109000000000001</v>
      </c>
      <c r="Z208" s="62">
        <f t="shared" si="66"/>
        <v>1.49E-2</v>
      </c>
      <c r="AA208" s="62">
        <f t="shared" si="67"/>
        <v>2.1960000000000002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68"/>
        <v>0306-23</v>
      </c>
      <c r="AE208" s="85" t="str">
        <f t="shared" si="69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208" s="82" t="str">
        <f t="shared" si="70"/>
        <v>"C:\Program Files (x86)\AstroGrep\AstroGrep.exe" /spath="%USERPROFILE%\AppData\Local\Temp\OnboardLogs" /stypes="app*4013*20170223*" /stext=" 10:.+(\|loc)" /e /r /s</v>
      </c>
      <c r="AG208" s="1" t="str">
        <f t="shared" si="71"/>
        <v>Other</v>
      </c>
      <c r="AH208" s="86" t="str">
        <f t="shared" si="72"/>
        <v>"%USERPROFILE%\Documents\GitHub\eaglep3\Utilities\RefineRTDCRunTimes.py" --tripid 306-23 --locoid 4013 --swversion DE.1.0.9.0 --startMP 300:22109 --initTime 2017-02-23T03:46:16 --startdatetime 2017-02-23T03:49:45 --delay 3 --endMP 204:149 --enddatetime 2017-02-23T03:57:26 --enforcementcount 0 &gt;&gt;C:\Users\stu\Documents\GitHub\eaglep3-reporting\EC\2017-02-23-refined-times.txt</v>
      </c>
      <c r="AI20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{"issue":{"subject":"","project_id":79,"tracker_id":40,"status_id":1,"priority_id":2,"assigned_to_id":23,"start_date":"2017-02-23","description":"","custom_fields":[{"id":1,"name":"Subdivision","value":"Other"},{"id":4,"name":"Milepost","value":"0.0149"},{"id":17,"name":"Train ID","value":"306-23"},{"id":16,"name":"Locomotive ID","value":"4013"},{"id":130,"name":"Impact","value":""},{"id":150,"name":"Time of Event (Mountain Time)","value":"03:57:26"},{"id":151,"name":"Denver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4"/>
        <v>start /low /b %USERPROFILE%\Documents\GitHub\eaglep3\Utilities\DownloadLogsFromS3.py --loco 4013 --day 2017-02-23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</row>
    <row r="209" spans="1:40" x14ac:dyDescent="0.25">
      <c r="A209" s="33" t="s">
        <v>612</v>
      </c>
      <c r="B209" s="7">
        <v>4029</v>
      </c>
      <c r="C209" s="21" t="s">
        <v>294</v>
      </c>
      <c r="D209" s="21" t="s">
        <v>226</v>
      </c>
      <c r="E209" s="13">
        <v>42789.817974537036</v>
      </c>
      <c r="F209" s="13">
        <v>25568.708333333332</v>
      </c>
      <c r="G209" s="7">
        <v>1</v>
      </c>
      <c r="H209" s="21" t="s">
        <v>734</v>
      </c>
      <c r="I209" s="13">
        <v>25568.708333333332</v>
      </c>
      <c r="J209" s="7">
        <v>0</v>
      </c>
      <c r="K209" s="98" t="str">
        <f t="shared" si="57"/>
        <v>4029/4030</v>
      </c>
      <c r="L209" s="21" t="str">
        <f>VLOOKUP(A209,'Trips&amp;Operators'!$C$1:$G$99999,5,FALSE)</f>
        <v>BRANNON JEFFREY</v>
      </c>
      <c r="M209" s="6">
        <f t="shared" si="58"/>
        <v>0</v>
      </c>
      <c r="N209" s="7">
        <f t="shared" si="59"/>
        <v>0</v>
      </c>
      <c r="O209" s="7"/>
      <c r="P209" s="7"/>
      <c r="Q209" s="22"/>
      <c r="R209" s="22"/>
      <c r="S209" s="31">
        <f t="shared" si="60"/>
        <v>1</v>
      </c>
      <c r="T209" s="46" t="str">
        <f t="shared" si="61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62"/>
        <v>https://d0f6bd738d7f1b3e5a7ca70fe4ff75f0.us-east-1.aws.found.io/app/kibana#/discover/Steve-Slow-Train-Analysis-(2080s-and-2083s)?_g=(refreshInterval:(display:Off,pause:!f,section:0,value:0),time:(from:'2017-02-23T18:37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87" t="str">
        <f t="shared" si="63"/>
        <v>Y</v>
      </c>
      <c r="X209" s="187">
        <f t="shared" si="64"/>
        <v>1</v>
      </c>
      <c r="Y209" s="62">
        <f t="shared" si="65"/>
        <v>4.5699999999999998E-2</v>
      </c>
      <c r="Z209" s="62">
        <f t="shared" si="66"/>
        <v>2.3294999999999999</v>
      </c>
      <c r="AA209" s="62">
        <f t="shared" si="67"/>
        <v>2.2837999999999998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68"/>
        <v>0307-23</v>
      </c>
      <c r="AE209" s="85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2" t="str">
        <f t="shared" si="70"/>
        <v>"C:\Program Files (x86)\AstroGrep\AstroGrep.exe" /spath="%USERPROFILE%\AppData\Local\Temp\OnboardLogs" /stypes="app*4029*19700101*" /stext=" 00:.+(\|loc)" /e /r /s</v>
      </c>
      <c r="AG209" s="1" t="str">
        <f t="shared" si="71"/>
        <v>Other</v>
      </c>
      <c r="AH209" s="86" t="str">
        <f t="shared" si="72"/>
        <v>"%USERPROFILE%\Documents\GitHub\eaglep3\Utilities\RefineRTDCRunTimes.py" --tripid 307-23 --locoid 4029 --swversion DE.1.0.9.0 --startMP 204:457 --initTime 2017-02-23T19:37:53 --startdatetime 1969-12-31T17:00:00 --delay 1 --endMP 300:23295 --enddatetime 1969-12-31T17:00:00 --enforcementcount 0 &gt;&gt;C:\Users\stu\Documents\GitHub\eaglep3-reporting\EC\2017-02-23-refined-times.txt</v>
      </c>
      <c r="AI20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ID","value":"307-23"},{"id":16,"name":"Locomotive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4"/>
        <v>start /low /b %USERPROFILE%\Documents\GitHub\eaglep3\Utilities\DownloadLogsFromS3.py --loco 4029 --day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2017-02-23-UncaughtWiMAX.txt</v>
      </c>
    </row>
    <row r="210" spans="1:40" x14ac:dyDescent="0.25">
      <c r="A210" s="33" t="s">
        <v>471</v>
      </c>
      <c r="B210" s="7">
        <v>4012</v>
      </c>
      <c r="C210" s="21" t="s">
        <v>294</v>
      </c>
      <c r="D210" s="21" t="s">
        <v>735</v>
      </c>
      <c r="E210" s="13">
        <v>42789.167280092595</v>
      </c>
      <c r="F210" s="13">
        <v>42789.171365740738</v>
      </c>
      <c r="G210" s="7">
        <v>5</v>
      </c>
      <c r="H210" s="21" t="s">
        <v>721</v>
      </c>
      <c r="I210" s="13">
        <v>42789.177673611113</v>
      </c>
      <c r="J210" s="7">
        <v>0</v>
      </c>
      <c r="K210" s="98" t="str">
        <f t="shared" si="57"/>
        <v>4011/4012</v>
      </c>
      <c r="L210" s="21" t="str">
        <f>VLOOKUP(A210,'Trips&amp;Operators'!$C$1:$G$99999,5,FALSE)</f>
        <v>GEBRETEKLE DAGNEW</v>
      </c>
      <c r="M210" s="6">
        <f t="shared" si="58"/>
        <v>6.3078703751671128E-3</v>
      </c>
      <c r="N210" s="7">
        <f t="shared" si="59"/>
        <v>9.0833333402406424</v>
      </c>
      <c r="O210" s="7"/>
      <c r="P210" s="7"/>
      <c r="Q210" s="22"/>
      <c r="R210" s="22"/>
      <c r="S210" s="31">
        <f t="shared" si="60"/>
        <v>1</v>
      </c>
      <c r="T210" s="46" t="str">
        <f t="shared" si="61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62"/>
        <v>https://d0f6bd738d7f1b3e5a7ca70fe4ff75f0.us-east-1.aws.found.io/app/kibana#/discover/Steve-Slow-Train-Analysis-(2080s-and-2083s)?_g=(refreshInterval:(display:Off,pause:!f,section:0,value:0),time:(from:'2017-02-23T03:00:53-0700',mode:absolute,to:'2017-02-23T05:15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0" s="187" t="str">
        <f t="shared" si="63"/>
        <v>Y</v>
      </c>
      <c r="X210" s="187">
        <f t="shared" si="64"/>
        <v>1</v>
      </c>
      <c r="Y210" s="62">
        <f t="shared" si="65"/>
        <v>2.3449</v>
      </c>
      <c r="Z210" s="62">
        <f t="shared" si="66"/>
        <v>1.6899999999999998E-2</v>
      </c>
      <c r="AA210" s="62">
        <f t="shared" si="67"/>
        <v>2.3279999999999998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68"/>
        <v>0308-23</v>
      </c>
      <c r="AE210" s="85" t="str">
        <f t="shared" si="69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210" s="82" t="str">
        <f t="shared" si="70"/>
        <v>"C:\Program Files (x86)\AstroGrep\AstroGrep.exe" /spath="%USERPROFILE%\AppData\Local\Temp\OnboardLogs" /stypes="app*4012*20170223*" /stext=" 11:.+(\|loc)" /e /r /s</v>
      </c>
      <c r="AG210" s="1" t="str">
        <f t="shared" si="71"/>
        <v>Other</v>
      </c>
      <c r="AH210" s="86" t="str">
        <f t="shared" si="72"/>
        <v>"%USERPROFILE%\Documents\GitHub\eaglep3\Utilities\RefineRTDCRunTimes.py" --tripid 308-23 --locoid 4012 --swversion DE.1.0.9.0 --startMP 300:23449 --initTime 2017-02-23T04:00:53 --startdatetime 2017-02-23T04:06:46 --delay 5 --endMP 204:169 --enddatetime 2017-02-23T04:15:51 --enforcementcount 0 &gt;&gt;C:\Users\stu\Documents\GitHub\eaglep3-reporting\EC\2017-02-23-refined-times.txt</v>
      </c>
      <c r="AI21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{"issue":{"subject":"","project_id":79,"tracker_id":40,"status_id":1,"priority_id":2,"assigned_to_id":23,"start_date":"2017-02-23","description":"","custom_fields":[{"id":1,"name":"Subdivision","value":"Other"},{"id":4,"name":"Milepost","value":"0.0169"},{"id":17,"name":"Train ID","value":"308-23"},{"id":16,"name":"Locomotive ID","value":"4012"},{"id":130,"name":"Impact","value":""},{"id":150,"name":"Time of Event (Mountain Time)","value":"04:15:51"},{"id":151,"name":"Denver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4"/>
        <v>start /low /b %USERPROFILE%\Documents\GitHub\eaglep3\Utilities\DownloadLogsFromS3.py --loco 4012 --day 2017-02-23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</row>
    <row r="211" spans="1:40" x14ac:dyDescent="0.25">
      <c r="A211" s="33" t="s">
        <v>472</v>
      </c>
      <c r="B211" s="7">
        <v>4010</v>
      </c>
      <c r="C211" s="21" t="s">
        <v>294</v>
      </c>
      <c r="D211" s="21" t="s">
        <v>736</v>
      </c>
      <c r="E211" s="13">
        <v>42789.184039351851</v>
      </c>
      <c r="F211" s="13">
        <v>42789.185671296298</v>
      </c>
      <c r="G211" s="7">
        <v>1</v>
      </c>
      <c r="H211" s="21" t="s">
        <v>196</v>
      </c>
      <c r="I211" s="13">
        <v>42789.19090277778</v>
      </c>
      <c r="J211" s="7">
        <v>0</v>
      </c>
      <c r="K211" s="98" t="str">
        <f t="shared" si="57"/>
        <v>4009/4010</v>
      </c>
      <c r="L211" s="21" t="str">
        <f>VLOOKUP(A211,'Trips&amp;Operators'!$C$1:$G$99999,5,FALSE)</f>
        <v>ROCHA YAOTL</v>
      </c>
      <c r="M211" s="6">
        <f t="shared" si="58"/>
        <v>5.2314814820419997E-3</v>
      </c>
      <c r="N211" s="7">
        <f t="shared" si="59"/>
        <v>7.5333333341404796</v>
      </c>
      <c r="O211" s="7"/>
      <c r="P211" s="7"/>
      <c r="Q211" s="22"/>
      <c r="R211" s="22"/>
      <c r="S211" s="31">
        <f t="shared" si="60"/>
        <v>1</v>
      </c>
      <c r="T211" s="46" t="str">
        <f t="shared" si="61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62"/>
        <v>https://d0f6bd738d7f1b3e5a7ca70fe4ff75f0.us-east-1.aws.found.io/app/kibana#/discover/Steve-Slow-Train-Analysis-(2080s-and-2083s)?_g=(refreshInterval:(display:Off,pause:!f,section:0,value:0),time:(from:'2017-02-23T03:25:01-0700',mode:absolute,to:'2017-02-23T05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1" s="187" t="str">
        <f t="shared" si="63"/>
        <v>Y</v>
      </c>
      <c r="X211" s="187">
        <f t="shared" si="64"/>
        <v>2</v>
      </c>
      <c r="Y211" s="62">
        <f t="shared" si="65"/>
        <v>2.3334000000000001</v>
      </c>
      <c r="Z211" s="62">
        <f t="shared" si="66"/>
        <v>1.4500000000000001E-2</v>
      </c>
      <c r="AA211" s="62">
        <f t="shared" si="67"/>
        <v>2.3189000000000002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68"/>
        <v>0310-23</v>
      </c>
      <c r="AE211" s="85" t="str">
        <f t="shared" si="69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211" s="82" t="str">
        <f t="shared" si="70"/>
        <v>"C:\Program Files (x86)\AstroGrep\AstroGrep.exe" /spath="%USERPROFILE%\AppData\Local\Temp\OnboardLogs" /stypes="app*4010*20170223*" /stext=" 11:.+(\|loc)" /e /r /s</v>
      </c>
      <c r="AG211" s="1" t="str">
        <f t="shared" si="71"/>
        <v>Other</v>
      </c>
      <c r="AH211" s="86" t="str">
        <f t="shared" si="72"/>
        <v>"%USERPROFILE%\Documents\GitHub\eaglep3\Utilities\RefineRTDCRunTimes.py" --tripid 310-23 --locoid 4010 --swversion DE.1.0.9.0 --startMP 300:23334 --initTime 2017-02-23T04:25:01 --startdatetime 2017-02-23T04:27:22 --delay 1 --endMP 204:145 --enddatetime 2017-02-23T04:34:54 --enforcementcount 0 &gt;&gt;C:\Users\stu\Documents\GitHub\eaglep3-reporting\EC\2017-02-23-refined-times.txt</v>
      </c>
      <c r="AI21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{"issue":{"subject":"","project_id":79,"tracker_id":40,"status_id":1,"priority_id":2,"assigned_to_id":23,"start_date":"2017-02-23","description":"","custom_fields":[{"id":1,"name":"Subdivision","value":"Other"},{"id":4,"name":"Milepost","value":"0.0145"},{"id":17,"name":"Train ID","value":"310-23"},{"id":16,"name":"Locomotive ID","value":"4010"},{"id":130,"name":"Impact","value":""},{"id":150,"name":"Time of Event (Mountain Time)","value":"04:34:54"},{"id":151,"name":"Denver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4"/>
        <v>start /low /b %USERPROFILE%\Documents\GitHub\eaglep3\Utilities\DownloadLogsFromS3.py --loco 4010 --day 2017-02-23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</row>
    <row r="212" spans="1:40" x14ac:dyDescent="0.25">
      <c r="A212" s="33" t="s">
        <v>367</v>
      </c>
      <c r="B212" s="7">
        <v>4027</v>
      </c>
      <c r="C212" s="21" t="s">
        <v>294</v>
      </c>
      <c r="D212" s="21" t="s">
        <v>246</v>
      </c>
      <c r="E212" s="13">
        <v>42789.08390046296</v>
      </c>
      <c r="F212" s="13">
        <v>25568.708333333332</v>
      </c>
      <c r="G212" s="7">
        <v>1</v>
      </c>
      <c r="H212" s="21" t="s">
        <v>273</v>
      </c>
      <c r="I212" s="13">
        <v>25568.708333333332</v>
      </c>
      <c r="J212" s="7">
        <v>0</v>
      </c>
      <c r="K212" s="98" t="str">
        <f t="shared" si="57"/>
        <v>4027/4028</v>
      </c>
      <c r="L212" s="21" t="str">
        <f>VLOOKUP(A212,'Trips&amp;Operators'!$C$1:$G$99999,5,FALSE)</f>
        <v>BROWN JACOB</v>
      </c>
      <c r="M212" s="6">
        <f t="shared" si="58"/>
        <v>0</v>
      </c>
      <c r="N212" s="7">
        <f t="shared" si="59"/>
        <v>0</v>
      </c>
      <c r="O212" s="7"/>
      <c r="P212" s="7"/>
      <c r="Q212" s="22"/>
      <c r="R212" s="22"/>
      <c r="S212" s="31">
        <f t="shared" si="60"/>
        <v>1</v>
      </c>
      <c r="T212" s="46" t="str">
        <f t="shared" si="61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62"/>
        <v>https://d0f6bd738d7f1b3e5a7ca70fe4ff75f0.us-east-1.aws.found.io/app/kibana#/discover/Steve-Slow-Train-Analysis-(2080s-and-2083s)?_g=(refreshInterval:(display:Off,pause:!f,section:0,value:0),time:(from:'2017-02-23T01:00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87" t="str">
        <f t="shared" si="63"/>
        <v>Y</v>
      </c>
      <c r="X212" s="187">
        <f t="shared" si="64"/>
        <v>1</v>
      </c>
      <c r="Y212" s="62">
        <f t="shared" si="65"/>
        <v>4.4600000000000001E-2</v>
      </c>
      <c r="Z212" s="62">
        <f t="shared" si="66"/>
        <v>2.3346</v>
      </c>
      <c r="AA212" s="62">
        <f t="shared" si="67"/>
        <v>2.29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68"/>
        <v>0311-22</v>
      </c>
      <c r="AE212" s="85" t="str">
        <f t="shared" si="69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2" s="82" t="str">
        <f t="shared" si="70"/>
        <v>"C:\Program Files (x86)\AstroGrep\AstroGrep.exe" /spath="%USERPROFILE%\AppData\Local\Temp\OnboardLogs" /stypes="app*4027*19700101*" /stext=" 00:.+(\|loc)" /e /r /s</v>
      </c>
      <c r="AG212" s="1" t="str">
        <f t="shared" si="71"/>
        <v>Other</v>
      </c>
      <c r="AH212" s="86" t="str">
        <f t="shared" si="72"/>
        <v>"%USERPROFILE%\Documents\GitHub\eaglep3\Utilities\RefineRTDCRunTimes.py" --tripid 311-22 --locoid 4027 --swversion DE.1.0.9.0 --startMP 204:446 --initTime 2017-02-23T02:00:49 --startdatetime 1969-12-31T17:00:00 --delay 1 --endMP 300:23346 --enddatetime 1969-12-31T17:00:00 --enforcementcount 0 &gt;&gt;C:\Users\stu\Documents\GitHub\eaglep3-reporting\EC\2017-02-23-refined-times.txt</v>
      </c>
      <c r="AI212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ID","value":"311-22"},{"id":16,"name":"Locomotive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4"/>
        <v>start /low /b %USERPROFILE%\Documents\GitHub\eaglep3\Utilities\DownloadLogsFromS3.py --loco 4027 --day 1969-12-31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2017-02-23-UncaughtWiMAX.txt</v>
      </c>
    </row>
    <row r="213" spans="1:40" x14ac:dyDescent="0.25">
      <c r="A213" s="33" t="s">
        <v>643</v>
      </c>
      <c r="B213" s="7">
        <v>4014</v>
      </c>
      <c r="C213" s="21" t="s">
        <v>294</v>
      </c>
      <c r="D213" s="21" t="s">
        <v>225</v>
      </c>
      <c r="E213" s="13">
        <v>42790.072048611109</v>
      </c>
      <c r="F213" s="13">
        <v>25568.708333333332</v>
      </c>
      <c r="G213" s="7">
        <v>1</v>
      </c>
      <c r="H213" s="21" t="s">
        <v>737</v>
      </c>
      <c r="I213" s="13">
        <v>25568.708333333332</v>
      </c>
      <c r="J213" s="7">
        <v>0</v>
      </c>
      <c r="K213" s="98" t="str">
        <f t="shared" si="57"/>
        <v>4013/4014</v>
      </c>
      <c r="L213" s="21" t="str">
        <f>VLOOKUP(A213,'Trips&amp;Operators'!$C$1:$G$99999,5,FALSE)</f>
        <v>BROWN JACOB</v>
      </c>
      <c r="M213" s="6">
        <f t="shared" si="58"/>
        <v>0</v>
      </c>
      <c r="N213" s="7">
        <f t="shared" si="59"/>
        <v>0</v>
      </c>
      <c r="O213" s="7"/>
      <c r="P213" s="7"/>
      <c r="Q213" s="22"/>
      <c r="R213" s="22"/>
      <c r="S213" s="31">
        <f t="shared" si="60"/>
        <v>1</v>
      </c>
      <c r="T213" s="46" t="str">
        <f t="shared" si="61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62"/>
        <v>https://d0f6bd738d7f1b3e5a7ca70fe4ff75f0.us-east-1.aws.found.io/app/kibana#/discover/Steve-Slow-Train-Analysis-(2080s-and-2083s)?_g=(refreshInterval:(display:Off,pause:!f,section:0,value:0),time:(from:'2017-02-24T00:43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87" t="str">
        <f t="shared" si="63"/>
        <v>Y</v>
      </c>
      <c r="X213" s="187">
        <f t="shared" si="64"/>
        <v>0</v>
      </c>
      <c r="Y213" s="62">
        <f t="shared" si="65"/>
        <v>4.5100000000000001E-2</v>
      </c>
      <c r="Z213" s="62">
        <f t="shared" si="66"/>
        <v>2.3319999999999999</v>
      </c>
      <c r="AA213" s="62">
        <f t="shared" si="67"/>
        <v>2.2868999999999997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68"/>
        <v>0311-23</v>
      </c>
      <c r="AE213" s="85" t="str">
        <f t="shared" si="69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3" s="82" t="str">
        <f t="shared" si="70"/>
        <v>"C:\Program Files (x86)\AstroGrep\AstroGrep.exe" /spath="%USERPROFILE%\AppData\Local\Temp\OnboardLogs" /stypes="app*4014*19700101*" /stext=" 00:.+(\|loc)" /e /r /s</v>
      </c>
      <c r="AG213" s="1" t="str">
        <f t="shared" si="71"/>
        <v>Other</v>
      </c>
      <c r="AH213" s="86" t="str">
        <f t="shared" si="72"/>
        <v>"%USERPROFILE%\Documents\GitHub\eaglep3\Utilities\RefineRTDCRunTimes.py" --tripid 311-23 --locoid 4014 --swversion DE.1.0.9.0 --startMP 204:451 --initTime 2017-02-24T01:43:45 --startdatetime 1969-12-31T17:00:00 --delay 1 --endMP 300:23320 --enddatetime 1969-12-31T17:00:00 --enforcementcount 0 &gt;&gt;C:\Users\stu\Documents\GitHub\eaglep3-reporting\EC\2017-02-23-refined-times.txt</v>
      </c>
      <c r="AI21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ID","value":"311-23"},{"id":16,"name":"Locomotive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4"/>
        <v>start /low /b %USERPROFILE%\Documents\GitHub\eaglep3\Utilities\DownloadLogsFromS3.py --loco 4014 --day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2017-02-23-UncaughtWiMAX.txt</v>
      </c>
    </row>
    <row r="214" spans="1:40" x14ac:dyDescent="0.25">
      <c r="A214" s="33" t="s">
        <v>644</v>
      </c>
      <c r="B214" s="7">
        <v>4011</v>
      </c>
      <c r="C214" s="21" t="s">
        <v>294</v>
      </c>
      <c r="D214" s="21" t="s">
        <v>738</v>
      </c>
      <c r="E214" s="13">
        <v>42790.08935185185</v>
      </c>
      <c r="F214" s="13">
        <v>25568.708333333332</v>
      </c>
      <c r="G214" s="7">
        <v>2</v>
      </c>
      <c r="H214" s="21" t="s">
        <v>739</v>
      </c>
      <c r="I214" s="13">
        <v>25568.708333333332</v>
      </c>
      <c r="J214" s="7">
        <v>0</v>
      </c>
      <c r="K214" s="98" t="str">
        <f t="shared" si="57"/>
        <v>4011/4012</v>
      </c>
      <c r="L214" s="21" t="str">
        <f>VLOOKUP(A214,'Trips&amp;Operators'!$C$1:$G$99999,5,FALSE)</f>
        <v>HILLS DUSTIN</v>
      </c>
      <c r="M214" s="6">
        <f t="shared" si="58"/>
        <v>0</v>
      </c>
      <c r="N214" s="7">
        <f t="shared" si="59"/>
        <v>0</v>
      </c>
      <c r="O214" s="7"/>
      <c r="P214" s="7"/>
      <c r="Q214" s="22"/>
      <c r="R214" s="22"/>
      <c r="S214" s="31">
        <f t="shared" si="60"/>
        <v>1</v>
      </c>
      <c r="T214" s="46" t="str">
        <f t="shared" si="61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62"/>
        <v>https://d0f6bd738d7f1b3e5a7ca70fe4ff75f0.us-east-1.aws.found.io/app/kibana#/discover/Steve-Slow-Train-Analysis-(2080s-and-2083s)?_g=(refreshInterval:(display:Off,pause:!f,section:0,value:0),time:(from:'2017-02-24T01:08:40-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187" t="str">
        <f t="shared" si="63"/>
        <v>Y</v>
      </c>
      <c r="X214" s="187">
        <f t="shared" si="64"/>
        <v>2</v>
      </c>
      <c r="Y214" s="62">
        <f t="shared" si="65"/>
        <v>4.07E-2</v>
      </c>
      <c r="Z214" s="62">
        <f t="shared" si="66"/>
        <v>2.3304</v>
      </c>
      <c r="AA214" s="62">
        <f t="shared" si="67"/>
        <v>2.2896999999999998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68"/>
        <v>0313-23</v>
      </c>
      <c r="AE214" s="85" t="str">
        <f t="shared" si="6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4" s="82" t="str">
        <f t="shared" si="70"/>
        <v>"C:\Program Files (x86)\AstroGrep\AstroGrep.exe" /spath="%USERPROFILE%\AppData\Local\Temp\OnboardLogs" /stypes="app*4011*19700101*" /stext=" 00:.+(\|loc)" /e /r /s</v>
      </c>
      <c r="AG214" s="1" t="str">
        <f t="shared" si="71"/>
        <v>Other</v>
      </c>
      <c r="AH214" s="86" t="str">
        <f t="shared" si="72"/>
        <v>"%USERPROFILE%\Documents\GitHub\eaglep3\Utilities\RefineRTDCRunTimes.py" --tripid 313-23 --locoid 4011 --swversion DE.1.0.9.0 --startMP 204:407 --initTime 2017-02-24T02:08:40 --startdatetime 1969-12-31T17:00:00 --delay 2 --endMP 300:23304 --enddatetime 1969-12-31T17:00:00 --enforcementcount 0 &gt;&gt;C:\Users\stu\Documents\GitHub\eaglep3-reporting\EC\2017-02-23-refined-times.txt</v>
      </c>
      <c r="AI214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4"/>
        <v>start /low /b %USERPROFILE%\Documents\GitHub\eaglep3\Utilities\DownloadLogsFromS3.py --loco 4011 --day 1969-12-31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2017-02-23-UncaughtWiMAX.txt</v>
      </c>
    </row>
    <row r="215" spans="1:40" x14ac:dyDescent="0.25">
      <c r="A215" s="33" t="s">
        <v>640</v>
      </c>
      <c r="B215" s="7">
        <v>4027</v>
      </c>
      <c r="C215" s="21" t="s">
        <v>294</v>
      </c>
      <c r="D215" s="21" t="s">
        <v>711</v>
      </c>
      <c r="E215" s="13">
        <v>42790.036111111112</v>
      </c>
      <c r="F215" s="13">
        <v>42790.037418981483</v>
      </c>
      <c r="G215" s="7">
        <v>1</v>
      </c>
      <c r="H215" s="21" t="s">
        <v>388</v>
      </c>
      <c r="I215" s="13">
        <v>42790.042256944442</v>
      </c>
      <c r="J215" s="7">
        <v>0</v>
      </c>
      <c r="K215" s="98" t="str">
        <f t="shared" si="57"/>
        <v>4027/4028</v>
      </c>
      <c r="L215" s="21" t="str">
        <f>VLOOKUP(A215,'Trips&amp;Operators'!$C$1:$G$99999,5,FALSE)</f>
        <v>CHANDLER KELVIN</v>
      </c>
      <c r="M215" s="6">
        <f t="shared" si="58"/>
        <v>4.8379629588453099E-3</v>
      </c>
      <c r="N215" s="7">
        <f t="shared" si="59"/>
        <v>6.9666666607372463</v>
      </c>
      <c r="O215" s="7"/>
      <c r="P215" s="7"/>
      <c r="Q215" s="22"/>
      <c r="R215" s="22"/>
      <c r="S215" s="31">
        <f t="shared" si="60"/>
        <v>1</v>
      </c>
      <c r="T215" s="46" t="str">
        <f t="shared" si="61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62"/>
        <v>https://d0f6bd738d7f1b3e5a7ca70fe4ff75f0.us-east-1.aws.found.io/app/kibana#/discover/Steve-Slow-Train-Analysis-(2080s-and-2083s)?_g=(refreshInterval:(display:Off,pause:!f,section:0,value:0),time:(from:'2017-02-23T23:52:00-0700',mode:absolute,to:'2017-02-24T02:00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87" t="str">
        <f t="shared" si="63"/>
        <v>Y</v>
      </c>
      <c r="X215" s="187">
        <f t="shared" si="64"/>
        <v>2</v>
      </c>
      <c r="Y215" s="62">
        <f t="shared" si="65"/>
        <v>4.7300000000000002E-2</v>
      </c>
      <c r="Z215" s="62">
        <f t="shared" si="66"/>
        <v>2.3306</v>
      </c>
      <c r="AA215" s="62">
        <f t="shared" si="67"/>
        <v>2.2833000000000001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68"/>
        <v>0315-23</v>
      </c>
      <c r="AE215" s="85" t="str">
        <f t="shared" si="69"/>
        <v>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 &amp; 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</v>
      </c>
      <c r="AF215" s="82" t="str">
        <f t="shared" si="70"/>
        <v>"C:\Program Files (x86)\AstroGrep\AstroGrep.exe" /spath="%USERPROFILE%\AppData\Local\Temp\OnboardLogs" /stypes="app*4027*20170224*" /stext=" 08:.+(\|loc)" /e /r /s</v>
      </c>
      <c r="AG215" s="1" t="str">
        <f t="shared" si="71"/>
        <v>Other</v>
      </c>
      <c r="AH215" s="86" t="str">
        <f t="shared" si="72"/>
        <v>"%USERPROFILE%\Documents\GitHub\eaglep3\Utilities\RefineRTDCRunTimes.py" --tripid 315-23 --locoid 4027 --swversion DE.1.0.9.0 --startMP 204:473 --initTime 2017-02-24T00:52:00 --startdatetime 2017-02-24T00:53:53 --delay 1 --endMP 300:23306 --enddatetime 2017-02-24T01:00:51 --enforcementcount 0 &gt;&gt;C:\Users\stu\Documents\GitHub\eaglep3-reporting\EC\2017-02-23-refined-times.txt</v>
      </c>
      <c r="AI215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{"issue":{"subject":"","project_id":79,"tracker_id":40,"status_id":1,"priority_id":2,"assigned_to_id":23,"start_date":"2017-02-24","description":"","custom_fields":[{"id":1,"name":"Subdivision","value":"Other"},{"id":4,"name":"Milepost","value":"2.3306"},{"id":17,"name":"Train ID","value":"315-23"},{"id":16,"name":"Locomotive ID","value":"4027"},{"id":130,"name":"Impact","value":""},{"id":150,"name":"Time of Event (Mountain Time)","value":"01:00:51"},{"id":151,"name":"Denver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4"/>
        <v>start /low /b %USERPROFILE%\Documents\GitHub\eaglep3\Utilities\DownloadLogsFromS3.py --loco 4027 --day 2017-02-24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</row>
    <row r="216" spans="1:40" x14ac:dyDescent="0.25">
      <c r="A216" s="33" t="s">
        <v>488</v>
      </c>
      <c r="B216" s="7">
        <v>4019</v>
      </c>
      <c r="C216" s="21" t="s">
        <v>294</v>
      </c>
      <c r="D216" s="21" t="s">
        <v>386</v>
      </c>
      <c r="E216" s="13">
        <v>42789.251342592594</v>
      </c>
      <c r="F216" s="13">
        <v>42789.254270833335</v>
      </c>
      <c r="G216" s="7">
        <v>3</v>
      </c>
      <c r="H216" s="21" t="s">
        <v>393</v>
      </c>
      <c r="I216" s="13">
        <v>42789.259236111109</v>
      </c>
      <c r="J216" s="7">
        <v>0</v>
      </c>
      <c r="K216" s="98" t="str">
        <f t="shared" si="57"/>
        <v>4019/4020</v>
      </c>
      <c r="L216" s="21" t="str">
        <f>VLOOKUP(A216,'Trips&amp;Operators'!$C$1:$G$99999,5,FALSE)</f>
        <v>LOZA FIDEL</v>
      </c>
      <c r="M216" s="6">
        <f t="shared" si="58"/>
        <v>4.9652777743176557E-3</v>
      </c>
      <c r="N216" s="7">
        <f t="shared" si="59"/>
        <v>7.1499999950174242</v>
      </c>
      <c r="O216" s="7"/>
      <c r="P216" s="7"/>
      <c r="Q216" s="22"/>
      <c r="R216" s="22"/>
      <c r="S216" s="31">
        <f t="shared" si="60"/>
        <v>1</v>
      </c>
      <c r="T216" s="46" t="str">
        <f t="shared" si="61"/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62"/>
        <v>https://d0f6bd738d7f1b3e5a7ca70fe4ff75f0.us-east-1.aws.found.io/app/kibana#/discover/Steve-Slow-Train-Analysis-(2080s-and-2083s)?_g=(refreshInterval:(display:Off,pause:!f,section:0,value:0),time:(from:'2017-02-23T05:01:56-0700',mode:absolute,to:'2017-02-23T07:13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6" s="187" t="str">
        <f t="shared" si="63"/>
        <v>Y</v>
      </c>
      <c r="X216" s="187">
        <f t="shared" si="64"/>
        <v>587</v>
      </c>
      <c r="Y216" s="62">
        <f t="shared" si="65"/>
        <v>2.3285</v>
      </c>
      <c r="Z216" s="62">
        <f t="shared" si="66"/>
        <v>6.8000000000000005E-2</v>
      </c>
      <c r="AA216" s="62">
        <f t="shared" si="67"/>
        <v>2.2605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68"/>
        <v>0902-23</v>
      </c>
      <c r="AE216" s="85" t="str">
        <f t="shared" si="69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216" s="82" t="str">
        <f t="shared" si="70"/>
        <v>"C:\Program Files (x86)\AstroGrep\AstroGrep.exe" /spath="%USERPROFILE%\AppData\Local\Temp\OnboardLogs" /stypes="app*4019*20170223*" /stext=" 13:.+(\|loc)" /e /r /s</v>
      </c>
      <c r="AG216" s="1" t="str">
        <f t="shared" si="71"/>
        <v>Other</v>
      </c>
      <c r="AH216" s="86" t="str">
        <f t="shared" si="72"/>
        <v>"%USERPROFILE%\Documents\GitHub\eaglep3\Utilities\RefineRTDCRunTimes.py" --tripid 902-23 --locoid 4019 --swversion DE.1.0.9.0 --startMP 300:23285 --initTime 2017-02-23T06:01:56 --startdatetime 2017-02-23T06:06:09 --delay 3 --endMP 204:680 --enddatetime 2017-02-23T06:13:18 --enforcementcount 0 &gt;&gt;C:\Users\stu\Documents\GitHub\eaglep3-reporting\EC\2017-02-23-refined-times.txt</v>
      </c>
      <c r="AI21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{"issue":{"subject":"","project_id":79,"tracker_id":40,"status_id":1,"priority_id":2,"assigned_to_id":23,"start_date":"2017-02-23","description":"","custom_fields":[{"id":1,"name":"Subdivision","value":"Other"},{"id":4,"name":"Milepost","value":"0.068"},{"id":17,"name":"Train ID","value":"902-23"},{"id":16,"name":"Locomotive ID","value":"4019"},{"id":130,"name":"Impact","value":""},{"id":150,"name":"Time of Event (Mountain Time)","value":"06:13:18"},{"id":151,"name":"Denver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4"/>
        <v>start /low /b %USERPROFILE%\Documents\GitHub\eaglep3\Utilities\DownloadLogsFromS3.py --loco 4019 --day 2017-02-23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217" spans="1:40" x14ac:dyDescent="0.25">
      <c r="A217" s="33" t="s">
        <v>512</v>
      </c>
      <c r="B217" s="7">
        <v>4025</v>
      </c>
      <c r="C217" s="21" t="s">
        <v>294</v>
      </c>
      <c r="D217" s="21" t="s">
        <v>875</v>
      </c>
      <c r="E217" s="13">
        <v>42789.352939814817</v>
      </c>
      <c r="F217" s="13">
        <v>42789.354687500003</v>
      </c>
      <c r="G217" s="7">
        <v>1</v>
      </c>
      <c r="H217" s="21" t="s">
        <v>876</v>
      </c>
      <c r="I217" s="13">
        <v>42789.360439814816</v>
      </c>
      <c r="J217" s="7">
        <v>0</v>
      </c>
      <c r="K217" s="98" t="str">
        <f t="shared" si="57"/>
        <v>4025/4026</v>
      </c>
      <c r="L217" s="21" t="str">
        <f>VLOOKUP(A217,'Trips&amp;Operators'!$C$1:$G$99999,5,FALSE)</f>
        <v>SHOOK JOHN</v>
      </c>
      <c r="M217" s="6">
        <f t="shared" si="58"/>
        <v>5.7523148134350777E-3</v>
      </c>
      <c r="N217" s="7">
        <f t="shared" si="59"/>
        <v>8.2833333313465118</v>
      </c>
      <c r="O217" s="7"/>
      <c r="P217" s="7"/>
      <c r="Q217" s="22"/>
      <c r="R217" s="22"/>
      <c r="S217" s="31">
        <f t="shared" si="60"/>
        <v>1</v>
      </c>
      <c r="T217" s="46" t="str">
        <f t="shared" si="61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62"/>
        <v>https://d0f6bd738d7f1b3e5a7ca70fe4ff75f0.us-east-1.aws.found.io/app/kibana#/discover/Steve-Slow-Train-Analysis-(2080s-and-2083s)?_g=(refreshInterval:(display:Off,pause:!f,section:0,value:0),time:(from:'2017-02-23T07:28:14-0700',mode:absolute,to:'2017-02-23T09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7" s="187" t="str">
        <f t="shared" si="63"/>
        <v>Y</v>
      </c>
      <c r="X217" s="187">
        <f t="shared" si="64"/>
        <v>1</v>
      </c>
      <c r="Y217" s="62">
        <f t="shared" si="65"/>
        <v>4.41E-2</v>
      </c>
      <c r="Z217" s="62">
        <f t="shared" si="66"/>
        <v>2.4216000000000002</v>
      </c>
      <c r="AA217" s="62">
        <f t="shared" si="67"/>
        <v>2.3775000000000004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68"/>
        <v>0903-23</v>
      </c>
      <c r="AE217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17" s="82" t="str">
        <f t="shared" si="70"/>
        <v>"C:\Program Files (x86)\AstroGrep\AstroGrep.exe" /spath="%USERPROFILE%\AppData\Local\Temp\OnboardLogs" /stypes="app*4025*20170223*" /stext=" 15:.+(\|loc)" /e /r /s</v>
      </c>
      <c r="AG217" s="1" t="str">
        <f t="shared" si="71"/>
        <v>Other</v>
      </c>
      <c r="AH217" s="86" t="str">
        <f t="shared" si="72"/>
        <v>"%USERPROFILE%\Documents\GitHub\eaglep3\Utilities\RefineRTDCRunTimes.py" --tripid 903-23 --locoid 4025 --swversion DE.1.0.9.0 --startMP 204:441 --initTime 2017-02-23T08:28:14 --startdatetime 2017-02-23T08:30:45 --delay 1 --endMP 300:24216 --enddatetime 2017-02-23T08:39:02 --enforcementcount 0 &gt;&gt;C:\Users\stu\Documents\GitHub\eaglep3-reporting\EC\2017-02-23-refined-times.txt</v>
      </c>
      <c r="AI21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{"issue":{"subject":"","project_id":79,"tracker_id":40,"status_id":1,"priority_id":2,"assigned_to_id":23,"start_date":"2017-02-23","description":"","custom_fields":[{"id":1,"name":"Subdivision","value":"Other"},{"id":4,"name":"Milepost","value":"2.4216"},{"id":17,"name":"Train ID","value":"903-23"},{"id":16,"name":"Locomotive ID","value":"4025"},{"id":130,"name":"Impact","value":""},{"id":150,"name":"Time of Event (Mountain Time)","value":"08:39:02"},{"id":151,"name":"Denver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4"/>
        <v>start /low /b %USERPROFILE%\Documents\GitHub\eaglep3\Utilities\DownloadLogsFromS3.py --loco 4025 --day 2017-02-23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18" spans="1:40" x14ac:dyDescent="0.25">
      <c r="A218" s="33" t="s">
        <v>445</v>
      </c>
      <c r="B218" s="7">
        <v>4026</v>
      </c>
      <c r="C218" s="21" t="s">
        <v>294</v>
      </c>
      <c r="D218" s="21" t="s">
        <v>877</v>
      </c>
      <c r="E218" s="13">
        <v>42789.645416666666</v>
      </c>
      <c r="F218" s="13">
        <v>42789.646469907406</v>
      </c>
      <c r="G218" s="7">
        <v>1</v>
      </c>
      <c r="H218" s="21" t="s">
        <v>878</v>
      </c>
      <c r="I218" s="13">
        <v>42789.652002314811</v>
      </c>
      <c r="J218" s="7">
        <v>0</v>
      </c>
      <c r="K218" s="98" t="str">
        <f t="shared" si="57"/>
        <v>4025/4026</v>
      </c>
      <c r="L218" s="21" t="str">
        <f>VLOOKUP(A218,'Trips&amp;Operators'!$C$1:$G$99999,5,FALSE)</f>
        <v>STORY SAMANTHA</v>
      </c>
      <c r="M218" s="6">
        <f t="shared" si="58"/>
        <v>5.5324074055533856E-3</v>
      </c>
      <c r="N218" s="7">
        <f t="shared" si="59"/>
        <v>7.9666666639968753</v>
      </c>
      <c r="O218" s="7"/>
      <c r="P218" s="7"/>
      <c r="Q218" s="22"/>
      <c r="R218" s="22"/>
      <c r="S218" s="31">
        <f t="shared" si="60"/>
        <v>1</v>
      </c>
      <c r="T218" s="46" t="str">
        <f t="shared" si="61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62"/>
        <v>https://d0f6bd738d7f1b3e5a7ca70fe4ff75f0.us-east-1.aws.found.io/app/kibana#/discover/Steve-Slow-Train-Analysis-(2080s-and-2083s)?_g=(refreshInterval:(display:Off,pause:!f,section:0,value:0),time:(from:'2017-02-23T14:29:24-0700',mode:absolute,to:'2017-02-23T16:38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87" t="str">
        <f t="shared" si="63"/>
        <v>Y</v>
      </c>
      <c r="X218" s="187">
        <f t="shared" si="64"/>
        <v>1</v>
      </c>
      <c r="Y218" s="62">
        <f t="shared" si="65"/>
        <v>2.3222</v>
      </c>
      <c r="Z218" s="62">
        <f t="shared" si="66"/>
        <v>7.1199999999999999E-2</v>
      </c>
      <c r="AA218" s="62">
        <f t="shared" si="67"/>
        <v>2.2509999999999999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68"/>
        <v>0904-23</v>
      </c>
      <c r="AE218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18" s="82" t="str">
        <f t="shared" si="70"/>
        <v>"C:\Program Files (x86)\AstroGrep\AstroGrep.exe" /spath="%USERPROFILE%\AppData\Local\Temp\OnboardLogs" /stypes="app*4026*20170223*" /stext=" 22:.+(\|loc)" /e /r /s</v>
      </c>
      <c r="AG218" s="1" t="str">
        <f t="shared" si="71"/>
        <v>Other</v>
      </c>
      <c r="AH218" s="86" t="str">
        <f t="shared" si="72"/>
        <v>"%USERPROFILE%\Documents\GitHub\eaglep3\Utilities\RefineRTDCRunTimes.py" --tripid 904-23 --locoid 4026 --swversion DE.1.0.9.0 --startMP 300:23222 --initTime 2017-02-23T15:29:24 --startdatetime 2017-02-23T15:30:55 --delay 1 --endMP 204:712 --enddatetime 2017-02-23T15:38:53 --enforcementcount 0 &gt;&gt;C:\Users\stu\Documents\GitHub\eaglep3-reporting\EC\2017-02-23-refined-times.txt</v>
      </c>
      <c r="AI21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{"issue":{"subject":"","project_id":79,"tracker_id":40,"status_id":1,"priority_id":2,"assigned_to_id":23,"start_date":"2017-02-23","description":"","custom_fields":[{"id":1,"name":"Subdivision","value":"Other"},{"id":4,"name":"Milepost","value":"0.0712"},{"id":17,"name":"Train ID","value":"904-23"},{"id":16,"name":"Locomotive ID","value":"4026"},{"id":130,"name":"Impact","value":""},{"id":150,"name":"Time of Event (Mountain Time)","value":"15:38:53"},{"id":151,"name":"Denver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4"/>
        <v>start /low /b %USERPROFILE%\Documents\GitHub\eaglep3\Utilities\DownloadLogsFromS3.py --loco 4026 --day 2017-02-23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19" spans="1:40" x14ac:dyDescent="0.25">
      <c r="A219" s="33" t="s">
        <v>606</v>
      </c>
      <c r="B219" s="7">
        <v>4026</v>
      </c>
      <c r="C219" s="21" t="s">
        <v>294</v>
      </c>
      <c r="D219" s="21" t="s">
        <v>879</v>
      </c>
      <c r="E219" s="13">
        <v>42789.796655092592</v>
      </c>
      <c r="F219" s="13">
        <v>25568.708333333332</v>
      </c>
      <c r="G219" s="7">
        <v>1</v>
      </c>
      <c r="H219" s="21" t="s">
        <v>880</v>
      </c>
      <c r="I219" s="13">
        <v>25568.708333333332</v>
      </c>
      <c r="J219" s="7">
        <v>0</v>
      </c>
      <c r="K219" s="98" t="str">
        <f t="shared" si="57"/>
        <v>4025/4026</v>
      </c>
      <c r="L219" s="21" t="str">
        <f>VLOOKUP(A219,'Trips&amp;Operators'!$C$1:$G$99999,5,FALSE)</f>
        <v>STORY SAMANTHA</v>
      </c>
      <c r="M219" s="6">
        <f t="shared" si="58"/>
        <v>0</v>
      </c>
      <c r="N219" s="7">
        <f t="shared" si="59"/>
        <v>0</v>
      </c>
      <c r="O219" s="7"/>
      <c r="P219" s="7"/>
      <c r="Q219" s="22"/>
      <c r="R219" s="22"/>
      <c r="S219" s="31">
        <f t="shared" si="60"/>
        <v>0</v>
      </c>
      <c r="T219" s="46" t="str">
        <f t="shared" si="61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62"/>
        <v>https://d0f6bd738d7f1b3e5a7ca70fe4ff75f0.us-east-1.aws.found.io/app/kibana#/discover/Steve-Slow-Train-Analysis-(2080s-and-2083s)?_g=(refreshInterval:(display:Off,pause:!f,section:0,value:0),time:(from:'2017-02-23T18:07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9" s="187" t="str">
        <f t="shared" si="63"/>
        <v>Y</v>
      </c>
      <c r="X219" s="187">
        <f t="shared" si="64"/>
        <v>2</v>
      </c>
      <c r="Y219" s="62">
        <f t="shared" si="65"/>
        <v>5.8673999999999999</v>
      </c>
      <c r="Z219" s="62">
        <f t="shared" si="66"/>
        <v>2.8788</v>
      </c>
      <c r="AA219" s="62">
        <f t="shared" si="67"/>
        <v>2.9885999999999999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68"/>
        <v>0906-23</v>
      </c>
      <c r="AE219" s="85" t="str">
        <f t="shared" si="69"/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19" s="82" t="str">
        <f t="shared" si="70"/>
        <v>"C:\Program Files (x86)\AstroGrep\AstroGrep.exe" /spath="%USERPROFILE%\AppData\Local\Temp\OnboardLogs" /stypes="app*4026*19700101*" /stext=" 00:.+(\|loc)" /e /r /s</v>
      </c>
      <c r="AG219" s="1" t="str">
        <f t="shared" si="71"/>
        <v>Other</v>
      </c>
      <c r="AH219" s="86" t="str">
        <f t="shared" si="72"/>
        <v>"%USERPROFILE%\Documents\GitHub\eaglep3\Utilities\RefineRTDCRunTimes.py" --tripid 906-23 --locoid 4026 --swversion DE.1.0.9.0 --startMP 300:58674 --initTime 2017-02-23T19:07:11 --startdatetime 1969-12-31T17:00:00 --delay 1 --endMP 300:28788 --enddatetime 1969-12-31T17:00:00 --enforcementcount 0 &gt;&gt;C:\Users\stu\Documents\GitHub\eaglep3-reporting\EC\2017-02-23-refined-times.txt</v>
      </c>
      <c r="AI21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ID","value":"906-23"},{"id":16,"name":"Locomotive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4"/>
        <v>start /low /b %USERPROFILE%\Documents\GitHub\eaglep3\Utilities\DownloadLogsFromS3.py --loco 4026 --day 1969-12-31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"%USERPROFILE%\AppData\Local\Temp\OnboardLogs"\RTDC4026\*4026*19700101* | grep -SE "(Enforcement Action)|(\[TIMEOUT)|(CHR.+\|PRM\|1\|D.+(SWITCH|SIGNAL).+UNKNOWN)" - &gt;&gt; 2017-02-23-UncaughtWiMAX.txt</v>
      </c>
    </row>
    <row r="220" spans="1:40" x14ac:dyDescent="0.25">
      <c r="A220" s="33" t="s">
        <v>631</v>
      </c>
      <c r="B220" s="7">
        <v>4019</v>
      </c>
      <c r="C220" s="21" t="s">
        <v>294</v>
      </c>
      <c r="D220" s="21" t="s">
        <v>325</v>
      </c>
      <c r="E220" s="13">
        <v>42789.942280092589</v>
      </c>
      <c r="F220" s="13">
        <v>42789.943344907406</v>
      </c>
      <c r="G220" s="7">
        <v>1</v>
      </c>
      <c r="H220" s="21" t="s">
        <v>881</v>
      </c>
      <c r="I220" s="13">
        <v>42789.948449074072</v>
      </c>
      <c r="J220" s="7">
        <v>0</v>
      </c>
      <c r="K220" s="98" t="str">
        <f t="shared" si="57"/>
        <v>4019/4020</v>
      </c>
      <c r="L220" s="21" t="str">
        <f>VLOOKUP(A220,'Trips&amp;Operators'!$C$1:$G$99999,5,FALSE)</f>
        <v>STORY SAMANTHA</v>
      </c>
      <c r="M220" s="6">
        <f t="shared" si="58"/>
        <v>5.1041666665696539E-3</v>
      </c>
      <c r="N220" s="7">
        <f t="shared" si="59"/>
        <v>7.3499999998603016</v>
      </c>
      <c r="O220" s="7"/>
      <c r="P220" s="7"/>
      <c r="Q220" s="22"/>
      <c r="R220" s="22"/>
      <c r="S220" s="31">
        <f t="shared" si="60"/>
        <v>0</v>
      </c>
      <c r="T220" s="46" t="str">
        <f t="shared" si="61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62"/>
        <v>https://d0f6bd738d7f1b3e5a7ca70fe4ff75f0.us-east-1.aws.found.io/app/kibana#/discover/Steve-Slow-Train-Analysis-(2080s-and-2083s)?_g=(refreshInterval:(display:Off,pause:!f,section:0,value:0),time:(from:'2017-02-23T21:36:53-0700',mode:absolute,to:'2017-02-23T23:45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0" s="187" t="str">
        <f t="shared" si="63"/>
        <v>Y</v>
      </c>
      <c r="X220" s="187">
        <f t="shared" si="64"/>
        <v>2</v>
      </c>
      <c r="Y220" s="62">
        <f t="shared" si="65"/>
        <v>5.8655999999999997</v>
      </c>
      <c r="Z220" s="62">
        <f t="shared" si="66"/>
        <v>2.1475</v>
      </c>
      <c r="AA220" s="62">
        <f t="shared" si="67"/>
        <v>3.7180999999999997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68"/>
        <v>0908-23</v>
      </c>
      <c r="AE220" s="85" t="str">
        <f t="shared" si="69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220" s="82" t="str">
        <f t="shared" si="70"/>
        <v>"C:\Program Files (x86)\AstroGrep\AstroGrep.exe" /spath="%USERPROFILE%\AppData\Local\Temp\OnboardLogs" /stypes="app*4019*20170224*" /stext=" 05:.+(\|loc)" /e /r /s</v>
      </c>
      <c r="AG220" s="1" t="str">
        <f t="shared" si="71"/>
        <v>Other</v>
      </c>
      <c r="AH220" s="86" t="str">
        <f t="shared" si="72"/>
        <v>"%USERPROFILE%\Documents\GitHub\eaglep3\Utilities\RefineRTDCRunTimes.py" --tripid 908-23 --locoid 4019 --swversion DE.1.0.9.0 --startMP 300:58656 --initTime 2017-02-23T22:36:53 --startdatetime 2017-02-23T22:38:25 --delay 1 --endMP 300:21475 --enddatetime 2017-02-23T22:45:46 --enforcementcount 0 &gt;&gt;C:\Users\stu\Documents\GitHub\eaglep3-reporting\EC\2017-02-23-refined-times.txt</v>
      </c>
      <c r="AI22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{"issue":{"subject":"","project_id":79,"tracker_id":40,"status_id":1,"priority_id":2,"assigned_to_id":23,"start_date":"2017-02-23","description":"","custom_fields":[{"id":1,"name":"Subdivision","value":"Other"},{"id":4,"name":"Milepost","value":"2.1475"},{"id":17,"name":"Train ID","value":"908-23"},{"id":16,"name":"Locomotive ID","value":"4019"},{"id":130,"name":"Impact","value":""},{"id":150,"name":"Time of Event (Mountain Time)","value":"22:45:46"},{"id":151,"name":"Denver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4"/>
        <v>start /low /b %USERPROFILE%\Documents\GitHub\eaglep3\Utilities\DownloadLogsFromS3.py --loco 4019 --day 2017-02-23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221" spans="1:40" x14ac:dyDescent="0.25">
      <c r="A221" s="33" t="s">
        <v>616</v>
      </c>
      <c r="B221" s="7">
        <v>4050</v>
      </c>
      <c r="C221" s="21" t="s">
        <v>294</v>
      </c>
      <c r="D221" s="21" t="s">
        <v>740</v>
      </c>
      <c r="E221" s="13">
        <v>42789.842893518522</v>
      </c>
      <c r="F221" s="13">
        <v>42789.859560185185</v>
      </c>
      <c r="G221" s="7">
        <v>1</v>
      </c>
      <c r="H221" s="21" t="s">
        <v>741</v>
      </c>
      <c r="I221" s="13">
        <v>42789.86509259259</v>
      </c>
      <c r="J221" s="7">
        <v>0</v>
      </c>
      <c r="K221" s="98" t="str">
        <f t="shared" si="57"/>
        <v>4049/4050</v>
      </c>
      <c r="L221" s="21" t="str">
        <f>VLOOKUP(A221,'Trips&amp;Operators'!$C$1:$G$99999,5,FALSE)</f>
        <v>COMELLA JUSTIN</v>
      </c>
      <c r="M221" s="6">
        <f t="shared" si="58"/>
        <v>5.5324074055533856E-3</v>
      </c>
      <c r="N221" s="7">
        <f t="shared" si="59"/>
        <v>7.9666666639968753</v>
      </c>
      <c r="O221" s="7"/>
      <c r="P221" s="7"/>
      <c r="Q221" s="22"/>
      <c r="R221" s="22"/>
      <c r="S221" s="31">
        <f t="shared" si="60"/>
        <v>0</v>
      </c>
      <c r="T221" s="46" t="e">
        <f t="shared" si="61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62"/>
        <v>https://d0f6bd738d7f1b3e5a7ca70fe4ff75f0.us-east-1.aws.found.io/app/kibana#/discover/Steve-Slow-Train-Analysis-(2080s-and-2083s)?_g=(refreshInterval:(display:Off,pause:!f,section:0,value:0),time:(from:'2017-02-23T19:13:46-0700',mode:absolute,to:'2017-02-23T21:45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1" s="187" t="str">
        <f t="shared" si="63"/>
        <v>Y</v>
      </c>
      <c r="X221" s="187" t="e">
        <f t="shared" si="64"/>
        <v>#VALUE!</v>
      </c>
      <c r="Y221" s="62">
        <f t="shared" si="65"/>
        <v>2.3153999999999999</v>
      </c>
      <c r="Z221" s="62">
        <f t="shared" si="66"/>
        <v>0.1162</v>
      </c>
      <c r="AA221" s="62">
        <f t="shared" si="67"/>
        <v>2.1991999999999998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68"/>
        <v>60-23</v>
      </c>
      <c r="AE221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21" s="82" t="str">
        <f t="shared" si="70"/>
        <v>"C:\Program Files (x86)\AstroGrep\AstroGrep.exe" /spath="%USERPROFILE%\AppData\Local\Temp\OnboardLogs" /stypes="app*4050*20170224*" /stext=" 03:.+(\|loc)" /e /r /s</v>
      </c>
      <c r="AG221" s="1" t="str">
        <f t="shared" si="71"/>
        <v>Other</v>
      </c>
      <c r="AH221" s="86" t="str">
        <f t="shared" si="72"/>
        <v>"%USERPROFILE%\Documents\GitHub\eaglep3\Utilities\RefineRTDCRunTimes.py" --tripid 60-23 --locoid 4050 --swversion DE.1.0.9.0 --startMP 300:23154 --initTime 2017-02-23T20:13:46 --startdatetime 2017-02-23T20:37:46 --delay 1 --endMP 204:1162 --enddatetime 2017-02-23T20:45:44 --enforcementcount 0 &gt;&gt;C:\Users\stu\Documents\GitHub\eaglep3-reporting\EC\2017-02-23-refined-times.txt</v>
      </c>
      <c r="AI22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{"issue":{"subject":"","project_id":79,"tracker_id":40,"status_id":1,"priority_id":2,"assigned_to_id":23,"start_date":"2017-02-23","description":"","custom_fields":[{"id":1,"name":"Subdivision","value":"Other"},{"id":4,"name":"Milepost","value":"0.1162"},{"id":17,"name":"Train ID","value":"60-23"},{"id":16,"name":"Locomotive ID","value":"4050"},{"id":130,"name":"Impact","value":""},{"id":150,"name":"Time of Event (Mountain Time)","value":"20:45:44"},{"id":151,"name":"Denver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4"/>
        <v>start /low /b %USERPROFILE%\Documents\GitHub\eaglep3\Utilities\DownloadLogsFromS3.py --loco 4050 --day 2017-02-23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2" spans="1:40" x14ac:dyDescent="0.25">
      <c r="A222" s="33" t="s">
        <v>616</v>
      </c>
      <c r="B222" s="7">
        <v>4050</v>
      </c>
      <c r="C222" s="21" t="s">
        <v>294</v>
      </c>
      <c r="D222" s="21" t="s">
        <v>742</v>
      </c>
      <c r="E222" s="13">
        <v>42790.016585648147</v>
      </c>
      <c r="F222" s="13">
        <v>42790.030891203707</v>
      </c>
      <c r="G222" s="7">
        <v>1</v>
      </c>
      <c r="H222" s="21" t="s">
        <v>743</v>
      </c>
      <c r="I222" s="13">
        <v>42790.037187499998</v>
      </c>
      <c r="J222" s="7">
        <v>0</v>
      </c>
      <c r="K222" s="98" t="str">
        <f t="shared" si="57"/>
        <v>4049/4050</v>
      </c>
      <c r="L222" s="21" t="str">
        <f>VLOOKUP(A222,'Trips&amp;Operators'!$C$1:$G$99999,5,FALSE)</f>
        <v>COMELLA JUSTIN</v>
      </c>
      <c r="M222" s="6">
        <f t="shared" si="58"/>
        <v>6.2962962911115028E-3</v>
      </c>
      <c r="N222" s="7">
        <f t="shared" si="59"/>
        <v>9.066666659200564</v>
      </c>
      <c r="O222" s="7"/>
      <c r="P222" s="7"/>
      <c r="Q222" s="22"/>
      <c r="R222" s="22"/>
      <c r="S222" s="31">
        <f t="shared" si="60"/>
        <v>0</v>
      </c>
      <c r="T222" s="46" t="e">
        <f t="shared" si="61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62"/>
        <v>https://d0f6bd738d7f1b3e5a7ca70fe4ff75f0.us-east-1.aws.found.io/app/kibana#/discover/Steve-Slow-Train-Analysis-(2080s-and-2083s)?_g=(refreshInterval:(display:Off,pause:!f,section:0,value:0),time:(from:'2017-02-23T23:23:53-0700',mode:absolute,to:'2017-02-24T01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2" s="187" t="str">
        <f t="shared" si="63"/>
        <v>Y</v>
      </c>
      <c r="X222" s="187" t="e">
        <f t="shared" si="64"/>
        <v>#VALUE!</v>
      </c>
      <c r="Y222" s="62">
        <f t="shared" si="65"/>
        <v>3.0653000000000001</v>
      </c>
      <c r="Z222" s="62">
        <f t="shared" si="66"/>
        <v>3.5000000000000003E-2</v>
      </c>
      <c r="AA222" s="62">
        <f t="shared" si="67"/>
        <v>3.0303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68"/>
        <v>60-23</v>
      </c>
      <c r="AE222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2" s="82" t="str">
        <f t="shared" si="70"/>
        <v>"C:\Program Files (x86)\AstroGrep\AstroGrep.exe" /spath="%USERPROFILE%\AppData\Local\Temp\OnboardLogs" /stypes="app*4050*20170224*" /stext=" 07:.+(\|loc)" /e /r /s</v>
      </c>
      <c r="AG222" s="1" t="str">
        <f t="shared" si="71"/>
        <v>Other</v>
      </c>
      <c r="AH222" s="86" t="str">
        <f t="shared" si="72"/>
        <v>"%USERPROFILE%\Documents\GitHub\eaglep3\Utilities\RefineRTDCRunTimes.py" --tripid 60-23 --locoid 4050 --swversion DE.1.0.9.0 --startMP 300:30653 --initTime 2017-02-24T00:23:53 --startdatetime 2017-02-24T00:44:29 --delay 1 --endMP 204:350 --enddatetime 2017-02-24T00:53:33 --enforcementcount 0 &gt;&gt;C:\Users\stu\Documents\GitHub\eaglep3-reporting\EC\2017-02-23-refined-times.txt</v>
      </c>
      <c r="AI222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{"issue":{"subject":"","project_id":79,"tracker_id":40,"status_id":1,"priority_id":2,"assigned_to_id":23,"start_date":"2017-02-24","description":"","custom_fields":[{"id":1,"name":"Subdivision","value":"Other"},{"id":4,"name":"Milepost","value":"0.035"},{"id":17,"name":"Train ID","value":"60-23"},{"id":16,"name":"Locomotive ID","value":"4050"},{"id":130,"name":"Impact","value":""},{"id":150,"name":"Time of Event (Mountain Time)","value":"00:53:33"},{"id":151,"name":"Denver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4"/>
        <v>start /low /b %USERPROFILE%\Documents\GitHub\eaglep3\Utilities\DownloadLogsFromS3.py --loco 4050 --day 2017-02-24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3" spans="1:40" x14ac:dyDescent="0.25">
      <c r="A223" s="33" t="s">
        <v>616</v>
      </c>
      <c r="B223" s="7">
        <v>4050</v>
      </c>
      <c r="C223" s="21" t="s">
        <v>294</v>
      </c>
      <c r="D223" s="21" t="s">
        <v>744</v>
      </c>
      <c r="E223" s="13">
        <v>42790.003229166665</v>
      </c>
      <c r="F223" s="13">
        <v>42790.030891203707</v>
      </c>
      <c r="G223" s="7">
        <v>1</v>
      </c>
      <c r="H223" s="21" t="s">
        <v>745</v>
      </c>
      <c r="I223" s="13">
        <v>42790.037187499998</v>
      </c>
      <c r="J223" s="7">
        <v>0</v>
      </c>
      <c r="K223" s="98" t="str">
        <f t="shared" si="57"/>
        <v>4049/4050</v>
      </c>
      <c r="L223" s="21" t="str">
        <f>VLOOKUP(A223,'Trips&amp;Operators'!$C$1:$G$99999,5,FALSE)</f>
        <v>COMELLA JUSTIN</v>
      </c>
      <c r="M223" s="6">
        <f t="shared" si="58"/>
        <v>6.2962962911115028E-3</v>
      </c>
      <c r="N223" s="7">
        <f t="shared" si="59"/>
        <v>9.066666659200564</v>
      </c>
      <c r="O223" s="7"/>
      <c r="P223" s="7"/>
      <c r="Q223" s="22"/>
      <c r="R223" s="22"/>
      <c r="S223" s="31">
        <f t="shared" si="60"/>
        <v>0</v>
      </c>
      <c r="T223" s="46" t="e">
        <f t="shared" si="61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62"/>
        <v>https://d0f6bd738d7f1b3e5a7ca70fe4ff75f0.us-east-1.aws.found.io/app/kibana#/discover/Steve-Slow-Train-Analysis-(2080s-and-2083s)?_g=(refreshInterval:(display:Off,pause:!f,section:0,value:0),time:(from:'2017-02-23T23:04:39-0700',mode:absolute,to:'2017-02-24T01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3" s="187" t="str">
        <f t="shared" si="63"/>
        <v>Y</v>
      </c>
      <c r="X223" s="187" t="e">
        <f t="shared" si="64"/>
        <v>#VALUE!</v>
      </c>
      <c r="Y223" s="62">
        <f t="shared" si="65"/>
        <v>3.0667</v>
      </c>
      <c r="Z223" s="62">
        <f t="shared" si="66"/>
        <v>3.6799999999999999E-2</v>
      </c>
      <c r="AA223" s="62">
        <f t="shared" si="67"/>
        <v>3.0299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68"/>
        <v>60-23</v>
      </c>
      <c r="AE223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3" s="82" t="str">
        <f t="shared" si="70"/>
        <v>"C:\Program Files (x86)\AstroGrep\AstroGrep.exe" /spath="%USERPROFILE%\AppData\Local\Temp\OnboardLogs" /stypes="app*4050*20170224*" /stext=" 07:.+(\|loc)" /e /r /s</v>
      </c>
      <c r="AG223" s="1" t="str">
        <f t="shared" si="71"/>
        <v>Other</v>
      </c>
      <c r="AH223" s="86" t="str">
        <f t="shared" si="72"/>
        <v>"%USERPROFILE%\Documents\GitHub\eaglep3\Utilities\RefineRTDCRunTimes.py" --tripid 60-23 --locoid 4050 --swversion DE.1.0.9.0 --startMP 300:30667 --initTime 2017-02-24T00:04:39 --startdatetime 2017-02-24T00:44:29 --delay 1 --endMP 204:368 --enddatetime 2017-02-24T00:53:33 --enforcementcount 0 &gt;&gt;C:\Users\stu\Documents\GitHub\eaglep3-reporting\EC\2017-02-23-refined-times.txt</v>
      </c>
      <c r="AI223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{"issue":{"subject":"","project_id":79,"tracker_id":40,"status_id":1,"priority_id":2,"assigned_to_id":23,"start_date":"2017-02-24","description":"","custom_fields":[{"id":1,"name":"Subdivision","value":"Other"},{"id":4,"name":"Milepost","value":"0.0368"},{"id":17,"name":"Train ID","value":"60-23"},{"id":16,"name":"Locomotive ID","value":"4050"},{"id":130,"name":"Impact","value":""},{"id":150,"name":"Time of Event (Mountain Time)","value":"00:53:33"},{"id":151,"name":"Denver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4"/>
        <v>start /low /b %USERPROFILE%\Documents\GitHub\eaglep3\Utilities\DownloadLogsFromS3.py --loco 4050 --day 2017-02-24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4" spans="1:40" x14ac:dyDescent="0.25">
      <c r="A224" s="33" t="s">
        <v>616</v>
      </c>
      <c r="B224" s="7">
        <v>4050</v>
      </c>
      <c r="C224" s="21" t="s">
        <v>294</v>
      </c>
      <c r="D224" s="21" t="s">
        <v>746</v>
      </c>
      <c r="E224" s="13">
        <v>42790.029814814814</v>
      </c>
      <c r="F224" s="13">
        <v>42790.046006944445</v>
      </c>
      <c r="G224" s="7">
        <v>1</v>
      </c>
      <c r="H224" s="21" t="s">
        <v>747</v>
      </c>
      <c r="I224" s="13">
        <v>42790.053831018522</v>
      </c>
      <c r="J224" s="7">
        <v>0</v>
      </c>
      <c r="K224" s="98" t="str">
        <f t="shared" si="57"/>
        <v>4049/4050</v>
      </c>
      <c r="L224" s="21" t="str">
        <f>VLOOKUP(A224,'Trips&amp;Operators'!$C$1:$G$99999,5,FALSE)</f>
        <v>COMELLA JUSTIN</v>
      </c>
      <c r="M224" s="6">
        <f t="shared" si="58"/>
        <v>7.8240740767796524E-3</v>
      </c>
      <c r="N224" s="7">
        <f t="shared" si="59"/>
        <v>11.266666670562699</v>
      </c>
      <c r="O224" s="7"/>
      <c r="P224" s="7"/>
      <c r="Q224" s="22"/>
      <c r="R224" s="22"/>
      <c r="S224" s="31">
        <f t="shared" si="60"/>
        <v>0</v>
      </c>
      <c r="T224" s="46" t="e">
        <f t="shared" si="61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62"/>
        <v>https://d0f6bd738d7f1b3e5a7ca70fe4ff75f0.us-east-1.aws.found.io/app/kibana#/discover/Steve-Slow-Train-Analysis-(2080s-and-2083s)?_g=(refreshInterval:(display:Off,pause:!f,section:0,value:0),time:(from:'2017-02-23T23:42:56-0700',mode:absolute,to:'2017-02-24T02:17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4" s="187" t="str">
        <f t="shared" si="63"/>
        <v>Y</v>
      </c>
      <c r="X224" s="187" t="e">
        <f t="shared" si="64"/>
        <v>#VALUE!</v>
      </c>
      <c r="Y224" s="62">
        <f t="shared" si="65"/>
        <v>3.0691000000000002</v>
      </c>
      <c r="Z224" s="62">
        <f t="shared" si="66"/>
        <v>2.0199999999999999E-2</v>
      </c>
      <c r="AA224" s="62">
        <f t="shared" si="67"/>
        <v>3.0489000000000002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68"/>
        <v>60-23</v>
      </c>
      <c r="AE224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4" s="82" t="str">
        <f t="shared" si="70"/>
        <v>"C:\Program Files (x86)\AstroGrep\AstroGrep.exe" /spath="%USERPROFILE%\AppData\Local\Temp\OnboardLogs" /stypes="app*4050*20170224*" /stext=" 08:.+(\|loc)" /e /r /s</v>
      </c>
      <c r="AG224" s="1" t="str">
        <f t="shared" si="71"/>
        <v>Other</v>
      </c>
      <c r="AH224" s="86" t="str">
        <f t="shared" si="72"/>
        <v>"%USERPROFILE%\Documents\GitHub\eaglep3\Utilities\RefineRTDCRunTimes.py" --tripid 60-23 --locoid 4050 --swversion DE.1.0.9.0 --startMP 300:30691 --initTime 2017-02-24T00:42:56 --startdatetime 2017-02-24T01:06:15 --delay 1 --endMP 204:202 --enddatetime 2017-02-24T01:17:31 --enforcementcount 0 &gt;&gt;C:\Users\stu\Documents\GitHub\eaglep3-reporting\EC\2017-02-23-refined-times.txt</v>
      </c>
      <c r="AI224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{"issue":{"subject":"","project_id":79,"tracker_id":40,"status_id":1,"priority_id":2,"assigned_to_id":23,"start_date":"2017-02-24","description":"","custom_fields":[{"id":1,"name":"Subdivision","value":"Other"},{"id":4,"name":"Milepost","value":"0.0202"},{"id":17,"name":"Train ID","value":"60-23"},{"id":16,"name":"Locomotive ID","value":"4050"},{"id":130,"name":"Impact","value":""},{"id":150,"name":"Time of Event (Mountain Time)","value":"01:17:31"},{"id":151,"name":"Denver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4"/>
        <v>start /low /b %USERPROFILE%\Documents\GitHub\eaglep3\Utilities\DownloadLogsFromS3.py --loco 4050 --day 2017-02-24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5" spans="1:40" x14ac:dyDescent="0.25">
      <c r="A225" s="33" t="s">
        <v>616</v>
      </c>
      <c r="B225" s="7">
        <v>4050</v>
      </c>
      <c r="C225" s="21" t="s">
        <v>294</v>
      </c>
      <c r="D225" s="21" t="s">
        <v>748</v>
      </c>
      <c r="E225" s="13">
        <v>42790.063298611109</v>
      </c>
      <c r="F225" s="13">
        <v>42790.077916666669</v>
      </c>
      <c r="G225" s="7">
        <v>0</v>
      </c>
      <c r="H225" s="21" t="s">
        <v>749</v>
      </c>
      <c r="I225" s="13">
        <v>42790.085150462961</v>
      </c>
      <c r="J225" s="7">
        <v>0</v>
      </c>
      <c r="K225" s="98" t="str">
        <f t="shared" si="57"/>
        <v>4049/4050</v>
      </c>
      <c r="L225" s="21" t="str">
        <f>VLOOKUP(A225,'Trips&amp;Operators'!$C$1:$G$99999,5,FALSE)</f>
        <v>COMELLA JUSTIN</v>
      </c>
      <c r="M225" s="6">
        <f t="shared" si="58"/>
        <v>7.2337962919846177E-3</v>
      </c>
      <c r="N225" s="7">
        <f t="shared" si="59"/>
        <v>10.41666666045785</v>
      </c>
      <c r="O225" s="7"/>
      <c r="P225" s="7"/>
      <c r="Q225" s="22"/>
      <c r="R225" s="22"/>
      <c r="S225" s="31">
        <f t="shared" si="60"/>
        <v>0</v>
      </c>
      <c r="T225" s="46" t="e">
        <f t="shared" si="61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62"/>
        <v>https://d0f6bd738d7f1b3e5a7ca70fe4ff75f0.us-east-1.aws.found.io/app/kibana#/discover/Steve-Slow-Train-Analysis-(2080s-and-2083s)?_g=(refreshInterval:(display:Off,pause:!f,section:0,value:0),time:(from:'2017-02-24T00:31:09-0700',mode:absolute,to:'2017-02-24T03:02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5" s="187" t="str">
        <f t="shared" si="63"/>
        <v>Y</v>
      </c>
      <c r="X225" s="187" t="e">
        <f t="shared" si="64"/>
        <v>#VALUE!</v>
      </c>
      <c r="Y225" s="62">
        <f t="shared" si="65"/>
        <v>3.0718000000000001</v>
      </c>
      <c r="Z225" s="62">
        <f t="shared" si="66"/>
        <v>4.4999999999999998E-2</v>
      </c>
      <c r="AA225" s="62">
        <f t="shared" si="67"/>
        <v>3.0268000000000002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68"/>
        <v>60-23</v>
      </c>
      <c r="AE225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5" s="82" t="str">
        <f t="shared" si="70"/>
        <v>"C:\Program Files (x86)\AstroGrep\AstroGrep.exe" /spath="%USERPROFILE%\AppData\Local\Temp\OnboardLogs" /stypes="app*4050*20170224*" /stext=" 09:.+(\|loc)" /e /r /s</v>
      </c>
      <c r="AG225" s="1" t="str">
        <f t="shared" si="71"/>
        <v>Other</v>
      </c>
      <c r="AH225" s="86" t="str">
        <f t="shared" si="72"/>
        <v>"%USERPROFILE%\Documents\GitHub\eaglep3\Utilities\RefineRTDCRunTimes.py" --tripid 60-23 --locoid 4050 --swversion DE.1.0.9.0 --startMP 300:30718 --initTime 2017-02-24T01:31:09 --startdatetime 2017-02-24T01:52:12 --delay 0 --endMP 204:450 --enddatetime 2017-02-24T02:02:37 --enforcementcount 0 &gt;&gt;C:\Users\stu\Documents\GitHub\eaglep3-reporting\EC\2017-02-23-refined-times.txt</v>
      </c>
      <c r="AI225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{"issue":{"subject":"","project_id":79,"tracker_id":40,"status_id":1,"priority_id":2,"assigned_to_id":23,"start_date":"2017-02-24","description":"","custom_fields":[{"id":1,"name":"Subdivision","value":"Other"},{"id":4,"name":"Milepost","value":"0.045"},{"id":17,"name":"Train ID","value":"60-23"},{"id":16,"name":"Locomotive ID","value":"4050"},{"id":130,"name":"Impact","value":""},{"id":150,"name":"Time of Event (Mountain Time)","value":"02:02:37"},{"id":151,"name":"Denver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74"/>
        <v>start /low /b %USERPROFILE%\Documents\GitHub\eaglep3\Utilities\DownloadLogsFromS3.py --loco 4050 --day 2017-02-24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6" spans="1:40" x14ac:dyDescent="0.25">
      <c r="A226" s="33" t="s">
        <v>616</v>
      </c>
      <c r="B226" s="7">
        <v>4050</v>
      </c>
      <c r="C226" s="21" t="s">
        <v>294</v>
      </c>
      <c r="D226" s="21" t="s">
        <v>750</v>
      </c>
      <c r="E226" s="13">
        <v>42789.976990740739</v>
      </c>
      <c r="F226" s="13">
        <v>42790.004421296297</v>
      </c>
      <c r="G226" s="7">
        <v>0</v>
      </c>
      <c r="H226" s="21" t="s">
        <v>751</v>
      </c>
      <c r="I226" s="13">
        <v>42790.010347222225</v>
      </c>
      <c r="J226" s="7">
        <v>0</v>
      </c>
      <c r="K226" s="98" t="str">
        <f t="shared" si="57"/>
        <v>4049/4050</v>
      </c>
      <c r="L226" s="21" t="str">
        <f>VLOOKUP(A226,'Trips&amp;Operators'!$C$1:$G$99999,5,FALSE)</f>
        <v>COMELLA JUSTIN</v>
      </c>
      <c r="M226" s="6">
        <f t="shared" si="58"/>
        <v>5.9259259287500754E-3</v>
      </c>
      <c r="N226" s="7">
        <f t="shared" si="59"/>
        <v>8.5333333374001086</v>
      </c>
      <c r="O226" s="7"/>
      <c r="P226" s="7"/>
      <c r="Q226" s="22"/>
      <c r="R226" s="22"/>
      <c r="S226" s="31">
        <f t="shared" si="60"/>
        <v>0</v>
      </c>
      <c r="T226" s="46" t="e">
        <f t="shared" si="61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62"/>
        <v>https://d0f6bd738d7f1b3e5a7ca70fe4ff75f0.us-east-1.aws.found.io/app/kibana#/discover/Steve-Slow-Train-Analysis-(2080s-and-2083s)?_g=(refreshInterval:(display:Off,pause:!f,section:0,value:0),time:(from:'2017-02-23T22:26:52-0700',mode:absolute,to:'2017-02-24T01:14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6" s="187" t="str">
        <f t="shared" si="63"/>
        <v>Y</v>
      </c>
      <c r="X226" s="187" t="e">
        <f t="shared" si="64"/>
        <v>#VALUE!</v>
      </c>
      <c r="Y226" s="62">
        <f t="shared" si="65"/>
        <v>3.0724999999999998</v>
      </c>
      <c r="Z226" s="62">
        <f t="shared" si="66"/>
        <v>4.0800000000000003E-2</v>
      </c>
      <c r="AA226" s="62">
        <f t="shared" si="67"/>
        <v>3.0316999999999998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68"/>
        <v>60-23</v>
      </c>
      <c r="AE226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6" s="82" t="str">
        <f t="shared" si="70"/>
        <v>"C:\Program Files (x86)\AstroGrep\AstroGrep.exe" /spath="%USERPROFILE%\AppData\Local\Temp\OnboardLogs" /stypes="app*4050*20170224*" /stext=" 07:.+(\|loc)" /e /r /s</v>
      </c>
      <c r="AG226" s="1" t="str">
        <f t="shared" si="71"/>
        <v>Other</v>
      </c>
      <c r="AH226" s="86" t="str">
        <f t="shared" si="72"/>
        <v>"%USERPROFILE%\Documents\GitHub\eaglep3\Utilities\RefineRTDCRunTimes.py" --tripid 60-23 --locoid 4050 --swversion DE.1.0.9.0 --startMP 300:30725 --initTime 2017-02-23T23:26:52 --startdatetime 2017-02-24T00:06:22 --delay 0 --endMP 204:408 --enddatetime 2017-02-24T00:14:54 --enforcementcount 0 &gt;&gt;C:\Users\stu\Documents\GitHub\eaglep3-reporting\EC\2017-02-23-refined-times.txt</v>
      </c>
      <c r="AI226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{"issue":{"subject":"","project_id":79,"tracker_id":40,"status_id":1,"priority_id":2,"assigned_to_id":23,"start_date":"2017-02-24","description":"","custom_fields":[{"id":1,"name":"Subdivision","value":"Other"},{"id":4,"name":"Milepost","value":"0.0408"},{"id":17,"name":"Train ID","value":"60-23"},{"id":16,"name":"Locomotive ID","value":"4050"},{"id":130,"name":"Impact","value":""},{"id":150,"name":"Time of Event (Mountain Time)","value":"00:14:54"},{"id":151,"name":"Denver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74"/>
        <v>start /low /b %USERPROFILE%\Documents\GitHub\eaglep3\Utilities\DownloadLogsFromS3.py --loco 4050 --day 2017-02-24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7" spans="1:40" x14ac:dyDescent="0.25">
      <c r="A227" s="33" t="s">
        <v>616</v>
      </c>
      <c r="B227" s="7">
        <v>4050</v>
      </c>
      <c r="C227" s="21" t="s">
        <v>294</v>
      </c>
      <c r="D227" s="21" t="s">
        <v>752</v>
      </c>
      <c r="E227" s="13">
        <v>42790.044895833336</v>
      </c>
      <c r="F227" s="13">
        <v>42790.064513888887</v>
      </c>
      <c r="G227" s="7">
        <v>1</v>
      </c>
      <c r="H227" s="21" t="s">
        <v>338</v>
      </c>
      <c r="I227" s="13">
        <v>42790.070254629631</v>
      </c>
      <c r="J227" s="7">
        <v>0</v>
      </c>
      <c r="K227" s="98" t="str">
        <f t="shared" si="57"/>
        <v>4049/4050</v>
      </c>
      <c r="L227" s="21" t="str">
        <f>VLOOKUP(A227,'Trips&amp;Operators'!$C$1:$G$99999,5,FALSE)</f>
        <v>COMELLA JUSTIN</v>
      </c>
      <c r="M227" s="6">
        <f t="shared" si="58"/>
        <v>5.7407407439313829E-3</v>
      </c>
      <c r="N227" s="7">
        <f t="shared" si="59"/>
        <v>8.2666666712611914</v>
      </c>
      <c r="O227" s="7"/>
      <c r="P227" s="7"/>
      <c r="Q227" s="22"/>
      <c r="R227" s="22"/>
      <c r="S227" s="31">
        <f t="shared" si="60"/>
        <v>0</v>
      </c>
      <c r="T227" s="46" t="e">
        <f t="shared" si="61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62"/>
        <v>https://d0f6bd738d7f1b3e5a7ca70fe4ff75f0.us-east-1.aws.found.io/app/kibana#/discover/Steve-Slow-Train-Analysis-(2080s-and-2083s)?_g=(refreshInterval:(display:Off,pause:!f,section:0,value:0),time:(from:'2017-02-24T00:04:39-0700',mode:absolute,to:'2017-02-24T02:41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7" s="187" t="str">
        <f t="shared" si="63"/>
        <v>Y</v>
      </c>
      <c r="X227" s="187" t="e">
        <f t="shared" si="64"/>
        <v>#VALUE!</v>
      </c>
      <c r="Y227" s="62">
        <f t="shared" si="65"/>
        <v>3.0731000000000002</v>
      </c>
      <c r="Z227" s="62">
        <f t="shared" si="66"/>
        <v>1.67E-2</v>
      </c>
      <c r="AA227" s="62">
        <f t="shared" si="67"/>
        <v>3.0564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68"/>
        <v>60-23</v>
      </c>
      <c r="AE227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7" s="82" t="str">
        <f t="shared" si="70"/>
        <v>"C:\Program Files (x86)\AstroGrep\AstroGrep.exe" /spath="%USERPROFILE%\AppData\Local\Temp\OnboardLogs" /stypes="app*4050*20170224*" /stext=" 08:.+(\|loc)" /e /r /s</v>
      </c>
      <c r="AG227" s="1" t="str">
        <f t="shared" si="71"/>
        <v>Other</v>
      </c>
      <c r="AH227" s="86" t="str">
        <f t="shared" si="72"/>
        <v>"%USERPROFILE%\Documents\GitHub\eaglep3\Utilities\RefineRTDCRunTimes.py" --tripid 60-23 --locoid 4050 --swversion DE.1.0.9.0 --startMP 300:30731 --initTime 2017-02-24T01:04:39 --startdatetime 2017-02-24T01:32:54 --delay 1 --endMP 204:167 --enddatetime 2017-02-24T01:41:10 --enforcementcount 0 &gt;&gt;C:\Users\stu\Documents\GitHub\eaglep3-reporting\EC\2017-02-23-refined-times.txt</v>
      </c>
      <c r="AI227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{"issue":{"subject":"","project_id":79,"tracker_id":40,"status_id":1,"priority_id":2,"assigned_to_id":23,"start_date":"2017-02-24","description":"","custom_fields":[{"id":1,"name":"Subdivision","value":"Other"},{"id":4,"name":"Milepost","value":"0.0167"},{"id":17,"name":"Train ID","value":"60-23"},{"id":16,"name":"Locomotive ID","value":"4050"},{"id":130,"name":"Impact","value":""},{"id":150,"name":"Time of Event (Mountain Time)","value":"01:41:10"},{"id":151,"name":"Denver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74"/>
        <v>start /low /b %USERPROFILE%\Documents\GitHub\eaglep3\Utilities\DownloadLogsFromS3.py --loco 4050 --day 2017-02-24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8" spans="1:40" x14ac:dyDescent="0.25">
      <c r="A228" s="33" t="s">
        <v>616</v>
      </c>
      <c r="B228" s="7">
        <v>4050</v>
      </c>
      <c r="C228" s="21" t="s">
        <v>294</v>
      </c>
      <c r="D228" s="21" t="s">
        <v>753</v>
      </c>
      <c r="E228" s="13">
        <v>42790.076828703706</v>
      </c>
      <c r="F228" s="13">
        <v>42790.093946759262</v>
      </c>
      <c r="G228" s="7">
        <v>0</v>
      </c>
      <c r="H228" s="21" t="s">
        <v>754</v>
      </c>
      <c r="I228" s="13">
        <v>42790.101412037038</v>
      </c>
      <c r="J228" s="7">
        <v>0</v>
      </c>
      <c r="K228" s="98" t="str">
        <f t="shared" si="57"/>
        <v>4049/4050</v>
      </c>
      <c r="L228" s="21" t="str">
        <f>VLOOKUP(A228,'Trips&amp;Operators'!$C$1:$G$99999,5,FALSE)</f>
        <v>COMELLA JUSTIN</v>
      </c>
      <c r="M228" s="6">
        <f t="shared" si="58"/>
        <v>7.4652777766459621E-3</v>
      </c>
      <c r="N228" s="7">
        <f t="shared" si="59"/>
        <v>10.749999998370185</v>
      </c>
      <c r="O228" s="7"/>
      <c r="P228" s="7"/>
      <c r="Q228" s="22"/>
      <c r="R228" s="22"/>
      <c r="S228" s="31">
        <f t="shared" si="60"/>
        <v>0</v>
      </c>
      <c r="T228" s="46" t="e">
        <f t="shared" si="61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62"/>
        <v>https://d0f6bd738d7f1b3e5a7ca70fe4ff75f0.us-east-1.aws.found.io/app/kibana#/discover/Steve-Slow-Train-Analysis-(2080s-and-2083s)?_g=(refreshInterval:(display:Off,pause:!f,section:0,value:0),time:(from:'2017-02-24T00:50:38-0700',mode:absolute,to:'2017-02-24T03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8" s="187" t="str">
        <f t="shared" si="63"/>
        <v>Y</v>
      </c>
      <c r="X228" s="187" t="e">
        <f t="shared" si="64"/>
        <v>#VALUE!</v>
      </c>
      <c r="Y228" s="62">
        <f t="shared" si="65"/>
        <v>3.0754000000000001</v>
      </c>
      <c r="Z228" s="62">
        <f t="shared" si="66"/>
        <v>2.7099999999999999E-2</v>
      </c>
      <c r="AA228" s="62">
        <f t="shared" si="67"/>
        <v>3.0483000000000002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68"/>
        <v>60-23</v>
      </c>
      <c r="AE228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8" s="82" t="str">
        <f t="shared" si="70"/>
        <v>"C:\Program Files (x86)\AstroGrep\AstroGrep.exe" /spath="%USERPROFILE%\AppData\Local\Temp\OnboardLogs" /stypes="app*4050*20170224*" /stext=" 09:.+(\|loc)" /e /r /s</v>
      </c>
      <c r="AG228" s="1" t="str">
        <f t="shared" si="71"/>
        <v>Other</v>
      </c>
      <c r="AH228" s="86" t="str">
        <f t="shared" si="72"/>
        <v>"%USERPROFILE%\Documents\GitHub\eaglep3\Utilities\RefineRTDCRunTimes.py" --tripid 60-23 --locoid 4050 --swversion DE.1.0.9.0 --startMP 300:30754 --initTime 2017-02-24T01:50:38 --startdatetime 2017-02-24T02:15:17 --delay 0 --endMP 204:271 --enddatetime 2017-02-24T02:26:02 --enforcementcount 0 &gt;&gt;C:\Users\stu\Documents\GitHub\eaglep3-reporting\EC\2017-02-23-refined-times.txt</v>
      </c>
      <c r="AI228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{"issue":{"subject":"","project_id":79,"tracker_id":40,"status_id":1,"priority_id":2,"assigned_to_id":23,"start_date":"2017-02-24","description":"","custom_fields":[{"id":1,"name":"Subdivision","value":"Other"},{"id":4,"name":"Milepost","value":"0.0271"},{"id":17,"name":"Train ID","value":"60-23"},{"id":16,"name":"Locomotive ID","value":"4050"},{"id":130,"name":"Impact","value":""},{"id":150,"name":"Time of Event (Mountain Time)","value":"02:26:02"},{"id":151,"name":"Denver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74"/>
        <v>start /low /b %USERPROFILE%\Documents\GitHub\eaglep3\Utilities\DownloadLogsFromS3.py --loco 4050 --day 2017-02-24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9" spans="1:40" x14ac:dyDescent="0.25">
      <c r="A229" s="33" t="s">
        <v>616</v>
      </c>
      <c r="B229" s="7">
        <v>4050</v>
      </c>
      <c r="C229" s="21" t="s">
        <v>294</v>
      </c>
      <c r="D229" s="21" t="s">
        <v>755</v>
      </c>
      <c r="E229" s="13">
        <v>42790.092905092592</v>
      </c>
      <c r="F229" s="13">
        <v>42790.093946759262</v>
      </c>
      <c r="G229" s="7">
        <v>1</v>
      </c>
      <c r="H229" s="21" t="s">
        <v>285</v>
      </c>
      <c r="I229" s="13">
        <v>42790.101412037038</v>
      </c>
      <c r="J229" s="7">
        <v>0</v>
      </c>
      <c r="K229" s="98" t="str">
        <f t="shared" si="57"/>
        <v>4049/4050</v>
      </c>
      <c r="L229" s="21" t="str">
        <f>VLOOKUP(A229,'Trips&amp;Operators'!$C$1:$G$99999,5,FALSE)</f>
        <v>COMELLA JUSTIN</v>
      </c>
      <c r="M229" s="6">
        <f t="shared" si="58"/>
        <v>7.4652777766459621E-3</v>
      </c>
      <c r="N229" s="7">
        <f t="shared" si="59"/>
        <v>10.749999998370185</v>
      </c>
      <c r="O229" s="7"/>
      <c r="P229" s="7"/>
      <c r="Q229" s="22"/>
      <c r="R229" s="22"/>
      <c r="S229" s="31">
        <f t="shared" si="60"/>
        <v>0</v>
      </c>
      <c r="T229" s="46" t="e">
        <f t="shared" si="61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62"/>
        <v>https://d0f6bd738d7f1b3e5a7ca70fe4ff75f0.us-east-1.aws.found.io/app/kibana#/discover/Steve-Slow-Train-Analysis-(2080s-and-2083s)?_g=(refreshInterval:(display:Off,pause:!f,section:0,value:0),time:(from:'2017-02-24T01:13:47-0700',mode:absolute,to:'2017-02-24T03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9" s="187" t="str">
        <f t="shared" si="63"/>
        <v>Y</v>
      </c>
      <c r="X229" s="187" t="e">
        <f t="shared" si="64"/>
        <v>#VALUE!</v>
      </c>
      <c r="Y229" s="62">
        <f t="shared" si="65"/>
        <v>3.0756000000000001</v>
      </c>
      <c r="Z229" s="62">
        <f t="shared" si="66"/>
        <v>4.7500000000000001E-2</v>
      </c>
      <c r="AA229" s="62">
        <f t="shared" si="67"/>
        <v>3.0281000000000002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68"/>
        <v>60-23</v>
      </c>
      <c r="AE229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9" s="82" t="str">
        <f t="shared" si="70"/>
        <v>"C:\Program Files (x86)\AstroGrep\AstroGrep.exe" /spath="%USERPROFILE%\AppData\Local\Temp\OnboardLogs" /stypes="app*4050*20170224*" /stext=" 09:.+(\|loc)" /e /r /s</v>
      </c>
      <c r="AG229" s="1" t="str">
        <f t="shared" si="71"/>
        <v>Other</v>
      </c>
      <c r="AH229" s="86" t="str">
        <f t="shared" si="72"/>
        <v>"%USERPROFILE%\Documents\GitHub\eaglep3\Utilities\RefineRTDCRunTimes.py" --tripid 60-23 --locoid 4050 --swversion DE.1.0.9.0 --startMP 300:30756 --initTime 2017-02-24T02:13:47 --startdatetime 2017-02-24T02:15:17 --delay 1 --endMP 204:475 --enddatetime 2017-02-24T02:26:02 --enforcementcount 0 &gt;&gt;C:\Users\stu\Documents\GitHub\eaglep3-reporting\EC\2017-02-23-refined-times.txt</v>
      </c>
      <c r="AI229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{"issue":{"subject":"","project_id":79,"tracker_id":40,"status_id":1,"priority_id":2,"assigned_to_id":23,"start_date":"2017-02-24","description":"","custom_fields":[{"id":1,"name":"Subdivision","value":"Other"},{"id":4,"name":"Milepost","value":"0.0475"},{"id":17,"name":"Train ID","value":"60-23"},{"id":16,"name":"Locomotive ID","value":"4050"},{"id":130,"name":"Impact","value":""},{"id":150,"name":"Time of Event (Mountain Time)","value":"02:26:02"},{"id":151,"name":"Denver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74"/>
        <v>start /low /b %USERPROFILE%\Documents\GitHub\eaglep3\Utilities\DownloadLogsFromS3.py --loco 4050 --day 2017-02-24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0" spans="1:40" x14ac:dyDescent="0.25">
      <c r="A230" s="33" t="s">
        <v>616</v>
      </c>
      <c r="B230" s="7">
        <v>4050</v>
      </c>
      <c r="C230" s="21" t="s">
        <v>294</v>
      </c>
      <c r="D230" s="21" t="s">
        <v>756</v>
      </c>
      <c r="E230" s="13">
        <v>42789.93959490741</v>
      </c>
      <c r="F230" s="13">
        <v>42789.964375000003</v>
      </c>
      <c r="G230" s="7">
        <v>0</v>
      </c>
      <c r="H230" s="21" t="s">
        <v>757</v>
      </c>
      <c r="I230" s="13">
        <v>42789.970138888886</v>
      </c>
      <c r="J230" s="7">
        <v>0</v>
      </c>
      <c r="K230" s="98" t="str">
        <f t="shared" si="57"/>
        <v>4049/4050</v>
      </c>
      <c r="L230" s="21" t="str">
        <f>VLOOKUP(A230,'Trips&amp;Operators'!$C$1:$G$99999,5,FALSE)</f>
        <v>COMELLA JUSTIN</v>
      </c>
      <c r="M230" s="6">
        <f t="shared" si="58"/>
        <v>5.7638888829387724E-3</v>
      </c>
      <c r="N230" s="7">
        <f t="shared" si="59"/>
        <v>8.2999999914318323</v>
      </c>
      <c r="O230" s="7"/>
      <c r="P230" s="7"/>
      <c r="Q230" s="22"/>
      <c r="R230" s="22"/>
      <c r="S230" s="31">
        <f t="shared" si="60"/>
        <v>0</v>
      </c>
      <c r="T230" s="46" t="e">
        <f t="shared" si="61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62"/>
        <v>https://d0f6bd738d7f1b3e5a7ca70fe4ff75f0.us-east-1.aws.found.io/app/kibana#/discover/Steve-Slow-Train-Analysis-(2080s-and-2083s)?_g=(refreshInterval:(display:Off,pause:!f,section:0,value:0),time:(from:'2017-02-23T21:33:01-0700',mode:absolute,to:'2017-02-24T00:17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0" s="187" t="str">
        <f t="shared" si="63"/>
        <v>Y</v>
      </c>
      <c r="X230" s="187" t="e">
        <f t="shared" si="64"/>
        <v>#VALUE!</v>
      </c>
      <c r="Y230" s="62">
        <f t="shared" si="65"/>
        <v>3.0764999999999998</v>
      </c>
      <c r="Z230" s="62">
        <f t="shared" si="66"/>
        <v>7.8899999999999998E-2</v>
      </c>
      <c r="AA230" s="62">
        <f t="shared" si="67"/>
        <v>2.9975999999999998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68"/>
        <v>60-23</v>
      </c>
      <c r="AE230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0" s="82" t="str">
        <f t="shared" si="70"/>
        <v>"C:\Program Files (x86)\AstroGrep\AstroGrep.exe" /spath="%USERPROFILE%\AppData\Local\Temp\OnboardLogs" /stypes="app*4050*20170224*" /stext=" 06:.+(\|loc)" /e /r /s</v>
      </c>
      <c r="AG230" s="1" t="str">
        <f t="shared" si="71"/>
        <v>Other</v>
      </c>
      <c r="AH230" s="86" t="str">
        <f t="shared" si="72"/>
        <v>"%USERPROFILE%\Documents\GitHub\eaglep3\Utilities\RefineRTDCRunTimes.py" --tripid 60-23 --locoid 4050 --swversion DE.1.0.9.0 --startMP 300:30765 --initTime 2017-02-23T22:33:01 --startdatetime 2017-02-23T23:08:42 --delay 0 --endMP 204:789 --enddatetime 2017-02-23T23:17:00 --enforcementcount 0 &gt;&gt;C:\Users\stu\Documents\GitHub\eaglep3-reporting\EC\2017-02-23-refined-times.txt</v>
      </c>
      <c r="AI23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{"issue":{"subject":"","project_id":79,"tracker_id":40,"status_id":1,"priority_id":2,"assigned_to_id":23,"start_date":"2017-02-23","description":"","custom_fields":[{"id":1,"name":"Subdivision","value":"Other"},{"id":4,"name":"Milepost","value":"0.0789"},{"id":17,"name":"Train ID","value":"60-23"},{"id":16,"name":"Locomotive ID","value":"4050"},{"id":130,"name":"Impact","value":""},{"id":150,"name":"Time of Event (Mountain Time)","value":"23:17:00"},{"id":151,"name":"Denver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74"/>
        <v>start /low /b %USERPROFILE%\Documents\GitHub\eaglep3\Utilities\DownloadLogsFromS3.py --loco 4050 --day 2017-02-23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1" spans="1:40" x14ac:dyDescent="0.25">
      <c r="A231" s="33" t="s">
        <v>616</v>
      </c>
      <c r="B231" s="7">
        <v>4050</v>
      </c>
      <c r="C231" s="21" t="s">
        <v>294</v>
      </c>
      <c r="D231" s="21" t="s">
        <v>758</v>
      </c>
      <c r="E231" s="13">
        <v>42789.89099537037</v>
      </c>
      <c r="F231" s="13">
        <v>42789.920532407406</v>
      </c>
      <c r="G231" s="7">
        <v>1</v>
      </c>
      <c r="H231" s="21" t="s">
        <v>759</v>
      </c>
      <c r="I231" s="13">
        <v>42789.928553240738</v>
      </c>
      <c r="J231" s="7">
        <v>0</v>
      </c>
      <c r="K231" s="98" t="str">
        <f t="shared" si="57"/>
        <v>4049/4050</v>
      </c>
      <c r="L231" s="21" t="str">
        <f>VLOOKUP(A231,'Trips&amp;Operators'!$C$1:$G$99999,5,FALSE)</f>
        <v>COMELLA JUSTIN</v>
      </c>
      <c r="M231" s="6">
        <f t="shared" si="58"/>
        <v>8.0208333311020397E-3</v>
      </c>
      <c r="N231" s="7">
        <f t="shared" si="59"/>
        <v>11.549999996786937</v>
      </c>
      <c r="O231" s="7"/>
      <c r="P231" s="7"/>
      <c r="Q231" s="22"/>
      <c r="R231" s="22"/>
      <c r="S231" s="31">
        <f t="shared" si="60"/>
        <v>0</v>
      </c>
      <c r="T231" s="46" t="e">
        <f t="shared" si="61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62"/>
        <v>https://d0f6bd738d7f1b3e5a7ca70fe4ff75f0.us-east-1.aws.found.io/app/kibana#/discover/Steve-Slow-Train-Analysis-(2080s-and-2083s)?_g=(refreshInterval:(display:Off,pause:!f,section:0,value:0),time:(from:'2017-02-23T20:23:02-0700',mode:absolute,to:'2017-02-23T23:17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87" t="str">
        <f t="shared" si="63"/>
        <v>Y</v>
      </c>
      <c r="X231" s="187" t="e">
        <f t="shared" si="64"/>
        <v>#VALUE!</v>
      </c>
      <c r="Y231" s="62">
        <f t="shared" si="65"/>
        <v>3.0785999999999998</v>
      </c>
      <c r="Z231" s="62">
        <f t="shared" si="66"/>
        <v>5.2600000000000001E-2</v>
      </c>
      <c r="AA231" s="62">
        <f t="shared" si="67"/>
        <v>3.0259999999999998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68"/>
        <v>60-23</v>
      </c>
      <c r="AE231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1" s="82" t="str">
        <f t="shared" si="70"/>
        <v>"C:\Program Files (x86)\AstroGrep\AstroGrep.exe" /spath="%USERPROFILE%\AppData\Local\Temp\OnboardLogs" /stypes="app*4050*20170224*" /stext=" 05:.+(\|loc)" /e /r /s</v>
      </c>
      <c r="AG231" s="1" t="str">
        <f t="shared" si="71"/>
        <v>Other</v>
      </c>
      <c r="AH231" s="86" t="str">
        <f t="shared" si="72"/>
        <v>"%USERPROFILE%\Documents\GitHub\eaglep3\Utilities\RefineRTDCRunTimes.py" --tripid 60-23 --locoid 4050 --swversion DE.1.0.9.0 --startMP 300:30786 --initTime 2017-02-23T21:23:02 --startdatetime 2017-02-23T22:05:34 --delay 1 --endMP 204:526 --enddatetime 2017-02-23T22:17:07 --enforcementcount 0 &gt;&gt;C:\Users\stu\Documents\GitHub\eaglep3-reporting\EC\2017-02-23-refined-times.txt</v>
      </c>
      <c r="AI23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{"issue":{"subject":"","project_id":79,"tracker_id":40,"status_id":1,"priority_id":2,"assigned_to_id":23,"start_date":"2017-02-23","description":"","custom_fields":[{"id":1,"name":"Subdivision","value":"Other"},{"id":4,"name":"Milepost","value":"0.0526"},{"id":17,"name":"Train ID","value":"60-23"},{"id":16,"name":"Locomotive ID","value":"4050"},{"id":130,"name":"Impact","value":""},{"id":150,"name":"Time of Event (Mountain Time)","value":"22:17:07"},{"id":151,"name":"Denver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74"/>
        <v>start /low /b %USERPROFILE%\Documents\GitHub\eaglep3\Utilities\DownloadLogsFromS3.py --loco 4050 --day 2017-02-23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2" spans="1:40" x14ac:dyDescent="0.25">
      <c r="A232" s="33" t="s">
        <v>616</v>
      </c>
      <c r="B232" s="7">
        <v>4050</v>
      </c>
      <c r="C232" s="21" t="s">
        <v>294</v>
      </c>
      <c r="D232" s="21" t="s">
        <v>760</v>
      </c>
      <c r="E232" s="13">
        <v>42789.919525462959</v>
      </c>
      <c r="F232" s="13">
        <v>42789.942881944444</v>
      </c>
      <c r="G232" s="7">
        <v>0</v>
      </c>
      <c r="H232" s="21" t="s">
        <v>761</v>
      </c>
      <c r="I232" s="13">
        <v>42789.948506944442</v>
      </c>
      <c r="J232" s="7">
        <v>0</v>
      </c>
      <c r="K232" s="98" t="str">
        <f t="shared" si="57"/>
        <v>4049/4050</v>
      </c>
      <c r="L232" s="21" t="str">
        <f>VLOOKUP(A232,'Trips&amp;Operators'!$C$1:$G$99999,5,FALSE)</f>
        <v>COMELLA JUSTIN</v>
      </c>
      <c r="M232" s="6">
        <f t="shared" si="58"/>
        <v>5.6249999979627319E-3</v>
      </c>
      <c r="N232" s="7">
        <f t="shared" si="59"/>
        <v>8.0999999970663339</v>
      </c>
      <c r="O232" s="7"/>
      <c r="P232" s="7"/>
      <c r="Q232" s="22"/>
      <c r="R232" s="22"/>
      <c r="S232" s="31">
        <f t="shared" si="60"/>
        <v>0</v>
      </c>
      <c r="T232" s="46" t="e">
        <f t="shared" si="61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62"/>
        <v>https://d0f6bd738d7f1b3e5a7ca70fe4ff75f0.us-east-1.aws.found.io/app/kibana#/discover/Steve-Slow-Train-Analysis-(2080s-and-2083s)?_g=(refreshInterval:(display:Off,pause:!f,section:0,value:0),time:(from:'2017-02-23T21:04:07-0700',mode:absolute,to:'2017-02-23T23:45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2" s="187" t="str">
        <f t="shared" si="63"/>
        <v>Y</v>
      </c>
      <c r="X232" s="187" t="e">
        <f t="shared" si="64"/>
        <v>#VALUE!</v>
      </c>
      <c r="Y232" s="62">
        <f t="shared" si="65"/>
        <v>3.0788000000000002</v>
      </c>
      <c r="Z232" s="62">
        <f t="shared" si="66"/>
        <v>3.85E-2</v>
      </c>
      <c r="AA232" s="62">
        <f t="shared" si="67"/>
        <v>3.0403000000000002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68"/>
        <v>60-23</v>
      </c>
      <c r="AE232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2" s="82" t="str">
        <f t="shared" si="70"/>
        <v>"C:\Program Files (x86)\AstroGrep\AstroGrep.exe" /spath="%USERPROFILE%\AppData\Local\Temp\OnboardLogs" /stypes="app*4050*20170224*" /stext=" 05:.+(\|loc)" /e /r /s</v>
      </c>
      <c r="AG232" s="1" t="str">
        <f t="shared" si="71"/>
        <v>Other</v>
      </c>
      <c r="AH232" s="86" t="str">
        <f t="shared" si="72"/>
        <v>"%USERPROFILE%\Documents\GitHub\eaglep3\Utilities\RefineRTDCRunTimes.py" --tripid 60-23 --locoid 4050 --swversion DE.1.0.9.0 --startMP 300:30788 --initTime 2017-02-23T22:04:07 --startdatetime 2017-02-23T22:37:45 --delay 0 --endMP 204:385 --enddatetime 2017-02-23T22:45:51 --enforcementcount 0 &gt;&gt;C:\Users\stu\Documents\GitHub\eaglep3-reporting\EC\2017-02-23-refined-times.txt</v>
      </c>
      <c r="AI232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{"issue":{"subject":"","project_id":79,"tracker_id":40,"status_id":1,"priority_id":2,"assigned_to_id":23,"start_date":"2017-02-23","description":"","custom_fields":[{"id":1,"name":"Subdivision","value":"Other"},{"id":4,"name":"Milepost","value":"0.0385"},{"id":17,"name":"Train ID","value":"60-23"},{"id":16,"name":"Locomotive ID","value":"4050"},{"id":130,"name":"Impact","value":""},{"id":150,"name":"Time of Event (Mountain Time)","value":"22:45:51"},{"id":151,"name":"Denver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74"/>
        <v>start /low /b %USERPROFILE%\Documents\GitHub\eaglep3\Utilities\DownloadLogsFromS3.py --loco 4050 --day 2017-02-23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3" spans="1:40" x14ac:dyDescent="0.25">
      <c r="A233" s="33" t="s">
        <v>616</v>
      </c>
      <c r="B233" s="7">
        <v>4050</v>
      </c>
      <c r="C233" s="21" t="s">
        <v>294</v>
      </c>
      <c r="D233" s="21" t="s">
        <v>762</v>
      </c>
      <c r="E233" s="13">
        <v>42789.989861111113</v>
      </c>
      <c r="F233" s="13">
        <v>42790.017777777779</v>
      </c>
      <c r="G233" s="7">
        <v>1</v>
      </c>
      <c r="H233" s="21" t="s">
        <v>763</v>
      </c>
      <c r="I233" s="13">
        <v>42790.023784722223</v>
      </c>
      <c r="J233" s="7">
        <v>0</v>
      </c>
      <c r="K233" s="98" t="str">
        <f t="shared" si="57"/>
        <v>4049/4050</v>
      </c>
      <c r="L233" s="21" t="str">
        <f>VLOOKUP(A233,'Trips&amp;Operators'!$C$1:$G$99999,5,FALSE)</f>
        <v>COMELLA JUSTIN</v>
      </c>
      <c r="M233" s="6">
        <f t="shared" si="58"/>
        <v>6.0069444443797693E-3</v>
      </c>
      <c r="N233" s="7">
        <f t="shared" si="59"/>
        <v>8.6499999999068677</v>
      </c>
      <c r="O233" s="7"/>
      <c r="P233" s="7"/>
      <c r="Q233" s="22"/>
      <c r="R233" s="22"/>
      <c r="S233" s="31">
        <f t="shared" si="60"/>
        <v>0</v>
      </c>
      <c r="T233" s="46" t="e">
        <f t="shared" si="61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62"/>
        <v>https://d0f6bd738d7f1b3e5a7ca70fe4ff75f0.us-east-1.aws.found.io/app/kibana#/discover/Steve-Slow-Train-Analysis-(2080s-and-2083s)?_g=(refreshInterval:(display:Off,pause:!f,section:0,value:0),time:(from:'2017-02-23T22:45:24-0700',mode:absolute,to:'2017-02-24T01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187" t="str">
        <f t="shared" si="63"/>
        <v>Y</v>
      </c>
      <c r="X233" s="187" t="e">
        <f t="shared" si="64"/>
        <v>#VALUE!</v>
      </c>
      <c r="Y233" s="62">
        <f t="shared" si="65"/>
        <v>3.0790000000000002</v>
      </c>
      <c r="Z233" s="62">
        <f t="shared" si="66"/>
        <v>3.2099999999999997E-2</v>
      </c>
      <c r="AA233" s="62">
        <f t="shared" si="67"/>
        <v>3.0469000000000004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68"/>
        <v>60-23</v>
      </c>
      <c r="AE233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3" s="82" t="str">
        <f t="shared" si="70"/>
        <v>"C:\Program Files (x86)\AstroGrep\AstroGrep.exe" /spath="%USERPROFILE%\AppData\Local\Temp\OnboardLogs" /stypes="app*4050*20170224*" /stext=" 07:.+(\|loc)" /e /r /s</v>
      </c>
      <c r="AG233" s="1" t="str">
        <f t="shared" si="71"/>
        <v>Other</v>
      </c>
      <c r="AH233" s="86" t="str">
        <f t="shared" si="72"/>
        <v>"%USERPROFILE%\Documents\GitHub\eaglep3\Utilities\RefineRTDCRunTimes.py" --tripid 60-23 --locoid 4050 --swversion DE.1.0.9.0 --startMP 300:30790 --initTime 2017-02-23T23:45:24 --startdatetime 2017-02-24T00:25:36 --delay 1 --endMP 204:321 --enddatetime 2017-02-24T00:34:15 --enforcementcount 0 &gt;&gt;C:\Users\stu\Documents\GitHub\eaglep3-reporting\EC\2017-02-23-refined-times.txt</v>
      </c>
      <c r="AI233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{"issue":{"subject":"","project_id":79,"tracker_id":40,"status_id":1,"priority_id":2,"assigned_to_id":23,"start_date":"2017-02-24","description":"","custom_fields":[{"id":1,"name":"Subdivision","value":"Other"},{"id":4,"name":"Milepost","value":"0.0321"},{"id":17,"name":"Train ID","value":"60-23"},{"id":16,"name":"Locomotive ID","value":"4050"},{"id":130,"name":"Impact","value":""},{"id":150,"name":"Time of Event (Mountain Time)","value":"00:34:15"},{"id":151,"name":"Denver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74"/>
        <v>start /low /b %USERPROFILE%\Documents\GitHub\eaglep3\Utilities\DownloadLogsFromS3.py --loco 4050 --day 2017-02-24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4" spans="1:40" x14ac:dyDescent="0.25">
      <c r="A234" s="33" t="s">
        <v>616</v>
      </c>
      <c r="B234" s="7">
        <v>4050</v>
      </c>
      <c r="C234" s="21" t="s">
        <v>294</v>
      </c>
      <c r="D234" s="21" t="s">
        <v>764</v>
      </c>
      <c r="E234" s="13">
        <v>42789.962766203702</v>
      </c>
      <c r="F234" s="13">
        <v>42789.990937499999</v>
      </c>
      <c r="G234" s="7">
        <v>1</v>
      </c>
      <c r="H234" s="21" t="s">
        <v>765</v>
      </c>
      <c r="I234" s="13">
        <v>42789.996990740743</v>
      </c>
      <c r="J234" s="7">
        <v>0</v>
      </c>
      <c r="K234" s="98" t="str">
        <f t="shared" si="57"/>
        <v>4049/4050</v>
      </c>
      <c r="L234" s="21" t="str">
        <f>VLOOKUP(A234,'Trips&amp;Operators'!$C$1:$G$99999,5,FALSE)</f>
        <v>COMELLA JUSTIN</v>
      </c>
      <c r="M234" s="6">
        <f t="shared" si="58"/>
        <v>6.0532407442224212E-3</v>
      </c>
      <c r="N234" s="7">
        <f t="shared" si="59"/>
        <v>8.7166666716802865</v>
      </c>
      <c r="O234" s="7"/>
      <c r="P234" s="7"/>
      <c r="Q234" s="22"/>
      <c r="R234" s="22"/>
      <c r="S234" s="31">
        <f t="shared" si="60"/>
        <v>0</v>
      </c>
      <c r="T234" s="46" t="e">
        <f t="shared" si="61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62"/>
        <v>https://d0f6bd738d7f1b3e5a7ca70fe4ff75f0.us-east-1.aws.found.io/app/kibana#/discover/Steve-Slow-Train-Analysis-(2080s-and-2083s)?_g=(refreshInterval:(display:Off,pause:!f,section:0,value:0),time:(from:'2017-02-23T22:06:23-0700',mode:absolute,to:'2017-02-24T00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87" t="str">
        <f t="shared" si="63"/>
        <v>Y</v>
      </c>
      <c r="X234" s="187" t="e">
        <f t="shared" si="64"/>
        <v>#VALUE!</v>
      </c>
      <c r="Y234" s="62">
        <f t="shared" si="65"/>
        <v>3.0878999999999999</v>
      </c>
      <c r="Z234" s="62">
        <f t="shared" si="66"/>
        <v>3.32E-2</v>
      </c>
      <c r="AA234" s="62">
        <f t="shared" si="67"/>
        <v>3.0547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68"/>
        <v>60-23</v>
      </c>
      <c r="AE234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4" s="82" t="str">
        <f t="shared" si="70"/>
        <v>"C:\Program Files (x86)\AstroGrep\AstroGrep.exe" /spath="%USERPROFILE%\AppData\Local\Temp\OnboardLogs" /stypes="app*4050*20170224*" /stext=" 06:.+(\|loc)" /e /r /s</v>
      </c>
      <c r="AG234" s="1" t="str">
        <f t="shared" si="71"/>
        <v>Other</v>
      </c>
      <c r="AH234" s="86" t="str">
        <f t="shared" si="72"/>
        <v>"%USERPROFILE%\Documents\GitHub\eaglep3\Utilities\RefineRTDCRunTimes.py" --tripid 60-23 --locoid 4050 --swversion DE.1.0.9.0 --startMP 300:30879 --initTime 2017-02-23T23:06:23 --startdatetime 2017-02-23T23:46:57 --delay 1 --endMP 204:332 --enddatetime 2017-02-23T23:55:40 --enforcementcount 0 &gt;&gt;C:\Users\stu\Documents\GitHub\eaglep3-reporting\EC\2017-02-23-refined-times.txt</v>
      </c>
      <c r="AI234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{"issue":{"subject":"","project_id":79,"tracker_id":40,"status_id":1,"priority_id":2,"assigned_to_id":23,"start_date":"2017-02-23","description":"","custom_fields":[{"id":1,"name":"Subdivision","value":"Other"},{"id":4,"name":"Milepost","value":"0.0332"},{"id":17,"name":"Train ID","value":"60-23"},{"id":16,"name":"Locomotive ID","value":"4050"},{"id":130,"name":"Impact","value":""},{"id":150,"name":"Time of Event (Mountain Time)","value":"23:55:40"},{"id":151,"name":"Denver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74"/>
        <v>start /low /b %USERPROFILE%\Documents\GitHub\eaglep3\Utilities\DownloadLogsFromS3.py --loco 4050 --day 2017-02-23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5" spans="1:40" x14ac:dyDescent="0.25">
      <c r="A235" s="33" t="s">
        <v>616</v>
      </c>
      <c r="B235" s="7">
        <v>4050</v>
      </c>
      <c r="C235" s="21" t="s">
        <v>294</v>
      </c>
      <c r="D235" s="21" t="s">
        <v>766</v>
      </c>
      <c r="E235" s="13">
        <v>42789.877430555556</v>
      </c>
      <c r="F235" s="13">
        <v>42789.894699074073</v>
      </c>
      <c r="G235" s="7">
        <v>1</v>
      </c>
      <c r="H235" s="21" t="s">
        <v>767</v>
      </c>
      <c r="I235" s="13">
        <v>42789.908368055556</v>
      </c>
      <c r="J235" s="7">
        <v>0</v>
      </c>
      <c r="K235" s="98" t="str">
        <f t="shared" si="57"/>
        <v>4049/4050</v>
      </c>
      <c r="L235" s="21" t="str">
        <f>VLOOKUP(A235,'Trips&amp;Operators'!$C$1:$G$99999,5,FALSE)</f>
        <v>COMELLA JUSTIN</v>
      </c>
      <c r="M235" s="6">
        <f t="shared" si="58"/>
        <v>1.3668981482624076E-2</v>
      </c>
      <c r="N235" s="7">
        <f t="shared" si="59"/>
        <v>19.68333333497867</v>
      </c>
      <c r="O235" s="7"/>
      <c r="P235" s="7"/>
      <c r="Q235" s="22"/>
      <c r="R235" s="22"/>
      <c r="S235" s="31">
        <f t="shared" si="60"/>
        <v>0</v>
      </c>
      <c r="T235" s="46" t="e">
        <f t="shared" si="61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62"/>
        <v>https://d0f6bd738d7f1b3e5a7ca70fe4ff75f0.us-east-1.aws.found.io/app/kibana#/discover/Steve-Slow-Train-Analysis-(2080s-and-2083s)?_g=(refreshInterval:(display:Off,pause:!f,section:0,value:0),time:(from:'2017-02-23T20:03:30-0700',mode:absolute,to:'2017-02-23T22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87" t="str">
        <f t="shared" si="63"/>
        <v>Y</v>
      </c>
      <c r="X235" s="187" t="e">
        <f t="shared" si="64"/>
        <v>#VALUE!</v>
      </c>
      <c r="Y235" s="62">
        <f t="shared" si="65"/>
        <v>3.1015000000000001</v>
      </c>
      <c r="Z235" s="62">
        <f t="shared" si="66"/>
        <v>5.2200000000000003E-2</v>
      </c>
      <c r="AA235" s="62">
        <f t="shared" si="67"/>
        <v>3.0493000000000001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68"/>
        <v>60-23</v>
      </c>
      <c r="AE235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5" s="82" t="str">
        <f t="shared" si="70"/>
        <v>"C:\Program Files (x86)\AstroGrep\AstroGrep.exe" /spath="%USERPROFILE%\AppData\Local\Temp\OnboardLogs" /stypes="app*4050*20170224*" /stext=" 04:.+(\|loc)" /e /r /s</v>
      </c>
      <c r="AG235" s="1" t="str">
        <f t="shared" si="71"/>
        <v>Other</v>
      </c>
      <c r="AH235" s="86" t="str">
        <f t="shared" si="72"/>
        <v>"%USERPROFILE%\Documents\GitHub\eaglep3\Utilities\RefineRTDCRunTimes.py" --tripid 60-23 --locoid 4050 --swversion DE.1.0.9.0 --startMP 300:31015 --initTime 2017-02-23T21:03:30 --startdatetime 2017-02-23T21:28:22 --delay 1 --endMP 204:522 --enddatetime 2017-02-23T21:48:03 --enforcementcount 0 &gt;&gt;C:\Users\stu\Documents\GitHub\eaglep3-reporting\EC\2017-02-23-refined-times.txt</v>
      </c>
      <c r="AI235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{"issue":{"subject":"","project_id":79,"tracker_id":40,"status_id":1,"priority_id":2,"assigned_to_id":23,"start_date":"2017-02-23","description":"","custom_fields":[{"id":1,"name":"Subdivision","value":"Other"},{"id":4,"name":"Milepost","value":"0.0522"},{"id":17,"name":"Train ID","value":"60-23"},{"id":16,"name":"Locomotive ID","value":"4050"},{"id":130,"name":"Impact","value":""},{"id":150,"name":"Time of Event (Mountain Time)","value":"21:48:03"},{"id":151,"name":"Denver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74"/>
        <v>start /low /b %USERPROFILE%\Documents\GitHub\eaglep3\Utilities\DownloadLogsFromS3.py --loco 4050 --day 2017-02-23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6" spans="1:40" x14ac:dyDescent="0.25">
      <c r="A236" s="33" t="s">
        <v>616</v>
      </c>
      <c r="B236" s="7">
        <v>4050</v>
      </c>
      <c r="C236" s="21" t="s">
        <v>294</v>
      </c>
      <c r="D236" s="21" t="s">
        <v>768</v>
      </c>
      <c r="E236" s="13">
        <v>42789.85800925926</v>
      </c>
      <c r="F236" s="13">
        <v>42789.878449074073</v>
      </c>
      <c r="G236" s="7">
        <v>1</v>
      </c>
      <c r="H236" s="21" t="s">
        <v>406</v>
      </c>
      <c r="I236" s="13">
        <v>42789.884027777778</v>
      </c>
      <c r="J236" s="7">
        <v>0</v>
      </c>
      <c r="K236" s="98" t="str">
        <f t="shared" si="57"/>
        <v>4049/4050</v>
      </c>
      <c r="L236" s="21" t="str">
        <f>VLOOKUP(A236,'Trips&amp;Operators'!$C$1:$G$99999,5,FALSE)</f>
        <v>COMELLA JUSTIN</v>
      </c>
      <c r="M236" s="6">
        <f t="shared" si="58"/>
        <v>5.5787037053960375E-3</v>
      </c>
      <c r="N236" s="7">
        <f t="shared" si="59"/>
        <v>8.0333333357702941</v>
      </c>
      <c r="O236" s="7"/>
      <c r="P236" s="7"/>
      <c r="Q236" s="22"/>
      <c r="R236" s="22"/>
      <c r="S236" s="31">
        <f t="shared" si="60"/>
        <v>0</v>
      </c>
      <c r="T236" s="46" t="e">
        <f t="shared" si="61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62"/>
        <v>https://d0f6bd738d7f1b3e5a7ca70fe4ff75f0.us-east-1.aws.found.io/app/kibana#/discover/Steve-Slow-Train-Analysis-(2080s-and-2083s)?_g=(refreshInterval:(display:Off,pause:!f,section:0,value:0),time:(from:'2017-02-23T19:35:32-0700',mode:absolute,to:'2017-02-23T22:13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87" t="str">
        <f t="shared" si="63"/>
        <v>Y</v>
      </c>
      <c r="X236" s="187" t="e">
        <f t="shared" si="64"/>
        <v>#VALUE!</v>
      </c>
      <c r="Y236" s="62">
        <f t="shared" si="65"/>
        <v>3.1051000000000002</v>
      </c>
      <c r="Z236" s="62">
        <f t="shared" si="66"/>
        <v>6.6299999999999998E-2</v>
      </c>
      <c r="AA236" s="62">
        <f t="shared" si="67"/>
        <v>3.0388000000000002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68"/>
        <v>60-23</v>
      </c>
      <c r="AE236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6" s="82" t="str">
        <f t="shared" si="70"/>
        <v>"C:\Program Files (x86)\AstroGrep\AstroGrep.exe" /spath="%USERPROFILE%\AppData\Local\Temp\OnboardLogs" /stypes="app*4050*20170224*" /stext=" 04:.+(\|loc)" /e /r /s</v>
      </c>
      <c r="AG236" s="1" t="str">
        <f t="shared" si="71"/>
        <v>Other</v>
      </c>
      <c r="AH236" s="86" t="str">
        <f t="shared" si="72"/>
        <v>"%USERPROFILE%\Documents\GitHub\eaglep3\Utilities\RefineRTDCRunTimes.py" --tripid 60-23 --locoid 4050 --swversion DE.1.0.9.0 --startMP 300:31051 --initTime 2017-02-23T20:35:32 --startdatetime 2017-02-23T21:04:58 --delay 1 --endMP 204:663 --enddatetime 2017-02-23T21:13:00 --enforcementcount 0 &gt;&gt;C:\Users\stu\Documents\GitHub\eaglep3-reporting\EC\2017-02-23-refined-times.txt</v>
      </c>
      <c r="AI23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{"issue":{"subject":"","project_id":79,"tracker_id":40,"status_id":1,"priority_id":2,"assigned_to_id":23,"start_date":"2017-02-23","description":"","custom_fields":[{"id":1,"name":"Subdivision","value":"Other"},{"id":4,"name":"Milepost","value":"0.0663"},{"id":17,"name":"Train ID","value":"60-23"},{"id":16,"name":"Locomotive ID","value":"4050"},{"id":130,"name":"Impact","value":""},{"id":150,"name":"Time of Event (Mountain Time)","value":"21:13:00"},{"id":151,"name":"Denver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74"/>
        <v>start /low /b %USERPROFILE%\Documents\GitHub\eaglep3\Utilities\DownloadLogsFromS3.py --loco 4050 --day 2017-02-23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7" spans="1:40" x14ac:dyDescent="0.25">
      <c r="A237" s="33" t="s">
        <v>593</v>
      </c>
      <c r="B237" s="7">
        <v>4017</v>
      </c>
      <c r="C237" s="21" t="s">
        <v>294</v>
      </c>
      <c r="D237" s="21" t="s">
        <v>769</v>
      </c>
      <c r="E237" s="13">
        <v>42789.740891203706</v>
      </c>
      <c r="F237" s="13">
        <v>42789.742071759261</v>
      </c>
      <c r="G237" s="7">
        <v>1</v>
      </c>
      <c r="H237" s="21" t="s">
        <v>770</v>
      </c>
      <c r="I237" s="13">
        <v>42789.755509259259</v>
      </c>
      <c r="J237" s="7">
        <v>0</v>
      </c>
      <c r="K237" s="98" t="str">
        <f t="shared" si="57"/>
        <v>4017/4018</v>
      </c>
      <c r="L237" s="21" t="str">
        <f>VLOOKUP(A237,'Trips&amp;Operators'!$C$1:$G$99999,5,FALSE)</f>
        <v>MCREYNOLDS KYLE</v>
      </c>
      <c r="M237" s="6">
        <f t="shared" si="58"/>
        <v>1.3437499997962732E-2</v>
      </c>
      <c r="N237" s="7">
        <f t="shared" si="59"/>
        <v>19.349999997066334</v>
      </c>
      <c r="O237" s="7"/>
      <c r="P237" s="7"/>
      <c r="Q237" s="22"/>
      <c r="R237" s="22"/>
      <c r="S237" s="31">
        <f t="shared" si="60"/>
        <v>0</v>
      </c>
      <c r="T237" s="46" t="e">
        <f t="shared" si="61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62"/>
        <v>https://d0f6bd738d7f1b3e5a7ca70fe4ff75f0.us-east-1.aws.found.io/app/kibana#/discover/Steve-Slow-Train-Analysis-(2080s-and-2083s)?_g=(refreshInterval:(display:Off,pause:!f,section:0,value:0),time:(from:'2017-02-23T16:46:53-0700',mode:absolute,to:'2017-02-23T19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7" s="187" t="str">
        <f t="shared" si="63"/>
        <v>Y</v>
      </c>
      <c r="X237" s="187" t="e">
        <f t="shared" si="64"/>
        <v>#VALUE!</v>
      </c>
      <c r="Y237" s="62">
        <f t="shared" si="65"/>
        <v>2.1926000000000001</v>
      </c>
      <c r="Z237" s="62">
        <f t="shared" si="66"/>
        <v>0.19239999999999999</v>
      </c>
      <c r="AA237" s="62">
        <f t="shared" si="67"/>
        <v>2.0002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68"/>
        <v>72-23</v>
      </c>
      <c r="AE237" s="85" t="str">
        <f t="shared" si="69"/>
        <v>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 &amp; aws s3 cp s3://rtdc.mdm.uploadarchive.raw/RTDC4017/ "%USERPROFILE%\AppData\Local\Temp\OnboardLogs"\RTDC4017\2017-02-24 --exclude "*" --recursive --include "*20170224*" &amp; "%USERPROFILE%\Documents\GitHub\mrs-test-scripts\Headless Mode &amp; Sideloading\WalkAndUnGZ.bat" "%USERPROFILE%\AppData\Local\Temp\OnboardLogs"\RTDC4017\2017-02-24</v>
      </c>
      <c r="AF237" s="82" t="str">
        <f t="shared" si="70"/>
        <v>"C:\Program Files (x86)\AstroGrep\AstroGrep.exe" /spath="%USERPROFILE%\AppData\Local\Temp\OnboardLogs" /stypes="app*4017*20170224*" /stext=" 01:.+(\|loc)" /e /r /s</v>
      </c>
      <c r="AG237" s="1" t="str">
        <f t="shared" si="71"/>
        <v>Other</v>
      </c>
      <c r="AH237" s="86" t="str">
        <f t="shared" si="72"/>
        <v>"%USERPROFILE%\Documents\GitHub\eaglep3\Utilities\RefineRTDCRunTimes.py" --tripid 72-23 --locoid 4017 --swversion DE.1.0.9.0 --startMP 300:21926 --initTime 2017-02-23T17:46:53 --startdatetime 2017-02-23T17:48:35 --delay 1 --endMP 204:1924 --enddatetime 2017-02-23T18:07:56 --enforcementcount 0 &gt;&gt;C:\Users\stu\Documents\GitHub\eaglep3-reporting\EC\2017-02-23-refined-times.txt</v>
      </c>
      <c r="AI23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{"issue":{"subject":"","project_id":79,"tracker_id":40,"status_id":1,"priority_id":2,"assigned_to_id":23,"start_date":"2017-02-23","description":"","custom_fields":[{"id":1,"name":"Subdivision","value":"Other"},{"id":4,"name":"Milepost","value":"0.1924"},{"id":17,"name":"Train ID","value":"72-23"},{"id":16,"name":"Locomotive ID","value":"4017"},{"id":130,"name":"Impact","value":""},{"id":150,"name":"Time of Event (Mountain Time)","value":"18:07:56"},{"id":151,"name":"Denver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74"/>
        <v>start /low /b %USERPROFILE%\Documents\GitHub\eaglep3\Utilities\DownloadLogsFromS3.py --loco 4017 --day 2017-02-23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"%USERPROFILE%\AppData\Local\Temp\OnboardLogs"\RTDC4017\*4017*20170224* | grep -SE "(Enforcement Action)|(\[TIMEOUT)|(CHR.+\|PRM\|1\|D.+(SWITCH|SIGNAL).+UNKNOWN)" - &gt;&gt; 2017-02-23-UncaughtWiMAX.txt</v>
      </c>
    </row>
    <row r="238" spans="1:40" x14ac:dyDescent="0.25">
      <c r="A238" s="33" t="s">
        <v>591</v>
      </c>
      <c r="B238" s="7">
        <v>4043</v>
      </c>
      <c r="C238" s="21" t="s">
        <v>294</v>
      </c>
      <c r="D238" s="21" t="s">
        <v>771</v>
      </c>
      <c r="E238" s="13">
        <v>42789.73400462963</v>
      </c>
      <c r="F238" s="13">
        <v>42789.738518518519</v>
      </c>
      <c r="G238" s="7">
        <v>6</v>
      </c>
      <c r="H238" s="21">
        <v>8.5347222222222232</v>
      </c>
      <c r="I238" s="13">
        <v>42789.744097222225</v>
      </c>
      <c r="J238" s="7">
        <v>0</v>
      </c>
      <c r="K238" s="98" t="str">
        <f t="shared" si="57"/>
        <v>4043/4044</v>
      </c>
      <c r="L238" s="21" t="str">
        <f>VLOOKUP(A238,'Trips&amp;Operators'!$C$1:$G$99999,5,FALSE)</f>
        <v>BROWN JACOB</v>
      </c>
      <c r="M238" s="6">
        <f t="shared" si="58"/>
        <v>5.5787037053960375E-3</v>
      </c>
      <c r="N238" s="7">
        <f t="shared" si="59"/>
        <v>8.0333333357702941</v>
      </c>
      <c r="O238" s="7"/>
      <c r="P238" s="7"/>
      <c r="Q238" s="22"/>
      <c r="R238" s="22"/>
      <c r="S238" s="31">
        <f t="shared" si="60"/>
        <v>0</v>
      </c>
      <c r="T238" s="46" t="e">
        <f t="shared" si="61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62"/>
        <v>https://d0f6bd738d7f1b3e5a7ca70fe4ff75f0.us-east-1.aws.found.io/app/kibana#/discover/Steve-Slow-Train-Analysis-(2080s-and-2083s)?_g=(refreshInterval:(display:Off,pause:!f,section:0,value:0),time:(from:'2017-02-23T16:36:58-0700',mode:absolute,to:'2017-02-23T18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8" s="187" t="str">
        <f t="shared" si="63"/>
        <v>N</v>
      </c>
      <c r="X238" s="187" t="e">
        <f t="shared" si="64"/>
        <v>#VALUE!</v>
      </c>
      <c r="Y238" s="62">
        <f t="shared" si="65"/>
        <v>2.3250000000000002</v>
      </c>
      <c r="Z238" s="62">
        <f t="shared" si="66"/>
        <v>47222222.222199999</v>
      </c>
      <c r="AA238" s="62">
        <f t="shared" si="67"/>
        <v>47222219.897199996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68"/>
        <v>74-23</v>
      </c>
      <c r="AE238" s="85" t="str">
        <f t="shared" si="69"/>
        <v>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 &amp; 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</v>
      </c>
      <c r="AF238" s="82" t="str">
        <f t="shared" si="70"/>
        <v>"C:\Program Files (x86)\AstroGrep\AstroGrep.exe" /spath="%USERPROFILE%\AppData\Local\Temp\OnboardLogs" /stypes="app*4043*20170224*" /stext=" 00:.+(\|loc)" /e /r /s</v>
      </c>
      <c r="AG238" s="1" t="str">
        <f t="shared" si="71"/>
        <v>Other</v>
      </c>
      <c r="AH238" s="86" t="str">
        <f t="shared" si="72"/>
        <v>"%USERPROFILE%\Documents\GitHub\eaglep3\Utilities\RefineRTDCRunTimes.py" --tripid 74-23 --locoid 4043 --swversion DE.1.0.9.0 --startMP 300:23250 --initTime 2017-02-23T17:36:58 --startdatetime 2017-02-23T17:43:28 --delay 6 --endMP 8.53472222222222 --enddatetime 2017-02-23T17:51:30 --enforcementcount 0 &gt;&gt;C:\Users\stu\Documents\GitHub\eaglep3-reporting\EC\2017-02-23-refined-times.txt</v>
      </c>
      <c r="AI23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47222222.2222"},{"id":17,"name":"Train ID","value":"74-23"},{"id":16,"name":"Locomotive ID","value":"4043"},{"id":130,"name":"Impact","value":""},{"id":150,"name":"Time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74"/>
        <v>start /low /b %USERPROFILE%\Documents\GitHub\eaglep3\Utilities\DownloadLogsFromS3.py --loco 4043 --day 2017-02-23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2017-02-23-UncaughtWiMAX.txt</v>
      </c>
    </row>
    <row r="239" spans="1:40" x14ac:dyDescent="0.25">
      <c r="A239" s="33" t="s">
        <v>587</v>
      </c>
      <c r="B239" s="7">
        <v>4003</v>
      </c>
      <c r="C239" s="21" t="s">
        <v>294</v>
      </c>
      <c r="D239" s="21" t="s">
        <v>772</v>
      </c>
      <c r="E239" s="13">
        <v>42789.723819444444</v>
      </c>
      <c r="F239" s="13">
        <v>25568.708333333332</v>
      </c>
      <c r="G239" s="7">
        <v>1</v>
      </c>
      <c r="H239" s="21" t="s">
        <v>773</v>
      </c>
      <c r="I239" s="13">
        <v>25568.708333333332</v>
      </c>
      <c r="J239" s="7">
        <v>0</v>
      </c>
      <c r="K239" s="98" t="str">
        <f t="shared" si="57"/>
        <v>4003/4004</v>
      </c>
      <c r="L239" s="21" t="str">
        <f>VLOOKUP(A239,'Trips&amp;Operators'!$C$1:$G$99999,5,FALSE)</f>
        <v>DE LA ROSA ALEX</v>
      </c>
      <c r="M239" s="6">
        <f t="shared" si="58"/>
        <v>0</v>
      </c>
      <c r="N239" s="7">
        <f t="shared" si="59"/>
        <v>0</v>
      </c>
      <c r="O239" s="7"/>
      <c r="P239" s="7"/>
      <c r="Q239" s="22"/>
      <c r="R239" s="22"/>
      <c r="S239" s="31">
        <f t="shared" si="60"/>
        <v>0</v>
      </c>
      <c r="T239" s="46" t="e">
        <f t="shared" si="61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62"/>
        <v>https://d0f6bd738d7f1b3e5a7ca70fe4ff75f0.us-east-1.aws.found.io/app/kibana#/discover/Steve-Slow-Train-Analysis-(2080s-and-2083s)?_g=(refreshInterval:(display:Off,pause:!f,section:0,value:0),time:(from:'2017-02-23T16:22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9" s="187" t="str">
        <f t="shared" si="63"/>
        <v>Y</v>
      </c>
      <c r="X239" s="187" t="e">
        <f t="shared" si="64"/>
        <v>#VALUE!</v>
      </c>
      <c r="Y239" s="62">
        <f t="shared" si="65"/>
        <v>0.1477</v>
      </c>
      <c r="Z239" s="62">
        <f t="shared" si="66"/>
        <v>1.6836</v>
      </c>
      <c r="AA239" s="62">
        <f t="shared" si="67"/>
        <v>1.5359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68"/>
        <v>75-23</v>
      </c>
      <c r="AE239" s="85" t="str">
        <f t="shared" si="69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39" s="82" t="str">
        <f t="shared" si="70"/>
        <v>"C:\Program Files (x86)\AstroGrep\AstroGrep.exe" /spath="%USERPROFILE%\AppData\Local\Temp\OnboardLogs" /stypes="app*4003*19700101*" /stext=" 00:.+(\|loc)" /e /r /s</v>
      </c>
      <c r="AG239" s="1" t="str">
        <f t="shared" si="71"/>
        <v>Other</v>
      </c>
      <c r="AH239" s="86" t="str">
        <f t="shared" si="72"/>
        <v>"%USERPROFILE%\Documents\GitHub\eaglep3\Utilities\RefineRTDCRunTimes.py" --tripid 75-23 --locoid 4003 --swversion DE.1.0.9.0 --startMP 204:1477 --initTime 2017-02-23T17:22:18 --startdatetime 1969-12-31T17:00:00 --delay 1 --endMP 300:16836 --enddatetime 1969-12-31T17:00:00 --enforcementcount 0 &gt;&gt;C:\Users\stu\Documents\GitHub\eaglep3-reporting\EC\2017-02-23-refined-times.txt</v>
      </c>
      <c r="AI23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{"issue":{"subject":"","project_id":79,"tracker_id":40,"status_id":1,"priority_id":2,"assigned_to_id":23,"start_date":"1969-12-31","description":"","custom_fields":[{"id":1,"name":"Subdivision","value":"Other"},{"id":4,"name":"Milepost","value":"1.6836"},{"id":17,"name":"Train ID","value":"75-23"},{"id":16,"name":"Locomotive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74"/>
        <v>start /low /b %USERPROFILE%\Documents\GitHub\eaglep3\Utilities\DownloadLogsFromS3.py --loco 4003 --day 1969-12-31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2017-02-23-UncaughtWiMAX.txt</v>
      </c>
    </row>
    <row r="240" spans="1:40" x14ac:dyDescent="0.25">
      <c r="A240" s="33" t="s">
        <v>587</v>
      </c>
      <c r="B240" s="7">
        <v>4003</v>
      </c>
      <c r="C240" s="21" t="s">
        <v>294</v>
      </c>
      <c r="D240" s="21" t="s">
        <v>774</v>
      </c>
      <c r="E240" s="13">
        <v>42789.763923611114</v>
      </c>
      <c r="F240" s="13">
        <v>25568.708333333332</v>
      </c>
      <c r="G240" s="7">
        <v>1</v>
      </c>
      <c r="H240" s="21" t="s">
        <v>387</v>
      </c>
      <c r="I240" s="13">
        <v>25568.708333333332</v>
      </c>
      <c r="J240" s="7">
        <v>0</v>
      </c>
      <c r="K240" s="98" t="str">
        <f t="shared" si="57"/>
        <v>4003/4004</v>
      </c>
      <c r="L240" s="21" t="str">
        <f>VLOOKUP(A240,'Trips&amp;Operators'!$C$1:$G$99999,5,FALSE)</f>
        <v>DE LA ROSA ALEX</v>
      </c>
      <c r="M240" s="6">
        <f t="shared" si="58"/>
        <v>0</v>
      </c>
      <c r="N240" s="7">
        <f t="shared" si="59"/>
        <v>0</v>
      </c>
      <c r="O240" s="7"/>
      <c r="P240" s="7"/>
      <c r="Q240" s="22"/>
      <c r="R240" s="22"/>
      <c r="S240" s="31">
        <f t="shared" si="60"/>
        <v>0</v>
      </c>
      <c r="T240" s="46" t="e">
        <f t="shared" si="61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62"/>
        <v>https://d0f6bd738d7f1b3e5a7ca70fe4ff75f0.us-east-1.aws.found.io/app/kibana#/discover/Steve-Slow-Train-Analysis-(2080s-and-2083s)?_g=(refreshInterval:(display:Off,pause:!f,section:0,value:0),time:(from:'2017-02-23T17:20:03-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0" s="187" t="str">
        <f t="shared" si="63"/>
        <v>Y</v>
      </c>
      <c r="X240" s="187" t="e">
        <f t="shared" si="64"/>
        <v>#VALUE!</v>
      </c>
      <c r="Y240" s="62">
        <f t="shared" si="65"/>
        <v>1.3452</v>
      </c>
      <c r="Z240" s="62">
        <f t="shared" si="66"/>
        <v>2.3313999999999999</v>
      </c>
      <c r="AA240" s="62">
        <f t="shared" si="67"/>
        <v>0.98619999999999997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68"/>
        <v>75-23</v>
      </c>
      <c r="AE240" s="85" t="str">
        <f t="shared" si="69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40" s="82" t="str">
        <f t="shared" si="70"/>
        <v>"C:\Program Files (x86)\AstroGrep\AstroGrep.exe" /spath="%USERPROFILE%\AppData\Local\Temp\OnboardLogs" /stypes="app*4003*19700101*" /stext=" 00:.+(\|loc)" /e /r /s</v>
      </c>
      <c r="AG240" s="1" t="str">
        <f t="shared" si="71"/>
        <v>Other</v>
      </c>
      <c r="AH240" s="86" t="str">
        <f t="shared" si="72"/>
        <v>"%USERPROFILE%\Documents\GitHub\eaglep3\Utilities\RefineRTDCRunTimes.py" --tripid 75-23 --locoid 4003 --swversion DE.1.0.9.0 --startMP 300:13452 --initTime 2017-02-23T18:20:03 --startdatetime 1969-12-31T17:00:00 --delay 1 --endMP 300:23314 --enddatetime 1969-12-31T17:00:00 --enforcementcount 0 &gt;&gt;C:\Users\stu\Documents\GitHub\eaglep3-reporting\EC\2017-02-23-refined-times.txt</v>
      </c>
      <c r="AI24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ID","value":"75-23"},{"id":16,"name":"Locomotive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74"/>
        <v>start /low /b %USERPROFILE%\Documents\GitHub\eaglep3\Utilities\DownloadLogsFromS3.py --loco 4003 --day 1969-12-31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2017-02-23-UncaughtWiMAX.txt</v>
      </c>
    </row>
    <row r="241" spans="1:40" x14ac:dyDescent="0.25">
      <c r="A241" s="33" t="s">
        <v>451</v>
      </c>
      <c r="B241" s="7">
        <v>4032</v>
      </c>
      <c r="C241" s="21" t="s">
        <v>294</v>
      </c>
      <c r="D241" s="21" t="s">
        <v>775</v>
      </c>
      <c r="E241" s="13">
        <v>42789.749062499999</v>
      </c>
      <c r="F241" s="13">
        <v>42789.750196759262</v>
      </c>
      <c r="G241" s="7">
        <v>1</v>
      </c>
      <c r="H241" s="21" t="s">
        <v>776</v>
      </c>
      <c r="I241" s="13">
        <v>42789.757534722223</v>
      </c>
      <c r="J241" s="7">
        <v>0</v>
      </c>
      <c r="K241" s="98" t="str">
        <f t="shared" si="57"/>
        <v>4031/4032</v>
      </c>
      <c r="L241" s="21" t="str">
        <f>VLOOKUP(A241,'Trips&amp;Operators'!$C$1:$G$99999,5,FALSE)</f>
        <v>HILLS DUSTIN</v>
      </c>
      <c r="M241" s="6">
        <f t="shared" si="58"/>
        <v>7.3379629611736163E-3</v>
      </c>
      <c r="N241" s="7">
        <f t="shared" si="59"/>
        <v>10.566666664090008</v>
      </c>
      <c r="O241" s="7"/>
      <c r="P241" s="7"/>
      <c r="Q241" s="22"/>
      <c r="R241" s="22"/>
      <c r="S241" s="31">
        <f t="shared" si="60"/>
        <v>0</v>
      </c>
      <c r="T241" s="46" t="e">
        <f t="shared" si="61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62"/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1" s="187" t="str">
        <f t="shared" si="63"/>
        <v>Y</v>
      </c>
      <c r="X241" s="187" t="e">
        <f t="shared" si="64"/>
        <v>#VALUE!</v>
      </c>
      <c r="Y241" s="62">
        <f t="shared" si="65"/>
        <v>2.3111999999999999</v>
      </c>
      <c r="Z241" s="62">
        <f t="shared" si="66"/>
        <v>8.6699999999999999E-2</v>
      </c>
      <c r="AA241" s="62">
        <f t="shared" si="67"/>
        <v>2.2244999999999999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68"/>
        <v>76-23</v>
      </c>
      <c r="AE241" s="85" t="str">
        <f t="shared" si="69"/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AF241" s="82" t="str">
        <f t="shared" si="70"/>
        <v>"C:\Program Files (x86)\AstroGrep\AstroGrep.exe" /spath="%USERPROFILE%\AppData\Local\Temp\OnboardLogs" /stypes="app*4032*20170224*" /stext=" 01:.+(\|loc)" /e /r /s</v>
      </c>
      <c r="AG241" s="1" t="str">
        <f t="shared" si="71"/>
        <v>Other</v>
      </c>
      <c r="AH241" s="86" t="str">
        <f t="shared" si="72"/>
        <v>"%USERPROFILE%\Documents\GitHub\eaglep3\Utilities\RefineRTDCRunTimes.py" --tripid 76-23 --locoid 4032 --swversion DE.1.0.9.0 --startMP 300:23112 --initTime 2017-02-23T17:58:39 --startdatetime 2017-02-23T18:00:17 --delay 1 --endMP 204:867 --enddatetime 2017-02-23T18:10:51 --enforcementcount 0 &gt;&gt;C:\Users\stu\Documents\GitHub\eaglep3-reporting\EC\2017-02-23-refined-times.txt</v>
      </c>
      <c r="AI24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{"issue":{"subject":"","project_id":79,"tracker_id":40,"status_id":1,"priority_id":2,"assigned_to_id":23,"start_date":"2017-02-23","description":"","custom_fields":[{"id":1,"name":"Subdivision","value":"Other"},{"id":4,"name":"Milepost","value":"0.0867"},{"id":17,"name":"Train ID","value":"76-23"},{"id":16,"name":"Locomotive ID","value":"4032"},{"id":130,"name":"Impact","value":""},{"id":150,"name":"Time of Event (Mountain Time)","value":"18:10:51"},{"id":151,"name":"Denver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74"/>
        <v>start /low /b %USERPROFILE%\Documents\GitHub\eaglep3\Utilities\DownloadLogsFromS3.py --loco 4032 --day 2017-02-23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2017-02-23-UncaughtWiMAX.txt</v>
      </c>
    </row>
    <row r="242" spans="1:40" x14ac:dyDescent="0.25">
      <c r="A242" s="33" t="s">
        <v>598</v>
      </c>
      <c r="B242" s="7">
        <v>4044</v>
      </c>
      <c r="C242" s="21" t="s">
        <v>294</v>
      </c>
      <c r="D242" s="21" t="s">
        <v>777</v>
      </c>
      <c r="E242" s="13">
        <v>42789.762025462966</v>
      </c>
      <c r="F242" s="13">
        <v>25568.708333333332</v>
      </c>
      <c r="G242" s="7">
        <v>1</v>
      </c>
      <c r="H242" s="21" t="s">
        <v>778</v>
      </c>
      <c r="I242" s="13">
        <v>25568.708333333332</v>
      </c>
      <c r="J242" s="7">
        <v>0</v>
      </c>
      <c r="K242" s="98" t="str">
        <f t="shared" si="57"/>
        <v>4043/4044</v>
      </c>
      <c r="L242" s="21" t="str">
        <f>VLOOKUP(A242,'Trips&amp;Operators'!$C$1:$G$99999,5,FALSE)</f>
        <v>KILLION DAVID</v>
      </c>
      <c r="M242" s="6">
        <f t="shared" si="58"/>
        <v>0</v>
      </c>
      <c r="N242" s="7">
        <f t="shared" si="59"/>
        <v>0</v>
      </c>
      <c r="O242" s="7"/>
      <c r="P242" s="7"/>
      <c r="Q242" s="22"/>
      <c r="R242" s="22"/>
      <c r="S242" s="31">
        <f t="shared" si="60"/>
        <v>0</v>
      </c>
      <c r="T242" s="46" t="e">
        <f t="shared" si="61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62"/>
        <v>https://d0f6bd738d7f1b3e5a7ca70fe4ff75f0.us-east-1.aws.found.io/app/kibana#/discover/Steve-Slow-Train-Analysis-(2080s-and-2083s)?_g=(refreshInterval:(display:Off,pause:!f,section:0,value:0),time:(from:'2017-02-23T17:17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2" s="187" t="str">
        <f t="shared" si="63"/>
        <v>Y</v>
      </c>
      <c r="X242" s="187" t="e">
        <f t="shared" si="64"/>
        <v>#VALUE!</v>
      </c>
      <c r="Y242" s="62">
        <f t="shared" si="65"/>
        <v>3.4099999999999998E-2</v>
      </c>
      <c r="Z242" s="62">
        <f t="shared" si="66"/>
        <v>2.3311999999999999</v>
      </c>
      <c r="AA242" s="62">
        <f t="shared" si="67"/>
        <v>2.2970999999999999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68"/>
        <v>77-23</v>
      </c>
      <c r="AE242" s="85" t="str">
        <f t="shared" si="69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42" s="82" t="str">
        <f t="shared" si="70"/>
        <v>"C:\Program Files (x86)\AstroGrep\AstroGrep.exe" /spath="%USERPROFILE%\AppData\Local\Temp\OnboardLogs" /stypes="app*4044*19700101*" /stext=" 00:.+(\|loc)" /e /r /s</v>
      </c>
      <c r="AG242" s="1" t="str">
        <f t="shared" si="71"/>
        <v>Other</v>
      </c>
      <c r="AH242" s="86" t="str">
        <f t="shared" si="72"/>
        <v>"%USERPROFILE%\Documents\GitHub\eaglep3\Utilities\RefineRTDCRunTimes.py" --tripid 77-23 --locoid 4044 --swversion DE.1.0.9.0 --startMP 204:341 --initTime 2017-02-23T18:17:19 --startdatetime 1969-12-31T17:00:00 --delay 1 --endMP 300:23312 --enddatetime 1969-12-31T17:00:00 --enforcementcount 0 &gt;&gt;C:\Users\stu\Documents\GitHub\eaglep3-reporting\EC\2017-02-23-refined-times.txt</v>
      </c>
      <c r="AI242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ID","value":"77-23"},{"id":16,"name":"Locomotive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74"/>
        <v>start /low /b %USERPROFILE%\Documents\GitHub\eaglep3\Utilities\DownloadLogsFromS3.py --loco 4044 --day 1969-12-31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2017-02-23-UncaughtWiMAX.txt</v>
      </c>
    </row>
    <row r="243" spans="1:40" x14ac:dyDescent="0.25">
      <c r="A243" s="33" t="s">
        <v>600</v>
      </c>
      <c r="B243" s="7">
        <v>4031</v>
      </c>
      <c r="C243" s="21" t="s">
        <v>294</v>
      </c>
      <c r="D243" s="21" t="s">
        <v>779</v>
      </c>
      <c r="E243" s="13">
        <v>42789.771192129629</v>
      </c>
      <c r="F243" s="13">
        <v>25568.708333333332</v>
      </c>
      <c r="G243" s="7">
        <v>2</v>
      </c>
      <c r="H243" s="21" t="s">
        <v>387</v>
      </c>
      <c r="I243" s="13">
        <v>25568.708333333332</v>
      </c>
      <c r="J243" s="7">
        <v>0</v>
      </c>
      <c r="K243" s="98" t="str">
        <f t="shared" si="57"/>
        <v>4031/4032</v>
      </c>
      <c r="L243" s="21" t="str">
        <f>VLOOKUP(A243,'Trips&amp;Operators'!$C$1:$G$99999,5,FALSE)</f>
        <v>BRUDER RICHARD</v>
      </c>
      <c r="M243" s="6">
        <f t="shared" si="58"/>
        <v>0</v>
      </c>
      <c r="N243" s="7">
        <f t="shared" si="59"/>
        <v>0</v>
      </c>
      <c r="O243" s="7"/>
      <c r="P243" s="7"/>
      <c r="Q243" s="22"/>
      <c r="R243" s="22"/>
      <c r="S243" s="31">
        <f t="shared" si="60"/>
        <v>0</v>
      </c>
      <c r="T243" s="46" t="e">
        <f t="shared" si="61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62"/>
        <v>https://d0f6bd738d7f1b3e5a7ca70fe4ff75f0.us-east-1.aws.found.io/app/kibana#/discover/Steve-Slow-Train-Analysis-(2080s-and-2083s)?_g=(refreshInterval:(display:Off,pause:!f,section:0,value:0),time:(from:'2017-02-23T17:30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3" s="187" t="str">
        <f t="shared" si="63"/>
        <v>Y</v>
      </c>
      <c r="X243" s="187" t="e">
        <f t="shared" si="64"/>
        <v>#VALUE!</v>
      </c>
      <c r="Y243" s="62">
        <f t="shared" si="65"/>
        <v>0.1177</v>
      </c>
      <c r="Z243" s="62">
        <f t="shared" si="66"/>
        <v>2.3313999999999999</v>
      </c>
      <c r="AA243" s="62">
        <f t="shared" si="67"/>
        <v>2.2136999999999998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68"/>
        <v>79-23</v>
      </c>
      <c r="AE243" s="85" t="str">
        <f t="shared" si="69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43" s="82" t="str">
        <f t="shared" si="70"/>
        <v>"C:\Program Files (x86)\AstroGrep\AstroGrep.exe" /spath="%USERPROFILE%\AppData\Local\Temp\OnboardLogs" /stypes="app*4031*19700101*" /stext=" 00:.+(\|loc)" /e /r /s</v>
      </c>
      <c r="AG243" s="1" t="str">
        <f t="shared" si="71"/>
        <v>Other</v>
      </c>
      <c r="AH243" s="86" t="str">
        <f t="shared" si="72"/>
        <v>"%USERPROFILE%\Documents\GitHub\eaglep3\Utilities\RefineRTDCRunTimes.py" --tripid 79-23 --locoid 4031 --swversion DE.1.0.9.0 --startMP 204:1177 --initTime 2017-02-23T18:30:31 --startdatetime 1969-12-31T17:00:00 --delay 2 --endMP 300:23314 --enddatetime 1969-12-31T17:00:00 --enforcementcount 0 &gt;&gt;C:\Users\stu\Documents\GitHub\eaglep3-reporting\EC\2017-02-23-refined-times.txt</v>
      </c>
      <c r="AI24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ID","value":"79-23"},{"id":16,"name":"Locomotive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74"/>
        <v>start /low /b %USERPROFILE%\Documents\GitHub\eaglep3\Utilities\DownloadLogsFromS3.py --loco 4031 --day 1969-12-31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2017-02-23-UncaughtWiMAX.txt</v>
      </c>
    </row>
    <row r="244" spans="1:40" x14ac:dyDescent="0.25">
      <c r="A244" s="33" t="s">
        <v>427</v>
      </c>
      <c r="B244" s="7">
        <v>4025</v>
      </c>
      <c r="C244" s="21" t="s">
        <v>294</v>
      </c>
      <c r="D244" s="21" t="s">
        <v>780</v>
      </c>
      <c r="E244" s="13">
        <v>42789.432268518518</v>
      </c>
      <c r="F244" s="13">
        <v>42789.45685185185</v>
      </c>
      <c r="G244" s="7">
        <v>1</v>
      </c>
      <c r="H244" s="21" t="s">
        <v>781</v>
      </c>
      <c r="I244" s="13">
        <v>42789.511990740742</v>
      </c>
      <c r="J244" s="7">
        <v>0</v>
      </c>
      <c r="K244" s="98" t="str">
        <f t="shared" si="57"/>
        <v>4025/4026</v>
      </c>
      <c r="L244" s="21" t="str">
        <f>VLOOKUP(A244,'Trips&amp;Operators'!$C$1:$G$99999,5,FALSE)</f>
        <v>PELLITIER GEORGE</v>
      </c>
      <c r="M244" s="6">
        <f t="shared" si="58"/>
        <v>5.5138888892543036E-2</v>
      </c>
      <c r="N244" s="7">
        <f t="shared" si="59"/>
        <v>79.400000005261973</v>
      </c>
      <c r="O244" s="7"/>
      <c r="P244" s="7"/>
      <c r="Q244" s="22"/>
      <c r="R244" s="22"/>
      <c r="S244" s="31">
        <f t="shared" si="60"/>
        <v>0</v>
      </c>
      <c r="T244" s="46" t="e">
        <f t="shared" si="61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62"/>
        <v>https://d0f6bd738d7f1b3e5a7ca70fe4ff75f0.us-east-1.aws.found.io/app/kibana#/discover/Steve-Slow-Train-Analysis-(2080s-and-2083s)?_g=(refreshInterval:(display:Off,pause:!f,section:0,value:0),time:(from:'2017-02-23T09:22:28-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4" s="187" t="str">
        <f t="shared" si="63"/>
        <v>Y</v>
      </c>
      <c r="X244" s="187" t="e">
        <f t="shared" si="64"/>
        <v>#VALUE!</v>
      </c>
      <c r="Y244" s="62">
        <f t="shared" si="65"/>
        <v>1.446</v>
      </c>
      <c r="Z244" s="62">
        <f t="shared" si="66"/>
        <v>2.4226000000000001</v>
      </c>
      <c r="AA244" s="62">
        <f t="shared" si="67"/>
        <v>0.97660000000000013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68"/>
        <v>80-23</v>
      </c>
      <c r="AE244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4" s="82" t="str">
        <f t="shared" si="70"/>
        <v>"C:\Program Files (x86)\AstroGrep\AstroGrep.exe" /spath="%USERPROFILE%\AppData\Local\Temp\OnboardLogs" /stypes="app*4025*20170223*" /stext=" 19:.+(\|loc)" /e /r /s</v>
      </c>
      <c r="AG244" s="1" t="str">
        <f t="shared" si="71"/>
        <v>Other</v>
      </c>
      <c r="AH244" s="86" t="str">
        <f t="shared" si="72"/>
        <v>"%USERPROFILE%\Documents\GitHub\eaglep3\Utilities\RefineRTDCRunTimes.py" --tripid 80-23 --locoid 4025 --swversion DE.1.0.9.0 --startMP 300:14460 --initTime 2017-02-23T10:22:28 --startdatetime 2017-02-23T10:57:52 --delay 1 --endMP 300:24226 --enddatetime 2017-02-23T12:17:16 --enforcementcount 0 &gt;&gt;C:\Users\stu\Documents\GitHub\eaglep3-reporting\EC\2017-02-23-refined-times.txt</v>
      </c>
      <c r="AI244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{"issue":{"subject":"","project_id":79,"tracker_id":40,"status_id":1,"priority_id":2,"assigned_to_id":23,"start_date":"2017-02-23","description":"","custom_fields":[{"id":1,"name":"Subdivision","value":"Other"},{"id":4,"name":"Milepost","value":"2.4226"},{"id":17,"name":"Train ID","value":"80-23"},{"id":16,"name":"Locomotive ID","value":"4025"},{"id":130,"name":"Impact","value":""},{"id":150,"name":"Time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74"/>
        <v>start /low /b %USERPROFILE%\Documents\GitHub\eaglep3\Utilities\DownloadLogsFromS3.py --loco 4025 --day 2017-02-23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5" spans="1:40" x14ac:dyDescent="0.25">
      <c r="A245" s="33" t="s">
        <v>427</v>
      </c>
      <c r="B245" s="7">
        <v>4025</v>
      </c>
      <c r="C245" s="21" t="s">
        <v>294</v>
      </c>
      <c r="D245" s="21" t="s">
        <v>782</v>
      </c>
      <c r="E245" s="13">
        <v>42789.504803240743</v>
      </c>
      <c r="F245" s="13">
        <v>42789.51054398148</v>
      </c>
      <c r="G245" s="7">
        <v>2</v>
      </c>
      <c r="H245" s="21" t="s">
        <v>781</v>
      </c>
      <c r="I245" s="13">
        <v>42789.512372685182</v>
      </c>
      <c r="J245" s="7">
        <v>0</v>
      </c>
      <c r="K245" s="98" t="str">
        <f t="shared" si="57"/>
        <v>4025/4026</v>
      </c>
      <c r="L245" s="21" t="str">
        <f>VLOOKUP(A245,'Trips&amp;Operators'!$C$1:$G$99999,5,FALSE)</f>
        <v>PELLITIER GEORGE</v>
      </c>
      <c r="M245" s="6">
        <f t="shared" si="58"/>
        <v>1.8287037019035779E-3</v>
      </c>
      <c r="N245" s="7">
        <f t="shared" si="59"/>
        <v>2.6333333307411522</v>
      </c>
      <c r="O245" s="7"/>
      <c r="P245" s="7"/>
      <c r="Q245" s="22"/>
      <c r="R245" s="22"/>
      <c r="S245" s="31">
        <f t="shared" si="60"/>
        <v>0</v>
      </c>
      <c r="T245" s="46" t="e">
        <f t="shared" si="61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62"/>
        <v>https://d0f6bd738d7f1b3e5a7ca70fe4ff75f0.us-east-1.aws.found.io/app/kibana#/discover/Steve-Slow-Train-Analysis-(2080s-and-2083s)?_g=(refreshInterval:(display:Off,pause:!f,section:0,value:0),time:(from:'2017-02-23T11:06:55-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5" s="187" t="str">
        <f t="shared" si="63"/>
        <v>Y</v>
      </c>
      <c r="X245" s="187" t="e">
        <f t="shared" si="64"/>
        <v>#VALUE!</v>
      </c>
      <c r="Y245" s="62">
        <f t="shared" si="65"/>
        <v>1.9078999999999999</v>
      </c>
      <c r="Z245" s="62">
        <f t="shared" si="66"/>
        <v>2.4226000000000001</v>
      </c>
      <c r="AA245" s="62">
        <f t="shared" si="67"/>
        <v>0.51470000000000016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68"/>
        <v>80-23</v>
      </c>
      <c r="AE245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5" s="82" t="str">
        <f t="shared" si="70"/>
        <v>"C:\Program Files (x86)\AstroGrep\AstroGrep.exe" /spath="%USERPROFILE%\AppData\Local\Temp\OnboardLogs" /stypes="app*4025*20170223*" /stext=" 19:.+(\|loc)" /e /r /s</v>
      </c>
      <c r="AG245" s="1" t="str">
        <f t="shared" si="71"/>
        <v>Other</v>
      </c>
      <c r="AH245" s="86" t="str">
        <f t="shared" si="72"/>
        <v>"%USERPROFILE%\Documents\GitHub\eaglep3\Utilities\RefineRTDCRunTimes.py" --tripid 80-23 --locoid 4025 --swversion DE.1.0.9.0 --startMP 300:19079 --initTime 2017-02-23T12:06:55 --startdatetime 2017-02-23T12:15:11 --delay 2 --endMP 300:24226 --enddatetime 2017-02-23T12:17:49 --enforcementcount 0 &gt;&gt;C:\Users\stu\Documents\GitHub\eaglep3-reporting\EC\2017-02-23-refined-times.txt</v>
      </c>
      <c r="AI245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{"issue":{"subject":"","project_id":79,"tracker_id":40,"status_id":1,"priority_id":2,"assigned_to_id":23,"start_date":"2017-02-23","description":"","custom_fields":[{"id":1,"name":"Subdivision","value":"Other"},{"id":4,"name":"Milepost","value":"2.4226"},{"id":17,"name":"Train ID","value":"80-23"},{"id":16,"name":"Locomotive ID","value":"4025"},{"id":130,"name":"Impact","value":""},{"id":150,"name":"Time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74"/>
        <v>start /low /b %USERPROFILE%\Documents\GitHub\eaglep3\Utilities\DownloadLogsFromS3.py --loco 4025 --day 2017-02-23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6" spans="1:40" x14ac:dyDescent="0.25">
      <c r="A246" s="33" t="s">
        <v>427</v>
      </c>
      <c r="B246" s="7">
        <v>4025</v>
      </c>
      <c r="C246" s="21" t="s">
        <v>294</v>
      </c>
      <c r="D246" s="21" t="s">
        <v>783</v>
      </c>
      <c r="E246" s="13">
        <v>42789.475810185184</v>
      </c>
      <c r="F246" s="13">
        <v>42789.496481481481</v>
      </c>
      <c r="G246" s="7">
        <v>1</v>
      </c>
      <c r="H246" s="21" t="s">
        <v>784</v>
      </c>
      <c r="I246" s="13">
        <v>42789.511990740742</v>
      </c>
      <c r="J246" s="7">
        <v>0</v>
      </c>
      <c r="K246" s="98" t="str">
        <f t="shared" si="57"/>
        <v>4025/4026</v>
      </c>
      <c r="L246" s="21" t="str">
        <f>VLOOKUP(A246,'Trips&amp;Operators'!$C$1:$G$99999,5,FALSE)</f>
        <v>PELLITIER GEORGE</v>
      </c>
      <c r="M246" s="6">
        <f t="shared" si="58"/>
        <v>1.5509259261307307E-2</v>
      </c>
      <c r="N246" s="7">
        <f t="shared" si="59"/>
        <v>22.333333336282521</v>
      </c>
      <c r="O246" s="7"/>
      <c r="P246" s="7"/>
      <c r="Q246" s="22"/>
      <c r="R246" s="22"/>
      <c r="S246" s="31">
        <f t="shared" si="60"/>
        <v>0</v>
      </c>
      <c r="T246" s="46" t="e">
        <f t="shared" si="61"/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 t="shared" si="62"/>
        <v>https://d0f6bd738d7f1b3e5a7ca70fe4ff75f0.us-east-1.aws.found.io/app/kibana#/discover/Steve-Slow-Train-Analysis-(2080s-and-2083s)?_g=(refreshInterval:(display:Off,pause:!f,section:0,value:0),time:(from:'2017-02-23T10:25:10-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6" s="187" t="str">
        <f t="shared" si="63"/>
        <v>Y</v>
      </c>
      <c r="X246" s="187" t="e">
        <f t="shared" si="64"/>
        <v>#VALUE!</v>
      </c>
      <c r="Y246" s="62">
        <f t="shared" si="65"/>
        <v>2.1867000000000001</v>
      </c>
      <c r="Z246" s="62">
        <f t="shared" si="66"/>
        <v>2.3300999999999998</v>
      </c>
      <c r="AA246" s="62">
        <f t="shared" si="67"/>
        <v>0.14339999999999975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68"/>
        <v>80-23</v>
      </c>
      <c r="AE246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6" s="82" t="str">
        <f t="shared" si="70"/>
        <v>"C:\Program Files (x86)\AstroGrep\AstroGrep.exe" /spath="%USERPROFILE%\AppData\Local\Temp\OnboardLogs" /stypes="app*4025*20170223*" /stext=" 19:.+(\|loc)" /e /r /s</v>
      </c>
      <c r="AG246" s="1" t="str">
        <f t="shared" si="71"/>
        <v>Other</v>
      </c>
      <c r="AH246" s="86" t="str">
        <f t="shared" si="72"/>
        <v>"%USERPROFILE%\Documents\GitHub\eaglep3\Utilities\RefineRTDCRunTimes.py" --tripid 80-23 --locoid 4025 --swversion DE.1.0.9.0 --startMP 300:21867 --initTime 2017-02-23T11:25:10 --startdatetime 2017-02-23T11:54:56 --delay 1 --endMP 300:23301 --enddatetime 2017-02-23T12:17:16 --enforcementcount 0 &gt;&gt;C:\Users\stu\Documents\GitHub\eaglep3-reporting\EC\2017-02-23-refined-times.txt</v>
      </c>
      <c r="AI24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{"issue":{"subject":"","project_id":79,"tracker_id":40,"status_id":1,"priority_id":2,"assigned_to_id":23,"start_date":"2017-02-23","description":"","custom_fields":[{"id":1,"name":"Subdivision","value":"Other"},{"id":4,"name":"Milepost","value":"2.3301"},{"id":17,"name":"Train ID","value":"80-23"},{"id":16,"name":"Locomotive ID","value":"4025"},{"id":130,"name":"Impact","value":""},{"id":150,"name":"Time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74"/>
        <v>start /low /b %USERPROFILE%\Documents\GitHub\eaglep3\Utilities\DownloadLogsFromS3.py --loco 4025 --day 2017-02-23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7" spans="1:40" x14ac:dyDescent="0.25">
      <c r="A247" s="33" t="s">
        <v>427</v>
      </c>
      <c r="B247" s="7">
        <v>4025</v>
      </c>
      <c r="C247" s="21" t="s">
        <v>294</v>
      </c>
      <c r="D247" s="21" t="s">
        <v>785</v>
      </c>
      <c r="E247" s="13">
        <v>42789.495347222219</v>
      </c>
      <c r="F247" s="13">
        <v>42789.51054398148</v>
      </c>
      <c r="G247" s="7">
        <v>1</v>
      </c>
      <c r="H247" s="21" t="s">
        <v>343</v>
      </c>
      <c r="I247" s="13">
        <v>42789.512372685182</v>
      </c>
      <c r="J247" s="7">
        <v>0</v>
      </c>
      <c r="K247" s="98" t="str">
        <f t="shared" si="57"/>
        <v>4025/4026</v>
      </c>
      <c r="L247" s="21" t="str">
        <f>VLOOKUP(A247,'Trips&amp;Operators'!$C$1:$G$99999,5,FALSE)</f>
        <v>PELLITIER GEORGE</v>
      </c>
      <c r="M247" s="6">
        <f t="shared" si="58"/>
        <v>1.8287037019035779E-3</v>
      </c>
      <c r="N247" s="7">
        <f t="shared" si="59"/>
        <v>2.6333333307411522</v>
      </c>
      <c r="O247" s="7"/>
      <c r="P247" s="7"/>
      <c r="Q247" s="22"/>
      <c r="R247" s="22"/>
      <c r="S247" s="31">
        <f t="shared" si="60"/>
        <v>0</v>
      </c>
      <c r="T247" s="46" t="e">
        <f t="shared" si="61"/>
        <v>#VALUE!</v>
      </c>
      <c r="U247" s="18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6" t="str">
        <f t="shared" si="62"/>
        <v>https://d0f6bd738d7f1b3e5a7ca70fe4ff75f0.us-east-1.aws.found.io/app/kibana#/discover/Steve-Slow-Train-Analysis-(2080s-and-2083s)?_g=(refreshInterval:(display:Off,pause:!f,section:0,value:0),time:(from:'2017-02-23T10:53:18-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7" s="187" t="str">
        <f t="shared" si="63"/>
        <v>Y</v>
      </c>
      <c r="X247" s="187" t="e">
        <f t="shared" si="64"/>
        <v>#VALUE!</v>
      </c>
      <c r="Y247" s="62">
        <f t="shared" si="65"/>
        <v>2.1880000000000002</v>
      </c>
      <c r="Z247" s="62">
        <f t="shared" si="66"/>
        <v>2.3302</v>
      </c>
      <c r="AA247" s="62">
        <f t="shared" si="67"/>
        <v>0.14219999999999988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68"/>
        <v>80-23</v>
      </c>
      <c r="AE247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7" s="82" t="str">
        <f t="shared" si="70"/>
        <v>"C:\Program Files (x86)\AstroGrep\AstroGrep.exe" /spath="%USERPROFILE%\AppData\Local\Temp\OnboardLogs" /stypes="app*4025*20170223*" /stext=" 19:.+(\|loc)" /e /r /s</v>
      </c>
      <c r="AG247" s="1" t="str">
        <f t="shared" si="71"/>
        <v>Other</v>
      </c>
      <c r="AH247" s="86" t="str">
        <f t="shared" si="72"/>
        <v>"%USERPROFILE%\Documents\GitHub\eaglep3\Utilities\RefineRTDCRunTimes.py" --tripid 80-23 --locoid 4025 --swversion DE.1.0.9.0 --startMP 300:21880 --initTime 2017-02-23T11:53:18 --startdatetime 2017-02-23T12:15:11 --delay 1 --endMP 300:23302 --enddatetime 2017-02-23T12:17:49 --enforcementcount 0 &gt;&gt;C:\Users\stu\Documents\GitHub\eaglep3-reporting\EC\2017-02-23-refined-times.txt</v>
      </c>
      <c r="AI24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{"issue":{"subject":"","project_id":79,"tracker_id":40,"status_id":1,"priority_id":2,"assigned_to_id":23,"start_date":"2017-02-23","description":"","custom_fields":[{"id":1,"name":"Subdivision","value":"Other"},{"id":4,"name":"Milepost","value":"2.3302"},{"id":17,"name":"Train ID","value":"80-23"},{"id":16,"name":"Locomotive ID","value":"4025"},{"id":130,"name":"Impact","value":""},{"id":150,"name":"Time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74"/>
        <v>start /low /b %USERPROFILE%\Documents\GitHub\eaglep3\Utilities\DownloadLogsFromS3.py --loco 4025 --day 2017-02-23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8" spans="1:40" x14ac:dyDescent="0.25">
      <c r="A248" s="33" t="s">
        <v>427</v>
      </c>
      <c r="B248" s="7">
        <v>4025</v>
      </c>
      <c r="C248" s="21" t="s">
        <v>294</v>
      </c>
      <c r="D248" s="21" t="s">
        <v>786</v>
      </c>
      <c r="E248" s="13">
        <v>42789.455717592595</v>
      </c>
      <c r="F248" s="13">
        <v>42789.477071759262</v>
      </c>
      <c r="G248" s="7">
        <v>1</v>
      </c>
      <c r="H248" s="21" t="s">
        <v>787</v>
      </c>
      <c r="I248" s="13">
        <v>42789.511990740742</v>
      </c>
      <c r="J248" s="7">
        <v>0</v>
      </c>
      <c r="K248" s="98" t="str">
        <f t="shared" si="57"/>
        <v>4025/4026</v>
      </c>
      <c r="L248" s="21" t="str">
        <f>VLOOKUP(A248,'Trips&amp;Operators'!$C$1:$G$99999,5,FALSE)</f>
        <v>PELLITIER GEORGE</v>
      </c>
      <c r="M248" s="6">
        <f t="shared" si="58"/>
        <v>3.4918981480586808E-2</v>
      </c>
      <c r="N248" s="7">
        <f t="shared" si="59"/>
        <v>50.283333332045004</v>
      </c>
      <c r="O248" s="7"/>
      <c r="P248" s="7"/>
      <c r="Q248" s="22"/>
      <c r="R248" s="22"/>
      <c r="S248" s="31">
        <f t="shared" si="60"/>
        <v>0</v>
      </c>
      <c r="T248" s="46" t="e">
        <f t="shared" si="61"/>
        <v>#VALUE!</v>
      </c>
      <c r="U248" s="18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6" t="str">
        <f t="shared" si="62"/>
        <v>https://d0f6bd738d7f1b3e5a7ca70fe4ff75f0.us-east-1.aws.found.io/app/kibana#/discover/Steve-Slow-Train-Analysis-(2080s-and-2083s)?_g=(refreshInterval:(display:Off,pause:!f,section:0,value:0),time:(from:'2017-02-23T09:56:14-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8" s="187" t="str">
        <f t="shared" si="63"/>
        <v>Y</v>
      </c>
      <c r="X248" s="187" t="e">
        <f t="shared" si="64"/>
        <v>#VALUE!</v>
      </c>
      <c r="Y248" s="62">
        <f t="shared" si="65"/>
        <v>2.1949000000000001</v>
      </c>
      <c r="Z248" s="62">
        <f t="shared" si="66"/>
        <v>2.4232999999999998</v>
      </c>
      <c r="AA248" s="62">
        <f t="shared" si="67"/>
        <v>0.22839999999999971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68"/>
        <v>80-23</v>
      </c>
      <c r="AE248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8" s="82" t="str">
        <f t="shared" si="70"/>
        <v>"C:\Program Files (x86)\AstroGrep\AstroGrep.exe" /spath="%USERPROFILE%\AppData\Local\Temp\OnboardLogs" /stypes="app*4025*20170223*" /stext=" 19:.+(\|loc)" /e /r /s</v>
      </c>
      <c r="AG248" s="1" t="str">
        <f t="shared" si="71"/>
        <v>Other</v>
      </c>
      <c r="AH248" s="86" t="str">
        <f t="shared" si="72"/>
        <v>"%USERPROFILE%\Documents\GitHub\eaglep3\Utilities\RefineRTDCRunTimes.py" --tripid 80-23 --locoid 4025 --swversion DE.1.0.9.0 --startMP 300:21949 --initTime 2017-02-23T10:56:14 --startdatetime 2017-02-23T11:26:59 --delay 1 --endMP 300:24233 --enddatetime 2017-02-23T12:17:16 --enforcementcount 0 &gt;&gt;C:\Users\stu\Documents\GitHub\eaglep3-reporting\EC\2017-02-23-refined-times.txt</v>
      </c>
      <c r="AI24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{"issue":{"subject":"","project_id":79,"tracker_id":40,"status_id":1,"priority_id":2,"assigned_to_id":23,"start_date":"2017-02-23","description":"","custom_fields":[{"id":1,"name":"Subdivision","value":"Other"},{"id":4,"name":"Milepost","value":"2.4233"},{"id":17,"name":"Train ID","value":"80-23"},{"id":16,"name":"Locomotive ID","value":"4025"},{"id":130,"name":"Impact","value":""},{"id":150,"name":"Time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74"/>
        <v>start /low /b %USERPROFILE%\Documents\GitHub\eaglep3\Utilities\DownloadLogsFromS3.py --loco 4025 --day 2017-02-23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9" spans="1:40" x14ac:dyDescent="0.25">
      <c r="A249" s="33" t="s">
        <v>427</v>
      </c>
      <c r="B249" s="7">
        <v>4025</v>
      </c>
      <c r="C249" s="21" t="s">
        <v>294</v>
      </c>
      <c r="D249" s="21" t="s">
        <v>788</v>
      </c>
      <c r="E249" s="13">
        <v>42789.467083333337</v>
      </c>
      <c r="F249" s="13">
        <v>42789.494131944448</v>
      </c>
      <c r="G249" s="7">
        <v>1</v>
      </c>
      <c r="H249" s="21" t="s">
        <v>388</v>
      </c>
      <c r="I249" s="13">
        <v>42789.494398148148</v>
      </c>
      <c r="J249" s="7">
        <v>0</v>
      </c>
      <c r="K249" s="98" t="str">
        <f t="shared" si="57"/>
        <v>4025/4026</v>
      </c>
      <c r="L249" s="21" t="str">
        <f>VLOOKUP(A249,'Trips&amp;Operators'!$C$1:$G$99999,5,FALSE)</f>
        <v>PELLITIER GEORGE</v>
      </c>
      <c r="M249" s="6">
        <f t="shared" si="58"/>
        <v>2.6620370044838637E-4</v>
      </c>
      <c r="N249" s="7">
        <f t="shared" si="59"/>
        <v>0.38333332864567637</v>
      </c>
      <c r="O249" s="7"/>
      <c r="P249" s="7"/>
      <c r="Q249" s="22"/>
      <c r="R249" s="22"/>
      <c r="S249" s="31">
        <f t="shared" si="60"/>
        <v>0</v>
      </c>
      <c r="T249" s="46" t="e">
        <f t="shared" si="61"/>
        <v>#VALUE!</v>
      </c>
      <c r="U249" s="18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6" t="str">
        <f t="shared" si="62"/>
        <v>https://d0f6bd738d7f1b3e5a7ca70fe4ff75f0.us-east-1.aws.found.io/app/kibana#/discover/Steve-Slow-Train-Analysis-(2080s-and-2083s)?_g=(refreshInterval:(display:Off,pause:!f,section:0,value:0),time:(from:'2017-02-23T10:12:36-0700',mode:absolute,to:'2017-02-23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9" s="187" t="str">
        <f t="shared" si="63"/>
        <v>Y</v>
      </c>
      <c r="X249" s="187" t="e">
        <f t="shared" si="64"/>
        <v>#VALUE!</v>
      </c>
      <c r="Y249" s="62">
        <f t="shared" si="65"/>
        <v>2.2000000000000002</v>
      </c>
      <c r="Z249" s="62">
        <f t="shared" si="66"/>
        <v>2.3306</v>
      </c>
      <c r="AA249" s="62">
        <f t="shared" si="67"/>
        <v>0.13059999999999983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68"/>
        <v>80-23</v>
      </c>
      <c r="AE249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9" s="82" t="str">
        <f t="shared" si="70"/>
        <v>"C:\Program Files (x86)\AstroGrep\AstroGrep.exe" /spath="%USERPROFILE%\AppData\Local\Temp\OnboardLogs" /stypes="app*4025*20170223*" /stext=" 18:.+(\|loc)" /e /r /s</v>
      </c>
      <c r="AG249" s="1" t="str">
        <f t="shared" si="71"/>
        <v>Other</v>
      </c>
      <c r="AH249" s="86" t="str">
        <f t="shared" si="72"/>
        <v>"%USERPROFILE%\Documents\GitHub\eaglep3\Utilities\RefineRTDCRunTimes.py" --tripid 80-23 --locoid 4025 --swversion DE.1.0.9.0 --startMP 300:22000 --initTime 2017-02-23T11:12:36 --startdatetime 2017-02-23T11:51:33 --delay 1 --endMP 300:23306 --enddatetime 2017-02-23T11:51:56 --enforcementcount 0 &gt;&gt;C:\Users\stu\Documents\GitHub\eaglep3-reporting\EC\2017-02-23-refined-times.txt</v>
      </c>
      <c r="AI249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{"issue":{"subject":"","project_id":79,"tracker_id":40,"status_id":1,"priority_id":2,"assigned_to_id":23,"start_date":"2017-02-23","description":"","custom_fields":[{"id":1,"name":"Subdivision","value":"Other"},{"id":4,"name":"Milepost","value":"2.3306"},{"id":17,"name":"Train ID","value":"80-23"},{"id":16,"name":"Locomotive ID","value":"4025"},{"id":130,"name":"Impact","value":""},{"id":150,"name":"Time of Event (Mountain Time)","value":"11:51:56"},{"id":151,"name":"Denver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74"/>
        <v>start /low /b %USERPROFILE%\Documents\GitHub\eaglep3\Utilities\DownloadLogsFromS3.py --loco 4025 --day 2017-02-23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50" spans="1:40" x14ac:dyDescent="0.25">
      <c r="A250" s="33" t="s">
        <v>427</v>
      </c>
      <c r="B250" s="7">
        <v>4026</v>
      </c>
      <c r="C250" s="21" t="s">
        <v>294</v>
      </c>
      <c r="D250" s="21" t="s">
        <v>789</v>
      </c>
      <c r="E250" s="13">
        <v>42789.499618055554</v>
      </c>
      <c r="F250" s="13">
        <v>42789.51054398148</v>
      </c>
      <c r="G250" s="7">
        <v>4</v>
      </c>
      <c r="H250" s="21" t="s">
        <v>790</v>
      </c>
      <c r="I250" s="13">
        <v>42789.512372685182</v>
      </c>
      <c r="J250" s="7">
        <v>0</v>
      </c>
      <c r="K250" s="98" t="str">
        <f t="shared" si="57"/>
        <v>4025/4026</v>
      </c>
      <c r="L250" s="21" t="str">
        <f>VLOOKUP(A250,'Trips&amp;Operators'!$C$1:$G$99999,5,FALSE)</f>
        <v>PELLITIER GEORGE</v>
      </c>
      <c r="M250" s="6">
        <f t="shared" si="58"/>
        <v>1.8287037019035779E-3</v>
      </c>
      <c r="N250" s="7">
        <f t="shared" si="59"/>
        <v>2.6333333307411522</v>
      </c>
      <c r="O250" s="7"/>
      <c r="P250" s="7"/>
      <c r="Q250" s="22"/>
      <c r="R250" s="22"/>
      <c r="S250" s="31">
        <f t="shared" si="60"/>
        <v>0</v>
      </c>
      <c r="T250" s="46" t="e">
        <f t="shared" si="61"/>
        <v>#VALUE!</v>
      </c>
      <c r="U250" s="18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6" t="str">
        <f t="shared" si="62"/>
        <v>https://d0f6bd738d7f1b3e5a7ca70fe4ff75f0.us-east-1.aws.found.io/app/kibana#/discover/Steve-Slow-Train-Analysis-(2080s-and-2083s)?_g=(refreshInterval:(display:Off,pause:!f,section:0,value:0),time:(from:'2017-02-23T10:59:27-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0" s="187" t="str">
        <f t="shared" si="63"/>
        <v>Y</v>
      </c>
      <c r="X250" s="187" t="e">
        <f t="shared" si="64"/>
        <v>#VALUE!</v>
      </c>
      <c r="Y250" s="62">
        <f t="shared" si="65"/>
        <v>2.2023999999999999</v>
      </c>
      <c r="Z250" s="62">
        <f t="shared" si="66"/>
        <v>1.8773</v>
      </c>
      <c r="AA250" s="62">
        <f t="shared" si="67"/>
        <v>0.32509999999999994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68"/>
        <v>80-23</v>
      </c>
      <c r="AE250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0" s="82" t="str">
        <f t="shared" si="70"/>
        <v>"C:\Program Files (x86)\AstroGrep\AstroGrep.exe" /spath="%USERPROFILE%\AppData\Local\Temp\OnboardLogs" /stypes="app*4026*20170223*" /stext=" 19:.+(\|loc)" /e /r /s</v>
      </c>
      <c r="AG250" s="1" t="str">
        <f t="shared" si="71"/>
        <v>Other</v>
      </c>
      <c r="AH250" s="86" t="str">
        <f t="shared" si="72"/>
        <v>"%USERPROFILE%\Documents\GitHub\eaglep3\Utilities\RefineRTDCRunTimes.py" --tripid 80-23 --locoid 4026 --swversion DE.1.0.9.0 --startMP 300:22024 --initTime 2017-02-23T11:59:27 --startdatetime 2017-02-23T12:15:11 --delay 4 --endMP 300:18773 --enddatetime 2017-02-23T12:17:49 --enforcementcount 0 &gt;&gt;C:\Users\stu\Documents\GitHub\eaglep3-reporting\EC\2017-02-23-refined-times.txt</v>
      </c>
      <c r="AI25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{"issue":{"subject":"","project_id":79,"tracker_id":40,"status_id":1,"priority_id":2,"assigned_to_id":23,"start_date":"2017-02-23","description":"","custom_fields":[{"id":1,"name":"Subdivision","value":"Other"},{"id":4,"name":"Milepost","value":"1.8773"},{"id":17,"name":"Train ID","value":"80-23"},{"id":16,"name":"Locomotive ID","value":"4026"},{"id":130,"name":"Impact","value":""},{"id":150,"name":"Time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74"/>
        <v>start /low /b %USERPROFILE%\Documents\GitHub\eaglep3\Utilities\DownloadLogsFromS3.py --loco 4026 --day 2017-02-23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1" spans="1:40" x14ac:dyDescent="0.25">
      <c r="A251" s="33" t="s">
        <v>427</v>
      </c>
      <c r="B251" s="7">
        <v>4026</v>
      </c>
      <c r="C251" s="21" t="s">
        <v>294</v>
      </c>
      <c r="D251" s="21" t="s">
        <v>791</v>
      </c>
      <c r="E251" s="13">
        <v>42789.471701388888</v>
      </c>
      <c r="F251" s="13">
        <v>42789.496481481481</v>
      </c>
      <c r="G251" s="7">
        <v>4</v>
      </c>
      <c r="H251" s="21" t="s">
        <v>792</v>
      </c>
      <c r="I251" s="13">
        <v>42789.511990740742</v>
      </c>
      <c r="J251" s="7">
        <v>0</v>
      </c>
      <c r="K251" s="98" t="str">
        <f t="shared" si="57"/>
        <v>4025/4026</v>
      </c>
      <c r="L251" s="21" t="str">
        <f>VLOOKUP(A251,'Trips&amp;Operators'!$C$1:$G$99999,5,FALSE)</f>
        <v>PELLITIER GEORGE</v>
      </c>
      <c r="M251" s="6">
        <f t="shared" si="58"/>
        <v>1.5509259261307307E-2</v>
      </c>
      <c r="N251" s="7">
        <f t="shared" si="59"/>
        <v>22.333333336282521</v>
      </c>
      <c r="O251" s="7"/>
      <c r="P251" s="7"/>
      <c r="Q251" s="22"/>
      <c r="R251" s="22"/>
      <c r="S251" s="31">
        <f t="shared" si="60"/>
        <v>0</v>
      </c>
      <c r="T251" s="46" t="e">
        <f t="shared" si="61"/>
        <v>#VALUE!</v>
      </c>
      <c r="U251" s="18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6" t="str">
        <f t="shared" si="62"/>
        <v>https://d0f6bd738d7f1b3e5a7ca70fe4ff75f0.us-east-1.aws.found.io/app/kibana#/discover/Steve-Slow-Train-Analysis-(2080s-and-2083s)?_g=(refreshInterval:(display:Off,pause:!f,section:0,value:0),time:(from:'2017-02-23T10:19:15-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1" s="187" t="str">
        <f t="shared" si="63"/>
        <v>Y</v>
      </c>
      <c r="X251" s="187" t="e">
        <f t="shared" si="64"/>
        <v>#VALUE!</v>
      </c>
      <c r="Y251" s="62">
        <f t="shared" si="65"/>
        <v>2.2063999999999999</v>
      </c>
      <c r="Z251" s="62">
        <f t="shared" si="66"/>
        <v>2.1574</v>
      </c>
      <c r="AA251" s="62">
        <f t="shared" si="67"/>
        <v>4.8999999999999932E-2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68"/>
        <v>80-23</v>
      </c>
      <c r="AE251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1" s="82" t="str">
        <f t="shared" si="70"/>
        <v>"C:\Program Files (x86)\AstroGrep\AstroGrep.exe" /spath="%USERPROFILE%\AppData\Local\Temp\OnboardLogs" /stypes="app*4026*20170223*" /stext=" 19:.+(\|loc)" /e /r /s</v>
      </c>
      <c r="AG251" s="1" t="str">
        <f t="shared" si="71"/>
        <v>Other</v>
      </c>
      <c r="AH251" s="86" t="str">
        <f t="shared" si="72"/>
        <v>"%USERPROFILE%\Documents\GitHub\eaglep3\Utilities\RefineRTDCRunTimes.py" --tripid 80-23 --locoid 4026 --swversion DE.1.0.9.0 --startMP 300:22064 --initTime 2017-02-23T11:19:15 --startdatetime 2017-02-23T11:54:56 --delay 4 --endMP 300:21574 --enddatetime 2017-02-23T12:17:16 --enforcementcount 0 &gt;&gt;C:\Users\stu\Documents\GitHub\eaglep3-reporting\EC\2017-02-23-refined-times.txt</v>
      </c>
      <c r="AI25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{"issue":{"subject":"","project_id":79,"tracker_id":40,"status_id":1,"priority_id":2,"assigned_to_id":23,"start_date":"2017-02-23","description":"","custom_fields":[{"id":1,"name":"Subdivision","value":"Other"},{"id":4,"name":"Milepost","value":"2.1574"},{"id":17,"name":"Train ID","value":"80-23"},{"id":16,"name":"Locomotive ID","value":"4026"},{"id":130,"name":"Impact","value":""},{"id":150,"name":"Time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74"/>
        <v>start /low /b %USERPROFILE%\Documents\GitHub\eaglep3\Utilities\DownloadLogsFromS3.py --loco 4026 --day 2017-02-23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2" spans="1:40" x14ac:dyDescent="0.25">
      <c r="A252" s="33" t="s">
        <v>427</v>
      </c>
      <c r="B252" s="7">
        <v>4026</v>
      </c>
      <c r="C252" s="21" t="s">
        <v>294</v>
      </c>
      <c r="D252" s="21" t="s">
        <v>793</v>
      </c>
      <c r="E252" s="13">
        <v>42789.481388888889</v>
      </c>
      <c r="F252" s="13">
        <v>42789.51054398148</v>
      </c>
      <c r="G252" s="7">
        <v>18</v>
      </c>
      <c r="H252" s="21" t="s">
        <v>794</v>
      </c>
      <c r="I252" s="13">
        <v>42789.512372685182</v>
      </c>
      <c r="J252" s="7">
        <v>0</v>
      </c>
      <c r="K252" s="98" t="str">
        <f t="shared" si="57"/>
        <v>4025/4026</v>
      </c>
      <c r="L252" s="21" t="str">
        <f>VLOOKUP(A252,'Trips&amp;Operators'!$C$1:$G$99999,5,FALSE)</f>
        <v>PELLITIER GEORGE</v>
      </c>
      <c r="M252" s="6">
        <f t="shared" si="58"/>
        <v>1.8287037019035779E-3</v>
      </c>
      <c r="N252" s="7">
        <f t="shared" si="59"/>
        <v>2.6333333307411522</v>
      </c>
      <c r="O252" s="7"/>
      <c r="P252" s="7"/>
      <c r="Q252" s="22"/>
      <c r="R252" s="22"/>
      <c r="S252" s="31">
        <f t="shared" si="60"/>
        <v>0</v>
      </c>
      <c r="T252" s="46" t="e">
        <f t="shared" si="61"/>
        <v>#VALUE!</v>
      </c>
      <c r="U252" s="18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6" t="str">
        <f t="shared" si="62"/>
        <v>https://d0f6bd738d7f1b3e5a7ca70fe4ff75f0.us-east-1.aws.found.io/app/kibana#/discover/Steve-Slow-Train-Analysis-(2080s-and-2083s)?_g=(refreshInterval:(display:Off,pause:!f,section:0,value:0),time:(from:'2017-02-23T10:33:12-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2" s="187" t="str">
        <f t="shared" si="63"/>
        <v>Y</v>
      </c>
      <c r="X252" s="187" t="e">
        <f t="shared" si="64"/>
        <v>#VALUE!</v>
      </c>
      <c r="Y252" s="62">
        <f t="shared" si="65"/>
        <v>2.2077</v>
      </c>
      <c r="Z252" s="62">
        <f t="shared" si="66"/>
        <v>2.1602000000000001</v>
      </c>
      <c r="AA252" s="62">
        <f t="shared" si="67"/>
        <v>4.7499999999999876E-2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68"/>
        <v>80-23</v>
      </c>
      <c r="AE252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2" s="82" t="str">
        <f t="shared" si="70"/>
        <v>"C:\Program Files (x86)\AstroGrep\AstroGrep.exe" /spath="%USERPROFILE%\AppData\Local\Temp\OnboardLogs" /stypes="app*4026*20170223*" /stext=" 19:.+(\|loc)" /e /r /s</v>
      </c>
      <c r="AG252" s="1" t="str">
        <f t="shared" si="71"/>
        <v>Other</v>
      </c>
      <c r="AH252" s="86" t="str">
        <f t="shared" si="72"/>
        <v>"%USERPROFILE%\Documents\GitHub\eaglep3\Utilities\RefineRTDCRunTimes.py" --tripid 80-23 --locoid 4026 --swversion DE.1.0.9.0 --startMP 300:22077 --initTime 2017-02-23T11:33:12 --startdatetime 2017-02-23T12:15:11 --delay 18 --endMP 300:21602 --enddatetime 2017-02-23T12:17:49 --enforcementcount 0 &gt;&gt;C:\Users\stu\Documents\GitHub\eaglep3-reporting\EC\2017-02-23-refined-times.txt</v>
      </c>
      <c r="AI252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{"issue":{"subject":"","project_id":79,"tracker_id":40,"status_id":1,"priority_id":2,"assigned_to_id":23,"start_date":"2017-02-23","description":"","custom_fields":[{"id":1,"name":"Subdivision","value":"Other"},{"id":4,"name":"Milepost","value":"2.1602"},{"id":17,"name":"Train ID","value":"80-23"},{"id":16,"name":"Locomotive ID","value":"4026"},{"id":130,"name":"Impact","value":""},{"id":150,"name":"Time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48"/>
      <c r="AK252" s="48"/>
      <c r="AL252" s="48"/>
      <c r="AM252" s="154" t="str">
        <f t="shared" si="74"/>
        <v>start /low /b %USERPROFILE%\Documents\GitHub\eaglep3\Utilities\DownloadLogsFromS3.py --loco 4026 --day 2017-02-23</v>
      </c>
      <c r="AN252" s="163" t="str">
        <f>"grep -SE -B400 ""CHR.+\|PRM\|1\|D.+(SWITCH|SIGNAL).+UNKNOWN"" "&amp;search_path&amp;"\RTDC"&amp;B252&amp;"\*"&amp;B252&amp;"*"&amp;TEXT(AVERAGE(F252,I252)-utc_offset/24,"YYYYMMDD")&amp;"*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3" spans="1:40" x14ac:dyDescent="0.25">
      <c r="A253" s="33" t="s">
        <v>427</v>
      </c>
      <c r="B253" s="7">
        <v>4026</v>
      </c>
      <c r="C253" s="21" t="s">
        <v>294</v>
      </c>
      <c r="D253" s="21" t="s">
        <v>795</v>
      </c>
      <c r="E253" s="13">
        <v>42789.462858796294</v>
      </c>
      <c r="F253" s="13">
        <v>42789.494131944448</v>
      </c>
      <c r="G253" s="7">
        <v>3</v>
      </c>
      <c r="H253" s="21" t="s">
        <v>796</v>
      </c>
      <c r="I253" s="13">
        <v>42789.494398148148</v>
      </c>
      <c r="J253" s="7">
        <v>0</v>
      </c>
      <c r="K253" s="98" t="str">
        <f t="shared" si="57"/>
        <v>4025/4026</v>
      </c>
      <c r="L253" s="21" t="str">
        <f>VLOOKUP(A253,'Trips&amp;Operators'!$C$1:$G$99999,5,FALSE)</f>
        <v>PELLITIER GEORGE</v>
      </c>
      <c r="M253" s="6">
        <f t="shared" si="58"/>
        <v>2.6620370044838637E-4</v>
      </c>
      <c r="N253" s="7">
        <f t="shared" si="59"/>
        <v>0.38333332864567637</v>
      </c>
      <c r="O253" s="7"/>
      <c r="P253" s="7"/>
      <c r="Q253" s="22"/>
      <c r="R253" s="22"/>
      <c r="S253" s="31">
        <f t="shared" si="60"/>
        <v>0</v>
      </c>
      <c r="T253" s="46" t="e">
        <f t="shared" si="61"/>
        <v>#VALUE!</v>
      </c>
      <c r="U253" s="18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6" t="str">
        <f t="shared" si="62"/>
        <v>https://d0f6bd738d7f1b3e5a7ca70fe4ff75f0.us-east-1.aws.found.io/app/kibana#/discover/Steve-Slow-Train-Analysis-(2080s-and-2083s)?_g=(refreshInterval:(display:Off,pause:!f,section:0,value:0),time:(from:'2017-02-23T10:06:31-0700',mode:absolute,to:'2017-02-23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3" s="187" t="str">
        <f t="shared" si="63"/>
        <v>Y</v>
      </c>
      <c r="X253" s="187" t="e">
        <f t="shared" si="64"/>
        <v>#VALUE!</v>
      </c>
      <c r="Y253" s="62">
        <f t="shared" si="65"/>
        <v>2.3188</v>
      </c>
      <c r="Z253" s="62">
        <f t="shared" si="66"/>
        <v>2.1676000000000002</v>
      </c>
      <c r="AA253" s="62">
        <f t="shared" si="67"/>
        <v>0.15119999999999978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 t="shared" si="68"/>
        <v>80-23</v>
      </c>
      <c r="AE253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3" s="82" t="str">
        <f t="shared" si="70"/>
        <v>"C:\Program Files (x86)\AstroGrep\AstroGrep.exe" /spath="%USERPROFILE%\AppData\Local\Temp\OnboardLogs" /stypes="app*4026*20170223*" /stext=" 18:.+(\|loc)" /e /r /s</v>
      </c>
      <c r="AG253" s="1" t="str">
        <f t="shared" si="71"/>
        <v>Other</v>
      </c>
      <c r="AH253" s="86" t="str">
        <f t="shared" si="72"/>
        <v>"%USERPROFILE%\Documents\GitHub\eaglep3\Utilities\RefineRTDCRunTimes.py" --tripid 80-23 --locoid 4026 --swversion DE.1.0.9.0 --startMP 300:23188 --initTime 2017-02-23T11:06:31 --startdatetime 2017-02-23T11:51:33 --delay 3 --endMP 300:21676 --enddatetime 2017-02-23T11:51:56 --enforcementcount 0 &gt;&gt;C:\Users\stu\Documents\GitHub\eaglep3-reporting\EC\2017-02-23-refined-times.txt</v>
      </c>
      <c r="AI253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{"issue":{"subject":"","project_id":79,"tracker_id":40,"status_id":1,"priority_id":2,"assigned_to_id":23,"start_date":"2017-02-23","description":"","custom_fields":[{"id":1,"name":"Subdivision","value":"Other"},{"id":4,"name":"Milepost","value":"2.1676"},{"id":17,"name":"Train ID","value":"80-23"},{"id":16,"name":"Locomotive ID","value":"4026"},{"id":130,"name":"Impact","value":""},{"id":150,"name":"Time of Event (Mountain Time)","value":"11:51:56"},{"id":151,"name":"Denver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48"/>
      <c r="AK253" s="48"/>
      <c r="AL253" s="48"/>
      <c r="AM253" s="154" t="str">
        <f t="shared" si="74"/>
        <v>start /low /b %USERPROFILE%\Documents\GitHub\eaglep3\Utilities\DownloadLogsFromS3.py --loco 4026 --day 2017-02-23</v>
      </c>
      <c r="AN253" s="163" t="str">
        <f>"grep -SE -B400 ""CHR.+\|PRM\|1\|D.+(SWITCH|SIGNAL).+UNKNOWN"" "&amp;search_path&amp;"\RTDC"&amp;B253&amp;"\*"&amp;B253&amp;"*"&amp;TEXT(AVERAGE(F253,I253)-utc_offset/24,"YYYYMMDD")&amp;"*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4" spans="1:40" x14ac:dyDescent="0.25">
      <c r="A254" s="33" t="s">
        <v>427</v>
      </c>
      <c r="B254" s="7">
        <v>4026</v>
      </c>
      <c r="C254" s="21" t="s">
        <v>294</v>
      </c>
      <c r="D254" s="21" t="s">
        <v>797</v>
      </c>
      <c r="E254" s="13">
        <v>42789.44253472222</v>
      </c>
      <c r="F254" s="13">
        <v>42789.474733796298</v>
      </c>
      <c r="G254" s="7">
        <v>15</v>
      </c>
      <c r="H254" s="21" t="s">
        <v>798</v>
      </c>
      <c r="I254" s="13">
        <v>42789.474988425929</v>
      </c>
      <c r="J254" s="7">
        <v>0</v>
      </c>
      <c r="K254" s="98" t="str">
        <f t="shared" si="57"/>
        <v>4025/4026</v>
      </c>
      <c r="L254" s="21" t="str">
        <f>VLOOKUP(A254,'Trips&amp;Operators'!$C$1:$G$99999,5,FALSE)</f>
        <v>PELLITIER GEORGE</v>
      </c>
      <c r="M254" s="6">
        <f t="shared" si="58"/>
        <v>2.546296309446916E-4</v>
      </c>
      <c r="N254" s="7">
        <f t="shared" si="59"/>
        <v>0.3666666685603559</v>
      </c>
      <c r="O254" s="7"/>
      <c r="P254" s="7"/>
      <c r="Q254" s="22"/>
      <c r="R254" s="22"/>
      <c r="S254" s="31">
        <f t="shared" si="60"/>
        <v>0</v>
      </c>
      <c r="T254" s="46" t="e">
        <f t="shared" si="61"/>
        <v>#VALUE!</v>
      </c>
      <c r="U254" s="18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6" t="str">
        <f t="shared" si="62"/>
        <v>https://d0f6bd738d7f1b3e5a7ca70fe4ff75f0.us-east-1.aws.found.io/app/kibana#/discover/Steve-Slow-Train-Analysis-(2080s-and-2083s)?_g=(refreshInterval:(display:Off,pause:!f,section:0,value:0),time:(from:'2017-02-23T09:37:15-0700',mode:absolute,to:'2017-02-23T12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4" s="187" t="str">
        <f t="shared" si="63"/>
        <v>Y</v>
      </c>
      <c r="X254" s="187" t="e">
        <f t="shared" si="64"/>
        <v>#VALUE!</v>
      </c>
      <c r="Y254" s="62">
        <f t="shared" si="65"/>
        <v>2.3298000000000001</v>
      </c>
      <c r="Z254" s="62">
        <f t="shared" si="66"/>
        <v>2.1617000000000002</v>
      </c>
      <c r="AA254" s="62">
        <f t="shared" si="67"/>
        <v>0.16809999999999992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 t="shared" si="68"/>
        <v>80-23</v>
      </c>
      <c r="AE254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4" s="82" t="str">
        <f t="shared" si="70"/>
        <v>"C:\Program Files (x86)\AstroGrep\AstroGrep.exe" /spath="%USERPROFILE%\AppData\Local\Temp\OnboardLogs" /stypes="app*4026*20170223*" /stext=" 18:.+(\|loc)" /e /r /s</v>
      </c>
      <c r="AG254" s="1" t="str">
        <f t="shared" si="71"/>
        <v>Other</v>
      </c>
      <c r="AH254" s="86" t="str">
        <f t="shared" si="72"/>
        <v>"%USERPROFILE%\Documents\GitHub\eaglep3\Utilities\RefineRTDCRunTimes.py" --tripid 80-23 --locoid 4026 --swversion DE.1.0.9.0 --startMP 300:23298 --initTime 2017-02-23T10:37:15 --startdatetime 2017-02-23T11:23:37 --delay 15 --endMP 300:21617 --enddatetime 2017-02-23T11:23:59 --enforcementcount 0 &gt;&gt;C:\Users\stu\Documents\GitHub\eaglep3-reporting\EC\2017-02-23-refined-times.txt</v>
      </c>
      <c r="AI254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{"issue":{"subject":"","project_id":79,"tracker_id":40,"status_id":1,"priority_id":2,"assigned_to_id":23,"start_date":"2017-02-23","description":"","custom_fields":[{"id":1,"name":"Subdivision","value":"Other"},{"id":4,"name":"Milepost","value":"2.1617"},{"id":17,"name":"Train ID","value":"80-23"},{"id":16,"name":"Locomotive ID","value":"4026"},{"id":130,"name":"Impact","value":""},{"id":150,"name":"Time of Event (Mountain Time)","value":"11:23:59"},{"id":151,"name":"Denver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48"/>
      <c r="AK254" s="48"/>
      <c r="AL254" s="48"/>
      <c r="AM254" s="154" t="str">
        <f t="shared" si="74"/>
        <v>start /low /b %USERPROFILE%\Documents\GitHub\eaglep3\Utilities\DownloadLogsFromS3.py --loco 4026 --day 2017-02-23</v>
      </c>
      <c r="AN254" s="163" t="str">
        <f>"grep -SE -B400 ""CHR.+\|PRM\|1\|D.+(SWITCH|SIGNAL).+UNKNOWN"" "&amp;search_path&amp;"\RTDC"&amp;B254&amp;"\*"&amp;B254&amp;"*"&amp;TEXT(AVERAGE(F254,I254)-utc_offset/24,"YYYYMMDD")&amp;"*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5" spans="1:40" x14ac:dyDescent="0.25">
      <c r="A255" s="33" t="s">
        <v>427</v>
      </c>
      <c r="B255" s="7">
        <v>4026</v>
      </c>
      <c r="C255" s="21" t="s">
        <v>294</v>
      </c>
      <c r="D255" s="21" t="s">
        <v>799</v>
      </c>
      <c r="E255" s="13">
        <v>42789.417581018519</v>
      </c>
      <c r="F255" s="13">
        <v>42789.453402777777</v>
      </c>
      <c r="G255" s="7">
        <v>6</v>
      </c>
      <c r="H255" s="21" t="s">
        <v>800</v>
      </c>
      <c r="I255" s="13">
        <v>42789.454050925924</v>
      </c>
      <c r="J255" s="7">
        <v>0</v>
      </c>
      <c r="K255" s="98" t="str">
        <f t="shared" si="57"/>
        <v>4025/4026</v>
      </c>
      <c r="L255" s="21" t="str">
        <f>VLOOKUP(A255,'Trips&amp;Operators'!$C$1:$G$99999,5,FALSE)</f>
        <v>PELLITIER GEORGE</v>
      </c>
      <c r="M255" s="6">
        <f t="shared" si="58"/>
        <v>6.4814814686542377E-4</v>
      </c>
      <c r="N255" s="7">
        <f t="shared" si="59"/>
        <v>0.93333333148621023</v>
      </c>
      <c r="O255" s="7"/>
      <c r="P255" s="7"/>
      <c r="Q255" s="22"/>
      <c r="R255" s="22"/>
      <c r="S255" s="31">
        <f t="shared" si="60"/>
        <v>0</v>
      </c>
      <c r="T255" s="46" t="e">
        <f t="shared" si="61"/>
        <v>#VALUE!</v>
      </c>
      <c r="U255" s="18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6" t="str">
        <f t="shared" si="62"/>
        <v>https://d0f6bd738d7f1b3e5a7ca70fe4ff75f0.us-east-1.aws.found.io/app/kibana#/discover/Steve-Slow-Train-Analysis-(2080s-and-2083s)?_g=(refreshInterval:(display:Off,pause:!f,section:0,value:0),time:(from:'2017-02-23T09:01:19-0700',mode:absolute,to:'2017-02-23T11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5" s="187" t="str">
        <f t="shared" si="63"/>
        <v>Y</v>
      </c>
      <c r="X255" s="187" t="e">
        <f t="shared" si="64"/>
        <v>#VALUE!</v>
      </c>
      <c r="Y255" s="62">
        <f t="shared" si="65"/>
        <v>2.3311000000000002</v>
      </c>
      <c r="Z255" s="62">
        <f t="shared" si="66"/>
        <v>1.4161999999999999</v>
      </c>
      <c r="AA255" s="62">
        <f t="shared" si="67"/>
        <v>0.91490000000000027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 t="shared" si="68"/>
        <v>80-23</v>
      </c>
      <c r="AE255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5" s="82" t="str">
        <f t="shared" si="70"/>
        <v>"C:\Program Files (x86)\AstroGrep\AstroGrep.exe" /spath="%USERPROFILE%\AppData\Local\Temp\OnboardLogs" /stypes="app*4026*20170223*" /stext=" 17:.+(\|loc)" /e /r /s</v>
      </c>
      <c r="AG255" s="1" t="str">
        <f t="shared" si="71"/>
        <v>Other</v>
      </c>
      <c r="AH255" s="86" t="str">
        <f t="shared" si="72"/>
        <v>"%USERPROFILE%\Documents\GitHub\eaglep3\Utilities\RefineRTDCRunTimes.py" --tripid 80-23 --locoid 4026 --swversion DE.1.0.9.0 --startMP 300:23311 --initTime 2017-02-23T10:01:19 --startdatetime 2017-02-23T10:52:54 --delay 6 --endMP 300:14162 --enddatetime 2017-02-23T10:53:50 --enforcementcount 0 &gt;&gt;C:\Users\stu\Documents\GitHub\eaglep3-reporting\EC\2017-02-23-refined-times.txt</v>
      </c>
      <c r="AI255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{"issue":{"subject":"","project_id":79,"tracker_id":40,"status_id":1,"priority_id":2,"assigned_to_id":23,"start_date":"2017-02-23","description":"","custom_fields":[{"id":1,"name":"Subdivision","value":"Other"},{"id":4,"name":"Milepost","value":"1.4162"},{"id":17,"name":"Train ID","value":"80-23"},{"id":16,"name":"Locomotive ID","value":"4026"},{"id":130,"name":"Impact","value":""},{"id":150,"name":"Time of Event (Mountain Time)","value":"10:53:50"},{"id":151,"name":"Denver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48"/>
      <c r="AK255" s="48"/>
      <c r="AL255" s="48"/>
      <c r="AM255" s="154" t="str">
        <f t="shared" si="74"/>
        <v>start /low /b %USERPROFILE%\Documents\GitHub\eaglep3\Utilities\DownloadLogsFromS3.py --loco 4026 --day 2017-02-23</v>
      </c>
      <c r="AN255" s="163" t="str">
        <f>"grep -SE -B400 ""CHR.+\|PRM\|1\|D.+(SWITCH|SIGNAL).+UNKNOWN"" "&amp;search_path&amp;"\RTDC"&amp;B255&amp;"\*"&amp;B255&amp;"*"&amp;TEXT(AVERAGE(F255,I255)-utc_offset/24,"YYYYMMDD")&amp;"*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6" spans="1:40" x14ac:dyDescent="0.25">
      <c r="A256" s="33" t="s">
        <v>620</v>
      </c>
      <c r="B256" s="7">
        <v>4049</v>
      </c>
      <c r="C256" s="21" t="s">
        <v>294</v>
      </c>
      <c r="D256" s="21" t="s">
        <v>819</v>
      </c>
      <c r="E256" s="13">
        <v>42789.957013888888</v>
      </c>
      <c r="F256" s="13">
        <v>42789.972395833334</v>
      </c>
      <c r="G256" s="7">
        <v>1</v>
      </c>
      <c r="H256" s="21" t="s">
        <v>820</v>
      </c>
      <c r="I256" s="13">
        <v>42789.976747685185</v>
      </c>
      <c r="J256" s="7">
        <v>0</v>
      </c>
      <c r="K256" s="98" t="str">
        <f t="shared" si="57"/>
        <v>4049/4050</v>
      </c>
      <c r="L256" s="21" t="str">
        <f>VLOOKUP(A256,'Trips&amp;Operators'!$C$1:$G$99999,5,FALSE)</f>
        <v>YANG JAN</v>
      </c>
      <c r="M256" s="6">
        <f t="shared" si="58"/>
        <v>4.3518518505152315E-3</v>
      </c>
      <c r="N256" s="7">
        <f t="shared" si="59"/>
        <v>6.2666666647419333</v>
      </c>
      <c r="O256" s="7"/>
      <c r="P256" s="7"/>
      <c r="Q256" s="22"/>
      <c r="R256" s="22"/>
      <c r="S256" s="31">
        <f t="shared" si="60"/>
        <v>0</v>
      </c>
      <c r="T256" s="46" t="e">
        <f t="shared" si="61"/>
        <v>#VALUE!</v>
      </c>
      <c r="U256" s="18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6" t="str">
        <f t="shared" si="62"/>
        <v>https://d0f6bd738d7f1b3e5a7ca70fe4ff75f0.us-east-1.aws.found.io/app/kibana#/discover/Steve-Slow-Train-Analysis-(2080s-and-2083s)?_g=(refreshInterval:(display:Off,pause:!f,section:0,value:0),time:(from:'2017-02-23T21:58:06-0700',mode:absolute,to:'2017-02-24T00:26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6" s="187" t="str">
        <f t="shared" si="63"/>
        <v>Y</v>
      </c>
      <c r="X256" s="187" t="e">
        <f t="shared" si="64"/>
        <v>#VALUE!</v>
      </c>
      <c r="Y256" s="62">
        <f t="shared" si="65"/>
        <v>0.11</v>
      </c>
      <c r="Z256" s="62">
        <f t="shared" si="66"/>
        <v>3.1187</v>
      </c>
      <c r="AA256" s="62">
        <f t="shared" si="67"/>
        <v>3.0087000000000002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 t="shared" si="68"/>
        <v>81-23</v>
      </c>
      <c r="AE256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56" s="82" t="str">
        <f t="shared" si="70"/>
        <v>"C:\Program Files (x86)\AstroGrep\AstroGrep.exe" /spath="%USERPROFILE%\AppData\Local\Temp\OnboardLogs" /stypes="app*4049*20170224*" /stext=" 06:.+(\|loc)" /e /r /s</v>
      </c>
      <c r="AG256" s="1" t="str">
        <f t="shared" si="71"/>
        <v>Other</v>
      </c>
      <c r="AH256" s="86" t="str">
        <f t="shared" si="72"/>
        <v>"%USERPROFILE%\Documents\GitHub\eaglep3\Utilities\RefineRTDCRunTimes.py" --tripid 81-23 --locoid 4049 --swversion DE.1.0.9.0 --startMP 204:1100 --initTime 2017-02-23T22:58:06 --startdatetime 2017-02-23T23:20:15 --delay 1 --endMP 300:31187 --enddatetime 2017-02-23T23:26:31 --enforcementcount 0 &gt;&gt;C:\Users\stu\Documents\GitHub\eaglep3-reporting\EC\2017-02-23-refined-times.txt</v>
      </c>
      <c r="AI25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{"issue":{"subject":"","project_id":79,"tracker_id":40,"status_id":1,"priority_id":2,"assigned_to_id":23,"start_date":"2017-02-23","description":"","custom_fields":[{"id":1,"name":"Subdivision","value":"Other"},{"id":4,"name":"Milepost","value":"3.1187"},{"id":17,"name":"Train ID","value":"81-23"},{"id":16,"name":"Locomotive ID","value":"4049"},{"id":130,"name":"Impact","value":""},{"id":150,"name":"Time of Event (Mountain Time)","value":"23:26:31"},{"id":151,"name":"Denver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48"/>
      <c r="AK256" s="48"/>
      <c r="AL256" s="48"/>
      <c r="AM256" s="154" t="str">
        <f t="shared" si="74"/>
        <v>start /low /b %USERPROFILE%\Documents\GitHub\eaglep3\Utilities\DownloadLogsFromS3.py --loco 4049 --day 2017-02-23</v>
      </c>
      <c r="AN256" s="163" t="str">
        <f>"grep -SE -B400 ""CHR.+\|PRM\|1\|D.+(SWITCH|SIGNAL).+UNKNOWN"" "&amp;search_path&amp;"\RTDC"&amp;B256&amp;"\*"&amp;B256&amp;"*"&amp;TEXT(AVERAGE(F256,I256)-utc_offset/24,"YYYYMMDD")&amp;"*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57" spans="1:40" x14ac:dyDescent="0.25">
      <c r="A257" s="33" t="s">
        <v>620</v>
      </c>
      <c r="B257" s="7">
        <v>4049</v>
      </c>
      <c r="C257" s="21" t="s">
        <v>294</v>
      </c>
      <c r="D257" s="21" t="s">
        <v>821</v>
      </c>
      <c r="E257" s="13">
        <v>42789.850127314814</v>
      </c>
      <c r="F257" s="13">
        <v>42789.872928240744</v>
      </c>
      <c r="G257" s="7">
        <v>1</v>
      </c>
      <c r="H257" s="21" t="s">
        <v>822</v>
      </c>
      <c r="I257" s="13">
        <v>42789.877222222225</v>
      </c>
      <c r="J257" s="7">
        <v>0</v>
      </c>
      <c r="K257" s="98" t="str">
        <f t="shared" si="57"/>
        <v>4049/4050</v>
      </c>
      <c r="L257" s="21" t="str">
        <f>VLOOKUP(A257,'Trips&amp;Operators'!$C$1:$G$99999,5,FALSE)</f>
        <v>YANG JAN</v>
      </c>
      <c r="M257" s="6">
        <f t="shared" si="58"/>
        <v>4.2939814811688848E-3</v>
      </c>
      <c r="N257" s="7">
        <f t="shared" si="59"/>
        <v>6.1833333328831941</v>
      </c>
      <c r="O257" s="7"/>
      <c r="P257" s="7"/>
      <c r="Q257" s="22"/>
      <c r="R257" s="22"/>
      <c r="S257" s="31">
        <f t="shared" si="60"/>
        <v>0</v>
      </c>
      <c r="T257" s="46" t="e">
        <f t="shared" si="61"/>
        <v>#VALUE!</v>
      </c>
      <c r="U257" s="18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86" t="str">
        <f t="shared" si="62"/>
        <v>https://d0f6bd738d7f1b3e5a7ca70fe4ff75f0.us-east-1.aws.found.io/app/kibana#/discover/Steve-Slow-Train-Analysis-(2080s-and-2083s)?_g=(refreshInterval:(display:Off,pause:!f,section:0,value:0),time:(from:'2017-02-23T19:24:11-0700',mode:absolute,to:'2017-02-23T22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7" s="187" t="str">
        <f t="shared" si="63"/>
        <v>Y</v>
      </c>
      <c r="X257" s="187" t="e">
        <f t="shared" si="64"/>
        <v>#VALUE!</v>
      </c>
      <c r="Y257" s="62">
        <f t="shared" si="65"/>
        <v>0.1472</v>
      </c>
      <c r="Z257" s="62">
        <f t="shared" si="66"/>
        <v>3.1371000000000002</v>
      </c>
      <c r="AA257" s="62">
        <f t="shared" si="67"/>
        <v>2.9899000000000004</v>
      </c>
      <c r="AB257" s="59" t="e">
        <f>VLOOKUP(A257,Enforcements!$C$7:$K$13,8,0)</f>
        <v>#N/A</v>
      </c>
      <c r="AC257" s="55" t="e">
        <f>VLOOKUP(A257,Enforcements!$C$7:$E$13,3,0)</f>
        <v>#N/A</v>
      </c>
      <c r="AD257" s="56" t="str">
        <f t="shared" si="68"/>
        <v>81-23</v>
      </c>
      <c r="AE257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57" s="82" t="str">
        <f t="shared" si="70"/>
        <v>"C:\Program Files (x86)\AstroGrep\AstroGrep.exe" /spath="%USERPROFILE%\AppData\Local\Temp\OnboardLogs" /stypes="app*4049*20170224*" /stext=" 04:.+(\|loc)" /e /r /s</v>
      </c>
      <c r="AG257" s="1" t="str">
        <f t="shared" si="71"/>
        <v>Other</v>
      </c>
      <c r="AH257" s="86" t="str">
        <f t="shared" si="72"/>
        <v>"%USERPROFILE%\Documents\GitHub\eaglep3\Utilities\RefineRTDCRunTimes.py" --tripid 81-23 --locoid 4049 --swversion DE.1.0.9.0 --startMP 204:1472 --initTime 2017-02-23T20:24:11 --startdatetime 2017-02-23T20:57:01 --delay 1 --endMP 300:31371 --enddatetime 2017-02-23T21:03:12 --enforcementcount 0 &gt;&gt;C:\Users\stu\Documents\GitHub\eaglep3-reporting\EC\2017-02-23-refined-times.txt</v>
      </c>
      <c r="AI25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{"issue":{"subject":"","project_id":79,"tracker_id":40,"status_id":1,"priority_id":2,"assigned_to_id":23,"start_date":"2017-02-23","description":"","custom_fields":[{"id":1,"name":"Subdivision","value":"Other"},{"id":4,"name":"Milepost","value":"3.1371"},{"id":17,"name":"Train ID","value":"81-23"},{"id":16,"name":"Locomotive ID","value":"4049"},{"id":130,"name":"Impact","value":""},{"id":150,"name":"Time of Event (Mountain Time)","value":"21:03:12"},{"id":151,"name":"Denver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48"/>
      <c r="AK257" s="48"/>
      <c r="AL257" s="48"/>
      <c r="AM257" s="154" t="str">
        <f t="shared" si="74"/>
        <v>start /low /b %USERPROFILE%\Documents\GitHub\eaglep3\Utilities\DownloadLogsFromS3.py --loco 4049 --day 2017-02-23</v>
      </c>
      <c r="AN257" s="163" t="str">
        <f>"grep -SE -B400 ""CHR.+\|PRM\|1\|D.+(SWITCH|SIGNAL).+UNKNOWN"" "&amp;search_path&amp;"\RTDC"&amp;B257&amp;"\*"&amp;B257&amp;"*"&amp;TEXT(AVERAGE(F257,I257)-utc_offset/24,"YYYYMMDD")&amp;"*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58" spans="1:40" x14ac:dyDescent="0.25">
      <c r="A258" s="33" t="s">
        <v>620</v>
      </c>
      <c r="B258" s="7">
        <v>4049</v>
      </c>
      <c r="C258" s="21" t="s">
        <v>294</v>
      </c>
      <c r="D258" s="21" t="s">
        <v>277</v>
      </c>
      <c r="E258" s="13">
        <v>42790.054432870369</v>
      </c>
      <c r="F258" s="13">
        <v>42790.07199074074</v>
      </c>
      <c r="G258" s="7">
        <v>1</v>
      </c>
      <c r="H258" s="21" t="s">
        <v>823</v>
      </c>
      <c r="I258" s="13">
        <v>42790.076307870368</v>
      </c>
      <c r="J258" s="7">
        <v>0</v>
      </c>
      <c r="K258" s="98" t="str">
        <f t="shared" si="57"/>
        <v>4049/4050</v>
      </c>
      <c r="L258" s="21" t="str">
        <f>VLOOKUP(A258,'Trips&amp;Operators'!$C$1:$G$99999,5,FALSE)</f>
        <v>YANG JAN</v>
      </c>
      <c r="M258" s="6">
        <f t="shared" si="58"/>
        <v>4.3171296274522319E-3</v>
      </c>
      <c r="N258" s="7">
        <f t="shared" si="59"/>
        <v>6.216666663531214</v>
      </c>
      <c r="O258" s="7"/>
      <c r="P258" s="7"/>
      <c r="Q258" s="22"/>
      <c r="R258" s="22"/>
      <c r="S258" s="31">
        <f t="shared" si="60"/>
        <v>0</v>
      </c>
      <c r="T258" s="46" t="e">
        <f t="shared" si="61"/>
        <v>#VALUE!</v>
      </c>
      <c r="U258" s="18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86" t="str">
        <f t="shared" si="62"/>
        <v>https://d0f6bd738d7f1b3e5a7ca70fe4ff75f0.us-east-1.aws.found.io/app/kibana#/discover/Steve-Slow-Train-Analysis-(2080s-and-2083s)?_g=(refreshInterval:(display:Off,pause:!f,section:0,value:0),time:(from:'2017-02-24T00:18:23-0700',mode:absolute,to:'2017-02-24T02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8" s="187" t="str">
        <f t="shared" si="63"/>
        <v>Y</v>
      </c>
      <c r="X258" s="187" t="e">
        <f t="shared" si="64"/>
        <v>#VALUE!</v>
      </c>
      <c r="Y258" s="62">
        <f t="shared" si="65"/>
        <v>4.7100000000000003E-2</v>
      </c>
      <c r="Z258" s="62">
        <f t="shared" si="66"/>
        <v>3.1038000000000001</v>
      </c>
      <c r="AA258" s="62">
        <f t="shared" si="67"/>
        <v>3.0567000000000002</v>
      </c>
      <c r="AB258" s="59" t="e">
        <f>VLOOKUP(A258,Enforcements!$C$7:$K$13,8,0)</f>
        <v>#N/A</v>
      </c>
      <c r="AC258" s="55" t="e">
        <f>VLOOKUP(A258,Enforcements!$C$7:$E$13,3,0)</f>
        <v>#N/A</v>
      </c>
      <c r="AD258" s="56" t="str">
        <f t="shared" si="68"/>
        <v>81-23</v>
      </c>
      <c r="AE258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8" s="82" t="str">
        <f t="shared" si="70"/>
        <v>"C:\Program Files (x86)\AstroGrep\AstroGrep.exe" /spath="%USERPROFILE%\AppData\Local\Temp\OnboardLogs" /stypes="app*4049*20170224*" /stext=" 08:.+(\|loc)" /e /r /s</v>
      </c>
      <c r="AG258" s="1" t="str">
        <f t="shared" si="71"/>
        <v>Other</v>
      </c>
      <c r="AH258" s="86" t="str">
        <f t="shared" si="72"/>
        <v>"%USERPROFILE%\Documents\GitHub\eaglep3\Utilities\RefineRTDCRunTimes.py" --tripid 81-23 --locoid 4049 --swversion DE.1.0.9.0 --startMP 204:471 --initTime 2017-02-24T01:18:23 --startdatetime 2017-02-24T01:43:40 --delay 1 --endMP 300:31038 --enddatetime 2017-02-24T01:49:53 --enforcementcount 0 &gt;&gt;C:\Users\stu\Documents\GitHub\eaglep3-reporting\EC\2017-02-23-refined-times.txt</v>
      </c>
      <c r="AI258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{"issue":{"subject":"","project_id":79,"tracker_id":40,"status_id":1,"priority_id":2,"assigned_to_id":23,"start_date":"2017-02-24","description":"","custom_fields":[{"id":1,"name":"Subdivision","value":"Other"},{"id":4,"name":"Milepost","value":"3.1038"},{"id":17,"name":"Train ID","value":"81-23"},{"id":16,"name":"Locomotive ID","value":"4049"},{"id":130,"name":"Impact","value":""},{"id":150,"name":"Time of Event (Mountain Time)","value":"01:49:53"},{"id":151,"name":"Denver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48"/>
      <c r="AK258" s="48"/>
      <c r="AL258" s="48"/>
      <c r="AM258" s="154" t="str">
        <f t="shared" si="74"/>
        <v>start /low /b %USERPROFILE%\Documents\GitHub\eaglep3\Utilities\DownloadLogsFromS3.py --loco 4049 --day 2017-02-24</v>
      </c>
      <c r="AN258" s="163" t="str">
        <f>"grep -SE -B400 ""CHR.+\|PRM\|1\|D.+(SWITCH|SIGNAL).+UNKNOWN"" "&amp;search_path&amp;"\RTDC"&amp;B258&amp;"\*"&amp;B258&amp;"*"&amp;TEXT(AVERAGE(F258,I258)-utc_offset/24,"YYYYMMDD")&amp;"*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59" spans="1:40" x14ac:dyDescent="0.25">
      <c r="A259" s="33" t="s">
        <v>620</v>
      </c>
      <c r="B259" s="7">
        <v>4049</v>
      </c>
      <c r="C259" s="21" t="s">
        <v>294</v>
      </c>
      <c r="D259" s="21" t="s">
        <v>824</v>
      </c>
      <c r="E259" s="13">
        <v>42790.037418981483</v>
      </c>
      <c r="F259" s="13">
        <v>42790.058611111112</v>
      </c>
      <c r="G259" s="7">
        <v>1</v>
      </c>
      <c r="H259" s="21" t="s">
        <v>825</v>
      </c>
      <c r="I259" s="13">
        <v>42790.063067129631</v>
      </c>
      <c r="J259" s="7">
        <v>0</v>
      </c>
      <c r="K259" s="98" t="str">
        <f t="shared" si="57"/>
        <v>4049/4050</v>
      </c>
      <c r="L259" s="21" t="str">
        <f>VLOOKUP(A259,'Trips&amp;Operators'!$C$1:$G$99999,5,FALSE)</f>
        <v>YANG JAN</v>
      </c>
      <c r="M259" s="6">
        <f t="shared" si="58"/>
        <v>4.4560185197042301E-3</v>
      </c>
      <c r="N259" s="7">
        <f t="shared" si="59"/>
        <v>6.4166666683740914</v>
      </c>
      <c r="O259" s="7"/>
      <c r="P259" s="7"/>
      <c r="Q259" s="22"/>
      <c r="R259" s="22"/>
      <c r="S259" s="31">
        <f t="shared" si="60"/>
        <v>0</v>
      </c>
      <c r="T259" s="46" t="e">
        <f t="shared" si="61"/>
        <v>#VALUE!</v>
      </c>
      <c r="U259" s="18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86" t="str">
        <f t="shared" si="62"/>
        <v>https://d0f6bd738d7f1b3e5a7ca70fe4ff75f0.us-east-1.aws.found.io/app/kibana#/discover/Steve-Slow-Train-Analysis-(2080s-and-2083s)?_g=(refreshInterval:(display:Off,pause:!f,section:0,value:0),time:(from:'2017-02-23T23:53:53-0700',mode:absolute,to:'2017-02-24T02:30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9" s="187" t="str">
        <f t="shared" si="63"/>
        <v>Y</v>
      </c>
      <c r="X259" s="187" t="e">
        <f t="shared" si="64"/>
        <v>#VALUE!</v>
      </c>
      <c r="Y259" s="62">
        <f t="shared" si="65"/>
        <v>5.11E-2</v>
      </c>
      <c r="Z259" s="62">
        <f t="shared" si="66"/>
        <v>3.1040999999999999</v>
      </c>
      <c r="AA259" s="62">
        <f t="shared" si="67"/>
        <v>3.0529999999999999</v>
      </c>
      <c r="AB259" s="59" t="e">
        <f>VLOOKUP(A259,Enforcements!$C$7:$K$13,8,0)</f>
        <v>#N/A</v>
      </c>
      <c r="AC259" s="55" t="e">
        <f>VLOOKUP(A259,Enforcements!$C$7:$E$13,3,0)</f>
        <v>#N/A</v>
      </c>
      <c r="AD259" s="56" t="str">
        <f t="shared" si="68"/>
        <v>81-23</v>
      </c>
      <c r="AE259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9" s="82" t="str">
        <f t="shared" si="70"/>
        <v>"C:\Program Files (x86)\AstroGrep\AstroGrep.exe" /spath="%USERPROFILE%\AppData\Local\Temp\OnboardLogs" /stypes="app*4049*20170224*" /stext=" 08:.+(\|loc)" /e /r /s</v>
      </c>
      <c r="AG259" s="1" t="str">
        <f t="shared" si="71"/>
        <v>Other</v>
      </c>
      <c r="AH259" s="86" t="str">
        <f t="shared" si="72"/>
        <v>"%USERPROFILE%\Documents\GitHub\eaglep3\Utilities\RefineRTDCRunTimes.py" --tripid 81-23 --locoid 4049 --swversion DE.1.0.9.0 --startMP 204:511 --initTime 2017-02-24T00:53:53 --startdatetime 2017-02-24T01:24:24 --delay 1 --endMP 300:31041 --enddatetime 2017-02-24T01:30:49 --enforcementcount 0 &gt;&gt;C:\Users\stu\Documents\GitHub\eaglep3-reporting\EC\2017-02-23-refined-times.txt</v>
      </c>
      <c r="AI259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{"issue":{"subject":"","project_id":79,"tracker_id":40,"status_id":1,"priority_id":2,"assigned_to_id":23,"start_date":"2017-02-24","description":"","custom_fields":[{"id":1,"name":"Subdivision","value":"Other"},{"id":4,"name":"Milepost","value":"3.1041"},{"id":17,"name":"Train ID","value":"81-23"},{"id":16,"name":"Locomotive ID","value":"4049"},{"id":130,"name":"Impact","value":""},{"id":150,"name":"Time of Event (Mountain Time)","value":"01:30:49"},{"id":151,"name":"Denver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48"/>
      <c r="AK259" s="48"/>
      <c r="AL259" s="48"/>
      <c r="AM259" s="154" t="str">
        <f t="shared" si="74"/>
        <v>start /low /b %USERPROFILE%\Documents\GitHub\eaglep3\Utilities\DownloadLogsFromS3.py --loco 4049 --day 2017-02-24</v>
      </c>
      <c r="AN259" s="163" t="str">
        <f>"grep -SE -B400 ""CHR.+\|PRM\|1\|D.+(SWITCH|SIGNAL).+UNKNOWN"" "&amp;search_path&amp;"\RTDC"&amp;B259&amp;"\*"&amp;B259&amp;"*"&amp;TEXT(AVERAGE(F259,I259)-utc_offset/24,"YYYYMMDD")&amp;"*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0" spans="1:40" x14ac:dyDescent="0.25">
      <c r="A260" s="33" t="s">
        <v>620</v>
      </c>
      <c r="B260" s="7">
        <v>4049</v>
      </c>
      <c r="C260" s="21" t="s">
        <v>294</v>
      </c>
      <c r="D260" s="21" t="s">
        <v>826</v>
      </c>
      <c r="E260" s="13">
        <v>42790.086944444447</v>
      </c>
      <c r="F260" s="13">
        <v>25568.708333333332</v>
      </c>
      <c r="G260" s="7">
        <v>0</v>
      </c>
      <c r="H260" s="21" t="s">
        <v>827</v>
      </c>
      <c r="I260" s="13">
        <v>25568.708333333332</v>
      </c>
      <c r="J260" s="7">
        <v>0</v>
      </c>
      <c r="K260" s="98" t="str">
        <f t="shared" si="57"/>
        <v>4049/4050</v>
      </c>
      <c r="L260" s="21" t="str">
        <f>VLOOKUP(A260,'Trips&amp;Operators'!$C$1:$G$99999,5,FALSE)</f>
        <v>YANG JAN</v>
      </c>
      <c r="M260" s="6">
        <f t="shared" si="58"/>
        <v>0</v>
      </c>
      <c r="N260" s="7">
        <f t="shared" si="59"/>
        <v>0</v>
      </c>
      <c r="O260" s="7"/>
      <c r="P260" s="7"/>
      <c r="Q260" s="22"/>
      <c r="R260" s="22"/>
      <c r="S260" s="31">
        <f t="shared" si="60"/>
        <v>0</v>
      </c>
      <c r="T260" s="46" t="e">
        <f t="shared" si="61"/>
        <v>#VALUE!</v>
      </c>
      <c r="U260" s="18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86" t="str">
        <f t="shared" si="62"/>
        <v>https://d0f6bd738d7f1b3e5a7ca70fe4ff75f0.us-east-1.aws.found.io/app/kibana#/discover/Steve-Slow-Train-Analysis-(2080s-and-2083s)?_g=(refreshInterval:(display:Off,pause:!f,section:0,value:0),time:(from:'2017-02-24T01:05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0" s="187" t="str">
        <f t="shared" si="63"/>
        <v>Y</v>
      </c>
      <c r="X260" s="187" t="e">
        <f t="shared" si="64"/>
        <v>#VALUE!</v>
      </c>
      <c r="Y260" s="62">
        <f t="shared" si="65"/>
        <v>0.06</v>
      </c>
      <c r="Z260" s="62">
        <f t="shared" si="66"/>
        <v>3.1072000000000002</v>
      </c>
      <c r="AA260" s="62">
        <f t="shared" si="67"/>
        <v>3.0472000000000001</v>
      </c>
      <c r="AB260" s="59" t="e">
        <f>VLOOKUP(A260,Enforcements!$C$7:$K$13,8,0)</f>
        <v>#N/A</v>
      </c>
      <c r="AC260" s="55" t="e">
        <f>VLOOKUP(A260,Enforcements!$C$7:$E$13,3,0)</f>
        <v>#N/A</v>
      </c>
      <c r="AD260" s="56" t="str">
        <f t="shared" si="68"/>
        <v>81-23</v>
      </c>
      <c r="AE260" s="85" t="str">
        <f t="shared" si="69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60" s="82" t="str">
        <f t="shared" si="70"/>
        <v>"C:\Program Files (x86)\AstroGrep\AstroGrep.exe" /spath="%USERPROFILE%\AppData\Local\Temp\OnboardLogs" /stypes="app*4049*19700101*" /stext=" 00:.+(\|loc)" /e /r /s</v>
      </c>
      <c r="AG260" s="1" t="str">
        <f t="shared" si="71"/>
        <v>Other</v>
      </c>
      <c r="AH260" s="86" t="str">
        <f t="shared" si="72"/>
        <v>"%USERPROFILE%\Documents\GitHub\eaglep3\Utilities\RefineRTDCRunTimes.py" --tripid 81-23 --locoid 4049 --swversion DE.1.0.9.0 --startMP 204:600 --initTime 2017-02-24T02:05:12 --startdatetime 1969-12-31T17:00:00 --delay 0 --endMP 300:31072 --enddatetime 1969-12-31T17:00:00 --enforcementcount 0 &gt;&gt;C:\Users\stu\Documents\GitHub\eaglep3-reporting\EC\2017-02-23-refined-times.txt</v>
      </c>
      <c r="AI26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{"issue":{"subject":"","project_id":79,"tracker_id":40,"status_id":1,"priority_id":2,"assigned_to_id":23,"start_date":"1969-12-31","description":"","custom_fields":[{"id":1,"name":"Subdivision","value":"Other"},{"id":4,"name":"Milepost","value":"3.1072"},{"id":17,"name":"Train ID","value":"81-23"},{"id":16,"name":"Locomotive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48"/>
      <c r="AK260" s="48"/>
      <c r="AL260" s="48"/>
      <c r="AM260" s="154" t="str">
        <f t="shared" si="74"/>
        <v>start /low /b %USERPROFILE%\Documents\GitHub\eaglep3\Utilities\DownloadLogsFromS3.py --loco 4049 --day 1969-12-31</v>
      </c>
      <c r="AN260" s="163" t="str">
        <f>"grep -SE -B400 ""CHR.+\|PRM\|1\|D.+(SWITCH|SIGNAL).+UNKNOWN"" "&amp;search_path&amp;"\RTDC"&amp;B260&amp;"\*"&amp;B260&amp;"*"&amp;TEXT(AVERAGE(F260,I260)-utc_offset/24,"YYYYMMDD")&amp;"*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2017-02-23-UncaughtWiMAX.txt</v>
      </c>
    </row>
    <row r="261" spans="1:40" x14ac:dyDescent="0.25">
      <c r="A261" s="33" t="s">
        <v>620</v>
      </c>
      <c r="B261" s="7">
        <v>4049</v>
      </c>
      <c r="C261" s="21" t="s">
        <v>294</v>
      </c>
      <c r="D261" s="21" t="s">
        <v>828</v>
      </c>
      <c r="E261" s="13">
        <v>42789.997129629628</v>
      </c>
      <c r="F261" s="13">
        <v>42790.011979166666</v>
      </c>
      <c r="G261" s="7">
        <v>1</v>
      </c>
      <c r="H261" s="21" t="s">
        <v>829</v>
      </c>
      <c r="I261" s="13">
        <v>42790.01635416667</v>
      </c>
      <c r="J261" s="7">
        <v>0</v>
      </c>
      <c r="K261" s="98" t="str">
        <f t="shared" si="57"/>
        <v>4049/4050</v>
      </c>
      <c r="L261" s="21" t="str">
        <f>VLOOKUP(A261,'Trips&amp;Operators'!$C$1:$G$99999,5,FALSE)</f>
        <v>YANG JAN</v>
      </c>
      <c r="M261" s="6">
        <f t="shared" si="58"/>
        <v>4.3750000040745363E-3</v>
      </c>
      <c r="N261" s="7">
        <f t="shared" si="59"/>
        <v>6.3000000058673322</v>
      </c>
      <c r="O261" s="7"/>
      <c r="P261" s="7"/>
      <c r="Q261" s="22"/>
      <c r="R261" s="22"/>
      <c r="S261" s="31">
        <f t="shared" si="60"/>
        <v>0</v>
      </c>
      <c r="T261" s="46" t="e">
        <f t="shared" si="61"/>
        <v>#VALUE!</v>
      </c>
      <c r="U261" s="18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86" t="str">
        <f t="shared" si="62"/>
        <v>https://d0f6bd738d7f1b3e5a7ca70fe4ff75f0.us-east-1.aws.found.io/app/kibana#/discover/Steve-Slow-Train-Analysis-(2080s-and-2083s)?_g=(refreshInterval:(display:Off,pause:!f,section:0,value:0),time:(from:'2017-02-23T22:55:52-0700',mode:absolute,to:'2017-02-24T01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1" s="187" t="str">
        <f t="shared" si="63"/>
        <v>Y</v>
      </c>
      <c r="X261" s="187" t="e">
        <f t="shared" si="64"/>
        <v>#VALUE!</v>
      </c>
      <c r="Y261" s="62">
        <f t="shared" si="65"/>
        <v>6.0299999999999999E-2</v>
      </c>
      <c r="Z261" s="62">
        <f t="shared" si="66"/>
        <v>3.0988000000000002</v>
      </c>
      <c r="AA261" s="62">
        <f t="shared" si="67"/>
        <v>3.0385000000000004</v>
      </c>
      <c r="AB261" s="59" t="e">
        <f>VLOOKUP(A261,Enforcements!$C$7:$K$13,8,0)</f>
        <v>#N/A</v>
      </c>
      <c r="AC261" s="55" t="e">
        <f>VLOOKUP(A261,Enforcements!$C$7:$E$13,3,0)</f>
        <v>#N/A</v>
      </c>
      <c r="AD261" s="56" t="str">
        <f t="shared" si="68"/>
        <v>81-23</v>
      </c>
      <c r="AE261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1" s="82" t="str">
        <f t="shared" si="70"/>
        <v>"C:\Program Files (x86)\AstroGrep\AstroGrep.exe" /spath="%USERPROFILE%\AppData\Local\Temp\OnboardLogs" /stypes="app*4049*20170224*" /stext=" 07:.+(\|loc)" /e /r /s</v>
      </c>
      <c r="AG261" s="1" t="str">
        <f t="shared" si="71"/>
        <v>Other</v>
      </c>
      <c r="AH261" s="86" t="str">
        <f t="shared" si="72"/>
        <v>"%USERPROFILE%\Documents\GitHub\eaglep3\Utilities\RefineRTDCRunTimes.py" --tripid 81-23 --locoid 4049 --swversion DE.1.0.9.0 --startMP 204:603 --initTime 2017-02-23T23:55:52 --startdatetime 2017-02-24T00:17:15 --delay 1 --endMP 300:30988 --enddatetime 2017-02-24T00:23:33 --enforcementcount 0 &gt;&gt;C:\Users\stu\Documents\GitHub\eaglep3-reporting\EC\2017-02-23-refined-times.txt</v>
      </c>
      <c r="AI261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{"issue":{"subject":"","project_id":79,"tracker_id":40,"status_id":1,"priority_id":2,"assigned_to_id":23,"start_date":"2017-02-24","description":"","custom_fields":[{"id":1,"name":"Subdivision","value":"Other"},{"id":4,"name":"Milepost","value":"3.0988"},{"id":17,"name":"Train ID","value":"81-23"},{"id":16,"name":"Locomotive ID","value":"4049"},{"id":130,"name":"Impact","value":""},{"id":150,"name":"Time of Event (Mountain Time)","value":"00:23:33"},{"id":151,"name":"Denver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48"/>
      <c r="AK261" s="48"/>
      <c r="AL261" s="48"/>
      <c r="AM261" s="154" t="str">
        <f t="shared" si="74"/>
        <v>start /low /b %USERPROFILE%\Documents\GitHub\eaglep3\Utilities\DownloadLogsFromS3.py --loco 4049 --day 2017-02-24</v>
      </c>
      <c r="AN261" s="163" t="str">
        <f>"grep -SE -B400 ""CHR.+\|PRM\|1\|D.+(SWITCH|SIGNAL).+UNKNOWN"" "&amp;search_path&amp;"\RTDC"&amp;B261&amp;"\*"&amp;B261&amp;"*"&amp;TEXT(AVERAGE(F261,I261)-utc_offset/24,"YYYYMMDD")&amp;"*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2" spans="1:40" x14ac:dyDescent="0.25">
      <c r="A262" s="33" t="s">
        <v>620</v>
      </c>
      <c r="B262" s="7">
        <v>4049</v>
      </c>
      <c r="C262" s="21" t="s">
        <v>294</v>
      </c>
      <c r="D262" s="21" t="s">
        <v>830</v>
      </c>
      <c r="E262" s="13">
        <v>42789.970347222225</v>
      </c>
      <c r="F262" s="13">
        <v>42789.998680555553</v>
      </c>
      <c r="G262" s="7">
        <v>1</v>
      </c>
      <c r="H262" s="21" t="s">
        <v>831</v>
      </c>
      <c r="I262" s="13">
        <v>42790.003009259257</v>
      </c>
      <c r="J262" s="7">
        <v>0</v>
      </c>
      <c r="K262" s="98" t="str">
        <f t="shared" si="57"/>
        <v>4049/4050</v>
      </c>
      <c r="L262" s="21" t="str">
        <f>VLOOKUP(A262,'Trips&amp;Operators'!$C$1:$G$99999,5,FALSE)</f>
        <v>YANG JAN</v>
      </c>
      <c r="M262" s="6">
        <f t="shared" si="58"/>
        <v>4.3287037042318843E-3</v>
      </c>
      <c r="N262" s="7">
        <f t="shared" si="59"/>
        <v>6.2333333340939134</v>
      </c>
      <c r="O262" s="7"/>
      <c r="P262" s="7"/>
      <c r="Q262" s="22"/>
      <c r="R262" s="22"/>
      <c r="S262" s="31">
        <f t="shared" si="60"/>
        <v>0</v>
      </c>
      <c r="T262" s="46" t="e">
        <f t="shared" si="61"/>
        <v>#VALUE!</v>
      </c>
      <c r="U262" s="18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86" t="str">
        <f t="shared" si="62"/>
        <v>https://d0f6bd738d7f1b3e5a7ca70fe4ff75f0.us-east-1.aws.found.io/app/kibana#/discover/Steve-Slow-Train-Analysis-(2080s-and-2083s)?_g=(refreshInterval:(display:Off,pause:!f,section:0,value:0),time:(from:'2017-02-23T22:17:18-0700',mode:absolute,to:'2017-02-24T01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2" s="187" t="str">
        <f t="shared" si="63"/>
        <v>Y</v>
      </c>
      <c r="X262" s="187" t="e">
        <f t="shared" si="64"/>
        <v>#VALUE!</v>
      </c>
      <c r="Y262" s="62">
        <f t="shared" si="65"/>
        <v>6.2700000000000006E-2</v>
      </c>
      <c r="Z262" s="62">
        <f t="shared" si="66"/>
        <v>3.1042999999999998</v>
      </c>
      <c r="AA262" s="62">
        <f t="shared" si="67"/>
        <v>3.0415999999999999</v>
      </c>
      <c r="AB262" s="59" t="e">
        <f>VLOOKUP(A262,Enforcements!$C$7:$K$13,8,0)</f>
        <v>#N/A</v>
      </c>
      <c r="AC262" s="55" t="e">
        <f>VLOOKUP(A262,Enforcements!$C$7:$E$13,3,0)</f>
        <v>#N/A</v>
      </c>
      <c r="AD262" s="56" t="str">
        <f t="shared" si="68"/>
        <v>81-23</v>
      </c>
      <c r="AE262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2" s="82" t="str">
        <f t="shared" si="70"/>
        <v>"C:\Program Files (x86)\AstroGrep\AstroGrep.exe" /spath="%USERPROFILE%\AppData\Local\Temp\OnboardLogs" /stypes="app*4049*20170224*" /stext=" 07:.+(\|loc)" /e /r /s</v>
      </c>
      <c r="AG262" s="1" t="str">
        <f t="shared" si="71"/>
        <v>Other</v>
      </c>
      <c r="AH262" s="86" t="str">
        <f t="shared" si="72"/>
        <v>"%USERPROFILE%\Documents\GitHub\eaglep3\Utilities\RefineRTDCRunTimes.py" --tripid 81-23 --locoid 4049 --swversion DE.1.0.9.0 --startMP 204:627 --initTime 2017-02-23T23:17:18 --startdatetime 2017-02-23T23:58:06 --delay 1 --endMP 300:31043 --enddatetime 2017-02-24T00:04:20 --enforcementcount 0 &gt;&gt;C:\Users\stu\Documents\GitHub\eaglep3-reporting\EC\2017-02-23-refined-times.txt</v>
      </c>
      <c r="AI262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{"issue":{"subject":"","project_id":79,"tracker_id":40,"status_id":1,"priority_id":2,"assigned_to_id":23,"start_date":"2017-02-24","description":"","custom_fields":[{"id":1,"name":"Subdivision","value":"Other"},{"id":4,"name":"Milepost","value":"3.1043"},{"id":17,"name":"Train ID","value":"81-23"},{"id":16,"name":"Locomotive ID","value":"4049"},{"id":130,"name":"Impact","value":""},{"id":150,"name":"Time of Event (Mountain Time)","value":"00:04:20"},{"id":151,"name":"Denver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48"/>
      <c r="AK262" s="48"/>
      <c r="AL262" s="48"/>
      <c r="AM262" s="154" t="str">
        <f t="shared" si="74"/>
        <v>start /low /b %USERPROFILE%\Documents\GitHub\eaglep3\Utilities\DownloadLogsFromS3.py --loco 4049 --day 2017-02-23</v>
      </c>
      <c r="AN262" s="163" t="str">
        <f>"grep -SE -B400 ""CHR.+\|PRM\|1\|D.+(SWITCH|SIGNAL).+UNKNOWN"" "&amp;search_path&amp;"\RTDC"&amp;B262&amp;"\*"&amp;B262&amp;"*"&amp;TEXT(AVERAGE(F262,I262)-utc_offset/24,"YYYYMMDD")&amp;"*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3" spans="1:40" x14ac:dyDescent="0.25">
      <c r="A263" s="33" t="s">
        <v>620</v>
      </c>
      <c r="B263" s="7">
        <v>4049</v>
      </c>
      <c r="C263" s="21" t="s">
        <v>294</v>
      </c>
      <c r="D263" s="21" t="s">
        <v>406</v>
      </c>
      <c r="E263" s="13">
        <v>42790.023946759262</v>
      </c>
      <c r="F263" s="13">
        <v>42790.039965277778</v>
      </c>
      <c r="G263" s="7">
        <v>1</v>
      </c>
      <c r="H263" s="21" t="s">
        <v>832</v>
      </c>
      <c r="I263" s="13">
        <v>42790.044409722221</v>
      </c>
      <c r="J263" s="7">
        <v>0</v>
      </c>
      <c r="K263" s="98" t="str">
        <f t="shared" si="57"/>
        <v>4049/4050</v>
      </c>
      <c r="L263" s="21" t="str">
        <f>VLOOKUP(A263,'Trips&amp;Operators'!$C$1:$G$99999,5,FALSE)</f>
        <v>YANG JAN</v>
      </c>
      <c r="M263" s="6">
        <f t="shared" si="58"/>
        <v>4.4444444429245777E-3</v>
      </c>
      <c r="N263" s="7">
        <f t="shared" si="59"/>
        <v>6.3999999978113919</v>
      </c>
      <c r="O263" s="7"/>
      <c r="P263" s="7"/>
      <c r="Q263" s="22"/>
      <c r="R263" s="22"/>
      <c r="S263" s="31">
        <f t="shared" si="60"/>
        <v>0</v>
      </c>
      <c r="T263" s="46" t="e">
        <f t="shared" si="61"/>
        <v>#VALUE!</v>
      </c>
      <c r="U263" s="185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86" t="str">
        <f t="shared" si="62"/>
        <v>https://d0f6bd738d7f1b3e5a7ca70fe4ff75f0.us-east-1.aws.found.io/app/kibana#/discover/Steve-Slow-Train-Analysis-(2080s-and-2083s)?_g=(refreshInterval:(display:Off,pause:!f,section:0,value:0),time:(from:'2017-02-23T23:34:29-0700',mode:absolute,to:'2017-02-24T02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3" s="187" t="str">
        <f t="shared" si="63"/>
        <v>Y</v>
      </c>
      <c r="X263" s="187" t="e">
        <f t="shared" si="64"/>
        <v>#VALUE!</v>
      </c>
      <c r="Y263" s="62">
        <f t="shared" si="65"/>
        <v>6.6299999999999998E-2</v>
      </c>
      <c r="Z263" s="62">
        <f t="shared" si="66"/>
        <v>3.1011000000000002</v>
      </c>
      <c r="AA263" s="62">
        <f t="shared" si="67"/>
        <v>3.0348000000000002</v>
      </c>
      <c r="AB263" s="59" t="e">
        <f>VLOOKUP(A263,Enforcements!$C$7:$K$13,8,0)</f>
        <v>#N/A</v>
      </c>
      <c r="AC263" s="55" t="e">
        <f>VLOOKUP(A263,Enforcements!$C$7:$E$13,3,0)</f>
        <v>#N/A</v>
      </c>
      <c r="AD263" s="56" t="str">
        <f t="shared" si="68"/>
        <v>81-23</v>
      </c>
      <c r="AE263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3" s="82" t="str">
        <f t="shared" si="70"/>
        <v>"C:\Program Files (x86)\AstroGrep\AstroGrep.exe" /spath="%USERPROFILE%\AppData\Local\Temp\OnboardLogs" /stypes="app*4049*20170224*" /stext=" 08:.+(\|loc)" /e /r /s</v>
      </c>
      <c r="AG263" s="1" t="str">
        <f t="shared" si="71"/>
        <v>Other</v>
      </c>
      <c r="AH263" s="86" t="str">
        <f t="shared" si="72"/>
        <v>"%USERPROFILE%\Documents\GitHub\eaglep3\Utilities\RefineRTDCRunTimes.py" --tripid 81-23 --locoid 4049 --swversion DE.1.0.9.0 --startMP 204:663 --initTime 2017-02-24T00:34:29 --startdatetime 2017-02-24T00:57:33 --delay 1 --endMP 300:31011 --enddatetime 2017-02-24T01:03:57 --enforcementcount 0 &gt;&gt;C:\Users\stu\Documents\GitHub\eaglep3-reporting\EC\2017-02-23-refined-times.txt</v>
      </c>
      <c r="AI263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{"issue":{"subject":"","project_id":79,"tracker_id":40,"status_id":1,"priority_id":2,"assigned_to_id":23,"start_date":"2017-02-24","description":"","custom_fields":[{"id":1,"name":"Subdivision","value":"Other"},{"id":4,"name":"Milepost","value":"3.1011"},{"id":17,"name":"Train ID","value":"81-23"},{"id":16,"name":"Locomotive ID","value":"4049"},{"id":130,"name":"Impact","value":""},{"id":150,"name":"Time of Event (Mountain Time)","value":"01:03:57"},{"id":151,"name":"Denver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48"/>
      <c r="AK263" s="48"/>
      <c r="AL263" s="48"/>
      <c r="AM263" s="154" t="str">
        <f t="shared" si="74"/>
        <v>start /low /b %USERPROFILE%\Documents\GitHub\eaglep3\Utilities\DownloadLogsFromS3.py --loco 4049 --day 2017-02-24</v>
      </c>
      <c r="AN263" s="163" t="str">
        <f>"grep -SE -B400 ""CHR.+\|PRM\|1\|D.+(SWITCH|SIGNAL).+UNKNOWN"" "&amp;search_path&amp;"\RTDC"&amp;B263&amp;"\*"&amp;B263&amp;"*"&amp;TEXT(AVERAGE(F263,I263)-utc_offset/24,"YYYYMMDD")&amp;"*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4" spans="1:40" x14ac:dyDescent="0.25">
      <c r="A264" s="33" t="s">
        <v>620</v>
      </c>
      <c r="B264" s="7">
        <v>4049</v>
      </c>
      <c r="C264" s="21" t="s">
        <v>294</v>
      </c>
      <c r="D264" s="21" t="s">
        <v>299</v>
      </c>
      <c r="E264" s="13">
        <v>42790.010509259257</v>
      </c>
      <c r="F264" s="13">
        <v>42790.025185185186</v>
      </c>
      <c r="G264" s="7">
        <v>1</v>
      </c>
      <c r="H264" s="21" t="s">
        <v>833</v>
      </c>
      <c r="I264" s="13">
        <v>42790.029594907406</v>
      </c>
      <c r="J264" s="7">
        <v>0</v>
      </c>
      <c r="K264" s="98" t="str">
        <f t="shared" si="57"/>
        <v>4049/4050</v>
      </c>
      <c r="L264" s="21" t="str">
        <f>VLOOKUP(A264,'Trips&amp;Operators'!$C$1:$G$99999,5,FALSE)</f>
        <v>YANG JAN</v>
      </c>
      <c r="M264" s="6">
        <f t="shared" si="58"/>
        <v>4.4097222198615782E-3</v>
      </c>
      <c r="N264" s="7">
        <f t="shared" si="59"/>
        <v>6.3499999966006726</v>
      </c>
      <c r="O264" s="7"/>
      <c r="P264" s="7"/>
      <c r="Q264" s="22"/>
      <c r="R264" s="22"/>
      <c r="S264" s="31">
        <f t="shared" si="60"/>
        <v>0</v>
      </c>
      <c r="T264" s="46" t="e">
        <f t="shared" si="61"/>
        <v>#VALUE!</v>
      </c>
      <c r="U264" s="185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86" t="str">
        <f t="shared" si="62"/>
        <v>https://d0f6bd738d7f1b3e5a7ca70fe4ff75f0.us-east-1.aws.found.io/app/kibana#/discover/Steve-Slow-Train-Analysis-(2080s-and-2083s)?_g=(refreshInterval:(display:Off,pause:!f,section:0,value:0),time:(from:'2017-02-23T23:15:08-0700',mode:absolute,to:'2017-02-24T01:42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4" s="187" t="str">
        <f t="shared" si="63"/>
        <v>Y</v>
      </c>
      <c r="X264" s="187" t="e">
        <f t="shared" si="64"/>
        <v>#VALUE!</v>
      </c>
      <c r="Y264" s="62">
        <f t="shared" si="65"/>
        <v>6.9199999999999998E-2</v>
      </c>
      <c r="Z264" s="62">
        <f t="shared" si="66"/>
        <v>3.0968</v>
      </c>
      <c r="AA264" s="62">
        <f t="shared" si="67"/>
        <v>3.0276000000000001</v>
      </c>
      <c r="AB264" s="59" t="e">
        <f>VLOOKUP(A264,Enforcements!$C$7:$K$13,8,0)</f>
        <v>#N/A</v>
      </c>
      <c r="AC264" s="55" t="e">
        <f>VLOOKUP(A264,Enforcements!$C$7:$E$13,3,0)</f>
        <v>#N/A</v>
      </c>
      <c r="AD264" s="56" t="str">
        <f t="shared" si="68"/>
        <v>81-23</v>
      </c>
      <c r="AE264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4" s="82" t="str">
        <f t="shared" si="70"/>
        <v>"C:\Program Files (x86)\AstroGrep\AstroGrep.exe" /spath="%USERPROFILE%\AppData\Local\Temp\OnboardLogs" /stypes="app*4049*20170224*" /stext=" 07:.+(\|loc)" /e /r /s</v>
      </c>
      <c r="AG264" s="1" t="str">
        <f t="shared" si="71"/>
        <v>Other</v>
      </c>
      <c r="AH264" s="86" t="str">
        <f t="shared" si="72"/>
        <v>"%USERPROFILE%\Documents\GitHub\eaglep3\Utilities\RefineRTDCRunTimes.py" --tripid 81-23 --locoid 4049 --swversion DE.1.0.9.0 --startMP 204:692 --initTime 2017-02-24T00:15:08 --startdatetime 2017-02-24T00:36:16 --delay 1 --endMP 300:30968 --enddatetime 2017-02-24T00:42:37 --enforcementcount 0 &gt;&gt;C:\Users\stu\Documents\GitHub\eaglep3-reporting\EC\2017-02-23-refined-times.txt</v>
      </c>
      <c r="AI264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{"issue":{"subject":"","project_id":79,"tracker_id":40,"status_id":1,"priority_id":2,"assigned_to_id":23,"start_date":"2017-02-24","description":"","custom_fields":[{"id":1,"name":"Subdivision","value":"Other"},{"id":4,"name":"Milepost","value":"3.0968"},{"id":17,"name":"Train ID","value":"81-23"},{"id":16,"name":"Locomotive ID","value":"4049"},{"id":130,"name":"Impact","value":""},{"id":150,"name":"Time of Event (Mountain Time)","value":"00:42:37"},{"id":151,"name":"Denver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48"/>
      <c r="AK264" s="48"/>
      <c r="AL264" s="48"/>
      <c r="AM264" s="154" t="str">
        <f t="shared" si="74"/>
        <v>start /low /b %USERPROFILE%\Documents\GitHub\eaglep3\Utilities\DownloadLogsFromS3.py --loco 4049 --day 2017-02-24</v>
      </c>
      <c r="AN264" s="163" t="str">
        <f>"grep -SE -B400 ""CHR.+\|PRM\|1\|D.+(SWITCH|SIGNAL).+UNKNOWN"" "&amp;search_path&amp;"\RTDC"&amp;B264&amp;"\*"&amp;B264&amp;"*"&amp;TEXT(AVERAGE(F264,I264)-utc_offset/24,"YYYYMMDD")&amp;"*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5" spans="1:40" x14ac:dyDescent="0.25">
      <c r="A265" s="33" t="s">
        <v>620</v>
      </c>
      <c r="B265" s="7">
        <v>4049</v>
      </c>
      <c r="C265" s="21" t="s">
        <v>294</v>
      </c>
      <c r="D265" s="21" t="s">
        <v>834</v>
      </c>
      <c r="E265" s="13">
        <v>42790.101620370369</v>
      </c>
      <c r="F265" s="13">
        <v>25568.708333333332</v>
      </c>
      <c r="G265" s="7">
        <v>0</v>
      </c>
      <c r="H265" s="21" t="s">
        <v>388</v>
      </c>
      <c r="I265" s="13">
        <v>25568.708333333332</v>
      </c>
      <c r="J265" s="7">
        <v>0</v>
      </c>
      <c r="K265" s="98" t="str">
        <f t="shared" si="57"/>
        <v>4049/4050</v>
      </c>
      <c r="L265" s="21" t="str">
        <f>VLOOKUP(A265,'Trips&amp;Operators'!$C$1:$G$99999,5,FALSE)</f>
        <v>YANG JAN</v>
      </c>
      <c r="M265" s="6">
        <f t="shared" si="58"/>
        <v>0</v>
      </c>
      <c r="N265" s="7">
        <f t="shared" si="59"/>
        <v>0</v>
      </c>
      <c r="O265" s="7"/>
      <c r="P265" s="7"/>
      <c r="Q265" s="22"/>
      <c r="R265" s="22"/>
      <c r="S265" s="31">
        <f t="shared" si="60"/>
        <v>0</v>
      </c>
      <c r="T265" s="46" t="e">
        <f t="shared" si="61"/>
        <v>#VALUE!</v>
      </c>
      <c r="U265" s="185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86" t="str">
        <f t="shared" si="62"/>
        <v>https://d0f6bd738d7f1b3e5a7ca70fe4ff75f0.us-east-1.aws.found.io/app/kibana#/discover/Steve-Slow-Train-Analysis-(2080s-and-2083s)?_g=(refreshInterval:(display:Off,pause:!f,section:0,value:0),time:(from:'2017-02-24T01:26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5" s="187" t="str">
        <f t="shared" si="63"/>
        <v>Y</v>
      </c>
      <c r="X265" s="187" t="e">
        <f t="shared" si="64"/>
        <v>#VALUE!</v>
      </c>
      <c r="Y265" s="62">
        <f t="shared" si="65"/>
        <v>6.9699999999999998E-2</v>
      </c>
      <c r="Z265" s="62">
        <f t="shared" si="66"/>
        <v>2.3306</v>
      </c>
      <c r="AA265" s="62">
        <f t="shared" si="67"/>
        <v>2.2608999999999999</v>
      </c>
      <c r="AB265" s="59" t="e">
        <f>VLOOKUP(A265,Enforcements!$C$7:$K$13,8,0)</f>
        <v>#N/A</v>
      </c>
      <c r="AC265" s="55" t="e">
        <f>VLOOKUP(A265,Enforcements!$C$7:$E$13,3,0)</f>
        <v>#N/A</v>
      </c>
      <c r="AD265" s="56" t="str">
        <f t="shared" si="68"/>
        <v>81-23</v>
      </c>
      <c r="AE265" s="85" t="str">
        <f t="shared" si="69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65" s="82" t="str">
        <f t="shared" si="70"/>
        <v>"C:\Program Files (x86)\AstroGrep\AstroGrep.exe" /spath="%USERPROFILE%\AppData\Local\Temp\OnboardLogs" /stypes="app*4049*19700101*" /stext=" 00:.+(\|loc)" /e /r /s</v>
      </c>
      <c r="AG265" s="1" t="str">
        <f t="shared" si="71"/>
        <v>Other</v>
      </c>
      <c r="AH265" s="86" t="str">
        <f t="shared" si="72"/>
        <v>"%USERPROFILE%\Documents\GitHub\eaglep3\Utilities\RefineRTDCRunTimes.py" --tripid 81-23 --locoid 4049 --swversion DE.1.0.9.0 --startMP 204:697 --initTime 2017-02-24T02:26:20 --startdatetime 1969-12-31T17:00:00 --delay 0 --endMP 300:23306 --enddatetime 1969-12-31T17:00:00 --enforcementcount 0 &gt;&gt;C:\Users\stu\Documents\GitHub\eaglep3-reporting\EC\2017-02-23-refined-times.txt</v>
      </c>
      <c r="AI265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ID","value":"81-23"},{"id":16,"name":"Locomotive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48"/>
      <c r="AK265" s="48"/>
      <c r="AL265" s="48"/>
      <c r="AM265" s="154" t="str">
        <f t="shared" si="74"/>
        <v>start /low /b %USERPROFILE%\Documents\GitHub\eaglep3\Utilities\DownloadLogsFromS3.py --loco 4049 --day 1969-12-31</v>
      </c>
      <c r="AN265" s="163" t="str">
        <f>"grep -SE -B400 ""CHR.+\|PRM\|1\|D.+(SWITCH|SIGNAL).+UNKNOWN"" "&amp;search_path&amp;"\RTDC"&amp;B265&amp;"\*"&amp;B265&amp;"*"&amp;TEXT(AVERAGE(F265,I265)-utc_offset/24,"YYYYMMDD")&amp;"*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2017-02-23-UncaughtWiMAX.txt</v>
      </c>
    </row>
    <row r="266" spans="1:40" x14ac:dyDescent="0.25">
      <c r="A266" s="33" t="s">
        <v>620</v>
      </c>
      <c r="B266" s="7">
        <v>4049</v>
      </c>
      <c r="C266" s="21" t="s">
        <v>294</v>
      </c>
      <c r="D266" s="21" t="s">
        <v>835</v>
      </c>
      <c r="E266" s="13">
        <v>42790.070451388892</v>
      </c>
      <c r="F266" s="13">
        <v>42790.088229166664</v>
      </c>
      <c r="G266" s="7">
        <v>1</v>
      </c>
      <c r="H266" s="21" t="s">
        <v>836</v>
      </c>
      <c r="I266" s="13">
        <v>42790.09269675926</v>
      </c>
      <c r="J266" s="7">
        <v>0</v>
      </c>
      <c r="K266" s="98" t="str">
        <f t="shared" si="57"/>
        <v>4049/4050</v>
      </c>
      <c r="L266" s="21" t="str">
        <f>VLOOKUP(A266,'Trips&amp;Operators'!$C$1:$G$99999,5,FALSE)</f>
        <v>YANG JAN</v>
      </c>
      <c r="M266" s="6">
        <f t="shared" si="58"/>
        <v>4.4675925964838825E-3</v>
      </c>
      <c r="N266" s="7">
        <f t="shared" si="59"/>
        <v>6.4333333389367908</v>
      </c>
      <c r="O266" s="7"/>
      <c r="P266" s="7"/>
      <c r="Q266" s="22"/>
      <c r="R266" s="22"/>
      <c r="S266" s="31">
        <f t="shared" si="60"/>
        <v>0</v>
      </c>
      <c r="T266" s="46" t="e">
        <f t="shared" si="61"/>
        <v>#VALUE!</v>
      </c>
      <c r="U266" s="185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86" t="str">
        <f t="shared" si="62"/>
        <v>https://d0f6bd738d7f1b3e5a7ca70fe4ff75f0.us-east-1.aws.found.io/app/kibana#/discover/Steve-Slow-Train-Analysis-(2080s-and-2083s)?_g=(refreshInterval:(display:Off,pause:!f,section:0,value:0),time:(from:'2017-02-24T00:41:27-0700',mode:absolute,to:'2017-02-24T03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6" s="187" t="str">
        <f t="shared" si="63"/>
        <v>Y</v>
      </c>
      <c r="X266" s="187" t="e">
        <f t="shared" si="64"/>
        <v>#VALUE!</v>
      </c>
      <c r="Y266" s="62">
        <f t="shared" si="65"/>
        <v>7.1599999999999997E-2</v>
      </c>
      <c r="Z266" s="62">
        <f t="shared" si="66"/>
        <v>3.1074000000000002</v>
      </c>
      <c r="AA266" s="62">
        <f t="shared" si="67"/>
        <v>3.0358000000000001</v>
      </c>
      <c r="AB266" s="59" t="e">
        <f>VLOOKUP(A266,Enforcements!$C$7:$K$13,8,0)</f>
        <v>#N/A</v>
      </c>
      <c r="AC266" s="55" t="e">
        <f>VLOOKUP(A266,Enforcements!$C$7:$E$13,3,0)</f>
        <v>#N/A</v>
      </c>
      <c r="AD266" s="56" t="str">
        <f t="shared" si="68"/>
        <v>81-23</v>
      </c>
      <c r="AE266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6" s="82" t="str">
        <f t="shared" si="70"/>
        <v>"C:\Program Files (x86)\AstroGrep\AstroGrep.exe" /spath="%USERPROFILE%\AppData\Local\Temp\OnboardLogs" /stypes="app*4049*20170224*" /stext=" 09:.+(\|loc)" /e /r /s</v>
      </c>
      <c r="AG266" s="1" t="str">
        <f t="shared" si="71"/>
        <v>Other</v>
      </c>
      <c r="AH266" s="86" t="str">
        <f t="shared" si="72"/>
        <v>"%USERPROFILE%\Documents\GitHub\eaglep3\Utilities\RefineRTDCRunTimes.py" --tripid 81-23 --locoid 4049 --swversion DE.1.0.9.0 --startMP 204:716 --initTime 2017-02-24T01:41:27 --startdatetime 2017-02-24T02:07:03 --delay 1 --endMP 300:31074 --enddatetime 2017-02-24T02:13:29 --enforcementcount 0 &gt;&gt;C:\Users\stu\Documents\GitHub\eaglep3-reporting\EC\2017-02-23-refined-times.txt</v>
      </c>
      <c r="AI266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{"issue":{"subject":"","project_id":79,"tracker_id":40,"status_id":1,"priority_id":2,"assigned_to_id":23,"start_date":"2017-02-24","description":"","custom_fields":[{"id":1,"name":"Subdivision","value":"Other"},{"id":4,"name":"Milepost","value":"3.1074"},{"id":17,"name":"Train ID","value":"81-23"},{"id":16,"name":"Locomotive ID","value":"4049"},{"id":130,"name":"Impact","value":""},{"id":150,"name":"Time of Event (Mountain Time)","value":"02:13:29"},{"id":151,"name":"Denver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48"/>
      <c r="AK266" s="48"/>
      <c r="AL266" s="48"/>
      <c r="AM266" s="154" t="str">
        <f t="shared" si="74"/>
        <v>start /low /b %USERPROFILE%\Documents\GitHub\eaglep3\Utilities\DownloadLogsFromS3.py --loco 4049 --day 2017-02-24</v>
      </c>
      <c r="AN266" s="163" t="str">
        <f>"grep -SE -B400 ""CHR.+\|PRM\|1\|D.+(SWITCH|SIGNAL).+UNKNOWN"" "&amp;search_path&amp;"\RTDC"&amp;B266&amp;"\*"&amp;B266&amp;"*"&amp;TEXT(AVERAGE(F266,I266)-utc_offset/24,"YYYYMMDD")&amp;"*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7" spans="1:40" x14ac:dyDescent="0.25">
      <c r="A267" s="33" t="s">
        <v>620</v>
      </c>
      <c r="B267" s="7">
        <v>4049</v>
      </c>
      <c r="C267" s="21" t="s">
        <v>294</v>
      </c>
      <c r="D267" s="21" t="s">
        <v>806</v>
      </c>
      <c r="E267" s="13">
        <v>42789.984178240738</v>
      </c>
      <c r="F267" s="13">
        <v>42789.998680555553</v>
      </c>
      <c r="G267" s="7">
        <v>1</v>
      </c>
      <c r="H267" s="21" t="s">
        <v>837</v>
      </c>
      <c r="I267" s="13">
        <v>42790.003009259257</v>
      </c>
      <c r="J267" s="7">
        <v>0</v>
      </c>
      <c r="K267" s="98" t="str">
        <f t="shared" si="57"/>
        <v>4049/4050</v>
      </c>
      <c r="L267" s="21" t="str">
        <f>VLOOKUP(A267,'Trips&amp;Operators'!$C$1:$G$99999,5,FALSE)</f>
        <v>YANG JAN</v>
      </c>
      <c r="M267" s="6">
        <f t="shared" si="58"/>
        <v>4.3287037042318843E-3</v>
      </c>
      <c r="N267" s="7">
        <f t="shared" si="59"/>
        <v>6.2333333340939134</v>
      </c>
      <c r="O267" s="7"/>
      <c r="P267" s="7"/>
      <c r="Q267" s="22"/>
      <c r="R267" s="22"/>
      <c r="S267" s="31">
        <f t="shared" si="60"/>
        <v>0</v>
      </c>
      <c r="T267" s="46" t="e">
        <f t="shared" si="61"/>
        <v>#VALUE!</v>
      </c>
      <c r="U267" s="185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86" t="str">
        <f t="shared" si="62"/>
        <v>https://d0f6bd738d7f1b3e5a7ca70fe4ff75f0.us-east-1.aws.found.io/app/kibana#/discover/Steve-Slow-Train-Analysis-(2080s-and-2083s)?_g=(refreshInterval:(display:Off,pause:!f,section:0,value:0),time:(from:'2017-02-23T22:37:13-0700',mode:absolute,to:'2017-02-24T01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7" s="187" t="str">
        <f t="shared" si="63"/>
        <v>Y</v>
      </c>
      <c r="X267" s="187" t="e">
        <f t="shared" si="64"/>
        <v>#VALUE!</v>
      </c>
      <c r="Y267" s="62">
        <f t="shared" si="65"/>
        <v>7.17E-2</v>
      </c>
      <c r="Z267" s="62">
        <f t="shared" si="66"/>
        <v>3.1105999999999998</v>
      </c>
      <c r="AA267" s="62">
        <f t="shared" si="67"/>
        <v>3.0388999999999999</v>
      </c>
      <c r="AB267" s="59" t="e">
        <f>VLOOKUP(A267,Enforcements!$C$7:$K$13,8,0)</f>
        <v>#N/A</v>
      </c>
      <c r="AC267" s="55" t="e">
        <f>VLOOKUP(A267,Enforcements!$C$7:$E$13,3,0)</f>
        <v>#N/A</v>
      </c>
      <c r="AD267" s="56" t="str">
        <f t="shared" si="68"/>
        <v>81-23</v>
      </c>
      <c r="AE267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7" s="82" t="str">
        <f t="shared" si="70"/>
        <v>"C:\Program Files (x86)\AstroGrep\AstroGrep.exe" /spath="%USERPROFILE%\AppData\Local\Temp\OnboardLogs" /stypes="app*4049*20170224*" /stext=" 07:.+(\|loc)" /e /r /s</v>
      </c>
      <c r="AG267" s="1" t="str">
        <f t="shared" si="71"/>
        <v>Other</v>
      </c>
      <c r="AH267" s="86" t="str">
        <f t="shared" si="72"/>
        <v>"%USERPROFILE%\Documents\GitHub\eaglep3\Utilities\RefineRTDCRunTimes.py" --tripid 81-23 --locoid 4049 --swversion DE.1.0.9.0 --startMP 204:717 --initTime 2017-02-23T23:37:13 --startdatetime 2017-02-23T23:58:06 --delay 1 --endMP 300:31106 --enddatetime 2017-02-24T00:04:20 --enforcementcount 0 &gt;&gt;C:\Users\stu\Documents\GitHub\eaglep3-reporting\EC\2017-02-23-refined-times.txt</v>
      </c>
      <c r="AI267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{"issue":{"subject":"","project_id":79,"tracker_id":40,"status_id":1,"priority_id":2,"assigned_to_id":23,"start_date":"2017-02-24","description":"","custom_fields":[{"id":1,"name":"Subdivision","value":"Other"},{"id":4,"name":"Milepost","value":"3.1106"},{"id":17,"name":"Train ID","value":"81-23"},{"id":16,"name":"Locomotive ID","value":"4049"},{"id":130,"name":"Impact","value":""},{"id":150,"name":"Time of Event (Mountain Time)","value":"00:04:20"},{"id":151,"name":"Denver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48"/>
      <c r="AK267" s="48"/>
      <c r="AL267" s="48"/>
      <c r="AM267" s="154" t="str">
        <f t="shared" si="74"/>
        <v>start /low /b %USERPROFILE%\Documents\GitHub\eaglep3\Utilities\DownloadLogsFromS3.py --loco 4049 --day 2017-02-23</v>
      </c>
      <c r="AN267" s="163" t="str">
        <f>"grep -SE -B400 ""CHR.+\|PRM\|1\|D.+(SWITCH|SIGNAL).+UNKNOWN"" "&amp;search_path&amp;"\RTDC"&amp;B267&amp;"\*"&amp;B267&amp;"*"&amp;TEXT(AVERAGE(F267,I267)-utc_offset/24,"YYYYMMDD")&amp;"*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8" spans="1:40" x14ac:dyDescent="0.25">
      <c r="A268" s="33" t="s">
        <v>620</v>
      </c>
      <c r="B268" s="7">
        <v>4049</v>
      </c>
      <c r="C268" s="21" t="s">
        <v>294</v>
      </c>
      <c r="D268" s="21" t="s">
        <v>838</v>
      </c>
      <c r="E268" s="13">
        <v>42789.928981481484</v>
      </c>
      <c r="F268" s="13">
        <v>42789.958310185182</v>
      </c>
      <c r="G268" s="7">
        <v>1</v>
      </c>
      <c r="H268" s="21" t="s">
        <v>839</v>
      </c>
      <c r="I268" s="13">
        <v>42789.962604166663</v>
      </c>
      <c r="J268" s="7">
        <v>0</v>
      </c>
      <c r="K268" s="98" t="str">
        <f t="shared" si="57"/>
        <v>4049/4050</v>
      </c>
      <c r="L268" s="21" t="str">
        <f>VLOOKUP(A268,'Trips&amp;Operators'!$C$1:$G$99999,5,FALSE)</f>
        <v>YANG JAN</v>
      </c>
      <c r="M268" s="6">
        <f t="shared" si="58"/>
        <v>4.2939814811688848E-3</v>
      </c>
      <c r="N268" s="7">
        <f t="shared" si="59"/>
        <v>6.1833333328831941</v>
      </c>
      <c r="O268" s="7"/>
      <c r="P268" s="7"/>
      <c r="Q268" s="22"/>
      <c r="R268" s="22"/>
      <c r="S268" s="31">
        <f t="shared" si="60"/>
        <v>0</v>
      </c>
      <c r="T268" s="46" t="e">
        <f t="shared" si="61"/>
        <v>#VALUE!</v>
      </c>
      <c r="U268" s="185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86" t="str">
        <f t="shared" si="62"/>
        <v>https://d0f6bd738d7f1b3e5a7ca70fe4ff75f0.us-east-1.aws.found.io/app/kibana#/discover/Steve-Slow-Train-Analysis-(2080s-and-2083s)?_g=(refreshInterval:(display:Off,pause:!f,section:0,value:0),time:(from:'2017-02-23T21:17:44-0700',mode:absolute,to:'2017-02-24T00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8" s="187" t="str">
        <f t="shared" si="63"/>
        <v>Y</v>
      </c>
      <c r="X268" s="187" t="e">
        <f t="shared" si="64"/>
        <v>#VALUE!</v>
      </c>
      <c r="Y268" s="62">
        <f t="shared" si="65"/>
        <v>7.2300000000000003E-2</v>
      </c>
      <c r="Z268" s="62">
        <f t="shared" si="66"/>
        <v>3.1084999999999998</v>
      </c>
      <c r="AA268" s="62">
        <f t="shared" si="67"/>
        <v>3.0362</v>
      </c>
      <c r="AB268" s="59" t="e">
        <f>VLOOKUP(A268,Enforcements!$C$7:$K$13,8,0)</f>
        <v>#N/A</v>
      </c>
      <c r="AC268" s="55" t="e">
        <f>VLOOKUP(A268,Enforcements!$C$7:$E$13,3,0)</f>
        <v>#N/A</v>
      </c>
      <c r="AD268" s="56" t="str">
        <f t="shared" si="68"/>
        <v>81-23</v>
      </c>
      <c r="AE268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8" s="82" t="str">
        <f t="shared" si="70"/>
        <v>"C:\Program Files (x86)\AstroGrep\AstroGrep.exe" /spath="%USERPROFILE%\AppData\Local\Temp\OnboardLogs" /stypes="app*4049*20170224*" /stext=" 06:.+(\|loc)" /e /r /s</v>
      </c>
      <c r="AG268" s="1" t="str">
        <f t="shared" si="71"/>
        <v>Other</v>
      </c>
      <c r="AH268" s="86" t="str">
        <f t="shared" si="72"/>
        <v>"%USERPROFILE%\Documents\GitHub\eaglep3\Utilities\RefineRTDCRunTimes.py" --tripid 81-23 --locoid 4049 --swversion DE.1.0.9.0 --startMP 204:723 --initTime 2017-02-23T22:17:44 --startdatetime 2017-02-23T22:59:58 --delay 1 --endMP 300:31085 --enddatetime 2017-02-23T23:06:09 --enforcementcount 0 &gt;&gt;C:\Users\stu\Documents\GitHub\eaglep3-reporting\EC\2017-02-23-refined-times.txt</v>
      </c>
      <c r="AI26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{"issue":{"subject":"","project_id":79,"tracker_id":40,"status_id":1,"priority_id":2,"assigned_to_id":23,"start_date":"2017-02-23","description":"","custom_fields":[{"id":1,"name":"Subdivision","value":"Other"},{"id":4,"name":"Milepost","value":"3.1085"},{"id":17,"name":"Train ID","value":"81-23"},{"id":16,"name":"Locomotive ID","value":"4049"},{"id":130,"name":"Impact","value":""},{"id":150,"name":"Time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48"/>
      <c r="AK268" s="48"/>
      <c r="AL268" s="48"/>
      <c r="AM268" s="154" t="str">
        <f t="shared" si="74"/>
        <v>start /low /b %USERPROFILE%\Documents\GitHub\eaglep3\Utilities\DownloadLogsFromS3.py --loco 4049 --day 2017-02-23</v>
      </c>
      <c r="AN268" s="163" t="str">
        <f>"grep -SE -B400 ""CHR.+\|PRM\|1\|D.+(SWITCH|SIGNAL).+UNKNOWN"" "&amp;search_path&amp;"\RTDC"&amp;B268&amp;"\*"&amp;B268&amp;"*"&amp;TEXT(AVERAGE(F268,I268)-utc_offset/24,"YYYYMMDD")&amp;"*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9" spans="1:40" x14ac:dyDescent="0.25">
      <c r="A269" s="33" t="s">
        <v>620</v>
      </c>
      <c r="B269" s="7">
        <v>4049</v>
      </c>
      <c r="C269" s="21" t="s">
        <v>294</v>
      </c>
      <c r="D269" s="21" t="s">
        <v>840</v>
      </c>
      <c r="E269" s="13">
        <v>42789.908680555556</v>
      </c>
      <c r="F269" s="13">
        <v>42789.934814814813</v>
      </c>
      <c r="G269" s="7">
        <v>1</v>
      </c>
      <c r="H269" s="21" t="s">
        <v>837</v>
      </c>
      <c r="I269" s="13">
        <v>42789.939363425925</v>
      </c>
      <c r="J269" s="7">
        <v>0</v>
      </c>
      <c r="K269" s="98" t="str">
        <f t="shared" si="57"/>
        <v>4049/4050</v>
      </c>
      <c r="L269" s="21" t="str">
        <f>VLOOKUP(A269,'Trips&amp;Operators'!$C$1:$G$99999,5,FALSE)</f>
        <v>YANG JAN</v>
      </c>
      <c r="M269" s="6">
        <f t="shared" si="58"/>
        <v>4.5486111121135764E-3</v>
      </c>
      <c r="N269" s="7">
        <f t="shared" si="59"/>
        <v>6.55000000144355</v>
      </c>
      <c r="O269" s="7"/>
      <c r="P269" s="7"/>
      <c r="Q269" s="22"/>
      <c r="R269" s="22"/>
      <c r="S269" s="31">
        <f t="shared" si="60"/>
        <v>0</v>
      </c>
      <c r="T269" s="46" t="e">
        <f t="shared" si="61"/>
        <v>#VALUE!</v>
      </c>
      <c r="U269" s="185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0</v>
      </c>
      <c r="V269" s="186" t="str">
        <f t="shared" si="62"/>
        <v>https://d0f6bd738d7f1b3e5a7ca70fe4ff75f0.us-east-1.aws.found.io/app/kibana#/discover/Steve-Slow-Train-Analysis-(2080s-and-2083s)?_g=(refreshInterval:(display:Off,pause:!f,section:0,value:0),time:(from:'2017-02-23T20:48:30-0700',mode:absolute,to:'2017-02-23T23:32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9" s="187" t="str">
        <f t="shared" si="63"/>
        <v>Y</v>
      </c>
      <c r="X269" s="187" t="e">
        <f t="shared" si="64"/>
        <v>#VALUE!</v>
      </c>
      <c r="Y269" s="62">
        <f t="shared" si="65"/>
        <v>8.3699999999999997E-2</v>
      </c>
      <c r="Z269" s="62">
        <f t="shared" si="66"/>
        <v>3.1105999999999998</v>
      </c>
      <c r="AA269" s="62">
        <f t="shared" ref="AA269:AA271" si="75">ABS(Z269-Y269)</f>
        <v>3.0268999999999999</v>
      </c>
      <c r="AB269" s="59" t="e">
        <f>VLOOKUP(A269,Enforcements!$C$7:$K$13,8,0)</f>
        <v>#N/A</v>
      </c>
      <c r="AC269" s="55" t="e">
        <f>VLOOKUP(A269,Enforcements!$C$7:$E$13,3,0)</f>
        <v>#N/A</v>
      </c>
      <c r="AD269" s="56" t="str">
        <f t="shared" si="68"/>
        <v>81-23</v>
      </c>
      <c r="AE269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9" s="82" t="str">
        <f t="shared" si="70"/>
        <v>"C:\Program Files (x86)\AstroGrep\AstroGrep.exe" /spath="%USERPROFILE%\AppData\Local\Temp\OnboardLogs" /stypes="app*4049*20170224*" /stext=" 05:.+(\|loc)" /e /r /s</v>
      </c>
      <c r="AG269" s="1" t="str">
        <f t="shared" si="71"/>
        <v>Other</v>
      </c>
      <c r="AH269" s="86" t="str">
        <f t="shared" si="72"/>
        <v>"%USERPROFILE%\Documents\GitHub\eaglep3\Utilities\RefineRTDCRunTimes.py" --tripid 81-23 --locoid 4049 --swversion DE.1.0.9.0 --startMP 204:837 --initTime 2017-02-23T21:48:30 --startdatetime 2017-02-23T22:26:08 --delay 1 --endMP 300:31106 --enddatetime 2017-02-23T22:32:41 --enforcementcount 0 &gt;&gt;C:\Users\stu\Documents\GitHub\eaglep3-reporting\EC\2017-02-23-refined-times.txt</v>
      </c>
      <c r="AI269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{"issue":{"subject":"","project_id":79,"tracker_id":40,"status_id":1,"priority_id":2,"assigned_to_id":23,"start_date":"2017-02-23","description":"","custom_fields":[{"id":1,"name":"Subdivision","value":"Other"},{"id":4,"name":"Milepost","value":"3.1106"},{"id":17,"name":"Train ID","value":"81-23"},{"id":16,"name":"Locomotive ID","value":"4049"},{"id":130,"name":"Impact","value":""},{"id":150,"name":"Time of Event (Mountain Time)","value":"22:32:41"},{"id":151,"name":"Denver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48"/>
      <c r="AK269" s="48"/>
      <c r="AL269" s="48"/>
      <c r="AM269" s="154" t="str">
        <f t="shared" si="74"/>
        <v>start /low /b %USERPROFILE%\Documents\GitHub\eaglep3\Utilities\DownloadLogsFromS3.py --loco 4049 --day 2017-02-23</v>
      </c>
      <c r="AN269" s="163" t="str">
        <f>"grep -SE -B400 ""CHR.+\|PRM\|1\|D.+(SWITCH|SIGNAL).+UNKNOWN"" "&amp;search_path&amp;"\RTDC"&amp;B269&amp;"\*"&amp;B269&amp;"*"&amp;TEXT(AVERAGE(F269,I269)-utc_offset/24,"YYYYMMDD")&amp;"*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70" spans="1:40" x14ac:dyDescent="0.25">
      <c r="A270" s="33" t="s">
        <v>620</v>
      </c>
      <c r="B270" s="7">
        <v>4049</v>
      </c>
      <c r="C270" s="21" t="s">
        <v>294</v>
      </c>
      <c r="D270" s="21" t="s">
        <v>841</v>
      </c>
      <c r="E270" s="13">
        <v>42789.884293981479</v>
      </c>
      <c r="F270" s="13">
        <v>42789.913391203707</v>
      </c>
      <c r="G270" s="7">
        <v>1</v>
      </c>
      <c r="H270" s="21" t="s">
        <v>842</v>
      </c>
      <c r="I270" s="13">
        <v>42789.919293981482</v>
      </c>
      <c r="J270" s="7">
        <v>0</v>
      </c>
      <c r="K270" s="98" t="str">
        <f t="shared" si="57"/>
        <v>4049/4050</v>
      </c>
      <c r="L270" s="21" t="str">
        <f>VLOOKUP(A270,'Trips&amp;Operators'!$C$1:$G$99999,5,FALSE)</f>
        <v>YANG JAN</v>
      </c>
      <c r="M270" s="6">
        <f t="shared" si="58"/>
        <v>5.9027777751907706E-3</v>
      </c>
      <c r="N270" s="7">
        <f t="shared" si="59"/>
        <v>8.4999999962747097</v>
      </c>
      <c r="O270" s="7"/>
      <c r="P270" s="7"/>
      <c r="Q270" s="22"/>
      <c r="R270" s="22"/>
      <c r="S270" s="31">
        <f t="shared" si="60"/>
        <v>0</v>
      </c>
      <c r="T270" s="46" t="e">
        <f t="shared" si="61"/>
        <v>#VALUE!</v>
      </c>
      <c r="U270" s="185">
        <f>IF(AG270="EC",COUNTIFS(Variables!$M$2:$M$19,IF(T270="NorthBound","&gt;=","&lt;=")&amp;Y270,Variables!$M$2:$M$19,IF(T270="NorthBound","&lt;=","&gt;=")&amp;Z270),COUNTIFS(Variables!$P$2:$P$19,IF(T270="NorthBound","&gt;=","&lt;=")&amp;Y270,Variables!$P$2:$P$19,IF(T270="NorthBound","&lt;=","&gt;=")&amp;Z270))</f>
        <v>0</v>
      </c>
      <c r="V270" s="186" t="str">
        <f t="shared" si="62"/>
        <v>https://d0f6bd738d7f1b3e5a7ca70fe4ff75f0.us-east-1.aws.found.io/app/kibana#/discover/Steve-Slow-Train-Analysis-(2080s-and-2083s)?_g=(refreshInterval:(display:Off,pause:!f,section:0,value:0),time:(from:'2017-02-23T20:13:23-0700',mode:absolute,to:'2017-02-23T23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70" s="187" t="str">
        <f t="shared" si="63"/>
        <v>Y</v>
      </c>
      <c r="X270" s="187" t="e">
        <f t="shared" si="64"/>
        <v>#VALUE!</v>
      </c>
      <c r="Y270" s="62">
        <f t="shared" si="65"/>
        <v>8.9099999999999999E-2</v>
      </c>
      <c r="Z270" s="62">
        <f t="shared" si="66"/>
        <v>3.1101999999999999</v>
      </c>
      <c r="AA270" s="62">
        <f t="shared" si="75"/>
        <v>3.0210999999999997</v>
      </c>
      <c r="AB270" s="59" t="e">
        <f>VLOOKUP(A270,Enforcements!$C$7:$K$13,8,0)</f>
        <v>#N/A</v>
      </c>
      <c r="AC270" s="55" t="e">
        <f>VLOOKUP(A270,Enforcements!$C$7:$E$13,3,0)</f>
        <v>#N/A</v>
      </c>
      <c r="AD270" s="56" t="str">
        <f t="shared" si="68"/>
        <v>81-23</v>
      </c>
      <c r="AE270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70" s="82" t="str">
        <f t="shared" si="70"/>
        <v>"C:\Program Files (x86)\AstroGrep\AstroGrep.exe" /spath="%USERPROFILE%\AppData\Local\Temp\OnboardLogs" /stypes="app*4049*20170224*" /stext=" 05:.+(\|loc)" /e /r /s</v>
      </c>
      <c r="AG270" s="1" t="str">
        <f t="shared" si="71"/>
        <v>Other</v>
      </c>
      <c r="AH270" s="86" t="str">
        <f t="shared" ref="AH270:AH271" si="76">refinertdcruntimes&amp;" --tripid "&amp;A270&amp;" --locoid "&amp;B270&amp;" --swversion "&amp;C270&amp;" --startMP "&amp;D270&amp;" --initTime "&amp;TEXT(E270,"yyyy-mm-ddTHH:MM:SS")&amp;" --startdatetime "&amp;TEXT(F270,"yyyy-mm-ddTHH:MM:SS")&amp;" --delay "&amp;G270&amp;" --endMP "&amp;H270&amp;" --enddatetime "&amp;TEXT(I270,"yyyy-mm-ddTHH:MM:SS")&amp;" --enforcementcount "&amp;J270&amp;IF(outputrefinedruntimes," &gt;&gt;"&amp;RefinedRTDCRunTimesOutputFile,"")</f>
        <v>"%USERPROFILE%\Documents\GitHub\eaglep3\Utilities\RefineRTDCRunTimes.py" --tripid 81-23 --locoid 4049 --swversion DE.1.0.9.0 --startMP 204:891 --initTime 2017-02-23T21:13:23 --startdatetime 2017-02-23T21:55:17 --delay 1 --endMP 300:31102 --enddatetime 2017-02-23T22:03:47 --enforcementcount 0 &gt;&gt;C:\Users\stu\Documents\GitHub\eaglep3-reporting\EC\2017-02-23-refined-times.txt</v>
      </c>
      <c r="AI270" s="108" t="str">
        <f t="shared" ref="AI270:AI271" si="77">"echo {""issue"":{""subject"":"""&amp;R270&amp;""",""project_id"":79,""tracker_id"":40,""status_id"":"&amp;redmine_status&amp;",""priority_id"":"&amp;redmine_priority&amp;",""assigned_to_id"":"&amp;redmine_assignee&amp;",""start_date"":"""&amp;TEXT(I270,"YYYY-mm-dd")&amp;""",""description"":"""&amp;AJ270&amp;""",""custom_fields"":[{""id"":1,""name"":""Subdivision"",""value"":"""&amp;AG270&amp;"""},{""id"":4,""name"":""Milepost"",""value"":"""&amp;Z270&amp;"""},{""id"":17,""name"":""Train ID"",""value"":"""&amp;A270&amp;"""},{""id"":16,""name"":""Locomotive ID"",""value"":"""&amp;B270&amp;"""},{""id"":130,""name"":""Impact"",""value"":"""&amp;AK270&amp;"""},{""id"":150,""name"":""Time of Event (Mountain Time)"",""value"":"""&amp;TEXT(I270,"hh:mm:ss")&amp;"""},{""id"":151,""name"":""Denver Issue ID"",""value"":"""&amp;"""},{""id"":178,""name"":""Operational Impact"",""value"":"""&amp;redmine_op_impact&amp;"""},{""id"":179,""name"":""Denver Segment Assigned"",""value"":"""&amp;AL270&amp;"""}]}}"&amp;"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{"issue":{"subject":"","project_id":79,"tracker_id":40,"status_id":1,"priority_id":2,"assigned_to_id":23,"start_date":"2017-02-23","description":"","custom_fields":[{"id":1,"name":"Subdivision","value":"Other"},{"id":4,"name":"Milepost","value":"3.1102"},{"id":17,"name":"Train ID","value":"81-23"},{"id":16,"name":"Locomotive ID","value":"4049"},{"id":130,"name":"Impact","value":""},{"id":150,"name":"Time of Event (Mountain Time)","value":"22:03:47"},{"id":151,"name":"Denver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0" s="48"/>
      <c r="AK270" s="48"/>
      <c r="AL270" s="48"/>
      <c r="AM270" s="154" t="str">
        <f t="shared" ref="AM270:AM271" si="78">"start /low /b "&amp;dls3logs&amp;" --loco "&amp;B270&amp;" --day "&amp;TEXT(F270,"YYYY-MM-DD")</f>
        <v>start /low /b %USERPROFILE%\Documents\GitHub\eaglep3\Utilities\DownloadLogsFromS3.py --loco 4049 --day 2017-02-23</v>
      </c>
      <c r="AN270" s="163" t="str">
        <f>"grep -SE -B400 ""CHR.+\|PRM\|1\|D.+(SWITCH|SIGNAL).+UNKNOWN"" "&amp;search_path&amp;"\RTDC"&amp;B270&amp;"\*"&amp;B270&amp;"*"&amp;TEXT(AVERAGE(F270,I270)-utc_offset/24,"YYYYMMDD")&amp;"*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71" spans="1:40" x14ac:dyDescent="0.25">
      <c r="A271" s="33" t="s">
        <v>620</v>
      </c>
      <c r="B271" s="7">
        <v>4049</v>
      </c>
      <c r="C271" s="21" t="s">
        <v>294</v>
      </c>
      <c r="D271" s="21" t="s">
        <v>405</v>
      </c>
      <c r="E271" s="13">
        <v>42789.865393518521</v>
      </c>
      <c r="F271" s="13">
        <v>42789.885671296295</v>
      </c>
      <c r="G271" s="7">
        <v>1</v>
      </c>
      <c r="H271" s="21" t="s">
        <v>843</v>
      </c>
      <c r="I271" s="13">
        <v>42789.890821759262</v>
      </c>
      <c r="J271" s="7">
        <v>0</v>
      </c>
      <c r="K271" s="98" t="str">
        <f t="shared" si="57"/>
        <v>4049/4050</v>
      </c>
      <c r="L271" s="21" t="str">
        <f>VLOOKUP(A271,'Trips&amp;Operators'!$C$1:$G$99999,5,FALSE)</f>
        <v>YANG JAN</v>
      </c>
      <c r="M271" s="6">
        <f t="shared" si="58"/>
        <v>5.1504629664123058E-3</v>
      </c>
      <c r="N271" s="7">
        <f t="shared" si="59"/>
        <v>7.4166666716337204</v>
      </c>
      <c r="O271" s="7"/>
      <c r="P271" s="7"/>
      <c r="Q271" s="22"/>
      <c r="R271" s="22"/>
      <c r="S271" s="31">
        <f t="shared" si="60"/>
        <v>0</v>
      </c>
      <c r="T271" s="46" t="e">
        <f t="shared" si="61"/>
        <v>#VALUE!</v>
      </c>
      <c r="U271" s="185">
        <f>IF(AG271="EC",COUNTIFS(Variables!$M$2:$M$19,IF(T271="NorthBound","&gt;=","&lt;=")&amp;Y271,Variables!$M$2:$M$19,IF(T271="NorthBound","&lt;=","&gt;=")&amp;Z271),COUNTIFS(Variables!$P$2:$P$19,IF(T271="NorthBound","&gt;=","&lt;=")&amp;Y271,Variables!$P$2:$P$19,IF(T271="NorthBound","&lt;=","&gt;=")&amp;Z271))</f>
        <v>0</v>
      </c>
      <c r="V271" s="186" t="str">
        <f t="shared" si="62"/>
        <v>https://d0f6bd738d7f1b3e5a7ca70fe4ff75f0.us-east-1.aws.found.io/app/kibana#/discover/Steve-Slow-Train-Analysis-(2080s-and-2083s)?_g=(refreshInterval:(display:Off,pause:!f,section:0,value:0),time:(from:'2017-02-23T19:46:10-0700',mode:absolute,to:'2017-02-23T22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71" s="187" t="str">
        <f t="shared" si="63"/>
        <v>Y</v>
      </c>
      <c r="X271" s="187" t="e">
        <f t="shared" si="64"/>
        <v>#VALUE!</v>
      </c>
      <c r="Y271" s="62">
        <f t="shared" si="65"/>
        <v>9.7100000000000006E-2</v>
      </c>
      <c r="Z271" s="62">
        <f t="shared" si="66"/>
        <v>3.1337000000000002</v>
      </c>
      <c r="AA271" s="62">
        <f t="shared" si="75"/>
        <v>3.0366</v>
      </c>
      <c r="AB271" s="59" t="e">
        <f>VLOOKUP(A271,Enforcements!$C$7:$K$13,8,0)</f>
        <v>#N/A</v>
      </c>
      <c r="AC271" s="55" t="e">
        <f>VLOOKUP(A271,Enforcements!$C$7:$E$13,3,0)</f>
        <v>#N/A</v>
      </c>
      <c r="AD271" s="56" t="str">
        <f t="shared" si="68"/>
        <v>81-23</v>
      </c>
      <c r="AE271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71" s="82" t="str">
        <f t="shared" si="70"/>
        <v>"C:\Program Files (x86)\AstroGrep\AstroGrep.exe" /spath="%USERPROFILE%\AppData\Local\Temp\OnboardLogs" /stypes="app*4049*20170224*" /stext=" 04:.+(\|loc)" /e /r /s</v>
      </c>
      <c r="AG271" s="1" t="str">
        <f t="shared" si="71"/>
        <v>Other</v>
      </c>
      <c r="AH271" s="86" t="str">
        <f t="shared" si="76"/>
        <v>"%USERPROFILE%\Documents\GitHub\eaglep3\Utilities\RefineRTDCRunTimes.py" --tripid 81-23 --locoid 4049 --swversion DE.1.0.9.0 --startMP 204:971 --initTime 2017-02-23T20:46:10 --startdatetime 2017-02-23T21:15:22 --delay 1 --endMP 300:31337 --enddatetime 2017-02-23T21:22:47 --enforcementcount 0 &gt;&gt;C:\Users\stu\Documents\GitHub\eaglep3-reporting\EC\2017-02-23-refined-times.txt</v>
      </c>
      <c r="AI271" s="108" t="str">
        <f t="shared" si="77"/>
        <v>echo {"issue":{"subject":"","project_id":79,"tracker_id":40,"status_id":1,"priority_id":2,"assigned_to_id":23,"start_date":"2017-02-23","description":"","custom_fields":[{"id":1,"name":"Subdivision","value":"Other"},{"id":4,"name":"Milepost","value":"3.1337"},{"id":17,"name":"Train ID","value":"81-23"},{"id":16,"name":"Locomotive ID","value":"4049"},{"id":130,"name":"Impact","value":""},{"id":150,"name":"Time of Event (Mountain Time)","value":"21:22:47"},{"id":151,"name":"Denver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1" s="48"/>
      <c r="AK271" s="48"/>
      <c r="AL271" s="48"/>
      <c r="AM271" s="154" t="str">
        <f t="shared" si="78"/>
        <v>start /low /b %USERPROFILE%\Documents\GitHub\eaglep3\Utilities\DownloadLogsFromS3.py --loco 4049 --day 2017-02-23</v>
      </c>
      <c r="AN271" s="163" t="str">
        <f>"grep -SE -B400 ""CHR.+\|PRM\|1\|D.+(SWITCH|SIGNAL).+UNKNOWN"" "&amp;search_path&amp;"\RTDC"&amp;B271&amp;"\*"&amp;B271&amp;"*"&amp;TEXT(AVERAGE(F271,I271)-utc_offset/24,"YYYYMMDD")&amp;"*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</sheetData>
  <autoFilter ref="A12:AG253">
    <sortState ref="A13:AG271">
      <sortCondition ref="AG13:AG271"/>
      <sortCondition ref="AD13:AD271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6" operator="equal">
      <formula>"Y"</formula>
    </cfRule>
  </conditionalFormatting>
  <conditionalFormatting sqref="X13:X1048576">
    <cfRule type="cellIs" dxfId="9" priority="339" operator="greaterThan">
      <formula>1</formula>
    </cfRule>
  </conditionalFormatting>
  <conditionalFormatting sqref="X12:X1048576">
    <cfRule type="cellIs" dxfId="8" priority="336" operator="equal">
      <formula>0</formula>
    </cfRule>
  </conditionalFormatting>
  <conditionalFormatting sqref="A13:S27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A13:S271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A13:S271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AK13:AK271</xm:sqref>
        </x14:dataValidation>
        <x14:dataValidation type="list" allowBlank="1" showInputMessage="1" showErrorMessage="1">
          <x14:formula1>
            <xm:f>'Redmine List Values'!$C$2:$C$15</xm:f>
          </x14:formula1>
          <xm:sqref>AL13:AL271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9"/>
  <sheetViews>
    <sheetView tabSelected="1" topLeftCell="A18" zoomScaleNormal="100" workbookViewId="0">
      <selection activeCell="P9" sqref="P9:P4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62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- 2017-02-23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x14ac:dyDescent="0.25">
      <c r="A7" s="32">
        <v>42789.389930555553</v>
      </c>
      <c r="B7" s="30" t="s">
        <v>224</v>
      </c>
      <c r="C7" s="30" t="s">
        <v>422</v>
      </c>
      <c r="D7" s="30" t="s">
        <v>49</v>
      </c>
      <c r="E7" s="30" t="s">
        <v>197</v>
      </c>
      <c r="F7" s="43">
        <v>0</v>
      </c>
      <c r="G7" s="43">
        <v>46</v>
      </c>
      <c r="H7" s="43">
        <v>18520</v>
      </c>
      <c r="I7" s="43">
        <v>18538</v>
      </c>
      <c r="J7" s="30" t="s">
        <v>198</v>
      </c>
      <c r="K7" s="43">
        <v>18602</v>
      </c>
      <c r="L7" s="143" t="s">
        <v>50</v>
      </c>
      <c r="M7" s="144">
        <f t="shared" ref="M7:M38" si="0">CONVERT((I7-K7)/10000,"mi","ft")*IF(L7="Increasing Mileposts (1)",-1,1)</f>
        <v>33.792000000000002</v>
      </c>
      <c r="N7" s="145" t="str">
        <f>VLOOKUP(C7,'Trips&amp;Operators'!$C$1:$G$99999,5,FALSE)</f>
        <v>BONDS REYNALDO</v>
      </c>
      <c r="O7" s="194" t="s">
        <v>185</v>
      </c>
      <c r="P7" s="146" t="s">
        <v>906</v>
      </c>
      <c r="Q7" s="30"/>
      <c r="R7" s="89" t="str">
        <f>VLOOKUP(C7,'Train Runs'!$A$13:$AE$9941,31,0)</f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S7" s="92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-02-23T08:11:04-0700',mode:absolute,to:'2017-02-23T11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/stypes="*4029*201702231*" /stext=" 16:.+(\|loc)" /e /r /s</v>
      </c>
      <c r="U7" s="9" t="str">
        <f t="shared" ref="U7:U38" si="2">MID(B7,13,4)</f>
        <v>4029</v>
      </c>
      <c r="V7" s="32">
        <f t="shared" ref="V7:V38" si="3">A7-utc_offset/24</f>
        <v>42789.681597222218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C","project_id":79,"tracker_id":40,"status_id":1,"priority_id":2,"assigned_to_id":23,"start_date":"2017-02-23","description":"","custom_fields":[{"id":1,"name":"Subdivision","value":"EC"},{"id":4,"name":"Milepost","value":"1.8602"},{"id":17,"name":"Train ID","value":"145-23"},{"id":16,"name":"Locomotive ID","value":"4029"},{"id":130,"name":"Impact","value":""},{"id":150,"name":"Time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"%USERPROFILE%\AppData\Local\Temp\OnboardLogs"\RTDC4029\*4029*201702231*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"%USERPROFILE%\AppData\Local\Temp\OnboardLogs"\RTDC4029\*4029*201702231* &gt;&gt; 2017-02-23-SliceDisagreementCheck.txt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4029 --day 2017-02-23</v>
      </c>
    </row>
    <row r="8" spans="1:32" s="1" customFormat="1" x14ac:dyDescent="0.25">
      <c r="A8" s="32">
        <v>42789.37605324074</v>
      </c>
      <c r="B8" s="30" t="s">
        <v>208</v>
      </c>
      <c r="C8" s="30" t="s">
        <v>421</v>
      </c>
      <c r="D8" s="30" t="s">
        <v>49</v>
      </c>
      <c r="E8" s="30" t="s">
        <v>197</v>
      </c>
      <c r="F8" s="43">
        <v>0</v>
      </c>
      <c r="G8" s="43">
        <v>67</v>
      </c>
      <c r="H8" s="43">
        <v>19684</v>
      </c>
      <c r="I8" s="43">
        <v>19592</v>
      </c>
      <c r="J8" s="30" t="s">
        <v>198</v>
      </c>
      <c r="K8" s="43">
        <v>19341</v>
      </c>
      <c r="L8" s="143" t="s">
        <v>51</v>
      </c>
      <c r="M8" s="144">
        <f t="shared" si="0"/>
        <v>132.52799999999999</v>
      </c>
      <c r="N8" s="145" t="str">
        <f>VLOOKUP(C8,'Trips&amp;Operators'!$C$1:$G$99999,5,FALSE)</f>
        <v>BONDS REYNALDO</v>
      </c>
      <c r="O8" s="194" t="s">
        <v>185</v>
      </c>
      <c r="P8" s="146" t="s">
        <v>906</v>
      </c>
      <c r="Q8" s="30"/>
      <c r="R8" s="89" t="str">
        <f>VLOOKUP(C8,'Train Runs'!$A$13:$AE$9941,31,0)</f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S8" s="92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-02-23T07:21:58-0700',mode:absolute,to:'2017-02-23T10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94" t="str">
        <f t="shared" si="1"/>
        <v>"C:\Program Files (x86)\AstroGrep\AstroGrep.exe" /spath="%USERPROFILE%\AppData\Local\Temp\OnboardLogs" /stypes="*4030*201702231*" /stext=" 16:.+(\|loc)" /e /r /s</v>
      </c>
      <c r="U8" s="9" t="str">
        <f t="shared" si="2"/>
        <v>4030</v>
      </c>
      <c r="V8" s="32">
        <f t="shared" si="3"/>
        <v>42789.667719907404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C","project_id":79,"tracker_id":40,"status_id":1,"priority_id":2,"assigned_to_id":23,"start_date":"2017-02-23","description":"","custom_fields":[{"id":1,"name":"Subdivision","value":"EC"},{"id":4,"name":"Milepost","value":"1.9341"},{"id":17,"name":"Train ID","value":"132-23"},{"id":16,"name":"Locomotive ID","value":"4030"},{"id":130,"name":"Impact","value":""},{"id":150,"name":"Time of Event (Mountain Time)","value":"09:01:31"},{"id":151,"name":"Denver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"%USERPROFILE%\AppData\Local\Temp\OnboardLogs"\RTDC4030\*4030*201702231*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"%USERPROFILE%\AppData\Local\Temp\OnboardLogs"\RTDC4030\*4030*201702231* &gt;&gt; 2017-02-23-SliceDisagreementCheck.txt</v>
      </c>
      <c r="AE8" s="157" t="str">
        <f t="shared" si="8"/>
        <v>start /low /b %USERPROFILE%\Documents\GitHub\eaglep3\Utilities\DownloadLogsFromS3.py --loco 4030 --day 2017-02-23</v>
      </c>
    </row>
    <row r="9" spans="1:32" s="1" customFormat="1" x14ac:dyDescent="0.25">
      <c r="A9" s="32">
        <v>42789.348078703704</v>
      </c>
      <c r="B9" s="30" t="s">
        <v>417</v>
      </c>
      <c r="C9" s="30" t="s">
        <v>418</v>
      </c>
      <c r="D9" s="30" t="s">
        <v>49</v>
      </c>
      <c r="E9" s="30" t="s">
        <v>197</v>
      </c>
      <c r="F9" s="43">
        <v>0</v>
      </c>
      <c r="G9" s="43">
        <v>228</v>
      </c>
      <c r="H9" s="43">
        <v>26800</v>
      </c>
      <c r="I9" s="43">
        <v>27158</v>
      </c>
      <c r="J9" s="30" t="s">
        <v>198</v>
      </c>
      <c r="K9" s="43">
        <v>27053</v>
      </c>
      <c r="L9" s="143" t="s">
        <v>50</v>
      </c>
      <c r="M9" s="144">
        <f t="shared" si="0"/>
        <v>-55.44</v>
      </c>
      <c r="N9" s="145" t="str">
        <f>VLOOKUP(C9,'Trips&amp;Operators'!$C$1:$G$99999,5,FALSE)</f>
        <v>ROCHA YAOTL</v>
      </c>
      <c r="O9" s="194" t="s">
        <v>185</v>
      </c>
      <c r="P9" s="146" t="s">
        <v>302</v>
      </c>
      <c r="Q9" s="30"/>
      <c r="R9" s="89" t="str">
        <f>VLOOKUP(C9,'Train Runs'!$A$13:$AE$9941,31,0)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S9" s="92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-02-23T07:12:33-0700',mode:absolute,to:'2017-02-23T09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94" t="str">
        <f t="shared" si="1"/>
        <v>"C:\Program Files (x86)\AstroGrep\AstroGrep.exe" /spath="%USERPROFILE%\AppData\Local\Temp\OnboardLogs" /stypes="*4009*201702231*" /stext=" 15:.+(\|loc)" /e /r /s</v>
      </c>
      <c r="U9" s="9" t="str">
        <f t="shared" si="2"/>
        <v>4009</v>
      </c>
      <c r="V9" s="32">
        <f t="shared" si="3"/>
        <v>42789.639745370368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ID","value":"137-23"},{"id":16,"name":"Locomotive ID","value":"4009"},{"id":130,"name":"Impact","value":""},{"id":150,"name":"Time of Event (Mountain Time)","value":"08:21:14"},{"id":151,"name":"Denver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"%USERPROFILE%\AppData\Local\Temp\OnboardLogs"\RTDC4009\*4009*201702231*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"%USERPROFILE%\AppData\Local\Temp\OnboardLogs"\RTDC4009\*4009*201702231* &gt;&gt; 2017-02-23-SliceDisagreementCheck.txt</v>
      </c>
      <c r="AE9" s="157" t="str">
        <f t="shared" si="8"/>
        <v>start /low /b %USERPROFILE%\Documents\GitHub\eaglep3\Utilities\DownloadLogsFromS3.py --loco 4009 --day 2017-02-23</v>
      </c>
    </row>
    <row r="10" spans="1:32" s="1" customFormat="1" x14ac:dyDescent="0.25">
      <c r="A10" s="32">
        <v>42789.359224537038</v>
      </c>
      <c r="B10" s="30" t="s">
        <v>242</v>
      </c>
      <c r="C10" s="30" t="s">
        <v>420</v>
      </c>
      <c r="D10" s="30" t="s">
        <v>49</v>
      </c>
      <c r="E10" s="30" t="s">
        <v>197</v>
      </c>
      <c r="F10" s="43">
        <v>0</v>
      </c>
      <c r="G10" s="43">
        <v>182</v>
      </c>
      <c r="H10" s="43">
        <v>26891</v>
      </c>
      <c r="I10" s="43">
        <v>27166</v>
      </c>
      <c r="J10" s="30" t="s">
        <v>198</v>
      </c>
      <c r="K10" s="43">
        <v>27053</v>
      </c>
      <c r="L10" s="143" t="s">
        <v>50</v>
      </c>
      <c r="M10" s="144">
        <f t="shared" si="0"/>
        <v>-59.664000000000001</v>
      </c>
      <c r="N10" s="145" t="str">
        <f>VLOOKUP(C10,'Trips&amp;Operators'!$C$1:$G$99999,5,FALSE)</f>
        <v>YORK EDGAR</v>
      </c>
      <c r="O10" s="194" t="s">
        <v>185</v>
      </c>
      <c r="P10" s="146" t="s">
        <v>302</v>
      </c>
      <c r="Q10" s="30"/>
      <c r="R10" s="89" t="str">
        <f>VLOOKUP(C10,'Train Runs'!$A$13:$AE$9941,31,0)</f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S10" s="92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-02-23T07:22:54-0700',mode:absolute,to:'2017-02-23T10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/spath="%USERPROFILE%\AppData\Local\Temp\OnboardLogs" /stypes="*4003*201702231*" /stext=" 15:.+(\|loc)" /e /r /s</v>
      </c>
      <c r="U10" s="9" t="str">
        <f t="shared" si="2"/>
        <v>4003</v>
      </c>
      <c r="V10" s="32">
        <f t="shared" si="3"/>
        <v>42789.650891203702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ID","value":"139-23"},{"id":16,"name":"Locomotive ID","value":"4003"},{"id":130,"name":"Impact","value":""},{"id":150,"name":"Time of Event (Mountain Time)","value":"08:37:17"},{"id":151,"name":"Denver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"%USERPROFILE%\AppData\Local\Temp\OnboardLogs"\RTDC4003\*4003*201702231*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"%USERPROFILE%\AppData\Local\Temp\OnboardLogs"\RTDC4003\*4003*201702231* &gt;&gt; 2017-02-23-SliceDisagreementCheck.txt</v>
      </c>
      <c r="AE10" s="157" t="str">
        <f t="shared" si="8"/>
        <v>start /low /b %USERPROFILE%\Documents\GitHub\eaglep3\Utilities\DownloadLogsFromS3.py --loco 4003 --day 2017-02-23</v>
      </c>
    </row>
    <row r="11" spans="1:32" s="1" customFormat="1" x14ac:dyDescent="0.25">
      <c r="A11" s="32">
        <v>42789.421030092592</v>
      </c>
      <c r="B11" s="30" t="s">
        <v>417</v>
      </c>
      <c r="C11" s="30" t="s">
        <v>426</v>
      </c>
      <c r="D11" s="30" t="s">
        <v>49</v>
      </c>
      <c r="E11" s="30" t="s">
        <v>197</v>
      </c>
      <c r="F11" s="43">
        <v>0</v>
      </c>
      <c r="G11" s="43">
        <v>174</v>
      </c>
      <c r="H11" s="43">
        <v>26979</v>
      </c>
      <c r="I11" s="43">
        <v>27236</v>
      </c>
      <c r="J11" s="30" t="s">
        <v>198</v>
      </c>
      <c r="K11" s="43">
        <v>27053</v>
      </c>
      <c r="L11" s="143" t="s">
        <v>50</v>
      </c>
      <c r="M11" s="144">
        <f t="shared" si="0"/>
        <v>-96.623999999999995</v>
      </c>
      <c r="N11" s="145" t="str">
        <f>VLOOKUP(C11,'Trips&amp;Operators'!$C$1:$G$99999,5,FALSE)</f>
        <v>ROCHA YAOTL</v>
      </c>
      <c r="O11" s="194" t="s">
        <v>185</v>
      </c>
      <c r="P11" s="146" t="s">
        <v>302</v>
      </c>
      <c r="Q11" s="30"/>
      <c r="R11" s="89" t="str">
        <f>VLOOKUP(C11,'Train Runs'!$A$13:$AE$9941,31,0)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S11" s="92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-02-23T08:56:27-0700',mode:absolute,to:'2017-02-23T11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94" t="str">
        <f t="shared" si="1"/>
        <v>"C:\Program Files (x86)\AstroGrep\AstroGrep.exe" /spath="%USERPROFILE%\AppData\Local\Temp\OnboardLogs" /stypes="*4009*201702231*" /stext=" 17:.+(\|loc)" /e /r /s</v>
      </c>
      <c r="U11" s="9" t="str">
        <f t="shared" si="2"/>
        <v>4009</v>
      </c>
      <c r="V11" s="32">
        <f t="shared" si="3"/>
        <v>42789.712696759256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ID","value":"151-23"},{"id":16,"name":"Locomotive ID","value":"4009"},{"id":130,"name":"Impact","value":""},{"id":150,"name":"Time of Event (Mountain Time)","value":"10:06:17"},{"id":151,"name":"Denver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"%USERPROFILE%\AppData\Local\Temp\OnboardLogs"\RTDC4009\*4009*201702231*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"%USERPROFILE%\AppData\Local\Temp\OnboardLogs"\RTDC4009\*4009*201702231* &gt;&gt; 2017-02-23-SliceDisagreementCheck.txt</v>
      </c>
      <c r="AE11" s="157" t="str">
        <f t="shared" si="8"/>
        <v>start /low /b %USERPROFILE%\Documents\GitHub\eaglep3\Utilities\DownloadLogsFromS3.py --loco 4009 --day 2017-02-23</v>
      </c>
    </row>
    <row r="12" spans="1:32" s="1" customFormat="1" x14ac:dyDescent="0.25">
      <c r="A12" s="32">
        <v>42789.588946759257</v>
      </c>
      <c r="B12" s="30" t="s">
        <v>364</v>
      </c>
      <c r="C12" s="30" t="s">
        <v>441</v>
      </c>
      <c r="D12" s="30" t="s">
        <v>49</v>
      </c>
      <c r="E12" s="30" t="s">
        <v>197</v>
      </c>
      <c r="F12" s="43">
        <v>170</v>
      </c>
      <c r="G12" s="43">
        <v>294</v>
      </c>
      <c r="H12" s="43">
        <v>26404</v>
      </c>
      <c r="I12" s="43">
        <v>26993</v>
      </c>
      <c r="J12" s="30" t="s">
        <v>198</v>
      </c>
      <c r="K12" s="43">
        <v>27053</v>
      </c>
      <c r="L12" s="143" t="s">
        <v>50</v>
      </c>
      <c r="M12" s="144">
        <f t="shared" si="0"/>
        <v>31.68</v>
      </c>
      <c r="N12" s="145" t="str">
        <f>VLOOKUP(C12,'Trips&amp;Operators'!$C$1:$G$99999,5,FALSE)</f>
        <v>HELVIE ADAM</v>
      </c>
      <c r="O12" s="194" t="s">
        <v>185</v>
      </c>
      <c r="P12" s="146" t="s">
        <v>302</v>
      </c>
      <c r="Q12" s="30"/>
      <c r="R12" s="89" t="str">
        <f>VLOOKUP(C12,'Train Runs'!$A$13:$AE$9941,31,0)</f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S12" s="92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-02-23T12:58:24-0700',mode:absolute,to:'2017-02-23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2" s="94" t="str">
        <f t="shared" si="1"/>
        <v>"C:\Program Files (x86)\AstroGrep\AstroGrep.exe" /spath="%USERPROFILE%\AppData\Local\Temp\OnboardLogs" /stypes="*4040*201702232*" /stext=" 21:.+(\|loc)" /e /r /s</v>
      </c>
      <c r="U12" s="9" t="str">
        <f t="shared" si="2"/>
        <v>4040</v>
      </c>
      <c r="V12" s="32">
        <f t="shared" si="3"/>
        <v>42789.880613425921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ID","value":"183-23"},{"id":16,"name":"Locomotive ID","value":"4040"},{"id":130,"name":"Impact","value":""},{"id":150,"name":"Time of Event (Mountain Time)","value":"14:08:05"},{"id":151,"name":"Denver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"%USERPROFILE%\AppData\Local\Temp\OnboardLogs"\RTDC4040\*4040*201702232*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"%USERPROFILE%\AppData\Local\Temp\OnboardLogs"\RTDC4040\*4040*201702232* &gt;&gt; 2017-02-23-SliceDisagreementCheck.txt</v>
      </c>
      <c r="AE12" s="157" t="str">
        <f t="shared" si="8"/>
        <v>start /low /b %USERPROFILE%\Documents\GitHub\eaglep3\Utilities\DownloadLogsFromS3.py --loco 4040 --day 2017-02-23</v>
      </c>
    </row>
    <row r="13" spans="1:32" s="1" customFormat="1" x14ac:dyDescent="0.25">
      <c r="A13" s="32">
        <v>42789.671331018515</v>
      </c>
      <c r="B13" s="30" t="s">
        <v>216</v>
      </c>
      <c r="C13" s="30" t="s">
        <v>446</v>
      </c>
      <c r="D13" s="30" t="s">
        <v>49</v>
      </c>
      <c r="E13" s="30" t="s">
        <v>197</v>
      </c>
      <c r="F13" s="43">
        <v>0</v>
      </c>
      <c r="G13" s="43">
        <v>180</v>
      </c>
      <c r="H13" s="43">
        <v>27008</v>
      </c>
      <c r="I13" s="43">
        <v>27238</v>
      </c>
      <c r="J13" s="30" t="s">
        <v>198</v>
      </c>
      <c r="K13" s="43">
        <v>27053</v>
      </c>
      <c r="L13" s="143" t="s">
        <v>50</v>
      </c>
      <c r="M13" s="144">
        <f t="shared" si="0"/>
        <v>-97.68</v>
      </c>
      <c r="N13" s="145" t="str">
        <f>VLOOKUP(C13,'Trips&amp;Operators'!$C$1:$G$99999,5,FALSE)</f>
        <v>BRANNON JEFFREY</v>
      </c>
      <c r="O13" s="194" t="s">
        <v>185</v>
      </c>
      <c r="P13" s="146" t="s">
        <v>302</v>
      </c>
      <c r="Q13" s="30"/>
      <c r="R13" s="89" t="str">
        <f>VLOOKUP(C13,'Train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13" s="92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-02-23T14:53:56-0700',mode:absolute,to:'2017-02-23T17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94" t="str">
        <f t="shared" si="1"/>
        <v>"C:\Program Files (x86)\AstroGrep\AstroGrep.exe" /spath="%USERPROFILE%\AppData\Local\Temp\OnboardLogs" /stypes="*4046*201702232*" /stext=" 23:.+(\|loc)" /e /r /s</v>
      </c>
      <c r="U13" s="9" t="str">
        <f t="shared" si="2"/>
        <v>4046</v>
      </c>
      <c r="V13" s="32">
        <f t="shared" si="3"/>
        <v>42789.962997685179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ID","value":"199-23"},{"id":16,"name":"Locomotive ID","value":"4046"},{"id":130,"name":"Impact","value":""},{"id":150,"name":"Time of Event (Mountain Time)","value":"16:06:43"},{"id":151,"name":"Denver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"%USERPROFILE%\AppData\Local\Temp\OnboardLogs"\RTDC4046\*4046*201702232*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"%USERPROFILE%\AppData\Local\Temp\OnboardLogs"\RTDC4046\*4046*201702232* &gt;&gt; 2017-02-23-SliceDisagreementCheck.txt</v>
      </c>
      <c r="AE13" s="157" t="str">
        <f t="shared" si="8"/>
        <v>start /low /b %USERPROFILE%\Documents\GitHub\eaglep3\Utilities\DownloadLogsFromS3.py --loco 4046 --day 2017-02-23</v>
      </c>
    </row>
    <row r="14" spans="1:32" x14ac:dyDescent="0.25">
      <c r="A14" s="32">
        <v>42789.797152777777</v>
      </c>
      <c r="B14" s="30" t="s">
        <v>220</v>
      </c>
      <c r="C14" s="30" t="s">
        <v>454</v>
      </c>
      <c r="D14" s="30" t="s">
        <v>49</v>
      </c>
      <c r="E14" s="30" t="s">
        <v>197</v>
      </c>
      <c r="F14" s="43">
        <v>0</v>
      </c>
      <c r="G14" s="43">
        <v>243</v>
      </c>
      <c r="H14" s="43">
        <v>26947</v>
      </c>
      <c r="I14" s="43">
        <v>27316</v>
      </c>
      <c r="J14" s="30" t="s">
        <v>198</v>
      </c>
      <c r="K14" s="43">
        <v>27053</v>
      </c>
      <c r="L14" s="143" t="s">
        <v>50</v>
      </c>
      <c r="M14" s="144">
        <f t="shared" si="0"/>
        <v>-138.864</v>
      </c>
      <c r="N14" s="145" t="str">
        <f>VLOOKUP(C14,'Trips&amp;Operators'!$C$1:$G$99999,5,FALSE)</f>
        <v>CHANDLER KELVIN</v>
      </c>
      <c r="O14" s="194" t="s">
        <v>185</v>
      </c>
      <c r="P14" s="146" t="s">
        <v>302</v>
      </c>
      <c r="Q14" s="30"/>
      <c r="R14" s="89" t="str">
        <f>VLOOKUP(C14,'Train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14" s="92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-02-23T17:59:16-0700',mode:absolute,to:'2017-02-23T20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94" t="str">
        <f t="shared" si="1"/>
        <v>"C:\Program Files (x86)\AstroGrep\AstroGrep.exe" /spath="%USERPROFILE%\AppData\Local\Temp\OnboardLogs" /stypes="*4027*201702240*" /stext=" 02:.+(\|loc)" /e /r /s</v>
      </c>
      <c r="U14" s="9" t="str">
        <f t="shared" si="2"/>
        <v>4027</v>
      </c>
      <c r="V14" s="32">
        <f t="shared" si="3"/>
        <v>42790.088819444441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ID","value":"221-23"},{"id":16,"name":"Locomotive ID","value":"4027"},{"id":130,"name":"Impact","value":""},{"id":150,"name":"Time of Event (Mountain Time)","value":"19:07:54"},{"id":151,"name":"Denver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"%USERPROFILE%\AppData\Local\Temp\OnboardLogs"\RTDC4027\*4027*201702240*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"%USERPROFILE%\AppData\Local\Temp\OnboardLogs"\RTDC4027\*4027*201702240* &gt;&gt; 2017-02-23-SliceDisagreementCheck.txt</v>
      </c>
      <c r="AE14" s="157" t="str">
        <f t="shared" si="8"/>
        <v>start /low /b %USERPROFILE%\Documents\GitHub\eaglep3\Utilities\DownloadLogsFromS3.py --loco 4027 --day 2017-02-24</v>
      </c>
      <c r="AF14" s="1"/>
    </row>
    <row r="15" spans="1:32" x14ac:dyDescent="0.25">
      <c r="A15" s="32">
        <v>42789.854733796295</v>
      </c>
      <c r="B15" s="30" t="s">
        <v>219</v>
      </c>
      <c r="C15" s="30" t="s">
        <v>458</v>
      </c>
      <c r="D15" s="30" t="s">
        <v>49</v>
      </c>
      <c r="E15" s="30" t="s">
        <v>197</v>
      </c>
      <c r="F15" s="43">
        <v>0</v>
      </c>
      <c r="G15" s="43">
        <v>135</v>
      </c>
      <c r="H15" s="43">
        <v>27379</v>
      </c>
      <c r="I15" s="43">
        <v>27256</v>
      </c>
      <c r="J15" s="30" t="s">
        <v>198</v>
      </c>
      <c r="K15" s="43">
        <v>27350</v>
      </c>
      <c r="L15" s="143" t="s">
        <v>51</v>
      </c>
      <c r="M15" s="144">
        <f t="shared" si="0"/>
        <v>-49.631999999999998</v>
      </c>
      <c r="N15" s="145" t="str">
        <f>VLOOKUP(C15,'Trips&amp;Operators'!$C$1:$G$99999,5,FALSE)</f>
        <v>CHANDLER KELVIN</v>
      </c>
      <c r="O15" s="194" t="s">
        <v>185</v>
      </c>
      <c r="P15" s="146" t="s">
        <v>302</v>
      </c>
      <c r="Q15" s="30"/>
      <c r="R15" s="89" t="str">
        <f>VLOOKUP(C15,'Train Runs'!$A$13:$AE$9941,31,0)</f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S15" s="92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-02-23T18:48:41-0700',mode:absolute,to:'2017-02-23T21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94" t="str">
        <f t="shared" si="1"/>
        <v>"C:\Program Files (x86)\AstroGrep\AstroGrep.exe" /spath="%USERPROFILE%\AppData\Local\Temp\OnboardLogs" /stypes="*4028*201702240*" /stext=" 03:.+(\|loc)" /e /r /s</v>
      </c>
      <c r="U15" s="9" t="str">
        <f t="shared" si="2"/>
        <v>4028</v>
      </c>
      <c r="V15" s="32">
        <f t="shared" si="3"/>
        <v>42790.14640046296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arrival","project_id":79,"tracker_id":40,"status_id":1,"priority_id":2,"assigned_to_id":23,"start_date":"2017-02-23","description":"","custom_fields":[{"id":1,"name":"Subdivision","value":"EC"},{"id":4,"name":"Milepost","value":"2.735"},{"id":17,"name":"Train ID","value":"222-23"},{"id":16,"name":"Locomotive ID","value":"4028"},{"id":130,"name":"Impact","value":""},{"id":150,"name":"Time of Event (Mountain Time)","value":"20:30:49"},{"id":151,"name":"Denver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"%USERPROFILE%\AppData\Local\Temp\OnboardLogs"\RTDC4028\*4028*201702240*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"%USERPROFILE%\AppData\Local\Temp\OnboardLogs"\RTDC4028\*4028*201702240* &gt;&gt; 2017-02-23-SliceDisagreementCheck.txt</v>
      </c>
      <c r="AE15" s="157" t="str">
        <f t="shared" si="8"/>
        <v>start /low /b %USERPROFILE%\Documents\GitHub\eaglep3\Utilities\DownloadLogsFromS3.py --loco 4028 --day 2017-02-24</v>
      </c>
      <c r="AF15" s="1"/>
    </row>
    <row r="16" spans="1:32" x14ac:dyDescent="0.25">
      <c r="A16" s="32">
        <v>42789.964722222219</v>
      </c>
      <c r="B16" s="30" t="s">
        <v>217</v>
      </c>
      <c r="C16" s="30" t="s">
        <v>461</v>
      </c>
      <c r="D16" s="30" t="s">
        <v>98</v>
      </c>
      <c r="E16" s="30" t="s">
        <v>197</v>
      </c>
      <c r="F16" s="43">
        <v>0</v>
      </c>
      <c r="G16" s="43">
        <v>110</v>
      </c>
      <c r="H16" s="43">
        <v>27323</v>
      </c>
      <c r="I16" s="43">
        <v>27271</v>
      </c>
      <c r="J16" s="30" t="s">
        <v>198</v>
      </c>
      <c r="K16" s="43">
        <v>27350</v>
      </c>
      <c r="L16" s="143" t="s">
        <v>51</v>
      </c>
      <c r="M16" s="144">
        <f t="shared" si="0"/>
        <v>-41.712000000000003</v>
      </c>
      <c r="N16" s="145" t="str">
        <f>VLOOKUP(C16,'Trips&amp;Operators'!$C$1:$G$99999,5,FALSE)</f>
        <v>WHITED DUSTIN</v>
      </c>
      <c r="O16" s="194" t="s">
        <v>185</v>
      </c>
      <c r="P16" s="146" t="s">
        <v>302</v>
      </c>
      <c r="Q16" s="30"/>
      <c r="R16" s="89" t="str">
        <f>VLOOKUP(C16,'Train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16" s="92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-02-23T21:24:50-0700',mode:absolute,to:'2017-02-24T00:17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94" t="str">
        <f t="shared" si="1"/>
        <v>"C:\Program Files (x86)\AstroGrep\AstroGrep.exe" /spath="%USERPROFILE%\AppData\Local\Temp\OnboardLogs" /stypes="*4045*201702240*" /stext=" 06:.+(\|loc)" /e /r /s</v>
      </c>
      <c r="U16" s="9" t="str">
        <f t="shared" si="2"/>
        <v>4045</v>
      </c>
      <c r="V16" s="32">
        <f t="shared" si="3"/>
        <v>42790.256388888884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arrival","project_id":79,"tracker_id":40,"status_id":1,"priority_id":2,"assigned_to_id":23,"start_date":"2017-02-23","description":"","custom_fields":[{"id":1,"name":"Subdivision","value":"EC"},{"id":4,"name":"Milepost","value":"2.735"},{"id":17,"name":"Train ID","value":"232-23"},{"id":16,"name":"Locomotive ID","value":"4045"},{"id":130,"name":"Impact","value":""},{"id":150,"name":"Time of Event (Mountain Time)","value":"23:09:12"},{"id":151,"name":"Denver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"%USERPROFILE%\AppData\Local\Temp\OnboardLogs"\RTDC4045\*4045*201702240*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"%USERPROFILE%\AppData\Local\Temp\OnboardLogs"\RTDC4045\*4045*201702240* &gt;&gt; 2017-02-23-SliceDisagreementCheck.txt</v>
      </c>
      <c r="AE16" s="157" t="str">
        <f t="shared" si="8"/>
        <v>start /low /b %USERPROFILE%\Documents\GitHub\eaglep3\Utilities\DownloadLogsFromS3.py --loco 4045 --day 2017-02-24</v>
      </c>
      <c r="AF16" s="1"/>
    </row>
    <row r="17" spans="1:32" x14ac:dyDescent="0.25">
      <c r="A17" s="32">
        <v>42789.193761574075</v>
      </c>
      <c r="B17" s="30" t="s">
        <v>192</v>
      </c>
      <c r="C17" s="30" t="s">
        <v>410</v>
      </c>
      <c r="D17" s="30" t="s">
        <v>98</v>
      </c>
      <c r="E17" s="30" t="s">
        <v>197</v>
      </c>
      <c r="F17" s="43">
        <v>0</v>
      </c>
      <c r="G17" s="43">
        <v>59</v>
      </c>
      <c r="H17" s="43">
        <v>30838</v>
      </c>
      <c r="I17" s="43">
        <v>30886</v>
      </c>
      <c r="J17" s="30" t="s">
        <v>198</v>
      </c>
      <c r="K17" s="43">
        <v>30830</v>
      </c>
      <c r="L17" s="143" t="s">
        <v>50</v>
      </c>
      <c r="M17" s="144">
        <f t="shared" si="0"/>
        <v>-29.568000000000001</v>
      </c>
      <c r="N17" s="145" t="str">
        <f>VLOOKUP(C17,'Trips&amp;Operators'!$C$1:$G$99999,5,FALSE)</f>
        <v>GEBRETEKLE DAGNEW</v>
      </c>
      <c r="O17" s="194" t="s">
        <v>185</v>
      </c>
      <c r="P17" s="146" t="s">
        <v>302</v>
      </c>
      <c r="Q17" s="30"/>
      <c r="R17" s="89" t="str">
        <f>VLOOKUP(C17,'Train Runs'!$A$13:$AE$9941,31,0)</f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S17" s="92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-02-23T03:19:41-0700',mode:absolute,to:'2017-02-23T06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7" s="94" t="str">
        <f t="shared" si="1"/>
        <v>"C:\Program Files (x86)\AstroGrep\AstroGrep.exe" /spath="%USERPROFILE%\AppData\Local\Temp\OnboardLogs" /stypes="*4011*201702231*" /stext=" 11:.+(\|loc)" /e /r /s</v>
      </c>
      <c r="U17" s="9" t="str">
        <f t="shared" si="2"/>
        <v>4011</v>
      </c>
      <c r="V17" s="32">
        <f t="shared" si="3"/>
        <v>42789.48542824074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ID","value":"107-23"},{"id":16,"name":"Locomotive ID","value":"4011"},{"id":130,"name":"Impact","value":""},{"id":150,"name":"Time of Event (Mountain Time)","value":"04:39:01"},{"id":151,"name":"Denver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"%USERPROFILE%\AppData\Local\Temp\OnboardLogs"\RTDC4011\*4011*201702231*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"%USERPROFILE%\AppData\Local\Temp\OnboardLogs"\RTDC4011\*4011*201702231* &gt;&gt; 2017-02-23-SliceDisagreementCheck.txt</v>
      </c>
      <c r="AE17" s="157" t="str">
        <f t="shared" si="8"/>
        <v>start /low /b %USERPROFILE%\Documents\GitHub\eaglep3\Utilities\DownloadLogsFromS3.py --loco 4011 --day 2017-02-23</v>
      </c>
      <c r="AF17" s="1"/>
    </row>
    <row r="18" spans="1:32" ht="15" customHeight="1" x14ac:dyDescent="0.25">
      <c r="A18" s="32">
        <v>42789.193368055552</v>
      </c>
      <c r="B18" s="30" t="s">
        <v>192</v>
      </c>
      <c r="C18" s="30" t="s">
        <v>410</v>
      </c>
      <c r="D18" s="30" t="s">
        <v>49</v>
      </c>
      <c r="E18" s="30" t="s">
        <v>197</v>
      </c>
      <c r="F18" s="43">
        <v>140</v>
      </c>
      <c r="G18" s="43">
        <v>192</v>
      </c>
      <c r="H18" s="43">
        <v>30515</v>
      </c>
      <c r="I18" s="43">
        <v>30812</v>
      </c>
      <c r="J18" s="30" t="s">
        <v>198</v>
      </c>
      <c r="K18" s="43">
        <v>30830</v>
      </c>
      <c r="L18" s="143" t="s">
        <v>50</v>
      </c>
      <c r="M18" s="144">
        <f t="shared" si="0"/>
        <v>9.5039999999999996</v>
      </c>
      <c r="N18" s="145" t="str">
        <f>VLOOKUP(C18,'Trips&amp;Operators'!$C$1:$G$99999,5,FALSE)</f>
        <v>GEBRETEKLE DAGNEW</v>
      </c>
      <c r="O18" s="194" t="s">
        <v>185</v>
      </c>
      <c r="P18" s="146" t="s">
        <v>302</v>
      </c>
      <c r="Q18" s="30"/>
      <c r="R18" s="89" t="str">
        <f>VLOOKUP(C18,'Train Runs'!$A$13:$AE$9941,31,0)</f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S18" s="92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-02-23T03:19:41-0700',mode:absolute,to:'2017-02-23T06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94" t="str">
        <f t="shared" si="1"/>
        <v>"C:\Program Files (x86)\AstroGrep\AstroGrep.exe" /spath="%USERPROFILE%\AppData\Local\Temp\OnboardLogs" /stypes="*4011*201702231*" /stext=" 11:.+(\|loc)" /e /r /s</v>
      </c>
      <c r="U18" s="9" t="str">
        <f t="shared" si="2"/>
        <v>4011</v>
      </c>
      <c r="V18" s="32">
        <f t="shared" si="3"/>
        <v>42789.485034722216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ID","value":"107-23"},{"id":16,"name":"Locomotive ID","value":"4011"},{"id":130,"name":"Impact","value":""},{"id":150,"name":"Time of Event (Mountain Time)","value":"04:38:27"},{"id":151,"name":"Denver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"%USERPROFILE%\AppData\Local\Temp\OnboardLogs"\RTDC4011\*4011*201702231*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"%USERPROFILE%\AppData\Local\Temp\OnboardLogs"\RTDC4011\*4011*201702231* &gt;&gt; 2017-02-23-SliceDisagreementCheck.txt</v>
      </c>
      <c r="AE18" s="157" t="str">
        <f t="shared" si="8"/>
        <v>start /low /b %USERPROFILE%\Documents\GitHub\eaglep3\Utilities\DownloadLogsFromS3.py --loco 4011 --day 2017-02-23</v>
      </c>
      <c r="AF18" s="1"/>
    </row>
    <row r="19" spans="1:32" x14ac:dyDescent="0.25">
      <c r="A19" s="32">
        <v>42789.506307870368</v>
      </c>
      <c r="B19" s="30" t="s">
        <v>220</v>
      </c>
      <c r="C19" s="30" t="s">
        <v>436</v>
      </c>
      <c r="D19" s="30" t="s">
        <v>98</v>
      </c>
      <c r="E19" s="30" t="s">
        <v>197</v>
      </c>
      <c r="F19" s="43">
        <v>140</v>
      </c>
      <c r="G19" s="43">
        <v>201</v>
      </c>
      <c r="H19" s="43">
        <v>30974</v>
      </c>
      <c r="I19" s="43">
        <v>31365</v>
      </c>
      <c r="J19" s="30" t="s">
        <v>198</v>
      </c>
      <c r="K19" s="43">
        <v>30830</v>
      </c>
      <c r="L19" s="143" t="s">
        <v>50</v>
      </c>
      <c r="M19" s="144">
        <f t="shared" si="0"/>
        <v>-282.48</v>
      </c>
      <c r="N19" s="145" t="str">
        <f>VLOOKUP(C19,'Trips&amp;Operators'!$C$1:$G$99999,5,FALSE)</f>
        <v>HAITHCOX MICHAEL</v>
      </c>
      <c r="O19" s="194" t="s">
        <v>185</v>
      </c>
      <c r="P19" s="146" t="s">
        <v>302</v>
      </c>
      <c r="Q19" s="30"/>
      <c r="R19" s="89" t="str">
        <f>VLOOKUP(C19,'Train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19" s="92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-02-23T10:58:22-0700',mode:absolute,to:'2017-02-23T13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94" t="str">
        <f t="shared" si="1"/>
        <v>"C:\Program Files (x86)\AstroGrep\AstroGrep.exe" /spath="%USERPROFILE%\AppData\Local\Temp\OnboardLogs" /stypes="*4027*201702231*" /stext=" 19:.+(\|loc)" /e /r /s</v>
      </c>
      <c r="U19" s="9" t="str">
        <f t="shared" si="2"/>
        <v>4027</v>
      </c>
      <c r="V19" s="32">
        <f t="shared" si="3"/>
        <v>42789.797974537032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ID","value":"167-23"},{"id":16,"name":"Locomotive ID","value":"4027"},{"id":130,"name":"Impact","value":""},{"id":150,"name":"Time of Event (Mountain Time)","value":"12:09:05"},{"id":151,"name":"Denver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"%USERPROFILE%\AppData\Local\Temp\OnboardLogs"\RTDC4027\*4027*201702231*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"%USERPROFILE%\AppData\Local\Temp\OnboardLogs"\RTDC4027\*4027*201702231* &gt;&gt; 2017-02-23-SliceDisagreementCheck.txt</v>
      </c>
      <c r="AE19" s="157" t="str">
        <f t="shared" si="8"/>
        <v>start /low /b %USERPROFILE%\Documents\GitHub\eaglep3\Utilities\DownloadLogsFromS3.py --loco 4027 --day 2017-02-23</v>
      </c>
      <c r="AF19" s="1"/>
    </row>
    <row r="20" spans="1:32" x14ac:dyDescent="0.25">
      <c r="A20" s="32">
        <v>42789.818425925929</v>
      </c>
      <c r="B20" s="30" t="s">
        <v>216</v>
      </c>
      <c r="C20" s="30" t="s">
        <v>456</v>
      </c>
      <c r="D20" s="30" t="s">
        <v>98</v>
      </c>
      <c r="E20" s="30" t="s">
        <v>197</v>
      </c>
      <c r="F20" s="43">
        <v>0</v>
      </c>
      <c r="G20" s="43">
        <v>95</v>
      </c>
      <c r="H20" s="43">
        <v>30845</v>
      </c>
      <c r="I20" s="43">
        <v>30933</v>
      </c>
      <c r="J20" s="30" t="s">
        <v>198</v>
      </c>
      <c r="K20" s="43">
        <v>30830</v>
      </c>
      <c r="L20" s="143" t="s">
        <v>50</v>
      </c>
      <c r="M20" s="144">
        <f t="shared" si="0"/>
        <v>-54.384</v>
      </c>
      <c r="N20" s="145" t="str">
        <f>VLOOKUP(C20,'Trips&amp;Operators'!$C$1:$G$99999,5,FALSE)</f>
        <v>LOPES KIMBERLY</v>
      </c>
      <c r="O20" s="194" t="s">
        <v>185</v>
      </c>
      <c r="P20" s="146" t="s">
        <v>302</v>
      </c>
      <c r="Q20" s="30"/>
      <c r="R20" s="89" t="str">
        <f>VLOOKUP(C20,'Train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20" s="92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-02-23T18:23:42-0700',mode:absolute,to:'2017-02-23T21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0" s="94" t="str">
        <f t="shared" si="1"/>
        <v>"C:\Program Files (x86)\AstroGrep\AstroGrep.exe" /spath="%USERPROFILE%\AppData\Local\Temp\OnboardLogs" /stypes="*4046*201702240*" /stext=" 02:.+(\|loc)" /e /r /s</v>
      </c>
      <c r="U20" s="9" t="str">
        <f t="shared" si="2"/>
        <v>4046</v>
      </c>
      <c r="V20" s="32">
        <f t="shared" si="3"/>
        <v>42790.110092592593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ID","value":"223-23"},{"id":16,"name":"Locomotive ID","value":"4046"},{"id":130,"name":"Impact","value":""},{"id":150,"name":"Time of Event (Mountain Time)","value":"19:38:32"},{"id":151,"name":"Denver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"%USERPROFILE%\AppData\Local\Temp\OnboardLogs"\RTDC4046\*4046*201702240*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"%USERPROFILE%\AppData\Local\Temp\OnboardLogs"\RTDC4046\*4046*201702240* &gt;&gt; 2017-02-23-SliceDisagreementCheck.txt</v>
      </c>
      <c r="AE20" s="157" t="str">
        <f t="shared" si="8"/>
        <v>start /low /b %USERPROFILE%\Documents\GitHub\eaglep3\Utilities\DownloadLogsFromS3.py --loco 4046 --day 2017-02-24</v>
      </c>
      <c r="AF20" s="1"/>
    </row>
    <row r="21" spans="1:32" x14ac:dyDescent="0.25">
      <c r="A21" s="32">
        <v>42789.817928240744</v>
      </c>
      <c r="B21" s="30" t="s">
        <v>216</v>
      </c>
      <c r="C21" s="30" t="s">
        <v>456</v>
      </c>
      <c r="D21" s="30" t="s">
        <v>49</v>
      </c>
      <c r="E21" s="30" t="s">
        <v>197</v>
      </c>
      <c r="F21" s="43">
        <v>140</v>
      </c>
      <c r="G21" s="43">
        <v>198</v>
      </c>
      <c r="H21" s="43">
        <v>30345</v>
      </c>
      <c r="I21" s="43">
        <v>30763</v>
      </c>
      <c r="J21" s="30" t="s">
        <v>198</v>
      </c>
      <c r="K21" s="43">
        <v>30830</v>
      </c>
      <c r="L21" s="143" t="s">
        <v>50</v>
      </c>
      <c r="M21" s="144">
        <f t="shared" si="0"/>
        <v>35.375999999999998</v>
      </c>
      <c r="N21" s="145" t="str">
        <f>VLOOKUP(C21,'Trips&amp;Operators'!$C$1:$G$99999,5,FALSE)</f>
        <v>LOPES KIMBERLY</v>
      </c>
      <c r="O21" s="194" t="s">
        <v>185</v>
      </c>
      <c r="P21" s="146" t="s">
        <v>302</v>
      </c>
      <c r="Q21" s="30"/>
      <c r="R21" s="89" t="str">
        <f>VLOOKUP(C21,'Train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21" s="92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-02-23T18:23:42-0700',mode:absolute,to:'2017-02-23T21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1" s="94" t="str">
        <f t="shared" si="1"/>
        <v>"C:\Program Files (x86)\AstroGrep\AstroGrep.exe" /spath="%USERPROFILE%\AppData\Local\Temp\OnboardLogs" /stypes="*4046*201702240*" /stext=" 02:.+(\|loc)" /e /r /s</v>
      </c>
      <c r="U21" s="9" t="str">
        <f t="shared" si="2"/>
        <v>4046</v>
      </c>
      <c r="V21" s="32">
        <f t="shared" si="3"/>
        <v>42790.109594907408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ID","value":"223-23"},{"id":16,"name":"Locomotive ID","value":"4046"},{"id":130,"name":"Impact","value":""},{"id":150,"name":"Time of Event (Mountain Time)","value":"19:37:49"},{"id":151,"name":"Denver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"%USERPROFILE%\AppData\Local\Temp\OnboardLogs"\RTDC4046\*4046*201702240*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"%USERPROFILE%\AppData\Local\Temp\OnboardLogs"\RTDC4046\*4046*201702240* &gt;&gt; 2017-02-23-SliceDisagreementCheck.txt</v>
      </c>
      <c r="AE21" s="157" t="str">
        <f t="shared" si="8"/>
        <v>start /low /b %USERPROFILE%\Documents\GitHub\eaglep3\Utilities\DownloadLogsFromS3.py --loco 4046 --day 2017-02-24</v>
      </c>
      <c r="AF21" s="1"/>
    </row>
    <row r="22" spans="1:32" x14ac:dyDescent="0.25">
      <c r="A22" s="32">
        <v>42789.331157407411</v>
      </c>
      <c r="B22" s="30" t="s">
        <v>415</v>
      </c>
      <c r="C22" s="30" t="s">
        <v>416</v>
      </c>
      <c r="D22" s="30" t="s">
        <v>49</v>
      </c>
      <c r="E22" s="30" t="s">
        <v>197</v>
      </c>
      <c r="F22" s="43">
        <v>140</v>
      </c>
      <c r="G22" s="43">
        <v>245</v>
      </c>
      <c r="H22" s="43">
        <v>31506</v>
      </c>
      <c r="I22" s="43">
        <v>31056</v>
      </c>
      <c r="J22" s="30" t="s">
        <v>198</v>
      </c>
      <c r="K22" s="43">
        <v>30970</v>
      </c>
      <c r="L22" s="143" t="s">
        <v>51</v>
      </c>
      <c r="M22" s="144">
        <f t="shared" si="0"/>
        <v>45.408000000000001</v>
      </c>
      <c r="N22" s="145" t="str">
        <f>VLOOKUP(C22,'Trips&amp;Operators'!$C$1:$G$99999,5,FALSE)</f>
        <v>ROCHA YAOTL</v>
      </c>
      <c r="O22" s="194" t="s">
        <v>185</v>
      </c>
      <c r="P22" s="146" t="s">
        <v>302</v>
      </c>
      <c r="Q22" s="30"/>
      <c r="R22" s="89" t="str">
        <f>VLOOKUP(C22,'Train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22" s="92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-02-23T06:24:36-0700',mode:absolute,to:'2017-02-23T09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94" t="str">
        <f t="shared" si="1"/>
        <v>"C:\Program Files (x86)\AstroGrep\AstroGrep.exe" /spath="%USERPROFILE%\AppData\Local\Temp\OnboardLogs" /stypes="*4010*201702231*" /stext=" 14:.+(\|loc)" /e /r /s</v>
      </c>
      <c r="U22" s="9" t="str">
        <f t="shared" si="2"/>
        <v>4010</v>
      </c>
      <c r="V22" s="32">
        <f t="shared" si="3"/>
        <v>42789.622824074075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arrival","project_id":79,"tracker_id":40,"status_id":1,"priority_id":2,"assigned_to_id":23,"start_date":"2017-02-23","description":"","custom_fields":[{"id":1,"name":"Subdivision","value":"EC"},{"id":4,"name":"Milepost","value":"3.097"},{"id":17,"name":"Train ID","value":"124-23"},{"id":16,"name":"Locomotive ID","value":"4010"},{"id":130,"name":"Impact","value":""},{"id":150,"name":"Time of Event (Mountain Time)","value":"07:56:52"},{"id":151,"name":"Denver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"%USERPROFILE%\AppData\Local\Temp\OnboardLogs"\RTDC4010\*4010*201702231*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22" s="157" t="str">
        <f t="shared" si="8"/>
        <v>start /low /b %USERPROFILE%\Documents\GitHub\eaglep3\Utilities\DownloadLogsFromS3.py --loco 4010 --day 2017-02-23</v>
      </c>
      <c r="AF22" s="1"/>
    </row>
    <row r="23" spans="1:32" x14ac:dyDescent="0.25">
      <c r="A23" s="32">
        <v>42789.613599537035</v>
      </c>
      <c r="B23" s="30" t="s">
        <v>264</v>
      </c>
      <c r="C23" s="30" t="s">
        <v>442</v>
      </c>
      <c r="D23" s="30" t="s">
        <v>49</v>
      </c>
      <c r="E23" s="30" t="s">
        <v>197</v>
      </c>
      <c r="F23" s="43">
        <v>0</v>
      </c>
      <c r="G23" s="43">
        <v>169</v>
      </c>
      <c r="H23" s="43">
        <v>31097</v>
      </c>
      <c r="I23" s="43">
        <v>30936</v>
      </c>
      <c r="J23" s="30" t="s">
        <v>198</v>
      </c>
      <c r="K23" s="43">
        <v>30970</v>
      </c>
      <c r="L23" s="143" t="s">
        <v>51</v>
      </c>
      <c r="M23" s="144">
        <f t="shared" si="0"/>
        <v>-17.952000000000002</v>
      </c>
      <c r="N23" s="145" t="str">
        <f>VLOOKUP(C23,'Trips&amp;Operators'!$C$1:$G$99999,5,FALSE)</f>
        <v>BRUDER RICHARD</v>
      </c>
      <c r="O23" s="194" t="s">
        <v>185</v>
      </c>
      <c r="P23" s="146" t="s">
        <v>302</v>
      </c>
      <c r="Q23" s="30"/>
      <c r="R23" s="89" t="str">
        <f>VLOOKUP(C23,'Train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23" s="92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-02-23T13:07:16-0700',mode:absolute,to:'2017-02-23T15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3" s="94" t="str">
        <f t="shared" si="1"/>
        <v>"C:\Program Files (x86)\AstroGrep\AstroGrep.exe" /spath="%USERPROFILE%\AppData\Local\Temp\OnboardLogs" /stypes="*4012*201702232*" /stext=" 21:.+(\|loc)" /e /r /s</v>
      </c>
      <c r="U23" s="9" t="str">
        <f t="shared" si="2"/>
        <v>4012</v>
      </c>
      <c r="V23" s="32">
        <f t="shared" si="3"/>
        <v>42789.905266203699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arrival","project_id":79,"tracker_id":40,"status_id":1,"priority_id":2,"assigned_to_id":23,"start_date":"2017-02-23","description":"","custom_fields":[{"id":1,"name":"Subdivision","value":"EC"},{"id":4,"name":"Milepost","value":"3.097"},{"id":17,"name":"Train ID","value":"178-23"},{"id":16,"name":"Locomotive ID","value":"4012"},{"id":130,"name":"Impact","value":""},{"id":150,"name":"Time of Event (Mountain Time)","value":"14:43:35"},{"id":151,"name":"Denver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"%USERPROFILE%\AppData\Local\Temp\OnboardLogs"\RTDC4012\*4012*201702232*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"%USERPROFILE%\AppData\Local\Temp\OnboardLogs"\RTDC4012\*4012*201702232* &gt;&gt; 2017-02-23-SliceDisagreementCheck.txt</v>
      </c>
      <c r="AE23" s="157" t="str">
        <f t="shared" si="8"/>
        <v>start /low /b %USERPROFILE%\Documents\GitHub\eaglep3\Utilities\DownloadLogsFromS3.py --loco 4012 --day 2017-02-23</v>
      </c>
      <c r="AF23" s="1"/>
    </row>
    <row r="24" spans="1:32" x14ac:dyDescent="0.25">
      <c r="A24" s="32">
        <v>42789.36105324074</v>
      </c>
      <c r="B24" s="30" t="s">
        <v>242</v>
      </c>
      <c r="C24" s="30" t="s">
        <v>420</v>
      </c>
      <c r="D24" s="30" t="s">
        <v>98</v>
      </c>
      <c r="E24" s="30" t="s">
        <v>197</v>
      </c>
      <c r="F24" s="43">
        <v>310</v>
      </c>
      <c r="G24" s="43">
        <v>360</v>
      </c>
      <c r="H24" s="43">
        <v>33281</v>
      </c>
      <c r="I24" s="43">
        <v>34515</v>
      </c>
      <c r="J24" s="30" t="s">
        <v>198</v>
      </c>
      <c r="K24" s="43">
        <v>33137</v>
      </c>
      <c r="L24" s="143" t="s">
        <v>50</v>
      </c>
      <c r="M24" s="144">
        <f t="shared" si="0"/>
        <v>-727.58399999999995</v>
      </c>
      <c r="N24" s="145" t="str">
        <f>VLOOKUP(C24,'Trips&amp;Operators'!$C$1:$G$99999,5,FALSE)</f>
        <v>YORK EDGAR</v>
      </c>
      <c r="O24" s="194" t="s">
        <v>185</v>
      </c>
      <c r="P24" s="146" t="s">
        <v>302</v>
      </c>
      <c r="Q24" s="30"/>
      <c r="R24" s="89" t="str">
        <f>VLOOKUP(C24,'Train Runs'!$A$13:$AE$9941,31,0)</f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S24" s="92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-02-23T07:22:54-0700',mode:absolute,to:'2017-02-23T10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 t="shared" si="1"/>
        <v>"C:\Program Files (x86)\AstroGrep\AstroGrep.exe" /spath="%USERPROFILE%\AppData\Local\Temp\OnboardLogs" /stypes="*4003*201702231*" /stext=" 15:.+(\|loc)" /e /r /s</v>
      </c>
      <c r="U24" s="9" t="str">
        <f t="shared" si="2"/>
        <v>4003</v>
      </c>
      <c r="V24" s="32">
        <f t="shared" si="3"/>
        <v>42789.652719907404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arrival","project_id":79,"tracker_id":40,"status_id":1,"priority_id":2,"assigned_to_id":23,"start_date":"2017-02-23","description":"","custom_fields":[{"id":1,"name":"Subdivision","value":"EC"},{"id":4,"name":"Milepost","value":"3.3137"},{"id":17,"name":"Train ID","value":"139-23"},{"id":16,"name":"Locomotive ID","value":"4003"},{"id":130,"name":"Impact","value":""},{"id":150,"name":"Time of Event (Mountain Time)","value":"08:39:55"},{"id":151,"name":"Denver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"%USERPROFILE%\AppData\Local\Temp\OnboardLogs"\RTDC4003\*4003*201702231*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"%USERPROFILE%\AppData\Local\Temp\OnboardLogs"\RTDC4003\*4003*201702231* &gt;&gt; 2017-02-23-SliceDisagreementCheck.txt</v>
      </c>
      <c r="AE24" s="157" t="str">
        <f t="shared" si="8"/>
        <v>start /low /b %USERPROFILE%\Documents\GitHub\eaglep3\Utilities\DownloadLogsFromS3.py --loco 4003 --day 2017-02-23</v>
      </c>
      <c r="AF24" s="1"/>
    </row>
    <row r="25" spans="1:32" x14ac:dyDescent="0.25">
      <c r="A25" s="32">
        <v>42789.456990740742</v>
      </c>
      <c r="B25" s="30" t="s">
        <v>431</v>
      </c>
      <c r="C25" s="30" t="s">
        <v>432</v>
      </c>
      <c r="D25" s="30" t="s">
        <v>49</v>
      </c>
      <c r="E25" s="30" t="s">
        <v>197</v>
      </c>
      <c r="F25" s="43">
        <v>0</v>
      </c>
      <c r="G25" s="43">
        <v>223</v>
      </c>
      <c r="H25" s="43">
        <v>33259</v>
      </c>
      <c r="I25" s="43">
        <v>33143</v>
      </c>
      <c r="J25" s="30" t="s">
        <v>198</v>
      </c>
      <c r="K25" s="43">
        <v>33257</v>
      </c>
      <c r="L25" s="143" t="s">
        <v>51</v>
      </c>
      <c r="M25" s="144">
        <f t="shared" si="0"/>
        <v>-60.192</v>
      </c>
      <c r="N25" s="145" t="str">
        <f>VLOOKUP(C25,'Trips&amp;Operators'!$C$1:$G$99999,5,FALSE)</f>
        <v>ROBINSON KADDIBA</v>
      </c>
      <c r="O25" s="194" t="s">
        <v>185</v>
      </c>
      <c r="P25" s="146" t="s">
        <v>302</v>
      </c>
      <c r="Q25" s="30"/>
      <c r="R25" s="89" t="str">
        <f>VLOOKUP(C25,'Train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25" s="92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-02-23T09:18:54-0700',mode:absolute,to:'2017-02-23T12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94" t="str">
        <f t="shared" si="1"/>
        <v>"C:\Program Files (x86)\AstroGrep\AstroGrep.exe" /spath="%USERPROFILE%\AppData\Local\Temp\OnboardLogs" /stypes="*4013*201702231*" /stext=" 17:.+(\|loc)" /e /r /s</v>
      </c>
      <c r="U25" s="9" t="str">
        <f t="shared" si="2"/>
        <v>4013</v>
      </c>
      <c r="V25" s="32">
        <f t="shared" si="3"/>
        <v>42789.748657407406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arrival","project_id":79,"tracker_id":40,"status_id":1,"priority_id":2,"assigned_to_id":23,"start_date":"2017-02-23","description":"","custom_fields":[{"id":1,"name":"Subdivision","value":"EC"},{"id":4,"name":"Milepost","value":"3.3257"},{"id":17,"name":"Train ID","value":"148-23"},{"id":16,"name":"Locomotive ID","value":"4013"},{"id":130,"name":"Impact","value":""},{"id":150,"name":"Time of Event (Mountain Time)","value":"10:58:04"},{"id":151,"name":"Denver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"%USERPROFILE%\AppData\Local\Temp\OnboardLogs"\RTDC4013\*4013*201702231*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"%USERPROFILE%\AppData\Local\Temp\OnboardLogs"\RTDC4013\*4013*201702231* &gt;&gt; 2017-02-23-SliceDisagreementCheck.txt</v>
      </c>
      <c r="AE25" s="157" t="str">
        <f t="shared" si="8"/>
        <v>start /low /b %USERPROFILE%\Documents\GitHub\eaglep3\Utilities\DownloadLogsFromS3.py --loco 4013 --day 2017-02-23</v>
      </c>
      <c r="AF25" s="1"/>
    </row>
    <row r="26" spans="1:32" x14ac:dyDescent="0.25">
      <c r="A26" s="32">
        <v>42789.799560185187</v>
      </c>
      <c r="B26" s="30" t="s">
        <v>217</v>
      </c>
      <c r="C26" s="30" t="s">
        <v>455</v>
      </c>
      <c r="D26" s="30" t="s">
        <v>49</v>
      </c>
      <c r="E26" s="30" t="s">
        <v>197</v>
      </c>
      <c r="F26" s="43">
        <v>230</v>
      </c>
      <c r="G26" s="43">
        <v>335</v>
      </c>
      <c r="H26" s="43">
        <v>35581</v>
      </c>
      <c r="I26" s="43">
        <v>34552</v>
      </c>
      <c r="J26" s="30" t="s">
        <v>198</v>
      </c>
      <c r="K26" s="43">
        <v>33257</v>
      </c>
      <c r="L26" s="143" t="s">
        <v>51</v>
      </c>
      <c r="M26" s="144">
        <f t="shared" si="0"/>
        <v>683.76</v>
      </c>
      <c r="N26" s="145" t="str">
        <f>VLOOKUP(C26,'Trips&amp;Operators'!$C$1:$G$99999,5,FALSE)</f>
        <v>NEWELL JAMES</v>
      </c>
      <c r="O26" s="194" t="s">
        <v>185</v>
      </c>
      <c r="P26" s="146" t="s">
        <v>302</v>
      </c>
      <c r="Q26" s="30"/>
      <c r="R26" s="89" t="str">
        <f>VLOOKUP(C26,'Train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26" s="92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-02-23T17:26:51-0700',mode:absolute,to:'2017-02-23T20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94" t="str">
        <f t="shared" si="1"/>
        <v>"C:\Program Files (x86)\AstroGrep\AstroGrep.exe" /spath="%USERPROFILE%\AppData\Local\Temp\OnboardLogs" /stypes="*4045*201702240*" /stext=" 02:.+(\|loc)" /e /r /s</v>
      </c>
      <c r="U26" s="9" t="str">
        <f t="shared" si="2"/>
        <v>4045</v>
      </c>
      <c r="V26" s="32">
        <f t="shared" si="3"/>
        <v>42790.091226851851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arrival","project_id":79,"tracker_id":40,"status_id":1,"priority_id":2,"assigned_to_id":23,"start_date":"2017-02-23","description":"","custom_fields":[{"id":1,"name":"Subdivision","value":"EC"},{"id":4,"name":"Milepost","value":"3.3257"},{"id":17,"name":"Train ID","value":"214-23"},{"id":16,"name":"Locomotive ID","value":"4045"},{"id":130,"name":"Impact","value":""},{"id":150,"name":"Time of Event (Mountain Time)","value":"19:11:22"},{"id":151,"name":"Denver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"%USERPROFILE%\AppData\Local\Temp\OnboardLogs"\RTDC4045\*4045*201702240*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"%USERPROFILE%\AppData\Local\Temp\OnboardLogs"\RTDC4045\*4045*201702240* &gt;&gt; 2017-02-23-SliceDisagreementCheck.txt</v>
      </c>
      <c r="AE26" s="157" t="str">
        <f t="shared" si="8"/>
        <v>start /low /b %USERPROFILE%\Documents\GitHub\eaglep3\Utilities\DownloadLogsFromS3.py --loco 4045 --day 2017-02-24</v>
      </c>
      <c r="AF26" s="1"/>
    </row>
    <row r="27" spans="1:32" x14ac:dyDescent="0.25">
      <c r="A27" s="32">
        <v>42789.540347222224</v>
      </c>
      <c r="B27" s="30" t="s">
        <v>264</v>
      </c>
      <c r="C27" s="30" t="s">
        <v>438</v>
      </c>
      <c r="D27" s="30" t="s">
        <v>49</v>
      </c>
      <c r="E27" s="30" t="s">
        <v>197</v>
      </c>
      <c r="F27" s="43">
        <v>0</v>
      </c>
      <c r="G27" s="43">
        <v>168</v>
      </c>
      <c r="H27" s="43">
        <v>38072</v>
      </c>
      <c r="I27" s="43">
        <v>37835</v>
      </c>
      <c r="J27" s="30" t="s">
        <v>198</v>
      </c>
      <c r="K27" s="43">
        <v>37462</v>
      </c>
      <c r="L27" s="143" t="s">
        <v>51</v>
      </c>
      <c r="M27" s="144">
        <f t="shared" si="0"/>
        <v>196.94399999999999</v>
      </c>
      <c r="N27" s="145" t="str">
        <f>VLOOKUP(C27,'Trips&amp;Operators'!$C$1:$G$99999,5,FALSE)</f>
        <v>BRUDER RICHARD</v>
      </c>
      <c r="O27" s="194" t="s">
        <v>185</v>
      </c>
      <c r="P27" s="146" t="s">
        <v>906</v>
      </c>
      <c r="Q27" s="30"/>
      <c r="R27" s="89" t="str">
        <f>VLOOKUP(C27,'Train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27" s="92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-02-23T11:19:14-0700',mode:absolute,to:'2017-02-23T14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7" s="94" t="str">
        <f t="shared" si="1"/>
        <v>"C:\Program Files (x86)\AstroGrep\AstroGrep.exe" /spath="%USERPROFILE%\AppData\Local\Temp\OnboardLogs" /stypes="*4012*201702231*" /stext=" 19:.+(\|loc)" /e /r /s</v>
      </c>
      <c r="U27" s="9" t="str">
        <f t="shared" si="2"/>
        <v>4012</v>
      </c>
      <c r="V27" s="32">
        <f t="shared" si="3"/>
        <v>42789.832013888888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{"issue":{"subject":"Form C","project_id":79,"tracker_id":40,"status_id":1,"priority_id":2,"assigned_to_id":23,"start_date":"2017-02-23","description":"","custom_fields":[{"id":1,"name":"Subdivision","value":"EC"},{"id":4,"name":"Milepost","value":"3.7462"},{"id":17,"name":"Train ID","value":"164-23"},{"id":16,"name":"Locomotive ID","value":"4012"},{"id":130,"name":"Impact","value":""},{"id":150,"name":"Time of Event (Mountain Time)","value":"12:58:06"},{"id":151,"name":"Denver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"%USERPROFILE%\AppData\Local\Temp\OnboardLogs"\RTDC4012\*4012*201702231*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"%USERPROFILE%\AppData\Local\Temp\OnboardLogs"\RTDC4012\*4012*201702231* &gt;&gt; 2017-02-23-SliceDisagreementCheck.txt</v>
      </c>
      <c r="AE27" s="157" t="str">
        <f t="shared" si="8"/>
        <v>start /low /b %USERPROFILE%\Documents\GitHub\eaglep3\Utilities\DownloadLogsFromS3.py --loco 4012 --day 2017-02-23</v>
      </c>
      <c r="AF27" s="1"/>
    </row>
    <row r="28" spans="1:32" x14ac:dyDescent="0.25">
      <c r="A28" s="32">
        <v>42789.747175925928</v>
      </c>
      <c r="B28" s="30" t="s">
        <v>216</v>
      </c>
      <c r="C28" s="30" t="s">
        <v>449</v>
      </c>
      <c r="D28" s="30" t="s">
        <v>49</v>
      </c>
      <c r="E28" s="30" t="s">
        <v>197</v>
      </c>
      <c r="F28" s="43">
        <v>330</v>
      </c>
      <c r="G28" s="43">
        <v>460</v>
      </c>
      <c r="H28" s="43">
        <v>40682</v>
      </c>
      <c r="I28" s="43">
        <v>42426</v>
      </c>
      <c r="J28" s="30" t="s">
        <v>198</v>
      </c>
      <c r="K28" s="43">
        <v>42779</v>
      </c>
      <c r="L28" s="143" t="s">
        <v>50</v>
      </c>
      <c r="M28" s="144">
        <f t="shared" si="0"/>
        <v>186.38399999999999</v>
      </c>
      <c r="N28" s="145" t="str">
        <f>VLOOKUP(C28,'Trips&amp;Operators'!$C$1:$G$99999,5,FALSE)</f>
        <v>NEWELL JAMES</v>
      </c>
      <c r="O28" s="194" t="s">
        <v>185</v>
      </c>
      <c r="P28" s="146" t="s">
        <v>302</v>
      </c>
      <c r="Q28" s="30"/>
      <c r="R28" s="89" t="str">
        <f>VLOOKUP(C28,'Train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28" s="92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-02-23T16:38:57-0700',mode:absolute,to:'2017-02-23T19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8" s="94" t="str">
        <f t="shared" si="1"/>
        <v>"C:\Program Files (x86)\AstroGrep\AstroGrep.exe" /spath="%USERPROFILE%\AppData\Local\Temp\OnboardLogs" /stypes="*4046*201702240*" /stext=" 00:.+(\|loc)" /e /r /s</v>
      </c>
      <c r="U28" s="9" t="str">
        <f t="shared" si="2"/>
        <v>4046</v>
      </c>
      <c r="V28" s="32">
        <f t="shared" si="3"/>
        <v>42790.038842592592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arrival","project_id":79,"tracker_id":40,"status_id":1,"priority_id":2,"assigned_to_id":23,"start_date":"2017-02-23","description":"","custom_fields":[{"id":1,"name":"Subdivision","value":"EC"},{"id":4,"name":"Milepost","value":"4.2779"},{"id":17,"name":"Train ID","value":"213-23"},{"id":16,"name":"Locomotive ID","value":"4046"},{"id":130,"name":"Impact","value":""},{"id":150,"name":"Time of Event (Mountain Time)","value":"17:55:56"},{"id":151,"name":"Denver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"%USERPROFILE%\AppData\Local\Temp\OnboardLogs"\RTDC4046\*4046*201702240*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"%USERPROFILE%\AppData\Local\Temp\OnboardLogs"\RTDC4046\*4046*201702240* &gt;&gt; 2017-02-23-SliceDisagreementCheck.txt</v>
      </c>
      <c r="AE28" s="157" t="str">
        <f t="shared" si="8"/>
        <v>start /low /b %USERPROFILE%\Documents\GitHub\eaglep3\Utilities\DownloadLogsFromS3.py --loco 4046 --day 2017-02-24</v>
      </c>
      <c r="AF28" s="1"/>
    </row>
    <row r="29" spans="1:32" x14ac:dyDescent="0.25">
      <c r="A29" s="32">
        <v>42789.418067129627</v>
      </c>
      <c r="B29" s="30" t="s">
        <v>243</v>
      </c>
      <c r="C29" s="30" t="s">
        <v>424</v>
      </c>
      <c r="D29" s="30" t="s">
        <v>49</v>
      </c>
      <c r="E29" s="30" t="s">
        <v>197</v>
      </c>
      <c r="F29" s="43">
        <v>180</v>
      </c>
      <c r="G29" s="43">
        <v>262</v>
      </c>
      <c r="H29" s="43">
        <v>43381</v>
      </c>
      <c r="I29" s="43">
        <v>42933</v>
      </c>
      <c r="J29" s="30" t="s">
        <v>198</v>
      </c>
      <c r="K29" s="43">
        <v>42961</v>
      </c>
      <c r="L29" s="143" t="s">
        <v>51</v>
      </c>
      <c r="M29" s="144">
        <f t="shared" si="0"/>
        <v>-14.784000000000001</v>
      </c>
      <c r="N29" s="145" t="str">
        <f>VLOOKUP(C29,'Trips&amp;Operators'!$C$1:$G$99999,5,FALSE)</f>
        <v>YORK EDGAR</v>
      </c>
      <c r="O29" s="194" t="s">
        <v>185</v>
      </c>
      <c r="P29" s="146" t="s">
        <v>302</v>
      </c>
      <c r="Q29" s="30"/>
      <c r="R29" s="89" t="str">
        <f>VLOOKUP(C29,'Train Runs'!$A$13:$AE$9941,31,0)</f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S29" s="92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-02-23T08:08:28-0700',mode:absolute,to:'2017-02-23T11:16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/spath="%USERPROFILE%\AppData\Local\Temp\OnboardLogs" /stypes="*4004*201702231*" /stext=" 17:.+(\|loc)" /e /r /s</v>
      </c>
      <c r="U29" s="9" t="str">
        <f t="shared" si="2"/>
        <v>4004</v>
      </c>
      <c r="V29" s="32">
        <f t="shared" si="3"/>
        <v>42789.709733796291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arrival","project_id":79,"tracker_id":40,"status_id":1,"priority_id":2,"assigned_to_id":23,"start_date":"2017-02-23","description":"","custom_fields":[{"id":1,"name":"Subdivision","value":"EC"},{"id":4,"name":"Milepost","value":"4.2961"},{"id":17,"name":"Train ID","value":"140-23"},{"id":16,"name":"Locomotive ID","value":"4004"},{"id":130,"name":"Impact","value":""},{"id":150,"name":"Time of Event (Mountain Time)","value":"10:02:01"},{"id":151,"name":"Denver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"%USERPROFILE%\AppData\Local\Temp\OnboardLogs"\RTDC4004\*4004*201702231*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"%USERPROFILE%\AppData\Local\Temp\OnboardLogs"\RTDC4004\*4004*201702231* &gt;&gt; 2017-02-23-SliceDisagreementCheck.txt</v>
      </c>
      <c r="AE29" s="157" t="str">
        <f t="shared" si="8"/>
        <v>start /low /b %USERPROFILE%\Documents\GitHub\eaglep3\Utilities\DownloadLogsFromS3.py --loco 4004 --day 2017-02-23</v>
      </c>
      <c r="AF29" s="1"/>
    </row>
    <row r="30" spans="1:32" x14ac:dyDescent="0.25">
      <c r="A30" s="32">
        <v>42789.474699074075</v>
      </c>
      <c r="B30" s="30" t="s">
        <v>415</v>
      </c>
      <c r="C30" s="30" t="s">
        <v>433</v>
      </c>
      <c r="D30" s="30" t="s">
        <v>49</v>
      </c>
      <c r="E30" s="30" t="s">
        <v>197</v>
      </c>
      <c r="F30" s="43">
        <v>0</v>
      </c>
      <c r="G30" s="43">
        <v>641</v>
      </c>
      <c r="H30" s="43">
        <v>43608</v>
      </c>
      <c r="I30" s="43">
        <v>40560</v>
      </c>
      <c r="J30" s="30" t="s">
        <v>198</v>
      </c>
      <c r="K30" s="43">
        <v>42961</v>
      </c>
      <c r="L30" s="143" t="s">
        <v>51</v>
      </c>
      <c r="M30" s="144">
        <f t="shared" si="0"/>
        <v>-1267.7280000000001</v>
      </c>
      <c r="N30" s="145" t="str">
        <f>VLOOKUP(C30,'Trips&amp;Operators'!$C$1:$G$99999,5,FALSE)</f>
        <v>ROCHA YAOTL</v>
      </c>
      <c r="O30" s="194" t="s">
        <v>185</v>
      </c>
      <c r="P30" s="146" t="s">
        <v>302</v>
      </c>
      <c r="Q30" s="30"/>
      <c r="R30" s="89" t="str">
        <f>VLOOKUP(C30,'Train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30" s="92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-02-23T09:54:02-0700',mode:absolute,to:'2017-02-23T12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0" s="94" t="str">
        <f t="shared" si="1"/>
        <v>"C:\Program Files (x86)\AstroGrep\AstroGrep.exe" /spath="%USERPROFILE%\AppData\Local\Temp\OnboardLogs" /stypes="*4010*201702231*" /stext=" 18:.+(\|loc)" /e /r /s</v>
      </c>
      <c r="U30" s="9" t="str">
        <f t="shared" si="2"/>
        <v>4010</v>
      </c>
      <c r="V30" s="32">
        <f t="shared" si="3"/>
        <v>42789.766365740739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arrival","project_id":79,"tracker_id":40,"status_id":1,"priority_id":2,"assigned_to_id":23,"start_date":"2017-02-23","description":"","custom_fields":[{"id":1,"name":"Subdivision","value":"EC"},{"id":4,"name":"Milepost","value":"4.2961"},{"id":17,"name":"Train ID","value":"152-23"},{"id":16,"name":"Locomotive ID","value":"4010"},{"id":130,"name":"Impact","value":""},{"id":150,"name":"Time of Event (Mountain Time)","value":"11:23:34"},{"id":151,"name":"Denver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"%USERPROFILE%\AppData\Local\Temp\OnboardLogs"\RTDC4010\*4010*201702231*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30" s="157" t="str">
        <f t="shared" si="8"/>
        <v>start /low /b %USERPROFILE%\Documents\GitHub\eaglep3\Utilities\DownloadLogsFromS3.py --loco 4010 --day 2017-02-23</v>
      </c>
      <c r="AF30" s="1"/>
    </row>
    <row r="31" spans="1:32" x14ac:dyDescent="0.25">
      <c r="A31" s="32">
        <v>42789.571134259262</v>
      </c>
      <c r="B31" s="30" t="s">
        <v>363</v>
      </c>
      <c r="C31" s="30" t="s">
        <v>439</v>
      </c>
      <c r="D31" s="30" t="s">
        <v>49</v>
      </c>
      <c r="E31" s="30" t="s">
        <v>197</v>
      </c>
      <c r="F31" s="43">
        <v>0</v>
      </c>
      <c r="G31" s="43">
        <v>213</v>
      </c>
      <c r="H31" s="43">
        <v>43118</v>
      </c>
      <c r="I31" s="43">
        <v>42905</v>
      </c>
      <c r="J31" s="30" t="s">
        <v>198</v>
      </c>
      <c r="K31" s="43">
        <v>42961</v>
      </c>
      <c r="L31" s="143" t="s">
        <v>51</v>
      </c>
      <c r="M31" s="144">
        <f t="shared" si="0"/>
        <v>-29.568000000000001</v>
      </c>
      <c r="N31" s="145" t="str">
        <f>VLOOKUP(C31,'Trips&amp;Operators'!$C$1:$G$99999,5,FALSE)</f>
        <v>HELVIE ADAM</v>
      </c>
      <c r="O31" s="194" t="s">
        <v>185</v>
      </c>
      <c r="P31" s="146" t="s">
        <v>302</v>
      </c>
      <c r="Q31" s="30"/>
      <c r="R31" s="89" t="str">
        <f>VLOOKUP(C31,'Train Runs'!$A$13:$AE$9941,31,0)</f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S31" s="92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-02-23T12:02:53-0700',mode:absolute,to:'2017-02-23T14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94" t="str">
        <f t="shared" si="1"/>
        <v>"C:\Program Files (x86)\AstroGrep\AstroGrep.exe" /spath="%USERPROFILE%\AppData\Local\Temp\OnboardLogs" /stypes="*4039*201702232*" /stext=" 20:.+(\|loc)" /e /r /s</v>
      </c>
      <c r="U31" s="9" t="str">
        <f t="shared" si="2"/>
        <v>4039</v>
      </c>
      <c r="V31" s="32">
        <f t="shared" si="3"/>
        <v>42789.862800925926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arrival","project_id":79,"tracker_id":40,"status_id":1,"priority_id":2,"assigned_to_id":23,"start_date":"2017-02-23","description":"","custom_fields":[{"id":1,"name":"Subdivision","value":"EC"},{"id":4,"name":"Milepost","value":"4.2961"},{"id":17,"name":"Train ID","value":"170-23"},{"id":16,"name":"Locomotive ID","value":"4039"},{"id":130,"name":"Impact","value":""},{"id":150,"name":"Time of Event (Mountain Time)","value":"13:42:26"},{"id":151,"name":"Denver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"%USERPROFILE%\AppData\Local\Temp\OnboardLogs"\RTDC4039\*4039*201702232*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"%USERPROFILE%\AppData\Local\Temp\OnboardLogs"\RTDC4039\*4039*201702232* &gt;&gt; 2017-02-23-SliceDisagreementCheck.txt</v>
      </c>
      <c r="AE31" s="157" t="str">
        <f t="shared" si="8"/>
        <v>start /low /b %USERPROFILE%\Documents\GitHub\eaglep3\Utilities\DownloadLogsFromS3.py --loco 4039 --day 2017-02-23</v>
      </c>
      <c r="AF31" s="1"/>
    </row>
    <row r="32" spans="1:32" x14ac:dyDescent="0.25">
      <c r="A32" s="32">
        <v>42789.311388888891</v>
      </c>
      <c r="B32" s="30" t="s">
        <v>216</v>
      </c>
      <c r="C32" s="30" t="s">
        <v>414</v>
      </c>
      <c r="D32" s="30" t="s">
        <v>49</v>
      </c>
      <c r="E32" s="30" t="s">
        <v>197</v>
      </c>
      <c r="F32" s="43">
        <v>360</v>
      </c>
      <c r="G32" s="43">
        <v>519</v>
      </c>
      <c r="H32" s="43">
        <v>56702</v>
      </c>
      <c r="I32" s="43">
        <v>58511</v>
      </c>
      <c r="J32" s="30" t="s">
        <v>198</v>
      </c>
      <c r="K32" s="43">
        <v>58118</v>
      </c>
      <c r="L32" s="143" t="s">
        <v>50</v>
      </c>
      <c r="M32" s="144">
        <f t="shared" si="0"/>
        <v>-207.50399999999999</v>
      </c>
      <c r="N32" s="145" t="str">
        <f>VLOOKUP(C32,'Trips&amp;Operators'!$C$1:$G$99999,5,FALSE)</f>
        <v>STARKS ANGELINA</v>
      </c>
      <c r="O32" s="194" t="s">
        <v>185</v>
      </c>
      <c r="P32" s="146" t="s">
        <v>302</v>
      </c>
      <c r="Q32" s="30"/>
      <c r="R32" s="89" t="str">
        <f>VLOOKUP(C32,'Train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32" s="92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-02-23T06:08:55-0700',mode:absolute,to:'2017-02-23T08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2" s="94" t="str">
        <f t="shared" si="1"/>
        <v>"C:\Program Files (x86)\AstroGrep\AstroGrep.exe" /spath="%USERPROFILE%\AppData\Local\Temp\OnboardLogs" /stypes="*4046*201702231*" /stext=" 14:.+(\|loc)" /e /r /s</v>
      </c>
      <c r="U32" s="9" t="str">
        <f t="shared" si="2"/>
        <v>4046</v>
      </c>
      <c r="V32" s="32">
        <f t="shared" si="3"/>
        <v>42789.603055555555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arrival","project_id":79,"tracker_id":40,"status_id":1,"priority_id":2,"assigned_to_id":23,"start_date":"2017-02-23","description":"","custom_fields":[{"id":1,"name":"Subdivision","value":"EC"},{"id":4,"name":"Milepost","value":"5.8118"},{"id":17,"name":"Train ID","value":"129-23"},{"id":16,"name":"Locomotive ID","value":"4046"},{"id":130,"name":"Impact","value":""},{"id":150,"name":"Time of Event (Mountain Time)","value":"07:28:24"},{"id":151,"name":"Denver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"%USERPROFILE%\AppData\Local\Temp\OnboardLogs"\RTDC4046\*4046*201702231*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"%USERPROFILE%\AppData\Local\Temp\OnboardLogs"\RTDC4046\*4046*201702231* &gt;&gt; 2017-02-23-SliceDisagreementCheck.txt</v>
      </c>
      <c r="AE32" s="157" t="str">
        <f t="shared" si="8"/>
        <v>start /low /b %USERPROFILE%\Documents\GitHub\eaglep3\Utilities\DownloadLogsFromS3.py --loco 4046 --day 2017-02-23</v>
      </c>
      <c r="AF32" s="1"/>
    </row>
    <row r="33" spans="1:32" x14ac:dyDescent="0.25">
      <c r="A33" s="32">
        <v>42789.829398148147</v>
      </c>
      <c r="B33" s="30" t="s">
        <v>264</v>
      </c>
      <c r="C33" s="30" t="s">
        <v>457</v>
      </c>
      <c r="D33" s="30" t="s">
        <v>49</v>
      </c>
      <c r="E33" s="30" t="s">
        <v>197</v>
      </c>
      <c r="F33" s="43">
        <v>240</v>
      </c>
      <c r="G33" s="43">
        <v>290</v>
      </c>
      <c r="H33" s="43">
        <v>58831</v>
      </c>
      <c r="I33" s="43">
        <v>58137</v>
      </c>
      <c r="J33" s="30" t="s">
        <v>198</v>
      </c>
      <c r="K33" s="43">
        <v>58301</v>
      </c>
      <c r="L33" s="143" t="s">
        <v>51</v>
      </c>
      <c r="M33" s="144">
        <f t="shared" si="0"/>
        <v>-86.592000000000013</v>
      </c>
      <c r="N33" s="145" t="str">
        <f>VLOOKUP(C33,'Trips&amp;Operators'!$C$1:$G$99999,5,FALSE)</f>
        <v>HILLS DUSTIN</v>
      </c>
      <c r="O33" s="194" t="s">
        <v>185</v>
      </c>
      <c r="P33" s="146" t="s">
        <v>302</v>
      </c>
      <c r="Q33" s="30"/>
      <c r="R33" s="89" t="str">
        <f>VLOOKUP(C33,'Train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33" s="92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-02-23T18:12:25-0700',mode:absolute,to:'2017-02-23T21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3" s="94" t="str">
        <f t="shared" si="1"/>
        <v>"C:\Program Files (x86)\AstroGrep\AstroGrep.exe" /spath="%USERPROFILE%\AppData\Local\Temp\OnboardLogs" /stypes="*4012*201702240*" /stext=" 02:.+(\|loc)" /e /r /s</v>
      </c>
      <c r="U33" s="9" t="str">
        <f t="shared" si="2"/>
        <v>4012</v>
      </c>
      <c r="V33" s="32">
        <f t="shared" si="3"/>
        <v>42790.121064814812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arrival","project_id":79,"tracker_id":40,"status_id":1,"priority_id":2,"assigned_to_id":23,"start_date":"2017-02-23","description":"","custom_fields":[{"id":1,"name":"Subdivision","value":"EC"},{"id":4,"name":"Milepost","value":"5.8301"},{"id":17,"name":"Train ID","value":"220-23"},{"id":16,"name":"Locomotive ID","value":"4012"},{"id":130,"name":"Impact","value":""},{"id":150,"name":"Time of Event (Mountain Time)","value":"19:54:20"},{"id":151,"name":"Denver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"%USERPROFILE%\AppData\Local\Temp\OnboardLogs"\RTDC4012\*4012*201702240*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"%USERPROFILE%\AppData\Local\Temp\OnboardLogs"\RTDC4012\*4012*201702240* &gt;&gt; 2017-02-23-SliceDisagreementCheck.txt</v>
      </c>
      <c r="AE33" s="157" t="str">
        <f t="shared" si="8"/>
        <v>start /low /b %USERPROFILE%\Documents\GitHub\eaglep3\Utilities\DownloadLogsFromS3.py --loco 4012 --day 2017-02-24</v>
      </c>
      <c r="AF33" s="1"/>
    </row>
    <row r="34" spans="1:32" x14ac:dyDescent="0.25">
      <c r="A34" s="32">
        <v>42789.311793981484</v>
      </c>
      <c r="B34" s="30" t="s">
        <v>216</v>
      </c>
      <c r="C34" s="30" t="s">
        <v>414</v>
      </c>
      <c r="D34" s="30" t="s">
        <v>49</v>
      </c>
      <c r="E34" s="30" t="s">
        <v>197</v>
      </c>
      <c r="F34" s="43">
        <v>10</v>
      </c>
      <c r="G34" s="43">
        <v>86</v>
      </c>
      <c r="H34" s="43">
        <v>58598</v>
      </c>
      <c r="I34" s="43">
        <v>58807</v>
      </c>
      <c r="J34" s="30" t="s">
        <v>198</v>
      </c>
      <c r="K34" s="43">
        <v>58783</v>
      </c>
      <c r="L34" s="143" t="s">
        <v>50</v>
      </c>
      <c r="M34" s="144">
        <f t="shared" si="0"/>
        <v>-12.672000000000001</v>
      </c>
      <c r="N34" s="145" t="str">
        <f>VLOOKUP(C34,'Trips&amp;Operators'!$C$1:$G$99999,5,FALSE)</f>
        <v>STARKS ANGELINA</v>
      </c>
      <c r="O34" s="194" t="s">
        <v>185</v>
      </c>
      <c r="P34" s="146" t="s">
        <v>302</v>
      </c>
      <c r="Q34" s="30"/>
      <c r="R34" s="89" t="str">
        <f>VLOOKUP(C34,'Train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34" s="92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-02-23T06:08:55-0700',mode:absolute,to:'2017-02-23T08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4" s="94" t="str">
        <f t="shared" si="1"/>
        <v>"C:\Program Files (x86)\AstroGrep\AstroGrep.exe" /spath="%USERPROFILE%\AppData\Local\Temp\OnboardLogs" /stypes="*4046*201702231*" /stext=" 14:.+(\|loc)" /e /r /s</v>
      </c>
      <c r="U34" s="9" t="str">
        <f t="shared" si="2"/>
        <v>4046</v>
      </c>
      <c r="V34" s="32">
        <f t="shared" si="3"/>
        <v>42789.603460648148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arrival","project_id":79,"tracker_id":40,"status_id":1,"priority_id":2,"assigned_to_id":23,"start_date":"2017-02-23","description":"","custom_fields":[{"id":1,"name":"Subdivision","value":"EC"},{"id":4,"name":"Milepost","value":"5.8783"},{"id":17,"name":"Train ID","value":"129-23"},{"id":16,"name":"Locomotive ID","value":"4046"},{"id":130,"name":"Impact","value":""},{"id":150,"name":"Time of Event (Mountain Time)","value":"07:28:59"},{"id":151,"name":"Denver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"%USERPROFILE%\AppData\Local\Temp\OnboardLogs"\RTDC4046\*4046*201702231*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"%USERPROFILE%\AppData\Local\Temp\OnboardLogs"\RTDC4046\*4046*201702231* &gt;&gt; 2017-02-23-SliceDisagreementCheck.txt</v>
      </c>
      <c r="AE34" s="157" t="str">
        <f t="shared" si="8"/>
        <v>start /low /b %USERPROFILE%\Documents\GitHub\eaglep3\Utilities\DownloadLogsFromS3.py --loco 4046 --day 2017-02-23</v>
      </c>
      <c r="AF34" s="1"/>
    </row>
    <row r="35" spans="1:32" x14ac:dyDescent="0.25">
      <c r="A35" s="32">
        <v>42789.425509259258</v>
      </c>
      <c r="B35" s="30" t="s">
        <v>363</v>
      </c>
      <c r="C35" s="30" t="s">
        <v>428</v>
      </c>
      <c r="D35" s="30" t="s">
        <v>49</v>
      </c>
      <c r="E35" s="30" t="s">
        <v>197</v>
      </c>
      <c r="F35" s="43">
        <v>80</v>
      </c>
      <c r="G35" s="43">
        <v>137</v>
      </c>
      <c r="H35" s="43">
        <v>63961</v>
      </c>
      <c r="I35" s="43">
        <v>63737</v>
      </c>
      <c r="J35" s="30" t="s">
        <v>198</v>
      </c>
      <c r="K35" s="43">
        <v>63309</v>
      </c>
      <c r="L35" s="143" t="s">
        <v>51</v>
      </c>
      <c r="M35" s="144">
        <f t="shared" si="0"/>
        <v>225.98400000000001</v>
      </c>
      <c r="N35" s="145" t="str">
        <f>VLOOKUP(C35,'Trips&amp;Operators'!$C$1:$G$99999,5,FALSE)</f>
        <v>BADERTSCHER DIANE</v>
      </c>
      <c r="O35" s="194" t="s">
        <v>185</v>
      </c>
      <c r="P35" s="146" t="s">
        <v>302</v>
      </c>
      <c r="Q35" s="30"/>
      <c r="R35" s="89" t="str">
        <f>VLOOKUP(C35,'Train Runs'!$A$13:$AE$9941,31,0)</f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S35" s="92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-02-23T08:27:39-0700',mode:absolute,to:'2017-02-23T11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94" t="str">
        <f t="shared" si="1"/>
        <v>"C:\Program Files (x86)\AstroGrep\AstroGrep.exe" /spath="%USERPROFILE%\AppData\Local\Temp\OnboardLogs" /stypes="*4039*201702231*" /stext=" 17:.+(\|loc)" /e /r /s</v>
      </c>
      <c r="U35" s="9" t="str">
        <f t="shared" si="2"/>
        <v>4039</v>
      </c>
      <c r="V35" s="32">
        <f t="shared" si="3"/>
        <v>42789.717175925922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ID","value":"142-23"},{"id":16,"name":"Locomotive ID","value":"4039"},{"id":130,"name":"Impact","value":""},{"id":150,"name":"Time of Event (Mountain Time)","value":"10:12:44"},{"id":151,"name":"Denver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"%USERPROFILE%\AppData\Local\Temp\OnboardLogs"\RTDC4039\*4039*201702231*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"%USERPROFILE%\AppData\Local\Temp\OnboardLogs"\RTDC4039\*4039*201702231* &gt;&gt; 2017-02-23-SliceDisagreementCheck.txt</v>
      </c>
      <c r="AE35" s="157" t="str">
        <f t="shared" si="8"/>
        <v>start /low /b %USERPROFILE%\Documents\GitHub\eaglep3\Utilities\DownloadLogsFromS3.py --loco 4039 --day 2017-02-23</v>
      </c>
      <c r="AF35" s="1"/>
    </row>
    <row r="36" spans="1:32" x14ac:dyDescent="0.25">
      <c r="A36" s="32">
        <v>42789.576261574075</v>
      </c>
      <c r="B36" s="30" t="s">
        <v>217</v>
      </c>
      <c r="C36" s="30" t="s">
        <v>440</v>
      </c>
      <c r="D36" s="30" t="s">
        <v>49</v>
      </c>
      <c r="E36" s="30" t="s">
        <v>197</v>
      </c>
      <c r="F36" s="43">
        <v>100</v>
      </c>
      <c r="G36" s="43">
        <v>159</v>
      </c>
      <c r="H36" s="43">
        <v>63983</v>
      </c>
      <c r="I36" s="43">
        <v>63645</v>
      </c>
      <c r="J36" s="30" t="s">
        <v>198</v>
      </c>
      <c r="K36" s="43">
        <v>63309</v>
      </c>
      <c r="L36" s="143" t="s">
        <v>51</v>
      </c>
      <c r="M36" s="144">
        <f t="shared" si="0"/>
        <v>177.40799999999999</v>
      </c>
      <c r="N36" s="145" t="str">
        <f>VLOOKUP(C36,'Trips&amp;Operators'!$C$1:$G$99999,5,FALSE)</f>
        <v>BRANNON JEFFREY</v>
      </c>
      <c r="O36" s="194" t="s">
        <v>185</v>
      </c>
      <c r="P36" s="146" t="s">
        <v>302</v>
      </c>
      <c r="Q36" s="30"/>
      <c r="R36" s="89" t="str">
        <f>VLOOKUP(C36,'Train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36" s="92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-02-23T12:07:48-0700',mode:absolute,to:'2017-02-23T15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6" s="94" t="str">
        <f t="shared" si="1"/>
        <v>"C:\Program Files (x86)\AstroGrep\AstroGrep.exe" /spath="%USERPROFILE%\AppData\Local\Temp\OnboardLogs" /stypes="*4045*201702232*" /stext=" 20:.+(\|loc)" /e /r /s</v>
      </c>
      <c r="U36" s="9" t="str">
        <f t="shared" si="2"/>
        <v>4045</v>
      </c>
      <c r="V36" s="32">
        <f t="shared" si="3"/>
        <v>42789.867928240739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ID","value":"172-23"},{"id":16,"name":"Locomotive ID","value":"4045"},{"id":130,"name":"Impact","value":""},{"id":150,"name":"Time of Event (Mountain Time)","value":"13:49:49"},{"id":151,"name":"Denver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"%USERPROFILE%\AppData\Local\Temp\OnboardLogs"\RTDC4045\*4045*201702232*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"%USERPROFILE%\AppData\Local\Temp\OnboardLogs"\RTDC4045\*4045*201702232* &gt;&gt; 2017-02-23-SliceDisagreementCheck.txt</v>
      </c>
      <c r="AE36" s="157" t="str">
        <f t="shared" si="8"/>
        <v>start /low /b %USERPROFILE%\Documents\GitHub\eaglep3\Utilities\DownloadLogsFromS3.py --loco 4045 --day 2017-02-23</v>
      </c>
      <c r="AF36" s="1"/>
    </row>
    <row r="37" spans="1:32" x14ac:dyDescent="0.25">
      <c r="A37" s="32">
        <v>42789.722800925927</v>
      </c>
      <c r="B37" s="30" t="s">
        <v>217</v>
      </c>
      <c r="C37" s="30" t="s">
        <v>447</v>
      </c>
      <c r="D37" s="30" t="s">
        <v>49</v>
      </c>
      <c r="E37" s="30" t="s">
        <v>197</v>
      </c>
      <c r="F37" s="43">
        <v>140</v>
      </c>
      <c r="G37" s="43">
        <v>200</v>
      </c>
      <c r="H37" s="43">
        <v>63872</v>
      </c>
      <c r="I37" s="43">
        <v>63528</v>
      </c>
      <c r="J37" s="30" t="s">
        <v>198</v>
      </c>
      <c r="K37" s="43">
        <v>63309</v>
      </c>
      <c r="L37" s="143" t="s">
        <v>51</v>
      </c>
      <c r="M37" s="144">
        <f t="shared" si="0"/>
        <v>115.63200000000001</v>
      </c>
      <c r="N37" s="145" t="str">
        <f>VLOOKUP(C37,'Trips&amp;Operators'!$C$1:$G$99999,5,FALSE)</f>
        <v>BRANNON JEFFREY</v>
      </c>
      <c r="O37" s="194" t="s">
        <v>185</v>
      </c>
      <c r="P37" s="146" t="s">
        <v>302</v>
      </c>
      <c r="Q37" s="30"/>
      <c r="R37" s="89" t="str">
        <f>VLOOKUP(C37,'Train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37" s="92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-02-23T15:38:44-0700',mode:absolute,to:'2017-02-23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7" s="94" t="str">
        <f t="shared" si="1"/>
        <v>"C:\Program Files (x86)\AstroGrep\AstroGrep.exe" /spath="%USERPROFILE%\AppData\Local\Temp\OnboardLogs" /stypes="*4045*201702240*" /stext=" 00:.+(\|loc)" /e /r /s</v>
      </c>
      <c r="U37" s="9" t="str">
        <f t="shared" si="2"/>
        <v>4045</v>
      </c>
      <c r="V37" s="32">
        <f t="shared" si="3"/>
        <v>42790.014467592591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ID","value":"200-23"},{"id":16,"name":"Locomotive ID","value":"4045"},{"id":130,"name":"Impact","value":""},{"id":150,"name":"Time of Event (Mountain Time)","value":"17:20:50"},{"id":151,"name":"Denver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"%USERPROFILE%\AppData\Local\Temp\OnboardLogs"\RTDC4045\*4045*201702240*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"%USERPROFILE%\AppData\Local\Temp\OnboardLogs"\RTDC4045\*4045*201702240* &gt;&gt; 2017-02-23-SliceDisagreementCheck.txt</v>
      </c>
      <c r="AE37" s="157" t="str">
        <f t="shared" si="8"/>
        <v>start /low /b %USERPROFILE%\Documents\GitHub\eaglep3\Utilities\DownloadLogsFromS3.py --loco 4045 --day 2017-02-24</v>
      </c>
      <c r="AF37" s="1"/>
    </row>
    <row r="38" spans="1:32" x14ac:dyDescent="0.25">
      <c r="A38" s="32">
        <v>42789.754537037035</v>
      </c>
      <c r="B38" s="30" t="s">
        <v>264</v>
      </c>
      <c r="C38" s="30" t="s">
        <v>450</v>
      </c>
      <c r="D38" s="30" t="s">
        <v>49</v>
      </c>
      <c r="E38" s="30" t="s">
        <v>197</v>
      </c>
      <c r="F38" s="43">
        <v>140</v>
      </c>
      <c r="G38" s="43">
        <v>194</v>
      </c>
      <c r="H38" s="43">
        <v>63766</v>
      </c>
      <c r="I38" s="43">
        <v>63444</v>
      </c>
      <c r="J38" s="30" t="s">
        <v>198</v>
      </c>
      <c r="K38" s="43">
        <v>63309</v>
      </c>
      <c r="L38" s="143" t="s">
        <v>51</v>
      </c>
      <c r="M38" s="144">
        <f t="shared" si="0"/>
        <v>71.28</v>
      </c>
      <c r="N38" s="145" t="str">
        <f>VLOOKUP(C38,'Trips&amp;Operators'!$C$1:$G$99999,5,FALSE)</f>
        <v>BRUDER RICHARD</v>
      </c>
      <c r="O38" s="194" t="s">
        <v>185</v>
      </c>
      <c r="P38" s="146" t="s">
        <v>302</v>
      </c>
      <c r="Q38" s="30"/>
      <c r="R38" s="89" t="str">
        <f>VLOOKUP(C38,'Train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38" s="92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-02-23T16:34:23-0700',mode:absolute,to:'2017-02-23T19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94" t="str">
        <f t="shared" si="1"/>
        <v>"C:\Program Files (x86)\AstroGrep\AstroGrep.exe" /spath="%USERPROFILE%\AppData\Local\Temp\OnboardLogs" /stypes="*4012*201702240*" /stext=" 01:.+(\|loc)" /e /r /s</v>
      </c>
      <c r="U38" s="9" t="str">
        <f t="shared" si="2"/>
        <v>4012</v>
      </c>
      <c r="V38" s="32">
        <f t="shared" si="3"/>
        <v>42790.0462037037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ID","value":"206-23"},{"id":16,"name":"Locomotive ID","value":"4012"},{"id":130,"name":"Impact","value":""},{"id":150,"name":"Time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"%USERPROFILE%\AppData\Local\Temp\OnboardLogs"\RTDC4012\*4012*201702240*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"%USERPROFILE%\AppData\Local\Temp\OnboardLogs"\RTDC4012\*4012*201702240* &gt;&gt; 2017-02-23-SliceDisagreementCheck.txt</v>
      </c>
      <c r="AE38" s="157" t="str">
        <f t="shared" si="8"/>
        <v>start /low /b %USERPROFILE%\Documents\GitHub\eaglep3\Utilities\DownloadLogsFromS3.py --loco 4012 --day 2017-02-24</v>
      </c>
      <c r="AF38" s="1"/>
    </row>
    <row r="39" spans="1:32" x14ac:dyDescent="0.25">
      <c r="A39" s="32">
        <v>42789.890844907408</v>
      </c>
      <c r="B39" s="30" t="s">
        <v>431</v>
      </c>
      <c r="C39" s="30" t="s">
        <v>459</v>
      </c>
      <c r="D39" s="30" t="s">
        <v>49</v>
      </c>
      <c r="E39" s="30" t="s">
        <v>197</v>
      </c>
      <c r="F39" s="43">
        <v>150</v>
      </c>
      <c r="G39" s="43">
        <v>209</v>
      </c>
      <c r="H39" s="43">
        <v>63818</v>
      </c>
      <c r="I39" s="43">
        <v>63424</v>
      </c>
      <c r="J39" s="30" t="s">
        <v>198</v>
      </c>
      <c r="K39" s="43">
        <v>63309</v>
      </c>
      <c r="L39" s="143" t="s">
        <v>51</v>
      </c>
      <c r="M39" s="144">
        <f t="shared" ref="M39:M69" si="9">CONVERT((I39-K39)/10000,"mi","ft")*IF(L39="Increasing Mileposts (1)",-1,1)</f>
        <v>60.72</v>
      </c>
      <c r="N39" s="145" t="str">
        <f>VLOOKUP(C39,'Trips&amp;Operators'!$C$1:$G$99999,5,FALSE)</f>
        <v>BROWN JACOB</v>
      </c>
      <c r="O39" s="194" t="s">
        <v>185</v>
      </c>
      <c r="P39" s="146" t="s">
        <v>302</v>
      </c>
      <c r="Q39" s="30"/>
      <c r="R39" s="89" t="str">
        <f>VLOOKUP(C39,'Train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39" s="92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-02-23T19:53:22-0700',mode:absolute,to:'2017-02-23T22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9" s="94" t="str">
        <f t="shared" ref="T39:T69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/stypes="*4013*201702240*" /stext=" 04:.+(\|loc)" /e /r /s</v>
      </c>
      <c r="U39" s="9" t="str">
        <f t="shared" ref="U39:U69" si="11">MID(B39,13,4)</f>
        <v>4013</v>
      </c>
      <c r="V39" s="32">
        <f t="shared" ref="V39:V69" si="12">A39-utc_offset/24</f>
        <v>42790.182511574072</v>
      </c>
      <c r="W39" s="46" t="str">
        <f t="shared" ref="W39:W69" si="13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9" si="14">IF(AND(E39="TRACK WARRANT AUTHORITY",G39&lt;10),"OMIT","KEEP")</f>
        <v>KEEP</v>
      </c>
      <c r="Y39" s="108" t="str">
        <f t="shared" ref="Y39:Y69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ID","value":"226-23"},{"id":16,"name":"Locomotive ID","value":"4013"},{"id":130,"name":"Impact","value":""},{"id":150,"name":"Time of Event (Mountain Time)","value":"21:22:49"},{"id":151,"name":"Denver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69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"%USERPROFILE%\AppData\Local\Temp\OnboardLogs"\RTDC4013\*4013*201702240*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"%USERPROFILE%\AppData\Local\Temp\OnboardLogs"\RTDC4013\*4013*201702240* &gt;&gt; 2017-02-23-SliceDisagreementCheck.txt</v>
      </c>
      <c r="AE39" s="157" t="str">
        <f t="shared" ref="AE39:AE69" si="17">"start /low /b "&amp;dls3logs&amp;" --loco "&amp;U39&amp;" --day "&amp;TEXT(V39,"YYYY-MM-DD")</f>
        <v>start /low /b %USERPROFILE%\Documents\GitHub\eaglep3\Utilities\DownloadLogsFromS3.py --loco 4013 --day 2017-02-24</v>
      </c>
      <c r="AF39" s="1"/>
    </row>
    <row r="40" spans="1:32" x14ac:dyDescent="0.25">
      <c r="A40" s="32">
        <v>42789.56758101852</v>
      </c>
      <c r="B40" s="30" t="s">
        <v>363</v>
      </c>
      <c r="C40" s="30" t="s">
        <v>439</v>
      </c>
      <c r="D40" s="30" t="s">
        <v>49</v>
      </c>
      <c r="E40" s="30" t="s">
        <v>197</v>
      </c>
      <c r="F40" s="43">
        <v>0</v>
      </c>
      <c r="G40" s="43">
        <v>378</v>
      </c>
      <c r="H40" s="43">
        <v>66678</v>
      </c>
      <c r="I40" s="43">
        <v>65778</v>
      </c>
      <c r="J40" s="30" t="s">
        <v>198</v>
      </c>
      <c r="K40" s="43">
        <v>64955</v>
      </c>
      <c r="L40" s="143" t="s">
        <v>51</v>
      </c>
      <c r="M40" s="144">
        <f t="shared" si="9"/>
        <v>434.54399999999998</v>
      </c>
      <c r="N40" s="145" t="str">
        <f>VLOOKUP(C40,'Trips&amp;Operators'!$C$1:$G$99999,5,FALSE)</f>
        <v>HELVIE ADAM</v>
      </c>
      <c r="O40" s="194" t="s">
        <v>185</v>
      </c>
      <c r="P40" s="146" t="s">
        <v>906</v>
      </c>
      <c r="Q40" s="30"/>
      <c r="R40" s="89" t="str">
        <f>VLOOKUP(C40,'Train Runs'!$A$13:$AE$9941,31,0)</f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S40" s="92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-02-23T12:02:53-0700',mode:absolute,to:'2017-02-23T14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94" t="str">
        <f t="shared" si="10"/>
        <v>"C:\Program Files (x86)\AstroGrep\AstroGrep.exe" /spath="%USERPROFILE%\AppData\Local\Temp\OnboardLogs" /stypes="*4039*201702232*" /stext=" 20:.+(\|loc)" /e /r /s</v>
      </c>
      <c r="U40" s="9" t="str">
        <f t="shared" si="11"/>
        <v>4039</v>
      </c>
      <c r="V40" s="32">
        <f t="shared" si="12"/>
        <v>42789.859247685185</v>
      </c>
      <c r="W40" s="46" t="str">
        <f t="shared" si="13"/>
        <v>EC</v>
      </c>
      <c r="X40" s="46" t="str">
        <f t="shared" si="14"/>
        <v>KEEP</v>
      </c>
      <c r="Y40" s="108" t="str">
        <f t="shared" si="15"/>
        <v>echo {"issue":{"subject":"Form C","project_id":79,"tracker_id":40,"status_id":1,"priority_id":2,"assigned_to_id":23,"start_date":"2017-02-23","description":"","custom_fields":[{"id":1,"name":"Subdivision","value":"EC"},{"id":4,"name":"Milepost","value":"6.4955"},{"id":17,"name":"Train ID","value":"170-23"},{"id":16,"name":"Locomotive ID","value":"4039"},{"id":130,"name":"Impact","value":""},{"id":150,"name":"Time of Event (Mountain Time)","value":"13:37:19"},{"id":151,"name":"Denver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6"/>
        <v>grep -hSE -A400 "Enforcement Action" "%USERPROFILE%\AppData\Local\Temp\OnboardLogs"\RTDC4039\*4039*201702232*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"%USERPROFILE%\AppData\Local\Temp\OnboardLogs"\RTDC4039\*4039*201702232* &gt;&gt; 2017-02-23-SliceDisagreementCheck.txt</v>
      </c>
      <c r="AE40" s="157" t="str">
        <f t="shared" si="17"/>
        <v>start /low /b %USERPROFILE%\Documents\GitHub\eaglep3\Utilities\DownloadLogsFromS3.py --loco 4039 --day 2017-02-23</v>
      </c>
      <c r="AF40" s="1"/>
    </row>
    <row r="41" spans="1:32" x14ac:dyDescent="0.25">
      <c r="A41" s="32">
        <v>42789.523900462962</v>
      </c>
      <c r="B41" s="30" t="s">
        <v>431</v>
      </c>
      <c r="C41" s="30" t="s">
        <v>437</v>
      </c>
      <c r="D41" s="30" t="s">
        <v>49</v>
      </c>
      <c r="E41" s="30" t="s">
        <v>197</v>
      </c>
      <c r="F41" s="43">
        <v>500</v>
      </c>
      <c r="G41" s="43">
        <v>562</v>
      </c>
      <c r="H41" s="43">
        <v>79660</v>
      </c>
      <c r="I41" s="43">
        <v>77671</v>
      </c>
      <c r="J41" s="30" t="s">
        <v>198</v>
      </c>
      <c r="K41" s="43">
        <v>78469</v>
      </c>
      <c r="L41" s="143" t="s">
        <v>51</v>
      </c>
      <c r="M41" s="144">
        <f t="shared" si="9"/>
        <v>-421.34399999999999</v>
      </c>
      <c r="N41" s="145" t="str">
        <f>VLOOKUP(C41,'Trips&amp;Operators'!$C$1:$G$99999,5,FALSE)</f>
        <v>KILLION DAVID</v>
      </c>
      <c r="O41" s="194" t="s">
        <v>185</v>
      </c>
      <c r="P41" s="146" t="s">
        <v>302</v>
      </c>
      <c r="Q41" s="30"/>
      <c r="R41" s="89" t="str">
        <f>VLOOKUP(C41,'Train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41" s="92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-02-23T11:02:15-0700',mode:absolute,to:'2017-02-23T13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94" t="str">
        <f t="shared" si="10"/>
        <v>"C:\Program Files (x86)\AstroGrep\AstroGrep.exe" /spath="%USERPROFILE%\AppData\Local\Temp\OnboardLogs" /stypes="*4013*201702231*" /stext=" 19:.+(\|loc)" /e /r /s</v>
      </c>
      <c r="U41" s="9" t="str">
        <f t="shared" si="11"/>
        <v>4013</v>
      </c>
      <c r="V41" s="32">
        <f t="shared" si="12"/>
        <v>42789.815567129626</v>
      </c>
      <c r="W41" s="46" t="str">
        <f t="shared" si="13"/>
        <v>EC</v>
      </c>
      <c r="X41" s="46" t="str">
        <f t="shared" si="14"/>
        <v>KEEP</v>
      </c>
      <c r="Y41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arrival","project_id":79,"tracker_id":40,"status_id":1,"priority_id":2,"assigned_to_id":23,"start_date":"2017-02-23","description":"","custom_fields":[{"id":1,"name":"Subdivision","value":"EC"},{"id":4,"name":"Milepost","value":"7.8469"},{"id":17,"name":"Train ID","value":"162-23"},{"id":16,"name":"Locomotive ID","value":"4013"},{"id":130,"name":"Impact","value":""},{"id":150,"name":"Time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6"/>
        <v>grep -hSE -A400 "Enforcement Action" "%USERPROFILE%\AppData\Local\Temp\OnboardLogs"\RTDC4013\*4013*201702231*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"%USERPROFILE%\AppData\Local\Temp\OnboardLogs"\RTDC4013\*4013*201702231* &gt;&gt; 2017-02-23-SliceDisagreementCheck.txt</v>
      </c>
      <c r="AE41" s="157" t="str">
        <f t="shared" si="17"/>
        <v>start /low /b %USERPROFILE%\Documents\GitHub\eaglep3\Utilities\DownloadLogsFromS3.py --loco 4013 --day 2017-02-23</v>
      </c>
      <c r="AF41" s="1"/>
    </row>
    <row r="42" spans="1:32" x14ac:dyDescent="0.25">
      <c r="A42" s="32">
        <v>42789.784699074073</v>
      </c>
      <c r="B42" s="30" t="s">
        <v>192</v>
      </c>
      <c r="C42" s="30" t="s">
        <v>453</v>
      </c>
      <c r="D42" s="30" t="s">
        <v>49</v>
      </c>
      <c r="E42" s="30" t="s">
        <v>197</v>
      </c>
      <c r="F42" s="43">
        <v>0</v>
      </c>
      <c r="G42" s="43">
        <v>766</v>
      </c>
      <c r="H42" s="43">
        <v>101775</v>
      </c>
      <c r="I42" s="43">
        <v>105600</v>
      </c>
      <c r="J42" s="30" t="s">
        <v>198</v>
      </c>
      <c r="K42" s="43">
        <v>103738</v>
      </c>
      <c r="L42" s="143" t="s">
        <v>50</v>
      </c>
      <c r="M42" s="144">
        <f t="shared" si="9"/>
        <v>-983.13599999999997</v>
      </c>
      <c r="N42" s="145" t="str">
        <f>VLOOKUP(C42,'Trips&amp;Operators'!$C$1:$G$99999,5,FALSE)</f>
        <v>HILLS DUSTIN</v>
      </c>
      <c r="O42" s="194" t="s">
        <v>185</v>
      </c>
      <c r="P42" s="146" t="s">
        <v>302</v>
      </c>
      <c r="Q42" s="30"/>
      <c r="R42" s="89" t="str">
        <f>VLOOKUP(C42,'Train Runs'!$A$13:$AE$9941,31,0)</f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S42" s="92" t="str">
        <f>VLOOKUP(C42,'Train Runs'!$A$13:$AE$9941,22,0)</f>
        <v>https://d0f6bd738d7f1b3e5a7ca70fe4ff75f0.us-east-1.aws.found.io/app/kibana#/discover/Steve-Slow-Train-Analysis-(2080s-and-2083s)?_g=(refreshInterval:(display:Off,pause:!f,section:0,value:0),time:(from:'2017-02-23T17:26:26-0700',mode:absolute,to:'2017-02-23T20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2" s="94" t="str">
        <f t="shared" si="10"/>
        <v>"C:\Program Files (x86)\AstroGrep\AstroGrep.exe" /spath="%USERPROFILE%\AppData\Local\Temp\OnboardLogs" /stypes="*4011*201702240*" /stext=" 01:.+(\|loc)" /e /r /s</v>
      </c>
      <c r="U42" s="9" t="str">
        <f t="shared" si="11"/>
        <v>4011</v>
      </c>
      <c r="V42" s="32">
        <f t="shared" si="12"/>
        <v>42790.076365740737</v>
      </c>
      <c r="W42" s="46" t="str">
        <f t="shared" si="13"/>
        <v>EC</v>
      </c>
      <c r="X42" s="46" t="str">
        <f t="shared" si="14"/>
        <v>KEEP</v>
      </c>
      <c r="Y42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arrival","project_id":79,"tracker_id":40,"status_id":1,"priority_id":2,"assigned_to_id":23,"start_date":"2017-02-23","description":"","custom_fields":[{"id":1,"name":"Subdivision","value":"EC"},{"id":4,"name":"Milepost","value":"10.3738"},{"id":17,"name":"Train ID","value":"219-23"},{"id":16,"name":"Locomotive ID","value":"4011"},{"id":130,"name":"Impact","value":""},{"id":150,"name":"Time of Event (Mountain Time)","value":"18:49:58"},{"id":151,"name":"Denver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6"/>
        <v>grep -hSE -A400 "Enforcement Action" "%USERPROFILE%\AppData\Local\Temp\OnboardLogs"\RTDC4011\*4011*201702240*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"%USERPROFILE%\AppData\Local\Temp\OnboardLogs"\RTDC4011\*4011*201702240* &gt;&gt; 2017-02-23-SliceDisagreementCheck.txt</v>
      </c>
      <c r="AE42" s="157" t="str">
        <f t="shared" si="17"/>
        <v>start /low /b %USERPROFILE%\Documents\GitHub\eaglep3\Utilities\DownloadLogsFromS3.py --loco 4011 --day 2017-02-24</v>
      </c>
      <c r="AF42" s="1"/>
    </row>
    <row r="43" spans="1:32" x14ac:dyDescent="0.25">
      <c r="A43" s="32">
        <v>42789.35359953704</v>
      </c>
      <c r="B43" s="30" t="s">
        <v>217</v>
      </c>
      <c r="C43" s="30" t="s">
        <v>419</v>
      </c>
      <c r="D43" s="30" t="s">
        <v>49</v>
      </c>
      <c r="E43" s="30" t="s">
        <v>197</v>
      </c>
      <c r="F43" s="43">
        <v>0</v>
      </c>
      <c r="G43" s="43">
        <v>371</v>
      </c>
      <c r="H43" s="43">
        <v>109420</v>
      </c>
      <c r="I43" s="43">
        <v>108658</v>
      </c>
      <c r="J43" s="30" t="s">
        <v>198</v>
      </c>
      <c r="K43" s="43">
        <v>109135</v>
      </c>
      <c r="L43" s="143" t="s">
        <v>51</v>
      </c>
      <c r="M43" s="144">
        <f t="shared" si="9"/>
        <v>-251.85599999999999</v>
      </c>
      <c r="N43" s="145" t="str">
        <f>VLOOKUP(C43,'Trips&amp;Operators'!$C$1:$G$99999,5,FALSE)</f>
        <v>STARKS ANGELINA</v>
      </c>
      <c r="O43" s="194" t="s">
        <v>185</v>
      </c>
      <c r="P43" s="146" t="s">
        <v>302</v>
      </c>
      <c r="Q43" s="30"/>
      <c r="R43" s="89" t="str">
        <f>VLOOKUP(C43,'Train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43" s="92" t="str">
        <f>VLOOKUP(C43,'Train Runs'!$A$13:$AE$9941,22,0)</f>
        <v>https://d0f6bd738d7f1b3e5a7ca70fe4ff75f0.us-east-1.aws.found.io/app/kibana#/discover/Steve-Slow-Train-Analysis-(2080s-and-2083s)?_g=(refreshInterval:(display:Off,pause:!f,section:0,value:0),time:(from:'2017-02-23T07:08:38-0700',mode:absolute,to:'2017-02-23T09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3" s="94" t="str">
        <f t="shared" si="10"/>
        <v>"C:\Program Files (x86)\AstroGrep\AstroGrep.exe" /spath="%USERPROFILE%\AppData\Local\Temp\OnboardLogs" /stypes="*4045*201702231*" /stext=" 15:.+(\|loc)" /e /r /s</v>
      </c>
      <c r="U43" s="9" t="str">
        <f t="shared" si="11"/>
        <v>4045</v>
      </c>
      <c r="V43" s="32">
        <f t="shared" si="12"/>
        <v>42789.645266203705</v>
      </c>
      <c r="W43" s="46" t="str">
        <f t="shared" si="13"/>
        <v>EC</v>
      </c>
      <c r="X43" s="46" t="str">
        <f t="shared" si="14"/>
        <v>KEEP</v>
      </c>
      <c r="Y43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arrival","project_id":79,"tracker_id":40,"status_id":1,"priority_id":2,"assigned_to_id":23,"start_date":"2017-02-23","description":"","custom_fields":[{"id":1,"name":"Subdivision","value":"EC"},{"id":4,"name":"Milepost","value":"10.9135"},{"id":17,"name":"Train ID","value":"130-23"},{"id":16,"name":"Locomotive ID","value":"4045"},{"id":130,"name":"Impact","value":""},{"id":150,"name":"Time of Event (Mountain Time)","value":"08:29:11"},{"id":151,"name":"Denver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6"/>
        <v>grep -hSE -A400 "Enforcement Action" "%USERPROFILE%\AppData\Local\Temp\OnboardLogs"\RTDC4045\*4045*201702231*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"%USERPROFILE%\AppData\Local\Temp\OnboardLogs"\RTDC4045\*4045*201702231* &gt;&gt; 2017-02-23-SliceDisagreementCheck.txt</v>
      </c>
      <c r="AE43" s="157" t="str">
        <f t="shared" si="17"/>
        <v>start /low /b %USERPROFILE%\Documents\GitHub\eaglep3\Utilities\DownloadLogsFromS3.py --loco 4045 --day 2017-02-23</v>
      </c>
      <c r="AF43" s="1"/>
    </row>
    <row r="44" spans="1:32" x14ac:dyDescent="0.25">
      <c r="A44" s="32">
        <v>42789.396689814814</v>
      </c>
      <c r="B44" s="30" t="s">
        <v>415</v>
      </c>
      <c r="C44" s="30" t="s">
        <v>423</v>
      </c>
      <c r="D44" s="30" t="s">
        <v>98</v>
      </c>
      <c r="E44" s="30" t="s">
        <v>197</v>
      </c>
      <c r="F44" s="43">
        <v>370</v>
      </c>
      <c r="G44" s="43">
        <v>426</v>
      </c>
      <c r="H44" s="43">
        <v>109004</v>
      </c>
      <c r="I44" s="43">
        <v>107350</v>
      </c>
      <c r="J44" s="30" t="s">
        <v>198</v>
      </c>
      <c r="K44" s="43">
        <v>109135</v>
      </c>
      <c r="L44" s="143" t="s">
        <v>51</v>
      </c>
      <c r="M44" s="144">
        <f t="shared" si="9"/>
        <v>-942.48</v>
      </c>
      <c r="N44" s="145" t="str">
        <f>VLOOKUP(C44,'Trips&amp;Operators'!$C$1:$G$99999,5,FALSE)</f>
        <v>ROCHA YAOTL</v>
      </c>
      <c r="O44" s="194" t="s">
        <v>185</v>
      </c>
      <c r="P44" s="146" t="s">
        <v>302</v>
      </c>
      <c r="Q44" s="30"/>
      <c r="R44" s="89" t="str">
        <f>VLOOKUP(C44,'Train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44" s="92" t="str">
        <f>VLOOKUP(C44,'Train Runs'!$A$13:$AE$9941,22,0)</f>
        <v>https://d0f6bd738d7f1b3e5a7ca70fe4ff75f0.us-east-1.aws.found.io/app/kibana#/discover/Steve-Slow-Train-Analysis-(2080s-and-2083s)?_g=(refreshInterval:(display:Off,pause:!f,section:0,value:0),time:(from:'2017-02-23T08:09:29-0700',mode:absolute,to:'2017-02-23T10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94" t="str">
        <f t="shared" si="10"/>
        <v>"C:\Program Files (x86)\AstroGrep\AstroGrep.exe" /spath="%USERPROFILE%\AppData\Local\Temp\OnboardLogs" /stypes="*4010*201702231*" /stext=" 16:.+(\|loc)" /e /r /s</v>
      </c>
      <c r="U44" s="9" t="str">
        <f t="shared" si="11"/>
        <v>4010</v>
      </c>
      <c r="V44" s="32">
        <f t="shared" si="12"/>
        <v>42789.688356481478</v>
      </c>
      <c r="W44" s="46" t="str">
        <f t="shared" si="13"/>
        <v>EC</v>
      </c>
      <c r="X44" s="46" t="str">
        <f t="shared" si="14"/>
        <v>KEEP</v>
      </c>
      <c r="Y44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arrival","project_id":79,"tracker_id":40,"status_id":1,"priority_id":2,"assigned_to_id":23,"start_date":"2017-02-23","description":"","custom_fields":[{"id":1,"name":"Subdivision","value":"EC"},{"id":4,"name":"Milepost","value":"10.9135"},{"id":17,"name":"Train ID","value":"138-23"},{"id":16,"name":"Locomotive ID","value":"4010"},{"id":130,"name":"Impact","value":""},{"id":150,"name":"Time of Event (Mountain Time)","value":"09:31:14"},{"id":151,"name":"Denver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6"/>
        <v>grep -hSE -A400 "Enforcement Action" "%USERPROFILE%\AppData\Local\Temp\OnboardLogs"\RTDC4010\*4010*201702231*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44" s="157" t="str">
        <f t="shared" si="17"/>
        <v>start /low /b %USERPROFILE%\Documents\GitHub\eaglep3\Utilities\DownloadLogsFromS3.py --loco 4010 --day 2017-02-23</v>
      </c>
      <c r="AF44" s="1"/>
    </row>
    <row r="45" spans="1:32" x14ac:dyDescent="0.25">
      <c r="A45" s="32">
        <v>42789.428495370368</v>
      </c>
      <c r="B45" s="30" t="s">
        <v>217</v>
      </c>
      <c r="C45" s="30" t="s">
        <v>429</v>
      </c>
      <c r="D45" s="30" t="s">
        <v>49</v>
      </c>
      <c r="E45" s="30" t="s">
        <v>197</v>
      </c>
      <c r="F45" s="43">
        <v>400</v>
      </c>
      <c r="G45" s="43">
        <v>454</v>
      </c>
      <c r="H45" s="43">
        <v>110278</v>
      </c>
      <c r="I45" s="43">
        <v>108889</v>
      </c>
      <c r="J45" s="30" t="s">
        <v>198</v>
      </c>
      <c r="K45" s="43">
        <v>109135</v>
      </c>
      <c r="L45" s="143" t="s">
        <v>51</v>
      </c>
      <c r="M45" s="144">
        <f t="shared" si="9"/>
        <v>-129.88800000000001</v>
      </c>
      <c r="N45" s="145" t="str">
        <f>VLOOKUP(C45,'Trips&amp;Operators'!$C$1:$G$99999,5,FALSE)</f>
        <v>STARKS ANGELINA</v>
      </c>
      <c r="O45" s="194" t="s">
        <v>185</v>
      </c>
      <c r="P45" s="146" t="s">
        <v>302</v>
      </c>
      <c r="Q45" s="30"/>
      <c r="R45" s="89" t="str">
        <f>VLOOKUP(C45,'Train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45" s="92" t="str">
        <f>VLOOKUP(C45,'Train Runs'!$A$13:$AE$9941,22,0)</f>
        <v>https://d0f6bd738d7f1b3e5a7ca70fe4ff75f0.us-east-1.aws.found.io/app/kibana#/discover/Steve-Slow-Train-Analysis-(2080s-and-2083s)?_g=(refreshInterval:(display:Off,pause:!f,section:0,value:0),time:(from:'2017-02-23T08:52:29-0700',mode:absolute,to:'2017-02-23T11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5" s="94" t="str">
        <f t="shared" si="10"/>
        <v>"C:\Program Files (x86)\AstroGrep\AstroGrep.exe" /spath="%USERPROFILE%\AppData\Local\Temp\OnboardLogs" /stypes="*4045*201702231*" /stext=" 17:.+(\|loc)" /e /r /s</v>
      </c>
      <c r="U45" s="9" t="str">
        <f t="shared" si="11"/>
        <v>4045</v>
      </c>
      <c r="V45" s="32">
        <f t="shared" si="12"/>
        <v>42789.720162037032</v>
      </c>
      <c r="W45" s="46" t="str">
        <f t="shared" si="13"/>
        <v>EC</v>
      </c>
      <c r="X45" s="46" t="str">
        <f t="shared" si="14"/>
        <v>KEEP</v>
      </c>
      <c r="Y45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arrival","project_id":79,"tracker_id":40,"status_id":1,"priority_id":2,"assigned_to_id":23,"start_date":"2017-02-23","description":"","custom_fields":[{"id":1,"name":"Subdivision","value":"EC"},{"id":4,"name":"Milepost","value":"10.9135"},{"id":17,"name":"Train ID","value":"144-23"},{"id":16,"name":"Locomotive ID","value":"4045"},{"id":130,"name":"Impact","value":""},{"id":150,"name":"Time of Event (Mountain Time)","value":"10:17:02"},{"id":151,"name":"Denver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6"/>
        <v>grep -hSE -A400 "Enforcement Action" "%USERPROFILE%\AppData\Local\Temp\OnboardLogs"\RTDC4045\*4045*201702231*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"%USERPROFILE%\AppData\Local\Temp\OnboardLogs"\RTDC4045\*4045*201702231* &gt;&gt; 2017-02-23-SliceDisagreementCheck.txt</v>
      </c>
      <c r="AE45" s="157" t="str">
        <f t="shared" si="17"/>
        <v>start /low /b %USERPROFILE%\Documents\GitHub\eaglep3\Utilities\DownloadLogsFromS3.py --loco 4045 --day 2017-02-23</v>
      </c>
      <c r="AF45" s="1"/>
    </row>
    <row r="46" spans="1:32" x14ac:dyDescent="0.25">
      <c r="A46" s="32">
        <v>42789.649756944447</v>
      </c>
      <c r="B46" s="30" t="s">
        <v>220</v>
      </c>
      <c r="C46" s="30" t="s">
        <v>444</v>
      </c>
      <c r="D46" s="30" t="s">
        <v>98</v>
      </c>
      <c r="E46" s="30" t="s">
        <v>290</v>
      </c>
      <c r="F46" s="43">
        <v>300</v>
      </c>
      <c r="G46" s="43">
        <v>364</v>
      </c>
      <c r="H46" s="43">
        <v>20384</v>
      </c>
      <c r="I46" s="43">
        <v>21555</v>
      </c>
      <c r="J46" s="30" t="s">
        <v>291</v>
      </c>
      <c r="K46" s="43">
        <v>20338</v>
      </c>
      <c r="L46" s="143" t="s">
        <v>50</v>
      </c>
      <c r="M46" s="144">
        <f t="shared" si="9"/>
        <v>-642.57600000000002</v>
      </c>
      <c r="N46" s="145" t="str">
        <f>VLOOKUP(C46,'Trips&amp;Operators'!$C$1:$G$99999,5,FALSE)</f>
        <v>HAITHCOX MICHAEL</v>
      </c>
      <c r="O46" s="194" t="s">
        <v>185</v>
      </c>
      <c r="P46" s="146"/>
      <c r="Q46" s="30"/>
      <c r="R46" s="89" t="str">
        <f>VLOOKUP(C46,'Train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46" s="92" t="str">
        <f>VLOOKUP(C46,'Train Runs'!$A$13:$AE$9941,22,0)</f>
        <v>https://d0f6bd738d7f1b3e5a7ca70fe4ff75f0.us-east-1.aws.found.io/app/kibana#/discover/Steve-Slow-Train-Analysis-(2080s-and-2083s)?_g=(refreshInterval:(display:Off,pause:!f,section:0,value:0),time:(from:'2017-02-23T14:25:43-0700',mode:absolute,to:'2017-02-23T17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6" s="94" t="str">
        <f t="shared" si="10"/>
        <v>"C:\Program Files (x86)\AstroGrep\AstroGrep.exe" /spath="%USERPROFILE%\AppData\Local\Temp\OnboardLogs" /stypes="*4027*201702232*" /stext=" 22:.+(\|loc)" /e /r /s</v>
      </c>
      <c r="U46" s="9" t="str">
        <f t="shared" si="11"/>
        <v>4027</v>
      </c>
      <c r="V46" s="32">
        <f t="shared" si="12"/>
        <v>42789.941423611112</v>
      </c>
      <c r="W46" s="46" t="str">
        <f t="shared" si="13"/>
        <v>EC</v>
      </c>
      <c r="X46" s="46" t="str">
        <f t="shared" si="14"/>
        <v>KEEP</v>
      </c>
      <c r="Y46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{"issue":{"subject":"","project_id":79,"tracker_id":40,"status_id":1,"priority_id":2,"assigned_to_id":23,"start_date":"2017-02-23","description":"","custom_fields":[{"id":1,"name":"Subdivision","value":"EC"},{"id":4,"name":"Milepost","value":"2.0338"},{"id":17,"name":"Train ID","value":"195-23"},{"id":16,"name":"Locomotive ID","value":"4027"},{"id":130,"name":"Impact","value":""},{"id":150,"name":"Time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6"/>
        <v>grep -hSE -A400 "Enforcement Action" "%USERPROFILE%\AppData\Local\Temp\OnboardLogs"\RTDC4027\*4027*201702232*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"%USERPROFILE%\AppData\Local\Temp\OnboardLogs"\RTDC4027\*4027*201702232* &gt;&gt; 2017-02-23-SliceDisagreementCheck.txt</v>
      </c>
      <c r="AE46" s="157" t="str">
        <f t="shared" si="17"/>
        <v>start /low /b %USERPROFILE%\Documents\GitHub\eaglep3\Utilities\DownloadLogsFromS3.py --loco 4027 --day 2017-02-23</v>
      </c>
      <c r="AF46" s="1"/>
    </row>
    <row r="47" spans="1:32" x14ac:dyDescent="0.25">
      <c r="A47" s="32">
        <v>42789.478576388887</v>
      </c>
      <c r="B47" s="30" t="s">
        <v>415</v>
      </c>
      <c r="C47" s="30" t="s">
        <v>433</v>
      </c>
      <c r="D47" s="30" t="s">
        <v>49</v>
      </c>
      <c r="E47" s="30" t="s">
        <v>290</v>
      </c>
      <c r="F47" s="43">
        <v>300</v>
      </c>
      <c r="G47" s="43">
        <v>488</v>
      </c>
      <c r="H47" s="43">
        <v>24065</v>
      </c>
      <c r="I47" s="43">
        <v>22555</v>
      </c>
      <c r="J47" s="30" t="s">
        <v>291</v>
      </c>
      <c r="K47" s="43">
        <v>21848</v>
      </c>
      <c r="L47" s="143" t="s">
        <v>51</v>
      </c>
      <c r="M47" s="144">
        <f t="shared" si="9"/>
        <v>373.29599999999999</v>
      </c>
      <c r="N47" s="145" t="str">
        <f>VLOOKUP(C47,'Trips&amp;Operators'!$C$1:$G$99999,5,FALSE)</f>
        <v>ROCHA YAOTL</v>
      </c>
      <c r="O47" s="194" t="s">
        <v>185</v>
      </c>
      <c r="P47" s="146"/>
      <c r="Q47" s="30"/>
      <c r="R47" s="89" t="str">
        <f>VLOOKUP(C47,'Train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47" s="92" t="str">
        <f>VLOOKUP(C47,'Train Runs'!$A$13:$AE$9941,22,0)</f>
        <v>https://d0f6bd738d7f1b3e5a7ca70fe4ff75f0.us-east-1.aws.found.io/app/kibana#/discover/Steve-Slow-Train-Analysis-(2080s-and-2083s)?_g=(refreshInterval:(display:Off,pause:!f,section:0,value:0),time:(from:'2017-02-23T09:54:02-0700',mode:absolute,to:'2017-02-23T12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7" s="94" t="str">
        <f t="shared" si="10"/>
        <v>"C:\Program Files (x86)\AstroGrep\AstroGrep.exe" /spath="%USERPROFILE%\AppData\Local\Temp\OnboardLogs" /stypes="*4010*201702231*" /stext=" 18:.+(\|loc)" /e /r /s</v>
      </c>
      <c r="U47" s="9" t="str">
        <f t="shared" si="11"/>
        <v>4010</v>
      </c>
      <c r="V47" s="32">
        <f t="shared" si="12"/>
        <v>42789.770243055551</v>
      </c>
      <c r="W47" s="46" t="str">
        <f t="shared" si="13"/>
        <v>EC</v>
      </c>
      <c r="X47" s="46" t="str">
        <f t="shared" si="14"/>
        <v>KEEP</v>
      </c>
      <c r="Y47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{"issue":{"subject":"","project_id":79,"tracker_id":40,"status_id":1,"priority_id":2,"assigned_to_id":23,"start_date":"2017-02-23","description":"","custom_fields":[{"id":1,"name":"Subdivision","value":"EC"},{"id":4,"name":"Milepost","value":"2.1848"},{"id":17,"name":"Train ID","value":"152-23"},{"id":16,"name":"Locomotive ID","value":"4010"},{"id":130,"name":"Impact","value":""},{"id":150,"name":"Time of Event (Mountain Time)","value":"11:29:09"},{"id":151,"name":"Denver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6"/>
        <v>grep -hSE -A400 "Enforcement Action" "%USERPROFILE%\AppData\Local\Temp\OnboardLogs"\RTDC4010\*4010*201702231*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47" s="157" t="str">
        <f t="shared" si="17"/>
        <v>start /low /b %USERPROFILE%\Documents\GitHub\eaglep3\Utilities\DownloadLogsFromS3.py --loco 4010 --day 2017-02-23</v>
      </c>
      <c r="AF47" s="1"/>
    </row>
    <row r="48" spans="1:32" x14ac:dyDescent="0.25">
      <c r="A48" s="32">
        <v>42789.459085648145</v>
      </c>
      <c r="B48" s="30" t="s">
        <v>431</v>
      </c>
      <c r="C48" s="30" t="s">
        <v>432</v>
      </c>
      <c r="D48" s="30" t="s">
        <v>49</v>
      </c>
      <c r="E48" s="30" t="s">
        <v>290</v>
      </c>
      <c r="F48" s="43">
        <v>200</v>
      </c>
      <c r="G48" s="43">
        <v>266</v>
      </c>
      <c r="H48" s="43">
        <v>31967</v>
      </c>
      <c r="I48" s="43">
        <v>31369</v>
      </c>
      <c r="J48" s="30" t="s">
        <v>291</v>
      </c>
      <c r="K48" s="43">
        <v>30562</v>
      </c>
      <c r="L48" s="143" t="s">
        <v>51</v>
      </c>
      <c r="M48" s="144">
        <f t="shared" si="9"/>
        <v>426.096</v>
      </c>
      <c r="N48" s="145" t="str">
        <f>VLOOKUP(C48,'Trips&amp;Operators'!$C$1:$G$99999,5,FALSE)</f>
        <v>ROBINSON KADDIBA</v>
      </c>
      <c r="O48" s="194" t="s">
        <v>185</v>
      </c>
      <c r="P48" s="146"/>
      <c r="Q48" s="30"/>
      <c r="R48" s="89" t="str">
        <f>VLOOKUP(C48,'Train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48" s="92" t="str">
        <f>VLOOKUP(C48,'Train Runs'!$A$13:$AE$9941,22,0)</f>
        <v>https://d0f6bd738d7f1b3e5a7ca70fe4ff75f0.us-east-1.aws.found.io/app/kibana#/discover/Steve-Slow-Train-Analysis-(2080s-and-2083s)?_g=(refreshInterval:(display:Off,pause:!f,section:0,value:0),time:(from:'2017-02-23T09:18:54-0700',mode:absolute,to:'2017-02-23T12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8" s="94" t="str">
        <f t="shared" si="10"/>
        <v>"C:\Program Files (x86)\AstroGrep\AstroGrep.exe" /spath="%USERPROFILE%\AppData\Local\Temp\OnboardLogs" /stypes="*4013*201702231*" /stext=" 18:.+(\|loc)" /e /r /s</v>
      </c>
      <c r="U48" s="9" t="str">
        <f t="shared" si="11"/>
        <v>4013</v>
      </c>
      <c r="V48" s="32">
        <f t="shared" si="12"/>
        <v>42789.750752314809</v>
      </c>
      <c r="W48" s="46" t="str">
        <f t="shared" si="13"/>
        <v>EC</v>
      </c>
      <c r="X48" s="46" t="str">
        <f t="shared" si="14"/>
        <v>KEEP</v>
      </c>
      <c r="Y48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{"issue":{"subject":"","project_id":79,"tracker_id":40,"status_id":1,"priority_id":2,"assigned_to_id":23,"start_date":"2017-02-23","description":"","custom_fields":[{"id":1,"name":"Subdivision","value":"EC"},{"id":4,"name":"Milepost","value":"3.0562"},{"id":17,"name":"Train ID","value":"148-23"},{"id":16,"name":"Locomotive ID","value":"4013"},{"id":130,"name":"Impact","value":""},{"id":150,"name":"Time of Event (Mountain Time)","value":"11:01:05"},{"id":151,"name":"Denver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6"/>
        <v>grep -hSE -A400 "Enforcement Action" "%USERPROFILE%\AppData\Local\Temp\OnboardLogs"\RTDC4013\*4013*201702231*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"%USERPROFILE%\AppData\Local\Temp\OnboardLogs"\RTDC4013\*4013*201702231* &gt;&gt; 2017-02-23-SliceDisagreementCheck.txt</v>
      </c>
      <c r="AE48" s="157" t="str">
        <f t="shared" si="17"/>
        <v>start /low /b %USERPROFILE%\Documents\GitHub\eaglep3\Utilities\DownloadLogsFromS3.py --loco 4013 --day 2017-02-23</v>
      </c>
      <c r="AF48" s="1"/>
    </row>
    <row r="49" spans="1:32" x14ac:dyDescent="0.25">
      <c r="A49" s="32">
        <v>42789.66134259259</v>
      </c>
      <c r="B49" s="30" t="s">
        <v>220</v>
      </c>
      <c r="C49" s="30" t="s">
        <v>444</v>
      </c>
      <c r="D49" s="30" t="s">
        <v>49</v>
      </c>
      <c r="E49" s="30" t="s">
        <v>290</v>
      </c>
      <c r="F49" s="43">
        <v>400</v>
      </c>
      <c r="G49" s="43">
        <v>526</v>
      </c>
      <c r="H49" s="43">
        <v>116009</v>
      </c>
      <c r="I49" s="43">
        <v>117353</v>
      </c>
      <c r="J49" s="30" t="s">
        <v>291</v>
      </c>
      <c r="K49" s="43">
        <v>116838</v>
      </c>
      <c r="L49" s="143" t="s">
        <v>50</v>
      </c>
      <c r="M49" s="144">
        <f t="shared" si="9"/>
        <v>-271.92</v>
      </c>
      <c r="N49" s="145" t="str">
        <f>VLOOKUP(C49,'Trips&amp;Operators'!$C$1:$G$99999,5,FALSE)</f>
        <v>HAITHCOX MICHAEL</v>
      </c>
      <c r="O49" s="194" t="s">
        <v>185</v>
      </c>
      <c r="P49" s="146"/>
      <c r="Q49" s="30"/>
      <c r="R49" s="89" t="str">
        <f>VLOOKUP(C49,'Train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49" s="92" t="str">
        <f>VLOOKUP(C49,'Train Runs'!$A$13:$AE$9941,22,0)</f>
        <v>https://d0f6bd738d7f1b3e5a7ca70fe4ff75f0.us-east-1.aws.found.io/app/kibana#/discover/Steve-Slow-Train-Analysis-(2080s-and-2083s)?_g=(refreshInterval:(display:Off,pause:!f,section:0,value:0),time:(from:'2017-02-23T14:25:43-0700',mode:absolute,to:'2017-02-23T17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9" s="94" t="str">
        <f t="shared" si="10"/>
        <v>"C:\Program Files (x86)\AstroGrep\AstroGrep.exe" /spath="%USERPROFILE%\AppData\Local\Temp\OnboardLogs" /stypes="*4027*201702232*" /stext=" 22:.+(\|loc)" /e /r /s</v>
      </c>
      <c r="U49" s="9" t="str">
        <f t="shared" si="11"/>
        <v>4027</v>
      </c>
      <c r="V49" s="32">
        <f t="shared" si="12"/>
        <v>42789.953009259254</v>
      </c>
      <c r="W49" s="46" t="str">
        <f t="shared" si="13"/>
        <v>EC</v>
      </c>
      <c r="X49" s="46" t="str">
        <f t="shared" si="14"/>
        <v>KEEP</v>
      </c>
      <c r="Y49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{"issue":{"subject":"","project_id":79,"tracker_id":40,"status_id":1,"priority_id":2,"assigned_to_id":23,"start_date":"2017-02-23","description":"","custom_fields":[{"id":1,"name":"Subdivision","value":"EC"},{"id":4,"name":"Milepost","value":"11.6838"},{"id":17,"name":"Train ID","value":"195-23"},{"id":16,"name":"Locomotive ID","value":"4027"},{"id":130,"name":"Impact","value":""},{"id":150,"name":"Time of Event (Mountain Time)","value":"15:52:20"},{"id":151,"name":"Denver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6"/>
        <v>grep -hSE -A400 "Enforcement Action" "%USERPROFILE%\AppData\Local\Temp\OnboardLogs"\RTDC4027\*4027*201702232*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"%USERPROFILE%\AppData\Local\Temp\OnboardLogs"\RTDC4027\*4027*201702232* &gt;&gt; 2017-02-23-SliceDisagreementCheck.txt</v>
      </c>
      <c r="AE49" s="157" t="str">
        <f t="shared" si="17"/>
        <v>start /low /b %USERPROFILE%\Documents\GitHub\eaglep3\Utilities\DownloadLogsFromS3.py --loco 4027 --day 2017-02-23</v>
      </c>
      <c r="AF49" s="1"/>
    </row>
    <row r="50" spans="1:32" x14ac:dyDescent="0.25">
      <c r="A50" s="32">
        <v>42789.624606481484</v>
      </c>
      <c r="B50" s="30" t="s">
        <v>219</v>
      </c>
      <c r="C50" s="30" t="s">
        <v>443</v>
      </c>
      <c r="D50" s="30" t="s">
        <v>98</v>
      </c>
      <c r="E50" s="30" t="s">
        <v>290</v>
      </c>
      <c r="F50" s="43">
        <v>400</v>
      </c>
      <c r="G50" s="43">
        <v>456</v>
      </c>
      <c r="H50" s="43">
        <v>116795</v>
      </c>
      <c r="I50" s="43">
        <v>115114</v>
      </c>
      <c r="J50" s="30" t="s">
        <v>291</v>
      </c>
      <c r="K50" s="43">
        <v>119716</v>
      </c>
      <c r="L50" s="143" t="s">
        <v>51</v>
      </c>
      <c r="M50" s="144">
        <f t="shared" si="9"/>
        <v>-2429.8560000000002</v>
      </c>
      <c r="N50" s="145" t="str">
        <f>VLOOKUP(C50,'Trips&amp;Operators'!$C$1:$G$99999,5,FALSE)</f>
        <v>HAITHCOX MICHAEL</v>
      </c>
      <c r="O50" s="194" t="s">
        <v>185</v>
      </c>
      <c r="P50" s="146"/>
      <c r="Q50" s="30"/>
      <c r="R50" s="89" t="str">
        <f>VLOOKUP(C50,'Train Runs'!$A$13:$AE$9941,31,0)</f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S50" s="92" t="str">
        <f>VLOOKUP(C50,'Train Runs'!$A$13:$AE$9941,22,0)</f>
        <v>https://d0f6bd738d7f1b3e5a7ca70fe4ff75f0.us-east-1.aws.found.io/app/kibana#/discover/Steve-Slow-Train-Analysis-(2080s-and-2083s)?_g=(refreshInterval:(display:Off,pause:!f,section:0,value:0),time:(from:'2017-02-23T13:33:23-0700',mode:absolute,to:'2017-02-23T16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0" s="94" t="str">
        <f t="shared" si="10"/>
        <v>"C:\Program Files (x86)\AstroGrep\AstroGrep.exe" /spath="%USERPROFILE%\AppData\Local\Temp\OnboardLogs" /stypes="*4028*201702232*" /stext=" 21:.+(\|loc)" /e /r /s</v>
      </c>
      <c r="U50" s="9" t="str">
        <f t="shared" si="11"/>
        <v>4028</v>
      </c>
      <c r="V50" s="32">
        <f t="shared" si="12"/>
        <v>42789.916273148148</v>
      </c>
      <c r="W50" s="46" t="str">
        <f t="shared" si="13"/>
        <v>EC</v>
      </c>
      <c r="X50" s="46" t="str">
        <f t="shared" si="14"/>
        <v>KEEP</v>
      </c>
      <c r="Y50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{"issue":{"subject":"","project_id":79,"tracker_id":40,"status_id":1,"priority_id":2,"assigned_to_id":23,"start_date":"2017-02-23","description":"","custom_fields":[{"id":1,"name":"Subdivision","value":"EC"},{"id":4,"name":"Milepost","value":"11.9716"},{"id":17,"name":"Train ID","value":"182-23"},{"id":16,"name":"Locomotive ID","value":"4028"},{"id":130,"name":"Impact","value":""},{"id":150,"name":"Time of Event (Mountain Time)","value":"14:59:26"},{"id":151,"name":"Denver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6"/>
        <v>grep -hSE -A400 "Enforcement Action" "%USERPROFILE%\AppData\Local\Temp\OnboardLogs"\RTDC4028\*4028*201702232*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"%USERPROFILE%\AppData\Local\Temp\OnboardLogs"\RTDC4028\*4028*201702232* &gt;&gt; 2017-02-23-SliceDisagreementCheck.txt</v>
      </c>
      <c r="AE50" s="157" t="str">
        <f t="shared" si="17"/>
        <v>start /low /b %USERPROFILE%\Documents\GitHub\eaglep3\Utilities\DownloadLogsFromS3.py --loco 4028 --day 2017-02-23</v>
      </c>
      <c r="AF50" s="1"/>
    </row>
    <row r="51" spans="1:32" x14ac:dyDescent="0.25">
      <c r="A51" s="32">
        <v>42789.410868055558</v>
      </c>
      <c r="B51" s="30" t="s">
        <v>243</v>
      </c>
      <c r="C51" s="30" t="s">
        <v>424</v>
      </c>
      <c r="D51" s="30" t="s">
        <v>98</v>
      </c>
      <c r="E51" s="30" t="s">
        <v>425</v>
      </c>
      <c r="F51" s="43">
        <v>150</v>
      </c>
      <c r="G51" s="43">
        <v>216</v>
      </c>
      <c r="H51" s="43">
        <v>103243</v>
      </c>
      <c r="I51" s="43">
        <v>102728</v>
      </c>
      <c r="J51" s="30" t="s">
        <v>198</v>
      </c>
      <c r="K51" s="43">
        <v>103901</v>
      </c>
      <c r="L51" s="143" t="s">
        <v>51</v>
      </c>
      <c r="M51" s="144">
        <f t="shared" si="9"/>
        <v>-619.34400000000005</v>
      </c>
      <c r="N51" s="145" t="str">
        <f>VLOOKUP(C51,'Trips&amp;Operators'!$C$1:$G$99999,5,FALSE)</f>
        <v>YORK EDGAR</v>
      </c>
      <c r="O51" s="194" t="s">
        <v>185</v>
      </c>
      <c r="P51" s="146"/>
      <c r="Q51" s="30"/>
      <c r="R51" s="89" t="str">
        <f>VLOOKUP(C51,'Train Runs'!$A$13:$AE$9941,31,0)</f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S51" s="92" t="str">
        <f>VLOOKUP(C51,'Train Runs'!$A$13:$AE$9941,22,0)</f>
        <v>https://d0f6bd738d7f1b3e5a7ca70fe4ff75f0.us-east-1.aws.found.io/app/kibana#/discover/Steve-Slow-Train-Analysis-(2080s-and-2083s)?_g=(refreshInterval:(display:Off,pause:!f,section:0,value:0),time:(from:'2017-02-23T08:08:28-0700',mode:absolute,to:'2017-02-23T11:16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51" s="94" t="str">
        <f t="shared" si="10"/>
        <v>"C:\Program Files (x86)\AstroGrep\AstroGrep.exe" /spath="%USERPROFILE%\AppData\Local\Temp\OnboardLogs" /stypes="*4004*201702231*" /stext=" 16:.+(\|loc)" /e /r /s</v>
      </c>
      <c r="U51" s="9" t="str">
        <f t="shared" si="11"/>
        <v>4004</v>
      </c>
      <c r="V51" s="32">
        <f t="shared" si="12"/>
        <v>42789.702534722222</v>
      </c>
      <c r="W51" s="46" t="str">
        <f t="shared" si="13"/>
        <v>EC</v>
      </c>
      <c r="X51" s="46" t="str">
        <f t="shared" si="14"/>
        <v>KEEP</v>
      </c>
      <c r="Y51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{"issue":{"subject":"","project_id":79,"tracker_id":40,"status_id":1,"priority_id":2,"assigned_to_id":23,"start_date":"2017-02-23","description":"","custom_fields":[{"id":1,"name":"Subdivision","value":"EC"},{"id":4,"name":"Milepost","value":"10.3901"},{"id":17,"name":"Train ID","value":"140-23"},{"id":16,"name":"Locomotive ID","value":"4004"},{"id":130,"name":"Impact","value":""},{"id":150,"name":"Time of Event (Mountain Time)","value":"09:51:39"},{"id":151,"name":"Denver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6"/>
        <v>grep -hSE -A400 "Enforcement Action" "%USERPROFILE%\AppData\Local\Temp\OnboardLogs"\RTDC4004\*4004*201702231*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"%USERPROFILE%\AppData\Local\Temp\OnboardLogs"\RTDC4004\*4004*201702231* &gt;&gt; 2017-02-23-SliceDisagreementCheck.txt</v>
      </c>
      <c r="AE51" s="157" t="str">
        <f t="shared" si="17"/>
        <v>start /low /b %USERPROFILE%\Documents\GitHub\eaglep3\Utilities\DownloadLogsFromS3.py --loco 4004 --day 2017-02-23</v>
      </c>
      <c r="AF51" s="1"/>
    </row>
    <row r="52" spans="1:32" x14ac:dyDescent="0.25">
      <c r="A52" s="32">
        <v>42789.20416666667</v>
      </c>
      <c r="B52" s="30" t="s">
        <v>261</v>
      </c>
      <c r="C52" s="30" t="s">
        <v>411</v>
      </c>
      <c r="D52" s="30" t="s">
        <v>49</v>
      </c>
      <c r="E52" s="30" t="s">
        <v>188</v>
      </c>
      <c r="F52" s="43">
        <v>0</v>
      </c>
      <c r="G52" s="43">
        <v>32</v>
      </c>
      <c r="H52" s="43">
        <v>99</v>
      </c>
      <c r="I52" s="43">
        <v>70</v>
      </c>
      <c r="J52" s="30" t="s">
        <v>189</v>
      </c>
      <c r="K52" s="43">
        <v>1</v>
      </c>
      <c r="L52" s="143" t="s">
        <v>51</v>
      </c>
      <c r="M52" s="144">
        <f t="shared" si="9"/>
        <v>36.432000000000002</v>
      </c>
      <c r="N52" s="145" t="str">
        <f>VLOOKUP(C52,'Trips&amp;Operators'!$C$1:$G$99999,5,FALSE)</f>
        <v>BADERTSCHER DIANE</v>
      </c>
      <c r="O52" s="194" t="s">
        <v>185</v>
      </c>
      <c r="P52" s="146"/>
      <c r="Q52" s="30"/>
      <c r="R52" s="89" t="str">
        <f>VLOOKUP(C52,'Train Runs'!$A$13:$AE$9941,31,0)</f>
        <v>aws s3 cp s3://rtdc.mdm.uploadarchive.raw/RTDC4008/ "%USERPROFILE%\AppData\Local\Temp\OnboardLogs"\RTDC4008\2017-02-23 --exclude "*" --recursive --include "*20170223*" &amp; "%USERPROFILE%\Documents\GitHub\mrs-test-scripts\Headless Mode &amp; Sideloading\WalkAndUnGZ.bat" "%USERPROFILE%\AppData\Local\Temp\OnboardLogs"\RTDC4008\2017-02-23 &amp; aws s3 cp s3://rtdc.mdm.uploadarchive.raw/RTDC4008/ "%USERPROFILE%\AppData\Local\Temp\OnboardLogs"\RTDC4008\2017-02-24 --exclude "*" --recursive --include "*20170224*" &amp; "%USERPROFILE%\Documents\GitHub\mrs-test-scripts\Headless Mode &amp; Sideloading\WalkAndUnGZ.bat" "%USERPROFILE%\AppData\Local\Temp\OnboardLogs"\RTDC4008\2017-02-24</v>
      </c>
      <c r="S52" s="92" t="str">
        <f>VLOOKUP(C52,'Train Runs'!$A$13:$AE$9941,22,0)</f>
        <v>https://d0f6bd738d7f1b3e5a7ca70fe4ff75f0.us-east-1.aws.found.io/app/kibana#/discover/Steve-Slow-Train-Analysis-(2080s-and-2083s)?_g=(refreshInterval:(display:Off,pause:!f,section:0,value:0),time:(from:'2017-02-23T02:55:58-0700',mode:absolute,to:'2017-02-23T05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2" s="94" t="str">
        <f t="shared" si="10"/>
        <v>"C:\Program Files (x86)\AstroGrep\AstroGrep.exe" /spath="%USERPROFILE%\AppData\Local\Temp\OnboardLogs" /stypes="*4008*201702231*" /stext=" 11:.+(\|loc)" /e /r /s</v>
      </c>
      <c r="U52" s="9" t="str">
        <f t="shared" si="11"/>
        <v>4008</v>
      </c>
      <c r="V52" s="32">
        <f t="shared" si="12"/>
        <v>42789.495833333334</v>
      </c>
      <c r="W52" s="46" t="str">
        <f t="shared" si="13"/>
        <v>EC</v>
      </c>
      <c r="X52" s="46" t="str">
        <f t="shared" si="14"/>
        <v>KEEP</v>
      </c>
      <c r="Y52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ID","value":"102-23"},{"id":16,"name":"Locomotive ID","value":"4008"},{"id":130,"name":"Impact","value":""},{"id":150,"name":"Time of Event (Mountain Time)","value":"04:54:00"},{"id":151,"name":"Denver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6"/>
        <v>grep -hSE -A400 "Enforcement Action" "%USERPROFILE%\AppData\Local\Temp\OnboardLogs"\RTDC4008\*4008*201702231*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"%USERPROFILE%\AppData\Local\Temp\OnboardLogs"\RTDC4008\*4008*201702231* &gt;&gt; 2017-02-23-SliceDisagreementCheck.txt</v>
      </c>
      <c r="AE52" s="157" t="str">
        <f t="shared" si="17"/>
        <v>start /low /b %USERPROFILE%\Documents\GitHub\eaglep3\Utilities\DownloadLogsFromS3.py --loco 4008 --day 2017-02-23</v>
      </c>
      <c r="AF52" s="1"/>
    </row>
    <row r="53" spans="1:32" x14ac:dyDescent="0.25">
      <c r="A53" s="32">
        <v>42789.306307870371</v>
      </c>
      <c r="B53" s="30" t="s">
        <v>208</v>
      </c>
      <c r="C53" s="30" t="s">
        <v>413</v>
      </c>
      <c r="D53" s="30" t="s">
        <v>49</v>
      </c>
      <c r="E53" s="30" t="s">
        <v>188</v>
      </c>
      <c r="F53" s="43">
        <v>0</v>
      </c>
      <c r="G53" s="43">
        <v>51</v>
      </c>
      <c r="H53" s="43">
        <v>191</v>
      </c>
      <c r="I53" s="43">
        <v>145</v>
      </c>
      <c r="J53" s="30" t="s">
        <v>189</v>
      </c>
      <c r="K53" s="43">
        <v>1</v>
      </c>
      <c r="L53" s="143" t="s">
        <v>51</v>
      </c>
      <c r="M53" s="144">
        <f t="shared" si="9"/>
        <v>76.031999999999996</v>
      </c>
      <c r="N53" s="145" t="str">
        <f>VLOOKUP(C53,'Trips&amp;Operators'!$C$1:$G$99999,5,FALSE)</f>
        <v>BONDS REYNALDO</v>
      </c>
      <c r="O53" s="194" t="s">
        <v>185</v>
      </c>
      <c r="P53" s="146"/>
      <c r="Q53" s="30"/>
      <c r="R53" s="89" t="str">
        <f>VLOOKUP(C53,'Train Runs'!$A$13:$AE$9941,31,0)</f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S53" s="92" t="str">
        <f>VLOOKUP(C53,'Train Runs'!$A$13:$AE$9941,22,0)</f>
        <v>https://d0f6bd738d7f1b3e5a7ca70fe4ff75f0.us-east-1.aws.found.io/app/kibana#/discover/Steve-Slow-Train-Analysis-(2080s-and-2083s)?_g=(refreshInterval:(display:Off,pause:!f,section:0,value:0),time:(from:'2017-02-23T05:37:42-0700',mode:absolute,to:'2017-02-23T08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53" s="94" t="str">
        <f t="shared" si="10"/>
        <v>"C:\Program Files (x86)\AstroGrep\AstroGrep.exe" /spath="%USERPROFILE%\AppData\Local\Temp\OnboardLogs" /stypes="*4030*201702231*" /stext=" 14:.+(\|loc)" /e /r /s</v>
      </c>
      <c r="U53" s="9" t="str">
        <f t="shared" si="11"/>
        <v>4030</v>
      </c>
      <c r="V53" s="32">
        <f t="shared" si="12"/>
        <v>42789.597974537035</v>
      </c>
      <c r="W53" s="46" t="str">
        <f t="shared" si="13"/>
        <v>EC</v>
      </c>
      <c r="X53" s="46" t="str">
        <f t="shared" si="14"/>
        <v>KEEP</v>
      </c>
      <c r="Y53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ID","value":"118-23"},{"id":16,"name":"Locomotive ID","value":"4030"},{"id":130,"name":"Impact","value":""},{"id":150,"name":"Time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6"/>
        <v>grep -hSE -A400 "Enforcement Action" "%USERPROFILE%\AppData\Local\Temp\OnboardLogs"\RTDC4030\*4030*201702231*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"%USERPROFILE%\AppData\Local\Temp\OnboardLogs"\RTDC4030\*4030*201702231* &gt;&gt; 2017-02-23-SliceDisagreementCheck.txt</v>
      </c>
      <c r="AE53" s="157" t="str">
        <f t="shared" si="17"/>
        <v>start /low /b %USERPROFILE%\Documents\GitHub\eaglep3\Utilities\DownloadLogsFromS3.py --loco 4030 --day 2017-02-23</v>
      </c>
      <c r="AF53" s="1"/>
    </row>
    <row r="54" spans="1:32" x14ac:dyDescent="0.25">
      <c r="A54" s="32">
        <v>42789.455451388887</v>
      </c>
      <c r="B54" s="30" t="s">
        <v>208</v>
      </c>
      <c r="C54" s="30" t="s">
        <v>430</v>
      </c>
      <c r="D54" s="30" t="s">
        <v>49</v>
      </c>
      <c r="E54" s="30" t="s">
        <v>188</v>
      </c>
      <c r="F54" s="43">
        <v>0</v>
      </c>
      <c r="G54" s="43">
        <v>39</v>
      </c>
      <c r="H54" s="43">
        <v>139</v>
      </c>
      <c r="I54" s="43">
        <v>116</v>
      </c>
      <c r="J54" s="30" t="s">
        <v>189</v>
      </c>
      <c r="K54" s="43">
        <v>1</v>
      </c>
      <c r="L54" s="143" t="s">
        <v>51</v>
      </c>
      <c r="M54" s="144">
        <f t="shared" si="9"/>
        <v>60.72</v>
      </c>
      <c r="N54" s="145" t="str">
        <f>VLOOKUP(C54,'Trips&amp;Operators'!$C$1:$G$99999,5,FALSE)</f>
        <v>BONDS REYNALDO</v>
      </c>
      <c r="O54" s="194" t="s">
        <v>185</v>
      </c>
      <c r="P54" s="146"/>
      <c r="Q54" s="30"/>
      <c r="R54" s="89" t="str">
        <f>VLOOKUP(C54,'Train Runs'!$A$13:$AE$9941,31,0)</f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S54" s="92" t="str">
        <f>VLOOKUP(C54,'Train Runs'!$A$13:$AE$9941,22,0)</f>
        <v>https://d0f6bd738d7f1b3e5a7ca70fe4ff75f0.us-east-1.aws.found.io/app/kibana#/discover/Steve-Slow-Train-Analysis-(2080s-and-2083s)?_g=(refreshInterval:(display:Off,pause:!f,section:0,value:0),time:(from:'2017-02-23T09:06:33-0700',mode:absolute,to:'2017-02-23T11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54" s="94" t="str">
        <f t="shared" si="10"/>
        <v>"C:\Program Files (x86)\AstroGrep\AstroGrep.exe" /spath="%USERPROFILE%\AppData\Local\Temp\OnboardLogs" /stypes="*4030*201702231*" /stext=" 17:.+(\|loc)" /e /r /s</v>
      </c>
      <c r="U54" s="9" t="str">
        <f t="shared" si="11"/>
        <v>4030</v>
      </c>
      <c r="V54" s="32">
        <f t="shared" si="12"/>
        <v>42789.747118055551</v>
      </c>
      <c r="W54" s="46" t="str">
        <f t="shared" si="13"/>
        <v>EC</v>
      </c>
      <c r="X54" s="46" t="str">
        <f t="shared" si="14"/>
        <v>KEEP</v>
      </c>
      <c r="Y54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ID","value":"146-23"},{"id":16,"name":"Locomotive ID","value":"4030"},{"id":130,"name":"Impact","value":""},{"id":150,"name":"Time of Event (Mountain Time)","value":"10:55:51"},{"id":151,"name":"Denver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6"/>
        <v>grep -hSE -A400 "Enforcement Action" "%USERPROFILE%\AppData\Local\Temp\OnboardLogs"\RTDC4030\*4030*201702231*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"%USERPROFILE%\AppData\Local\Temp\OnboardLogs"\RTDC4030\*4030*201702231* &gt;&gt; 2017-02-23-SliceDisagreementCheck.txt</v>
      </c>
      <c r="AE54" s="157" t="str">
        <f t="shared" si="17"/>
        <v>start /low /b %USERPROFILE%\Documents\GitHub\eaglep3\Utilities\DownloadLogsFromS3.py --loco 4030 --day 2017-02-23</v>
      </c>
      <c r="AF54" s="1"/>
    </row>
    <row r="55" spans="1:32" x14ac:dyDescent="0.25">
      <c r="A55" s="32">
        <v>42789.476620370369</v>
      </c>
      <c r="B55" s="30" t="s">
        <v>264</v>
      </c>
      <c r="C55" s="30" t="s">
        <v>434</v>
      </c>
      <c r="D55" s="30" t="s">
        <v>49</v>
      </c>
      <c r="E55" s="30" t="s">
        <v>188</v>
      </c>
      <c r="F55" s="43">
        <v>0</v>
      </c>
      <c r="G55" s="43">
        <v>85</v>
      </c>
      <c r="H55" s="43">
        <v>309</v>
      </c>
      <c r="I55" s="43">
        <v>212</v>
      </c>
      <c r="J55" s="30" t="s">
        <v>189</v>
      </c>
      <c r="K55" s="43">
        <v>1</v>
      </c>
      <c r="L55" s="143" t="s">
        <v>51</v>
      </c>
      <c r="M55" s="144">
        <f t="shared" si="9"/>
        <v>111.408</v>
      </c>
      <c r="N55" s="145" t="str">
        <f>VLOOKUP(C55,'Trips&amp;Operators'!$C$1:$G$99999,5,FALSE)</f>
        <v>GEBRETEKLE DAGNEW</v>
      </c>
      <c r="O55" s="194" t="s">
        <v>185</v>
      </c>
      <c r="P55" s="146"/>
      <c r="Q55" s="30"/>
      <c r="R55" s="89" t="str">
        <f>VLOOKUP(C55,'Train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55" s="92" t="str">
        <f>VLOOKUP(C55,'Train Runs'!$A$13:$AE$9941,22,0)</f>
        <v>https://d0f6bd738d7f1b3e5a7ca70fe4ff75f0.us-east-1.aws.found.io/app/kibana#/discover/Steve-Slow-Train-Analysis-(2080s-and-2083s)?_g=(refreshInterval:(display:Off,pause:!f,section:0,value:0),time:(from:'2017-02-23T09:31:52-0700',mode:absolute,to:'2017-02-23T12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5" s="94" t="str">
        <f t="shared" si="10"/>
        <v>"C:\Program Files (x86)\AstroGrep\AstroGrep.exe" /spath="%USERPROFILE%\AppData\Local\Temp\OnboardLogs" /stypes="*4012*201702231*" /stext=" 18:.+(\|loc)" /e /r /s</v>
      </c>
      <c r="U55" s="9" t="str">
        <f t="shared" si="11"/>
        <v>4012</v>
      </c>
      <c r="V55" s="32">
        <f t="shared" si="12"/>
        <v>42789.768287037034</v>
      </c>
      <c r="W55" s="46" t="str">
        <f t="shared" si="13"/>
        <v>EC</v>
      </c>
      <c r="X55" s="46" t="str">
        <f t="shared" si="14"/>
        <v>KEEP</v>
      </c>
      <c r="Y55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ID","value":"150-23"},{"id":16,"name":"Locomotive ID","value":"4012"},{"id":130,"name":"Impact","value":""},{"id":150,"name":"Time of Event (Mountain Time)","value":"11:26:20"},{"id":151,"name":"Denver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6"/>
        <v>grep -hSE -A400 "Enforcement Action" "%USERPROFILE%\AppData\Local\Temp\OnboardLogs"\RTDC4012\*4012*201702231*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"%USERPROFILE%\AppData\Local\Temp\OnboardLogs"\RTDC4012\*4012*201702231* &gt;&gt; 2017-02-23-SliceDisagreementCheck.txt</v>
      </c>
      <c r="AE55" s="157" t="str">
        <f t="shared" si="17"/>
        <v>start /low /b %USERPROFILE%\Documents\GitHub\eaglep3\Utilities\DownloadLogsFromS3.py --loco 4012 --day 2017-02-23</v>
      </c>
      <c r="AF55" s="1"/>
    </row>
    <row r="56" spans="1:32" x14ac:dyDescent="0.25">
      <c r="A56" s="32">
        <v>42789.496550925927</v>
      </c>
      <c r="B56" s="30" t="s">
        <v>219</v>
      </c>
      <c r="C56" s="30" t="s">
        <v>435</v>
      </c>
      <c r="D56" s="30" t="s">
        <v>49</v>
      </c>
      <c r="E56" s="30" t="s">
        <v>188</v>
      </c>
      <c r="F56" s="43">
        <v>0</v>
      </c>
      <c r="G56" s="43">
        <v>57</v>
      </c>
      <c r="H56" s="43">
        <v>225</v>
      </c>
      <c r="I56" s="43">
        <v>181</v>
      </c>
      <c r="J56" s="30" t="s">
        <v>189</v>
      </c>
      <c r="K56" s="43">
        <v>1</v>
      </c>
      <c r="L56" s="143" t="s">
        <v>51</v>
      </c>
      <c r="M56" s="144">
        <f t="shared" si="9"/>
        <v>95.04</v>
      </c>
      <c r="N56" s="145" t="str">
        <f>VLOOKUP(C56,'Trips&amp;Operators'!$C$1:$G$99999,5,FALSE)</f>
        <v>SPECTOR MICHAEL</v>
      </c>
      <c r="O56" s="194" t="s">
        <v>185</v>
      </c>
      <c r="P56" s="146"/>
      <c r="Q56" s="30"/>
      <c r="R56" s="89" t="str">
        <f>VLOOKUP(C56,'Train Runs'!$A$13:$AE$9941,31,0)</f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S56" s="92" t="str">
        <f>VLOOKUP(C56,'Train Runs'!$A$13:$AE$9941,22,0)</f>
        <v>https://d0f6bd738d7f1b3e5a7ca70fe4ff75f0.us-east-1.aws.found.io/app/kibana#/discover/Steve-Slow-Train-Analysis-(2080s-and-2083s)?_g=(refreshInterval:(display:Off,pause:!f,section:0,value:0),time:(from:'2017-02-23T10:01:41-0700',mode:absolute,to:'2017-02-23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6" s="94" t="str">
        <f t="shared" si="10"/>
        <v>"C:\Program Files (x86)\AstroGrep\AstroGrep.exe" /spath="%USERPROFILE%\AppData\Local\Temp\OnboardLogs" /stypes="*4028*201702231*" /stext=" 18:.+(\|loc)" /e /r /s</v>
      </c>
      <c r="U56" s="9" t="str">
        <f t="shared" si="11"/>
        <v>4028</v>
      </c>
      <c r="V56" s="32">
        <f t="shared" si="12"/>
        <v>42789.788217592592</v>
      </c>
      <c r="W56" s="46" t="str">
        <f t="shared" si="13"/>
        <v>EC</v>
      </c>
      <c r="X56" s="46" t="str">
        <f t="shared" si="14"/>
        <v>KEEP</v>
      </c>
      <c r="Y56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ID","value":"154-23"},{"id":16,"name":"Locomotive ID","value":"4028"},{"id":130,"name":"Impact","value":""},{"id":150,"name":"Time of Event (Mountain Time)","value":"11:55:02"},{"id":151,"name":"Denver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6"/>
        <v>grep -hSE -A400 "Enforcement Action" "%USERPROFILE%\AppData\Local\Temp\OnboardLogs"\RTDC4028\*4028*201702231*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"%USERPROFILE%\AppData\Local\Temp\OnboardLogs"\RTDC4028\*4028*201702231* &gt;&gt; 2017-02-23-SliceDisagreementCheck.txt</v>
      </c>
      <c r="AE56" s="157" t="str">
        <f t="shared" si="17"/>
        <v>start /low /b %USERPROFILE%\Documents\GitHub\eaglep3\Utilities\DownloadLogsFromS3.py --loco 4028 --day 2017-02-23</v>
      </c>
      <c r="AF56" s="1"/>
    </row>
    <row r="57" spans="1:32" x14ac:dyDescent="0.25">
      <c r="A57" s="32">
        <v>42789.619837962964</v>
      </c>
      <c r="B57" s="30" t="s">
        <v>264</v>
      </c>
      <c r="C57" s="30" t="s">
        <v>442</v>
      </c>
      <c r="D57" s="30" t="s">
        <v>49</v>
      </c>
      <c r="E57" s="30" t="s">
        <v>188</v>
      </c>
      <c r="F57" s="43">
        <v>0</v>
      </c>
      <c r="G57" s="43">
        <v>39</v>
      </c>
      <c r="H57" s="43">
        <v>152</v>
      </c>
      <c r="I57" s="43">
        <v>123</v>
      </c>
      <c r="J57" s="30" t="s">
        <v>189</v>
      </c>
      <c r="K57" s="43">
        <v>1</v>
      </c>
      <c r="L57" s="143" t="s">
        <v>51</v>
      </c>
      <c r="M57" s="144">
        <f t="shared" si="9"/>
        <v>64.415999999999997</v>
      </c>
      <c r="N57" s="145" t="str">
        <f>VLOOKUP(C57,'Trips&amp;Operators'!$C$1:$G$99999,5,FALSE)</f>
        <v>BRUDER RICHARD</v>
      </c>
      <c r="O57" s="194" t="s">
        <v>463</v>
      </c>
      <c r="P57" s="146" t="s">
        <v>1055</v>
      </c>
      <c r="Q57" s="30"/>
      <c r="R57" s="89" t="str">
        <f>VLOOKUP(C57,'Train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57" s="92" t="str">
        <f>VLOOKUP(C57,'Train Runs'!$A$13:$AE$9941,22,0)</f>
        <v>https://d0f6bd738d7f1b3e5a7ca70fe4ff75f0.us-east-1.aws.found.io/app/kibana#/discover/Steve-Slow-Train-Analysis-(2080s-and-2083s)?_g=(refreshInterval:(display:Off,pause:!f,section:0,value:0),time:(from:'2017-02-23T13:07:16-0700',mode:absolute,to:'2017-02-23T15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7" s="94" t="str">
        <f t="shared" si="10"/>
        <v>"C:\Program Files (x86)\AstroGrep\AstroGrep.exe" /spath="%USERPROFILE%\AppData\Local\Temp\OnboardLogs" /stypes="*4012*201702232*" /stext=" 21:.+(\|loc)" /e /r /s</v>
      </c>
      <c r="U57" s="9" t="str">
        <f t="shared" si="11"/>
        <v>4012</v>
      </c>
      <c r="V57" s="32">
        <f t="shared" si="12"/>
        <v>42789.911504629628</v>
      </c>
      <c r="W57" s="46" t="str">
        <f t="shared" si="13"/>
        <v>EC</v>
      </c>
      <c r="X57" s="46" t="str">
        <f t="shared" si="14"/>
        <v>KEEP</v>
      </c>
      <c r="Y57" s="108" t="str">
        <f t="shared" si="15"/>
        <v>echo {"issue":{"subject":"Banner w/o braking","project_id":79,"tracker_id":40,"status_id":1,"priority_id":2,"assigned_to_id":23,"start_date":"2017-02-23","description":"","custom_fields":[{"id":1,"name":"Subdivision","value":"EC"},{"id":4,"name":"Milepost","value":"0.0001"},{"id":17,"name":"Train ID","value":"178-23"},{"id":16,"name":"Locomotive ID","value":"4012"},{"id":130,"name":"Impact","value":""},{"id":150,"name":"Time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6"/>
        <v>grep -hSE -A400 "Enforcement Action" "%USERPROFILE%\AppData\Local\Temp\OnboardLogs"\RTDC4012\*4012*201702232*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"%USERPROFILE%\AppData\Local\Temp\OnboardLogs"\RTDC4012\*4012*201702232* &gt;&gt; 2017-02-23-SliceDisagreementCheck.txt</v>
      </c>
      <c r="AE57" s="157" t="str">
        <f t="shared" si="17"/>
        <v>start /low /b %USERPROFILE%\Documents\GitHub\eaglep3\Utilities\DownloadLogsFromS3.py --loco 4012 --day 2017-02-23</v>
      </c>
      <c r="AF57" s="1"/>
    </row>
    <row r="58" spans="1:32" x14ac:dyDescent="0.25">
      <c r="A58" s="32">
        <v>42790.066041666665</v>
      </c>
      <c r="B58" s="30" t="s">
        <v>431</v>
      </c>
      <c r="C58" s="30" t="s">
        <v>462</v>
      </c>
      <c r="D58" s="30" t="s">
        <v>49</v>
      </c>
      <c r="E58" s="30" t="s">
        <v>188</v>
      </c>
      <c r="F58" s="43">
        <v>0</v>
      </c>
      <c r="G58" s="43">
        <v>50</v>
      </c>
      <c r="H58" s="43">
        <v>169</v>
      </c>
      <c r="I58" s="43">
        <v>116</v>
      </c>
      <c r="J58" s="30" t="s">
        <v>189</v>
      </c>
      <c r="K58" s="43">
        <v>1</v>
      </c>
      <c r="L58" s="143" t="s">
        <v>51</v>
      </c>
      <c r="M58" s="144">
        <f t="shared" si="9"/>
        <v>60.72</v>
      </c>
      <c r="N58" s="145" t="str">
        <f>VLOOKUP(C58,'Trips&amp;Operators'!$C$1:$G$99999,5,FALSE)</f>
        <v>BROWN JACOB</v>
      </c>
      <c r="O58" s="194" t="s">
        <v>185</v>
      </c>
      <c r="P58" s="146"/>
      <c r="Q58" s="30"/>
      <c r="R58" s="89" t="str">
        <f>VLOOKUP(C58,'Train Runs'!$A$13:$AE$9941,31,0)</f>
        <v>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 &amp; aws s3 cp s3://rtdc.mdm.uploadarchive.raw/RTDC4013/ "%USERPROFILE%\AppData\Local\Temp\OnboardLogs"\RTDC4013\2017-02-25 --exclude "*" --recursive --include "*20170225*" &amp; "%USERPROFILE%\Documents\GitHub\mrs-test-scripts\Headless Mode &amp; Sideloading\WalkAndUnGZ.bat" "%USERPROFILE%\AppData\Local\Temp\OnboardLogs"\RTDC4013\2017-02-25</v>
      </c>
      <c r="S58" s="92" t="str">
        <f>VLOOKUP(C58,'Train Runs'!$A$13:$AE$9941,22,0)</f>
        <v>https://d0f6bd738d7f1b3e5a7ca70fe4ff75f0.us-east-1.aws.found.io/app/kibana#/discover/Steve-Slow-Train-Analysis-(2080s-and-2083s)?_g=(refreshInterval:(display:Off,pause:!f,section:0,value:0),time:(from:'2017-02-23T23:54:37-0700',mode:absolute,to:'2017-02-24T02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8" s="94" t="str">
        <f t="shared" si="10"/>
        <v>"C:\Program Files (x86)\AstroGrep\AstroGrep.exe" /spath="%USERPROFILE%\AppData\Local\Temp\OnboardLogs" /stypes="*4013*201702240*" /stext=" 08:.+(\|loc)" /e /r /s</v>
      </c>
      <c r="U58" s="9" t="str">
        <f t="shared" si="11"/>
        <v>4013</v>
      </c>
      <c r="V58" s="32">
        <f t="shared" si="12"/>
        <v>42790.357708333329</v>
      </c>
      <c r="W58" s="46" t="str">
        <f t="shared" si="13"/>
        <v>EC</v>
      </c>
      <c r="X58" s="46" t="str">
        <f t="shared" si="14"/>
        <v>KEEP</v>
      </c>
      <c r="Y58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{"issue":{"subject":"","project_id":79,"tracker_id":40,"status_id":1,"priority_id":2,"assigned_to_id":23,"start_date":"2017-02-24","description":"","custom_fields":[{"id":1,"name":"Subdivision","value":"EC"},{"id":4,"name":"Milepost","value":"0.0001"},{"id":17,"name":"Train ID","value":"242-23"},{"id":16,"name":"Locomotive ID","value":"4013"},{"id":130,"name":"Impact","value":""},{"id":150,"name":"Time of Event (Mountain Time)","value":"01:35:06"},{"id":151,"name":"Denver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6"/>
        <v>grep -hSE -A400 "Enforcement Action" "%USERPROFILE%\AppData\Local\Temp\OnboardLogs"\RTDC4013\*4013*201702240*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"%USERPROFILE%\AppData\Local\Temp\OnboardLogs"\RTDC4013\*4013*201702240* &gt;&gt; 2017-02-23-SliceDisagreementCheck.txt</v>
      </c>
      <c r="AE58" s="157" t="str">
        <f t="shared" si="17"/>
        <v>start /low /b %USERPROFILE%\Documents\GitHub\eaglep3\Utilities\DownloadLogsFromS3.py --loco 4013 --day 2017-02-24</v>
      </c>
      <c r="AF58" s="1"/>
    </row>
    <row r="59" spans="1:32" x14ac:dyDescent="0.25">
      <c r="A59" s="32">
        <v>42789.442175925928</v>
      </c>
      <c r="B59" s="30" t="s">
        <v>417</v>
      </c>
      <c r="C59" s="30" t="s">
        <v>426</v>
      </c>
      <c r="D59" s="30" t="s">
        <v>49</v>
      </c>
      <c r="E59" s="30" t="s">
        <v>188</v>
      </c>
      <c r="F59" s="43">
        <v>0</v>
      </c>
      <c r="G59" s="43">
        <v>157</v>
      </c>
      <c r="H59" s="43">
        <v>232866</v>
      </c>
      <c r="I59" s="43">
        <v>233049</v>
      </c>
      <c r="J59" s="30" t="s">
        <v>189</v>
      </c>
      <c r="K59" s="43">
        <v>233491</v>
      </c>
      <c r="L59" s="143" t="s">
        <v>50</v>
      </c>
      <c r="M59" s="144">
        <f t="shared" si="9"/>
        <v>233.376</v>
      </c>
      <c r="N59" s="145" t="str">
        <f>VLOOKUP(C59,'Trips&amp;Operators'!$C$1:$G$99999,5,FALSE)</f>
        <v>ROCHA YAOTL</v>
      </c>
      <c r="O59" s="194" t="s">
        <v>185</v>
      </c>
      <c r="P59" s="146"/>
      <c r="Q59" s="30"/>
      <c r="R59" s="89" t="str">
        <f>VLOOKUP(C59,'Train Runs'!$A$13:$AE$9941,31,0)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S59" s="92" t="str">
        <f>VLOOKUP(C59,'Train Runs'!$A$13:$AE$9941,22,0)</f>
        <v>https://d0f6bd738d7f1b3e5a7ca70fe4ff75f0.us-east-1.aws.found.io/app/kibana#/discover/Steve-Slow-Train-Analysis-(2080s-and-2083s)?_g=(refreshInterval:(display:Off,pause:!f,section:0,value:0),time:(from:'2017-02-23T08:56:27-0700',mode:absolute,to:'2017-02-23T11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9" s="94" t="str">
        <f t="shared" si="10"/>
        <v>"C:\Program Files (x86)\AstroGrep\AstroGrep.exe" /spath="%USERPROFILE%\AppData\Local\Temp\OnboardLogs" /stypes="*4009*201702231*" /stext=" 17:.+(\|loc)" /e /r /s</v>
      </c>
      <c r="U59" s="9" t="str">
        <f t="shared" si="11"/>
        <v>4009</v>
      </c>
      <c r="V59" s="32">
        <f t="shared" si="12"/>
        <v>42789.733842592592</v>
      </c>
      <c r="W59" s="46" t="str">
        <f t="shared" si="13"/>
        <v>EC</v>
      </c>
      <c r="X59" s="46" t="str">
        <f t="shared" si="14"/>
        <v>KEEP</v>
      </c>
      <c r="Y59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{"issue":{"subject":"","project_id":79,"tracker_id":40,"status_id":1,"priority_id":2,"assigned_to_id":23,"start_date":"2017-02-23","description":"","custom_fields":[{"id":1,"name":"Subdivision","value":"EC"},{"id":4,"name":"Milepost","value":"23.3491"},{"id":17,"name":"Train ID","value":"151-23"},{"id":16,"name":"Locomotive ID","value":"4009"},{"id":130,"name":"Impact","value":""},{"id":150,"name":"Time of Event (Mountain Time)","value":"10:36:44"},{"id":151,"name":"Denver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6"/>
        <v>grep -hSE -A400 "Enforcement Action" "%USERPROFILE%\AppData\Local\Temp\OnboardLogs"\RTDC4009\*4009*201702231*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"%USERPROFILE%\AppData\Local\Temp\OnboardLogs"\RTDC4009\*4009*201702231* &gt;&gt; 2017-02-23-SliceDisagreementCheck.txt</v>
      </c>
      <c r="AE59" s="157" t="str">
        <f t="shared" si="17"/>
        <v>start /low /b %USERPROFILE%\Documents\GitHub\eaglep3\Utilities\DownloadLogsFromS3.py --loco 4009 --day 2017-02-23</v>
      </c>
      <c r="AF59" s="1"/>
    </row>
    <row r="60" spans="1:32" x14ac:dyDescent="0.25">
      <c r="A60" s="32">
        <v>42789.764085648145</v>
      </c>
      <c r="B60" s="30" t="s">
        <v>212</v>
      </c>
      <c r="C60" s="30" t="s">
        <v>452</v>
      </c>
      <c r="D60" s="30" t="s">
        <v>49</v>
      </c>
      <c r="E60" s="30" t="s">
        <v>186</v>
      </c>
      <c r="F60" s="43">
        <v>0</v>
      </c>
      <c r="G60" s="43">
        <v>270</v>
      </c>
      <c r="H60" s="43">
        <v>20195</v>
      </c>
      <c r="I60" s="43">
        <v>19650</v>
      </c>
      <c r="J60" s="30" t="s">
        <v>187</v>
      </c>
      <c r="K60" s="43">
        <v>19000</v>
      </c>
      <c r="L60" s="143" t="s">
        <v>51</v>
      </c>
      <c r="M60" s="144">
        <f t="shared" si="9"/>
        <v>343.2</v>
      </c>
      <c r="N60" s="145" t="str">
        <f>VLOOKUP(C60,'Trips&amp;Operators'!$C$1:$G$99999,5,FALSE)</f>
        <v>STORY SAMANTHA</v>
      </c>
      <c r="O60" s="194" t="s">
        <v>185</v>
      </c>
      <c r="P60" s="146" t="s">
        <v>907</v>
      </c>
      <c r="Q60" s="30"/>
      <c r="R60" s="89" t="str">
        <f>VLOOKUP(C60,'Train Runs'!$A$13:$AE$9941,31,0)</f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S60" s="92" t="str">
        <f>VLOOKUP(C60,'Train Runs'!$A$13:$AE$9941,22,0)</f>
        <v>https://d0f6bd738d7f1b3e5a7ca70fe4ff75f0.us-east-1.aws.found.io/app/kibana#/discover/Steve-Slow-Train-Analysis-(2080s-and-2083s)?_g=(refreshInterval:(display:Off,pause:!f,section:0,value:0),time:(from:'2017-02-23T17:08:40-0700',mode:absolute,to:'2017-02-23T19:30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0" s="94" t="str">
        <f t="shared" si="10"/>
        <v>"C:\Program Files (x86)\AstroGrep\AstroGrep.exe" /spath="%USERPROFILE%\AppData\Local\Temp\OnboardLogs" /stypes="*4026*201702240*" /stext=" 01:.+(\|loc)" /e /r /s</v>
      </c>
      <c r="U60" s="9" t="str">
        <f t="shared" si="11"/>
        <v>4026</v>
      </c>
      <c r="V60" s="32">
        <f t="shared" si="12"/>
        <v>42790.055752314809</v>
      </c>
      <c r="W60" s="46" t="str">
        <f t="shared" si="13"/>
        <v>NW</v>
      </c>
      <c r="X60" s="46" t="str">
        <f t="shared" si="14"/>
        <v>KEEP</v>
      </c>
      <c r="Y60" s="108" t="str">
        <f t="shared" si="15"/>
        <v>echo {"issue":{"subject":"RESTRICTING aspect","project_id":79,"tracker_id":40,"status_id":1,"priority_id":2,"assigned_to_id":23,"start_date":"2017-02-23","description":"","custom_fields":[{"id":1,"name":"Subdivision","value":"NW"},{"id":4,"name":"Milepost","value":"1.9"},{"id":17,"name":"Train ID","value":"836-23"},{"id":16,"name":"Locomotive ID","value":"4026"},{"id":130,"name":"Impact","value":""},{"id":150,"name":"Time of Event (Mountain Time)","value":"18:20:17"},{"id":151,"name":"Denver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6"/>
        <v>grep -hSE -A400 "Enforcement Action" "%USERPROFILE%\AppData\Local\Temp\OnboardLogs"\RTDC4026\*4026*201702240*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"%USERPROFILE%\AppData\Local\Temp\OnboardLogs"\RTDC4026\*4026*201702240* &gt;&gt; 2017-02-23-SliceDisagreementCheck.txt</v>
      </c>
      <c r="AE60" s="157" t="str">
        <f t="shared" si="17"/>
        <v>start /low /b %USERPROFILE%\Documents\GitHub\eaglep3\Utilities\DownloadLogsFromS3.py --loco 4026 --day 2017-02-24</v>
      </c>
      <c r="AF60" s="1"/>
    </row>
    <row r="61" spans="1:32" x14ac:dyDescent="0.25">
      <c r="A61" s="32">
        <v>42789.725960648146</v>
      </c>
      <c r="B61" s="30" t="s">
        <v>212</v>
      </c>
      <c r="C61" s="30" t="s">
        <v>448</v>
      </c>
      <c r="D61" s="30" t="s">
        <v>49</v>
      </c>
      <c r="E61" s="30" t="s">
        <v>188</v>
      </c>
      <c r="F61" s="43">
        <v>0</v>
      </c>
      <c r="G61" s="43">
        <v>88</v>
      </c>
      <c r="H61" s="43">
        <v>852</v>
      </c>
      <c r="I61" s="43">
        <v>764</v>
      </c>
      <c r="J61" s="30" t="s">
        <v>189</v>
      </c>
      <c r="K61" s="43">
        <v>575</v>
      </c>
      <c r="L61" s="143" t="s">
        <v>51</v>
      </c>
      <c r="M61" s="144">
        <f t="shared" si="9"/>
        <v>99.792000000000002</v>
      </c>
      <c r="N61" s="145" t="str">
        <f>VLOOKUP(C61,'Trips&amp;Operators'!$C$1:$G$99999,5,FALSE)</f>
        <v>STORY SAMANTHA</v>
      </c>
      <c r="O61" s="194" t="s">
        <v>185</v>
      </c>
      <c r="P61" s="146"/>
      <c r="Q61" s="30"/>
      <c r="R61" s="89" t="str">
        <f>VLOOKUP(C61,'Train Runs'!$A$13:$AE$9941,31,0)</f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S61" s="92" t="str">
        <f>VLOOKUP(C61,'Train Runs'!$A$13:$AE$9941,22,0)</f>
        <v>https://d0f6bd738d7f1b3e5a7ca70fe4ff75f0.us-east-1.aws.found.io/app/kibana#/discover/Steve-Slow-Train-Analysis-(2080s-and-2083s)?_g=(refreshInterval:(display:Off,pause:!f,section:0,value:0),time:(from:'2017-02-23T16:07:08-0700',mode:absolute,to:'2017-02-23T18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1" s="94" t="str">
        <f t="shared" si="10"/>
        <v>"C:\Program Files (x86)\AstroGrep\AstroGrep.exe" /spath="%USERPROFILE%\AppData\Local\Temp\OnboardLogs" /stypes="*4026*201702240*" /stext=" 00:.+(\|loc)" /e /r /s</v>
      </c>
      <c r="U61" s="9" t="str">
        <f t="shared" si="11"/>
        <v>4026</v>
      </c>
      <c r="V61" s="32">
        <f t="shared" si="12"/>
        <v>42790.01762731481</v>
      </c>
      <c r="W61" s="46" t="str">
        <f t="shared" si="13"/>
        <v>NW</v>
      </c>
      <c r="X61" s="46" t="str">
        <f t="shared" si="14"/>
        <v>KEEP</v>
      </c>
      <c r="Y61" s="108" t="str">
        <f t="shared" si="15"/>
        <v>echo {"issue":{"subject":"","project_id":79,"tracker_id":40,"status_id":1,"priority_id":2,"assigned_to_id":23,"start_date":"2017-02-23","description":"","custom_fields":[{"id":1,"name":"Subdivision","value":"NW"},{"id":4,"name":"Milepost","value":"0.0575"},{"id":17,"name":"Train ID","value":"832-23"},{"id":16,"name":"Locomotive ID","value":"4026"},{"id":130,"name":"Impact","value":""},{"id":150,"name":"Time of Event (Mountain Time)","value":"17:25:23"},{"id":151,"name":"Denver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 t="shared" si="16"/>
        <v>grep -hSE -A400 "Enforcement Action" "%USERPROFILE%\AppData\Local\Temp\OnboardLogs"\RTDC4026\*4026*201702240*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"%USERPROFILE%\AppData\Local\Temp\OnboardLogs"\RTDC4026\*4026*201702240* &gt;&gt; 2017-02-23-SliceDisagreementCheck.txt</v>
      </c>
      <c r="AE61" s="157" t="str">
        <f t="shared" si="17"/>
        <v>start /low /b %USERPROFILE%\Documents\GitHub\eaglep3\Utilities\DownloadLogsFromS3.py --loco 4026 --day 2017-02-24</v>
      </c>
      <c r="AF61" s="1"/>
    </row>
    <row r="62" spans="1:32" x14ac:dyDescent="0.25">
      <c r="A62" s="32">
        <v>42789.913229166668</v>
      </c>
      <c r="B62" s="30" t="s">
        <v>253</v>
      </c>
      <c r="C62" s="30" t="s">
        <v>460</v>
      </c>
      <c r="D62" s="30" t="s">
        <v>49</v>
      </c>
      <c r="E62" s="30" t="s">
        <v>188</v>
      </c>
      <c r="F62" s="43">
        <v>0</v>
      </c>
      <c r="G62" s="43">
        <v>38</v>
      </c>
      <c r="H62" s="43">
        <v>696</v>
      </c>
      <c r="I62" s="43">
        <v>664</v>
      </c>
      <c r="J62" s="30" t="s">
        <v>189</v>
      </c>
      <c r="K62" s="43">
        <v>575</v>
      </c>
      <c r="L62" s="143" t="s">
        <v>51</v>
      </c>
      <c r="M62" s="144">
        <f t="shared" si="9"/>
        <v>46.991999999999997</v>
      </c>
      <c r="N62" s="145" t="str">
        <f>VLOOKUP(C62,'Trips&amp;Operators'!$C$1:$G$99999,5,FALSE)</f>
        <v>STORY SAMANTHA</v>
      </c>
      <c r="O62" s="194" t="s">
        <v>185</v>
      </c>
      <c r="P62" s="146"/>
      <c r="Q62" s="30"/>
      <c r="R62" s="89" t="str">
        <f>VLOOKUP(C62,'Train Runs'!$A$13:$AE$9941,31,0)</f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S62" s="92" t="str">
        <f>VLOOKUP(C62,'Train Runs'!$A$13:$AE$9941,22,0)</f>
        <v>https://d0f6bd738d7f1b3e5a7ca70fe4ff75f0.us-east-1.aws.found.io/app/kibana#/discover/Steve-Slow-Train-Analysis-(2080s-and-2083s)?_g=(refreshInterval:(display:Off,pause:!f,section:0,value:0),time:(from:'2017-02-23T20:36:49-0700',mode:absolute,to:'2017-02-23T22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62" s="94" t="str">
        <f t="shared" si="10"/>
        <v>"C:\Program Files (x86)\AstroGrep\AstroGrep.exe" /spath="%USERPROFILE%\AppData\Local\Temp\OnboardLogs" /stypes="*4019*201702240*" /stext=" 04:.+(\|loc)" /e /r /s</v>
      </c>
      <c r="U62" s="9" t="str">
        <f t="shared" si="11"/>
        <v>4019</v>
      </c>
      <c r="V62" s="32">
        <f t="shared" si="12"/>
        <v>42790.204895833333</v>
      </c>
      <c r="W62" s="46" t="str">
        <f t="shared" si="13"/>
        <v>NW</v>
      </c>
      <c r="X62" s="46" t="str">
        <f t="shared" si="14"/>
        <v>KEEP</v>
      </c>
      <c r="Y62" s="108" t="str">
        <f t="shared" si="15"/>
        <v>echo {"issue":{"subject":"","project_id":79,"tracker_id":40,"status_id":1,"priority_id":2,"assigned_to_id":23,"start_date":"2017-02-23","description":"","custom_fields":[{"id":1,"name":"Subdivision","value":"NW"},{"id":4,"name":"Milepost","value":"0.0575"},{"id":17,"name":"Train ID","value":"844-23"},{"id":16,"name":"Locomotive ID","value":"4019"},{"id":130,"name":"Impact","value":""},{"id":150,"name":"Time of Event (Mountain Time)","value":"21:55:03"},{"id":151,"name":"Denver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 t="shared" si="16"/>
        <v>grep -hSE -A400 "Enforcement Action" "%USERPROFILE%\AppData\Local\Temp\OnboardLogs"\RTDC4019\*4019*201702240*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"%USERPROFILE%\AppData\Local\Temp\OnboardLogs"\RTDC4019\*4019*201702240* &gt;&gt; 2017-02-23-SliceDisagreementCheck.txt</v>
      </c>
      <c r="AE62" s="157" t="str">
        <f t="shared" si="17"/>
        <v>start /low /b %USERPROFILE%\Documents\GitHub\eaglep3\Utilities\DownloadLogsFromS3.py --loco 4019 --day 2017-02-24</v>
      </c>
      <c r="AF62" s="1"/>
    </row>
    <row r="63" spans="1:32" x14ac:dyDescent="0.25">
      <c r="A63" s="32">
        <v>42789.273715277777</v>
      </c>
      <c r="B63" s="30" t="s">
        <v>256</v>
      </c>
      <c r="C63" s="30" t="s">
        <v>412</v>
      </c>
      <c r="D63" s="30" t="s">
        <v>49</v>
      </c>
      <c r="E63" s="30" t="s">
        <v>188</v>
      </c>
      <c r="F63" s="43">
        <v>0</v>
      </c>
      <c r="G63" s="43">
        <v>36</v>
      </c>
      <c r="H63" s="43">
        <v>58980</v>
      </c>
      <c r="I63" s="43">
        <v>59010</v>
      </c>
      <c r="J63" s="30" t="s">
        <v>189</v>
      </c>
      <c r="K63" s="43">
        <v>59048</v>
      </c>
      <c r="L63" s="143" t="s">
        <v>50</v>
      </c>
      <c r="M63" s="144">
        <f t="shared" si="9"/>
        <v>20.064</v>
      </c>
      <c r="N63" s="145" t="str">
        <f>VLOOKUP(C63,'Trips&amp;Operators'!$C$1:$G$99999,5,FALSE)</f>
        <v>LOZA FIDEL</v>
      </c>
      <c r="O63" s="194" t="s">
        <v>185</v>
      </c>
      <c r="P63" s="146"/>
      <c r="Q63" s="30"/>
      <c r="R63" s="89" t="str">
        <f>VLOOKUP(C63,'Train Runs'!$A$13:$AE$9941,31,0)</f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S63" s="92" t="str">
        <f>VLOOKUP(C63,'Train Runs'!$A$13:$AE$9941,22,0)</f>
        <v>https://d0f6bd738d7f1b3e5a7ca70fe4ff75f0.us-east-1.aws.found.io/app/kibana#/discover/Steve-Slow-Train-Analysis-(2080s-and-2083s)?_g=(refreshInterval:(display:Off,pause:!f,section:0,value:0),time:(from:'2017-02-23T05:17:04-0700',mode:absolute,to:'2017-02-23T07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63" s="94" t="str">
        <f t="shared" si="10"/>
        <v>"C:\Program Files (x86)\AstroGrep\AstroGrep.exe" /spath="%USERPROFILE%\AppData\Local\Temp\OnboardLogs" /stypes="*4020*201702231*" /stext=" 13:.+(\|loc)" /e /r /s</v>
      </c>
      <c r="U63" s="9" t="str">
        <f t="shared" si="11"/>
        <v>4020</v>
      </c>
      <c r="V63" s="32">
        <f t="shared" si="12"/>
        <v>42789.565381944441</v>
      </c>
      <c r="W63" s="46" t="str">
        <f t="shared" si="13"/>
        <v>NW</v>
      </c>
      <c r="X63" s="46" t="str">
        <f t="shared" si="14"/>
        <v>KEEP</v>
      </c>
      <c r="Y63" s="108" t="str">
        <f t="shared" si="15"/>
        <v>echo {"issue":{"subject":"","project_id":79,"tracker_id":40,"status_id":1,"priority_id":2,"assigned_to_id":23,"start_date":"2017-02-23","description":"","custom_fields":[{"id":1,"name":"Subdivision","value":"NW"},{"id":4,"name":"Milepost","value":"5.9048"},{"id":17,"name":"Train ID","value":"803-23"},{"id":16,"name":"Locomotive ID","value":"4020"},{"id":130,"name":"Impact","value":""},{"id":150,"name":"Time of Event (Mountain Time)","value":"06:34:09"},{"id":151,"name":"Denver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 t="shared" si="16"/>
        <v>grep -hSE -A400 "Enforcement Action" "%USERPROFILE%\AppData\Local\Temp\OnboardLogs"\RTDC4020\*4020*201702231*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"%USERPROFILE%\AppData\Local\Temp\OnboardLogs"\RTDC4020\*4020*201702231* &gt;&gt; 2017-02-23-SliceDisagreementCheck.txt</v>
      </c>
      <c r="AE63" s="157" t="str">
        <f t="shared" si="17"/>
        <v>start /low /b %USERPROFILE%\Documents\GitHub\eaglep3\Utilities\DownloadLogsFromS3.py --loco 4020 --day 2017-02-23</v>
      </c>
      <c r="AF63" s="1"/>
    </row>
    <row r="64" spans="1:32" x14ac:dyDescent="0.25">
      <c r="A64" s="32">
        <v>42789.75576388889</v>
      </c>
      <c r="B64" s="30" t="s">
        <v>328</v>
      </c>
      <c r="C64" s="30" t="s">
        <v>451</v>
      </c>
      <c r="D64" s="30" t="s">
        <v>49</v>
      </c>
      <c r="E64" s="30" t="s">
        <v>186</v>
      </c>
      <c r="F64" s="43">
        <v>0</v>
      </c>
      <c r="G64" s="43">
        <v>15</v>
      </c>
      <c r="H64" s="43">
        <v>4861</v>
      </c>
      <c r="I64" s="43">
        <v>4842</v>
      </c>
      <c r="J64" s="30" t="s">
        <v>187</v>
      </c>
      <c r="K64" s="43">
        <v>4790</v>
      </c>
      <c r="L64" s="143" t="s">
        <v>51</v>
      </c>
      <c r="M64" s="144">
        <f t="shared" si="9"/>
        <v>27.456</v>
      </c>
      <c r="N64" s="145" t="str">
        <f>VLOOKUP(C64,'Trips&amp;Operators'!$C$1:$G$99999,5,FALSE)</f>
        <v>HILLS DUSTIN</v>
      </c>
      <c r="O64" s="194" t="s">
        <v>185</v>
      </c>
      <c r="P64" s="146"/>
      <c r="Q64" s="30"/>
      <c r="R64" s="89" t="str">
        <f>VLOOKUP(C64,'Train Runs'!$A$13:$AE$9941,31,0)</f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S64" s="92" t="str">
        <f>VLOOKUP(C64,'Train Runs'!$A$13:$AE$9941,22,0)</f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64" s="94" t="str">
        <f t="shared" si="10"/>
        <v>"C:\Program Files (x86)\AstroGrep\AstroGrep.exe" /spath="%USERPROFILE%\AppData\Local\Temp\OnboardLogs" /stypes="*4032*201702240*" /stext=" 01:.+(\|loc)" /e /r /s</v>
      </c>
      <c r="U64" s="9" t="str">
        <f t="shared" si="11"/>
        <v>4032</v>
      </c>
      <c r="V64" s="32">
        <f t="shared" si="12"/>
        <v>42790.047430555554</v>
      </c>
      <c r="W64" s="46" t="str">
        <f t="shared" si="13"/>
        <v>Other</v>
      </c>
      <c r="X64" s="46" t="str">
        <f t="shared" si="14"/>
        <v>KEEP</v>
      </c>
      <c r="Y64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{"issue":{"subject":"","project_id":79,"tracker_id":40,"status_id":1,"priority_id":2,"assigned_to_id":23,"start_date":"2017-02-23","description":"","custom_fields":[{"id":1,"name":"Subdivision","value":"Other"},{"id":4,"name":"Milepost","value":"0.479"},{"id":17,"name":"Train ID","value":"76-23"},{"id":16,"name":"Locomotive ID","value":"4032"},{"id":130,"name":"Impact","value":""},{"id":150,"name":"Time of Event (Mountain Time)","value":"18:08:18"},{"id":151,"name":"Denver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48"/>
      <c r="AA64" s="48"/>
      <c r="AB64" s="48"/>
      <c r="AC64" s="127" t="str">
        <f t="shared" si="16"/>
        <v>grep -hSE -A400 "Enforcement Action" "%USERPROFILE%\AppData\Local\Temp\OnboardLogs"\RTDC4032\*4032*201702240*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"%USERPROFILE%\AppData\Local\Temp\OnboardLogs"\RTDC4032\*4032*201702240* &gt;&gt; 2017-02-23-SliceDisagreementCheck.txt</v>
      </c>
      <c r="AE64" s="157" t="str">
        <f t="shared" si="17"/>
        <v>start /low /b %USERPROFILE%\Documents\GitHub\eaglep3\Utilities\DownloadLogsFromS3.py --loco 4032 --day 2017-02-24</v>
      </c>
      <c r="AF64" s="1"/>
    </row>
    <row r="65" spans="1:32" x14ac:dyDescent="0.25">
      <c r="A65" s="32">
        <v>42789.425462962965</v>
      </c>
      <c r="B65" s="30" t="s">
        <v>212</v>
      </c>
      <c r="C65" s="30" t="s">
        <v>427</v>
      </c>
      <c r="D65" s="30" t="s">
        <v>49</v>
      </c>
      <c r="E65" s="30" t="s">
        <v>186</v>
      </c>
      <c r="F65" s="43">
        <v>0</v>
      </c>
      <c r="G65" s="43">
        <v>58</v>
      </c>
      <c r="H65" s="43">
        <v>14272</v>
      </c>
      <c r="I65" s="43">
        <v>14223</v>
      </c>
      <c r="J65" s="30" t="s">
        <v>187</v>
      </c>
      <c r="K65" s="43">
        <v>14077</v>
      </c>
      <c r="L65" s="143" t="s">
        <v>51</v>
      </c>
      <c r="M65" s="144">
        <f t="shared" si="9"/>
        <v>77.087999999999994</v>
      </c>
      <c r="N65" s="145" t="str">
        <f>VLOOKUP(C65,'Trips&amp;Operators'!$C$1:$G$99999,5,FALSE)</f>
        <v>PELLITIER GEORGE</v>
      </c>
      <c r="O65" s="194" t="s">
        <v>185</v>
      </c>
      <c r="P65" s="146"/>
      <c r="Q65" s="30"/>
      <c r="R65" s="89" t="str">
        <f>VLOOKUP(C65,'Train Runs'!$A$13:$AE$9941,31,0)</f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S65" s="92" t="str">
        <f>VLOOKUP(C65,'Train Runs'!$A$13:$AE$9941,22,0)</f>
        <v>https://d0f6bd738d7f1b3e5a7ca70fe4ff75f0.us-east-1.aws.found.io/app/kibana#/discover/Steve-Slow-Train-Analysis-(2080s-and-2083s)?_g=(refreshInterval:(display:Off,pause:!f,section:0,value:0),time:(from:'2017-02-23T09:22:28-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5" s="94" t="str">
        <f t="shared" si="10"/>
        <v>"C:\Program Files (x86)\AstroGrep\AstroGrep.exe" /spath="%USERPROFILE%\AppData\Local\Temp\OnboardLogs" /stypes="*4026*201702231*" /stext=" 17:.+(\|loc)" /e /r /s</v>
      </c>
      <c r="U65" s="9" t="str">
        <f t="shared" si="11"/>
        <v>4026</v>
      </c>
      <c r="V65" s="32">
        <f t="shared" si="12"/>
        <v>42789.717129629629</v>
      </c>
      <c r="W65" s="46" t="str">
        <f t="shared" si="13"/>
        <v>Other</v>
      </c>
      <c r="X65" s="46" t="str">
        <f t="shared" si="14"/>
        <v>KEEP</v>
      </c>
      <c r="Y65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{"issue":{"subject":"","project_id":79,"tracker_id":40,"status_id":1,"priority_id":2,"assigned_to_id":23,"start_date":"2017-02-23","description":"","custom_fields":[{"id":1,"name":"Subdivision","value":"Other"},{"id":4,"name":"Milepost","value":"1.4077"},{"id":17,"name":"Train ID","value":"80-23"},{"id":16,"name":"Locomotive ID","value":"4026"},{"id":130,"name":"Impact","value":""},{"id":150,"name":"Time of Event (Mountain Time)","value":"10:12:40"},{"id":151,"name":"Denver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48"/>
      <c r="AA65" s="48"/>
      <c r="AB65" s="48"/>
      <c r="AC65" s="127" t="str">
        <f t="shared" si="16"/>
        <v>grep -hSE -A400 "Enforcement Action" "%USERPROFILE%\AppData\Local\Temp\OnboardLogs"\RTDC4026\*4026*201702231*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"%USERPROFILE%\AppData\Local\Temp\OnboardLogs"\RTDC4026\*4026*201702231* &gt;&gt; 2017-02-23-SliceDisagreementCheck.txt</v>
      </c>
      <c r="AE65" s="157" t="str">
        <f t="shared" si="17"/>
        <v>start /low /b %USERPROFILE%\Documents\GitHub\eaglep3\Utilities\DownloadLogsFromS3.py --loco 4026 --day 2017-02-23</v>
      </c>
      <c r="AF65" s="1"/>
    </row>
    <row r="66" spans="1:32" x14ac:dyDescent="0.25">
      <c r="A66" s="32">
        <v>42789.426099537035</v>
      </c>
      <c r="B66" s="30" t="s">
        <v>212</v>
      </c>
      <c r="C66" s="30" t="s">
        <v>427</v>
      </c>
      <c r="D66" s="30" t="s">
        <v>49</v>
      </c>
      <c r="E66" s="30" t="s">
        <v>186</v>
      </c>
      <c r="F66" s="43">
        <v>0</v>
      </c>
      <c r="G66" s="43">
        <v>25</v>
      </c>
      <c r="H66" s="43">
        <v>14148</v>
      </c>
      <c r="I66" s="43">
        <v>14131</v>
      </c>
      <c r="J66" s="30" t="s">
        <v>187</v>
      </c>
      <c r="K66" s="43">
        <v>14077</v>
      </c>
      <c r="L66" s="143" t="s">
        <v>51</v>
      </c>
      <c r="M66" s="144">
        <f t="shared" si="9"/>
        <v>28.512</v>
      </c>
      <c r="N66" s="145" t="str">
        <f>VLOOKUP(C66,'Trips&amp;Operators'!$C$1:$G$99999,5,FALSE)</f>
        <v>PELLITIER GEORGE</v>
      </c>
      <c r="O66" s="194" t="s">
        <v>185</v>
      </c>
      <c r="P66" s="146"/>
      <c r="Q66" s="30"/>
      <c r="R66" s="89" t="str">
        <f>VLOOKUP(C66,'Train Runs'!$A$13:$AE$9941,31,0)</f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S66" s="92" t="str">
        <f>VLOOKUP(C66,'Train Runs'!$A$13:$AE$9941,22,0)</f>
        <v>https://d0f6bd738d7f1b3e5a7ca70fe4ff75f0.us-east-1.aws.found.io/app/kibana#/discover/Steve-Slow-Train-Analysis-(2080s-and-2083s)?_g=(refreshInterval:(display:Off,pause:!f,section:0,value:0),time:(from:'2017-02-23T09:22:28-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6" s="94" t="str">
        <f t="shared" si="10"/>
        <v>"C:\Program Files (x86)\AstroGrep\AstroGrep.exe" /spath="%USERPROFILE%\AppData\Local\Temp\OnboardLogs" /stypes="*4026*201702231*" /stext=" 17:.+(\|loc)" /e /r /s</v>
      </c>
      <c r="U66" s="9" t="str">
        <f t="shared" si="11"/>
        <v>4026</v>
      </c>
      <c r="V66" s="32">
        <f t="shared" si="12"/>
        <v>42789.717766203699</v>
      </c>
      <c r="W66" s="46" t="str">
        <f t="shared" si="13"/>
        <v>Other</v>
      </c>
      <c r="X66" s="46" t="str">
        <f t="shared" si="14"/>
        <v>KEEP</v>
      </c>
      <c r="Y66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{"issue":{"subject":"","project_id":79,"tracker_id":40,"status_id":1,"priority_id":2,"assigned_to_id":23,"start_date":"2017-02-23","description":"","custom_fields":[{"id":1,"name":"Subdivision","value":"Other"},{"id":4,"name":"Milepost","value":"1.4077"},{"id":17,"name":"Train ID","value":"80-23"},{"id":16,"name":"Locomotive ID","value":"4026"},{"id":130,"name":"Impact","value":""},{"id":150,"name":"Time of Event (Mountain Time)","value":"10:13:35"},{"id":151,"name":"Denver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48"/>
      <c r="AA66" s="48"/>
      <c r="AB66" s="48"/>
      <c r="AC66" s="127" t="str">
        <f t="shared" si="16"/>
        <v>grep -hSE -A400 "Enforcement Action" "%USERPROFILE%\AppData\Local\Temp\OnboardLogs"\RTDC4026\*4026*201702231*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"%USERPROFILE%\AppData\Local\Temp\OnboardLogs"\RTDC4026\*4026*201702231* &gt;&gt; 2017-02-23-SliceDisagreementCheck.txt</v>
      </c>
      <c r="AE66" s="157" t="str">
        <f t="shared" si="17"/>
        <v>start /low /b %USERPROFILE%\Documents\GitHub\eaglep3\Utilities\DownloadLogsFromS3.py --loco 4026 --day 2017-02-23</v>
      </c>
      <c r="AF66" s="1"/>
    </row>
    <row r="67" spans="1:32" x14ac:dyDescent="0.25">
      <c r="A67" s="32">
        <v>42789.652002314811</v>
      </c>
      <c r="B67" s="30" t="s">
        <v>212</v>
      </c>
      <c r="C67" s="30" t="s">
        <v>445</v>
      </c>
      <c r="D67" s="30" t="s">
        <v>49</v>
      </c>
      <c r="E67" s="30" t="s">
        <v>188</v>
      </c>
      <c r="F67" s="43">
        <v>0</v>
      </c>
      <c r="G67" s="43">
        <v>47</v>
      </c>
      <c r="H67" s="43">
        <v>727</v>
      </c>
      <c r="I67" s="43">
        <v>689</v>
      </c>
      <c r="J67" s="30" t="s">
        <v>189</v>
      </c>
      <c r="K67" s="43">
        <v>575</v>
      </c>
      <c r="L67" s="143" t="s">
        <v>51</v>
      </c>
      <c r="M67" s="144">
        <f t="shared" si="9"/>
        <v>60.192</v>
      </c>
      <c r="N67" s="145" t="str">
        <f>VLOOKUP(C67,'Trips&amp;Operators'!$C$1:$G$99999,5,FALSE)</f>
        <v>STORY SAMANTHA</v>
      </c>
      <c r="O67" s="194" t="s">
        <v>185</v>
      </c>
      <c r="P67" s="146"/>
      <c r="Q67" s="30"/>
      <c r="R67" s="89" t="str">
        <f>VLOOKUP(C67,'Train Runs'!$A$13:$AE$9941,31,0)</f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S67" s="92" t="str">
        <f>VLOOKUP(C67,'Train Runs'!$A$13:$AE$9941,22,0)</f>
        <v>https://d0f6bd738d7f1b3e5a7ca70fe4ff75f0.us-east-1.aws.found.io/app/kibana#/discover/Steve-Slow-Train-Analysis-(2080s-and-2083s)?_g=(refreshInterval:(display:Off,pause:!f,section:0,value:0),time:(from:'2017-02-23T14:29:24-0700',mode:absolute,to:'2017-02-23T16:38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7" s="94" t="str">
        <f t="shared" si="10"/>
        <v>"C:\Program Files (x86)\AstroGrep\AstroGrep.exe" /spath="%USERPROFILE%\AppData\Local\Temp\OnboardLogs" /stypes="*4026*201702232*" /stext=" 22:.+(\|loc)" /e /r /s</v>
      </c>
      <c r="U67" s="9" t="str">
        <f t="shared" si="11"/>
        <v>4026</v>
      </c>
      <c r="V67" s="32">
        <f t="shared" si="12"/>
        <v>42789.943668981476</v>
      </c>
      <c r="W67" s="46" t="str">
        <f t="shared" si="13"/>
        <v>Other</v>
      </c>
      <c r="X67" s="46" t="str">
        <f t="shared" si="14"/>
        <v>KEEP</v>
      </c>
      <c r="Y67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{"issue":{"subject":"","project_id":79,"tracker_id":40,"status_id":1,"priority_id":2,"assigned_to_id":23,"start_date":"2017-02-23","description":"","custom_fields":[{"id":1,"name":"Subdivision","value":"Other"},{"id":4,"name":"Milepost","value":"0.0575"},{"id":17,"name":"Train ID","value":"904-23"},{"id":16,"name":"Locomotive ID","value":"4026"},{"id":130,"name":"Impact","value":""},{"id":150,"name":"Time of Event (Mountain Time)","value":"15:38:53"},{"id":151,"name":"Denver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48"/>
      <c r="AA67" s="48"/>
      <c r="AB67" s="48"/>
      <c r="AC67" s="127" t="str">
        <f t="shared" si="16"/>
        <v>grep -hSE -A400 "Enforcement Action" "%USERPROFILE%\AppData\Local\Temp\OnboardLogs"\RTDC4026\*4026*201702232*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"%USERPROFILE%\AppData\Local\Temp\OnboardLogs"\RTDC4026\*4026*201702232* &gt;&gt; 2017-02-23-SliceDisagreementCheck.txt</v>
      </c>
      <c r="AE67" s="157" t="str">
        <f t="shared" si="17"/>
        <v>start /low /b %USERPROFILE%\Documents\GitHub\eaglep3\Utilities\DownloadLogsFromS3.py --loco 4026 --day 2017-02-23</v>
      </c>
      <c r="AF67" s="1"/>
    </row>
    <row r="68" spans="1:32" x14ac:dyDescent="0.25">
      <c r="A68" s="32">
        <v>42789.758518518516</v>
      </c>
      <c r="B68" s="30" t="s">
        <v>328</v>
      </c>
      <c r="C68" s="30" t="s">
        <v>451</v>
      </c>
      <c r="D68" s="30" t="s">
        <v>49</v>
      </c>
      <c r="E68" s="30" t="s">
        <v>188</v>
      </c>
      <c r="F68" s="43">
        <v>0</v>
      </c>
      <c r="G68" s="43">
        <v>11</v>
      </c>
      <c r="H68" s="43">
        <v>854</v>
      </c>
      <c r="I68" s="43">
        <v>846</v>
      </c>
      <c r="J68" s="30" t="s">
        <v>189</v>
      </c>
      <c r="K68" s="43">
        <v>826</v>
      </c>
      <c r="L68" s="143" t="s">
        <v>51</v>
      </c>
      <c r="M68" s="144">
        <f t="shared" si="9"/>
        <v>10.56</v>
      </c>
      <c r="N68" s="145" t="str">
        <f>VLOOKUP(C68,'Trips&amp;Operators'!$C$1:$G$99999,5,FALSE)</f>
        <v>HILLS DUSTIN</v>
      </c>
      <c r="O68" s="194" t="s">
        <v>185</v>
      </c>
      <c r="P68" s="146"/>
      <c r="Q68" s="30"/>
      <c r="R68" s="89" t="str">
        <f>VLOOKUP(C68,'Train Runs'!$A$13:$AE$9941,31,0)</f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S68" s="92" t="str">
        <f>VLOOKUP(C68,'Train Runs'!$A$13:$AE$9941,22,0)</f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68" s="94" t="str">
        <f t="shared" si="10"/>
        <v>"C:\Program Files (x86)\AstroGrep\AstroGrep.exe" /spath="%USERPROFILE%\AppData\Local\Temp\OnboardLogs" /stypes="*4032*201702240*" /stext=" 01:.+(\|loc)" /e /r /s</v>
      </c>
      <c r="U68" s="9" t="str">
        <f t="shared" si="11"/>
        <v>4032</v>
      </c>
      <c r="V68" s="32">
        <f t="shared" si="12"/>
        <v>42790.05018518518</v>
      </c>
      <c r="W68" s="46" t="str">
        <f t="shared" si="13"/>
        <v>Other</v>
      </c>
      <c r="X68" s="46" t="str">
        <f t="shared" si="14"/>
        <v>KEEP</v>
      </c>
      <c r="Y68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{"issue":{"subject":"","project_id":79,"tracker_id":40,"status_id":1,"priority_id":2,"assigned_to_id":23,"start_date":"2017-02-23","description":"","custom_fields":[{"id":1,"name":"Subdivision","value":"Other"},{"id":4,"name":"Milepost","value":"0.0826"},{"id":17,"name":"Train ID","value":"76-23"},{"id":16,"name":"Locomotive ID","value":"4032"},{"id":130,"name":"Impact","value":""},{"id":150,"name":"Time of Event (Mountain Time)","value":"18:12:16"},{"id":151,"name":"Denver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48"/>
      <c r="AA68" s="48"/>
      <c r="AB68" s="48"/>
      <c r="AC68" s="127" t="str">
        <f t="shared" si="16"/>
        <v>grep -hSE -A400 "Enforcement Action" "%USERPROFILE%\AppData\Local\Temp\OnboardLogs"\RTDC4032\*4032*201702240*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"%USERPROFILE%\AppData\Local\Temp\OnboardLogs"\RTDC4032\*4032*201702240* &gt;&gt; 2017-02-23-SliceDisagreementCheck.txt</v>
      </c>
      <c r="AE68" s="157" t="str">
        <f t="shared" si="17"/>
        <v>start /low /b %USERPROFILE%\Documents\GitHub\eaglep3\Utilities\DownloadLogsFromS3.py --loco 4032 --day 2017-02-24</v>
      </c>
      <c r="AF68" s="1"/>
    </row>
    <row r="69" spans="1:32" x14ac:dyDescent="0.25">
      <c r="A69" s="32">
        <v>42789.758981481478</v>
      </c>
      <c r="B69" s="30" t="s">
        <v>328</v>
      </c>
      <c r="C69" s="30" t="s">
        <v>451</v>
      </c>
      <c r="D69" s="30" t="s">
        <v>49</v>
      </c>
      <c r="E69" s="30" t="s">
        <v>188</v>
      </c>
      <c r="F69" s="43">
        <v>0</v>
      </c>
      <c r="G69" s="43">
        <v>10</v>
      </c>
      <c r="H69" s="43">
        <v>848</v>
      </c>
      <c r="I69" s="43">
        <v>835</v>
      </c>
      <c r="J69" s="30" t="s">
        <v>189</v>
      </c>
      <c r="K69" s="43">
        <v>826</v>
      </c>
      <c r="L69" s="143" t="s">
        <v>51</v>
      </c>
      <c r="M69" s="144">
        <f t="shared" si="9"/>
        <v>4.7519999999999998</v>
      </c>
      <c r="N69" s="145" t="str">
        <f>VLOOKUP(C69,'Trips&amp;Operators'!$C$1:$G$99999,5,FALSE)</f>
        <v>HILLS DUSTIN</v>
      </c>
      <c r="O69" s="194" t="s">
        <v>185</v>
      </c>
      <c r="P69" s="146"/>
      <c r="Q69" s="30"/>
      <c r="R69" s="89" t="str">
        <f>VLOOKUP(C69,'Train Runs'!$A$13:$AE$9941,31,0)</f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S69" s="92" t="str">
        <f>VLOOKUP(C69,'Train Runs'!$A$13:$AE$9941,22,0)</f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69" s="94" t="str">
        <f t="shared" si="10"/>
        <v>"C:\Program Files (x86)\AstroGrep\AstroGrep.exe" /spath="%USERPROFILE%\AppData\Local\Temp\OnboardLogs" /stypes="*4032*201702240*" /stext=" 01:.+(\|loc)" /e /r /s</v>
      </c>
      <c r="U69" s="9" t="str">
        <f t="shared" si="11"/>
        <v>4032</v>
      </c>
      <c r="V69" s="32">
        <f t="shared" si="12"/>
        <v>42790.050648148142</v>
      </c>
      <c r="W69" s="46" t="str">
        <f t="shared" si="13"/>
        <v>Other</v>
      </c>
      <c r="X69" s="46" t="str">
        <f t="shared" si="14"/>
        <v>KEEP</v>
      </c>
      <c r="Y69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{"issue":{"subject":"","project_id":79,"tracker_id":40,"status_id":1,"priority_id":2,"assigned_to_id":23,"start_date":"2017-02-23","description":"","custom_fields":[{"id":1,"name":"Subdivision","value":"Other"},{"id":4,"name":"Milepost","value":"0.0826"},{"id":17,"name":"Train ID","value":"76-23"},{"id":16,"name":"Locomotive ID","value":"4032"},{"id":130,"name":"Impact","value":""},{"id":150,"name":"Time of Event (Mountain Time)","value":"18:12:56"},{"id":151,"name":"Denver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48"/>
      <c r="AA69" s="48"/>
      <c r="AB69" s="48"/>
      <c r="AC69" s="127" t="str">
        <f t="shared" si="16"/>
        <v>grep -hSE -A400 "Enforcement Action" "%USERPROFILE%\AppData\Local\Temp\OnboardLogs"\RTDC4032\*4032*201702240* | grep -SE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"%USERPROFILE%\AppData\Local\Temp\OnboardLogs"\RTDC4032\*4032*201702240* &gt;&gt; 2017-02-23-SliceDisagreementCheck.txt</v>
      </c>
      <c r="AE69" s="157" t="str">
        <f t="shared" si="17"/>
        <v>start /low /b %USERPROFILE%\Documents\GitHub\eaglep3\Utilities\DownloadLogsFromS3.py --loco 4032 --day 2017-02-24</v>
      </c>
      <c r="AF69" s="1"/>
    </row>
  </sheetData>
  <autoFilter ref="A6:AC69"/>
  <sortState ref="A7:AE69">
    <sortCondition ref="W7:W69"/>
    <sortCondition ref="E7:E69"/>
    <sortCondition ref="K7:K69"/>
    <sortCondition ref="C7:C69"/>
    <sortCondition ref="F7:F69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AA7:AA69</xm:sqref>
        </x14:dataValidation>
        <x14:dataValidation type="list" allowBlank="1" showInputMessage="1" showErrorMessage="1">
          <x14:formula1>
            <xm:f>'Redmine List Values'!$C$2:$C$15</xm:f>
          </x14:formula1>
          <xm:sqref>AB7:AB69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5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2017-02-23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-23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0" t="e">
        <f>VLOOKUP(B3,'Train Runs'!$A$13:$A$99938,1,FALSE)</f>
        <v>#N/A</v>
      </c>
    </row>
    <row r="4" spans="1:10" x14ac:dyDescent="0.25">
      <c r="A4" s="185"/>
      <c r="B4" s="43" t="str">
        <f>A4&amp;"-"&amp;IF(DAY(Variables!$A$2)&lt;10,0,"")&amp;DAY(Variables!$A$2)</f>
        <v>-23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Runs'!$A$13:$A$99938,1,FALSE)</f>
        <v>#N/A</v>
      </c>
    </row>
    <row r="5" spans="1:10" x14ac:dyDescent="0.25">
      <c r="A5" s="185"/>
      <c r="B5" s="43" t="str">
        <f>A5&amp;"-"&amp;IF(DAY(Variables!$A$2)&lt;10,0,"")&amp;DAY(Variables!$A$2)</f>
        <v>-23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Runs'!$A$13:$A$99938,1,FALSE)</f>
        <v>#N/A</v>
      </c>
    </row>
    <row r="6" spans="1:10" x14ac:dyDescent="0.25">
      <c r="A6" s="185"/>
      <c r="B6" s="43" t="str">
        <f>A6&amp;"-"&amp;IF(DAY(Variables!$A$2)&lt;10,0,"")&amp;DAY(Variables!$A$2)</f>
        <v>-23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Runs'!$A$13:$A$99938,1,FALSE)</f>
        <v>#N/A</v>
      </c>
    </row>
    <row r="7" spans="1:10" x14ac:dyDescent="0.25">
      <c r="A7" s="185"/>
      <c r="B7" s="43" t="str">
        <f>A7&amp;"-"&amp;IF(DAY(Variables!$A$2)&lt;10,0,"")&amp;DAY(Variables!$A$2)</f>
        <v>-23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Runs'!$A$13:$A$99938,1,FALSE)</f>
        <v>#N/A</v>
      </c>
    </row>
    <row r="8" spans="1:10" x14ac:dyDescent="0.25">
      <c r="A8" s="185"/>
      <c r="B8" s="43" t="str">
        <f>A8&amp;"-"&amp;IF(DAY(Variables!$A$2)&lt;10,0,"")&amp;DAY(Variables!$A$2)</f>
        <v>-23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Runs'!$A$13:$A$99938,1,FALSE)</f>
        <v>#N/A</v>
      </c>
    </row>
    <row r="9" spans="1:10" x14ac:dyDescent="0.25">
      <c r="A9" s="185"/>
      <c r="B9" s="43" t="str">
        <f>A9&amp;"-"&amp;IF(DAY(Variables!$A$2)&lt;10,0,"")&amp;DAY(Variables!$A$2)</f>
        <v>-23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Runs'!$A$13:$A$99938,1,FALSE)</f>
        <v>#N/A</v>
      </c>
    </row>
    <row r="10" spans="1:10" x14ac:dyDescent="0.25">
      <c r="A10" s="185"/>
      <c r="B10" s="43" t="str">
        <f>A10&amp;"-"&amp;IF(DAY(Variables!$A$2)&lt;10,0,"")&amp;DAY(Variables!$A$2)</f>
        <v>-23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Runs'!$A$13:$A$99938,1,FALSE)</f>
        <v>#N/A</v>
      </c>
    </row>
    <row r="11" spans="1:10" x14ac:dyDescent="0.25">
      <c r="A11" s="185"/>
      <c r="B11" s="43" t="str">
        <f>A11&amp;"-"&amp;IF(DAY(Variables!$A$2)&lt;10,0,"")&amp;DAY(Variables!$A$2)</f>
        <v>-23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Runs'!$A$13:$A$99938,1,FALSE)</f>
        <v>#N/A</v>
      </c>
    </row>
    <row r="12" spans="1:10" x14ac:dyDescent="0.25">
      <c r="A12" s="185"/>
      <c r="B12" s="43" t="str">
        <f>A12&amp;"-"&amp;IF(DAY(Variables!$A$2)&lt;10,0,"")&amp;DAY(Variables!$A$2)</f>
        <v>-23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Runs'!$A$13:$A$99938,1,FALSE)</f>
        <v>#N/A</v>
      </c>
    </row>
    <row r="13" spans="1:10" x14ac:dyDescent="0.25">
      <c r="A13" s="185"/>
      <c r="B13" s="43" t="str">
        <f>A13&amp;"-"&amp;IF(DAY(Variables!$A$2)&lt;10,0,"")&amp;DAY(Variables!$A$2)</f>
        <v>-23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Runs'!$A$13:$A$99938,1,FALSE)</f>
        <v>#N/A</v>
      </c>
    </row>
    <row r="14" spans="1:10" x14ac:dyDescent="0.25">
      <c r="A14" s="185"/>
      <c r="B14" s="43" t="str">
        <f>A14&amp;"-"&amp;IF(DAY(Variables!$A$2)&lt;10,0,"")&amp;DAY(Variables!$A$2)</f>
        <v>-23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Runs'!$A$13:$A$99938,1,FALSE)</f>
        <v>#N/A</v>
      </c>
    </row>
    <row r="15" spans="1:10" x14ac:dyDescent="0.25">
      <c r="A15" s="185"/>
      <c r="B15" s="43" t="str">
        <f>A15&amp;"-"&amp;IF(DAY(Variables!$A$2)&lt;10,0,"")&amp;DAY(Variables!$A$2)</f>
        <v>-23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Runs'!$A$13:$A$99938,1,FALSE)</f>
        <v>#N/A</v>
      </c>
    </row>
    <row r="16" spans="1:10" x14ac:dyDescent="0.25">
      <c r="A16" s="185"/>
      <c r="B16" s="43" t="str">
        <f>A16&amp;"-"&amp;IF(DAY(Variables!$A$2)&lt;10,0,"")&amp;DAY(Variables!$A$2)</f>
        <v>-23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Runs'!$A$13:$A$99938,1,FALSE)</f>
        <v>#N/A</v>
      </c>
    </row>
    <row r="17" spans="1:10" x14ac:dyDescent="0.25">
      <c r="A17" s="185"/>
      <c r="B17" s="43" t="str">
        <f>A17&amp;"-"&amp;IF(DAY(Variables!$A$2)&lt;10,0,"")&amp;DAY(Variables!$A$2)</f>
        <v>-23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Runs'!$A$13:$A$99938,1,FALSE)</f>
        <v>#N/A</v>
      </c>
    </row>
    <row r="18" spans="1:10" x14ac:dyDescent="0.25">
      <c r="A18" s="185"/>
      <c r="B18" s="43" t="str">
        <f>A18&amp;"-"&amp;IF(DAY(Variables!$A$2)&lt;10,0,"")&amp;DAY(Variables!$A$2)</f>
        <v>-23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Runs'!$A$13:$A$99938,1,FALSE)</f>
        <v>#N/A</v>
      </c>
    </row>
    <row r="19" spans="1:10" x14ac:dyDescent="0.25">
      <c r="A19" s="185"/>
      <c r="B19" s="43" t="str">
        <f>A19&amp;"-"&amp;IF(DAY(Variables!$A$2)&lt;10,0,"")&amp;DAY(Variables!$A$2)</f>
        <v>-23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0" t="e">
        <f>VLOOKUP(B19,'Train Runs'!$A$13:$A$99938,1,FALSE)</f>
        <v>#N/A</v>
      </c>
    </row>
    <row r="20" spans="1:10" x14ac:dyDescent="0.25">
      <c r="A20" s="185"/>
      <c r="B20" s="43" t="str">
        <f>A20&amp;"-"&amp;IF(DAY(Variables!$A$2)&lt;10,0,"")&amp;DAY(Variables!$A$2)</f>
        <v>-23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Runs'!$A$13:$A$99938,1,FALSE)</f>
        <v>#N/A</v>
      </c>
    </row>
    <row r="21" spans="1:10" x14ac:dyDescent="0.25">
      <c r="A21" s="185"/>
      <c r="B21" s="43" t="str">
        <f>A21&amp;"-"&amp;IF(DAY(Variables!$A$2)&lt;10,0,"")&amp;DAY(Variables!$A$2)</f>
        <v>-23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Runs'!$A$13:$A$99938,1,FALSE)</f>
        <v>#N/A</v>
      </c>
    </row>
    <row r="22" spans="1:10" x14ac:dyDescent="0.25">
      <c r="A22" s="185"/>
      <c r="B22" s="43" t="str">
        <f>A22&amp;"-"&amp;IF(DAY(Variables!$A$2)&lt;10,0,"")&amp;DAY(Variables!$A$2)</f>
        <v>-23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Runs'!$A$13:$A$99938,1,FALSE)</f>
        <v>#N/A</v>
      </c>
    </row>
    <row r="23" spans="1:10" x14ac:dyDescent="0.25">
      <c r="A23" s="185"/>
      <c r="B23" s="43" t="str">
        <f>A23&amp;"-"&amp;IF(DAY(Variables!$A$2)&lt;10,0,"")&amp;DAY(Variables!$A$2)</f>
        <v>-23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Runs'!$A$13:$A$99938,1,FALSE)</f>
        <v>#N/A</v>
      </c>
    </row>
    <row r="24" spans="1:10" x14ac:dyDescent="0.25">
      <c r="A24" s="185"/>
      <c r="B24" s="43" t="str">
        <f>A24&amp;"-"&amp;IF(DAY(Variables!$A$2)&lt;10,0,"")&amp;DAY(Variables!$A$2)</f>
        <v>-23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Runs'!$A$13:$A$99938,1,FALSE)</f>
        <v>#N/A</v>
      </c>
    </row>
    <row r="25" spans="1:10" x14ac:dyDescent="0.25">
      <c r="A25" s="185"/>
      <c r="B25" s="43" t="str">
        <f>A25&amp;"-"&amp;IF(DAY(Variables!$A$2)&lt;10,0,"")&amp;DAY(Variables!$A$2)</f>
        <v>-23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Runs'!$A$13:$A$99938,1,FALSE)</f>
        <v>#N/A</v>
      </c>
    </row>
    <row r="26" spans="1:10" x14ac:dyDescent="0.25">
      <c r="A26" s="185"/>
      <c r="B26" s="43" t="str">
        <f>A26&amp;"-"&amp;IF(DAY(Variables!$A$2)&lt;10,0,"")&amp;DAY(Variables!$A$2)</f>
        <v>-23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0" t="e">
        <f>VLOOKUP(B26,'Train Runs'!$A$13:$A$99938,1,FALSE)</f>
        <v>#N/A</v>
      </c>
    </row>
    <row r="27" spans="1:10" x14ac:dyDescent="0.25">
      <c r="A27" s="185"/>
      <c r="B27" s="43" t="str">
        <f>A27&amp;"-"&amp;IF(DAY(Variables!$A$2)&lt;10,0,"")&amp;DAY(Variables!$A$2)</f>
        <v>-23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0" t="e">
        <f>VLOOKUP(B27,'Train Runs'!$A$13:$A$99938,1,FALSE)</f>
        <v>#N/A</v>
      </c>
    </row>
    <row r="28" spans="1:10" x14ac:dyDescent="0.25">
      <c r="A28" s="185"/>
      <c r="B28" s="43" t="str">
        <f>A28&amp;"-"&amp;IF(DAY(Variables!$A$2)&lt;10,0,"")&amp;DAY(Variables!$A$2)</f>
        <v>-23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0" t="e">
        <f>VLOOKUP(B28,'Train Runs'!$A$13:$A$99938,1,FALSE)</f>
        <v>#N/A</v>
      </c>
    </row>
    <row r="29" spans="1:10" x14ac:dyDescent="0.25">
      <c r="A29" s="185"/>
      <c r="B29" s="43" t="str">
        <f>A29&amp;"-"&amp;IF(DAY(Variables!$A$2)&lt;10,0,"")&amp;DAY(Variables!$A$2)</f>
        <v>-23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0" t="e">
        <f>VLOOKUP(B29,'Train Runs'!$A$13:$A$99938,1,FALSE)</f>
        <v>#N/A</v>
      </c>
    </row>
    <row r="30" spans="1:10" x14ac:dyDescent="0.25">
      <c r="A30" s="185"/>
      <c r="B30" s="43" t="str">
        <f>A30&amp;"-"&amp;IF(DAY(Variables!$A$2)&lt;10,0,"")&amp;DAY(Variables!$A$2)</f>
        <v>-23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ref="I30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0" t="e">
        <f>VLOOKUP(B30,'Train Runs'!$A$13:$A$99938,1,FALSE)</f>
        <v>#N/A</v>
      </c>
    </row>
    <row r="31" spans="1:10" x14ac:dyDescent="0.25">
      <c r="A31" s="185"/>
      <c r="B31" s="43" t="str">
        <f>A31&amp;"-"&amp;IF(DAY(Variables!$A$2)&lt;10,0,"")&amp;DAY(Variables!$A$2)</f>
        <v>-23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0" t="e">
        <f>VLOOKUP(B31,'Train Runs'!$A$13:$A$99938,1,FALSE)</f>
        <v>#N/A</v>
      </c>
    </row>
    <row r="32" spans="1:10" x14ac:dyDescent="0.25">
      <c r="A32" s="185"/>
      <c r="B32" s="43" t="str">
        <f>A32&amp;"-"&amp;IF(DAY(Variables!$A$2)&lt;10,0,"")&amp;DAY(Variables!$A$2)</f>
        <v>-23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0" t="e">
        <f>VLOOKUP(B32,'Train Runs'!$A$13:$A$99938,1,FALSE)</f>
        <v>#N/A</v>
      </c>
    </row>
    <row r="33" spans="1:10" x14ac:dyDescent="0.25">
      <c r="A33" s="185"/>
      <c r="B33" s="43" t="str">
        <f>A33&amp;"-"&amp;IF(DAY(Variables!$A$2)&lt;10,0,"")&amp;DAY(Variables!$A$2)</f>
        <v>-23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0" t="e">
        <f>VLOOKUP(B33,'Train Runs'!$A$13:$A$99938,1,FALSE)</f>
        <v>#N/A</v>
      </c>
    </row>
    <row r="34" spans="1:10" x14ac:dyDescent="0.25">
      <c r="A34" s="185"/>
      <c r="B34" s="43" t="str">
        <f>A34&amp;"-"&amp;IF(DAY(Variables!$A$2)&lt;10,0,"")&amp;DAY(Variables!$A$2)</f>
        <v>-23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0" t="e">
        <f>VLOOKUP(B34,'Train Runs'!$A$13:$A$99938,1,FALSE)</f>
        <v>#N/A</v>
      </c>
    </row>
    <row r="35" spans="1:10" x14ac:dyDescent="0.25">
      <c r="A35" s="185"/>
      <c r="B35" s="43" t="str">
        <f>A35&amp;"-"&amp;IF(DAY(Variables!$A$2)&lt;10,0,"")&amp;DAY(Variables!$A$2)</f>
        <v>-23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0" t="e">
        <f>VLOOKUP(B35,'Train Runs'!$A$13:$A$99938,1,FALSE)</f>
        <v>#N/A</v>
      </c>
    </row>
    <row r="36" spans="1:10" x14ac:dyDescent="0.25">
      <c r="A36" s="185"/>
      <c r="B36" s="43" t="str">
        <f>A36&amp;"-"&amp;IF(DAY(Variables!$A$2)&lt;10,0,"")&amp;DAY(Variables!$A$2)</f>
        <v>-23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0" t="e">
        <f>VLOOKUP(B36,'Train Runs'!$A$13:$A$99938,1,FALSE)</f>
        <v>#N/A</v>
      </c>
    </row>
    <row r="37" spans="1:10" x14ac:dyDescent="0.25">
      <c r="A37" s="185"/>
      <c r="B37" s="43" t="str">
        <f>A37&amp;"-"&amp;IF(DAY(Variables!$A$2)&lt;10,0,"")&amp;DAY(Variables!$A$2)</f>
        <v>-23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0" t="e">
        <f>VLOOKUP(B37,'Train Runs'!$A$13:$A$99938,1,FALSE)</f>
        <v>#N/A</v>
      </c>
    </row>
    <row r="38" spans="1:10" x14ac:dyDescent="0.25">
      <c r="A38" s="185"/>
      <c r="B38" s="43" t="str">
        <f>A38&amp;"-"&amp;IF(DAY(Variables!$A$2)&lt;10,0,"")&amp;DAY(Variables!$A$2)</f>
        <v>-23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0" t="e">
        <f>VLOOKUP(B38,'Train Runs'!$A$13:$A$99938,1,FALSE)</f>
        <v>#N/A</v>
      </c>
    </row>
    <row r="39" spans="1:10" x14ac:dyDescent="0.25">
      <c r="A39" s="185"/>
      <c r="B39" s="43" t="str">
        <f>A39&amp;"-"&amp;IF(DAY(Variables!$A$2)&lt;10,0,"")&amp;DAY(Variables!$A$2)</f>
        <v>-23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0" t="e">
        <f>VLOOKUP(B39,'Train Runs'!$A$13:$A$99938,1,FALSE)</f>
        <v>#N/A</v>
      </c>
    </row>
    <row r="40" spans="1:10" x14ac:dyDescent="0.25">
      <c r="A40" s="185"/>
      <c r="B40" s="43" t="str">
        <f>A40&amp;"-"&amp;IF(DAY(Variables!$A$2)&lt;10,0,"")&amp;DAY(Variables!$A$2)</f>
        <v>-23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0" t="e">
        <f>VLOOKUP(B40,'Train Runs'!$A$13:$A$99938,1,FALSE)</f>
        <v>#N/A</v>
      </c>
    </row>
    <row r="41" spans="1:10" x14ac:dyDescent="0.25">
      <c r="A41" s="185"/>
      <c r="B41" s="43" t="str">
        <f>A41&amp;"-"&amp;IF(DAY(Variables!$A$2)&lt;10,0,"")&amp;DAY(Variables!$A$2)</f>
        <v>-23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0" t="e">
        <f>VLOOKUP(B41,'Train Runs'!$A$13:$A$99938,1,FALSE)</f>
        <v>#N/A</v>
      </c>
    </row>
    <row r="42" spans="1:10" x14ac:dyDescent="0.25">
      <c r="A42" s="185"/>
      <c r="B42" s="43" t="str">
        <f>A42&amp;"-"&amp;IF(DAY(Variables!$A$2)&lt;10,0,"")&amp;DAY(Variables!$A$2)</f>
        <v>-23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0" t="e">
        <f>VLOOKUP(B42,'Train Runs'!$A$13:$A$99938,1,FALSE)</f>
        <v>#N/A</v>
      </c>
    </row>
    <row r="43" spans="1:10" x14ac:dyDescent="0.25">
      <c r="A43" s="185"/>
      <c r="B43" s="43" t="str">
        <f>A43&amp;"-"&amp;IF(DAY(Variables!$A$2)&lt;10,0,"")&amp;DAY(Variables!$A$2)</f>
        <v>-23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0" t="e">
        <f>VLOOKUP(B43,'Train Runs'!$A$13:$A$99938,1,FALSE)</f>
        <v>#N/A</v>
      </c>
    </row>
    <row r="44" spans="1:10" x14ac:dyDescent="0.25">
      <c r="A44" s="185"/>
      <c r="B44" s="43" t="str">
        <f>A44&amp;"-"&amp;IF(DAY(Variables!$A$2)&lt;10,0,"")&amp;DAY(Variables!$A$2)</f>
        <v>-23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0" t="e">
        <f>VLOOKUP(B44,'Train Runs'!$A$13:$A$99938,1,FALSE)</f>
        <v>#N/A</v>
      </c>
    </row>
    <row r="45" spans="1:10" x14ac:dyDescent="0.25">
      <c r="A45" s="185"/>
      <c r="B45" s="43" t="str">
        <f>A45&amp;"-"&amp;IF(DAY(Variables!$A$2)&lt;10,0,"")&amp;DAY(Variables!$A$2)</f>
        <v>-23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0" t="e">
        <f>VLOOKUP(B45,'Train Runs'!$A$13:$A$99938,1,FALSE)</f>
        <v>#N/A</v>
      </c>
    </row>
    <row r="46" spans="1:10" x14ac:dyDescent="0.25">
      <c r="A46" s="185"/>
      <c r="B46" s="43" t="str">
        <f>A46&amp;"-"&amp;IF(DAY(Variables!$A$2)&lt;10,0,"")&amp;DAY(Variables!$A$2)</f>
        <v>-23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0" t="e">
        <f>VLOOKUP(B46,'Train Runs'!$A$13:$A$99938,1,FALSE)</f>
        <v>#N/A</v>
      </c>
    </row>
    <row r="47" spans="1:10" x14ac:dyDescent="0.25">
      <c r="A47" s="185"/>
      <c r="B47" s="43" t="str">
        <f>A47&amp;"-"&amp;IF(DAY(Variables!$A$2)&lt;10,0,"")&amp;DAY(Variables!$A$2)</f>
        <v>-23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0" t="e">
        <f>VLOOKUP(B47,'Train Runs'!$A$13:$A$99938,1,FALSE)</f>
        <v>#N/A</v>
      </c>
    </row>
    <row r="48" spans="1:10" x14ac:dyDescent="0.25">
      <c r="A48" s="185"/>
      <c r="B48" s="43" t="str">
        <f>A48&amp;"-"&amp;IF(DAY(Variables!$A$2)&lt;10,0,"")&amp;DAY(Variables!$A$2)</f>
        <v>-23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0" t="e">
        <f>VLOOKUP(B48,'Train Runs'!$A$13:$A$99938,1,FALSE)</f>
        <v>#N/A</v>
      </c>
    </row>
    <row r="49" spans="1:10" x14ac:dyDescent="0.25">
      <c r="A49" s="185"/>
      <c r="B49" s="43" t="str">
        <f>A49&amp;"-"&amp;IF(DAY(Variables!$A$2)&lt;10,0,"")&amp;DAY(Variables!$A$2)</f>
        <v>-23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0" t="e">
        <f>VLOOKUP(B49,'Train Runs'!$A$13:$A$99938,1,FALSE)</f>
        <v>#N/A</v>
      </c>
    </row>
    <row r="50" spans="1:10" x14ac:dyDescent="0.25">
      <c r="A50" s="185"/>
      <c r="B50" s="43" t="str">
        <f>A50&amp;"-"&amp;IF(DAY(Variables!$A$2)&lt;10,0,"")&amp;DAY(Variables!$A$2)</f>
        <v>-23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0" t="e">
        <f>VLOOKUP(B50,'Train Runs'!$A$13:$A$99938,1,FALSE)</f>
        <v>#N/A</v>
      </c>
    </row>
    <row r="51" spans="1:10" x14ac:dyDescent="0.25">
      <c r="A51" s="185"/>
      <c r="B51" s="43" t="str">
        <f>A51&amp;"-"&amp;IF(DAY(Variables!$A$2)&lt;10,0,"")&amp;DAY(Variables!$A$2)</f>
        <v>-23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0" t="e">
        <f>VLOOKUP(B51,'Train Runs'!$A$13:$A$99938,1,FALSE)</f>
        <v>#N/A</v>
      </c>
    </row>
    <row r="52" spans="1:10" x14ac:dyDescent="0.25">
      <c r="A52" s="185"/>
      <c r="B52" s="43" t="str">
        <f>A52&amp;"-"&amp;IF(DAY(Variables!$A$2)&lt;10,0,"")&amp;DAY(Variables!$A$2)</f>
        <v>-23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0" t="e">
        <f>VLOOKUP(B52,'Train Runs'!$A$13:$A$99938,1,FALSE)</f>
        <v>#N/A</v>
      </c>
    </row>
    <row r="53" spans="1:10" x14ac:dyDescent="0.25">
      <c r="A53" s="185"/>
      <c r="B53" s="43" t="str">
        <f>A53&amp;"-"&amp;IF(DAY(Variables!$A$2)&lt;10,0,"")&amp;DAY(Variables!$A$2)</f>
        <v>-23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0" t="e">
        <f>VLOOKUP(B53,'Train Runs'!$A$13:$A$99938,1,FALSE)</f>
        <v>#N/A</v>
      </c>
    </row>
    <row r="54" spans="1:10" x14ac:dyDescent="0.25">
      <c r="A54" s="185"/>
      <c r="B54" s="43" t="str">
        <f>A54&amp;"-"&amp;IF(DAY(Variables!$A$2)&lt;10,0,"")&amp;DAY(Variables!$A$2)</f>
        <v>-23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0" t="e">
        <f>VLOOKUP(B54,'Train Runs'!$A$13:$A$99938,1,FALSE)</f>
        <v>#N/A</v>
      </c>
    </row>
    <row r="55" spans="1:10" x14ac:dyDescent="0.25">
      <c r="A55" s="185"/>
      <c r="B55" s="43" t="str">
        <f>A55&amp;"-"&amp;IF(DAY(Variables!$A$2)&lt;10,0,"")&amp;DAY(Variables!$A$2)</f>
        <v>-23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0" t="e">
        <f>VLOOKUP(B55,'Train Runs'!$A$13:$A$99938,1,FALSE)</f>
        <v>#N/A</v>
      </c>
    </row>
    <row r="56" spans="1:10" x14ac:dyDescent="0.25">
      <c r="A56" s="185"/>
      <c r="B56" s="43" t="str">
        <f>A56&amp;"-"&amp;IF(DAY(Variables!$A$2)&lt;10,0,"")&amp;DAY(Variables!$A$2)</f>
        <v>-23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0" t="e">
        <f>VLOOKUP(B56,'Train Runs'!$A$13:$A$99938,1,FALSE)</f>
        <v>#N/A</v>
      </c>
    </row>
    <row r="57" spans="1:10" x14ac:dyDescent="0.25">
      <c r="A57" s="185"/>
      <c r="B57" s="43" t="str">
        <f>A57&amp;"-"&amp;IF(DAY(Variables!$A$2)&lt;10,0,"")&amp;DAY(Variables!$A$2)</f>
        <v>-23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0" t="e">
        <f>VLOOKUP(B57,'Train Runs'!$A$13:$A$99938,1,FALSE)</f>
        <v>#N/A</v>
      </c>
    </row>
    <row r="58" spans="1:10" x14ac:dyDescent="0.25">
      <c r="A58" s="185"/>
      <c r="B58" s="43" t="str">
        <f>A58&amp;"-"&amp;IF(DAY(Variables!$A$2)&lt;10,0,"")&amp;DAY(Variables!$A$2)</f>
        <v>-23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0" t="e">
        <f>VLOOKUP(B58,'Train Runs'!$A$13:$A$99938,1,FALSE)</f>
        <v>#N/A</v>
      </c>
    </row>
    <row r="59" spans="1:10" x14ac:dyDescent="0.25">
      <c r="A59" s="185"/>
      <c r="B59" s="43" t="str">
        <f>A59&amp;"-"&amp;IF(DAY(Variables!$A$2)&lt;10,0,"")&amp;DAY(Variables!$A$2)</f>
        <v>-23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0" t="e">
        <f>VLOOKUP(B59,'Train Runs'!$A$13:$A$99938,1,FALSE)</f>
        <v>#N/A</v>
      </c>
    </row>
    <row r="60" spans="1:10" x14ac:dyDescent="0.25">
      <c r="A60" s="185"/>
      <c r="B60" s="43" t="str">
        <f>A60&amp;"-"&amp;IF(DAY(Variables!$A$2)&lt;10,0,"")&amp;DAY(Variables!$A$2)</f>
        <v>-23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0" t="e">
        <f>VLOOKUP(B60,'Train Runs'!$A$13:$A$99938,1,FALSE)</f>
        <v>#N/A</v>
      </c>
    </row>
    <row r="61" spans="1:10" x14ac:dyDescent="0.25">
      <c r="A61" s="185"/>
      <c r="B61" s="43" t="str">
        <f>A61&amp;"-"&amp;IF(DAY(Variables!$A$2)&lt;10,0,"")&amp;DAY(Variables!$A$2)</f>
        <v>-23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0" t="e">
        <f>VLOOKUP(B61,'Train Runs'!$A$13:$A$99938,1,FALSE)</f>
        <v>#N/A</v>
      </c>
    </row>
    <row r="62" spans="1:10" x14ac:dyDescent="0.25">
      <c r="A62" s="185"/>
      <c r="B62" s="43" t="str">
        <f>A62&amp;"-"&amp;IF(DAY(Variables!$A$2)&lt;10,0,"")&amp;DAY(Variables!$A$2)</f>
        <v>-23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ref="I62:I9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0" t="e">
        <f>VLOOKUP(B62,'Train Runs'!$A$13:$A$99938,1,FALSE)</f>
        <v>#N/A</v>
      </c>
    </row>
    <row r="63" spans="1:10" x14ac:dyDescent="0.25">
      <c r="A63" s="185"/>
      <c r="B63" s="43" t="str">
        <f>A63&amp;"-"&amp;IF(DAY(Variables!$A$2)&lt;10,0,"")&amp;DAY(Variables!$A$2)</f>
        <v>-23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0" t="e">
        <f>VLOOKUP(B63,'Train Runs'!$A$13:$A$99938,1,FALSE)</f>
        <v>#N/A</v>
      </c>
    </row>
    <row r="64" spans="1:10" x14ac:dyDescent="0.25">
      <c r="A64" s="185"/>
      <c r="B64" s="43" t="str">
        <f>A64&amp;"-"&amp;IF(DAY(Variables!$A$2)&lt;10,0,"")&amp;DAY(Variables!$A$2)</f>
        <v>-23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0" t="e">
        <f>VLOOKUP(B64,'Train Runs'!$A$13:$A$99938,1,FALSE)</f>
        <v>#N/A</v>
      </c>
    </row>
    <row r="65" spans="1:10" x14ac:dyDescent="0.25">
      <c r="A65" s="185"/>
      <c r="B65" s="43" t="str">
        <f>A65&amp;"-"&amp;IF(DAY(Variables!$A$2)&lt;10,0,"")&amp;DAY(Variables!$A$2)</f>
        <v>-23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0" t="e">
        <f>VLOOKUP(B65,'Train Runs'!$A$13:$A$99938,1,FALSE)</f>
        <v>#N/A</v>
      </c>
    </row>
    <row r="66" spans="1:10" x14ac:dyDescent="0.25">
      <c r="A66" s="185"/>
      <c r="B66" s="43" t="str">
        <f>A66&amp;"-"&amp;IF(DAY(Variables!$A$2)&lt;10,0,"")&amp;DAY(Variables!$A$2)</f>
        <v>-23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0" t="e">
        <f>VLOOKUP(B66,'Train Runs'!$A$13:$A$99938,1,FALSE)</f>
        <v>#N/A</v>
      </c>
    </row>
    <row r="67" spans="1:10" x14ac:dyDescent="0.25">
      <c r="A67" s="185"/>
      <c r="B67" s="43" t="str">
        <f>A67&amp;"-"&amp;IF(DAY(Variables!$A$2)&lt;10,0,"")&amp;DAY(Variables!$A$2)</f>
        <v>-23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0" t="e">
        <f>VLOOKUP(B67,'Train Runs'!$A$13:$A$99938,1,FALSE)</f>
        <v>#N/A</v>
      </c>
    </row>
    <row r="68" spans="1:10" x14ac:dyDescent="0.25">
      <c r="A68" s="185"/>
      <c r="B68" s="43" t="str">
        <f>A68&amp;"-"&amp;IF(DAY(Variables!$A$2)&lt;10,0,"")&amp;DAY(Variables!$A$2)</f>
        <v>-23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8" s="30" t="e">
        <f>VLOOKUP(B68,'Train Runs'!$A$13:$A$99938,1,FALSE)</f>
        <v>#N/A</v>
      </c>
    </row>
    <row r="69" spans="1:10" x14ac:dyDescent="0.25">
      <c r="A69" s="185"/>
      <c r="B69" s="43" t="str">
        <f>A69&amp;"-"&amp;IF(DAY(Variables!$A$2)&lt;10,0,"")&amp;DAY(Variables!$A$2)</f>
        <v>-23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9" s="30" t="e">
        <f>VLOOKUP(B69,'Train Runs'!$A$13:$A$99938,1,FALSE)</f>
        <v>#N/A</v>
      </c>
    </row>
    <row r="70" spans="1:10" x14ac:dyDescent="0.25">
      <c r="A70" s="185"/>
      <c r="B70" s="43" t="str">
        <f>A70&amp;"-"&amp;IF(DAY(Variables!$A$2)&lt;10,0,"")&amp;DAY(Variables!$A$2)</f>
        <v>-23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0" s="30" t="e">
        <f>VLOOKUP(B70,'Train Runs'!$A$13:$A$99938,1,FALSE)</f>
        <v>#N/A</v>
      </c>
    </row>
    <row r="71" spans="1:10" x14ac:dyDescent="0.25">
      <c r="A71" s="185"/>
      <c r="B71" s="43" t="str">
        <f>A71&amp;"-"&amp;IF(DAY(Variables!$A$2)&lt;10,0,"")&amp;DAY(Variables!$A$2)</f>
        <v>-23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1" s="30" t="e">
        <f>VLOOKUP(B71,'Train Runs'!$A$13:$A$99938,1,FALSE)</f>
        <v>#N/A</v>
      </c>
    </row>
    <row r="72" spans="1:10" x14ac:dyDescent="0.25">
      <c r="A72" s="185"/>
      <c r="B72" s="43" t="str">
        <f>A72&amp;"-"&amp;IF(DAY(Variables!$A$2)&lt;10,0,"")&amp;DAY(Variables!$A$2)</f>
        <v>-23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2" s="30" t="e">
        <f>VLOOKUP(B72,'Train Runs'!$A$13:$A$99938,1,FALSE)</f>
        <v>#N/A</v>
      </c>
    </row>
    <row r="73" spans="1:10" x14ac:dyDescent="0.25">
      <c r="A73" s="185"/>
      <c r="B73" s="43" t="str">
        <f>A73&amp;"-"&amp;IF(DAY(Variables!$A$2)&lt;10,0,"")&amp;DAY(Variables!$A$2)</f>
        <v>-23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3" s="30" t="e">
        <f>VLOOKUP(B73,'Train Runs'!$A$13:$A$99938,1,FALSE)</f>
        <v>#N/A</v>
      </c>
    </row>
    <row r="74" spans="1:10" x14ac:dyDescent="0.25">
      <c r="A74" s="185"/>
      <c r="B74" s="43" t="str">
        <f>A74&amp;"-"&amp;IF(DAY(Variables!$A$2)&lt;10,0,"")&amp;DAY(Variables!$A$2)</f>
        <v>-23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4" s="30" t="e">
        <f>VLOOKUP(B74,'Train Runs'!$A$13:$A$99938,1,FALSE)</f>
        <v>#N/A</v>
      </c>
    </row>
    <row r="75" spans="1:10" x14ac:dyDescent="0.25">
      <c r="A75" s="185"/>
      <c r="B75" s="43" t="str">
        <f>A75&amp;"-"&amp;IF(DAY(Variables!$A$2)&lt;10,0,"")&amp;DAY(Variables!$A$2)</f>
        <v>-23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5" s="30" t="e">
        <f>VLOOKUP(B75,'Train Runs'!$A$13:$A$99938,1,FALSE)</f>
        <v>#N/A</v>
      </c>
    </row>
    <row r="76" spans="1:10" x14ac:dyDescent="0.25">
      <c r="A76" s="185"/>
      <c r="B76" s="43" t="str">
        <f>A76&amp;"-"&amp;IF(DAY(Variables!$A$2)&lt;10,0,"")&amp;DAY(Variables!$A$2)</f>
        <v>-23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6" s="30" t="e">
        <f>VLOOKUP(B76,'Train Runs'!$A$13:$A$99938,1,FALSE)</f>
        <v>#N/A</v>
      </c>
    </row>
    <row r="77" spans="1:10" x14ac:dyDescent="0.25">
      <c r="A77" s="185"/>
      <c r="B77" s="43" t="str">
        <f>A77&amp;"-"&amp;IF(DAY(Variables!$A$2)&lt;10,0,"")&amp;DAY(Variables!$A$2)</f>
        <v>-23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7" s="30" t="e">
        <f>VLOOKUP(B77,'Train Runs'!$A$13:$A$99938,1,FALSE)</f>
        <v>#N/A</v>
      </c>
    </row>
    <row r="78" spans="1:10" x14ac:dyDescent="0.25">
      <c r="A78" s="185"/>
      <c r="B78" s="43" t="str">
        <f>A78&amp;"-"&amp;IF(DAY(Variables!$A$2)&lt;10,0,"")&amp;DAY(Variables!$A$2)</f>
        <v>-23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8" s="30" t="e">
        <f>VLOOKUP(B78,'Train Runs'!$A$13:$A$99938,1,FALSE)</f>
        <v>#N/A</v>
      </c>
    </row>
    <row r="79" spans="1:10" x14ac:dyDescent="0.25">
      <c r="A79" s="185"/>
      <c r="B79" s="43" t="str">
        <f>A79&amp;"-"&amp;IF(DAY(Variables!$A$2)&lt;10,0,"")&amp;DAY(Variables!$A$2)</f>
        <v>-23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9" s="30" t="e">
        <f>VLOOKUP(B79,'Train Runs'!$A$13:$A$99938,1,FALSE)</f>
        <v>#N/A</v>
      </c>
    </row>
    <row r="80" spans="1:10" x14ac:dyDescent="0.25">
      <c r="A80" s="185"/>
      <c r="B80" s="43" t="str">
        <f>A80&amp;"-"&amp;IF(DAY(Variables!$A$2)&lt;10,0,"")&amp;DAY(Variables!$A$2)</f>
        <v>-23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0" s="30" t="e">
        <f>VLOOKUP(B80,'Train Runs'!$A$13:$A$99938,1,FALSE)</f>
        <v>#N/A</v>
      </c>
    </row>
    <row r="81" spans="1:10" x14ac:dyDescent="0.25">
      <c r="A81" s="185"/>
      <c r="B81" s="43" t="str">
        <f>A81&amp;"-"&amp;IF(DAY(Variables!$A$2)&lt;10,0,"")&amp;DAY(Variables!$A$2)</f>
        <v>-23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1" s="30" t="e">
        <f>VLOOKUP(B81,'Train Runs'!$A$13:$A$99938,1,FALSE)</f>
        <v>#N/A</v>
      </c>
    </row>
    <row r="82" spans="1:10" x14ac:dyDescent="0.25">
      <c r="A82" s="185"/>
      <c r="B82" s="43" t="str">
        <f>A82&amp;"-"&amp;IF(DAY(Variables!$A$2)&lt;10,0,"")&amp;DAY(Variables!$A$2)</f>
        <v>-23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2" s="30" t="e">
        <f>VLOOKUP(B82,'Train Runs'!$A$13:$A$99938,1,FALSE)</f>
        <v>#N/A</v>
      </c>
    </row>
    <row r="83" spans="1:10" x14ac:dyDescent="0.25">
      <c r="A83" s="185"/>
      <c r="B83" s="43" t="str">
        <f>A83&amp;"-"&amp;IF(DAY(Variables!$A$2)&lt;10,0,"")&amp;DAY(Variables!$A$2)</f>
        <v>-23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3" s="30" t="e">
        <f>VLOOKUP(B83,'Train Runs'!$A$13:$A$99938,1,FALSE)</f>
        <v>#N/A</v>
      </c>
    </row>
    <row r="84" spans="1:10" x14ac:dyDescent="0.25">
      <c r="A84" s="185"/>
      <c r="B84" s="43" t="str">
        <f>A84&amp;"-"&amp;IF(DAY(Variables!$A$2)&lt;10,0,"")&amp;DAY(Variables!$A$2)</f>
        <v>-23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4" s="30" t="e">
        <f>VLOOKUP(B84,'Train Runs'!$A$13:$A$99938,1,FALSE)</f>
        <v>#N/A</v>
      </c>
    </row>
    <row r="85" spans="1:10" x14ac:dyDescent="0.25">
      <c r="A85" s="185"/>
      <c r="B85" s="43" t="str">
        <f>A85&amp;"-"&amp;IF(DAY(Variables!$A$2)&lt;10,0,"")&amp;DAY(Variables!$A$2)</f>
        <v>-23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5" s="30" t="e">
        <f>VLOOKUP(B85,'Train Runs'!$A$13:$A$99938,1,FALSE)</f>
        <v>#N/A</v>
      </c>
    </row>
    <row r="86" spans="1:10" x14ac:dyDescent="0.25">
      <c r="A86" s="185"/>
      <c r="B86" s="43" t="str">
        <f>A86&amp;"-"&amp;IF(DAY(Variables!$A$2)&lt;10,0,"")&amp;DAY(Variables!$A$2)</f>
        <v>-23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6" s="30" t="e">
        <f>VLOOKUP(B86,'Train Runs'!$A$13:$A$99938,1,FALSE)</f>
        <v>#N/A</v>
      </c>
    </row>
    <row r="87" spans="1:10" x14ac:dyDescent="0.25">
      <c r="A87" s="185"/>
      <c r="B87" s="43" t="str">
        <f>A87&amp;"-"&amp;IF(DAY(Variables!$A$2)&lt;10,0,"")&amp;DAY(Variables!$A$2)</f>
        <v>-23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7" s="30" t="e">
        <f>VLOOKUP(B87,'Train Runs'!$A$13:$A$99938,1,FALSE)</f>
        <v>#N/A</v>
      </c>
    </row>
    <row r="88" spans="1:10" x14ac:dyDescent="0.25">
      <c r="A88" s="185"/>
      <c r="B88" s="43" t="str">
        <f>A88&amp;"-"&amp;IF(DAY(Variables!$A$2)&lt;10,0,"")&amp;DAY(Variables!$A$2)</f>
        <v>-23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8" s="30" t="e">
        <f>VLOOKUP(B88,'Train Runs'!$A$13:$A$99938,1,FALSE)</f>
        <v>#N/A</v>
      </c>
    </row>
    <row r="89" spans="1:10" x14ac:dyDescent="0.25">
      <c r="A89" s="185"/>
      <c r="B89" s="43" t="str">
        <f>A89&amp;"-"&amp;IF(DAY(Variables!$A$2)&lt;10,0,"")&amp;DAY(Variables!$A$2)</f>
        <v>-23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9" s="30" t="e">
        <f>VLOOKUP(B89,'Train Runs'!$A$13:$A$99938,1,FALSE)</f>
        <v>#N/A</v>
      </c>
    </row>
    <row r="90" spans="1:10" x14ac:dyDescent="0.25">
      <c r="A90" s="185"/>
      <c r="B90" s="43" t="str">
        <f>A90&amp;"-"&amp;IF(DAY(Variables!$A$2)&lt;10,0,"")&amp;DAY(Variables!$A$2)</f>
        <v>-23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0" s="30" t="e">
        <f>VLOOKUP(B90,'Train Runs'!$A$13:$A$99938,1,FALSE)</f>
        <v>#N/A</v>
      </c>
    </row>
    <row r="91" spans="1:10" x14ac:dyDescent="0.25">
      <c r="A91" s="185"/>
      <c r="B91" s="43" t="str">
        <f>A91&amp;"-"&amp;IF(DAY(Variables!$A$2)&lt;10,0,"")&amp;DAY(Variables!$A$2)</f>
        <v>-23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1" s="30" t="e">
        <f>VLOOKUP(B91,'Train Runs'!$A$13:$A$99938,1,FALSE)</f>
        <v>#N/A</v>
      </c>
    </row>
    <row r="92" spans="1:10" x14ac:dyDescent="0.25">
      <c r="A92" s="185"/>
      <c r="B92" s="43" t="str">
        <f>A92&amp;"-"&amp;IF(DAY(Variables!$A$2)&lt;10,0,"")&amp;DAY(Variables!$A$2)</f>
        <v>-23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2" s="30" t="e">
        <f>VLOOKUP(B92,'Train Runs'!$A$13:$A$99938,1,FALSE)</f>
        <v>#N/A</v>
      </c>
    </row>
    <row r="93" spans="1:10" x14ac:dyDescent="0.25">
      <c r="A93" s="185"/>
      <c r="B93" s="43" t="str">
        <f>A93&amp;"-"&amp;IF(DAY(Variables!$A$2)&lt;10,0,"")&amp;DAY(Variables!$A$2)</f>
        <v>-23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3" s="30" t="e">
        <f>VLOOKUP(B93,'Train Runs'!$A$13:$A$99938,1,FALSE)</f>
        <v>#N/A</v>
      </c>
    </row>
    <row r="94" spans="1:10" x14ac:dyDescent="0.25">
      <c r="A94" s="185"/>
      <c r="B94" s="43" t="str">
        <f>A94&amp;"-"&amp;IF(DAY(Variables!$A$2)&lt;10,0,"")&amp;DAY(Variables!$A$2)</f>
        <v>-23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ref="I94:I11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4" s="30" t="e">
        <f>VLOOKUP(B94,'Train Runs'!$A$13:$A$99938,1,FALSE)</f>
        <v>#N/A</v>
      </c>
    </row>
    <row r="95" spans="1:10" x14ac:dyDescent="0.25">
      <c r="A95" s="185"/>
      <c r="B95" s="43" t="str">
        <f>A95&amp;"-"&amp;IF(DAY(Variables!$A$2)&lt;10,0,"")&amp;DAY(Variables!$A$2)</f>
        <v>-23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5" s="30" t="e">
        <f>VLOOKUP(B95,'Train Runs'!$A$13:$A$99938,1,FALSE)</f>
        <v>#N/A</v>
      </c>
    </row>
    <row r="96" spans="1:10" x14ac:dyDescent="0.25">
      <c r="A96" s="185"/>
      <c r="B96" s="43" t="str">
        <f>A96&amp;"-"&amp;IF(DAY(Variables!$A$2)&lt;10,0,"")&amp;DAY(Variables!$A$2)</f>
        <v>-23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6" s="30" t="e">
        <f>VLOOKUP(B96,'Train Runs'!$A$13:$A$99938,1,FALSE)</f>
        <v>#N/A</v>
      </c>
    </row>
    <row r="97" spans="1:10" x14ac:dyDescent="0.25">
      <c r="A97" s="185"/>
      <c r="B97" s="43" t="str">
        <f>A97&amp;"-"&amp;IF(DAY(Variables!$A$2)&lt;10,0,"")&amp;DAY(Variables!$A$2)</f>
        <v>-23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7" s="30" t="e">
        <f>VLOOKUP(B97,'Train Runs'!$A$13:$A$99938,1,FALSE)</f>
        <v>#N/A</v>
      </c>
    </row>
    <row r="98" spans="1:10" x14ac:dyDescent="0.25">
      <c r="A98" s="185"/>
      <c r="B98" s="43" t="str">
        <f>A98&amp;"-"&amp;IF(DAY(Variables!$A$2)&lt;10,0,"")&amp;DAY(Variables!$A$2)</f>
        <v>-23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8" s="30" t="e">
        <f>VLOOKUP(B98,'Train Runs'!$A$13:$A$99938,1,FALSE)</f>
        <v>#N/A</v>
      </c>
    </row>
    <row r="99" spans="1:10" x14ac:dyDescent="0.25">
      <c r="A99" s="185"/>
      <c r="B99" s="43" t="str">
        <f>A99&amp;"-"&amp;IF(DAY(Variables!$A$2)&lt;10,0,"")&amp;DAY(Variables!$A$2)</f>
        <v>-23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9" s="30" t="e">
        <f>VLOOKUP(B99,'Train Runs'!$A$13:$A$99938,1,FALSE)</f>
        <v>#N/A</v>
      </c>
    </row>
    <row r="100" spans="1:10" x14ac:dyDescent="0.25">
      <c r="A100" s="185"/>
      <c r="B100" s="43" t="str">
        <f>A100&amp;"-"&amp;IF(DAY(Variables!$A$2)&lt;10,0,"")&amp;DAY(Variables!$A$2)</f>
        <v>-23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0" s="30" t="e">
        <f>VLOOKUP(B100,'Train Runs'!$A$13:$A$99938,1,FALSE)</f>
        <v>#N/A</v>
      </c>
    </row>
    <row r="101" spans="1:10" x14ac:dyDescent="0.25">
      <c r="A101" s="185"/>
      <c r="B101" s="43" t="str">
        <f>A101&amp;"-"&amp;IF(DAY(Variables!$A$2)&lt;10,0,"")&amp;DAY(Variables!$A$2)</f>
        <v>-23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1" s="30" t="e">
        <f>VLOOKUP(B101,'Train Runs'!$A$13:$A$99938,1,FALSE)</f>
        <v>#N/A</v>
      </c>
    </row>
    <row r="102" spans="1:10" x14ac:dyDescent="0.25">
      <c r="A102" s="185"/>
      <c r="B102" s="43" t="str">
        <f>A102&amp;"-"&amp;IF(DAY(Variables!$A$2)&lt;10,0,"")&amp;DAY(Variables!$A$2)</f>
        <v>-23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2" s="30" t="e">
        <f>VLOOKUP(B102,'Train Runs'!$A$13:$A$99938,1,FALSE)</f>
        <v>#N/A</v>
      </c>
    </row>
    <row r="103" spans="1:10" x14ac:dyDescent="0.25">
      <c r="A103" s="185"/>
      <c r="B103" s="43" t="str">
        <f>A103&amp;"-"&amp;IF(DAY(Variables!$A$2)&lt;10,0,"")&amp;DAY(Variables!$A$2)</f>
        <v>-23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3" s="30" t="e">
        <f>VLOOKUP(B103,'Train Runs'!$A$13:$A$99938,1,FALSE)</f>
        <v>#N/A</v>
      </c>
    </row>
    <row r="104" spans="1:10" x14ac:dyDescent="0.25">
      <c r="A104" s="185"/>
      <c r="B104" s="43" t="str">
        <f>A104&amp;"-"&amp;IF(DAY(Variables!$A$2)&lt;10,0,"")&amp;DAY(Variables!$A$2)</f>
        <v>-23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4" s="30" t="e">
        <f>VLOOKUP(B104,'Train Runs'!$A$13:$A$99938,1,FALSE)</f>
        <v>#N/A</v>
      </c>
    </row>
    <row r="105" spans="1:10" x14ac:dyDescent="0.25">
      <c r="A105" s="185"/>
      <c r="B105" s="43" t="str">
        <f>A105&amp;"-"&amp;IF(DAY(Variables!$A$2)&lt;10,0,"")&amp;DAY(Variables!$A$2)</f>
        <v>-23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5" s="30" t="e">
        <f>VLOOKUP(B105,'Train Runs'!$A$13:$A$99938,1,FALSE)</f>
        <v>#N/A</v>
      </c>
    </row>
    <row r="106" spans="1:10" x14ac:dyDescent="0.25">
      <c r="A106" s="185"/>
      <c r="B106" s="43" t="str">
        <f>A106&amp;"-"&amp;IF(DAY(Variables!$A$2)&lt;10,0,"")&amp;DAY(Variables!$A$2)</f>
        <v>-23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6" s="30" t="e">
        <f>VLOOKUP(B106,'Train Runs'!$A$13:$A$99938,1,FALSE)</f>
        <v>#N/A</v>
      </c>
    </row>
    <row r="107" spans="1:10" x14ac:dyDescent="0.25">
      <c r="A107" s="185"/>
      <c r="B107" s="43" t="str">
        <f>A107&amp;"-"&amp;IF(DAY(Variables!$A$2)&lt;10,0,"")&amp;DAY(Variables!$A$2)</f>
        <v>-23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7" s="30" t="e">
        <f>VLOOKUP(B107,'Train Runs'!$A$13:$A$99938,1,FALSE)</f>
        <v>#N/A</v>
      </c>
    </row>
    <row r="108" spans="1:10" x14ac:dyDescent="0.25">
      <c r="A108" s="185"/>
      <c r="B108" s="43" t="str">
        <f>A108&amp;"-"&amp;IF(DAY(Variables!$A$2)&lt;10,0,"")&amp;DAY(Variables!$A$2)</f>
        <v>-23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8" s="30" t="e">
        <f>VLOOKUP(B108,'Train Runs'!$A$13:$A$99938,1,FALSE)</f>
        <v>#N/A</v>
      </c>
    </row>
    <row r="109" spans="1:10" x14ac:dyDescent="0.25">
      <c r="A109" s="185"/>
      <c r="B109" s="43" t="str">
        <f>A109&amp;"-"&amp;IF(DAY(Variables!$A$2)&lt;10,0,"")&amp;DAY(Variables!$A$2)</f>
        <v>-23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9" s="30" t="e">
        <f>VLOOKUP(B109,'Train Runs'!$A$13:$A$99938,1,FALSE)</f>
        <v>#N/A</v>
      </c>
    </row>
    <row r="110" spans="1:10" x14ac:dyDescent="0.25">
      <c r="A110" s="185"/>
      <c r="B110" s="43" t="str">
        <f>A110&amp;"-"&amp;IF(DAY(Variables!$A$2)&lt;10,0,"")&amp;DAY(Variables!$A$2)</f>
        <v>-23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0" s="30" t="e">
        <f>VLOOKUP(B110,'Train Runs'!$A$13:$A$99938,1,FALSE)</f>
        <v>#N/A</v>
      </c>
    </row>
    <row r="111" spans="1:10" x14ac:dyDescent="0.25">
      <c r="A111" s="185"/>
      <c r="B111" s="43" t="str">
        <f>A111&amp;"-"&amp;IF(DAY(Variables!$A$2)&lt;10,0,"")&amp;DAY(Variables!$A$2)</f>
        <v>-23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1" s="30" t="e">
        <f>VLOOKUP(B111,'Train Runs'!$A$13:$A$99938,1,FALSE)</f>
        <v>#N/A</v>
      </c>
    </row>
    <row r="112" spans="1:10" x14ac:dyDescent="0.25">
      <c r="A112" s="185"/>
      <c r="B112" s="43" t="str">
        <f>A112&amp;"-"&amp;IF(DAY(Variables!$A$2)&lt;10,0,"")&amp;DAY(Variables!$A$2)</f>
        <v>-23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2" s="30" t="e">
        <f>VLOOKUP(B112,'Train Runs'!$A$13:$A$99938,1,FALSE)</f>
        <v>#N/A</v>
      </c>
    </row>
    <row r="113" spans="1:10" x14ac:dyDescent="0.25">
      <c r="A113" s="185"/>
      <c r="B113" s="43" t="str">
        <f>A113&amp;"-"&amp;IF(DAY(Variables!$A$2)&lt;10,0,"")&amp;DAY(Variables!$A$2)</f>
        <v>-23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3" s="30" t="e">
        <f>VLOOKUP(B113,'Train Runs'!$A$13:$A$99938,1,FALSE)</f>
        <v>#N/A</v>
      </c>
    </row>
    <row r="114" spans="1:10" x14ac:dyDescent="0.25">
      <c r="A114" s="185"/>
      <c r="B114" s="43" t="str">
        <f>A114&amp;"-"&amp;IF(DAY(Variables!$A$2)&lt;10,0,"")&amp;DAY(Variables!$A$2)</f>
        <v>-23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4" s="30" t="e">
        <f>VLOOKUP(B114,'Train Runs'!$A$13:$A$99938,1,FALSE)</f>
        <v>#N/A</v>
      </c>
    </row>
    <row r="115" spans="1:10" x14ac:dyDescent="0.25">
      <c r="A115" s="185"/>
      <c r="B115" s="43" t="str">
        <f>A115&amp;"-"&amp;IF(DAY(Variables!$A$2)&lt;10,0,"")&amp;DAY(Variables!$A$2)</f>
        <v>-23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5" s="30" t="e">
        <f>VLOOKUP(B115,'Train Runs'!$A$13:$A$99938,1,FALSE)</f>
        <v>#N/A</v>
      </c>
    </row>
  </sheetData>
  <autoFilter ref="A2:J11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42789.049155092594</v>
      </c>
      <c r="B2" s="20" t="s">
        <v>262</v>
      </c>
      <c r="C2" s="20" t="s">
        <v>365</v>
      </c>
      <c r="D2" s="150">
        <v>1740000</v>
      </c>
      <c r="E2" s="20" t="s">
        <v>227</v>
      </c>
      <c r="F2" s="20" t="s">
        <v>228</v>
      </c>
      <c r="G2" s="8" t="str">
        <f>E2&amp;" "&amp;F2</f>
        <v>STORY SAMANTHA</v>
      </c>
    </row>
    <row r="3" spans="1:7" x14ac:dyDescent="0.25">
      <c r="A3" s="8">
        <v>42789.05840277778</v>
      </c>
      <c r="B3" s="20" t="s">
        <v>235</v>
      </c>
      <c r="C3" s="20" t="s">
        <v>366</v>
      </c>
      <c r="D3" s="150">
        <v>2450000</v>
      </c>
      <c r="E3" s="20" t="s">
        <v>233</v>
      </c>
      <c r="F3" s="20" t="s">
        <v>234</v>
      </c>
      <c r="G3" s="8" t="str">
        <f t="shared" ref="G3:G66" si="0">E3&amp;" "&amp;F3</f>
        <v>NELSON ARIANE</v>
      </c>
    </row>
    <row r="4" spans="1:7" x14ac:dyDescent="0.25">
      <c r="A4" s="8">
        <v>42789.08425925926</v>
      </c>
      <c r="B4" s="20" t="s">
        <v>220</v>
      </c>
      <c r="C4" s="20" t="s">
        <v>367</v>
      </c>
      <c r="D4" s="150">
        <v>2270000</v>
      </c>
      <c r="E4" s="20" t="s">
        <v>230</v>
      </c>
      <c r="F4" s="20" t="s">
        <v>231</v>
      </c>
      <c r="G4" s="8" t="str">
        <f t="shared" si="0"/>
        <v>BROWN JACOB</v>
      </c>
    </row>
    <row r="5" spans="1:7" x14ac:dyDescent="0.25">
      <c r="A5" s="8">
        <v>42789.09679398148</v>
      </c>
      <c r="B5" s="20" t="s">
        <v>238</v>
      </c>
      <c r="C5" s="20" t="s">
        <v>368</v>
      </c>
      <c r="D5" s="150">
        <v>2450000</v>
      </c>
      <c r="E5" s="20" t="s">
        <v>233</v>
      </c>
      <c r="F5" s="20" t="s">
        <v>234</v>
      </c>
      <c r="G5" s="8" t="str">
        <f t="shared" si="0"/>
        <v>NELSON ARIANE</v>
      </c>
    </row>
    <row r="6" spans="1:7" x14ac:dyDescent="0.25">
      <c r="A6" s="8">
        <v>42789.114560185182</v>
      </c>
      <c r="B6" s="20" t="s">
        <v>261</v>
      </c>
      <c r="C6" s="20" t="s">
        <v>369</v>
      </c>
      <c r="D6" s="150">
        <v>2550000</v>
      </c>
      <c r="E6" s="20" t="s">
        <v>349</v>
      </c>
      <c r="F6" s="20" t="s">
        <v>350</v>
      </c>
      <c r="G6" s="8" t="str">
        <f t="shared" si="0"/>
        <v>BADERTSCHER DIANE</v>
      </c>
    </row>
    <row r="7" spans="1:7" x14ac:dyDescent="0.25">
      <c r="A7" s="8">
        <v>42789.129780092589</v>
      </c>
      <c r="B7" s="20" t="s">
        <v>242</v>
      </c>
      <c r="C7" s="20" t="s">
        <v>464</v>
      </c>
      <c r="D7" s="150">
        <v>2550000</v>
      </c>
      <c r="E7" s="20" t="s">
        <v>349</v>
      </c>
      <c r="F7" s="20" t="s">
        <v>350</v>
      </c>
      <c r="G7" s="8" t="str">
        <f t="shared" si="0"/>
        <v>BADERTSCHER DIANE</v>
      </c>
    </row>
    <row r="8" spans="1:7" x14ac:dyDescent="0.25">
      <c r="A8" s="8">
        <v>42789.13553240741</v>
      </c>
      <c r="B8" s="20" t="s">
        <v>208</v>
      </c>
      <c r="C8" s="20" t="s">
        <v>465</v>
      </c>
      <c r="D8" s="150">
        <v>940000</v>
      </c>
      <c r="E8" s="20" t="s">
        <v>303</v>
      </c>
      <c r="F8" s="20" t="s">
        <v>304</v>
      </c>
      <c r="G8" s="8" t="str">
        <f t="shared" si="0"/>
        <v>BONDS REYNALDO</v>
      </c>
    </row>
    <row r="9" spans="1:7" ht="15.75" thickBot="1" x14ac:dyDescent="0.3">
      <c r="A9" s="24">
        <v>42789.146122685182</v>
      </c>
      <c r="B9" s="20" t="s">
        <v>216</v>
      </c>
      <c r="C9" s="20" t="s">
        <v>466</v>
      </c>
      <c r="D9" s="150">
        <v>940000</v>
      </c>
      <c r="E9" s="20" t="s">
        <v>303</v>
      </c>
      <c r="F9" s="20" t="s">
        <v>304</v>
      </c>
      <c r="G9" s="8" t="str">
        <f t="shared" si="0"/>
        <v>BONDS REYNALDO</v>
      </c>
    </row>
    <row r="10" spans="1:7" x14ac:dyDescent="0.25">
      <c r="A10" s="8">
        <v>42789.158865740741</v>
      </c>
      <c r="B10" s="20" t="s">
        <v>431</v>
      </c>
      <c r="C10" s="20" t="s">
        <v>467</v>
      </c>
      <c r="D10" s="150">
        <v>2140000</v>
      </c>
      <c r="E10" s="20" t="s">
        <v>468</v>
      </c>
      <c r="F10" s="20" t="s">
        <v>469</v>
      </c>
      <c r="G10" s="8" t="str">
        <f t="shared" si="0"/>
        <v>ROBINSON KADDIBA</v>
      </c>
    </row>
    <row r="11" spans="1:7" x14ac:dyDescent="0.25">
      <c r="A11" s="8">
        <v>42789.164212962962</v>
      </c>
      <c r="B11" s="20" t="s">
        <v>261</v>
      </c>
      <c r="C11" s="20" t="s">
        <v>411</v>
      </c>
      <c r="D11" s="150">
        <v>2550000</v>
      </c>
      <c r="E11" s="20" t="s">
        <v>349</v>
      </c>
      <c r="F11" s="20" t="s">
        <v>350</v>
      </c>
      <c r="G11" s="8" t="str">
        <f t="shared" si="0"/>
        <v>BADERTSCHER DIANE</v>
      </c>
    </row>
    <row r="12" spans="1:7" x14ac:dyDescent="0.25">
      <c r="A12" s="8">
        <v>42789.168009259258</v>
      </c>
      <c r="B12" s="20" t="s">
        <v>282</v>
      </c>
      <c r="C12" s="20" t="s">
        <v>470</v>
      </c>
      <c r="D12" s="150">
        <v>2140000</v>
      </c>
      <c r="E12" s="20" t="s">
        <v>468</v>
      </c>
      <c r="F12" s="20" t="s">
        <v>469</v>
      </c>
      <c r="G12" s="8" t="str">
        <f t="shared" si="0"/>
        <v>ROBINSON KADDIBA</v>
      </c>
    </row>
    <row r="13" spans="1:7" x14ac:dyDescent="0.25">
      <c r="A13" s="8">
        <v>42789.168217592596</v>
      </c>
      <c r="B13" s="20" t="s">
        <v>264</v>
      </c>
      <c r="C13" s="20" t="s">
        <v>471</v>
      </c>
      <c r="D13" s="150">
        <v>1100000</v>
      </c>
      <c r="E13" s="20" t="s">
        <v>352</v>
      </c>
      <c r="F13" s="20" t="s">
        <v>353</v>
      </c>
      <c r="G13" s="8" t="str">
        <f t="shared" si="0"/>
        <v>GEBRETEKLE DAGNEW</v>
      </c>
    </row>
    <row r="14" spans="1:7" x14ac:dyDescent="0.25">
      <c r="A14" s="8">
        <v>42789.180810185186</v>
      </c>
      <c r="B14" s="20" t="s">
        <v>192</v>
      </c>
      <c r="C14" s="20" t="s">
        <v>410</v>
      </c>
      <c r="D14" s="150">
        <v>1100000</v>
      </c>
      <c r="E14" s="20" t="s">
        <v>352</v>
      </c>
      <c r="F14" s="20" t="s">
        <v>353</v>
      </c>
      <c r="G14" s="8" t="str">
        <f t="shared" si="0"/>
        <v>GEBRETEKLE DAGNEW</v>
      </c>
    </row>
    <row r="15" spans="1:7" x14ac:dyDescent="0.25">
      <c r="A15" s="8">
        <v>42789.184386574074</v>
      </c>
      <c r="B15" s="20" t="s">
        <v>415</v>
      </c>
      <c r="C15" s="20" t="s">
        <v>472</v>
      </c>
      <c r="D15" s="150">
        <v>900000</v>
      </c>
      <c r="E15" s="20" t="s">
        <v>307</v>
      </c>
      <c r="F15" s="20" t="s">
        <v>308</v>
      </c>
      <c r="G15" s="8" t="str">
        <f t="shared" si="0"/>
        <v>ROCHA YAOTL</v>
      </c>
    </row>
    <row r="16" spans="1:7" x14ac:dyDescent="0.25">
      <c r="A16" s="8">
        <v>42789.191678240742</v>
      </c>
      <c r="B16" s="20" t="s">
        <v>208</v>
      </c>
      <c r="C16" s="20" t="s">
        <v>473</v>
      </c>
      <c r="D16" s="150">
        <v>940000</v>
      </c>
      <c r="E16" s="20" t="s">
        <v>303</v>
      </c>
      <c r="F16" s="20" t="s">
        <v>304</v>
      </c>
      <c r="G16" s="8" t="str">
        <f t="shared" si="0"/>
        <v>BONDS REYNALDO</v>
      </c>
    </row>
    <row r="17" spans="1:7" x14ac:dyDescent="0.25">
      <c r="A17" s="8">
        <v>42789.194884259261</v>
      </c>
      <c r="B17" s="20" t="s">
        <v>417</v>
      </c>
      <c r="C17" s="20" t="s">
        <v>474</v>
      </c>
      <c r="D17" s="150">
        <v>900000</v>
      </c>
      <c r="E17" s="20" t="s">
        <v>307</v>
      </c>
      <c r="F17" s="20" t="s">
        <v>308</v>
      </c>
      <c r="G17" s="8" t="str">
        <f t="shared" si="0"/>
        <v>ROCHA YAOTL</v>
      </c>
    </row>
    <row r="18" spans="1:7" x14ac:dyDescent="0.25">
      <c r="A18" s="8">
        <v>42789.206354166665</v>
      </c>
      <c r="B18" s="20" t="s">
        <v>242</v>
      </c>
      <c r="C18" s="20" t="s">
        <v>475</v>
      </c>
      <c r="D18" s="150">
        <v>1830000</v>
      </c>
      <c r="E18" s="20" t="s">
        <v>266</v>
      </c>
      <c r="F18" s="20" t="s">
        <v>267</v>
      </c>
      <c r="G18" s="8" t="str">
        <f t="shared" si="0"/>
        <v>YORK EDGAR</v>
      </c>
    </row>
    <row r="19" spans="1:7" x14ac:dyDescent="0.25">
      <c r="A19" s="8">
        <v>42789.208518518521</v>
      </c>
      <c r="B19" s="20" t="s">
        <v>431</v>
      </c>
      <c r="C19" s="20" t="s">
        <v>476</v>
      </c>
      <c r="D19" s="150">
        <v>2140000</v>
      </c>
      <c r="E19" s="20" t="s">
        <v>468</v>
      </c>
      <c r="F19" s="20" t="s">
        <v>469</v>
      </c>
      <c r="G19" s="8" t="str">
        <f t="shared" si="0"/>
        <v>ROBINSON KADDIBA</v>
      </c>
    </row>
    <row r="20" spans="1:7" x14ac:dyDescent="0.25">
      <c r="A20" s="8">
        <v>42789.212951388887</v>
      </c>
      <c r="B20" s="20" t="s">
        <v>212</v>
      </c>
      <c r="C20" s="20" t="s">
        <v>477</v>
      </c>
      <c r="D20" s="150">
        <v>2020000</v>
      </c>
      <c r="E20" s="20" t="s">
        <v>478</v>
      </c>
      <c r="F20" s="20" t="s">
        <v>265</v>
      </c>
      <c r="G20" s="8" t="str">
        <f t="shared" si="0"/>
        <v>SHOOK JOHN</v>
      </c>
    </row>
    <row r="21" spans="1:7" x14ac:dyDescent="0.25">
      <c r="A21" s="8">
        <v>42789.214328703703</v>
      </c>
      <c r="B21" s="20" t="s">
        <v>364</v>
      </c>
      <c r="C21" s="20" t="s">
        <v>479</v>
      </c>
      <c r="D21" s="150">
        <v>2550000</v>
      </c>
      <c r="E21" s="20" t="s">
        <v>349</v>
      </c>
      <c r="F21" s="20" t="s">
        <v>350</v>
      </c>
      <c r="G21" s="8" t="str">
        <f t="shared" si="0"/>
        <v>BADERTSCHER DIANE</v>
      </c>
    </row>
    <row r="22" spans="1:7" x14ac:dyDescent="0.25">
      <c r="A22" s="26">
        <v>42789.223645833335</v>
      </c>
      <c r="B22" s="20" t="s">
        <v>264</v>
      </c>
      <c r="C22" s="20" t="s">
        <v>480</v>
      </c>
      <c r="D22" s="150">
        <v>1100000</v>
      </c>
      <c r="E22" s="20" t="s">
        <v>352</v>
      </c>
      <c r="F22" s="20" t="s">
        <v>353</v>
      </c>
      <c r="G22" s="8" t="str">
        <f t="shared" si="0"/>
        <v>GEBRETEKLE DAGNEW</v>
      </c>
    </row>
    <row r="23" spans="1:7" x14ac:dyDescent="0.25">
      <c r="A23" s="8">
        <v>42789.228020833332</v>
      </c>
      <c r="B23" s="20" t="s">
        <v>232</v>
      </c>
      <c r="C23" s="20" t="s">
        <v>481</v>
      </c>
      <c r="D23" s="150">
        <v>2020000</v>
      </c>
      <c r="E23" s="20" t="s">
        <v>478</v>
      </c>
      <c r="F23" s="20" t="s">
        <v>265</v>
      </c>
      <c r="G23" s="8" t="str">
        <f t="shared" si="0"/>
        <v>SHOOK JOHN</v>
      </c>
    </row>
    <row r="24" spans="1:7" x14ac:dyDescent="0.25">
      <c r="A24" s="8">
        <v>42789.228425925925</v>
      </c>
      <c r="B24" s="20" t="s">
        <v>216</v>
      </c>
      <c r="C24" s="20" t="s">
        <v>482</v>
      </c>
      <c r="D24" s="150">
        <v>1110000</v>
      </c>
      <c r="E24" s="20" t="s">
        <v>305</v>
      </c>
      <c r="F24" s="20" t="s">
        <v>306</v>
      </c>
      <c r="G24" s="8" t="str">
        <f t="shared" si="0"/>
        <v>STARKS ANGELINA</v>
      </c>
    </row>
    <row r="25" spans="1:7" x14ac:dyDescent="0.25">
      <c r="A25" s="8">
        <v>42789.229317129626</v>
      </c>
      <c r="B25" s="20" t="s">
        <v>224</v>
      </c>
      <c r="C25" s="20" t="s">
        <v>483</v>
      </c>
      <c r="D25" s="150">
        <v>940000</v>
      </c>
      <c r="E25" s="20" t="s">
        <v>303</v>
      </c>
      <c r="F25" s="20" t="s">
        <v>304</v>
      </c>
      <c r="G25" s="8" t="str">
        <f t="shared" si="0"/>
        <v>BONDS REYNALDO</v>
      </c>
    </row>
    <row r="26" spans="1:7" x14ac:dyDescent="0.25">
      <c r="A26" s="8">
        <v>42789.23033564815</v>
      </c>
      <c r="B26" s="20" t="s">
        <v>224</v>
      </c>
      <c r="C26" s="20" t="s">
        <v>483</v>
      </c>
      <c r="D26" s="150">
        <v>940000</v>
      </c>
      <c r="E26" s="20" t="s">
        <v>303</v>
      </c>
      <c r="F26" s="20" t="s">
        <v>304</v>
      </c>
      <c r="G26" s="8" t="str">
        <f t="shared" si="0"/>
        <v>BONDS REYNALDO</v>
      </c>
    </row>
    <row r="27" spans="1:7" x14ac:dyDescent="0.25">
      <c r="A27" s="8">
        <v>42789.235011574077</v>
      </c>
      <c r="B27" s="20" t="s">
        <v>243</v>
      </c>
      <c r="C27" s="20" t="s">
        <v>484</v>
      </c>
      <c r="D27" s="150">
        <v>1830000</v>
      </c>
      <c r="E27" s="20" t="s">
        <v>266</v>
      </c>
      <c r="F27" s="20" t="s">
        <v>267</v>
      </c>
      <c r="G27" s="8" t="str">
        <f t="shared" si="0"/>
        <v>YORK EDGAR</v>
      </c>
    </row>
    <row r="28" spans="1:7" x14ac:dyDescent="0.25">
      <c r="A28" s="8">
        <v>42789.236712962964</v>
      </c>
      <c r="B28" s="20" t="s">
        <v>415</v>
      </c>
      <c r="C28" s="20" t="s">
        <v>485</v>
      </c>
      <c r="D28" s="150">
        <v>900000</v>
      </c>
      <c r="E28" s="20" t="s">
        <v>307</v>
      </c>
      <c r="F28" s="20" t="s">
        <v>308</v>
      </c>
      <c r="G28" s="8" t="str">
        <f t="shared" si="0"/>
        <v>ROCHA YAOTL</v>
      </c>
    </row>
    <row r="29" spans="1:7" x14ac:dyDescent="0.25">
      <c r="A29" s="8">
        <v>42789.246655092589</v>
      </c>
      <c r="B29" s="20" t="s">
        <v>282</v>
      </c>
      <c r="C29" s="20" t="s">
        <v>486</v>
      </c>
      <c r="D29" s="150">
        <v>2140000</v>
      </c>
      <c r="E29" s="20" t="s">
        <v>468</v>
      </c>
      <c r="F29" s="20" t="s">
        <v>469</v>
      </c>
      <c r="G29" s="8" t="str">
        <f t="shared" si="0"/>
        <v>ROBINSON KADDIBA</v>
      </c>
    </row>
    <row r="30" spans="1:7" x14ac:dyDescent="0.25">
      <c r="A30" s="8">
        <v>42789.247245370374</v>
      </c>
      <c r="B30" s="20" t="s">
        <v>282</v>
      </c>
      <c r="C30" s="20" t="s">
        <v>486</v>
      </c>
      <c r="D30" s="150">
        <v>2140000</v>
      </c>
      <c r="E30" s="20" t="s">
        <v>468</v>
      </c>
      <c r="F30" s="20" t="s">
        <v>469</v>
      </c>
      <c r="G30" s="8" t="str">
        <f t="shared" si="0"/>
        <v>ROBINSON KADDIBA</v>
      </c>
    </row>
    <row r="31" spans="1:7" x14ac:dyDescent="0.25">
      <c r="A31" s="8">
        <v>42789.247974537036</v>
      </c>
      <c r="B31" s="20" t="s">
        <v>282</v>
      </c>
      <c r="C31" s="20" t="s">
        <v>486</v>
      </c>
      <c r="D31" s="150">
        <v>2140000</v>
      </c>
      <c r="E31" s="20" t="s">
        <v>468</v>
      </c>
      <c r="F31" s="20" t="s">
        <v>469</v>
      </c>
      <c r="G31" s="8" t="str">
        <f t="shared" si="0"/>
        <v>ROBINSON KADDIBA</v>
      </c>
    </row>
    <row r="32" spans="1:7" x14ac:dyDescent="0.25">
      <c r="A32" s="8">
        <v>42789.252013888887</v>
      </c>
      <c r="B32" s="20" t="s">
        <v>363</v>
      </c>
      <c r="C32" s="20" t="s">
        <v>487</v>
      </c>
      <c r="D32" s="150">
        <v>2550000</v>
      </c>
      <c r="E32" s="20" t="s">
        <v>349</v>
      </c>
      <c r="F32" s="20" t="s">
        <v>350</v>
      </c>
      <c r="G32" s="8" t="str">
        <f t="shared" si="0"/>
        <v>BADERTSCHER DIANE</v>
      </c>
    </row>
    <row r="33" spans="1:7" x14ac:dyDescent="0.25">
      <c r="A33" s="8">
        <v>42789.253611111111</v>
      </c>
      <c r="B33" s="20" t="s">
        <v>253</v>
      </c>
      <c r="C33" s="20" t="s">
        <v>488</v>
      </c>
      <c r="D33" s="150">
        <v>890000</v>
      </c>
      <c r="E33" s="20" t="s">
        <v>354</v>
      </c>
      <c r="F33" s="20" t="s">
        <v>355</v>
      </c>
      <c r="G33" s="8" t="str">
        <f t="shared" si="0"/>
        <v>LOZA FIDEL</v>
      </c>
    </row>
    <row r="34" spans="1:7" x14ac:dyDescent="0.25">
      <c r="A34" s="8">
        <v>42789.255891203706</v>
      </c>
      <c r="B34" s="20" t="s">
        <v>212</v>
      </c>
      <c r="C34" s="20" t="s">
        <v>489</v>
      </c>
      <c r="D34" s="150">
        <v>2020000</v>
      </c>
      <c r="E34" s="20" t="s">
        <v>478</v>
      </c>
      <c r="F34" s="20" t="s">
        <v>265</v>
      </c>
      <c r="G34" s="8" t="str">
        <f t="shared" si="0"/>
        <v>SHOOK JOHN</v>
      </c>
    </row>
    <row r="35" spans="1:7" x14ac:dyDescent="0.25">
      <c r="A35" s="8">
        <v>42789.256840277776</v>
      </c>
      <c r="B35" s="20" t="s">
        <v>192</v>
      </c>
      <c r="C35" s="20" t="s">
        <v>490</v>
      </c>
      <c r="D35" s="150">
        <v>1100000</v>
      </c>
      <c r="E35" s="20" t="s">
        <v>352</v>
      </c>
      <c r="F35" s="20" t="s">
        <v>353</v>
      </c>
      <c r="G35" s="8" t="str">
        <f t="shared" si="0"/>
        <v>GEBRETEKLE DAGNEW</v>
      </c>
    </row>
    <row r="36" spans="1:7" x14ac:dyDescent="0.25">
      <c r="A36" s="8">
        <v>42789.262418981481</v>
      </c>
      <c r="B36" s="20" t="s">
        <v>256</v>
      </c>
      <c r="C36" s="20" t="s">
        <v>412</v>
      </c>
      <c r="D36" s="150">
        <v>890000</v>
      </c>
      <c r="E36" s="20" t="s">
        <v>354</v>
      </c>
      <c r="F36" s="20" t="s">
        <v>355</v>
      </c>
      <c r="G36" s="8" t="str">
        <f t="shared" si="0"/>
        <v>LOZA FIDEL</v>
      </c>
    </row>
    <row r="37" spans="1:7" x14ac:dyDescent="0.25">
      <c r="A37" s="8">
        <v>42789.267233796294</v>
      </c>
      <c r="B37" s="20" t="s">
        <v>217</v>
      </c>
      <c r="C37" s="20" t="s">
        <v>491</v>
      </c>
      <c r="D37" s="150">
        <v>1110000</v>
      </c>
      <c r="E37" s="20" t="s">
        <v>305</v>
      </c>
      <c r="F37" s="20" t="s">
        <v>306</v>
      </c>
      <c r="G37" s="8" t="str">
        <f t="shared" si="0"/>
        <v>STARKS ANGELINA</v>
      </c>
    </row>
    <row r="38" spans="1:7" x14ac:dyDescent="0.25">
      <c r="A38" s="8">
        <v>42789.26898148148</v>
      </c>
      <c r="B38" s="20" t="s">
        <v>417</v>
      </c>
      <c r="C38" s="20" t="s">
        <v>492</v>
      </c>
      <c r="D38" s="150">
        <v>900000</v>
      </c>
      <c r="E38" s="20" t="s">
        <v>307</v>
      </c>
      <c r="F38" s="20" t="s">
        <v>308</v>
      </c>
      <c r="G38" s="8" t="str">
        <f t="shared" si="0"/>
        <v>ROCHA YAOTL</v>
      </c>
    </row>
    <row r="39" spans="1:7" x14ac:dyDescent="0.25">
      <c r="A39" s="8">
        <v>42789.269895833335</v>
      </c>
      <c r="B39" s="20" t="s">
        <v>232</v>
      </c>
      <c r="C39" s="20" t="s">
        <v>493</v>
      </c>
      <c r="D39" s="150">
        <v>2020000</v>
      </c>
      <c r="E39" s="20" t="s">
        <v>478</v>
      </c>
      <c r="F39" s="20" t="s">
        <v>265</v>
      </c>
      <c r="G39" s="8" t="str">
        <f t="shared" si="0"/>
        <v>SHOOK JOHN</v>
      </c>
    </row>
    <row r="40" spans="1:7" x14ac:dyDescent="0.25">
      <c r="A40" s="8">
        <v>42789.275613425925</v>
      </c>
      <c r="B40" s="25" t="s">
        <v>253</v>
      </c>
      <c r="C40" s="20" t="s">
        <v>494</v>
      </c>
      <c r="D40" s="150">
        <v>890000</v>
      </c>
      <c r="E40" s="20" t="s">
        <v>354</v>
      </c>
      <c r="F40" s="20" t="s">
        <v>355</v>
      </c>
      <c r="G40" s="8" t="str">
        <f t="shared" si="0"/>
        <v>LOZA FIDEL</v>
      </c>
    </row>
    <row r="41" spans="1:7" x14ac:dyDescent="0.25">
      <c r="A41" s="8">
        <v>42789.275891203702</v>
      </c>
      <c r="B41" s="20" t="s">
        <v>242</v>
      </c>
      <c r="C41" s="20" t="s">
        <v>495</v>
      </c>
      <c r="D41" s="150">
        <v>1830000</v>
      </c>
      <c r="E41" s="20" t="s">
        <v>266</v>
      </c>
      <c r="F41" s="20" t="s">
        <v>267</v>
      </c>
      <c r="G41" s="8" t="str">
        <f t="shared" si="0"/>
        <v>YORK EDGAR</v>
      </c>
    </row>
    <row r="42" spans="1:7" x14ac:dyDescent="0.25">
      <c r="A42" s="8">
        <v>42789.276539351849</v>
      </c>
      <c r="B42" s="20" t="s">
        <v>208</v>
      </c>
      <c r="C42" s="20" t="s">
        <v>413</v>
      </c>
      <c r="D42" s="150">
        <v>940000</v>
      </c>
      <c r="E42" s="20" t="s">
        <v>303</v>
      </c>
      <c r="F42" s="20" t="s">
        <v>304</v>
      </c>
      <c r="G42" s="8" t="str">
        <f t="shared" si="0"/>
        <v>BONDS REYNALDO</v>
      </c>
    </row>
    <row r="43" spans="1:7" x14ac:dyDescent="0.25">
      <c r="A43" s="8">
        <v>42789.284270833334</v>
      </c>
      <c r="B43" s="20" t="s">
        <v>326</v>
      </c>
      <c r="C43" s="20" t="s">
        <v>496</v>
      </c>
      <c r="D43" s="150">
        <v>2140000</v>
      </c>
      <c r="E43" s="20" t="s">
        <v>468</v>
      </c>
      <c r="F43" s="20" t="s">
        <v>469</v>
      </c>
      <c r="G43" s="8" t="str">
        <f t="shared" si="0"/>
        <v>ROBINSON KADDIBA</v>
      </c>
    </row>
    <row r="44" spans="1:7" x14ac:dyDescent="0.25">
      <c r="A44" s="8">
        <v>42789.288657407407</v>
      </c>
      <c r="B44" s="20" t="s">
        <v>364</v>
      </c>
      <c r="C44" s="20" t="s">
        <v>497</v>
      </c>
      <c r="D44" s="150">
        <v>2550000</v>
      </c>
      <c r="E44" s="20" t="s">
        <v>349</v>
      </c>
      <c r="F44" s="20" t="s">
        <v>350</v>
      </c>
      <c r="G44" s="8" t="str">
        <f t="shared" si="0"/>
        <v>BADERTSCHER DIANE</v>
      </c>
    </row>
    <row r="45" spans="1:7" x14ac:dyDescent="0.25">
      <c r="A45" s="8">
        <v>42789.296111111114</v>
      </c>
      <c r="B45" s="20" t="s">
        <v>264</v>
      </c>
      <c r="C45" s="20" t="s">
        <v>498</v>
      </c>
      <c r="D45" s="150">
        <v>1100000</v>
      </c>
      <c r="E45" s="20" t="s">
        <v>352</v>
      </c>
      <c r="F45" s="20" t="s">
        <v>353</v>
      </c>
      <c r="G45" s="8" t="str">
        <f t="shared" si="0"/>
        <v>GEBRETEKLE DAGNEW</v>
      </c>
    </row>
    <row r="46" spans="1:7" x14ac:dyDescent="0.25">
      <c r="A46" s="8">
        <v>42789.297638888886</v>
      </c>
      <c r="B46" s="20" t="s">
        <v>212</v>
      </c>
      <c r="C46" s="20" t="s">
        <v>499</v>
      </c>
      <c r="D46" s="150">
        <v>2020000</v>
      </c>
      <c r="E46" s="20" t="s">
        <v>478</v>
      </c>
      <c r="F46" s="20" t="s">
        <v>265</v>
      </c>
      <c r="G46" s="8" t="str">
        <f t="shared" si="0"/>
        <v>SHOOK JOHN</v>
      </c>
    </row>
    <row r="47" spans="1:7" x14ac:dyDescent="0.25">
      <c r="A47" s="8">
        <v>42789.298645833333</v>
      </c>
      <c r="B47" s="20" t="s">
        <v>216</v>
      </c>
      <c r="C47" s="20" t="s">
        <v>414</v>
      </c>
      <c r="D47" s="150">
        <v>1110000</v>
      </c>
      <c r="E47" s="20" t="s">
        <v>305</v>
      </c>
      <c r="F47" s="20" t="s">
        <v>306</v>
      </c>
      <c r="G47" s="8" t="str">
        <f t="shared" si="0"/>
        <v>STARKS ANGELINA</v>
      </c>
    </row>
    <row r="48" spans="1:7" x14ac:dyDescent="0.25">
      <c r="A48" s="8">
        <v>42789.302199074074</v>
      </c>
      <c r="B48" s="20" t="s">
        <v>256</v>
      </c>
      <c r="C48" s="20" t="s">
        <v>500</v>
      </c>
      <c r="D48" s="150">
        <v>890000</v>
      </c>
      <c r="E48" s="20" t="s">
        <v>354</v>
      </c>
      <c r="F48" s="20" t="s">
        <v>355</v>
      </c>
      <c r="G48" s="8" t="str">
        <f t="shared" si="0"/>
        <v>LOZA FIDEL</v>
      </c>
    </row>
    <row r="49" spans="1:7" x14ac:dyDescent="0.25">
      <c r="A49" s="8">
        <v>42789.307337962964</v>
      </c>
      <c r="B49" s="20" t="s">
        <v>243</v>
      </c>
      <c r="C49" s="20" t="s">
        <v>501</v>
      </c>
      <c r="D49" s="150">
        <v>1830000</v>
      </c>
      <c r="E49" s="20" t="s">
        <v>266</v>
      </c>
      <c r="F49" s="20" t="s">
        <v>267</v>
      </c>
      <c r="G49" s="8" t="str">
        <f t="shared" si="0"/>
        <v>YORK EDGAR</v>
      </c>
    </row>
    <row r="50" spans="1:7" x14ac:dyDescent="0.25">
      <c r="A50" s="8">
        <v>42789.308310185188</v>
      </c>
      <c r="B50" s="20" t="s">
        <v>224</v>
      </c>
      <c r="C50" s="20" t="s">
        <v>502</v>
      </c>
      <c r="D50" s="150">
        <v>940000</v>
      </c>
      <c r="E50" s="20" t="s">
        <v>303</v>
      </c>
      <c r="F50" s="20" t="s">
        <v>304</v>
      </c>
      <c r="G50" s="8" t="str">
        <f t="shared" si="0"/>
        <v>BONDS REYNALDO</v>
      </c>
    </row>
    <row r="51" spans="1:7" x14ac:dyDescent="0.25">
      <c r="A51" s="8">
        <v>42789.309050925927</v>
      </c>
      <c r="B51" s="20" t="s">
        <v>415</v>
      </c>
      <c r="C51" s="20" t="s">
        <v>416</v>
      </c>
      <c r="D51" s="150">
        <v>900000</v>
      </c>
      <c r="E51" s="20" t="s">
        <v>307</v>
      </c>
      <c r="F51" s="20" t="s">
        <v>308</v>
      </c>
      <c r="G51" s="8" t="str">
        <f t="shared" si="0"/>
        <v>ROCHA YAOTL</v>
      </c>
    </row>
    <row r="52" spans="1:7" x14ac:dyDescent="0.25">
      <c r="A52" s="8">
        <v>42789.311736111114</v>
      </c>
      <c r="B52" s="20" t="s">
        <v>232</v>
      </c>
      <c r="C52" s="20" t="s">
        <v>503</v>
      </c>
      <c r="D52" s="150">
        <v>2020000</v>
      </c>
      <c r="E52" s="20" t="s">
        <v>478</v>
      </c>
      <c r="F52" s="20" t="s">
        <v>265</v>
      </c>
      <c r="G52" s="8" t="str">
        <f t="shared" si="0"/>
        <v>SHOOK JOHN</v>
      </c>
    </row>
    <row r="53" spans="1:7" x14ac:dyDescent="0.25">
      <c r="A53" s="8">
        <v>42789.317060185182</v>
      </c>
      <c r="B53" s="20" t="s">
        <v>253</v>
      </c>
      <c r="C53" s="20" t="s">
        <v>504</v>
      </c>
      <c r="D53" s="150">
        <v>890000</v>
      </c>
      <c r="E53" s="20" t="s">
        <v>354</v>
      </c>
      <c r="F53" s="20" t="s">
        <v>355</v>
      </c>
      <c r="G53" s="8" t="str">
        <f t="shared" si="0"/>
        <v>LOZA FIDEL</v>
      </c>
    </row>
    <row r="54" spans="1:7" x14ac:dyDescent="0.25">
      <c r="A54" s="8">
        <v>42789.320763888885</v>
      </c>
      <c r="B54" s="20" t="s">
        <v>505</v>
      </c>
      <c r="C54" s="20" t="s">
        <v>506</v>
      </c>
      <c r="D54" s="150">
        <v>2140000</v>
      </c>
      <c r="E54" s="20" t="s">
        <v>468</v>
      </c>
      <c r="F54" s="20" t="s">
        <v>469</v>
      </c>
      <c r="G54" s="8" t="str">
        <f t="shared" si="0"/>
        <v>ROBINSON KADDIBA</v>
      </c>
    </row>
    <row r="55" spans="1:7" x14ac:dyDescent="0.25">
      <c r="A55" s="8">
        <v>42789.321226851855</v>
      </c>
      <c r="B55" s="20" t="s">
        <v>363</v>
      </c>
      <c r="C55" s="20" t="s">
        <v>507</v>
      </c>
      <c r="D55" s="150">
        <v>2550000</v>
      </c>
      <c r="E55" s="20" t="s">
        <v>349</v>
      </c>
      <c r="F55" s="20" t="s">
        <v>350</v>
      </c>
      <c r="G55" s="8" t="str">
        <f t="shared" si="0"/>
        <v>BADERTSCHER DIANE</v>
      </c>
    </row>
    <row r="56" spans="1:7" x14ac:dyDescent="0.25">
      <c r="A56" s="8">
        <v>42789.329293981478</v>
      </c>
      <c r="B56" s="20" t="s">
        <v>192</v>
      </c>
      <c r="C56" s="20" t="s">
        <v>508</v>
      </c>
      <c r="D56" s="150">
        <v>1100000</v>
      </c>
      <c r="E56" s="20" t="s">
        <v>352</v>
      </c>
      <c r="F56" s="20" t="s">
        <v>353</v>
      </c>
      <c r="G56" s="8" t="str">
        <f t="shared" si="0"/>
        <v>GEBRETEKLE DAGNEW</v>
      </c>
    </row>
    <row r="57" spans="1:7" x14ac:dyDescent="0.25">
      <c r="A57" s="8">
        <v>42789.339050925926</v>
      </c>
      <c r="B57" s="20" t="s">
        <v>212</v>
      </c>
      <c r="C57" s="20" t="s">
        <v>509</v>
      </c>
      <c r="D57" s="150">
        <v>2020000</v>
      </c>
      <c r="E57" s="20" t="s">
        <v>478</v>
      </c>
      <c r="F57" s="20" t="s">
        <v>265</v>
      </c>
      <c r="G57" s="8" t="str">
        <f t="shared" si="0"/>
        <v>SHOOK JOHN</v>
      </c>
    </row>
    <row r="58" spans="1:7" x14ac:dyDescent="0.25">
      <c r="A58" s="8">
        <v>42789.339780092596</v>
      </c>
      <c r="B58" s="20" t="s">
        <v>217</v>
      </c>
      <c r="C58" s="20" t="s">
        <v>419</v>
      </c>
      <c r="D58" s="150">
        <v>1110000</v>
      </c>
      <c r="E58" s="20" t="s">
        <v>305</v>
      </c>
      <c r="F58" s="20" t="s">
        <v>306</v>
      </c>
      <c r="G58" s="8" t="str">
        <f t="shared" si="0"/>
        <v>STARKS ANGELINA</v>
      </c>
    </row>
    <row r="59" spans="1:7" x14ac:dyDescent="0.25">
      <c r="A59" s="8">
        <v>42789.342476851853</v>
      </c>
      <c r="B59" s="20" t="s">
        <v>417</v>
      </c>
      <c r="C59" s="20" t="s">
        <v>418</v>
      </c>
      <c r="D59" s="150">
        <v>900000</v>
      </c>
      <c r="E59" s="20" t="s">
        <v>307</v>
      </c>
      <c r="F59" s="20" t="s">
        <v>308</v>
      </c>
      <c r="G59" s="8" t="str">
        <f t="shared" si="0"/>
        <v>ROCHA YAOTL</v>
      </c>
    </row>
    <row r="60" spans="1:7" x14ac:dyDescent="0.25">
      <c r="A60" s="8">
        <v>42789.343935185185</v>
      </c>
      <c r="B60" s="20" t="s">
        <v>256</v>
      </c>
      <c r="C60" s="20" t="s">
        <v>510</v>
      </c>
      <c r="D60" s="150">
        <v>890000</v>
      </c>
      <c r="E60" s="20" t="s">
        <v>354</v>
      </c>
      <c r="F60" s="20" t="s">
        <v>355</v>
      </c>
      <c r="G60" s="8" t="str">
        <f t="shared" si="0"/>
        <v>LOZA FIDEL</v>
      </c>
    </row>
    <row r="61" spans="1:7" x14ac:dyDescent="0.25">
      <c r="A61" s="8">
        <v>42789.348923611113</v>
      </c>
      <c r="B61" s="20" t="s">
        <v>208</v>
      </c>
      <c r="C61" s="20" t="s">
        <v>421</v>
      </c>
      <c r="D61" s="150">
        <v>940000</v>
      </c>
      <c r="E61" s="20" t="s">
        <v>303</v>
      </c>
      <c r="F61" s="20" t="s">
        <v>304</v>
      </c>
      <c r="G61" s="8" t="str">
        <f t="shared" si="0"/>
        <v>BONDS REYNALDO</v>
      </c>
    </row>
    <row r="62" spans="1:7" x14ac:dyDescent="0.25">
      <c r="A62" s="8">
        <v>42789.349537037036</v>
      </c>
      <c r="B62" s="20" t="s">
        <v>242</v>
      </c>
      <c r="C62" s="20" t="s">
        <v>420</v>
      </c>
      <c r="D62" s="150">
        <v>1830000</v>
      </c>
      <c r="E62" s="20" t="s">
        <v>266</v>
      </c>
      <c r="F62" s="20" t="s">
        <v>267</v>
      </c>
      <c r="G62" s="8" t="str">
        <f t="shared" si="0"/>
        <v>YORK EDGAR</v>
      </c>
    </row>
    <row r="63" spans="1:7" x14ac:dyDescent="0.25">
      <c r="A63" s="8">
        <v>42789.350277777776</v>
      </c>
      <c r="B63" s="20" t="s">
        <v>431</v>
      </c>
      <c r="C63" s="20" t="s">
        <v>511</v>
      </c>
      <c r="D63" s="150">
        <v>2140000</v>
      </c>
      <c r="E63" s="20" t="s">
        <v>468</v>
      </c>
      <c r="F63" s="20" t="s">
        <v>469</v>
      </c>
      <c r="G63" s="8" t="str">
        <f t="shared" si="0"/>
        <v>ROBINSON KADDIBA</v>
      </c>
    </row>
    <row r="64" spans="1:7" x14ac:dyDescent="0.25">
      <c r="A64" s="26">
        <v>42789.353402777779</v>
      </c>
      <c r="B64" s="20" t="s">
        <v>232</v>
      </c>
      <c r="C64" s="20" t="s">
        <v>512</v>
      </c>
      <c r="D64" s="150">
        <v>2020000</v>
      </c>
      <c r="E64" s="20" t="s">
        <v>478</v>
      </c>
      <c r="F64" s="20" t="s">
        <v>265</v>
      </c>
      <c r="G64" s="8" t="str">
        <f t="shared" si="0"/>
        <v>SHOOK JOHN</v>
      </c>
    </row>
    <row r="65" spans="1:7" x14ac:dyDescent="0.25">
      <c r="A65" s="8">
        <v>42789.359027777777</v>
      </c>
      <c r="B65" s="20" t="s">
        <v>253</v>
      </c>
      <c r="C65" s="20" t="s">
        <v>513</v>
      </c>
      <c r="D65" s="150">
        <v>890000</v>
      </c>
      <c r="E65" s="20" t="s">
        <v>354</v>
      </c>
      <c r="F65" s="20" t="s">
        <v>355</v>
      </c>
      <c r="G65" s="8" t="str">
        <f t="shared" si="0"/>
        <v>LOZA FIDEL</v>
      </c>
    </row>
    <row r="66" spans="1:7" x14ac:dyDescent="0.25">
      <c r="A66" s="8">
        <v>42789.361145833333</v>
      </c>
      <c r="B66" s="20" t="s">
        <v>364</v>
      </c>
      <c r="C66" s="20" t="s">
        <v>514</v>
      </c>
      <c r="D66" s="150">
        <v>2550000</v>
      </c>
      <c r="E66" s="20" t="s">
        <v>349</v>
      </c>
      <c r="F66" s="20" t="s">
        <v>350</v>
      </c>
      <c r="G66" s="8" t="str">
        <f t="shared" si="0"/>
        <v>BADERTSCHER DIANE</v>
      </c>
    </row>
    <row r="67" spans="1:7" x14ac:dyDescent="0.25">
      <c r="A67" s="8">
        <v>42789.368298611109</v>
      </c>
      <c r="B67" s="20" t="s">
        <v>264</v>
      </c>
      <c r="C67" s="20" t="s">
        <v>515</v>
      </c>
      <c r="D67" s="150">
        <v>1100000</v>
      </c>
      <c r="E67" s="20" t="s">
        <v>352</v>
      </c>
      <c r="F67" s="20" t="s">
        <v>353</v>
      </c>
      <c r="G67" s="8" t="str">
        <f t="shared" ref="G67:G130" si="1">E67&amp;" "&amp;F67</f>
        <v>GEBRETEKLE DAGNEW</v>
      </c>
    </row>
    <row r="68" spans="1:7" x14ac:dyDescent="0.25">
      <c r="A68" s="8">
        <v>42789.372731481482</v>
      </c>
      <c r="B68" s="20" t="s">
        <v>216</v>
      </c>
      <c r="C68" s="20" t="s">
        <v>516</v>
      </c>
      <c r="D68" s="150">
        <v>1110000</v>
      </c>
      <c r="E68" s="20" t="s">
        <v>305</v>
      </c>
      <c r="F68" s="20" t="s">
        <v>306</v>
      </c>
      <c r="G68" s="8" t="str">
        <f t="shared" si="1"/>
        <v>STARKS ANGELINA</v>
      </c>
    </row>
    <row r="69" spans="1:7" x14ac:dyDescent="0.25">
      <c r="A69" s="8">
        <v>42789.381238425929</v>
      </c>
      <c r="B69" s="20" t="s">
        <v>243</v>
      </c>
      <c r="C69" s="20" t="s">
        <v>424</v>
      </c>
      <c r="D69" s="150">
        <v>1830000</v>
      </c>
      <c r="E69" s="20" t="s">
        <v>266</v>
      </c>
      <c r="F69" s="20" t="s">
        <v>267</v>
      </c>
      <c r="G69" s="8" t="str">
        <f t="shared" si="1"/>
        <v>YORK EDGAR</v>
      </c>
    </row>
    <row r="70" spans="1:7" x14ac:dyDescent="0.25">
      <c r="A70" s="8">
        <v>42789.381990740738</v>
      </c>
      <c r="B70" s="20" t="s">
        <v>415</v>
      </c>
      <c r="C70" s="20" t="s">
        <v>423</v>
      </c>
      <c r="D70" s="150">
        <v>900000</v>
      </c>
      <c r="E70" s="20" t="s">
        <v>307</v>
      </c>
      <c r="F70" s="20" t="s">
        <v>308</v>
      </c>
      <c r="G70" s="8" t="str">
        <f t="shared" si="1"/>
        <v>ROCHA YAOTL</v>
      </c>
    </row>
    <row r="71" spans="1:7" x14ac:dyDescent="0.25">
      <c r="A71" s="8">
        <v>42789.383032407408</v>
      </c>
      <c r="B71" s="20" t="s">
        <v>224</v>
      </c>
      <c r="C71" s="20" t="s">
        <v>422</v>
      </c>
      <c r="D71" s="150">
        <v>940000</v>
      </c>
      <c r="E71" s="20" t="s">
        <v>303</v>
      </c>
      <c r="F71" s="20" t="s">
        <v>304</v>
      </c>
      <c r="G71" s="8" t="str">
        <f t="shared" si="1"/>
        <v>BONDS REYNALDO</v>
      </c>
    </row>
    <row r="72" spans="1:7" x14ac:dyDescent="0.25">
      <c r="A72" s="8">
        <v>42789.387627314813</v>
      </c>
      <c r="B72" s="20" t="s">
        <v>256</v>
      </c>
      <c r="C72" s="20" t="s">
        <v>517</v>
      </c>
      <c r="D72" s="150">
        <v>890000</v>
      </c>
      <c r="E72" s="20" t="s">
        <v>354</v>
      </c>
      <c r="F72" s="20" t="s">
        <v>355</v>
      </c>
      <c r="G72" s="8" t="str">
        <f t="shared" si="1"/>
        <v>LOZA FIDEL</v>
      </c>
    </row>
    <row r="73" spans="1:7" x14ac:dyDescent="0.25">
      <c r="A73" s="8">
        <v>42789.393020833333</v>
      </c>
      <c r="B73" s="20" t="s">
        <v>328</v>
      </c>
      <c r="C73" s="20" t="s">
        <v>427</v>
      </c>
      <c r="D73" s="150">
        <v>330000</v>
      </c>
      <c r="E73" s="20" t="s">
        <v>518</v>
      </c>
      <c r="F73" s="20" t="s">
        <v>519</v>
      </c>
      <c r="G73" s="8" t="str">
        <f t="shared" si="1"/>
        <v>PELLITIER GEORGE</v>
      </c>
    </row>
    <row r="74" spans="1:7" x14ac:dyDescent="0.25">
      <c r="A74" s="8">
        <v>42789.393113425926</v>
      </c>
      <c r="B74" s="20" t="s">
        <v>505</v>
      </c>
      <c r="C74" s="20" t="s">
        <v>520</v>
      </c>
      <c r="D74" s="150">
        <v>2140000</v>
      </c>
      <c r="E74" s="20" t="s">
        <v>468</v>
      </c>
      <c r="F74" s="20" t="s">
        <v>469</v>
      </c>
      <c r="G74" s="8" t="str">
        <f t="shared" si="1"/>
        <v>ROBINSON KADDIBA</v>
      </c>
    </row>
    <row r="75" spans="1:7" x14ac:dyDescent="0.25">
      <c r="A75" s="8">
        <v>42789.393888888888</v>
      </c>
      <c r="B75" s="20" t="s">
        <v>328</v>
      </c>
      <c r="C75" s="20" t="s">
        <v>427</v>
      </c>
      <c r="D75" s="150">
        <v>330000</v>
      </c>
      <c r="E75" s="20" t="s">
        <v>518</v>
      </c>
      <c r="F75" s="20" t="s">
        <v>519</v>
      </c>
      <c r="G75" s="8" t="str">
        <f t="shared" si="1"/>
        <v>PELLITIER GEORGE</v>
      </c>
    </row>
    <row r="76" spans="1:7" x14ac:dyDescent="0.25">
      <c r="A76" s="8">
        <v>42789.394618055558</v>
      </c>
      <c r="B76" s="20" t="s">
        <v>363</v>
      </c>
      <c r="C76" s="20" t="s">
        <v>428</v>
      </c>
      <c r="D76" s="150">
        <v>2550000</v>
      </c>
      <c r="E76" s="20" t="s">
        <v>349</v>
      </c>
      <c r="F76" s="20" t="s">
        <v>350</v>
      </c>
      <c r="G76" s="8" t="str">
        <f t="shared" si="1"/>
        <v>BADERTSCHER DIANE</v>
      </c>
    </row>
    <row r="77" spans="1:7" x14ac:dyDescent="0.25">
      <c r="A77" s="8">
        <v>42789.395902777775</v>
      </c>
      <c r="B77" s="20" t="s">
        <v>328</v>
      </c>
      <c r="C77" s="20" t="s">
        <v>427</v>
      </c>
      <c r="D77" s="150">
        <v>330000</v>
      </c>
      <c r="E77" s="20" t="s">
        <v>518</v>
      </c>
      <c r="F77" s="20" t="s">
        <v>519</v>
      </c>
      <c r="G77" s="8" t="str">
        <f t="shared" si="1"/>
        <v>PELLITIER GEORGE</v>
      </c>
    </row>
    <row r="78" spans="1:7" x14ac:dyDescent="0.25">
      <c r="A78" s="8">
        <v>42789.403136574074</v>
      </c>
      <c r="B78" s="20" t="s">
        <v>253</v>
      </c>
      <c r="C78" s="20" t="s">
        <v>521</v>
      </c>
      <c r="D78" s="150">
        <v>890000</v>
      </c>
      <c r="E78" s="20" t="s">
        <v>354</v>
      </c>
      <c r="F78" s="20" t="s">
        <v>355</v>
      </c>
      <c r="G78" s="8" t="str">
        <f t="shared" si="1"/>
        <v>LOZA FIDEL</v>
      </c>
    </row>
    <row r="79" spans="1:7" x14ac:dyDescent="0.25">
      <c r="A79" s="8">
        <v>42789.406446759262</v>
      </c>
      <c r="B79" s="20" t="s">
        <v>192</v>
      </c>
      <c r="C79" s="20" t="s">
        <v>522</v>
      </c>
      <c r="D79" s="150">
        <v>1100000</v>
      </c>
      <c r="E79" s="20" t="s">
        <v>352</v>
      </c>
      <c r="F79" s="20" t="s">
        <v>353</v>
      </c>
      <c r="G79" s="8" t="str">
        <f t="shared" si="1"/>
        <v>GEBRETEKLE DAGNEW</v>
      </c>
    </row>
    <row r="80" spans="1:7" x14ac:dyDescent="0.25">
      <c r="A80" s="8">
        <v>42789.412187499998</v>
      </c>
      <c r="B80" s="20" t="s">
        <v>217</v>
      </c>
      <c r="C80" s="20" t="s">
        <v>429</v>
      </c>
      <c r="D80" s="150">
        <v>1110000</v>
      </c>
      <c r="E80" s="20" t="s">
        <v>305</v>
      </c>
      <c r="F80" s="20" t="s">
        <v>306</v>
      </c>
      <c r="G80" s="8" t="str">
        <f t="shared" si="1"/>
        <v>STARKS ANGELINA</v>
      </c>
    </row>
    <row r="81" spans="1:7" x14ac:dyDescent="0.25">
      <c r="A81" s="8">
        <v>42789.414571759262</v>
      </c>
      <c r="B81" s="20" t="s">
        <v>417</v>
      </c>
      <c r="C81" s="20" t="s">
        <v>426</v>
      </c>
      <c r="D81" s="150">
        <v>900000</v>
      </c>
      <c r="E81" s="20" t="s">
        <v>307</v>
      </c>
      <c r="F81" s="20" t="s">
        <v>308</v>
      </c>
      <c r="G81" s="8" t="str">
        <f t="shared" si="1"/>
        <v>ROCHA YAOTL</v>
      </c>
    </row>
    <row r="82" spans="1:7" x14ac:dyDescent="0.25">
      <c r="A82" s="8">
        <v>42789.418171296296</v>
      </c>
      <c r="B82" s="20" t="s">
        <v>212</v>
      </c>
      <c r="C82" s="20" t="s">
        <v>427</v>
      </c>
      <c r="D82" s="150">
        <v>330000</v>
      </c>
      <c r="E82" s="20" t="s">
        <v>518</v>
      </c>
      <c r="F82" s="20" t="s">
        <v>519</v>
      </c>
      <c r="G82" s="8" t="str">
        <f t="shared" si="1"/>
        <v>PELLITIER GEORGE</v>
      </c>
    </row>
    <row r="83" spans="1:7" x14ac:dyDescent="0.25">
      <c r="A83" s="8">
        <v>42789.419976851852</v>
      </c>
      <c r="B83" s="20" t="s">
        <v>256</v>
      </c>
      <c r="C83" s="20" t="s">
        <v>523</v>
      </c>
      <c r="D83" s="150">
        <v>890000</v>
      </c>
      <c r="E83" s="20" t="s">
        <v>354</v>
      </c>
      <c r="F83" s="20" t="s">
        <v>355</v>
      </c>
      <c r="G83" s="8" t="str">
        <f t="shared" si="1"/>
        <v>LOZA FIDEL</v>
      </c>
    </row>
    <row r="84" spans="1:7" x14ac:dyDescent="0.25">
      <c r="A84" s="8">
        <v>42789.421527777777</v>
      </c>
      <c r="B84" s="20" t="s">
        <v>208</v>
      </c>
      <c r="C84" s="20" t="s">
        <v>430</v>
      </c>
      <c r="D84" s="150">
        <v>940000</v>
      </c>
      <c r="E84" s="20" t="s">
        <v>303</v>
      </c>
      <c r="F84" s="20" t="s">
        <v>304</v>
      </c>
      <c r="G84" s="8" t="str">
        <f t="shared" si="1"/>
        <v>BONDS REYNALDO</v>
      </c>
    </row>
    <row r="85" spans="1:7" x14ac:dyDescent="0.25">
      <c r="A85" s="8">
        <v>42789.42627314815</v>
      </c>
      <c r="B85" s="20" t="s">
        <v>220</v>
      </c>
      <c r="C85" s="20" t="s">
        <v>524</v>
      </c>
      <c r="D85" s="150">
        <v>1090000</v>
      </c>
      <c r="E85" s="20" t="s">
        <v>351</v>
      </c>
      <c r="F85" s="20" t="s">
        <v>202</v>
      </c>
      <c r="G85" s="8" t="str">
        <f t="shared" si="1"/>
        <v>SPECTOR MICHAEL</v>
      </c>
    </row>
    <row r="86" spans="1:7" x14ac:dyDescent="0.25">
      <c r="A86" s="8">
        <v>42789.430162037039</v>
      </c>
      <c r="B86" s="20" t="s">
        <v>431</v>
      </c>
      <c r="C86" s="20" t="s">
        <v>432</v>
      </c>
      <c r="D86" s="150">
        <v>2140000</v>
      </c>
      <c r="E86" s="20" t="s">
        <v>468</v>
      </c>
      <c r="F86" s="20" t="s">
        <v>469</v>
      </c>
      <c r="G86" s="8" t="str">
        <f t="shared" si="1"/>
        <v>ROBINSON KADDIBA</v>
      </c>
    </row>
    <row r="87" spans="1:7" x14ac:dyDescent="0.25">
      <c r="A87" s="8">
        <v>42789.43273148148</v>
      </c>
      <c r="B87" s="20" t="s">
        <v>232</v>
      </c>
      <c r="C87" s="20" t="s">
        <v>427</v>
      </c>
      <c r="D87" s="150">
        <v>330000</v>
      </c>
      <c r="E87" s="20" t="s">
        <v>518</v>
      </c>
      <c r="F87" s="20" t="s">
        <v>519</v>
      </c>
      <c r="G87" s="8" t="str">
        <f t="shared" si="1"/>
        <v>PELLITIER GEORGE</v>
      </c>
    </row>
    <row r="88" spans="1:7" x14ac:dyDescent="0.25">
      <c r="A88" s="8">
        <v>42789.439120370371</v>
      </c>
      <c r="B88" s="20" t="s">
        <v>264</v>
      </c>
      <c r="C88" s="20" t="s">
        <v>434</v>
      </c>
      <c r="D88" s="150">
        <v>1100000</v>
      </c>
      <c r="E88" s="20" t="s">
        <v>352</v>
      </c>
      <c r="F88" s="20" t="s">
        <v>353</v>
      </c>
      <c r="G88" s="8" t="str">
        <f t="shared" si="1"/>
        <v>GEBRETEKLE DAGNEW</v>
      </c>
    </row>
    <row r="89" spans="1:7" x14ac:dyDescent="0.25">
      <c r="A89" s="8">
        <v>42789.439398148148</v>
      </c>
      <c r="B89" s="20" t="s">
        <v>364</v>
      </c>
      <c r="C89" s="20" t="s">
        <v>525</v>
      </c>
      <c r="D89" s="150">
        <v>2020000</v>
      </c>
      <c r="E89" s="20" t="s">
        <v>478</v>
      </c>
      <c r="F89" s="20" t="s">
        <v>265</v>
      </c>
      <c r="G89" s="8" t="str">
        <f t="shared" si="1"/>
        <v>SHOOK JOHN</v>
      </c>
    </row>
    <row r="90" spans="1:7" x14ac:dyDescent="0.25">
      <c r="A90" s="8">
        <v>42789.441817129627</v>
      </c>
      <c r="B90" s="20" t="s">
        <v>212</v>
      </c>
      <c r="C90" s="20" t="s">
        <v>427</v>
      </c>
      <c r="D90" s="150">
        <v>330000</v>
      </c>
      <c r="E90" s="20" t="s">
        <v>518</v>
      </c>
      <c r="F90" s="20" t="s">
        <v>519</v>
      </c>
      <c r="G90" s="8" t="str">
        <f t="shared" si="1"/>
        <v>PELLITIER GEORGE</v>
      </c>
    </row>
    <row r="91" spans="1:7" x14ac:dyDescent="0.25">
      <c r="A91" s="8">
        <v>42789.44258101852</v>
      </c>
      <c r="B91" s="20" t="s">
        <v>253</v>
      </c>
      <c r="C91" s="20" t="s">
        <v>526</v>
      </c>
      <c r="D91" s="150">
        <v>890000</v>
      </c>
      <c r="E91" s="20" t="s">
        <v>354</v>
      </c>
      <c r="F91" s="20" t="s">
        <v>355</v>
      </c>
      <c r="G91" s="8" t="str">
        <f t="shared" si="1"/>
        <v>LOZA FIDEL</v>
      </c>
    </row>
    <row r="92" spans="1:7" x14ac:dyDescent="0.25">
      <c r="A92" s="8">
        <v>42789.442812499998</v>
      </c>
      <c r="B92" s="20" t="s">
        <v>212</v>
      </c>
      <c r="C92" s="20" t="s">
        <v>427</v>
      </c>
      <c r="D92" s="150">
        <v>330000</v>
      </c>
      <c r="E92" s="20" t="s">
        <v>518</v>
      </c>
      <c r="F92" s="20" t="s">
        <v>519</v>
      </c>
      <c r="G92" s="8" t="str">
        <f t="shared" si="1"/>
        <v>PELLITIER GEORGE</v>
      </c>
    </row>
    <row r="93" spans="1:7" x14ac:dyDescent="0.25">
      <c r="A93" s="8">
        <v>42789.446828703702</v>
      </c>
      <c r="B93" s="20" t="s">
        <v>216</v>
      </c>
      <c r="C93" s="20" t="s">
        <v>527</v>
      </c>
      <c r="D93" s="150">
        <v>1110000</v>
      </c>
      <c r="E93" s="20" t="s">
        <v>305</v>
      </c>
      <c r="F93" s="20" t="s">
        <v>306</v>
      </c>
      <c r="G93" s="8" t="str">
        <f t="shared" si="1"/>
        <v>STARKS ANGELINA</v>
      </c>
    </row>
    <row r="94" spans="1:7" x14ac:dyDescent="0.25">
      <c r="A94" s="8">
        <v>42789.454791666663</v>
      </c>
      <c r="B94" s="20" t="s">
        <v>415</v>
      </c>
      <c r="C94" s="20" t="s">
        <v>433</v>
      </c>
      <c r="D94" s="150">
        <v>900000</v>
      </c>
      <c r="E94" s="20" t="s">
        <v>307</v>
      </c>
      <c r="F94" s="20" t="s">
        <v>308</v>
      </c>
      <c r="G94" s="8" t="str">
        <f t="shared" si="1"/>
        <v>ROCHA YAOTL</v>
      </c>
    </row>
    <row r="95" spans="1:7" x14ac:dyDescent="0.25">
      <c r="A95" s="8">
        <v>42789.456018518518</v>
      </c>
      <c r="B95" s="20" t="s">
        <v>232</v>
      </c>
      <c r="C95" s="20" t="s">
        <v>427</v>
      </c>
      <c r="D95" s="150">
        <v>330000</v>
      </c>
      <c r="E95" s="20" t="s">
        <v>518</v>
      </c>
      <c r="F95" s="20" t="s">
        <v>519</v>
      </c>
      <c r="G95" s="8" t="str">
        <f t="shared" si="1"/>
        <v>PELLITIER GEORGE</v>
      </c>
    </row>
    <row r="96" spans="1:7" x14ac:dyDescent="0.25">
      <c r="A96" s="8">
        <v>42789.457916666666</v>
      </c>
      <c r="B96" s="20" t="s">
        <v>224</v>
      </c>
      <c r="C96" s="20" t="s">
        <v>528</v>
      </c>
      <c r="D96" s="150">
        <v>930000</v>
      </c>
      <c r="E96" s="20" t="s">
        <v>309</v>
      </c>
      <c r="F96" s="20" t="s">
        <v>310</v>
      </c>
      <c r="G96" s="8" t="str">
        <f t="shared" si="1"/>
        <v>CLARK KATHLEEN</v>
      </c>
    </row>
    <row r="97" spans="1:7" x14ac:dyDescent="0.25">
      <c r="A97" s="8">
        <v>42789.459085648145</v>
      </c>
      <c r="B97" s="20" t="s">
        <v>256</v>
      </c>
      <c r="C97" s="20" t="s">
        <v>529</v>
      </c>
      <c r="D97" s="150">
        <v>890000</v>
      </c>
      <c r="E97" s="20" t="s">
        <v>354</v>
      </c>
      <c r="F97" s="20" t="s">
        <v>355</v>
      </c>
      <c r="G97" s="8" t="str">
        <f t="shared" si="1"/>
        <v>LOZA FIDEL</v>
      </c>
    </row>
    <row r="98" spans="1:7" x14ac:dyDescent="0.25">
      <c r="A98" s="8">
        <v>42789.460127314815</v>
      </c>
      <c r="B98" s="20" t="s">
        <v>219</v>
      </c>
      <c r="C98" s="20" t="s">
        <v>435</v>
      </c>
      <c r="D98" s="150">
        <v>1090000</v>
      </c>
      <c r="E98" s="20" t="s">
        <v>351</v>
      </c>
      <c r="F98" s="20" t="s">
        <v>202</v>
      </c>
      <c r="G98" s="8" t="str">
        <f t="shared" si="1"/>
        <v>SPECTOR MICHAEL</v>
      </c>
    </row>
    <row r="99" spans="1:7" x14ac:dyDescent="0.25">
      <c r="A99" s="8">
        <v>42789.460405092592</v>
      </c>
      <c r="B99" s="20" t="s">
        <v>212</v>
      </c>
      <c r="C99" s="20" t="s">
        <v>427</v>
      </c>
      <c r="D99" s="150">
        <v>330000</v>
      </c>
      <c r="E99" s="20" t="s">
        <v>518</v>
      </c>
      <c r="F99" s="20" t="s">
        <v>519</v>
      </c>
      <c r="G99" s="8" t="str">
        <f t="shared" si="1"/>
        <v>PELLITIER GEORGE</v>
      </c>
    </row>
    <row r="100" spans="1:7" x14ac:dyDescent="0.25">
      <c r="A100" s="8">
        <v>42789.461574074077</v>
      </c>
      <c r="B100" s="20" t="s">
        <v>212</v>
      </c>
      <c r="C100" s="20" t="s">
        <v>427</v>
      </c>
      <c r="D100" s="150">
        <v>330000</v>
      </c>
      <c r="E100" s="20" t="s">
        <v>518</v>
      </c>
      <c r="F100" s="20" t="s">
        <v>519</v>
      </c>
      <c r="G100" s="8" t="str">
        <f t="shared" si="1"/>
        <v>PELLITIER GEORGE</v>
      </c>
    </row>
    <row r="101" spans="1:7" x14ac:dyDescent="0.25">
      <c r="A101" s="8">
        <v>42789.463148148148</v>
      </c>
      <c r="B101" s="20" t="s">
        <v>212</v>
      </c>
      <c r="C101" s="20" t="s">
        <v>427</v>
      </c>
      <c r="D101" s="150">
        <v>330000</v>
      </c>
      <c r="E101" s="20" t="s">
        <v>518</v>
      </c>
      <c r="F101" s="20" t="s">
        <v>519</v>
      </c>
      <c r="G101" s="8" t="str">
        <f t="shared" si="1"/>
        <v>PELLITIER GEORGE</v>
      </c>
    </row>
    <row r="102" spans="1:7" x14ac:dyDescent="0.25">
      <c r="A102" s="8">
        <v>42789.467499999999</v>
      </c>
      <c r="B102" s="20" t="s">
        <v>232</v>
      </c>
      <c r="C102" s="20" t="s">
        <v>427</v>
      </c>
      <c r="D102" s="150">
        <v>330000</v>
      </c>
      <c r="E102" s="20" t="s">
        <v>518</v>
      </c>
      <c r="F102" s="20" t="s">
        <v>519</v>
      </c>
      <c r="G102" s="8" t="str">
        <f t="shared" si="1"/>
        <v>PELLITIER GEORGE</v>
      </c>
    </row>
    <row r="103" spans="1:7" x14ac:dyDescent="0.25">
      <c r="A103" s="8">
        <v>42789.467835648145</v>
      </c>
      <c r="B103" s="20" t="s">
        <v>505</v>
      </c>
      <c r="C103" s="20" t="s">
        <v>530</v>
      </c>
      <c r="D103" s="150">
        <v>2030000</v>
      </c>
      <c r="E103" s="20" t="s">
        <v>531</v>
      </c>
      <c r="F103" s="20" t="s">
        <v>532</v>
      </c>
      <c r="G103" s="8" t="str">
        <f t="shared" si="1"/>
        <v>KILLION DAVID</v>
      </c>
    </row>
    <row r="104" spans="1:7" x14ac:dyDescent="0.25">
      <c r="A104" s="8">
        <v>42789.472002314818</v>
      </c>
      <c r="B104" s="20" t="s">
        <v>212</v>
      </c>
      <c r="C104" s="20" t="s">
        <v>427</v>
      </c>
      <c r="D104" s="150">
        <v>330000</v>
      </c>
      <c r="E104" s="20" t="s">
        <v>518</v>
      </c>
      <c r="F104" s="20" t="s">
        <v>519</v>
      </c>
      <c r="G104" s="8" t="str">
        <f t="shared" si="1"/>
        <v>PELLITIER GEORGE</v>
      </c>
    </row>
    <row r="105" spans="1:7" x14ac:dyDescent="0.25">
      <c r="A105" s="8">
        <v>42789.474756944444</v>
      </c>
      <c r="B105" s="20" t="s">
        <v>363</v>
      </c>
      <c r="C105" s="20" t="s">
        <v>533</v>
      </c>
      <c r="D105" s="150">
        <v>2020000</v>
      </c>
      <c r="E105" s="20" t="s">
        <v>478</v>
      </c>
      <c r="F105" s="20" t="s">
        <v>265</v>
      </c>
      <c r="G105" s="8" t="str">
        <f t="shared" si="1"/>
        <v>SHOOK JOHN</v>
      </c>
    </row>
    <row r="106" spans="1:7" x14ac:dyDescent="0.25">
      <c r="A106" s="8">
        <v>42789.476111111115</v>
      </c>
      <c r="B106" s="20" t="s">
        <v>232</v>
      </c>
      <c r="C106" s="20" t="s">
        <v>427</v>
      </c>
      <c r="D106" s="150">
        <v>330000</v>
      </c>
      <c r="E106" s="20" t="s">
        <v>518</v>
      </c>
      <c r="F106" s="20" t="s">
        <v>519</v>
      </c>
      <c r="G106" s="8" t="str">
        <f t="shared" si="1"/>
        <v>PELLITIER GEORGE</v>
      </c>
    </row>
    <row r="107" spans="1:7" x14ac:dyDescent="0.25">
      <c r="A107" s="8">
        <v>42789.479548611111</v>
      </c>
      <c r="B107" s="20" t="s">
        <v>192</v>
      </c>
      <c r="C107" s="20" t="s">
        <v>534</v>
      </c>
      <c r="D107" s="150">
        <v>1770000</v>
      </c>
      <c r="E107" s="20" t="s">
        <v>360</v>
      </c>
      <c r="F107" s="20" t="s">
        <v>361</v>
      </c>
      <c r="G107" s="8" t="str">
        <f t="shared" si="1"/>
        <v>BRUDER RICHARD</v>
      </c>
    </row>
    <row r="108" spans="1:7" x14ac:dyDescent="0.25">
      <c r="A108" s="8">
        <v>42789.481678240743</v>
      </c>
      <c r="B108" s="20" t="s">
        <v>212</v>
      </c>
      <c r="C108" s="20" t="s">
        <v>427</v>
      </c>
      <c r="D108" s="150">
        <v>330000</v>
      </c>
      <c r="E108" s="20" t="s">
        <v>518</v>
      </c>
      <c r="F108" s="20" t="s">
        <v>519</v>
      </c>
      <c r="G108" s="8" t="str">
        <f t="shared" si="1"/>
        <v>PELLITIER GEORGE</v>
      </c>
    </row>
    <row r="109" spans="1:7" x14ac:dyDescent="0.25">
      <c r="A109" s="8">
        <v>42789.484537037039</v>
      </c>
      <c r="B109" s="20" t="s">
        <v>253</v>
      </c>
      <c r="C109" s="20" t="s">
        <v>535</v>
      </c>
      <c r="D109" s="150">
        <v>890000</v>
      </c>
      <c r="E109" s="20" t="s">
        <v>354</v>
      </c>
      <c r="F109" s="20" t="s">
        <v>355</v>
      </c>
      <c r="G109" s="8" t="str">
        <f t="shared" si="1"/>
        <v>LOZA FIDEL</v>
      </c>
    </row>
    <row r="110" spans="1:7" x14ac:dyDescent="0.25">
      <c r="A110" s="8">
        <v>42789.485590277778</v>
      </c>
      <c r="B110" s="20" t="s">
        <v>217</v>
      </c>
      <c r="C110" s="20" t="s">
        <v>536</v>
      </c>
      <c r="D110" s="150">
        <v>1110000</v>
      </c>
      <c r="E110" s="20" t="s">
        <v>305</v>
      </c>
      <c r="F110" s="20" t="s">
        <v>306</v>
      </c>
      <c r="G110" s="8" t="str">
        <f t="shared" si="1"/>
        <v>STARKS ANGELINA</v>
      </c>
    </row>
    <row r="111" spans="1:7" x14ac:dyDescent="0.25">
      <c r="A111" s="8">
        <v>42789.486331018517</v>
      </c>
      <c r="B111" s="20" t="s">
        <v>417</v>
      </c>
      <c r="C111" s="20" t="s">
        <v>537</v>
      </c>
      <c r="D111" s="150">
        <v>2230000</v>
      </c>
      <c r="E111" s="20" t="s">
        <v>538</v>
      </c>
      <c r="F111" s="20" t="s">
        <v>202</v>
      </c>
      <c r="G111" s="8" t="str">
        <f t="shared" si="1"/>
        <v>SMITH MICHAEL</v>
      </c>
    </row>
    <row r="112" spans="1:7" x14ac:dyDescent="0.25">
      <c r="A112" s="8">
        <v>42789.492222222223</v>
      </c>
      <c r="B112" s="20" t="s">
        <v>208</v>
      </c>
      <c r="C112" s="20" t="s">
        <v>539</v>
      </c>
      <c r="D112" s="150">
        <v>930000</v>
      </c>
      <c r="E112" s="20" t="s">
        <v>309</v>
      </c>
      <c r="F112" s="20" t="s">
        <v>310</v>
      </c>
      <c r="G112" s="8" t="str">
        <f t="shared" si="1"/>
        <v>CLARK KATHLEEN</v>
      </c>
    </row>
    <row r="113" spans="1:7" x14ac:dyDescent="0.25">
      <c r="A113" s="8">
        <v>42789.495648148149</v>
      </c>
      <c r="B113" s="20" t="s">
        <v>232</v>
      </c>
      <c r="C113" s="20" t="s">
        <v>427</v>
      </c>
      <c r="D113" s="150">
        <v>330000</v>
      </c>
      <c r="E113" s="20" t="s">
        <v>518</v>
      </c>
      <c r="F113" s="20" t="s">
        <v>519</v>
      </c>
      <c r="G113" s="8" t="str">
        <f t="shared" si="1"/>
        <v>PELLITIER GEORGE</v>
      </c>
    </row>
    <row r="114" spans="1:7" x14ac:dyDescent="0.25">
      <c r="A114" s="8">
        <v>42789.499513888892</v>
      </c>
      <c r="B114" s="20" t="s">
        <v>220</v>
      </c>
      <c r="C114" s="20" t="s">
        <v>436</v>
      </c>
      <c r="D114" s="150">
        <v>2090000</v>
      </c>
      <c r="E114" s="20" t="s">
        <v>362</v>
      </c>
      <c r="F114" s="20" t="s">
        <v>202</v>
      </c>
      <c r="G114" s="8" t="str">
        <f t="shared" si="1"/>
        <v>HAITHCOX MICHAEL</v>
      </c>
    </row>
    <row r="115" spans="1:7" x14ac:dyDescent="0.25">
      <c r="A115" s="8">
        <v>42789.499942129631</v>
      </c>
      <c r="B115" s="20" t="s">
        <v>212</v>
      </c>
      <c r="C115" s="20" t="s">
        <v>427</v>
      </c>
      <c r="D115" s="150">
        <v>330000</v>
      </c>
      <c r="E115" s="20" t="s">
        <v>518</v>
      </c>
      <c r="F115" s="20" t="s">
        <v>519</v>
      </c>
      <c r="G115" s="8" t="str">
        <f t="shared" si="1"/>
        <v>PELLITIER GEORGE</v>
      </c>
    </row>
    <row r="116" spans="1:7" x14ac:dyDescent="0.25">
      <c r="A116" s="8">
        <v>42789.50204861111</v>
      </c>
      <c r="B116" s="20" t="s">
        <v>431</v>
      </c>
      <c r="C116" s="20" t="s">
        <v>437</v>
      </c>
      <c r="D116" s="150">
        <v>2030000</v>
      </c>
      <c r="E116" s="20" t="s">
        <v>531</v>
      </c>
      <c r="F116" s="20" t="s">
        <v>532</v>
      </c>
      <c r="G116" s="8" t="str">
        <f t="shared" si="1"/>
        <v>KILLION DAVID</v>
      </c>
    </row>
    <row r="117" spans="1:7" x14ac:dyDescent="0.25">
      <c r="A117" s="8">
        <v>42789.505312499998</v>
      </c>
      <c r="B117" s="20" t="s">
        <v>232</v>
      </c>
      <c r="C117" s="20" t="s">
        <v>427</v>
      </c>
      <c r="D117" s="150">
        <v>330000</v>
      </c>
      <c r="E117" s="20" t="s">
        <v>518</v>
      </c>
      <c r="F117" s="20" t="s">
        <v>519</v>
      </c>
      <c r="G117" s="8" t="str">
        <f t="shared" si="1"/>
        <v>PELLITIER GEORGE</v>
      </c>
    </row>
    <row r="118" spans="1:7" x14ac:dyDescent="0.25">
      <c r="A118" s="8">
        <v>42789.508842592593</v>
      </c>
      <c r="B118" s="20" t="s">
        <v>364</v>
      </c>
      <c r="C118" s="20" t="s">
        <v>540</v>
      </c>
      <c r="D118" s="150">
        <v>1540000</v>
      </c>
      <c r="E118" s="20" t="s">
        <v>356</v>
      </c>
      <c r="F118" s="20" t="s">
        <v>357</v>
      </c>
      <c r="G118" s="8" t="str">
        <f t="shared" si="1"/>
        <v>HELVIE ADAM</v>
      </c>
    </row>
    <row r="119" spans="1:7" x14ac:dyDescent="0.25">
      <c r="A119" s="8">
        <v>42789.511493055557</v>
      </c>
      <c r="B119" s="20" t="s">
        <v>256</v>
      </c>
      <c r="C119" s="20" t="s">
        <v>541</v>
      </c>
      <c r="D119" s="150">
        <v>890000</v>
      </c>
      <c r="E119" s="20" t="s">
        <v>354</v>
      </c>
      <c r="F119" s="20" t="s">
        <v>355</v>
      </c>
      <c r="G119" s="8" t="str">
        <f t="shared" si="1"/>
        <v>LOZA FIDEL</v>
      </c>
    </row>
    <row r="120" spans="1:7" x14ac:dyDescent="0.25">
      <c r="A120" s="8">
        <v>42789.514398148145</v>
      </c>
      <c r="B120" s="20" t="s">
        <v>264</v>
      </c>
      <c r="C120" s="20" t="s">
        <v>438</v>
      </c>
      <c r="D120" s="150">
        <v>1770000</v>
      </c>
      <c r="E120" s="20" t="s">
        <v>360</v>
      </c>
      <c r="F120" s="20" t="s">
        <v>361</v>
      </c>
      <c r="G120" s="8" t="str">
        <f t="shared" si="1"/>
        <v>BRUDER RICHARD</v>
      </c>
    </row>
    <row r="121" spans="1:7" x14ac:dyDescent="0.25">
      <c r="A121" s="8">
        <v>42789.519155092596</v>
      </c>
      <c r="B121" s="20" t="s">
        <v>216</v>
      </c>
      <c r="C121" s="20" t="s">
        <v>542</v>
      </c>
      <c r="D121" s="150">
        <v>1190000</v>
      </c>
      <c r="E121" s="20" t="s">
        <v>358</v>
      </c>
      <c r="F121" s="20" t="s">
        <v>359</v>
      </c>
      <c r="G121" s="8" t="str">
        <f t="shared" si="1"/>
        <v>BRANNON JEFFREY</v>
      </c>
    </row>
    <row r="122" spans="1:7" x14ac:dyDescent="0.25">
      <c r="A122" s="8">
        <v>42789.519502314812</v>
      </c>
      <c r="B122" s="25" t="s">
        <v>415</v>
      </c>
      <c r="C122" s="20" t="s">
        <v>543</v>
      </c>
      <c r="D122" s="150">
        <v>2230000</v>
      </c>
      <c r="E122" s="20" t="s">
        <v>538</v>
      </c>
      <c r="F122" s="20" t="s">
        <v>202</v>
      </c>
      <c r="G122" s="8" t="str">
        <f t="shared" si="1"/>
        <v>SMITH MICHAEL</v>
      </c>
    </row>
    <row r="123" spans="1:7" x14ac:dyDescent="0.25">
      <c r="A123" s="8">
        <v>42789.525648148148</v>
      </c>
      <c r="B123" s="20" t="s">
        <v>253</v>
      </c>
      <c r="C123" s="20" t="s">
        <v>544</v>
      </c>
      <c r="D123" s="150">
        <v>890000</v>
      </c>
      <c r="E123" s="20" t="s">
        <v>354</v>
      </c>
      <c r="F123" s="20" t="s">
        <v>355</v>
      </c>
      <c r="G123" s="8" t="str">
        <f t="shared" si="1"/>
        <v>LOZA FIDEL</v>
      </c>
    </row>
    <row r="124" spans="1:7" x14ac:dyDescent="0.25">
      <c r="A124" s="8">
        <v>42789.529062499998</v>
      </c>
      <c r="B124" s="20" t="s">
        <v>224</v>
      </c>
      <c r="C124" s="20" t="s">
        <v>545</v>
      </c>
      <c r="D124" s="150">
        <v>930000</v>
      </c>
      <c r="E124" s="20" t="s">
        <v>309</v>
      </c>
      <c r="F124" s="20" t="s">
        <v>310</v>
      </c>
      <c r="G124" s="8" t="str">
        <f t="shared" si="1"/>
        <v>CLARK KATHLEEN</v>
      </c>
    </row>
    <row r="125" spans="1:7" x14ac:dyDescent="0.25">
      <c r="A125" s="8">
        <v>42789.534537037034</v>
      </c>
      <c r="B125" s="20" t="s">
        <v>219</v>
      </c>
      <c r="C125" s="20" t="s">
        <v>546</v>
      </c>
      <c r="D125" s="150">
        <v>2090000</v>
      </c>
      <c r="E125" s="20" t="s">
        <v>362</v>
      </c>
      <c r="F125" s="20" t="s">
        <v>202</v>
      </c>
      <c r="G125" s="8" t="str">
        <f t="shared" si="1"/>
        <v>HAITHCOX MICHAEL</v>
      </c>
    </row>
    <row r="126" spans="1:7" x14ac:dyDescent="0.25">
      <c r="A126" s="8">
        <v>42789.539027777777</v>
      </c>
      <c r="B126" s="20" t="s">
        <v>505</v>
      </c>
      <c r="C126" s="20" t="s">
        <v>547</v>
      </c>
      <c r="D126" s="150">
        <v>2030000</v>
      </c>
      <c r="E126" s="20" t="s">
        <v>531</v>
      </c>
      <c r="F126" s="20" t="s">
        <v>532</v>
      </c>
      <c r="G126" s="8" t="str">
        <f t="shared" si="1"/>
        <v>KILLION DAVID</v>
      </c>
    </row>
    <row r="127" spans="1:7" x14ac:dyDescent="0.25">
      <c r="A127" s="8">
        <v>42789.545127314814</v>
      </c>
      <c r="B127" s="20" t="s">
        <v>363</v>
      </c>
      <c r="C127" s="20" t="s">
        <v>439</v>
      </c>
      <c r="D127" s="150">
        <v>1540000</v>
      </c>
      <c r="E127" s="20" t="s">
        <v>356</v>
      </c>
      <c r="F127" s="20" t="s">
        <v>357</v>
      </c>
      <c r="G127" s="8" t="str">
        <f t="shared" si="1"/>
        <v>HELVIE ADAM</v>
      </c>
    </row>
    <row r="128" spans="1:7" x14ac:dyDescent="0.25">
      <c r="A128" s="8">
        <v>42789.545775462961</v>
      </c>
      <c r="B128" s="20" t="s">
        <v>256</v>
      </c>
      <c r="C128" s="20" t="s">
        <v>548</v>
      </c>
      <c r="D128" s="150">
        <v>1180000</v>
      </c>
      <c r="E128" s="20" t="s">
        <v>311</v>
      </c>
      <c r="F128" s="20" t="s">
        <v>312</v>
      </c>
      <c r="G128" s="8" t="str">
        <f t="shared" si="1"/>
        <v>LEVERE CRAIG</v>
      </c>
    </row>
    <row r="129" spans="1:7" x14ac:dyDescent="0.25">
      <c r="A129" s="8">
        <v>42789.547511574077</v>
      </c>
      <c r="B129" s="20" t="s">
        <v>217</v>
      </c>
      <c r="C129" s="20" t="s">
        <v>440</v>
      </c>
      <c r="D129" s="150">
        <v>1190000</v>
      </c>
      <c r="E129" s="20" t="s">
        <v>358</v>
      </c>
      <c r="F129" s="20" t="s">
        <v>359</v>
      </c>
      <c r="G129" s="8" t="str">
        <f t="shared" si="1"/>
        <v>BRANNON JEFFREY</v>
      </c>
    </row>
    <row r="130" spans="1:7" x14ac:dyDescent="0.25">
      <c r="A130" s="8">
        <v>42789.550659722219</v>
      </c>
      <c r="B130" s="20" t="s">
        <v>192</v>
      </c>
      <c r="C130" s="20" t="s">
        <v>549</v>
      </c>
      <c r="D130" s="150">
        <v>1770000</v>
      </c>
      <c r="E130" s="20" t="s">
        <v>360</v>
      </c>
      <c r="F130" s="20" t="s">
        <v>361</v>
      </c>
      <c r="G130" s="8" t="str">
        <f t="shared" si="1"/>
        <v>BRUDER RICHARD</v>
      </c>
    </row>
    <row r="131" spans="1:7" x14ac:dyDescent="0.25">
      <c r="A131" s="8">
        <v>42789.559166666666</v>
      </c>
      <c r="B131" s="20" t="s">
        <v>417</v>
      </c>
      <c r="C131" s="20" t="s">
        <v>550</v>
      </c>
      <c r="D131" s="150">
        <v>2230000</v>
      </c>
      <c r="E131" s="20" t="s">
        <v>538</v>
      </c>
      <c r="F131" s="20" t="s">
        <v>202</v>
      </c>
      <c r="G131" s="8" t="str">
        <f t="shared" ref="G131:G194" si="2">E131&amp;" "&amp;F131</f>
        <v>SMITH MICHAEL</v>
      </c>
    </row>
    <row r="132" spans="1:7" x14ac:dyDescent="0.25">
      <c r="A132" s="8">
        <v>42789.567303240743</v>
      </c>
      <c r="B132" s="20" t="s">
        <v>253</v>
      </c>
      <c r="C132" s="20" t="s">
        <v>551</v>
      </c>
      <c r="D132" s="150">
        <v>1180000</v>
      </c>
      <c r="E132" s="20" t="s">
        <v>311</v>
      </c>
      <c r="F132" s="20" t="s">
        <v>312</v>
      </c>
      <c r="G132" s="8" t="str">
        <f t="shared" si="2"/>
        <v>LEVERE CRAIG</v>
      </c>
    </row>
    <row r="133" spans="1:7" x14ac:dyDescent="0.25">
      <c r="A133" s="8">
        <v>42789.570763888885</v>
      </c>
      <c r="B133" s="20" t="s">
        <v>208</v>
      </c>
      <c r="C133" s="20" t="s">
        <v>552</v>
      </c>
      <c r="D133" s="150">
        <v>930000</v>
      </c>
      <c r="E133" s="20" t="s">
        <v>309</v>
      </c>
      <c r="F133" s="20" t="s">
        <v>310</v>
      </c>
      <c r="G133" s="8" t="str">
        <f t="shared" si="2"/>
        <v>CLARK KATHLEEN</v>
      </c>
    </row>
    <row r="134" spans="1:7" x14ac:dyDescent="0.25">
      <c r="A134" s="8">
        <v>42789.572627314818</v>
      </c>
      <c r="B134" s="20" t="s">
        <v>220</v>
      </c>
      <c r="C134" s="20" t="s">
        <v>553</v>
      </c>
      <c r="D134" s="150">
        <v>2090000</v>
      </c>
      <c r="E134" s="20" t="s">
        <v>362</v>
      </c>
      <c r="F134" s="20" t="s">
        <v>202</v>
      </c>
      <c r="G134" s="8" t="str">
        <f t="shared" si="2"/>
        <v>HAITHCOX MICHAEL</v>
      </c>
    </row>
    <row r="135" spans="1:7" x14ac:dyDescent="0.25">
      <c r="A135" s="8">
        <v>42789.580196759256</v>
      </c>
      <c r="B135" s="20" t="s">
        <v>431</v>
      </c>
      <c r="C135" s="20" t="s">
        <v>554</v>
      </c>
      <c r="D135" s="150">
        <v>2030000</v>
      </c>
      <c r="E135" s="20" t="s">
        <v>531</v>
      </c>
      <c r="F135" s="20" t="s">
        <v>532</v>
      </c>
      <c r="G135" s="8" t="str">
        <f t="shared" si="2"/>
        <v>KILLION DAVID</v>
      </c>
    </row>
    <row r="136" spans="1:7" x14ac:dyDescent="0.25">
      <c r="A136" s="8">
        <v>42789.582696759258</v>
      </c>
      <c r="B136" s="20" t="s">
        <v>364</v>
      </c>
      <c r="C136" s="20" t="s">
        <v>441</v>
      </c>
      <c r="D136" s="150">
        <v>1540000</v>
      </c>
      <c r="E136" s="20" t="s">
        <v>356</v>
      </c>
      <c r="F136" s="20" t="s">
        <v>357</v>
      </c>
      <c r="G136" s="8" t="str">
        <f t="shared" si="2"/>
        <v>HELVIE ADAM</v>
      </c>
    </row>
    <row r="137" spans="1:7" x14ac:dyDescent="0.25">
      <c r="A137" s="8">
        <v>42789.588078703702</v>
      </c>
      <c r="B137" s="20" t="s">
        <v>216</v>
      </c>
      <c r="C137" s="20" t="s">
        <v>555</v>
      </c>
      <c r="D137" s="150">
        <v>1190000</v>
      </c>
      <c r="E137" s="20" t="s">
        <v>358</v>
      </c>
      <c r="F137" s="20" t="s">
        <v>359</v>
      </c>
      <c r="G137" s="8" t="str">
        <f t="shared" si="2"/>
        <v>BRANNON JEFFREY</v>
      </c>
    </row>
    <row r="138" spans="1:7" x14ac:dyDescent="0.25">
      <c r="A138" s="8">
        <v>42789.58934027778</v>
      </c>
      <c r="B138" s="20" t="s">
        <v>264</v>
      </c>
      <c r="C138" s="20" t="s">
        <v>442</v>
      </c>
      <c r="D138" s="150">
        <v>1770000</v>
      </c>
      <c r="E138" s="20" t="s">
        <v>360</v>
      </c>
      <c r="F138" s="20" t="s">
        <v>361</v>
      </c>
      <c r="G138" s="8" t="str">
        <f t="shared" si="2"/>
        <v>BRUDER RICHARD</v>
      </c>
    </row>
    <row r="139" spans="1:7" x14ac:dyDescent="0.25">
      <c r="A139" s="8">
        <v>42789.590011574073</v>
      </c>
      <c r="B139" s="20" t="s">
        <v>256</v>
      </c>
      <c r="C139" s="20" t="s">
        <v>556</v>
      </c>
      <c r="D139" s="150">
        <v>1180000</v>
      </c>
      <c r="E139" s="20" t="s">
        <v>311</v>
      </c>
      <c r="F139" s="20" t="s">
        <v>312</v>
      </c>
      <c r="G139" s="8" t="str">
        <f t="shared" si="2"/>
        <v>LEVERE CRAIG</v>
      </c>
    </row>
    <row r="140" spans="1:7" x14ac:dyDescent="0.25">
      <c r="A140" s="8">
        <v>42789.593692129631</v>
      </c>
      <c r="B140" s="20" t="s">
        <v>415</v>
      </c>
      <c r="C140" s="20" t="s">
        <v>557</v>
      </c>
      <c r="D140" s="150">
        <v>2230000</v>
      </c>
      <c r="E140" s="20" t="s">
        <v>538</v>
      </c>
      <c r="F140" s="20" t="s">
        <v>202</v>
      </c>
      <c r="G140" s="8" t="str">
        <f t="shared" si="2"/>
        <v>SMITH MICHAEL</v>
      </c>
    </row>
    <row r="141" spans="1:7" x14ac:dyDescent="0.25">
      <c r="A141" s="8">
        <v>42789.602280092593</v>
      </c>
      <c r="B141" s="20" t="s">
        <v>224</v>
      </c>
      <c r="C141" s="20" t="s">
        <v>558</v>
      </c>
      <c r="D141" s="150">
        <v>930000</v>
      </c>
      <c r="E141" s="20" t="s">
        <v>309</v>
      </c>
      <c r="F141" s="20" t="s">
        <v>310</v>
      </c>
      <c r="G141" s="8" t="str">
        <f t="shared" si="2"/>
        <v>CLARK KATHLEEN</v>
      </c>
    </row>
    <row r="142" spans="1:7" x14ac:dyDescent="0.25">
      <c r="A142" s="8">
        <v>42789.607060185182</v>
      </c>
      <c r="B142" s="20" t="s">
        <v>219</v>
      </c>
      <c r="C142" s="20" t="s">
        <v>443</v>
      </c>
      <c r="D142" s="150">
        <v>2090000</v>
      </c>
      <c r="E142" s="20" t="s">
        <v>362</v>
      </c>
      <c r="F142" s="20" t="s">
        <v>202</v>
      </c>
      <c r="G142" s="8" t="str">
        <f t="shared" si="2"/>
        <v>HAITHCOX MICHAEL</v>
      </c>
    </row>
    <row r="143" spans="1:7" x14ac:dyDescent="0.25">
      <c r="A143" s="8">
        <v>42789.609479166669</v>
      </c>
      <c r="B143" s="20" t="s">
        <v>253</v>
      </c>
      <c r="C143" s="20" t="s">
        <v>559</v>
      </c>
      <c r="D143" s="150">
        <v>1180000</v>
      </c>
      <c r="E143" s="20" t="s">
        <v>311</v>
      </c>
      <c r="F143" s="20" t="s">
        <v>312</v>
      </c>
      <c r="G143" s="8" t="str">
        <f t="shared" si="2"/>
        <v>LEVERE CRAIG</v>
      </c>
    </row>
    <row r="144" spans="1:7" x14ac:dyDescent="0.25">
      <c r="A144" s="8">
        <v>42789.612638888888</v>
      </c>
      <c r="B144" s="20" t="s">
        <v>505</v>
      </c>
      <c r="C144" s="20" t="s">
        <v>560</v>
      </c>
      <c r="D144" s="150">
        <v>2030000</v>
      </c>
      <c r="E144" s="20" t="s">
        <v>531</v>
      </c>
      <c r="F144" s="20" t="s">
        <v>532</v>
      </c>
      <c r="G144" s="8" t="str">
        <f t="shared" si="2"/>
        <v>KILLION DAVID</v>
      </c>
    </row>
    <row r="145" spans="1:7" x14ac:dyDescent="0.25">
      <c r="A145" s="8">
        <v>42789.619108796294</v>
      </c>
      <c r="B145" s="20" t="s">
        <v>363</v>
      </c>
      <c r="C145" s="20" t="s">
        <v>561</v>
      </c>
      <c r="D145" s="150">
        <v>1540000</v>
      </c>
      <c r="E145" s="20" t="s">
        <v>356</v>
      </c>
      <c r="F145" s="20" t="s">
        <v>357</v>
      </c>
      <c r="G145" s="8" t="str">
        <f t="shared" si="2"/>
        <v>HELVIE ADAM</v>
      </c>
    </row>
    <row r="146" spans="1:7" x14ac:dyDescent="0.25">
      <c r="A146" s="8">
        <v>42789.621469907404</v>
      </c>
      <c r="B146" s="20" t="s">
        <v>192</v>
      </c>
      <c r="C146" s="20" t="s">
        <v>562</v>
      </c>
      <c r="D146" s="150">
        <v>1770000</v>
      </c>
      <c r="E146" s="20" t="s">
        <v>360</v>
      </c>
      <c r="F146" s="20" t="s">
        <v>361</v>
      </c>
      <c r="G146" s="8" t="str">
        <f t="shared" si="2"/>
        <v>BRUDER RICHARD</v>
      </c>
    </row>
    <row r="147" spans="1:7" x14ac:dyDescent="0.25">
      <c r="A147" s="8">
        <v>42789.621736111112</v>
      </c>
      <c r="B147" s="20" t="s">
        <v>217</v>
      </c>
      <c r="C147" s="20" t="s">
        <v>563</v>
      </c>
      <c r="D147" s="150">
        <v>1190000</v>
      </c>
      <c r="E147" s="20" t="s">
        <v>358</v>
      </c>
      <c r="F147" s="20" t="s">
        <v>359</v>
      </c>
      <c r="G147" s="8" t="str">
        <f t="shared" si="2"/>
        <v>BRANNON JEFFREY</v>
      </c>
    </row>
    <row r="148" spans="1:7" x14ac:dyDescent="0.25">
      <c r="A148" s="8">
        <v>42789.632754629631</v>
      </c>
      <c r="B148" s="20" t="s">
        <v>417</v>
      </c>
      <c r="C148" s="20" t="s">
        <v>564</v>
      </c>
      <c r="D148" s="150">
        <v>2230000</v>
      </c>
      <c r="E148" s="20" t="s">
        <v>538</v>
      </c>
      <c r="F148" s="20" t="s">
        <v>202</v>
      </c>
      <c r="G148" s="8" t="str">
        <f t="shared" si="2"/>
        <v>SMITH MICHAEL</v>
      </c>
    </row>
    <row r="149" spans="1:7" x14ac:dyDescent="0.25">
      <c r="A149" s="8">
        <v>42789.634305555555</v>
      </c>
      <c r="B149" s="20" t="s">
        <v>256</v>
      </c>
      <c r="C149" s="20" t="s">
        <v>565</v>
      </c>
      <c r="D149" s="150">
        <v>1180000</v>
      </c>
      <c r="E149" s="20" t="s">
        <v>311</v>
      </c>
      <c r="F149" s="20" t="s">
        <v>312</v>
      </c>
      <c r="G149" s="8" t="str">
        <f t="shared" si="2"/>
        <v>LEVERE CRAIG</v>
      </c>
    </row>
    <row r="150" spans="1:7" x14ac:dyDescent="0.25">
      <c r="A150" s="8">
        <v>42789.637280092589</v>
      </c>
      <c r="B150" s="20" t="s">
        <v>208</v>
      </c>
      <c r="C150" s="20" t="s">
        <v>566</v>
      </c>
      <c r="D150" s="150">
        <v>930000</v>
      </c>
      <c r="E150" s="20" t="s">
        <v>309</v>
      </c>
      <c r="F150" s="20" t="s">
        <v>310</v>
      </c>
      <c r="G150" s="8" t="str">
        <f t="shared" si="2"/>
        <v>CLARK KATHLEEN</v>
      </c>
    </row>
    <row r="151" spans="1:7" x14ac:dyDescent="0.25">
      <c r="A151" s="8">
        <v>42789.643217592595</v>
      </c>
      <c r="B151" s="20" t="s">
        <v>220</v>
      </c>
      <c r="C151" s="20" t="s">
        <v>444</v>
      </c>
      <c r="D151" s="150">
        <v>2090000</v>
      </c>
      <c r="E151" s="20" t="s">
        <v>362</v>
      </c>
      <c r="F151" s="20" t="s">
        <v>202</v>
      </c>
      <c r="G151" s="8" t="str">
        <f t="shared" si="2"/>
        <v>HAITHCOX MICHAEL</v>
      </c>
    </row>
    <row r="152" spans="1:7" x14ac:dyDescent="0.25">
      <c r="A152" s="8">
        <v>42789.645879629628</v>
      </c>
      <c r="B152" s="20" t="s">
        <v>212</v>
      </c>
      <c r="C152" s="20" t="s">
        <v>445</v>
      </c>
      <c r="D152" s="150">
        <v>1740000</v>
      </c>
      <c r="E152" s="20" t="s">
        <v>227</v>
      </c>
      <c r="F152" s="20" t="s">
        <v>228</v>
      </c>
      <c r="G152" s="8" t="str">
        <f t="shared" si="2"/>
        <v>STORY SAMANTHA</v>
      </c>
    </row>
    <row r="153" spans="1:7" x14ac:dyDescent="0.25">
      <c r="A153" s="8">
        <v>42789.647453703707</v>
      </c>
      <c r="B153" s="20" t="s">
        <v>431</v>
      </c>
      <c r="C153" s="20" t="s">
        <v>567</v>
      </c>
      <c r="D153" s="150">
        <v>2030000</v>
      </c>
      <c r="E153" s="20" t="s">
        <v>531</v>
      </c>
      <c r="F153" s="20" t="s">
        <v>532</v>
      </c>
      <c r="G153" s="8" t="str">
        <f t="shared" si="2"/>
        <v>KILLION DAVID</v>
      </c>
    </row>
    <row r="154" spans="1:7" x14ac:dyDescent="0.25">
      <c r="A154" s="8">
        <v>42789.650995370372</v>
      </c>
      <c r="B154" s="20" t="s">
        <v>253</v>
      </c>
      <c r="C154" s="20" t="s">
        <v>568</v>
      </c>
      <c r="D154" s="150">
        <v>1180000</v>
      </c>
      <c r="E154" s="20" t="s">
        <v>311</v>
      </c>
      <c r="F154" s="20" t="s">
        <v>312</v>
      </c>
      <c r="G154" s="8" t="str">
        <f t="shared" si="2"/>
        <v>LEVERE CRAIG</v>
      </c>
    </row>
    <row r="155" spans="1:7" x14ac:dyDescent="0.25">
      <c r="A155" s="8">
        <v>42789.653425925928</v>
      </c>
      <c r="B155" s="20" t="s">
        <v>364</v>
      </c>
      <c r="C155" s="20" t="s">
        <v>569</v>
      </c>
      <c r="D155" s="150">
        <v>1540000</v>
      </c>
      <c r="E155" s="20" t="s">
        <v>356</v>
      </c>
      <c r="F155" s="20" t="s">
        <v>357</v>
      </c>
      <c r="G155" s="8" t="str">
        <f t="shared" si="2"/>
        <v>HELVIE ADAM</v>
      </c>
    </row>
    <row r="156" spans="1:7" x14ac:dyDescent="0.25">
      <c r="A156" s="8">
        <v>42789.65452546296</v>
      </c>
      <c r="B156" s="20" t="s">
        <v>232</v>
      </c>
      <c r="C156" s="20" t="s">
        <v>570</v>
      </c>
      <c r="D156" s="150">
        <v>1740000</v>
      </c>
      <c r="E156" s="20" t="s">
        <v>227</v>
      </c>
      <c r="F156" s="20" t="s">
        <v>228</v>
      </c>
      <c r="G156" s="8" t="str">
        <f t="shared" si="2"/>
        <v>STORY SAMANTHA</v>
      </c>
    </row>
    <row r="157" spans="1:7" x14ac:dyDescent="0.25">
      <c r="A157" s="8">
        <v>42789.658831018518</v>
      </c>
      <c r="B157" s="20" t="s">
        <v>264</v>
      </c>
      <c r="C157" s="20" t="s">
        <v>571</v>
      </c>
      <c r="D157" s="150">
        <v>1770000</v>
      </c>
      <c r="E157" s="20" t="s">
        <v>360</v>
      </c>
      <c r="F157" s="20" t="s">
        <v>361</v>
      </c>
      <c r="G157" s="8" t="str">
        <f t="shared" si="2"/>
        <v>BRUDER RICHARD</v>
      </c>
    </row>
    <row r="158" spans="1:7" x14ac:dyDescent="0.25">
      <c r="A158" s="8">
        <v>42789.662800925929</v>
      </c>
      <c r="B158" s="20" t="s">
        <v>216</v>
      </c>
      <c r="C158" s="20" t="s">
        <v>446</v>
      </c>
      <c r="D158" s="150">
        <v>1190000</v>
      </c>
      <c r="E158" s="20" t="s">
        <v>358</v>
      </c>
      <c r="F158" s="20" t="s">
        <v>359</v>
      </c>
      <c r="G158" s="8" t="str">
        <f t="shared" si="2"/>
        <v>BRANNON JEFFREY</v>
      </c>
    </row>
    <row r="159" spans="1:7" x14ac:dyDescent="0.25">
      <c r="A159" s="8">
        <v>42789.66474537037</v>
      </c>
      <c r="B159" s="20" t="s">
        <v>415</v>
      </c>
      <c r="C159" s="20" t="s">
        <v>572</v>
      </c>
      <c r="D159" s="150">
        <v>2230000</v>
      </c>
      <c r="E159" s="20" t="s">
        <v>538</v>
      </c>
      <c r="F159" s="20" t="s">
        <v>202</v>
      </c>
      <c r="G159" s="8" t="str">
        <f t="shared" si="2"/>
        <v>SMITH MICHAEL</v>
      </c>
    </row>
    <row r="160" spans="1:7" x14ac:dyDescent="0.25">
      <c r="A160" s="8">
        <v>42789.672002314815</v>
      </c>
      <c r="B160" s="20" t="s">
        <v>212</v>
      </c>
      <c r="C160" s="20" t="s">
        <v>573</v>
      </c>
      <c r="D160" s="150">
        <v>1740000</v>
      </c>
      <c r="E160" s="20" t="s">
        <v>227</v>
      </c>
      <c r="F160" s="20" t="s">
        <v>228</v>
      </c>
      <c r="G160" s="8" t="str">
        <f t="shared" si="2"/>
        <v>STORY SAMANTHA</v>
      </c>
    </row>
    <row r="161" spans="1:7" x14ac:dyDescent="0.25">
      <c r="A161" s="8">
        <v>42789.673321759263</v>
      </c>
      <c r="B161" s="20" t="s">
        <v>224</v>
      </c>
      <c r="C161" s="20" t="s">
        <v>574</v>
      </c>
      <c r="D161" s="150">
        <v>930000</v>
      </c>
      <c r="E161" s="20" t="s">
        <v>309</v>
      </c>
      <c r="F161" s="20" t="s">
        <v>310</v>
      </c>
      <c r="G161" s="8" t="str">
        <f t="shared" si="2"/>
        <v>CLARK KATHLEEN</v>
      </c>
    </row>
    <row r="162" spans="1:7" x14ac:dyDescent="0.25">
      <c r="A162" s="8">
        <v>42789.675196759257</v>
      </c>
      <c r="B162" s="20" t="s">
        <v>256</v>
      </c>
      <c r="C162" s="20" t="s">
        <v>575</v>
      </c>
      <c r="D162" s="150">
        <v>1180000</v>
      </c>
      <c r="E162" s="20" t="s">
        <v>311</v>
      </c>
      <c r="F162" s="20" t="s">
        <v>312</v>
      </c>
      <c r="G162" s="8" t="str">
        <f t="shared" si="2"/>
        <v>LEVERE CRAIG</v>
      </c>
    </row>
    <row r="163" spans="1:7" x14ac:dyDescent="0.25">
      <c r="A163" s="8">
        <v>42789.679201388892</v>
      </c>
      <c r="B163" s="20" t="s">
        <v>219</v>
      </c>
      <c r="C163" s="20" t="s">
        <v>576</v>
      </c>
      <c r="D163" s="150">
        <v>2090000</v>
      </c>
      <c r="E163" s="20" t="s">
        <v>362</v>
      </c>
      <c r="F163" s="20" t="s">
        <v>202</v>
      </c>
      <c r="G163" s="8" t="str">
        <f t="shared" si="2"/>
        <v>HAITHCOX MICHAEL</v>
      </c>
    </row>
    <row r="164" spans="1:7" x14ac:dyDescent="0.25">
      <c r="A164" s="8">
        <v>42789.684062499997</v>
      </c>
      <c r="B164" s="20" t="s">
        <v>505</v>
      </c>
      <c r="C164" s="20" t="s">
        <v>577</v>
      </c>
      <c r="D164" s="150">
        <v>2030000</v>
      </c>
      <c r="E164" s="20" t="s">
        <v>531</v>
      </c>
      <c r="F164" s="20" t="s">
        <v>532</v>
      </c>
      <c r="G164" s="8" t="str">
        <f t="shared" si="2"/>
        <v>KILLION DAVID</v>
      </c>
    </row>
    <row r="165" spans="1:7" x14ac:dyDescent="0.25">
      <c r="A165" s="8">
        <v>42789.692187499997</v>
      </c>
      <c r="B165" s="20" t="s">
        <v>232</v>
      </c>
      <c r="C165" s="20" t="s">
        <v>578</v>
      </c>
      <c r="D165" s="150">
        <v>1740000</v>
      </c>
      <c r="E165" s="20" t="s">
        <v>227</v>
      </c>
      <c r="F165" s="20" t="s">
        <v>228</v>
      </c>
      <c r="G165" s="8" t="str">
        <f t="shared" si="2"/>
        <v>STORY SAMANTHA</v>
      </c>
    </row>
    <row r="166" spans="1:7" x14ac:dyDescent="0.25">
      <c r="A166" s="8">
        <v>42789.693541666667</v>
      </c>
      <c r="B166" s="20" t="s">
        <v>253</v>
      </c>
      <c r="C166" s="20" t="s">
        <v>579</v>
      </c>
      <c r="D166" s="150">
        <v>1180000</v>
      </c>
      <c r="E166" s="20" t="s">
        <v>311</v>
      </c>
      <c r="F166" s="20" t="s">
        <v>312</v>
      </c>
      <c r="G166" s="8" t="str">
        <f t="shared" si="2"/>
        <v>LEVERE CRAIG</v>
      </c>
    </row>
    <row r="167" spans="1:7" x14ac:dyDescent="0.25">
      <c r="A167" s="8">
        <v>42789.693645833337</v>
      </c>
      <c r="B167" s="20" t="s">
        <v>363</v>
      </c>
      <c r="C167" s="20" t="s">
        <v>580</v>
      </c>
      <c r="D167" s="150">
        <v>1540000</v>
      </c>
      <c r="E167" s="20" t="s">
        <v>356</v>
      </c>
      <c r="F167" s="20" t="s">
        <v>357</v>
      </c>
      <c r="G167" s="8" t="str">
        <f t="shared" si="2"/>
        <v>HELVIE ADAM</v>
      </c>
    </row>
    <row r="168" spans="1:7" x14ac:dyDescent="0.25">
      <c r="A168" s="8">
        <v>42789.69394675926</v>
      </c>
      <c r="B168" s="20" t="s">
        <v>217</v>
      </c>
      <c r="C168" s="20" t="s">
        <v>447</v>
      </c>
      <c r="D168" s="150">
        <v>1190000</v>
      </c>
      <c r="E168" s="20" t="s">
        <v>358</v>
      </c>
      <c r="F168" s="20" t="s">
        <v>359</v>
      </c>
      <c r="G168" s="8" t="str">
        <f t="shared" si="2"/>
        <v>BRANNON JEFFREY</v>
      </c>
    </row>
    <row r="169" spans="1:7" x14ac:dyDescent="0.25">
      <c r="A169" s="8">
        <v>42789.695104166669</v>
      </c>
      <c r="B169" s="20" t="s">
        <v>192</v>
      </c>
      <c r="C169" s="20" t="s">
        <v>581</v>
      </c>
      <c r="D169" s="150">
        <v>1770000</v>
      </c>
      <c r="E169" s="20" t="s">
        <v>360</v>
      </c>
      <c r="F169" s="20" t="s">
        <v>361</v>
      </c>
      <c r="G169" s="8" t="str">
        <f t="shared" si="2"/>
        <v>BRUDER RICHARD</v>
      </c>
    </row>
    <row r="170" spans="1:7" x14ac:dyDescent="0.25">
      <c r="A170" s="8">
        <v>42789.705046296294</v>
      </c>
      <c r="B170" s="20" t="s">
        <v>417</v>
      </c>
      <c r="C170" s="20" t="s">
        <v>582</v>
      </c>
      <c r="D170" s="150">
        <v>2230000</v>
      </c>
      <c r="E170" s="20" t="s">
        <v>538</v>
      </c>
      <c r="F170" s="20" t="s">
        <v>202</v>
      </c>
      <c r="G170" s="8" t="str">
        <f t="shared" si="2"/>
        <v>SMITH MICHAEL</v>
      </c>
    </row>
    <row r="171" spans="1:7" x14ac:dyDescent="0.25">
      <c r="A171" s="8">
        <v>42789.710428240738</v>
      </c>
      <c r="B171" s="20" t="s">
        <v>208</v>
      </c>
      <c r="C171" s="20" t="s">
        <v>583</v>
      </c>
      <c r="D171" s="150">
        <v>930000</v>
      </c>
      <c r="E171" s="20" t="s">
        <v>309</v>
      </c>
      <c r="F171" s="20" t="s">
        <v>310</v>
      </c>
      <c r="G171" s="8" t="str">
        <f t="shared" si="2"/>
        <v>CLARK KATHLEEN</v>
      </c>
    </row>
    <row r="172" spans="1:7" x14ac:dyDescent="0.25">
      <c r="A172" s="8">
        <v>42789.710902777777</v>
      </c>
      <c r="B172" s="20" t="s">
        <v>256</v>
      </c>
      <c r="C172" s="20" t="s">
        <v>584</v>
      </c>
      <c r="D172" s="150">
        <v>1180000</v>
      </c>
      <c r="E172" s="20" t="s">
        <v>311</v>
      </c>
      <c r="F172" s="20" t="s">
        <v>312</v>
      </c>
      <c r="G172" s="8" t="str">
        <f t="shared" si="2"/>
        <v>LEVERE CRAIG</v>
      </c>
    </row>
    <row r="173" spans="1:7" x14ac:dyDescent="0.25">
      <c r="A173" s="8">
        <v>42789.714016203703</v>
      </c>
      <c r="B173" s="20" t="s">
        <v>212</v>
      </c>
      <c r="C173" s="20" t="s">
        <v>448</v>
      </c>
      <c r="D173" s="150">
        <v>1740000</v>
      </c>
      <c r="E173" s="20" t="s">
        <v>227</v>
      </c>
      <c r="F173" s="20" t="s">
        <v>228</v>
      </c>
      <c r="G173" s="8" t="str">
        <f t="shared" si="2"/>
        <v>STORY SAMANTHA</v>
      </c>
    </row>
    <row r="174" spans="1:7" x14ac:dyDescent="0.25">
      <c r="A174" s="8">
        <v>42789.717743055553</v>
      </c>
      <c r="B174" s="20" t="s">
        <v>220</v>
      </c>
      <c r="C174" s="20" t="s">
        <v>585</v>
      </c>
      <c r="D174" s="150">
        <v>1800000</v>
      </c>
      <c r="E174" s="20" t="s">
        <v>244</v>
      </c>
      <c r="F174" s="20" t="s">
        <v>245</v>
      </c>
      <c r="G174" s="8" t="str">
        <f t="shared" si="2"/>
        <v>CHANDLER KELVIN</v>
      </c>
    </row>
    <row r="175" spans="1:7" x14ac:dyDescent="0.25">
      <c r="A175" s="8">
        <v>42789.720520833333</v>
      </c>
      <c r="B175" s="20" t="s">
        <v>431</v>
      </c>
      <c r="C175" s="20" t="s">
        <v>586</v>
      </c>
      <c r="D175" s="150">
        <v>2030000</v>
      </c>
      <c r="E175" s="20" t="s">
        <v>531</v>
      </c>
      <c r="F175" s="20" t="s">
        <v>532</v>
      </c>
      <c r="G175" s="8" t="str">
        <f t="shared" si="2"/>
        <v>KILLION DAVID</v>
      </c>
    </row>
    <row r="176" spans="1:7" x14ac:dyDescent="0.25">
      <c r="A176" s="8">
        <v>42789.724386574075</v>
      </c>
      <c r="B176" s="20" t="s">
        <v>242</v>
      </c>
      <c r="C176" s="20" t="s">
        <v>587</v>
      </c>
      <c r="D176" s="150">
        <v>1780000</v>
      </c>
      <c r="E176" s="20" t="s">
        <v>329</v>
      </c>
      <c r="F176" s="20" t="s">
        <v>330</v>
      </c>
      <c r="G176" s="8" t="str">
        <f t="shared" si="2"/>
        <v>DE LA ROSA ALEX</v>
      </c>
    </row>
    <row r="177" spans="1:7" x14ac:dyDescent="0.25">
      <c r="A177" s="8">
        <v>42789.725081018521</v>
      </c>
      <c r="B177" s="20" t="s">
        <v>364</v>
      </c>
      <c r="C177" s="20" t="s">
        <v>588</v>
      </c>
      <c r="D177" s="150">
        <v>2090000</v>
      </c>
      <c r="E177" s="20" t="s">
        <v>362</v>
      </c>
      <c r="F177" s="20" t="s">
        <v>202</v>
      </c>
      <c r="G177" s="8" t="str">
        <f t="shared" si="2"/>
        <v>HAITHCOX MICHAEL</v>
      </c>
    </row>
    <row r="178" spans="1:7" x14ac:dyDescent="0.25">
      <c r="A178" s="8">
        <v>42789.730023148149</v>
      </c>
      <c r="B178" s="20" t="s">
        <v>232</v>
      </c>
      <c r="C178" s="20" t="s">
        <v>589</v>
      </c>
      <c r="D178" s="150">
        <v>1740000</v>
      </c>
      <c r="E178" s="20" t="s">
        <v>227</v>
      </c>
      <c r="F178" s="20" t="s">
        <v>228</v>
      </c>
      <c r="G178" s="8" t="str">
        <f t="shared" si="2"/>
        <v>STORY SAMANTHA</v>
      </c>
    </row>
    <row r="179" spans="1:7" x14ac:dyDescent="0.25">
      <c r="A179" s="8">
        <v>42789.732581018521</v>
      </c>
      <c r="B179" s="20" t="s">
        <v>264</v>
      </c>
      <c r="C179" s="20" t="s">
        <v>450</v>
      </c>
      <c r="D179" s="150">
        <v>1770000</v>
      </c>
      <c r="E179" s="20" t="s">
        <v>360</v>
      </c>
      <c r="F179" s="20" t="s">
        <v>361</v>
      </c>
      <c r="G179" s="8" t="str">
        <f t="shared" si="2"/>
        <v>BRUDER RICHARD</v>
      </c>
    </row>
    <row r="180" spans="1:7" x14ac:dyDescent="0.25">
      <c r="A180" s="8">
        <v>42789.734803240739</v>
      </c>
      <c r="B180" s="20" t="s">
        <v>253</v>
      </c>
      <c r="C180" s="20" t="s">
        <v>590</v>
      </c>
      <c r="D180" s="150">
        <v>1180000</v>
      </c>
      <c r="E180" s="20" t="s">
        <v>311</v>
      </c>
      <c r="F180" s="20" t="s">
        <v>312</v>
      </c>
      <c r="G180" s="8" t="str">
        <f t="shared" si="2"/>
        <v>LEVERE CRAIG</v>
      </c>
    </row>
    <row r="181" spans="1:7" x14ac:dyDescent="0.25">
      <c r="A181" s="8">
        <v>42789.736111111109</v>
      </c>
      <c r="B181" s="20" t="s">
        <v>216</v>
      </c>
      <c r="C181" s="20" t="s">
        <v>449</v>
      </c>
      <c r="D181" s="150">
        <v>1810000</v>
      </c>
      <c r="E181" s="20" t="s">
        <v>205</v>
      </c>
      <c r="F181" s="20" t="s">
        <v>199</v>
      </c>
      <c r="G181" s="8" t="str">
        <f t="shared" si="2"/>
        <v>NEWELL JAMES</v>
      </c>
    </row>
    <row r="182" spans="1:7" x14ac:dyDescent="0.25">
      <c r="A182" s="8">
        <v>42789.737939814811</v>
      </c>
      <c r="B182" s="20" t="s">
        <v>239</v>
      </c>
      <c r="C182" s="20" t="s">
        <v>591</v>
      </c>
      <c r="D182" s="150">
        <v>2270000</v>
      </c>
      <c r="E182" s="20" t="s">
        <v>230</v>
      </c>
      <c r="F182" s="20" t="s">
        <v>231</v>
      </c>
      <c r="G182" s="8" t="str">
        <f t="shared" si="2"/>
        <v>BROWN JACOB</v>
      </c>
    </row>
    <row r="183" spans="1:7" x14ac:dyDescent="0.25">
      <c r="A183" s="8">
        <v>42789.740266203706</v>
      </c>
      <c r="B183" s="20" t="s">
        <v>415</v>
      </c>
      <c r="C183" s="20" t="s">
        <v>592</v>
      </c>
      <c r="D183" s="150">
        <v>2230000</v>
      </c>
      <c r="E183" s="20" t="s">
        <v>538</v>
      </c>
      <c r="F183" s="20" t="s">
        <v>202</v>
      </c>
      <c r="G183" s="8" t="str">
        <f t="shared" si="2"/>
        <v>SMITH MICHAEL</v>
      </c>
    </row>
    <row r="184" spans="1:7" x14ac:dyDescent="0.25">
      <c r="A184" s="8">
        <v>42789.741423611114</v>
      </c>
      <c r="B184" s="20" t="s">
        <v>263</v>
      </c>
      <c r="C184" s="20" t="s">
        <v>593</v>
      </c>
      <c r="D184" s="150">
        <v>2540000</v>
      </c>
      <c r="E184" s="20" t="s">
        <v>221</v>
      </c>
      <c r="F184" s="20" t="s">
        <v>222</v>
      </c>
      <c r="G184" s="8" t="str">
        <f t="shared" si="2"/>
        <v>MCREYNOLDS KYLE</v>
      </c>
    </row>
    <row r="185" spans="1:7" x14ac:dyDescent="0.25">
      <c r="A185" s="8">
        <v>42789.746064814812</v>
      </c>
      <c r="B185" s="20" t="s">
        <v>224</v>
      </c>
      <c r="C185" s="20" t="s">
        <v>594</v>
      </c>
      <c r="D185" s="150">
        <v>1190000</v>
      </c>
      <c r="E185" s="20" t="s">
        <v>358</v>
      </c>
      <c r="F185" s="20" t="s">
        <v>359</v>
      </c>
      <c r="G185" s="8" t="str">
        <f t="shared" si="2"/>
        <v>BRANNON JEFFREY</v>
      </c>
    </row>
    <row r="186" spans="1:7" x14ac:dyDescent="0.25">
      <c r="A186" s="8">
        <v>42789.749583333331</v>
      </c>
      <c r="B186" s="20" t="s">
        <v>328</v>
      </c>
      <c r="C186" s="20" t="s">
        <v>451</v>
      </c>
      <c r="D186" s="150">
        <v>2220000</v>
      </c>
      <c r="E186" s="20" t="s">
        <v>214</v>
      </c>
      <c r="F186" s="20" t="s">
        <v>215</v>
      </c>
      <c r="G186" s="8" t="str">
        <f t="shared" si="2"/>
        <v>HILLS DUSTIN</v>
      </c>
    </row>
    <row r="187" spans="1:7" x14ac:dyDescent="0.25">
      <c r="A187" s="8">
        <v>42789.755277777775</v>
      </c>
      <c r="B187" s="20" t="s">
        <v>219</v>
      </c>
      <c r="C187" s="20" t="s">
        <v>595</v>
      </c>
      <c r="D187" s="150">
        <v>1800000</v>
      </c>
      <c r="E187" s="20" t="s">
        <v>244</v>
      </c>
      <c r="F187" s="20" t="s">
        <v>245</v>
      </c>
      <c r="G187" s="8" t="str">
        <f t="shared" si="2"/>
        <v>CHANDLER KELVIN</v>
      </c>
    </row>
    <row r="188" spans="1:7" x14ac:dyDescent="0.25">
      <c r="A188" s="8">
        <v>42789.756493055553</v>
      </c>
      <c r="B188" s="20" t="s">
        <v>212</v>
      </c>
      <c r="C188" s="20" t="s">
        <v>452</v>
      </c>
      <c r="D188" s="150">
        <v>1740000</v>
      </c>
      <c r="E188" s="20" t="s">
        <v>227</v>
      </c>
      <c r="F188" s="20" t="s">
        <v>228</v>
      </c>
      <c r="G188" s="8" t="str">
        <f t="shared" si="2"/>
        <v>STORY SAMANTHA</v>
      </c>
    </row>
    <row r="189" spans="1:7" x14ac:dyDescent="0.25">
      <c r="A189" s="8">
        <v>42789.757974537039</v>
      </c>
      <c r="B189" s="20" t="s">
        <v>505</v>
      </c>
      <c r="C189" s="20" t="s">
        <v>596</v>
      </c>
      <c r="D189" s="150">
        <v>2270000</v>
      </c>
      <c r="E189" s="20" t="s">
        <v>230</v>
      </c>
      <c r="F189" s="20" t="s">
        <v>231</v>
      </c>
      <c r="G189" s="8" t="str">
        <f t="shared" si="2"/>
        <v>BROWN JACOB</v>
      </c>
    </row>
    <row r="190" spans="1:7" x14ac:dyDescent="0.25">
      <c r="A190" s="8">
        <v>42789.760625000003</v>
      </c>
      <c r="B190" s="20" t="s">
        <v>256</v>
      </c>
      <c r="C190" s="20" t="s">
        <v>597</v>
      </c>
      <c r="D190" s="150">
        <v>1180000</v>
      </c>
      <c r="E190" s="20" t="s">
        <v>311</v>
      </c>
      <c r="F190" s="20" t="s">
        <v>312</v>
      </c>
      <c r="G190" s="8" t="str">
        <f t="shared" si="2"/>
        <v>LEVERE CRAIG</v>
      </c>
    </row>
    <row r="191" spans="1:7" x14ac:dyDescent="0.25">
      <c r="A191" s="8">
        <v>42789.762546296297</v>
      </c>
      <c r="B191" s="20" t="s">
        <v>257</v>
      </c>
      <c r="C191" s="20" t="s">
        <v>598</v>
      </c>
      <c r="D191" s="150">
        <v>2030000</v>
      </c>
      <c r="E191" s="20" t="s">
        <v>531</v>
      </c>
      <c r="F191" s="20" t="s">
        <v>532</v>
      </c>
      <c r="G191" s="8" t="str">
        <f t="shared" si="2"/>
        <v>KILLION DAVID</v>
      </c>
    </row>
    <row r="192" spans="1:7" x14ac:dyDescent="0.25">
      <c r="A192" s="8">
        <v>42789.762650462966</v>
      </c>
      <c r="B192" s="20" t="s">
        <v>363</v>
      </c>
      <c r="C192" s="20" t="s">
        <v>599</v>
      </c>
      <c r="D192" s="150">
        <v>2090000</v>
      </c>
      <c r="E192" s="20" t="s">
        <v>362</v>
      </c>
      <c r="F192" s="20" t="s">
        <v>202</v>
      </c>
      <c r="G192" s="8" t="str">
        <f t="shared" si="2"/>
        <v>HAITHCOX MICHAEL</v>
      </c>
    </row>
    <row r="193" spans="1:7" x14ac:dyDescent="0.25">
      <c r="A193" s="8">
        <v>42789.764398148145</v>
      </c>
      <c r="B193" s="20" t="s">
        <v>242</v>
      </c>
      <c r="C193" s="20" t="s">
        <v>587</v>
      </c>
      <c r="D193" s="150">
        <v>1780000</v>
      </c>
      <c r="E193" s="20" t="s">
        <v>329</v>
      </c>
      <c r="F193" s="20" t="s">
        <v>330</v>
      </c>
      <c r="G193" s="8" t="str">
        <f t="shared" si="2"/>
        <v>DE LA ROSA ALEX</v>
      </c>
    </row>
    <row r="194" spans="1:7" x14ac:dyDescent="0.25">
      <c r="A194" s="8">
        <v>42789.768969907411</v>
      </c>
      <c r="B194" s="20" t="s">
        <v>192</v>
      </c>
      <c r="C194" s="20" t="s">
        <v>453</v>
      </c>
      <c r="D194" s="150">
        <v>2220000</v>
      </c>
      <c r="E194" s="20" t="s">
        <v>214</v>
      </c>
      <c r="F194" s="20" t="s">
        <v>215</v>
      </c>
      <c r="G194" s="8" t="str">
        <f t="shared" si="2"/>
        <v>HILLS DUSTIN</v>
      </c>
    </row>
    <row r="195" spans="1:7" x14ac:dyDescent="0.25">
      <c r="A195" s="8">
        <v>42789.769108796296</v>
      </c>
      <c r="B195" s="20" t="s">
        <v>217</v>
      </c>
      <c r="C195" s="20" t="s">
        <v>455</v>
      </c>
      <c r="D195" s="150">
        <v>1810000</v>
      </c>
      <c r="E195" s="20" t="s">
        <v>205</v>
      </c>
      <c r="F195" s="20" t="s">
        <v>199</v>
      </c>
      <c r="G195" s="8" t="str">
        <f t="shared" ref="G195:G258" si="3">E195&amp;" "&amp;F195</f>
        <v>NEWELL JAMES</v>
      </c>
    </row>
    <row r="196" spans="1:7" x14ac:dyDescent="0.25">
      <c r="A196" s="8">
        <v>42789.772662037038</v>
      </c>
      <c r="B196" s="20" t="s">
        <v>327</v>
      </c>
      <c r="C196" s="20" t="s">
        <v>600</v>
      </c>
      <c r="D196" s="150">
        <v>1770000</v>
      </c>
      <c r="E196" s="20" t="s">
        <v>360</v>
      </c>
      <c r="F196" s="20" t="s">
        <v>361</v>
      </c>
      <c r="G196" s="8" t="str">
        <f t="shared" si="3"/>
        <v>BRUDER RICHARD</v>
      </c>
    </row>
    <row r="197" spans="1:7" x14ac:dyDescent="0.25">
      <c r="A197" s="8">
        <v>42789.776342592595</v>
      </c>
      <c r="B197" s="20" t="s">
        <v>253</v>
      </c>
      <c r="C197" s="20" t="s">
        <v>601</v>
      </c>
      <c r="D197" s="150">
        <v>1180000</v>
      </c>
      <c r="E197" s="20" t="s">
        <v>311</v>
      </c>
      <c r="F197" s="20" t="s">
        <v>312</v>
      </c>
      <c r="G197" s="8" t="str">
        <f t="shared" si="3"/>
        <v>LEVERE CRAIG</v>
      </c>
    </row>
    <row r="198" spans="1:7" x14ac:dyDescent="0.25">
      <c r="A198" s="8">
        <v>42789.777175925927</v>
      </c>
      <c r="B198" s="20" t="s">
        <v>208</v>
      </c>
      <c r="C198" s="20" t="s">
        <v>602</v>
      </c>
      <c r="D198" s="150">
        <v>1190000</v>
      </c>
      <c r="E198" s="20" t="s">
        <v>358</v>
      </c>
      <c r="F198" s="20" t="s">
        <v>359</v>
      </c>
      <c r="G198" s="8" t="str">
        <f t="shared" si="3"/>
        <v>BRANNON JEFFREY</v>
      </c>
    </row>
    <row r="199" spans="1:7" x14ac:dyDescent="0.25">
      <c r="A199" s="8">
        <v>42789.779062499998</v>
      </c>
      <c r="B199" s="20" t="s">
        <v>417</v>
      </c>
      <c r="C199" s="20" t="s">
        <v>603</v>
      </c>
      <c r="D199" s="150">
        <v>2230000</v>
      </c>
      <c r="E199" s="20" t="s">
        <v>538</v>
      </c>
      <c r="F199" s="20" t="s">
        <v>202</v>
      </c>
      <c r="G199" s="8" t="str">
        <f t="shared" si="3"/>
        <v>SMITH MICHAEL</v>
      </c>
    </row>
    <row r="200" spans="1:7" x14ac:dyDescent="0.25">
      <c r="A200" s="8">
        <v>42789.784016203703</v>
      </c>
      <c r="B200" s="20" t="s">
        <v>232</v>
      </c>
      <c r="C200" s="20" t="s">
        <v>604</v>
      </c>
      <c r="D200" s="150">
        <v>1740000</v>
      </c>
      <c r="E200" s="20" t="s">
        <v>227</v>
      </c>
      <c r="F200" s="20" t="s">
        <v>228</v>
      </c>
      <c r="G200" s="8" t="str">
        <f t="shared" si="3"/>
        <v>STORY SAMANTHA</v>
      </c>
    </row>
    <row r="201" spans="1:7" x14ac:dyDescent="0.25">
      <c r="A201" s="8">
        <v>42789.792083333334</v>
      </c>
      <c r="B201" s="20" t="s">
        <v>220</v>
      </c>
      <c r="C201" s="20" t="s">
        <v>454</v>
      </c>
      <c r="D201" s="150">
        <v>1800000</v>
      </c>
      <c r="E201" s="20" t="s">
        <v>244</v>
      </c>
      <c r="F201" s="20" t="s">
        <v>245</v>
      </c>
      <c r="G201" s="8" t="str">
        <f t="shared" si="3"/>
        <v>CHANDLER KELVIN</v>
      </c>
    </row>
    <row r="202" spans="1:7" x14ac:dyDescent="0.25">
      <c r="A202" s="26">
        <v>42789.796030092592</v>
      </c>
      <c r="B202" s="20" t="s">
        <v>431</v>
      </c>
      <c r="C202" s="20" t="s">
        <v>605</v>
      </c>
      <c r="D202" s="150">
        <v>2270000</v>
      </c>
      <c r="E202" s="20" t="s">
        <v>230</v>
      </c>
      <c r="F202" s="20" t="s">
        <v>231</v>
      </c>
      <c r="G202" s="8" t="str">
        <f t="shared" si="3"/>
        <v>BROWN JACOB</v>
      </c>
    </row>
    <row r="203" spans="1:7" x14ac:dyDescent="0.25">
      <c r="A203" s="8">
        <v>42789.796967592592</v>
      </c>
      <c r="B203" s="20" t="s">
        <v>212</v>
      </c>
      <c r="C203" s="20" t="s">
        <v>606</v>
      </c>
      <c r="D203" s="150">
        <v>1740000</v>
      </c>
      <c r="E203" s="20" t="s">
        <v>227</v>
      </c>
      <c r="F203" s="20" t="s">
        <v>228</v>
      </c>
      <c r="G203" s="8" t="str">
        <f t="shared" si="3"/>
        <v>STORY SAMANTHA</v>
      </c>
    </row>
    <row r="204" spans="1:7" x14ac:dyDescent="0.25">
      <c r="A204" s="8">
        <v>42789.798634259256</v>
      </c>
      <c r="B204" s="20" t="s">
        <v>364</v>
      </c>
      <c r="C204" s="20" t="s">
        <v>607</v>
      </c>
      <c r="D204" s="150">
        <v>2090000</v>
      </c>
      <c r="E204" s="20" t="s">
        <v>362</v>
      </c>
      <c r="F204" s="20" t="s">
        <v>202</v>
      </c>
      <c r="G204" s="8" t="str">
        <f t="shared" si="3"/>
        <v>HAITHCOX MICHAEL</v>
      </c>
    </row>
    <row r="205" spans="1:7" x14ac:dyDescent="0.25">
      <c r="A205" s="8">
        <v>42789.800891203704</v>
      </c>
      <c r="B205" s="20" t="s">
        <v>264</v>
      </c>
      <c r="C205" s="20" t="s">
        <v>457</v>
      </c>
      <c r="D205" s="150">
        <v>2220000</v>
      </c>
      <c r="E205" s="20" t="s">
        <v>214</v>
      </c>
      <c r="F205" s="20" t="s">
        <v>215</v>
      </c>
      <c r="G205" s="8" t="str">
        <f t="shared" si="3"/>
        <v>HILLS DUSTIN</v>
      </c>
    </row>
    <row r="206" spans="1:7" x14ac:dyDescent="0.25">
      <c r="A206" s="8">
        <v>42789.801412037035</v>
      </c>
      <c r="B206" s="20" t="s">
        <v>256</v>
      </c>
      <c r="C206" s="20" t="s">
        <v>608</v>
      </c>
      <c r="D206" s="150">
        <v>1180000</v>
      </c>
      <c r="E206" s="20" t="s">
        <v>311</v>
      </c>
      <c r="F206" s="20" t="s">
        <v>312</v>
      </c>
      <c r="G206" s="8" t="str">
        <f t="shared" si="3"/>
        <v>LEVERE CRAIG</v>
      </c>
    </row>
    <row r="207" spans="1:7" x14ac:dyDescent="0.25">
      <c r="A207" s="8">
        <v>42789.808668981481</v>
      </c>
      <c r="B207" s="20" t="s">
        <v>216</v>
      </c>
      <c r="C207" s="20" t="s">
        <v>456</v>
      </c>
      <c r="D207" s="150">
        <v>2440000</v>
      </c>
      <c r="E207" s="20" t="s">
        <v>609</v>
      </c>
      <c r="F207" s="20" t="s">
        <v>610</v>
      </c>
      <c r="G207" s="8" t="str">
        <f t="shared" si="3"/>
        <v>LOPES KIMBERLY</v>
      </c>
    </row>
    <row r="208" spans="1:7" x14ac:dyDescent="0.25">
      <c r="A208" s="8">
        <v>42789.817650462966</v>
      </c>
      <c r="B208" s="20" t="s">
        <v>253</v>
      </c>
      <c r="C208" s="20" t="s">
        <v>611</v>
      </c>
      <c r="D208" s="150">
        <v>1180000</v>
      </c>
      <c r="E208" s="20" t="s">
        <v>311</v>
      </c>
      <c r="F208" s="20" t="s">
        <v>312</v>
      </c>
      <c r="G208" s="8" t="str">
        <f t="shared" si="3"/>
        <v>LEVERE CRAIG</v>
      </c>
    </row>
    <row r="209" spans="1:7" x14ac:dyDescent="0.25">
      <c r="A209" s="8">
        <v>42789.818391203706</v>
      </c>
      <c r="B209" s="20" t="s">
        <v>224</v>
      </c>
      <c r="C209" s="20" t="s">
        <v>612</v>
      </c>
      <c r="D209" s="150">
        <v>1190000</v>
      </c>
      <c r="E209" s="20" t="s">
        <v>358</v>
      </c>
      <c r="F209" s="20" t="s">
        <v>359</v>
      </c>
      <c r="G209" s="8" t="str">
        <f t="shared" si="3"/>
        <v>BRANNON JEFFREY</v>
      </c>
    </row>
    <row r="210" spans="1:7" x14ac:dyDescent="0.25">
      <c r="A210" s="8">
        <v>42789.825925925928</v>
      </c>
      <c r="B210" s="20" t="s">
        <v>219</v>
      </c>
      <c r="C210" s="20" t="s">
        <v>458</v>
      </c>
      <c r="D210" s="150">
        <v>1800000</v>
      </c>
      <c r="E210" s="20" t="s">
        <v>244</v>
      </c>
      <c r="F210" s="20" t="s">
        <v>245</v>
      </c>
      <c r="G210" s="8" t="str">
        <f t="shared" si="3"/>
        <v>CHANDLER KELVIN</v>
      </c>
    </row>
    <row r="211" spans="1:7" x14ac:dyDescent="0.25">
      <c r="A211" s="8">
        <v>42789.829965277779</v>
      </c>
      <c r="B211" s="20" t="s">
        <v>505</v>
      </c>
      <c r="C211" s="20" t="s">
        <v>613</v>
      </c>
      <c r="D211" s="150">
        <v>2270000</v>
      </c>
      <c r="E211" s="20" t="s">
        <v>230</v>
      </c>
      <c r="F211" s="20" t="s">
        <v>231</v>
      </c>
      <c r="G211" s="8" t="str">
        <f t="shared" si="3"/>
        <v>BROWN JACOB</v>
      </c>
    </row>
    <row r="212" spans="1:7" x14ac:dyDescent="0.25">
      <c r="A212" s="8">
        <v>42789.841817129629</v>
      </c>
      <c r="B212" s="20" t="s">
        <v>217</v>
      </c>
      <c r="C212" s="20" t="s">
        <v>614</v>
      </c>
      <c r="D212" s="150">
        <v>2440000</v>
      </c>
      <c r="E212" s="20" t="s">
        <v>609</v>
      </c>
      <c r="F212" s="20" t="s">
        <v>610</v>
      </c>
      <c r="G212" s="8" t="str">
        <f t="shared" si="3"/>
        <v>LOPES KIMBERLY</v>
      </c>
    </row>
    <row r="213" spans="1:7" x14ac:dyDescent="0.25">
      <c r="A213" s="8">
        <v>42789.842152777775</v>
      </c>
      <c r="B213" s="20" t="s">
        <v>256</v>
      </c>
      <c r="C213" s="20" t="s">
        <v>615</v>
      </c>
      <c r="D213" s="150">
        <v>1180000</v>
      </c>
      <c r="E213" s="20" t="s">
        <v>311</v>
      </c>
      <c r="F213" s="20" t="s">
        <v>312</v>
      </c>
      <c r="G213" s="8" t="str">
        <f t="shared" si="3"/>
        <v>LEVERE CRAIG</v>
      </c>
    </row>
    <row r="214" spans="1:7" x14ac:dyDescent="0.25">
      <c r="A214" s="8">
        <v>42789.843310185184</v>
      </c>
      <c r="B214" s="20" t="s">
        <v>313</v>
      </c>
      <c r="C214" s="20" t="s">
        <v>616</v>
      </c>
      <c r="D214" s="150">
        <v>2670000</v>
      </c>
      <c r="E214" s="20" t="s">
        <v>236</v>
      </c>
      <c r="F214" s="20" t="s">
        <v>237</v>
      </c>
      <c r="G214" s="8" t="str">
        <f t="shared" si="3"/>
        <v>COMELLA JUSTIN</v>
      </c>
    </row>
    <row r="215" spans="1:7" x14ac:dyDescent="0.25">
      <c r="A215" s="8">
        <v>42789.847025462965</v>
      </c>
      <c r="B215" s="20" t="s">
        <v>192</v>
      </c>
      <c r="C215" s="20" t="s">
        <v>617</v>
      </c>
      <c r="D215" s="150">
        <v>2370000</v>
      </c>
      <c r="E215" s="20" t="s">
        <v>618</v>
      </c>
      <c r="F215" s="20" t="s">
        <v>619</v>
      </c>
      <c r="G215" s="8" t="str">
        <f t="shared" si="3"/>
        <v>DELGADO DIANAH</v>
      </c>
    </row>
    <row r="216" spans="1:7" x14ac:dyDescent="0.25">
      <c r="A216" s="8">
        <v>42789.850578703707</v>
      </c>
      <c r="B216" s="20" t="s">
        <v>314</v>
      </c>
      <c r="C216" s="20" t="s">
        <v>620</v>
      </c>
      <c r="D216" s="150">
        <v>2730000</v>
      </c>
      <c r="E216" s="20" t="s">
        <v>292</v>
      </c>
      <c r="F216" s="20" t="s">
        <v>293</v>
      </c>
      <c r="G216" s="8" t="str">
        <f t="shared" si="3"/>
        <v>YANG JAN</v>
      </c>
    </row>
    <row r="217" spans="1:7" x14ac:dyDescent="0.25">
      <c r="A217" s="8">
        <v>42789.858182870368</v>
      </c>
      <c r="B217" s="20" t="s">
        <v>313</v>
      </c>
      <c r="C217" s="20" t="s">
        <v>616</v>
      </c>
      <c r="D217" s="150">
        <v>2670000</v>
      </c>
      <c r="E217" s="20" t="s">
        <v>236</v>
      </c>
      <c r="F217" s="20" t="s">
        <v>237</v>
      </c>
      <c r="G217" s="8" t="str">
        <f t="shared" si="3"/>
        <v>COMELLA JUSTIN</v>
      </c>
    </row>
    <row r="218" spans="1:7" x14ac:dyDescent="0.25">
      <c r="A218" s="8">
        <v>42789.859884259262</v>
      </c>
      <c r="B218" s="20" t="s">
        <v>253</v>
      </c>
      <c r="C218" s="20" t="s">
        <v>621</v>
      </c>
      <c r="D218" s="150">
        <v>1180000</v>
      </c>
      <c r="E218" s="20" t="s">
        <v>311</v>
      </c>
      <c r="F218" s="20" t="s">
        <v>312</v>
      </c>
      <c r="G218" s="8" t="str">
        <f t="shared" si="3"/>
        <v>LEVERE CRAIG</v>
      </c>
    </row>
    <row r="219" spans="1:7" x14ac:dyDescent="0.25">
      <c r="A219" s="8">
        <v>42789.86577546296</v>
      </c>
      <c r="B219" s="20" t="s">
        <v>314</v>
      </c>
      <c r="C219" s="20" t="s">
        <v>620</v>
      </c>
      <c r="D219" s="150">
        <v>2730000</v>
      </c>
      <c r="E219" s="20" t="s">
        <v>292</v>
      </c>
      <c r="F219" s="20" t="s">
        <v>293</v>
      </c>
      <c r="G219" s="8" t="str">
        <f t="shared" si="3"/>
        <v>YANG JAN</v>
      </c>
    </row>
    <row r="220" spans="1:7" x14ac:dyDescent="0.25">
      <c r="A220" s="8">
        <v>42789.870763888888</v>
      </c>
      <c r="B220" s="20" t="s">
        <v>431</v>
      </c>
      <c r="C220" s="20" t="s">
        <v>459</v>
      </c>
      <c r="D220" s="150">
        <v>2270000</v>
      </c>
      <c r="E220" s="20" t="s">
        <v>230</v>
      </c>
      <c r="F220" s="20" t="s">
        <v>231</v>
      </c>
      <c r="G220" s="8" t="str">
        <f t="shared" si="3"/>
        <v>BROWN JACOB</v>
      </c>
    </row>
    <row r="221" spans="1:7" x14ac:dyDescent="0.25">
      <c r="A221" s="8">
        <v>42789.872800925928</v>
      </c>
      <c r="B221" s="20" t="s">
        <v>220</v>
      </c>
      <c r="C221" s="20" t="s">
        <v>622</v>
      </c>
      <c r="D221" s="150">
        <v>1800000</v>
      </c>
      <c r="E221" s="20" t="s">
        <v>244</v>
      </c>
      <c r="F221" s="20" t="s">
        <v>245</v>
      </c>
      <c r="G221" s="8" t="str">
        <f t="shared" si="3"/>
        <v>CHANDLER KELVIN</v>
      </c>
    </row>
    <row r="222" spans="1:7" x14ac:dyDescent="0.25">
      <c r="A222" s="8">
        <v>42789.877604166664</v>
      </c>
      <c r="B222" s="20" t="s">
        <v>313</v>
      </c>
      <c r="C222" s="20" t="s">
        <v>616</v>
      </c>
      <c r="D222" s="150">
        <v>2670000</v>
      </c>
      <c r="E222" s="20" t="s">
        <v>236</v>
      </c>
      <c r="F222" s="20" t="s">
        <v>237</v>
      </c>
      <c r="G222" s="8" t="str">
        <f t="shared" si="3"/>
        <v>COMELLA JUSTIN</v>
      </c>
    </row>
    <row r="223" spans="1:7" x14ac:dyDescent="0.25">
      <c r="A223" s="8">
        <v>42789.878576388888</v>
      </c>
      <c r="B223" s="20" t="s">
        <v>256</v>
      </c>
      <c r="C223" s="20" t="s">
        <v>623</v>
      </c>
      <c r="D223" s="150">
        <v>1740000</v>
      </c>
      <c r="E223" s="20" t="s">
        <v>227</v>
      </c>
      <c r="F223" s="20" t="s">
        <v>228</v>
      </c>
      <c r="G223" s="8" t="str">
        <f t="shared" si="3"/>
        <v>STORY SAMANTHA</v>
      </c>
    </row>
    <row r="224" spans="1:7" x14ac:dyDescent="0.25">
      <c r="A224" s="8">
        <v>42789.884571759256</v>
      </c>
      <c r="B224" t="s">
        <v>314</v>
      </c>
      <c r="C224" t="s">
        <v>620</v>
      </c>
      <c r="D224" s="150">
        <v>2730000</v>
      </c>
      <c r="E224" t="s">
        <v>292</v>
      </c>
      <c r="F224" s="20" t="s">
        <v>293</v>
      </c>
      <c r="G224" s="8" t="str">
        <f t="shared" si="3"/>
        <v>YANG JAN</v>
      </c>
    </row>
    <row r="225" spans="1:7" x14ac:dyDescent="0.25">
      <c r="A225" s="8">
        <v>42789.888680555552</v>
      </c>
      <c r="B225" t="s">
        <v>216</v>
      </c>
      <c r="C225" t="s">
        <v>624</v>
      </c>
      <c r="D225" s="150">
        <v>2480000</v>
      </c>
      <c r="E225" t="s">
        <v>625</v>
      </c>
      <c r="F225" s="20" t="s">
        <v>215</v>
      </c>
      <c r="G225" s="8" t="str">
        <f t="shared" si="3"/>
        <v>WHITED DUSTIN</v>
      </c>
    </row>
    <row r="226" spans="1:7" x14ac:dyDescent="0.25">
      <c r="A226" s="8">
        <v>42789.889988425923</v>
      </c>
      <c r="B226" t="s">
        <v>264</v>
      </c>
      <c r="C226" t="s">
        <v>626</v>
      </c>
      <c r="D226" s="150">
        <v>2370000</v>
      </c>
      <c r="E226" t="s">
        <v>618</v>
      </c>
      <c r="F226" s="20" t="s">
        <v>619</v>
      </c>
      <c r="G226" s="8" t="str">
        <f t="shared" si="3"/>
        <v>DELGADO DIANAH</v>
      </c>
    </row>
    <row r="227" spans="1:7" x14ac:dyDescent="0.25">
      <c r="A227" s="8">
        <v>42789.891238425924</v>
      </c>
      <c r="B227" t="s">
        <v>313</v>
      </c>
      <c r="C227" t="s">
        <v>616</v>
      </c>
      <c r="D227" s="150">
        <v>2670000</v>
      </c>
      <c r="E227" t="s">
        <v>236</v>
      </c>
      <c r="F227" s="20" t="s">
        <v>237</v>
      </c>
      <c r="G227" s="8" t="str">
        <f t="shared" si="3"/>
        <v>COMELLA JUSTIN</v>
      </c>
    </row>
    <row r="228" spans="1:7" x14ac:dyDescent="0.25">
      <c r="A228" s="8">
        <v>42789.901087962964</v>
      </c>
      <c r="B228" t="s">
        <v>253</v>
      </c>
      <c r="C228" t="s">
        <v>460</v>
      </c>
      <c r="D228" s="150">
        <v>1740000</v>
      </c>
      <c r="E228" t="s">
        <v>227</v>
      </c>
      <c r="F228" s="20" t="s">
        <v>228</v>
      </c>
      <c r="G228" s="8" t="str">
        <f t="shared" si="3"/>
        <v>STORY SAMANTHA</v>
      </c>
    </row>
    <row r="229" spans="1:7" x14ac:dyDescent="0.25">
      <c r="A229" s="8">
        <v>42789.90730324074</v>
      </c>
      <c r="B229" t="s">
        <v>505</v>
      </c>
      <c r="C229" t="s">
        <v>627</v>
      </c>
      <c r="D229" s="150">
        <v>2270000</v>
      </c>
      <c r="E229" t="s">
        <v>230</v>
      </c>
      <c r="F229" s="20" t="s">
        <v>231</v>
      </c>
      <c r="G229" s="8" t="str">
        <f t="shared" si="3"/>
        <v>BROWN JACOB</v>
      </c>
    </row>
    <row r="230" spans="1:7" x14ac:dyDescent="0.25">
      <c r="A230" s="8">
        <v>42789.909004629626</v>
      </c>
      <c r="B230" t="s">
        <v>314</v>
      </c>
      <c r="C230" t="s">
        <v>620</v>
      </c>
      <c r="D230" s="150">
        <v>2730000</v>
      </c>
      <c r="E230" t="s">
        <v>292</v>
      </c>
      <c r="F230" s="20" t="s">
        <v>293</v>
      </c>
      <c r="G230" s="8" t="str">
        <f t="shared" si="3"/>
        <v>YANG JAN</v>
      </c>
    </row>
    <row r="231" spans="1:7" x14ac:dyDescent="0.25">
      <c r="A231" s="8">
        <v>42789.909409722219</v>
      </c>
      <c r="B231" t="s">
        <v>219</v>
      </c>
      <c r="C231" t="s">
        <v>628</v>
      </c>
      <c r="D231" s="150">
        <v>1800000</v>
      </c>
      <c r="E231" t="s">
        <v>244</v>
      </c>
      <c r="F231" s="20" t="s">
        <v>245</v>
      </c>
      <c r="G231" s="8" t="str">
        <f t="shared" si="3"/>
        <v>CHANDLER KELVIN</v>
      </c>
    </row>
    <row r="232" spans="1:7" x14ac:dyDescent="0.25">
      <c r="A232" s="8">
        <v>42789.919699074075</v>
      </c>
      <c r="B232" t="s">
        <v>313</v>
      </c>
      <c r="C232" t="s">
        <v>616</v>
      </c>
      <c r="D232" s="150">
        <v>2670000</v>
      </c>
      <c r="E232" t="s">
        <v>236</v>
      </c>
      <c r="F232" s="20" t="s">
        <v>237</v>
      </c>
      <c r="G232" s="8" t="str">
        <f t="shared" si="3"/>
        <v>COMELLA JUSTIN</v>
      </c>
    </row>
    <row r="233" spans="1:7" x14ac:dyDescent="0.25">
      <c r="A233" s="8">
        <v>42789.924953703703</v>
      </c>
      <c r="B233" t="s">
        <v>256</v>
      </c>
      <c r="C233" t="s">
        <v>629</v>
      </c>
      <c r="D233" s="150">
        <v>1740000</v>
      </c>
      <c r="E233" t="s">
        <v>227</v>
      </c>
      <c r="F233" s="20" t="s">
        <v>228</v>
      </c>
      <c r="G233" s="8" t="str">
        <f t="shared" si="3"/>
        <v>STORY SAMANTHA</v>
      </c>
    </row>
    <row r="234" spans="1:7" x14ac:dyDescent="0.25">
      <c r="A234" s="8">
        <v>42789.929409722223</v>
      </c>
      <c r="B234" t="s">
        <v>314</v>
      </c>
      <c r="C234" t="s">
        <v>620</v>
      </c>
      <c r="D234" s="150">
        <v>2730000</v>
      </c>
      <c r="E234" t="s">
        <v>292</v>
      </c>
      <c r="F234" s="20" t="s">
        <v>293</v>
      </c>
      <c r="G234" s="8" t="str">
        <f t="shared" si="3"/>
        <v>YANG JAN</v>
      </c>
    </row>
    <row r="235" spans="1:7" x14ac:dyDescent="0.25">
      <c r="A235" s="8">
        <v>42789.934421296297</v>
      </c>
      <c r="B235" t="s">
        <v>192</v>
      </c>
      <c r="C235" t="s">
        <v>630</v>
      </c>
      <c r="D235" s="150">
        <v>2370000</v>
      </c>
      <c r="E235" t="s">
        <v>618</v>
      </c>
      <c r="F235" s="20" t="s">
        <v>619</v>
      </c>
      <c r="G235" s="8" t="str">
        <f t="shared" si="3"/>
        <v>DELGADO DIANAH</v>
      </c>
    </row>
    <row r="236" spans="1:7" x14ac:dyDescent="0.25">
      <c r="A236" s="8">
        <v>42789.934467592589</v>
      </c>
      <c r="B236" t="s">
        <v>217</v>
      </c>
      <c r="C236" t="s">
        <v>461</v>
      </c>
      <c r="D236" s="150">
        <v>2480000</v>
      </c>
      <c r="E236" t="s">
        <v>625</v>
      </c>
      <c r="F236" s="20" t="s">
        <v>215</v>
      </c>
      <c r="G236" s="8" t="str">
        <f t="shared" si="3"/>
        <v>WHITED DUSTIN</v>
      </c>
    </row>
    <row r="237" spans="1:7" x14ac:dyDescent="0.25">
      <c r="A237" s="8">
        <v>42789.939768518518</v>
      </c>
      <c r="B237" t="s">
        <v>313</v>
      </c>
      <c r="C237" t="s">
        <v>616</v>
      </c>
      <c r="D237" s="150">
        <v>2670000</v>
      </c>
      <c r="E237" t="s">
        <v>236</v>
      </c>
      <c r="F237" s="20" t="s">
        <v>237</v>
      </c>
      <c r="G237" s="8" t="str">
        <f t="shared" si="3"/>
        <v>COMELLA JUSTIN</v>
      </c>
    </row>
    <row r="238" spans="1:7" x14ac:dyDescent="0.25">
      <c r="A238" s="8">
        <v>42789.942557870374</v>
      </c>
      <c r="B238" t="s">
        <v>253</v>
      </c>
      <c r="C238" t="s">
        <v>631</v>
      </c>
      <c r="D238" s="150">
        <v>1740000</v>
      </c>
      <c r="E238" t="s">
        <v>227</v>
      </c>
      <c r="F238" s="20" t="s">
        <v>228</v>
      </c>
      <c r="G238" s="8" t="str">
        <f t="shared" si="3"/>
        <v>STORY SAMANTHA</v>
      </c>
    </row>
    <row r="239" spans="1:7" x14ac:dyDescent="0.25">
      <c r="A239" s="8">
        <v>42789.957303240742</v>
      </c>
      <c r="B239" t="s">
        <v>314</v>
      </c>
      <c r="C239" t="s">
        <v>620</v>
      </c>
      <c r="D239" s="150">
        <v>2730000</v>
      </c>
      <c r="E239" t="s">
        <v>292</v>
      </c>
      <c r="F239" s="20" t="s">
        <v>293</v>
      </c>
      <c r="G239" s="8" t="str">
        <f t="shared" si="3"/>
        <v>YANG JAN</v>
      </c>
    </row>
    <row r="240" spans="1:7" x14ac:dyDescent="0.25">
      <c r="A240" s="8">
        <v>42789.957453703704</v>
      </c>
      <c r="B240" t="s">
        <v>220</v>
      </c>
      <c r="C240" t="s">
        <v>632</v>
      </c>
      <c r="D240" s="150">
        <v>1800000</v>
      </c>
      <c r="E240" t="s">
        <v>244</v>
      </c>
      <c r="F240" s="20" t="s">
        <v>245</v>
      </c>
      <c r="G240" s="8" t="str">
        <f t="shared" si="3"/>
        <v>CHANDLER KELVIN</v>
      </c>
    </row>
    <row r="241" spans="1:7" x14ac:dyDescent="0.25">
      <c r="A241" s="8">
        <v>42789.959374999999</v>
      </c>
      <c r="B241" t="s">
        <v>431</v>
      </c>
      <c r="C241" t="s">
        <v>633</v>
      </c>
      <c r="D241" s="150">
        <v>2270000</v>
      </c>
      <c r="E241" t="s">
        <v>230</v>
      </c>
      <c r="F241" s="20" t="s">
        <v>231</v>
      </c>
      <c r="G241" s="8" t="str">
        <f t="shared" si="3"/>
        <v>BROWN JACOB</v>
      </c>
    </row>
    <row r="242" spans="1:7" x14ac:dyDescent="0.25">
      <c r="A242" s="8">
        <v>42789.96298611111</v>
      </c>
      <c r="B242" t="s">
        <v>313</v>
      </c>
      <c r="C242" t="s">
        <v>616</v>
      </c>
      <c r="D242" s="150">
        <v>2670000</v>
      </c>
      <c r="E242" t="s">
        <v>236</v>
      </c>
      <c r="F242" s="20" t="s">
        <v>237</v>
      </c>
      <c r="G242" s="8" t="str">
        <f t="shared" si="3"/>
        <v>COMELLA JUSTIN</v>
      </c>
    </row>
    <row r="243" spans="1:7" x14ac:dyDescent="0.25">
      <c r="A243" s="8">
        <v>42789.970636574071</v>
      </c>
      <c r="B243" t="s">
        <v>314</v>
      </c>
      <c r="C243" t="s">
        <v>620</v>
      </c>
      <c r="D243" s="150">
        <v>2730000</v>
      </c>
      <c r="E243" t="s">
        <v>292</v>
      </c>
      <c r="F243" s="20" t="s">
        <v>293</v>
      </c>
      <c r="G243" s="8" t="str">
        <f t="shared" si="3"/>
        <v>YANG JAN</v>
      </c>
    </row>
    <row r="244" spans="1:7" x14ac:dyDescent="0.25">
      <c r="A244" s="8">
        <v>42789.973611111112</v>
      </c>
      <c r="B244" t="s">
        <v>264</v>
      </c>
      <c r="C244" t="s">
        <v>634</v>
      </c>
      <c r="D244" s="150">
        <v>2370000</v>
      </c>
      <c r="E244" t="s">
        <v>618</v>
      </c>
      <c r="F244" s="20" t="s">
        <v>619</v>
      </c>
      <c r="G244" s="8" t="str">
        <f t="shared" si="3"/>
        <v>DELGADO DIANAH</v>
      </c>
    </row>
    <row r="245" spans="1:7" x14ac:dyDescent="0.25">
      <c r="A245" s="8">
        <v>42789.974247685182</v>
      </c>
      <c r="B245" t="s">
        <v>216</v>
      </c>
      <c r="C245" t="s">
        <v>635</v>
      </c>
      <c r="D245" s="150">
        <v>2540000</v>
      </c>
      <c r="E245" t="s">
        <v>221</v>
      </c>
      <c r="F245" s="20" t="s">
        <v>222</v>
      </c>
      <c r="G245" s="8" t="str">
        <f t="shared" si="3"/>
        <v>MCREYNOLDS KYLE</v>
      </c>
    </row>
    <row r="246" spans="1:7" x14ac:dyDescent="0.25">
      <c r="A246" s="8">
        <v>42789.977164351854</v>
      </c>
      <c r="B246" t="s">
        <v>313</v>
      </c>
      <c r="C246" t="s">
        <v>616</v>
      </c>
      <c r="D246" s="150">
        <v>2670000</v>
      </c>
      <c r="E246" t="s">
        <v>236</v>
      </c>
      <c r="F246" s="20" t="s">
        <v>237</v>
      </c>
      <c r="G246" s="8" t="str">
        <f t="shared" si="3"/>
        <v>COMELLA JUSTIN</v>
      </c>
    </row>
    <row r="247" spans="1:7" x14ac:dyDescent="0.25">
      <c r="A247" s="8">
        <v>42789.984456018516</v>
      </c>
      <c r="B247" t="s">
        <v>314</v>
      </c>
      <c r="C247" t="s">
        <v>620</v>
      </c>
      <c r="D247" s="150">
        <v>2730000</v>
      </c>
      <c r="E247" t="s">
        <v>292</v>
      </c>
      <c r="F247" s="20" t="s">
        <v>293</v>
      </c>
      <c r="G247" s="8" t="str">
        <f t="shared" si="3"/>
        <v>YANG JAN</v>
      </c>
    </row>
    <row r="248" spans="1:7" x14ac:dyDescent="0.25">
      <c r="A248" s="8">
        <v>42789.990034722221</v>
      </c>
      <c r="B248" t="s">
        <v>313</v>
      </c>
      <c r="C248" t="s">
        <v>616</v>
      </c>
      <c r="D248" s="150">
        <v>2670000</v>
      </c>
      <c r="E248" t="s">
        <v>236</v>
      </c>
      <c r="F248" s="20" t="s">
        <v>237</v>
      </c>
      <c r="G248" s="8" t="str">
        <f t="shared" si="3"/>
        <v>COMELLA JUSTIN</v>
      </c>
    </row>
    <row r="249" spans="1:7" x14ac:dyDescent="0.25">
      <c r="A249" s="8">
        <v>42789.995706018519</v>
      </c>
      <c r="B249" t="s">
        <v>219</v>
      </c>
      <c r="C249" t="s">
        <v>636</v>
      </c>
      <c r="D249" s="150">
        <v>1800000</v>
      </c>
      <c r="E249" t="s">
        <v>244</v>
      </c>
      <c r="F249" s="20" t="s">
        <v>245</v>
      </c>
      <c r="G249" s="8" t="str">
        <f t="shared" si="3"/>
        <v>CHANDLER KELVIN</v>
      </c>
    </row>
    <row r="250" spans="1:7" x14ac:dyDescent="0.25">
      <c r="A250" s="8">
        <v>42789.997349537036</v>
      </c>
      <c r="B250" t="s">
        <v>505</v>
      </c>
      <c r="C250" t="s">
        <v>637</v>
      </c>
      <c r="D250" s="150">
        <v>2270000</v>
      </c>
      <c r="E250" t="s">
        <v>230</v>
      </c>
      <c r="F250" s="20" t="s">
        <v>231</v>
      </c>
      <c r="G250" s="8" t="str">
        <f t="shared" si="3"/>
        <v>BROWN JACOB</v>
      </c>
    </row>
    <row r="251" spans="1:7" x14ac:dyDescent="0.25">
      <c r="A251" s="8">
        <v>42789.997442129628</v>
      </c>
      <c r="B251" t="s">
        <v>314</v>
      </c>
      <c r="C251" t="s">
        <v>620</v>
      </c>
      <c r="D251" s="150">
        <v>2730000</v>
      </c>
      <c r="E251" t="s">
        <v>292</v>
      </c>
      <c r="F251" s="20" t="s">
        <v>293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313</v>
      </c>
      <c r="C252" t="s">
        <v>616</v>
      </c>
      <c r="D252" s="150">
        <v>2670000</v>
      </c>
      <c r="E252" t="s">
        <v>236</v>
      </c>
      <c r="F252" s="20" t="s">
        <v>237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314</v>
      </c>
      <c r="C253" t="s">
        <v>620</v>
      </c>
      <c r="D253" s="150">
        <v>2730000</v>
      </c>
      <c r="E253" t="s">
        <v>292</v>
      </c>
      <c r="F253" s="20" t="s">
        <v>293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638</v>
      </c>
      <c r="D254" s="150">
        <v>2220000</v>
      </c>
      <c r="E254" t="s">
        <v>214</v>
      </c>
      <c r="F254" s="20" t="s">
        <v>215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217</v>
      </c>
      <c r="C255" t="s">
        <v>639</v>
      </c>
      <c r="D255" s="150">
        <v>2540000</v>
      </c>
      <c r="E255" t="s">
        <v>221</v>
      </c>
      <c r="F255" s="20" t="s">
        <v>222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313</v>
      </c>
      <c r="C256" t="s">
        <v>616</v>
      </c>
      <c r="D256" s="150">
        <v>2670000</v>
      </c>
      <c r="E256" t="s">
        <v>236</v>
      </c>
      <c r="F256" s="20" t="s">
        <v>237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314</v>
      </c>
      <c r="C257" t="s">
        <v>620</v>
      </c>
      <c r="D257" s="150">
        <v>2730000</v>
      </c>
      <c r="E257" t="s">
        <v>292</v>
      </c>
      <c r="F257" s="20" t="s">
        <v>293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313</v>
      </c>
      <c r="C258" t="s">
        <v>616</v>
      </c>
      <c r="D258" s="150">
        <v>2670000</v>
      </c>
      <c r="E258" t="s">
        <v>236</v>
      </c>
      <c r="F258" s="20" t="s">
        <v>237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220</v>
      </c>
      <c r="C259" t="s">
        <v>640</v>
      </c>
      <c r="D259" s="150">
        <v>1800000</v>
      </c>
      <c r="E259" t="s">
        <v>244</v>
      </c>
      <c r="F259" s="20" t="s">
        <v>245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314</v>
      </c>
      <c r="C260" t="s">
        <v>620</v>
      </c>
      <c r="D260" s="150">
        <v>2730000</v>
      </c>
      <c r="E260" t="s">
        <v>292</v>
      </c>
      <c r="F260" s="20" t="s">
        <v>293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431</v>
      </c>
      <c r="C261" t="s">
        <v>462</v>
      </c>
      <c r="D261" s="150">
        <v>2270000</v>
      </c>
      <c r="E261" t="s">
        <v>230</v>
      </c>
      <c r="F261" s="20" t="s">
        <v>231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313</v>
      </c>
      <c r="C262" t="s">
        <v>616</v>
      </c>
      <c r="D262" s="150">
        <v>2670000</v>
      </c>
      <c r="E262" t="s">
        <v>236</v>
      </c>
      <c r="F262" s="20" t="s">
        <v>237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216</v>
      </c>
      <c r="C263" t="s">
        <v>641</v>
      </c>
      <c r="D263" s="150">
        <v>2540000</v>
      </c>
      <c r="E263" t="s">
        <v>221</v>
      </c>
      <c r="F263" s="20" t="s">
        <v>222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314</v>
      </c>
      <c r="C264" t="s">
        <v>620</v>
      </c>
      <c r="D264" s="150">
        <v>2730000</v>
      </c>
      <c r="E264" t="s">
        <v>292</v>
      </c>
      <c r="F264" s="20" t="s">
        <v>293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264</v>
      </c>
      <c r="C265" t="s">
        <v>642</v>
      </c>
      <c r="D265" s="150">
        <v>2220000</v>
      </c>
      <c r="E265" t="s">
        <v>214</v>
      </c>
      <c r="F265" s="20" t="s">
        <v>215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313</v>
      </c>
      <c r="C266" t="s">
        <v>616</v>
      </c>
      <c r="D266" s="150">
        <v>2670000</v>
      </c>
      <c r="E266" t="s">
        <v>236</v>
      </c>
      <c r="F266" s="20" t="s">
        <v>237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314</v>
      </c>
      <c r="C267" t="s">
        <v>620</v>
      </c>
      <c r="D267" s="150">
        <v>2730000</v>
      </c>
      <c r="E267" t="s">
        <v>292</v>
      </c>
      <c r="F267" s="20" t="s">
        <v>293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505</v>
      </c>
      <c r="C268" t="s">
        <v>643</v>
      </c>
      <c r="D268" s="150">
        <v>2270000</v>
      </c>
      <c r="E268" t="s">
        <v>230</v>
      </c>
      <c r="F268" s="20" t="s">
        <v>231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313</v>
      </c>
      <c r="C269" t="s">
        <v>616</v>
      </c>
      <c r="D269" s="150">
        <v>2670000</v>
      </c>
      <c r="E269" t="s">
        <v>236</v>
      </c>
      <c r="F269" s="20" t="s">
        <v>237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314</v>
      </c>
      <c r="C270" t="s">
        <v>620</v>
      </c>
      <c r="D270" s="150">
        <v>2730000</v>
      </c>
      <c r="E270" t="s">
        <v>292</v>
      </c>
      <c r="F270" s="20" t="s">
        <v>293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644</v>
      </c>
      <c r="D271" s="150">
        <v>2220000</v>
      </c>
      <c r="E271" t="s">
        <v>214</v>
      </c>
      <c r="F271" s="20" t="s">
        <v>215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313</v>
      </c>
      <c r="C272" t="s">
        <v>616</v>
      </c>
      <c r="D272" s="150">
        <v>2670000</v>
      </c>
      <c r="E272" t="s">
        <v>236</v>
      </c>
      <c r="F272" s="20" t="s">
        <v>237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314</v>
      </c>
      <c r="C273" t="s">
        <v>620</v>
      </c>
      <c r="D273" s="150">
        <v>2730000</v>
      </c>
      <c r="E273" t="s">
        <v>292</v>
      </c>
      <c r="F273" s="20" t="s">
        <v>293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645</v>
      </c>
      <c r="I1" s="190" t="s">
        <v>168</v>
      </c>
      <c r="J1" s="190" t="s">
        <v>169</v>
      </c>
      <c r="K1" s="190" t="s">
        <v>370</v>
      </c>
      <c r="L1" s="190" t="s">
        <v>163</v>
      </c>
      <c r="M1" s="190" t="s">
        <v>161</v>
      </c>
      <c r="N1" s="190" t="s">
        <v>156</v>
      </c>
      <c r="O1" s="190" t="s">
        <v>166</v>
      </c>
      <c r="P1" s="190" t="s">
        <v>160</v>
      </c>
      <c r="Q1" s="190" t="s">
        <v>167</v>
      </c>
      <c r="R1" s="190" t="s">
        <v>164</v>
      </c>
    </row>
    <row r="2" spans="1:18" x14ac:dyDescent="0.25">
      <c r="A2" s="168">
        <v>35.71</v>
      </c>
      <c r="B2" s="168">
        <v>0.6</v>
      </c>
      <c r="C2" s="168">
        <v>24.13</v>
      </c>
      <c r="D2" s="8">
        <v>42789</v>
      </c>
      <c r="E2" s="168">
        <v>0.62</v>
      </c>
      <c r="F2" s="168" t="s">
        <v>646</v>
      </c>
      <c r="G2" s="168">
        <v>313.52999999999997</v>
      </c>
      <c r="H2" s="168"/>
      <c r="I2" s="168">
        <v>0</v>
      </c>
      <c r="J2" s="168">
        <v>0</v>
      </c>
      <c r="K2" s="168"/>
      <c r="L2" s="168">
        <v>1007.44</v>
      </c>
      <c r="M2" s="168" t="s">
        <v>647</v>
      </c>
      <c r="N2" s="168">
        <v>35.71</v>
      </c>
      <c r="O2" s="168">
        <v>1487833200</v>
      </c>
      <c r="P2" s="168">
        <v>1.1000000000000001</v>
      </c>
      <c r="Q2" s="168">
        <v>350</v>
      </c>
      <c r="R2" s="168">
        <v>2.0299999999999998</v>
      </c>
    </row>
    <row r="3" spans="1:18" x14ac:dyDescent="0.25">
      <c r="A3" s="168">
        <v>33.68</v>
      </c>
      <c r="B3" s="168">
        <v>0.61</v>
      </c>
      <c r="C3" s="168">
        <v>23.08</v>
      </c>
      <c r="D3" s="8">
        <v>42789.041666666664</v>
      </c>
      <c r="E3" s="168">
        <v>0.65</v>
      </c>
      <c r="F3" s="168" t="s">
        <v>646</v>
      </c>
      <c r="G3" s="168">
        <v>313.77</v>
      </c>
      <c r="H3" s="168"/>
      <c r="I3" s="168">
        <v>0</v>
      </c>
      <c r="J3" s="168">
        <v>0</v>
      </c>
      <c r="K3" s="168"/>
      <c r="L3" s="168">
        <v>1006.99</v>
      </c>
      <c r="M3" s="168" t="s">
        <v>647</v>
      </c>
      <c r="N3" s="168">
        <v>33.68</v>
      </c>
      <c r="O3" s="168">
        <v>1487836800</v>
      </c>
      <c r="P3" s="168">
        <v>1.1000000000000001</v>
      </c>
      <c r="Q3" s="168">
        <v>345</v>
      </c>
      <c r="R3" s="168">
        <v>2.84</v>
      </c>
    </row>
    <row r="4" spans="1:18" x14ac:dyDescent="0.25">
      <c r="A4" s="168">
        <v>29.87</v>
      </c>
      <c r="B4" s="168">
        <v>0.61</v>
      </c>
      <c r="C4" s="168">
        <v>22.95</v>
      </c>
      <c r="D4" s="8">
        <v>42789.083333333336</v>
      </c>
      <c r="E4" s="168">
        <v>0.67</v>
      </c>
      <c r="F4" s="168" t="s">
        <v>646</v>
      </c>
      <c r="G4" s="168">
        <v>314.02</v>
      </c>
      <c r="H4" s="168"/>
      <c r="I4" s="168">
        <v>0</v>
      </c>
      <c r="J4" s="168">
        <v>0</v>
      </c>
      <c r="K4" s="168"/>
      <c r="L4" s="168">
        <v>1006.56</v>
      </c>
      <c r="M4" s="168" t="s">
        <v>647</v>
      </c>
      <c r="N4" s="168">
        <v>32.57</v>
      </c>
      <c r="O4" s="168">
        <v>1487840400</v>
      </c>
      <c r="P4" s="168">
        <v>1.1000000000000001</v>
      </c>
      <c r="Q4" s="168">
        <v>343</v>
      </c>
      <c r="R4" s="168">
        <v>3.07</v>
      </c>
    </row>
    <row r="5" spans="1:18" x14ac:dyDescent="0.25">
      <c r="A5" s="168">
        <v>28.01</v>
      </c>
      <c r="B5" s="168">
        <v>0.63</v>
      </c>
      <c r="C5" s="168">
        <v>23.74</v>
      </c>
      <c r="D5" s="8">
        <v>42789.125</v>
      </c>
      <c r="E5" s="168">
        <v>0.71</v>
      </c>
      <c r="F5" s="168" t="s">
        <v>240</v>
      </c>
      <c r="G5" s="168">
        <v>316.33</v>
      </c>
      <c r="H5" s="168"/>
      <c r="I5" s="168">
        <v>0</v>
      </c>
      <c r="J5" s="168">
        <v>0</v>
      </c>
      <c r="K5" s="168"/>
      <c r="L5" s="168">
        <v>1006.26</v>
      </c>
      <c r="M5" s="168" t="s">
        <v>648</v>
      </c>
      <c r="N5" s="168">
        <v>32.14</v>
      </c>
      <c r="O5" s="168">
        <v>1487844000</v>
      </c>
      <c r="P5" s="168"/>
      <c r="Q5" s="168">
        <v>346</v>
      </c>
      <c r="R5" s="168">
        <v>4.21</v>
      </c>
    </row>
    <row r="6" spans="1:18" x14ac:dyDescent="0.25">
      <c r="A6" s="168">
        <v>25.83</v>
      </c>
      <c r="B6" s="168">
        <v>0.67</v>
      </c>
      <c r="C6" s="168">
        <v>24.35</v>
      </c>
      <c r="D6" s="8">
        <v>42789.166666666664</v>
      </c>
      <c r="E6" s="168">
        <v>0.78</v>
      </c>
      <c r="F6" s="168" t="s">
        <v>646</v>
      </c>
      <c r="G6" s="168">
        <v>319.48</v>
      </c>
      <c r="H6" s="168"/>
      <c r="I6" s="168">
        <v>0</v>
      </c>
      <c r="J6" s="168">
        <v>0</v>
      </c>
      <c r="K6" s="168"/>
      <c r="L6" s="168">
        <v>1005.94</v>
      </c>
      <c r="M6" s="168" t="s">
        <v>647</v>
      </c>
      <c r="N6" s="168">
        <v>30.4</v>
      </c>
      <c r="O6" s="168">
        <v>1487847600</v>
      </c>
      <c r="P6" s="168">
        <v>1.1000000000000001</v>
      </c>
      <c r="Q6" s="168">
        <v>356</v>
      </c>
      <c r="R6" s="168">
        <v>4.3600000000000003</v>
      </c>
    </row>
    <row r="7" spans="1:18" x14ac:dyDescent="0.25">
      <c r="A7" s="168">
        <v>25.4</v>
      </c>
      <c r="B7" s="168">
        <v>0.72</v>
      </c>
      <c r="C7" s="168">
        <v>24.63</v>
      </c>
      <c r="D7" s="8">
        <v>42789.208333333336</v>
      </c>
      <c r="E7" s="168">
        <v>0.82</v>
      </c>
      <c r="F7" s="168" t="s">
        <v>646</v>
      </c>
      <c r="G7" s="168">
        <v>322.27999999999997</v>
      </c>
      <c r="H7" s="168"/>
      <c r="I7" s="168">
        <v>0</v>
      </c>
      <c r="J7" s="168">
        <v>0</v>
      </c>
      <c r="K7" s="168"/>
      <c r="L7" s="168">
        <v>1005.54</v>
      </c>
      <c r="M7" s="168" t="s">
        <v>647</v>
      </c>
      <c r="N7" s="168">
        <v>29.38</v>
      </c>
      <c r="O7" s="168">
        <v>1487851200</v>
      </c>
      <c r="P7" s="168">
        <v>1.1000000000000001</v>
      </c>
      <c r="Q7" s="168">
        <v>9</v>
      </c>
      <c r="R7" s="168">
        <v>3.71</v>
      </c>
    </row>
    <row r="8" spans="1:18" x14ac:dyDescent="0.25">
      <c r="A8" s="168">
        <v>24.72</v>
      </c>
      <c r="B8" s="168">
        <v>0.79</v>
      </c>
      <c r="C8" s="168">
        <v>24.25</v>
      </c>
      <c r="D8" s="8">
        <v>42789.25</v>
      </c>
      <c r="E8" s="168">
        <v>0.83</v>
      </c>
      <c r="F8" s="168" t="s">
        <v>649</v>
      </c>
      <c r="G8" s="168">
        <v>324.42</v>
      </c>
      <c r="H8" s="168">
        <v>2.5000000000000001E-2</v>
      </c>
      <c r="I8" s="168">
        <v>2.5999999999999999E-3</v>
      </c>
      <c r="J8" s="168">
        <v>0.08</v>
      </c>
      <c r="K8" s="168" t="s">
        <v>649</v>
      </c>
      <c r="L8" s="168">
        <v>1004.84</v>
      </c>
      <c r="M8" s="168" t="s">
        <v>650</v>
      </c>
      <c r="N8" s="168">
        <v>28.77</v>
      </c>
      <c r="O8" s="168">
        <v>1487854800</v>
      </c>
      <c r="P8" s="168">
        <v>1.1000000000000001</v>
      </c>
      <c r="Q8" s="168">
        <v>20</v>
      </c>
      <c r="R8" s="168">
        <v>3.69</v>
      </c>
    </row>
    <row r="9" spans="1:18" x14ac:dyDescent="0.25">
      <c r="A9" s="168">
        <v>25.43</v>
      </c>
      <c r="B9" s="168">
        <v>0.89</v>
      </c>
      <c r="C9" s="168">
        <v>23.35</v>
      </c>
      <c r="D9" s="8">
        <v>42789.291666666664</v>
      </c>
      <c r="E9" s="168">
        <v>0.8</v>
      </c>
      <c r="F9" s="168" t="s">
        <v>649</v>
      </c>
      <c r="G9" s="168">
        <v>326.20999999999998</v>
      </c>
      <c r="H9" s="168">
        <v>5.5E-2</v>
      </c>
      <c r="I9" s="168">
        <v>5.7000000000000002E-3</v>
      </c>
      <c r="J9" s="168">
        <v>0.25</v>
      </c>
      <c r="K9" s="168" t="s">
        <v>649</v>
      </c>
      <c r="L9" s="168">
        <v>1004</v>
      </c>
      <c r="M9" s="168" t="s">
        <v>651</v>
      </c>
      <c r="N9" s="168">
        <v>28.69</v>
      </c>
      <c r="O9" s="168">
        <v>1487858400</v>
      </c>
      <c r="P9" s="168">
        <v>1.1000000000000001</v>
      </c>
      <c r="Q9" s="168">
        <v>52</v>
      </c>
      <c r="R9" s="168">
        <v>3.09</v>
      </c>
    </row>
    <row r="10" spans="1:18" x14ac:dyDescent="0.25">
      <c r="A10" s="168">
        <v>25.55</v>
      </c>
      <c r="B10" s="168">
        <v>0.95</v>
      </c>
      <c r="C10" s="168">
        <v>24.45</v>
      </c>
      <c r="D10" s="8">
        <v>42789.333333333336</v>
      </c>
      <c r="E10" s="168">
        <v>0.83</v>
      </c>
      <c r="F10" s="168" t="s">
        <v>649</v>
      </c>
      <c r="G10" s="168">
        <v>327.39</v>
      </c>
      <c r="H10" s="168">
        <v>7.2999999999999995E-2</v>
      </c>
      <c r="I10" s="168">
        <v>7.7000000000000002E-3</v>
      </c>
      <c r="J10" s="168">
        <v>0.39</v>
      </c>
      <c r="K10" s="168" t="s">
        <v>649</v>
      </c>
      <c r="L10" s="168">
        <v>1003.35</v>
      </c>
      <c r="M10" s="168" t="s">
        <v>651</v>
      </c>
      <c r="N10" s="168">
        <v>29.07</v>
      </c>
      <c r="O10" s="168">
        <v>1487862000</v>
      </c>
      <c r="P10" s="168">
        <v>1.1000000000000001</v>
      </c>
      <c r="Q10" s="168">
        <v>40</v>
      </c>
      <c r="R10" s="168">
        <v>3.31</v>
      </c>
    </row>
    <row r="11" spans="1:18" x14ac:dyDescent="0.25">
      <c r="A11" s="168">
        <v>25.66</v>
      </c>
      <c r="B11" s="168">
        <v>0.97</v>
      </c>
      <c r="C11" s="168">
        <v>25.12</v>
      </c>
      <c r="D11" s="8">
        <v>42789.375</v>
      </c>
      <c r="E11" s="168">
        <v>0.83</v>
      </c>
      <c r="F11" s="168" t="s">
        <v>649</v>
      </c>
      <c r="G11" s="168">
        <v>327.55</v>
      </c>
      <c r="H11" s="168">
        <v>6.7000000000000004E-2</v>
      </c>
      <c r="I11" s="168">
        <v>7.4000000000000003E-3</v>
      </c>
      <c r="J11" s="168">
        <v>0.37</v>
      </c>
      <c r="K11" s="168" t="s">
        <v>649</v>
      </c>
      <c r="L11" s="168">
        <v>1003.03</v>
      </c>
      <c r="M11" s="168" t="s">
        <v>651</v>
      </c>
      <c r="N11" s="168">
        <v>29.76</v>
      </c>
      <c r="O11" s="168">
        <v>1487865600</v>
      </c>
      <c r="P11" s="168">
        <v>1.1000000000000001</v>
      </c>
      <c r="Q11" s="168">
        <v>18</v>
      </c>
      <c r="R11" s="168">
        <v>3.86</v>
      </c>
    </row>
    <row r="12" spans="1:18" x14ac:dyDescent="0.25">
      <c r="A12" s="168">
        <v>26.07</v>
      </c>
      <c r="B12" s="168">
        <v>0.97</v>
      </c>
      <c r="C12" s="168">
        <v>24</v>
      </c>
      <c r="D12" s="8">
        <v>42789.416666666664</v>
      </c>
      <c r="E12" s="168">
        <v>0.77</v>
      </c>
      <c r="F12" s="168" t="s">
        <v>652</v>
      </c>
      <c r="G12" s="168">
        <v>327.10000000000002</v>
      </c>
      <c r="H12" s="168"/>
      <c r="I12" s="168">
        <v>6.1000000000000004E-3</v>
      </c>
      <c r="J12" s="168">
        <v>0.28000000000000003</v>
      </c>
      <c r="K12" s="168" t="s">
        <v>652</v>
      </c>
      <c r="L12" s="168">
        <v>1002.93</v>
      </c>
      <c r="M12" s="168" t="s">
        <v>653</v>
      </c>
      <c r="N12" s="168">
        <v>30.19</v>
      </c>
      <c r="O12" s="168">
        <v>1487869200</v>
      </c>
      <c r="P12" s="168">
        <v>0.61</v>
      </c>
      <c r="Q12" s="168">
        <v>14</v>
      </c>
      <c r="R12" s="168">
        <v>3.93</v>
      </c>
    </row>
    <row r="13" spans="1:18" x14ac:dyDescent="0.25">
      <c r="A13" s="168">
        <v>25.96</v>
      </c>
      <c r="B13" s="168">
        <v>0.97</v>
      </c>
      <c r="C13" s="168">
        <v>24.94</v>
      </c>
      <c r="D13" s="8">
        <v>42789.458333333336</v>
      </c>
      <c r="E13" s="168">
        <v>0.81</v>
      </c>
      <c r="F13" s="168" t="s">
        <v>652</v>
      </c>
      <c r="G13" s="168">
        <v>327</v>
      </c>
      <c r="H13" s="168"/>
      <c r="I13" s="168">
        <v>5.5999999999999999E-3</v>
      </c>
      <c r="J13" s="168">
        <v>0.25</v>
      </c>
      <c r="K13" s="168" t="s">
        <v>652</v>
      </c>
      <c r="L13" s="168">
        <v>1002.86</v>
      </c>
      <c r="M13" s="168" t="s">
        <v>653</v>
      </c>
      <c r="N13" s="168">
        <v>29.91</v>
      </c>
      <c r="O13" s="168">
        <v>1487872800</v>
      </c>
      <c r="P13" s="168">
        <v>0.51</v>
      </c>
      <c r="Q13" s="168">
        <v>17</v>
      </c>
      <c r="R13" s="168">
        <v>3.75</v>
      </c>
    </row>
    <row r="14" spans="1:18" x14ac:dyDescent="0.25">
      <c r="A14" s="168">
        <v>25.77</v>
      </c>
      <c r="B14" s="168">
        <v>0.98</v>
      </c>
      <c r="C14" s="168">
        <v>26.93</v>
      </c>
      <c r="D14" s="8">
        <v>42789.5</v>
      </c>
      <c r="E14" s="168">
        <v>0.86</v>
      </c>
      <c r="F14" s="168" t="s">
        <v>652</v>
      </c>
      <c r="G14" s="168">
        <v>327.77</v>
      </c>
      <c r="H14" s="168"/>
      <c r="I14" s="168">
        <v>6.4999999999999997E-3</v>
      </c>
      <c r="J14" s="168">
        <v>0.31</v>
      </c>
      <c r="K14" s="168" t="s">
        <v>652</v>
      </c>
      <c r="L14" s="168">
        <v>1002.62</v>
      </c>
      <c r="M14" s="168" t="s">
        <v>653</v>
      </c>
      <c r="N14" s="168">
        <v>30.7</v>
      </c>
      <c r="O14" s="168">
        <v>1487876400</v>
      </c>
      <c r="P14" s="168">
        <v>0.11</v>
      </c>
      <c r="Q14" s="168">
        <v>12</v>
      </c>
      <c r="R14" s="168">
        <v>4.7699999999999996</v>
      </c>
    </row>
    <row r="15" spans="1:18" x14ac:dyDescent="0.25">
      <c r="A15" s="168">
        <v>26.93</v>
      </c>
      <c r="B15" s="168">
        <v>0.99</v>
      </c>
      <c r="C15" s="168">
        <v>28.41</v>
      </c>
      <c r="D15" s="8">
        <v>42789.541666666664</v>
      </c>
      <c r="E15" s="168">
        <v>0.85</v>
      </c>
      <c r="F15" s="168" t="s">
        <v>652</v>
      </c>
      <c r="G15" s="168">
        <v>328.89</v>
      </c>
      <c r="H15" s="168"/>
      <c r="I15" s="168">
        <v>8.2000000000000007E-3</v>
      </c>
      <c r="J15" s="168">
        <v>0.42</v>
      </c>
      <c r="K15" s="168" t="s">
        <v>652</v>
      </c>
      <c r="L15" s="168">
        <v>1002.83</v>
      </c>
      <c r="M15" s="168" t="s">
        <v>653</v>
      </c>
      <c r="N15" s="168">
        <v>32.409999999999997</v>
      </c>
      <c r="O15" s="168">
        <v>1487880000</v>
      </c>
      <c r="P15" s="168">
        <v>0.92</v>
      </c>
      <c r="Q15" s="168">
        <v>20</v>
      </c>
      <c r="R15" s="168">
        <v>5.73</v>
      </c>
    </row>
    <row r="16" spans="1:18" x14ac:dyDescent="0.25">
      <c r="A16" s="168">
        <v>26.75</v>
      </c>
      <c r="B16" s="168">
        <v>0.81</v>
      </c>
      <c r="C16" s="168">
        <v>26.92</v>
      </c>
      <c r="D16" s="8">
        <v>42789.583333333336</v>
      </c>
      <c r="E16" s="168">
        <v>0.78</v>
      </c>
      <c r="F16" s="168" t="s">
        <v>652</v>
      </c>
      <c r="G16" s="168">
        <v>329.84</v>
      </c>
      <c r="H16" s="168"/>
      <c r="I16" s="168">
        <v>9.7999999999999997E-3</v>
      </c>
      <c r="J16" s="168">
        <v>0.5</v>
      </c>
      <c r="K16" s="168" t="s">
        <v>652</v>
      </c>
      <c r="L16" s="168">
        <v>1003.89</v>
      </c>
      <c r="M16" s="168" t="s">
        <v>653</v>
      </c>
      <c r="N16" s="168">
        <v>32.869999999999997</v>
      </c>
      <c r="O16" s="168">
        <v>1487883600</v>
      </c>
      <c r="P16" s="168">
        <v>3.72</v>
      </c>
      <c r="Q16" s="168">
        <v>22</v>
      </c>
      <c r="R16" s="168">
        <v>6.69</v>
      </c>
    </row>
    <row r="17" spans="1:18" x14ac:dyDescent="0.25">
      <c r="A17" s="168">
        <v>23.94</v>
      </c>
      <c r="B17" s="168">
        <v>0.87</v>
      </c>
      <c r="C17" s="168">
        <v>25.78</v>
      </c>
      <c r="D17" s="8">
        <v>42789.625</v>
      </c>
      <c r="E17" s="168">
        <v>0.79</v>
      </c>
      <c r="F17" s="168" t="s">
        <v>652</v>
      </c>
      <c r="G17" s="168">
        <v>330.32</v>
      </c>
      <c r="H17" s="168"/>
      <c r="I17" s="168">
        <v>1.15E-2</v>
      </c>
      <c r="J17" s="168">
        <v>0.53</v>
      </c>
      <c r="K17" s="168" t="s">
        <v>652</v>
      </c>
      <c r="L17" s="168">
        <v>1005.76</v>
      </c>
      <c r="M17" s="168" t="s">
        <v>653</v>
      </c>
      <c r="N17" s="168">
        <v>31.38</v>
      </c>
      <c r="O17" s="168">
        <v>1487887200</v>
      </c>
      <c r="P17" s="168">
        <v>2.4700000000000002</v>
      </c>
      <c r="Q17" s="168">
        <v>15</v>
      </c>
      <c r="R17" s="168">
        <v>8.24</v>
      </c>
    </row>
    <row r="18" spans="1:18" x14ac:dyDescent="0.25">
      <c r="A18" s="168">
        <v>19.010000000000002</v>
      </c>
      <c r="B18" s="168">
        <v>0.92</v>
      </c>
      <c r="C18" s="168">
        <v>25.07</v>
      </c>
      <c r="D18" s="8">
        <v>42789.666666666664</v>
      </c>
      <c r="E18" s="168">
        <v>0.88</v>
      </c>
      <c r="F18" s="168" t="s">
        <v>652</v>
      </c>
      <c r="G18" s="168">
        <v>330.63</v>
      </c>
      <c r="H18" s="168"/>
      <c r="I18" s="168">
        <v>2.1899999999999999E-2</v>
      </c>
      <c r="J18" s="168">
        <v>0.62</v>
      </c>
      <c r="K18" s="168" t="s">
        <v>652</v>
      </c>
      <c r="L18" s="168">
        <v>1008.22</v>
      </c>
      <c r="M18" s="168" t="s">
        <v>653</v>
      </c>
      <c r="N18" s="168">
        <v>28.25</v>
      </c>
      <c r="O18" s="168">
        <v>1487890800</v>
      </c>
      <c r="P18" s="168">
        <v>1.6</v>
      </c>
      <c r="Q18" s="168">
        <v>5</v>
      </c>
      <c r="R18" s="168">
        <v>10.14</v>
      </c>
    </row>
    <row r="19" spans="1:18" x14ac:dyDescent="0.25">
      <c r="A19" s="168">
        <v>17.100000000000001</v>
      </c>
      <c r="B19" s="168">
        <v>0.98</v>
      </c>
      <c r="C19" s="168">
        <v>24.03</v>
      </c>
      <c r="D19" s="8">
        <v>42789.708333333336</v>
      </c>
      <c r="E19" s="168">
        <v>0.89</v>
      </c>
      <c r="F19" s="168" t="s">
        <v>649</v>
      </c>
      <c r="G19" s="168">
        <v>331.08</v>
      </c>
      <c r="H19" s="168">
        <v>0.14599999999999999</v>
      </c>
      <c r="I19" s="168">
        <v>1.34E-2</v>
      </c>
      <c r="J19" s="168">
        <v>0.55000000000000004</v>
      </c>
      <c r="K19" s="168" t="s">
        <v>649</v>
      </c>
      <c r="L19" s="168">
        <v>1010.7</v>
      </c>
      <c r="M19" s="168" t="s">
        <v>651</v>
      </c>
      <c r="N19" s="168">
        <v>26.81</v>
      </c>
      <c r="O19" s="168">
        <v>1487894400</v>
      </c>
      <c r="P19" s="168">
        <v>1.39</v>
      </c>
      <c r="Q19" s="168">
        <v>4</v>
      </c>
      <c r="R19" s="168">
        <v>10.34</v>
      </c>
    </row>
    <row r="20" spans="1:18" x14ac:dyDescent="0.25">
      <c r="A20" s="168">
        <v>14.83</v>
      </c>
      <c r="B20" s="168">
        <v>0.92</v>
      </c>
      <c r="C20" s="168">
        <v>21.13</v>
      </c>
      <c r="D20" s="8">
        <v>42789.75</v>
      </c>
      <c r="E20" s="168">
        <v>0.88</v>
      </c>
      <c r="F20" s="168" t="s">
        <v>649</v>
      </c>
      <c r="G20" s="168">
        <v>331.72</v>
      </c>
      <c r="H20" s="168">
        <v>0.10299999999999999</v>
      </c>
      <c r="I20" s="168">
        <v>8.0999999999999996E-3</v>
      </c>
      <c r="J20" s="168">
        <v>0.42</v>
      </c>
      <c r="K20" s="168" t="s">
        <v>649</v>
      </c>
      <c r="L20" s="168">
        <v>1012.69</v>
      </c>
      <c r="M20" s="168" t="s">
        <v>651</v>
      </c>
      <c r="N20" s="168">
        <v>24.17</v>
      </c>
      <c r="O20" s="168">
        <v>1487898000</v>
      </c>
      <c r="P20" s="168">
        <v>2.54</v>
      </c>
      <c r="Q20" s="168">
        <v>8</v>
      </c>
      <c r="R20" s="168">
        <v>8.7100000000000009</v>
      </c>
    </row>
    <row r="21" spans="1:18" x14ac:dyDescent="0.25">
      <c r="A21" s="168">
        <v>12.84</v>
      </c>
      <c r="B21" s="168">
        <v>0.78</v>
      </c>
      <c r="C21" s="168">
        <v>18.25</v>
      </c>
      <c r="D21" s="8">
        <v>42789.791666666664</v>
      </c>
      <c r="E21" s="168">
        <v>0.84</v>
      </c>
      <c r="F21" s="168" t="s">
        <v>649</v>
      </c>
      <c r="G21" s="168">
        <v>332.49</v>
      </c>
      <c r="H21" s="168">
        <v>7.5999999999999998E-2</v>
      </c>
      <c r="I21" s="168">
        <v>5.4000000000000003E-3</v>
      </c>
      <c r="J21" s="168">
        <v>0.24</v>
      </c>
      <c r="K21" s="168" t="s">
        <v>649</v>
      </c>
      <c r="L21" s="168">
        <v>1014.31</v>
      </c>
      <c r="M21" s="168" t="s">
        <v>651</v>
      </c>
      <c r="N21" s="168">
        <v>22.21</v>
      </c>
      <c r="O21" s="168">
        <v>1487901600</v>
      </c>
      <c r="P21" s="168">
        <v>4.57</v>
      </c>
      <c r="Q21" s="168">
        <v>8</v>
      </c>
      <c r="R21" s="168">
        <v>8.1</v>
      </c>
    </row>
    <row r="22" spans="1:18" x14ac:dyDescent="0.25">
      <c r="A22" s="168">
        <v>13.81</v>
      </c>
      <c r="B22" s="168">
        <v>0.72</v>
      </c>
      <c r="C22" s="168">
        <v>18.29</v>
      </c>
      <c r="D22" s="8">
        <v>42789.833333333336</v>
      </c>
      <c r="E22" s="168">
        <v>0.85</v>
      </c>
      <c r="F22" s="168" t="s">
        <v>649</v>
      </c>
      <c r="G22" s="168">
        <v>333.56</v>
      </c>
      <c r="H22" s="168">
        <v>0.04</v>
      </c>
      <c r="I22" s="168">
        <v>2.8E-3</v>
      </c>
      <c r="J22" s="168">
        <v>0.09</v>
      </c>
      <c r="K22" s="168" t="s">
        <v>649</v>
      </c>
      <c r="L22" s="168">
        <v>1015.68</v>
      </c>
      <c r="M22" s="168" t="s">
        <v>651</v>
      </c>
      <c r="N22" s="168">
        <v>21.97</v>
      </c>
      <c r="O22" s="168">
        <v>1487905200</v>
      </c>
      <c r="P22" s="168">
        <v>4.3499999999999996</v>
      </c>
      <c r="Q22" s="168">
        <v>5</v>
      </c>
      <c r="R22" s="168">
        <v>6.52</v>
      </c>
    </row>
    <row r="23" spans="1:18" x14ac:dyDescent="0.25">
      <c r="A23" s="168">
        <v>12.98</v>
      </c>
      <c r="B23" s="168">
        <v>0.86</v>
      </c>
      <c r="C23" s="168">
        <v>16.3</v>
      </c>
      <c r="D23" s="8">
        <v>42789.875</v>
      </c>
      <c r="E23" s="168">
        <v>0.82</v>
      </c>
      <c r="F23" s="168" t="s">
        <v>649</v>
      </c>
      <c r="G23" s="168">
        <v>335.05</v>
      </c>
      <c r="H23" s="168">
        <v>1.7999999999999999E-2</v>
      </c>
      <c r="I23" s="168">
        <v>1.1999999999999999E-3</v>
      </c>
      <c r="J23" s="168">
        <v>0.02</v>
      </c>
      <c r="K23" s="168" t="s">
        <v>649</v>
      </c>
      <c r="L23" s="168">
        <v>1016.96</v>
      </c>
      <c r="M23" s="168" t="s">
        <v>650</v>
      </c>
      <c r="N23" s="168">
        <v>20.79</v>
      </c>
      <c r="O23" s="168">
        <v>1487908800</v>
      </c>
      <c r="P23" s="168">
        <v>3.56</v>
      </c>
      <c r="Q23" s="168">
        <v>0</v>
      </c>
      <c r="R23" s="168">
        <v>5.89</v>
      </c>
    </row>
    <row r="24" spans="1:18" x14ac:dyDescent="0.25">
      <c r="A24" s="168">
        <v>14.49</v>
      </c>
      <c r="B24" s="168">
        <v>0.95</v>
      </c>
      <c r="C24" s="168">
        <v>15.83</v>
      </c>
      <c r="D24" s="8">
        <v>42789.916666666664</v>
      </c>
      <c r="E24" s="168">
        <v>0.84</v>
      </c>
      <c r="F24" s="168" t="s">
        <v>649</v>
      </c>
      <c r="G24" s="168">
        <v>336.82</v>
      </c>
      <c r="H24" s="168">
        <v>3.5999999999999997E-2</v>
      </c>
      <c r="I24" s="168">
        <v>2.3E-3</v>
      </c>
      <c r="J24" s="168">
        <v>0.06</v>
      </c>
      <c r="K24" s="168" t="s">
        <v>649</v>
      </c>
      <c r="L24" s="168">
        <v>1018.04</v>
      </c>
      <c r="M24" s="168" t="s">
        <v>651</v>
      </c>
      <c r="N24" s="168">
        <v>19.77</v>
      </c>
      <c r="O24" s="168">
        <v>1487912400</v>
      </c>
      <c r="P24" s="168">
        <v>3.12</v>
      </c>
      <c r="Q24" s="168">
        <v>357</v>
      </c>
      <c r="R24" s="168">
        <v>3.62</v>
      </c>
    </row>
    <row r="25" spans="1:18" x14ac:dyDescent="0.25">
      <c r="A25" s="168">
        <v>13.56</v>
      </c>
      <c r="B25" s="168">
        <v>1</v>
      </c>
      <c r="C25" s="168">
        <v>15.18</v>
      </c>
      <c r="D25" s="8">
        <v>42789.958333333336</v>
      </c>
      <c r="E25" s="168">
        <v>0.82</v>
      </c>
      <c r="F25" s="168" t="s">
        <v>649</v>
      </c>
      <c r="G25" s="168">
        <v>338.69</v>
      </c>
      <c r="H25" s="168">
        <v>3.6999999999999998E-2</v>
      </c>
      <c r="I25" s="168">
        <v>2.3E-3</v>
      </c>
      <c r="J25" s="168">
        <v>0.06</v>
      </c>
      <c r="K25" s="168" t="s">
        <v>649</v>
      </c>
      <c r="L25" s="168">
        <v>1018.78</v>
      </c>
      <c r="M25" s="168" t="s">
        <v>651</v>
      </c>
      <c r="N25" s="168">
        <v>19.739999999999998</v>
      </c>
      <c r="O25" s="168">
        <v>1487916000</v>
      </c>
      <c r="P25" s="168">
        <v>6.78</v>
      </c>
      <c r="Q25" s="168">
        <v>353</v>
      </c>
      <c r="R25" s="168">
        <v>4.2699999999999996</v>
      </c>
    </row>
    <row r="26" spans="1:18" x14ac:dyDescent="0.25">
      <c r="A26" s="168">
        <v>13.09</v>
      </c>
      <c r="B26" s="168">
        <v>0.99</v>
      </c>
      <c r="C26" s="168">
        <v>14.64</v>
      </c>
      <c r="D26" s="8">
        <v>42790</v>
      </c>
      <c r="E26" s="168">
        <v>0.82</v>
      </c>
      <c r="F26" s="168" t="s">
        <v>654</v>
      </c>
      <c r="G26" s="168">
        <v>340.68</v>
      </c>
      <c r="H26" s="168">
        <v>1.2999999999999999E-2</v>
      </c>
      <c r="I26" s="168">
        <v>8.0000000000000004E-4</v>
      </c>
      <c r="J26" s="168">
        <v>0.01</v>
      </c>
      <c r="K26" s="168" t="s">
        <v>649</v>
      </c>
      <c r="L26" s="168">
        <v>1018.51</v>
      </c>
      <c r="M26" s="168" t="s">
        <v>655</v>
      </c>
      <c r="N26" s="168">
        <v>19.309999999999999</v>
      </c>
      <c r="O26" s="168">
        <v>1487919600</v>
      </c>
      <c r="P26" s="168">
        <v>3.81</v>
      </c>
      <c r="Q26" s="168">
        <v>350</v>
      </c>
      <c r="R26" s="168">
        <v>4.25</v>
      </c>
    </row>
    <row r="27" spans="1:18" x14ac:dyDescent="0.25">
      <c r="A27" s="168">
        <v>13.23</v>
      </c>
      <c r="B27" s="168">
        <v>0.98</v>
      </c>
      <c r="C27" s="168">
        <v>14.29</v>
      </c>
      <c r="D27" s="8">
        <v>42790.041666666664</v>
      </c>
      <c r="E27" s="168">
        <v>0.83</v>
      </c>
      <c r="F27" s="168" t="s">
        <v>654</v>
      </c>
      <c r="G27" s="168">
        <v>342.66</v>
      </c>
      <c r="H27" s="168"/>
      <c r="I27" s="168">
        <v>0</v>
      </c>
      <c r="J27" s="168">
        <v>0</v>
      </c>
      <c r="K27" s="168"/>
      <c r="L27" s="168">
        <v>1018.3</v>
      </c>
      <c r="M27" s="168" t="s">
        <v>655</v>
      </c>
      <c r="N27" s="168">
        <v>18.600000000000001</v>
      </c>
      <c r="O27" s="168">
        <v>1487923200</v>
      </c>
      <c r="P27" s="168">
        <v>3.63</v>
      </c>
      <c r="Q27" s="168">
        <v>348</v>
      </c>
      <c r="R27" s="168">
        <v>3.57</v>
      </c>
    </row>
    <row r="28" spans="1:18" x14ac:dyDescent="0.25">
      <c r="A28" s="168">
        <v>18.04</v>
      </c>
      <c r="B28" s="168">
        <v>0.97</v>
      </c>
      <c r="C28" s="168">
        <v>14.09</v>
      </c>
      <c r="D28" s="8">
        <v>42790.083333333336</v>
      </c>
      <c r="E28" s="168">
        <v>0.84</v>
      </c>
      <c r="F28" s="168" t="s">
        <v>654</v>
      </c>
      <c r="G28" s="168">
        <v>344.65</v>
      </c>
      <c r="H28" s="168"/>
      <c r="I28" s="168">
        <v>0</v>
      </c>
      <c r="J28" s="168">
        <v>0</v>
      </c>
      <c r="K28" s="168"/>
      <c r="L28" s="168">
        <v>1018.08</v>
      </c>
      <c r="M28" s="168" t="s">
        <v>655</v>
      </c>
      <c r="N28" s="168">
        <v>18.04</v>
      </c>
      <c r="O28" s="168">
        <v>1487926800</v>
      </c>
      <c r="P28" s="168">
        <v>2.78</v>
      </c>
      <c r="Q28" s="168">
        <v>324</v>
      </c>
      <c r="R28" s="168">
        <v>2.08</v>
      </c>
    </row>
    <row r="29" spans="1:18" x14ac:dyDescent="0.25">
      <c r="A29" s="168">
        <v>15.91</v>
      </c>
      <c r="B29" s="168">
        <v>0.97</v>
      </c>
      <c r="C29" s="168">
        <v>11.74</v>
      </c>
      <c r="D29" s="8">
        <v>42790.125</v>
      </c>
      <c r="E29" s="168">
        <v>0.83</v>
      </c>
      <c r="F29" s="168" t="s">
        <v>654</v>
      </c>
      <c r="G29" s="168">
        <v>345.67</v>
      </c>
      <c r="H29" s="168"/>
      <c r="I29" s="168">
        <v>0</v>
      </c>
      <c r="J29" s="168">
        <v>0</v>
      </c>
      <c r="K29" s="168"/>
      <c r="L29" s="168">
        <v>1018.28</v>
      </c>
      <c r="M29" s="168" t="s">
        <v>655</v>
      </c>
      <c r="N29" s="168">
        <v>15.91</v>
      </c>
      <c r="O29" s="168">
        <v>1487930400</v>
      </c>
      <c r="P29" s="168">
        <v>4.1399999999999997</v>
      </c>
      <c r="Q29" s="168">
        <v>319</v>
      </c>
      <c r="R29" s="168">
        <v>2.09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3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882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883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884</v>
      </c>
      <c r="J20" s="152" t="s">
        <v>87</v>
      </c>
      <c r="M20" s="168" t="s">
        <v>1056</v>
      </c>
      <c r="N20" s="168" t="s">
        <v>409</v>
      </c>
    </row>
    <row r="21" spans="3:14" x14ac:dyDescent="0.25">
      <c r="C21" t="s">
        <v>885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886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887</v>
      </c>
      <c r="J23" s="162" t="s">
        <v>95</v>
      </c>
      <c r="M23" s="168" t="str">
        <f>"-07"</f>
        <v>-07</v>
      </c>
    </row>
    <row r="24" spans="3:14" x14ac:dyDescent="0.25">
      <c r="C24" t="s">
        <v>888</v>
      </c>
      <c r="J24" s="152" t="s">
        <v>108</v>
      </c>
      <c r="M24" s="168" t="s">
        <v>110</v>
      </c>
    </row>
    <row r="25" spans="3:14" x14ac:dyDescent="0.25">
      <c r="C25" t="s">
        <v>889</v>
      </c>
      <c r="J25" s="152" t="s">
        <v>150</v>
      </c>
      <c r="M25" s="168" t="b">
        <v>1</v>
      </c>
    </row>
    <row r="26" spans="3:14" x14ac:dyDescent="0.25">
      <c r="C26" t="s">
        <v>890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C:\Users\stu\Documents\GitHub\eaglep3-reporting\EC\2017-02-23-refined-times.txt</v>
      </c>
    </row>
    <row r="27" spans="3:14" x14ac:dyDescent="0.25">
      <c r="C27" t="s">
        <v>891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C:\Users\stu\Documents\GitHub\eaglep3-reporting\EC\2017-02-23-Enforcements.txt</v>
      </c>
    </row>
    <row r="28" spans="3:14" x14ac:dyDescent="0.25">
      <c r="C28" t="s">
        <v>892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C:\Users\stu\Documents\GitHub\eaglep3-reporting\EC\2017-02-23-Runs-refined.txt</v>
      </c>
    </row>
    <row r="29" spans="3:14" x14ac:dyDescent="0.25">
      <c r="C29" t="s">
        <v>407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C:\Users\stu\Documents\GitHub\eaglep3-reporting\EC\2017-02-23-Trips.txt</v>
      </c>
    </row>
    <row r="30" spans="3:14" x14ac:dyDescent="0.25">
      <c r="C30" t="s">
        <v>893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C:\Users\stu\Documents\GitHub\eaglep3-reporting\EC\2017-02-23-Weather.txt</v>
      </c>
    </row>
    <row r="31" spans="3:14" x14ac:dyDescent="0.25">
      <c r="C31" t="s">
        <v>894</v>
      </c>
      <c r="J31" s="152" t="s">
        <v>210</v>
      </c>
      <c r="M31" s="168" t="s">
        <v>211</v>
      </c>
    </row>
    <row r="32" spans="3:14" x14ac:dyDescent="0.25">
      <c r="C32" t="s">
        <v>895</v>
      </c>
    </row>
    <row r="33" spans="3:3" x14ac:dyDescent="0.25">
      <c r="C33" t="s">
        <v>896</v>
      </c>
    </row>
    <row r="34" spans="3:3" x14ac:dyDescent="0.25">
      <c r="C34" t="s">
        <v>897</v>
      </c>
    </row>
    <row r="35" spans="3:3" x14ac:dyDescent="0.25">
      <c r="C35" t="s">
        <v>898</v>
      </c>
    </row>
    <row r="36" spans="3:3" x14ac:dyDescent="0.25">
      <c r="C36" t="s">
        <v>899</v>
      </c>
    </row>
    <row r="37" spans="3:3" x14ac:dyDescent="0.25">
      <c r="C37" t="s">
        <v>900</v>
      </c>
    </row>
    <row r="38" spans="3:3" x14ac:dyDescent="0.25">
      <c r="C38" t="s">
        <v>901</v>
      </c>
    </row>
    <row r="39" spans="3:3" x14ac:dyDescent="0.25">
      <c r="C39" t="s">
        <v>408</v>
      </c>
    </row>
    <row r="40" spans="3:3" x14ac:dyDescent="0.25">
      <c r="C40" t="s">
        <v>902</v>
      </c>
    </row>
    <row r="41" spans="3:3" x14ac:dyDescent="0.25">
      <c r="C41" t="s">
        <v>903</v>
      </c>
    </row>
    <row r="42" spans="3:3" x14ac:dyDescent="0.25">
      <c r="C42" t="s">
        <v>904</v>
      </c>
    </row>
    <row r="43" spans="3:3" x14ac:dyDescent="0.25">
      <c r="C43" t="s">
        <v>905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909</v>
      </c>
      <c r="B1" t="str">
        <f t="shared" ref="B1:B30" si="0">MID(A1,6,23)</f>
        <v>2017/02/23 11:38:17.220</v>
      </c>
      <c r="C1" t="e">
        <f>ABS(B1-#REF!)</f>
        <v>#REF!</v>
      </c>
    </row>
    <row r="2" spans="1:3" x14ac:dyDescent="0.25">
      <c r="A2" t="s">
        <v>910</v>
      </c>
      <c r="B2" s="20" t="str">
        <f t="shared" si="0"/>
        <v>2017/02/23 11:38:17.367</v>
      </c>
      <c r="C2">
        <f>ABS(B2-B1)</f>
        <v>1.7013881006278098E-6</v>
      </c>
    </row>
    <row r="3" spans="1:3" x14ac:dyDescent="0.25">
      <c r="A3" t="s">
        <v>911</v>
      </c>
      <c r="B3" s="20" t="str">
        <f t="shared" si="0"/>
        <v>2017/02/23 11:38:17.999</v>
      </c>
      <c r="C3" s="20">
        <f t="shared" ref="C3:C30" si="1">ABS(B3-B2)</f>
        <v>7.3148112278431654E-6</v>
      </c>
    </row>
    <row r="4" spans="1:3" x14ac:dyDescent="0.25">
      <c r="A4" t="s">
        <v>912</v>
      </c>
      <c r="B4" s="20" t="str">
        <f t="shared" si="0"/>
        <v>2017/02/23 11:38:52.218</v>
      </c>
      <c r="C4" s="20">
        <f t="shared" si="1"/>
        <v>3.9605324127478525E-4</v>
      </c>
    </row>
    <row r="5" spans="1:3" x14ac:dyDescent="0.25">
      <c r="A5" t="s">
        <v>913</v>
      </c>
      <c r="B5" s="20" t="str">
        <f t="shared" si="0"/>
        <v>2017/02/23 11:38:52.381</v>
      </c>
      <c r="C5" s="20">
        <f t="shared" si="1"/>
        <v>1.8865757738240063E-6</v>
      </c>
    </row>
    <row r="6" spans="1:3" x14ac:dyDescent="0.25">
      <c r="A6" t="s">
        <v>914</v>
      </c>
      <c r="B6" s="20" t="str">
        <f t="shared" si="0"/>
        <v>2017/02/23 11:38:53.003</v>
      </c>
      <c r="C6" s="20">
        <f t="shared" si="1"/>
        <v>7.1990725700743496E-6</v>
      </c>
    </row>
    <row r="7" spans="1:3" x14ac:dyDescent="0.25">
      <c r="A7" t="s">
        <v>915</v>
      </c>
      <c r="B7" s="20" t="str">
        <f t="shared" si="0"/>
        <v>2017/02/23 11:53:54.465</v>
      </c>
      <c r="C7" s="20">
        <f t="shared" si="1"/>
        <v>1.0433587965962943E-2</v>
      </c>
    </row>
    <row r="8" spans="1:3" x14ac:dyDescent="0.25">
      <c r="A8" t="s">
        <v>916</v>
      </c>
      <c r="B8" s="20" t="str">
        <f t="shared" si="0"/>
        <v>2017/02/23 11:53:54.856</v>
      </c>
      <c r="C8" s="20">
        <f t="shared" si="1"/>
        <v>4.5254637370817363E-6</v>
      </c>
    </row>
    <row r="9" spans="1:3" x14ac:dyDescent="0.25">
      <c r="A9" t="s">
        <v>917</v>
      </c>
      <c r="B9" s="20" t="str">
        <f t="shared" si="0"/>
        <v>2017/02/23 13:34:03.680</v>
      </c>
      <c r="C9" s="20">
        <f t="shared" si="1"/>
        <v>6.9546574071864597E-2</v>
      </c>
    </row>
    <row r="10" spans="1:3" x14ac:dyDescent="0.25">
      <c r="A10" t="s">
        <v>918</v>
      </c>
      <c r="B10" s="20" t="str">
        <f t="shared" si="0"/>
        <v>2017/02/23 13:34:03.770</v>
      </c>
      <c r="C10" s="20">
        <f t="shared" si="1"/>
        <v>1.0416697477921844E-6</v>
      </c>
    </row>
    <row r="11" spans="1:3" x14ac:dyDescent="0.25">
      <c r="A11" t="s">
        <v>919</v>
      </c>
      <c r="B11" s="20" t="str">
        <f t="shared" si="0"/>
        <v>2017/02/23 13:34:04.468</v>
      </c>
      <c r="C11" s="20">
        <f t="shared" si="1"/>
        <v>8.0786994658410549E-6</v>
      </c>
    </row>
    <row r="12" spans="1:3" x14ac:dyDescent="0.25">
      <c r="A12" t="s">
        <v>920</v>
      </c>
      <c r="B12" s="20" t="str">
        <f t="shared" si="0"/>
        <v>2017/02/23 14:20:59.070</v>
      </c>
      <c r="C12" s="20">
        <f t="shared" si="1"/>
        <v>3.2576412042544689E-2</v>
      </c>
    </row>
    <row r="13" spans="1:3" x14ac:dyDescent="0.25">
      <c r="A13" t="s">
        <v>921</v>
      </c>
      <c r="B13" s="20" t="str">
        <f t="shared" si="0"/>
        <v>2017/02/23 14:20:59.845</v>
      </c>
      <c r="C13" s="20">
        <f t="shared" si="1"/>
        <v>8.969902410171926E-6</v>
      </c>
    </row>
    <row r="14" spans="1:3" x14ac:dyDescent="0.25">
      <c r="A14" t="s">
        <v>922</v>
      </c>
      <c r="B14" s="20" t="str">
        <f t="shared" si="0"/>
        <v>2017/02/23 14:28:00.197</v>
      </c>
      <c r="C14" s="20">
        <f t="shared" si="1"/>
        <v>4.8651851830072701E-3</v>
      </c>
    </row>
    <row r="15" spans="1:3" x14ac:dyDescent="0.25">
      <c r="A15" t="s">
        <v>923</v>
      </c>
      <c r="B15" s="20" t="str">
        <f t="shared" si="0"/>
        <v>2017/02/23 14:28:01.238</v>
      </c>
      <c r="C15" s="20">
        <f t="shared" si="1"/>
        <v>1.204861473524943E-5</v>
      </c>
    </row>
    <row r="16" spans="1:3" x14ac:dyDescent="0.25">
      <c r="A16" t="s">
        <v>924</v>
      </c>
      <c r="B16" s="20" t="str">
        <f t="shared" si="0"/>
        <v>2017/02/23 14:28:01.509</v>
      </c>
      <c r="C16" s="20">
        <f t="shared" si="1"/>
        <v>3.1365707400254905E-6</v>
      </c>
    </row>
    <row r="17" spans="1:3" x14ac:dyDescent="0.25">
      <c r="A17" t="s">
        <v>925</v>
      </c>
      <c r="B17" s="20" t="str">
        <f t="shared" si="0"/>
        <v>2017/02/23 14:28:48.245</v>
      </c>
      <c r="C17" s="20">
        <f t="shared" si="1"/>
        <v>5.4092593200039119E-4</v>
      </c>
    </row>
    <row r="18" spans="1:3" x14ac:dyDescent="0.25">
      <c r="A18" t="s">
        <v>926</v>
      </c>
      <c r="B18" s="20" t="str">
        <f t="shared" si="0"/>
        <v>2017/02/23 14:28:49.189</v>
      </c>
      <c r="C18" s="20">
        <f t="shared" si="1"/>
        <v>1.0925919923465699E-5</v>
      </c>
    </row>
    <row r="19" spans="1:3" x14ac:dyDescent="0.25">
      <c r="A19" t="s">
        <v>927</v>
      </c>
      <c r="B19" s="20" t="str">
        <f t="shared" si="0"/>
        <v>2017/02/23 14:28:49.508</v>
      </c>
      <c r="C19" s="20">
        <f t="shared" si="1"/>
        <v>3.6921337596140802E-6</v>
      </c>
    </row>
    <row r="20" spans="1:3" x14ac:dyDescent="0.25">
      <c r="A20" t="s">
        <v>928</v>
      </c>
      <c r="B20" s="20" t="str">
        <f t="shared" si="0"/>
        <v>2017/02/23 14:56:39.328</v>
      </c>
      <c r="C20" s="20">
        <f t="shared" si="1"/>
        <v>1.9326620371430181E-2</v>
      </c>
    </row>
    <row r="21" spans="1:3" x14ac:dyDescent="0.25">
      <c r="A21" t="s">
        <v>929</v>
      </c>
      <c r="B21" s="20" t="str">
        <f t="shared" si="0"/>
        <v>2017/02/23 14:56:39.718</v>
      </c>
      <c r="C21" s="20">
        <f t="shared" si="1"/>
        <v>4.5138876885175705E-6</v>
      </c>
    </row>
    <row r="22" spans="1:3" x14ac:dyDescent="0.25">
      <c r="A22" t="s">
        <v>930</v>
      </c>
      <c r="B22" s="20" t="str">
        <f t="shared" si="0"/>
        <v>2017/02/23 14:56:39.737</v>
      </c>
      <c r="C22" s="20">
        <f t="shared" si="1"/>
        <v>2.1990854293107986E-7</v>
      </c>
    </row>
    <row r="23" spans="1:3" x14ac:dyDescent="0.25">
      <c r="A23" t="s">
        <v>931</v>
      </c>
      <c r="B23" s="20" t="str">
        <f t="shared" si="0"/>
        <v>2017/02/23 15:21:02.984</v>
      </c>
      <c r="C23" s="20">
        <f t="shared" si="1"/>
        <v>1.6935729167016689E-2</v>
      </c>
    </row>
    <row r="24" spans="1:3" x14ac:dyDescent="0.25">
      <c r="A24" t="s">
        <v>932</v>
      </c>
      <c r="B24" s="20" t="str">
        <f t="shared" si="0"/>
        <v>2017/02/23 15:21:03.501</v>
      </c>
      <c r="C24" s="20">
        <f t="shared" si="1"/>
        <v>5.9837911976501346E-6</v>
      </c>
    </row>
    <row r="25" spans="1:3" x14ac:dyDescent="0.25">
      <c r="A25" t="s">
        <v>933</v>
      </c>
      <c r="B25" s="20" t="str">
        <f t="shared" si="0"/>
        <v>2017/02/23 15:21:03.666</v>
      </c>
      <c r="C25" s="20">
        <f t="shared" si="1"/>
        <v>1.909727870952338E-6</v>
      </c>
    </row>
    <row r="26" spans="1:3" x14ac:dyDescent="0.25">
      <c r="A26" t="s">
        <v>934</v>
      </c>
      <c r="B26" s="20" t="str">
        <f t="shared" si="0"/>
        <v>2017/02/23 15:28:52.913</v>
      </c>
      <c r="C26" s="20">
        <f t="shared" si="1"/>
        <v>5.4310995328705758E-3</v>
      </c>
    </row>
    <row r="27" spans="1:3" x14ac:dyDescent="0.25">
      <c r="A27" t="s">
        <v>935</v>
      </c>
      <c r="B27" s="20" t="str">
        <f t="shared" si="0"/>
        <v>2017/02/23 15:28:53.462</v>
      </c>
      <c r="C27" s="20">
        <f t="shared" si="1"/>
        <v>6.3541665440425277E-6</v>
      </c>
    </row>
    <row r="28" spans="1:3" x14ac:dyDescent="0.25">
      <c r="A28" t="s">
        <v>936</v>
      </c>
      <c r="B28" s="20" t="str">
        <f t="shared" si="0"/>
        <v>2017/02/23 15:37:06.212</v>
      </c>
      <c r="C28" s="20">
        <f t="shared" si="1"/>
        <v>5.7031250034924597E-3</v>
      </c>
    </row>
    <row r="29" spans="1:3" x14ac:dyDescent="0.25">
      <c r="A29" t="s">
        <v>937</v>
      </c>
      <c r="B29" s="20" t="str">
        <f t="shared" si="0"/>
        <v>2017/02/23 15:37:07.287</v>
      </c>
      <c r="C29" s="20">
        <f t="shared" si="1"/>
        <v>1.2442127626854926E-5</v>
      </c>
    </row>
    <row r="30" spans="1:3" x14ac:dyDescent="0.25">
      <c r="A30" t="s">
        <v>938</v>
      </c>
      <c r="B30" s="20" t="str">
        <f t="shared" si="0"/>
        <v>2017/02/23 15:39:36.218</v>
      </c>
      <c r="C30" s="20">
        <f t="shared" si="1"/>
        <v>1.7237384236068465E-3</v>
      </c>
    </row>
    <row r="31" spans="1:3" x14ac:dyDescent="0.25">
      <c r="A31" t="s">
        <v>939</v>
      </c>
      <c r="B31" s="20" t="str">
        <f t="shared" ref="B31:B32" si="2">MID(A31,6,23)</f>
        <v>2017/02/23 16:01:23.849</v>
      </c>
      <c r="C31" s="20">
        <f t="shared" ref="C31:C32" si="3">ABS(B31-B30)</f>
        <v>1.5134618057345506E-2</v>
      </c>
    </row>
    <row r="32" spans="1:3" x14ac:dyDescent="0.25">
      <c r="A32" t="s">
        <v>940</v>
      </c>
      <c r="B32" s="20" t="str">
        <f t="shared" si="2"/>
        <v>2017/02/23 16:01:25.070</v>
      </c>
      <c r="C32" s="20">
        <f t="shared" si="3"/>
        <v>1.4131946954876184E-5</v>
      </c>
    </row>
    <row r="33" spans="1:3" x14ac:dyDescent="0.25">
      <c r="A33" t="s">
        <v>941</v>
      </c>
      <c r="B33" s="20" t="str">
        <f t="shared" ref="B33:B49" si="4">MID(A33,6,23)</f>
        <v>2017/02/23 16:05:56.233</v>
      </c>
      <c r="C33" s="20">
        <f t="shared" ref="C33:C49" si="5">ABS(B33-B32)</f>
        <v>3.1384606481879018E-3</v>
      </c>
    </row>
    <row r="34" spans="1:3" x14ac:dyDescent="0.25">
      <c r="A34" t="s">
        <v>942</v>
      </c>
      <c r="B34" s="20" t="str">
        <f t="shared" si="4"/>
        <v>2017/02/23 16:05:56.674</v>
      </c>
      <c r="C34" s="20">
        <f t="shared" si="5"/>
        <v>5.1041643018834293E-6</v>
      </c>
    </row>
    <row r="35" spans="1:3" x14ac:dyDescent="0.25">
      <c r="A35" t="s">
        <v>943</v>
      </c>
      <c r="B35" s="20" t="str">
        <f t="shared" si="4"/>
        <v>2017/02/23 16:21:24.003</v>
      </c>
      <c r="C35" s="20">
        <f t="shared" si="5"/>
        <v>1.0732974536949769E-2</v>
      </c>
    </row>
    <row r="36" spans="1:3" x14ac:dyDescent="0.25">
      <c r="A36" t="s">
        <v>944</v>
      </c>
      <c r="B36" s="20" t="str">
        <f t="shared" si="4"/>
        <v>2017/02/23 16:21:24.146</v>
      </c>
      <c r="C36" s="20">
        <f t="shared" si="5"/>
        <v>1.6550911823287606E-6</v>
      </c>
    </row>
    <row r="37" spans="1:3" x14ac:dyDescent="0.25">
      <c r="A37" t="s">
        <v>945</v>
      </c>
      <c r="B37" s="20" t="str">
        <f t="shared" si="4"/>
        <v>2017/02/23 16:21:24.259</v>
      </c>
      <c r="C37" s="20">
        <f t="shared" si="5"/>
        <v>1.3078752090223134E-6</v>
      </c>
    </row>
    <row r="38" spans="1:3" x14ac:dyDescent="0.25">
      <c r="A38" t="s">
        <v>946</v>
      </c>
      <c r="B38" s="20" t="str">
        <f t="shared" si="4"/>
        <v>2017/02/23 16:30:49.737</v>
      </c>
      <c r="C38" s="20">
        <f t="shared" si="5"/>
        <v>6.544884257891681E-3</v>
      </c>
    </row>
    <row r="39" spans="1:3" x14ac:dyDescent="0.25">
      <c r="A39" t="s">
        <v>947</v>
      </c>
      <c r="B39" s="20" t="str">
        <f t="shared" si="4"/>
        <v>2017/02/23 16:30:50.332</v>
      </c>
      <c r="C39" s="20">
        <f t="shared" si="5"/>
        <v>6.8865701905451715E-6</v>
      </c>
    </row>
    <row r="40" spans="1:3" x14ac:dyDescent="0.25">
      <c r="A40" t="s">
        <v>948</v>
      </c>
      <c r="B40" s="20" t="str">
        <f t="shared" si="4"/>
        <v>2017/02/23 16:30:50.755</v>
      </c>
      <c r="C40" s="20">
        <f t="shared" si="5"/>
        <v>4.8958390834741294E-6</v>
      </c>
    </row>
    <row r="41" spans="1:3" x14ac:dyDescent="0.25">
      <c r="A41" t="s">
        <v>949</v>
      </c>
      <c r="B41" s="20" t="str">
        <f t="shared" si="4"/>
        <v>2017/02/23 16:41:25.065</v>
      </c>
      <c r="C41" s="20">
        <f t="shared" si="5"/>
        <v>7.3415509250480682E-3</v>
      </c>
    </row>
    <row r="42" spans="1:3" x14ac:dyDescent="0.25">
      <c r="A42" t="s">
        <v>950</v>
      </c>
      <c r="B42" s="20" t="str">
        <f t="shared" si="4"/>
        <v>2017/02/23 16:51:25.625</v>
      </c>
      <c r="C42" s="20">
        <f t="shared" si="5"/>
        <v>6.9509259265032597E-3</v>
      </c>
    </row>
    <row r="43" spans="1:3" x14ac:dyDescent="0.25">
      <c r="A43" t="s">
        <v>951</v>
      </c>
      <c r="B43" s="20" t="str">
        <f t="shared" si="4"/>
        <v>2017/02/23 16:51:26.146</v>
      </c>
      <c r="C43" s="20">
        <f t="shared" si="5"/>
        <v>6.0300881159491837E-6</v>
      </c>
    </row>
    <row r="44" spans="1:3" x14ac:dyDescent="0.25">
      <c r="A44" t="s">
        <v>952</v>
      </c>
      <c r="B44" s="20" t="str">
        <f t="shared" si="4"/>
        <v>2017/02/23 17:01:49.616</v>
      </c>
      <c r="C44" s="20">
        <f t="shared" si="5"/>
        <v>7.2160879644798115E-3</v>
      </c>
    </row>
    <row r="45" spans="1:3" x14ac:dyDescent="0.25">
      <c r="A45" t="s">
        <v>953</v>
      </c>
      <c r="B45" s="20" t="str">
        <f t="shared" si="4"/>
        <v>2017/02/23 17:01:50.136</v>
      </c>
      <c r="C45" s="20">
        <f t="shared" si="5"/>
        <v>6.0185193433426321E-6</v>
      </c>
    </row>
    <row r="46" spans="1:3" x14ac:dyDescent="0.25">
      <c r="A46" t="s">
        <v>954</v>
      </c>
      <c r="B46" s="20" t="str">
        <f t="shared" si="4"/>
        <v>2017/02/23 17:06:04.997</v>
      </c>
      <c r="C46" s="20">
        <f t="shared" si="5"/>
        <v>2.9497800933313556E-3</v>
      </c>
    </row>
    <row r="47" spans="1:3" x14ac:dyDescent="0.25">
      <c r="A47" t="s">
        <v>955</v>
      </c>
      <c r="B47" s="20" t="str">
        <f t="shared" si="4"/>
        <v>2017/02/23 17:06:05.506</v>
      </c>
      <c r="C47" s="20">
        <f t="shared" si="5"/>
        <v>5.8912046370096505E-6</v>
      </c>
    </row>
    <row r="48" spans="1:3" x14ac:dyDescent="0.25">
      <c r="A48" t="s">
        <v>956</v>
      </c>
      <c r="B48" s="20" t="str">
        <f t="shared" si="4"/>
        <v>2017/02/23 17:06:05.672</v>
      </c>
      <c r="C48" s="20">
        <f t="shared" si="5"/>
        <v>1.9212966435588896E-6</v>
      </c>
    </row>
    <row r="49" spans="1:3" x14ac:dyDescent="0.25">
      <c r="A49" t="s">
        <v>957</v>
      </c>
      <c r="B49" s="20" t="str">
        <f t="shared" si="4"/>
        <v>2017/02/23 17:12:34.695</v>
      </c>
      <c r="C49" s="20">
        <f t="shared" si="5"/>
        <v>4.5025810177321546E-3</v>
      </c>
    </row>
    <row r="50" spans="1:3" x14ac:dyDescent="0.25">
      <c r="A50" t="s">
        <v>958</v>
      </c>
      <c r="B50" s="20" t="str">
        <f t="shared" ref="B50:B54" si="6">MID(A50,6,23)</f>
        <v>2017/02/23 17:12:37.135</v>
      </c>
      <c r="C50" s="20">
        <f t="shared" ref="C50:C54" si="7">ABS(B50-B49)</f>
        <v>2.8240741812624037E-5</v>
      </c>
    </row>
    <row r="51" spans="1:3" x14ac:dyDescent="0.25">
      <c r="A51" t="s">
        <v>959</v>
      </c>
      <c r="B51" s="20" t="str">
        <f t="shared" si="6"/>
        <v>2017/02/23 17:16:39.917</v>
      </c>
      <c r="C51" s="20">
        <f t="shared" si="7"/>
        <v>2.8099768460378982E-3</v>
      </c>
    </row>
    <row r="52" spans="1:3" x14ac:dyDescent="0.25">
      <c r="A52" t="s">
        <v>960</v>
      </c>
      <c r="B52" s="20" t="str">
        <f t="shared" si="6"/>
        <v>2017/02/23 17:16:41.475</v>
      </c>
      <c r="C52" s="20">
        <f t="shared" si="7"/>
        <v>1.8032413208857179E-5</v>
      </c>
    </row>
    <row r="53" spans="1:3" x14ac:dyDescent="0.25">
      <c r="A53" t="s">
        <v>961</v>
      </c>
      <c r="B53" s="20" t="str">
        <f t="shared" si="6"/>
        <v>2017/02/23 17:36:36.975</v>
      </c>
      <c r="C53" s="20">
        <f t="shared" si="7"/>
        <v>1.3836805548635311E-2</v>
      </c>
    </row>
    <row r="54" spans="1:3" x14ac:dyDescent="0.25">
      <c r="A54" t="s">
        <v>962</v>
      </c>
      <c r="B54" s="20" t="str">
        <f t="shared" si="6"/>
        <v>2017/02/23 17:36:37.483</v>
      </c>
      <c r="C54" s="20">
        <f t="shared" si="7"/>
        <v>5.8796358644030988E-6</v>
      </c>
    </row>
    <row r="55" spans="1:3" x14ac:dyDescent="0.25">
      <c r="A55" t="s">
        <v>963</v>
      </c>
      <c r="B55" s="20" t="str">
        <f t="shared" ref="B55:B62" si="8">MID(A55,6,23)</f>
        <v>2017/02/23 17:36:37.656</v>
      </c>
      <c r="C55" s="20">
        <f t="shared" ref="C55:C62" si="9">ABS(B55-B54)</f>
        <v>2.0023144315928221E-6</v>
      </c>
    </row>
    <row r="56" spans="1:3" x14ac:dyDescent="0.25">
      <c r="A56" t="s">
        <v>964</v>
      </c>
      <c r="B56" s="20" t="str">
        <f t="shared" si="8"/>
        <v>2017/02/23 17:55:46.848</v>
      </c>
      <c r="C56" s="20">
        <f t="shared" si="9"/>
        <v>1.3300833328685258E-2</v>
      </c>
    </row>
    <row r="57" spans="1:3" x14ac:dyDescent="0.25">
      <c r="A57" t="s">
        <v>965</v>
      </c>
      <c r="B57" s="20" t="str">
        <f t="shared" si="8"/>
        <v>2017/02/23 17:55:47.068</v>
      </c>
      <c r="C57" s="20">
        <f t="shared" si="9"/>
        <v>2.5463014026172459E-6</v>
      </c>
    </row>
    <row r="58" spans="1:3" x14ac:dyDescent="0.25">
      <c r="A58" t="s">
        <v>966</v>
      </c>
      <c r="B58" s="20" t="str">
        <f t="shared" si="8"/>
        <v>2017/02/23 17:55:47.170</v>
      </c>
      <c r="C58" s="20">
        <f t="shared" si="9"/>
        <v>1.1805532267317176E-6</v>
      </c>
    </row>
    <row r="59" spans="1:3" x14ac:dyDescent="0.25">
      <c r="A59" t="s">
        <v>967</v>
      </c>
      <c r="B59" s="20" t="str">
        <f t="shared" si="8"/>
        <v>2017/02/23 17:57:53.249</v>
      </c>
      <c r="C59" s="20">
        <f t="shared" si="9"/>
        <v>1.4592476873076521E-3</v>
      </c>
    </row>
    <row r="60" spans="1:3" x14ac:dyDescent="0.25">
      <c r="A60" t="s">
        <v>968</v>
      </c>
      <c r="B60" s="20" t="str">
        <f t="shared" si="8"/>
        <v>2017/02/23 17:57:53.773</v>
      </c>
      <c r="C60" s="20">
        <f t="shared" si="9"/>
        <v>6.064808985684067E-6</v>
      </c>
    </row>
    <row r="61" spans="1:3" x14ac:dyDescent="0.25">
      <c r="A61" t="s">
        <v>969</v>
      </c>
      <c r="B61" s="20" t="str">
        <f t="shared" si="8"/>
        <v>2017/02/23 17:57:53.898</v>
      </c>
      <c r="C61" s="20">
        <f t="shared" si="9"/>
        <v>1.4467659639194608E-6</v>
      </c>
    </row>
    <row r="62" spans="1:3" x14ac:dyDescent="0.25">
      <c r="A62" t="s">
        <v>970</v>
      </c>
      <c r="B62" s="20" t="str">
        <f t="shared" si="8"/>
        <v>2017/02/23 18:00:49.910</v>
      </c>
      <c r="C62" s="20">
        <f t="shared" si="9"/>
        <v>2.0371759237605147E-3</v>
      </c>
    </row>
    <row r="63" spans="1:3" x14ac:dyDescent="0.25">
      <c r="A63" t="s">
        <v>971</v>
      </c>
      <c r="B63" s="20" t="str">
        <f t="shared" ref="B63:B86" si="10">MID(A63,6,23)</f>
        <v>2017/02/23 18:00:50.260</v>
      </c>
      <c r="C63" s="20">
        <f t="shared" ref="C63:C86" si="11">ABS(B63-B62)</f>
        <v>4.0509257814846933E-6</v>
      </c>
    </row>
    <row r="64" spans="1:3" x14ac:dyDescent="0.25">
      <c r="A64" t="s">
        <v>972</v>
      </c>
      <c r="B64" s="20" t="str">
        <f t="shared" si="10"/>
        <v>2017/02/23 18:00:50.786</v>
      </c>
      <c r="C64" s="20">
        <f t="shared" si="11"/>
        <v>6.0879610828123987E-6</v>
      </c>
    </row>
    <row r="65" spans="1:3" x14ac:dyDescent="0.25">
      <c r="A65" t="s">
        <v>973</v>
      </c>
      <c r="B65" s="20" t="str">
        <f t="shared" si="10"/>
        <v>2017/02/23 18:23:02.349</v>
      </c>
      <c r="C65" s="20">
        <f t="shared" si="11"/>
        <v>1.5411608794238418E-2</v>
      </c>
    </row>
    <row r="66" spans="1:3" x14ac:dyDescent="0.25">
      <c r="A66" t="s">
        <v>974</v>
      </c>
      <c r="B66" s="20" t="str">
        <f t="shared" si="10"/>
        <v>2017/02/23 18:23:02.737</v>
      </c>
      <c r="C66" s="20">
        <f t="shared" si="11"/>
        <v>4.490742867346853E-6</v>
      </c>
    </row>
    <row r="67" spans="1:3" x14ac:dyDescent="0.25">
      <c r="A67" t="s">
        <v>975</v>
      </c>
      <c r="B67" s="20" t="str">
        <f t="shared" si="10"/>
        <v>2017/02/23 18:23:02.752</v>
      </c>
      <c r="C67" s="20">
        <f t="shared" si="11"/>
        <v>1.7361162463203073E-7</v>
      </c>
    </row>
    <row r="68" spans="1:3" x14ac:dyDescent="0.25">
      <c r="A68" t="s">
        <v>976</v>
      </c>
      <c r="B68" s="20" t="str">
        <f t="shared" si="10"/>
        <v>2017/02/23 18:26:12.564</v>
      </c>
      <c r="C68" s="20">
        <f t="shared" si="11"/>
        <v>2.1968981454847381E-3</v>
      </c>
    </row>
    <row r="69" spans="1:3" x14ac:dyDescent="0.25">
      <c r="A69" t="s">
        <v>977</v>
      </c>
      <c r="B69" s="20" t="str">
        <f t="shared" si="10"/>
        <v>2017/02/23 18:26:12.843</v>
      </c>
      <c r="C69" s="20">
        <f t="shared" si="11"/>
        <v>3.229171852581203E-6</v>
      </c>
    </row>
    <row r="70" spans="1:3" x14ac:dyDescent="0.25">
      <c r="A70" t="s">
        <v>978</v>
      </c>
      <c r="B70" s="20" t="str">
        <f t="shared" si="10"/>
        <v>2017/02/23 18:28:47.724</v>
      </c>
      <c r="C70" s="20">
        <f t="shared" si="11"/>
        <v>1.7926041618920863E-3</v>
      </c>
    </row>
    <row r="71" spans="1:3" x14ac:dyDescent="0.25">
      <c r="A71" t="s">
        <v>979</v>
      </c>
      <c r="B71" s="20" t="str">
        <f t="shared" si="10"/>
        <v>2017/02/23 18:28:48.327</v>
      </c>
      <c r="C71" s="20">
        <f t="shared" si="11"/>
        <v>6.979171303100884E-6</v>
      </c>
    </row>
    <row r="72" spans="1:3" x14ac:dyDescent="0.25">
      <c r="A72" t="s">
        <v>980</v>
      </c>
      <c r="B72" s="20" t="str">
        <f t="shared" si="10"/>
        <v>2017/02/23 18:54:56.641</v>
      </c>
      <c r="C72" s="20">
        <f t="shared" si="11"/>
        <v>1.8151782402128447E-2</v>
      </c>
    </row>
    <row r="73" spans="1:3" x14ac:dyDescent="0.25">
      <c r="A73" t="s">
        <v>981</v>
      </c>
      <c r="B73" s="20" t="str">
        <f t="shared" si="10"/>
        <v>2017/02/23 18:54:56.827</v>
      </c>
      <c r="C73" s="20">
        <f t="shared" si="11"/>
        <v>2.1527812350541353E-6</v>
      </c>
    </row>
    <row r="74" spans="1:3" x14ac:dyDescent="0.25">
      <c r="A74" t="s">
        <v>982</v>
      </c>
      <c r="B74" s="20" t="str">
        <f t="shared" si="10"/>
        <v>2017/02/23 18:54:56.979</v>
      </c>
      <c r="C74" s="20">
        <f t="shared" si="11"/>
        <v>1.7592610674910247E-6</v>
      </c>
    </row>
    <row r="75" spans="1:3" x14ac:dyDescent="0.25">
      <c r="A75" t="s">
        <v>983</v>
      </c>
      <c r="B75" s="20" t="str">
        <f t="shared" si="10"/>
        <v>2017/02/23 19:08:53.036</v>
      </c>
      <c r="C75" s="20">
        <f t="shared" si="11"/>
        <v>9.6765856433194131E-3</v>
      </c>
    </row>
    <row r="76" spans="1:3" x14ac:dyDescent="0.25">
      <c r="A76" t="s">
        <v>984</v>
      </c>
      <c r="B76" s="20" t="str">
        <f t="shared" si="10"/>
        <v>2017/02/23 19:08:53.037</v>
      </c>
      <c r="C76" s="20">
        <f t="shared" si="11"/>
        <v>1.1576048564165831E-8</v>
      </c>
    </row>
    <row r="77" spans="1:3" x14ac:dyDescent="0.25">
      <c r="A77" t="s">
        <v>985</v>
      </c>
      <c r="B77" s="20" t="str">
        <f t="shared" si="10"/>
        <v>2017/02/23 19:08:53.095</v>
      </c>
      <c r="C77" s="20">
        <f t="shared" si="11"/>
        <v>6.7129440139979124E-7</v>
      </c>
    </row>
    <row r="78" spans="1:3" x14ac:dyDescent="0.25">
      <c r="A78" t="s">
        <v>986</v>
      </c>
      <c r="B78" s="20" t="str">
        <f t="shared" si="10"/>
        <v>2017/02/23 19:33:58.823</v>
      </c>
      <c r="C78" s="20">
        <f t="shared" si="11"/>
        <v>1.7427407408831641E-2</v>
      </c>
    </row>
    <row r="79" spans="1:3" x14ac:dyDescent="0.25">
      <c r="A79" t="s">
        <v>987</v>
      </c>
      <c r="B79" s="20" t="str">
        <f t="shared" si="10"/>
        <v>2017/02/23 19:33:58.912</v>
      </c>
      <c r="C79" s="20">
        <f t="shared" si="11"/>
        <v>1.0300936992280185E-6</v>
      </c>
    </row>
    <row r="80" spans="1:3" x14ac:dyDescent="0.25">
      <c r="A80" t="s">
        <v>988</v>
      </c>
      <c r="B80" s="20" t="str">
        <f t="shared" si="10"/>
        <v>2017/02/23 19:33:59.259</v>
      </c>
      <c r="C80" s="20">
        <f t="shared" si="11"/>
        <v>4.01620491174981E-6</v>
      </c>
    </row>
    <row r="81" spans="1:3" x14ac:dyDescent="0.25">
      <c r="A81" t="s">
        <v>989</v>
      </c>
      <c r="B81" s="20" t="str">
        <f t="shared" si="10"/>
        <v>2017/02/23 19:57:57.558</v>
      </c>
      <c r="C81" s="20">
        <f t="shared" si="11"/>
        <v>1.6646979165670928E-2</v>
      </c>
    </row>
    <row r="82" spans="1:3" x14ac:dyDescent="0.25">
      <c r="A82" t="s">
        <v>990</v>
      </c>
      <c r="B82" s="20" t="str">
        <f t="shared" si="10"/>
        <v>2017/02/23 19:57:57.840</v>
      </c>
      <c r="C82" s="20">
        <f t="shared" si="11"/>
        <v>3.2638854463584721E-6</v>
      </c>
    </row>
    <row r="83" spans="1:3" x14ac:dyDescent="0.25">
      <c r="A83" t="s">
        <v>991</v>
      </c>
      <c r="B83" s="20" t="str">
        <f t="shared" si="10"/>
        <v>2017/02/23 20:37:02.059</v>
      </c>
      <c r="C83" s="20">
        <f t="shared" si="11"/>
        <v>2.7132164352224208E-2</v>
      </c>
    </row>
    <row r="84" spans="1:3" x14ac:dyDescent="0.25">
      <c r="A84" t="s">
        <v>992</v>
      </c>
      <c r="B84" s="20" t="str">
        <f t="shared" si="10"/>
        <v>2017/02/23 20:37:02.681</v>
      </c>
      <c r="C84" s="20">
        <f t="shared" si="11"/>
        <v>7.1990798460319638E-6</v>
      </c>
    </row>
    <row r="85" spans="1:3" x14ac:dyDescent="0.25">
      <c r="A85" t="s">
        <v>993</v>
      </c>
      <c r="B85" s="20" t="str">
        <f t="shared" si="10"/>
        <v>2017/02/23 20:42:16.670</v>
      </c>
      <c r="C85" s="20">
        <f t="shared" si="11"/>
        <v>3.6341319428174756E-3</v>
      </c>
    </row>
    <row r="86" spans="1:3" x14ac:dyDescent="0.25">
      <c r="A86" t="s">
        <v>994</v>
      </c>
      <c r="B86" s="20" t="str">
        <f t="shared" si="10"/>
        <v>2017/02/23 20:42:17.062</v>
      </c>
      <c r="C86" s="20">
        <f t="shared" si="11"/>
        <v>4.537032509688288E-6</v>
      </c>
    </row>
    <row r="87" spans="1:3" x14ac:dyDescent="0.25">
      <c r="A87" t="s">
        <v>995</v>
      </c>
      <c r="B87" s="20" t="str">
        <f t="shared" ref="B87:B146" si="12">MID(A87,6,23)</f>
        <v>2017/02/23 20:49:37.461</v>
      </c>
      <c r="C87" s="20">
        <f t="shared" ref="C87:C146" si="13">ABS(B87-B86)</f>
        <v>5.097210654639639E-3</v>
      </c>
    </row>
    <row r="88" spans="1:3" x14ac:dyDescent="0.25">
      <c r="A88" t="s">
        <v>996</v>
      </c>
      <c r="B88" s="20" t="str">
        <f t="shared" si="12"/>
        <v>2017/02/23 20:49:37.918</v>
      </c>
      <c r="C88" s="20">
        <f t="shared" si="13"/>
        <v>5.2893519750796258E-6</v>
      </c>
    </row>
    <row r="89" spans="1:3" x14ac:dyDescent="0.25">
      <c r="A89" t="s">
        <v>997</v>
      </c>
      <c r="B89" s="20" t="str">
        <f t="shared" si="12"/>
        <v>2017/02/23 21:07:51.171</v>
      </c>
      <c r="C89" s="20">
        <f t="shared" si="13"/>
        <v>1.2653391197090968E-2</v>
      </c>
    </row>
    <row r="90" spans="1:3" x14ac:dyDescent="0.25">
      <c r="A90" t="s">
        <v>998</v>
      </c>
      <c r="B90" s="20" t="str">
        <f t="shared" si="12"/>
        <v>2017/02/23 21:07:51.562</v>
      </c>
      <c r="C90" s="20">
        <f t="shared" si="13"/>
        <v>4.5254637370817363E-6</v>
      </c>
    </row>
    <row r="91" spans="1:3" x14ac:dyDescent="0.25">
      <c r="A91" t="s">
        <v>999</v>
      </c>
      <c r="B91" s="20" t="str">
        <f t="shared" si="12"/>
        <v>2017/02/23 21:07:51.954</v>
      </c>
      <c r="C91" s="20">
        <f t="shared" si="13"/>
        <v>4.5370397856459022E-6</v>
      </c>
    </row>
    <row r="92" spans="1:3" x14ac:dyDescent="0.25">
      <c r="A92" t="s">
        <v>1000</v>
      </c>
      <c r="B92" s="20" t="str">
        <f t="shared" si="12"/>
        <v>2017/02/23 21:43:25.575</v>
      </c>
      <c r="C92" s="20">
        <f t="shared" si="13"/>
        <v>2.4694687497685663E-2</v>
      </c>
    </row>
    <row r="93" spans="1:3" x14ac:dyDescent="0.25">
      <c r="A93" t="s">
        <v>1001</v>
      </c>
      <c r="B93" s="20" t="str">
        <f t="shared" si="12"/>
        <v>2017/02/23 21:43:26.849</v>
      </c>
      <c r="C93" s="20">
        <f t="shared" si="13"/>
        <v>1.4745375665370375E-5</v>
      </c>
    </row>
    <row r="94" spans="1:3" x14ac:dyDescent="0.25">
      <c r="A94" t="s">
        <v>1002</v>
      </c>
      <c r="B94" s="20" t="str">
        <f t="shared" si="12"/>
        <v>2017/02/23 21:52:28.558</v>
      </c>
      <c r="C94" s="20">
        <f t="shared" si="13"/>
        <v>6.2697800894966349E-3</v>
      </c>
    </row>
    <row r="95" spans="1:3" x14ac:dyDescent="0.25">
      <c r="A95" t="s">
        <v>1003</v>
      </c>
      <c r="B95" s="20" t="str">
        <f t="shared" si="12"/>
        <v>2017/02/23 21:59:00.661</v>
      </c>
      <c r="C95" s="20">
        <f t="shared" si="13"/>
        <v>4.5382291646092199E-3</v>
      </c>
    </row>
    <row r="96" spans="1:3" x14ac:dyDescent="0.25">
      <c r="A96" t="s">
        <v>1004</v>
      </c>
      <c r="B96" s="20" t="str">
        <f t="shared" si="12"/>
        <v>2017/02/23 21:59:00.843</v>
      </c>
      <c r="C96" s="20">
        <f t="shared" si="13"/>
        <v>2.1064843167550862E-6</v>
      </c>
    </row>
    <row r="97" spans="1:3" x14ac:dyDescent="0.25">
      <c r="A97" t="s">
        <v>1005</v>
      </c>
      <c r="B97" s="20" t="str">
        <f t="shared" si="12"/>
        <v>2017/02/23 21:59:01.004</v>
      </c>
      <c r="C97" s="20">
        <f t="shared" si="13"/>
        <v>1.8634236766956747E-6</v>
      </c>
    </row>
    <row r="98" spans="1:3" x14ac:dyDescent="0.25">
      <c r="A98" t="s">
        <v>1006</v>
      </c>
      <c r="B98" s="20" t="str">
        <f t="shared" si="12"/>
        <v>2017/02/23 22:35:19.044</v>
      </c>
      <c r="C98" s="20">
        <f t="shared" si="13"/>
        <v>2.5208796294464264E-2</v>
      </c>
    </row>
    <row r="99" spans="1:3" x14ac:dyDescent="0.25">
      <c r="A99" t="s">
        <v>1007</v>
      </c>
      <c r="B99" s="20" t="str">
        <f t="shared" si="12"/>
        <v>2017/02/23 22:35:19.053</v>
      </c>
      <c r="C99" s="20">
        <f t="shared" si="13"/>
        <v>1.0416988516226411E-7</v>
      </c>
    </row>
    <row r="100" spans="1:3" x14ac:dyDescent="0.25">
      <c r="A100" t="s">
        <v>1008</v>
      </c>
      <c r="B100" s="20" t="str">
        <f t="shared" si="12"/>
        <v>2017/02/23 22:35:19.106</v>
      </c>
      <c r="C100" s="20">
        <f t="shared" si="13"/>
        <v>6.1342871049419045E-7</v>
      </c>
    </row>
    <row r="101" spans="1:3" x14ac:dyDescent="0.25">
      <c r="A101" t="s">
        <v>1009</v>
      </c>
      <c r="B101" s="20" t="str">
        <f t="shared" si="12"/>
        <v>2017/02/23 22:52:00.031</v>
      </c>
      <c r="C101" s="20">
        <f t="shared" si="13"/>
        <v>1.1584780091652647E-2</v>
      </c>
    </row>
    <row r="102" spans="1:3" x14ac:dyDescent="0.25">
      <c r="A102" t="s">
        <v>1010</v>
      </c>
      <c r="B102" s="20" t="str">
        <f t="shared" si="12"/>
        <v>2017/02/23 22:52:00.038</v>
      </c>
      <c r="C102" s="20">
        <f t="shared" si="13"/>
        <v>8.1017788033932447E-8</v>
      </c>
    </row>
    <row r="103" spans="1:3" x14ac:dyDescent="0.25">
      <c r="A103" t="s">
        <v>1011</v>
      </c>
      <c r="B103" s="20" t="str">
        <f t="shared" si="12"/>
        <v>2017/02/23 22:52:01.093</v>
      </c>
      <c r="C103" s="20">
        <f t="shared" si="13"/>
        <v>1.2210650311317295E-5</v>
      </c>
    </row>
    <row r="104" spans="1:3" x14ac:dyDescent="0.25">
      <c r="A104" t="s">
        <v>1012</v>
      </c>
      <c r="B104" s="20" t="str">
        <f t="shared" si="12"/>
        <v>2017/02/23 23:06:31.197</v>
      </c>
      <c r="C104" s="20">
        <f t="shared" si="13"/>
        <v>1.007064814621117E-2</v>
      </c>
    </row>
    <row r="105" spans="1:3" x14ac:dyDescent="0.25">
      <c r="A105" t="s">
        <v>1013</v>
      </c>
      <c r="B105" s="20" t="str">
        <f t="shared" si="12"/>
        <v>2017/02/23 23:06:31.646</v>
      </c>
      <c r="C105" s="20">
        <f t="shared" si="13"/>
        <v>5.1967581384815276E-6</v>
      </c>
    </row>
    <row r="106" spans="1:3" x14ac:dyDescent="0.25">
      <c r="A106" t="s">
        <v>1014</v>
      </c>
      <c r="B106" s="20" t="str">
        <f t="shared" si="12"/>
        <v>2017/02/23 23:06:32.241</v>
      </c>
      <c r="C106" s="20">
        <f t="shared" si="13"/>
        <v>6.8865701905451715E-6</v>
      </c>
    </row>
    <row r="107" spans="1:3" x14ac:dyDescent="0.25">
      <c r="A107" t="s">
        <v>1015</v>
      </c>
      <c r="B107" s="20" t="str">
        <f t="shared" si="12"/>
        <v>2017/02/24 00:20:39.917</v>
      </c>
      <c r="C107" s="20">
        <f t="shared" si="13"/>
        <v>5.1477731482009403E-2</v>
      </c>
    </row>
    <row r="108" spans="1:3" x14ac:dyDescent="0.25">
      <c r="A108" t="s">
        <v>1016</v>
      </c>
      <c r="B108" s="20" t="str">
        <f t="shared" si="12"/>
        <v>2017/02/24 00:20:40.462</v>
      </c>
      <c r="C108" s="20">
        <f t="shared" si="13"/>
        <v>6.3078769017010927E-6</v>
      </c>
    </row>
    <row r="109" spans="1:3" x14ac:dyDescent="0.25">
      <c r="A109" t="s">
        <v>1017</v>
      </c>
      <c r="B109" s="20" t="str">
        <f t="shared" si="12"/>
        <v>2017/02/24 00:25:15.086</v>
      </c>
      <c r="C109" s="20">
        <f t="shared" si="13"/>
        <v>3.1785185128683224E-3</v>
      </c>
    </row>
    <row r="110" spans="1:3" x14ac:dyDescent="0.25">
      <c r="A110" t="s">
        <v>1018</v>
      </c>
      <c r="B110" s="20" t="str">
        <f t="shared" si="12"/>
        <v>2017/02/24 00:25:15.467</v>
      </c>
      <c r="C110" s="20">
        <f t="shared" si="13"/>
        <v>4.4097250793129206E-6</v>
      </c>
    </row>
    <row r="111" spans="1:3" x14ac:dyDescent="0.25">
      <c r="A111" t="s">
        <v>1019</v>
      </c>
      <c r="B111" s="20" t="str">
        <f t="shared" si="12"/>
        <v>2017/02/24 00:55:33.649</v>
      </c>
      <c r="C111" s="20">
        <f t="shared" si="13"/>
        <v>2.104377314390149E-2</v>
      </c>
    </row>
    <row r="112" spans="1:3" x14ac:dyDescent="0.25">
      <c r="A112" t="s">
        <v>1020</v>
      </c>
      <c r="B112" s="20" t="str">
        <f t="shared" si="12"/>
        <v>2017/02/24 00:55:34.191</v>
      </c>
      <c r="C112" s="20">
        <f t="shared" si="13"/>
        <v>6.2731487560085952E-6</v>
      </c>
    </row>
    <row r="113" spans="1:3" x14ac:dyDescent="0.25">
      <c r="A113" t="s">
        <v>1021</v>
      </c>
      <c r="B113" s="20" t="str">
        <f t="shared" si="12"/>
        <v>2017/02/24 00:55:34.241</v>
      </c>
      <c r="C113" s="20">
        <f t="shared" si="13"/>
        <v>5.7870784075930715E-7</v>
      </c>
    </row>
    <row r="114" spans="1:3" x14ac:dyDescent="0.25">
      <c r="A114" t="s">
        <v>1022</v>
      </c>
      <c r="B114" s="20" t="str">
        <f t="shared" si="12"/>
        <v>2017/02/24 01:06:21.607</v>
      </c>
      <c r="C114" s="20">
        <f t="shared" si="13"/>
        <v>7.4926620363839902E-3</v>
      </c>
    </row>
    <row r="115" spans="1:3" x14ac:dyDescent="0.25">
      <c r="A115" t="s">
        <v>1023</v>
      </c>
      <c r="B115" s="20" t="str">
        <f t="shared" si="12"/>
        <v>2017/02/24 01:06:21.633</v>
      </c>
      <c r="C115" s="20">
        <f t="shared" si="13"/>
        <v>3.0092633096501231E-7</v>
      </c>
    </row>
    <row r="116" spans="1:3" x14ac:dyDescent="0.25">
      <c r="A116" t="s">
        <v>1024</v>
      </c>
      <c r="B116" s="20" t="str">
        <f t="shared" si="12"/>
        <v>2017/02/24 01:06:21.871</v>
      </c>
      <c r="C116" s="20">
        <f t="shared" si="13"/>
        <v>2.7546266210265458E-6</v>
      </c>
    </row>
    <row r="117" spans="1:3" x14ac:dyDescent="0.25">
      <c r="A117" t="s">
        <v>1025</v>
      </c>
      <c r="B117" s="20" t="str">
        <f t="shared" si="12"/>
        <v>2017/02/24 01:20:04.092</v>
      </c>
      <c r="C117" s="20">
        <f t="shared" si="13"/>
        <v>9.5164467638824135E-3</v>
      </c>
    </row>
    <row r="118" spans="1:3" x14ac:dyDescent="0.25">
      <c r="A118" t="s">
        <v>1026</v>
      </c>
      <c r="B118" s="20" t="str">
        <f t="shared" si="12"/>
        <v>2017/02/24 01:20:04.453</v>
      </c>
      <c r="C118" s="20">
        <f t="shared" si="13"/>
        <v>4.1782404878176749E-6</v>
      </c>
    </row>
    <row r="119" spans="1:3" x14ac:dyDescent="0.25">
      <c r="A119" t="s">
        <v>1027</v>
      </c>
      <c r="B119" s="20" t="str">
        <f t="shared" si="12"/>
        <v>2017/02/24 01:49:24.383</v>
      </c>
      <c r="C119" s="20">
        <f t="shared" si="13"/>
        <v>2.0369560181279667E-2</v>
      </c>
    </row>
    <row r="120" spans="1:3" x14ac:dyDescent="0.25">
      <c r="A120" t="s">
        <v>1028</v>
      </c>
      <c r="B120" s="20" t="str">
        <f t="shared" si="12"/>
        <v>2017/02/24 01:49:25.228</v>
      </c>
      <c r="C120" s="20">
        <f t="shared" si="13"/>
        <v>9.7800948424264789E-6</v>
      </c>
    </row>
    <row r="121" spans="1:3" x14ac:dyDescent="0.25">
      <c r="A121" t="s">
        <v>1029</v>
      </c>
      <c r="B121" s="20" t="str">
        <f t="shared" si="12"/>
        <v>2017/02/24 01:49:26.002</v>
      </c>
      <c r="C121" s="20">
        <f t="shared" si="13"/>
        <v>8.9583336375653744E-6</v>
      </c>
    </row>
    <row r="122" spans="1:3" x14ac:dyDescent="0.25">
      <c r="A122" t="s">
        <v>1030</v>
      </c>
      <c r="B122" s="20" t="str">
        <f t="shared" si="12"/>
        <v>2017/02/24 02:07:40.093</v>
      </c>
      <c r="C122" s="20">
        <f t="shared" si="13"/>
        <v>1.2663090274145361E-2</v>
      </c>
    </row>
    <row r="123" spans="1:3" x14ac:dyDescent="0.25">
      <c r="A123" t="s">
        <v>1031</v>
      </c>
      <c r="B123" s="20" t="str">
        <f t="shared" si="12"/>
        <v>2017/02/24 02:07:41.034</v>
      </c>
      <c r="C123" s="20">
        <f t="shared" si="13"/>
        <v>1.089120632968843E-5</v>
      </c>
    </row>
    <row r="124" spans="1:3" x14ac:dyDescent="0.25">
      <c r="A124" t="s">
        <v>1032</v>
      </c>
      <c r="B124" s="20" t="str">
        <f t="shared" si="12"/>
        <v>2017/02/24 02:07:42.034</v>
      </c>
      <c r="C124" s="20">
        <f t="shared" si="13"/>
        <v>1.1574076779652387E-5</v>
      </c>
    </row>
    <row r="125" spans="1:3" x14ac:dyDescent="0.25">
      <c r="A125" t="s">
        <v>1033</v>
      </c>
      <c r="B125" s="20" t="str">
        <f t="shared" si="12"/>
        <v>2017/02/24 02:11:03.923</v>
      </c>
      <c r="C125" s="20">
        <f t="shared" si="13"/>
        <v>2.3366782406810671E-3</v>
      </c>
    </row>
    <row r="126" spans="1:3" x14ac:dyDescent="0.25">
      <c r="A126" t="s">
        <v>1034</v>
      </c>
      <c r="B126" s="20" t="str">
        <f t="shared" si="12"/>
        <v>2017/02/24 02:11:04.473</v>
      </c>
      <c r="C126" s="20">
        <f t="shared" si="13"/>
        <v>6.3657353166490793E-6</v>
      </c>
    </row>
    <row r="127" spans="1:3" x14ac:dyDescent="0.25">
      <c r="A127" t="s">
        <v>1035</v>
      </c>
      <c r="B127" s="20" t="str">
        <f t="shared" si="12"/>
        <v>2017/02/24 02:37:37.236</v>
      </c>
      <c r="C127" s="20">
        <f t="shared" si="13"/>
        <v>1.8434756944770925E-2</v>
      </c>
    </row>
    <row r="128" spans="1:3" x14ac:dyDescent="0.25">
      <c r="A128" t="s">
        <v>1036</v>
      </c>
      <c r="B128" s="20" t="str">
        <f t="shared" si="12"/>
        <v>2017/02/24 02:37:37.650</v>
      </c>
      <c r="C128" s="20">
        <f t="shared" si="13"/>
        <v>4.7916691983118653E-6</v>
      </c>
    </row>
    <row r="129" spans="1:3" x14ac:dyDescent="0.25">
      <c r="A129" t="s">
        <v>1037</v>
      </c>
      <c r="B129" s="20" t="str">
        <f t="shared" si="12"/>
        <v>2017/02/24 02:37:38.193</v>
      </c>
      <c r="C129" s="20">
        <f t="shared" si="13"/>
        <v>6.2847248045727611E-6</v>
      </c>
    </row>
    <row r="130" spans="1:3" x14ac:dyDescent="0.25">
      <c r="A130" t="s">
        <v>1038</v>
      </c>
      <c r="B130" s="20" t="str">
        <f t="shared" si="12"/>
        <v>2017/02/24 02:38:22.200</v>
      </c>
      <c r="C130" s="20">
        <f t="shared" si="13"/>
        <v>5.0934027240145952E-4</v>
      </c>
    </row>
    <row r="131" spans="1:3" x14ac:dyDescent="0.25">
      <c r="A131" t="s">
        <v>1039</v>
      </c>
      <c r="B131" s="20" t="str">
        <f t="shared" si="12"/>
        <v>2017/02/24 02:38:22.647</v>
      </c>
      <c r="C131" s="20">
        <f t="shared" si="13"/>
        <v>5.1736133173108101E-6</v>
      </c>
    </row>
    <row r="132" spans="1:3" x14ac:dyDescent="0.25">
      <c r="A132" t="s">
        <v>1040</v>
      </c>
      <c r="B132" s="20" t="str">
        <f t="shared" si="12"/>
        <v>2017/02/24 02:38:23.250</v>
      </c>
      <c r="C132" s="20">
        <f t="shared" si="13"/>
        <v>6.9791640271432698E-6</v>
      </c>
    </row>
    <row r="133" spans="1:3" x14ac:dyDescent="0.25">
      <c r="A133" t="s">
        <v>1041</v>
      </c>
      <c r="B133" s="20" t="str">
        <f t="shared" si="12"/>
        <v>2017/02/24 02:54:05.575</v>
      </c>
      <c r="C133" s="20">
        <f t="shared" si="13"/>
        <v>1.0906539355346467E-2</v>
      </c>
    </row>
    <row r="134" spans="1:3" x14ac:dyDescent="0.25">
      <c r="A134" t="s">
        <v>1042</v>
      </c>
      <c r="B134" s="20" t="str">
        <f t="shared" si="12"/>
        <v>2017/02/24 02:54:05.861</v>
      </c>
      <c r="C134" s="20">
        <f t="shared" si="13"/>
        <v>3.3101823646575212E-6</v>
      </c>
    </row>
    <row r="135" spans="1:3" x14ac:dyDescent="0.25">
      <c r="A135" t="s">
        <v>1043</v>
      </c>
      <c r="B135" s="20" t="str">
        <f t="shared" si="12"/>
        <v>2017/02/24 02:54:06.254</v>
      </c>
      <c r="C135" s="20">
        <f t="shared" si="13"/>
        <v>4.548615834210068E-6</v>
      </c>
    </row>
    <row r="136" spans="1:3" x14ac:dyDescent="0.25">
      <c r="A136" t="s">
        <v>1044</v>
      </c>
      <c r="B136" s="20" t="str">
        <f t="shared" si="12"/>
        <v>2017/02/24 03:30:40.984</v>
      </c>
      <c r="C136" s="20">
        <f t="shared" si="13"/>
        <v>2.5401967592188157E-2</v>
      </c>
    </row>
    <row r="137" spans="1:3" x14ac:dyDescent="0.25">
      <c r="A137" t="s">
        <v>1045</v>
      </c>
      <c r="B137" s="20" t="str">
        <f t="shared" si="12"/>
        <v>2017/02/24 03:30:41.642</v>
      </c>
      <c r="C137" s="20">
        <f t="shared" si="13"/>
        <v>7.6157375588081777E-6</v>
      </c>
    </row>
    <row r="138" spans="1:3" x14ac:dyDescent="0.25">
      <c r="A138" t="s">
        <v>1046</v>
      </c>
      <c r="B138" s="20" t="str">
        <f t="shared" si="12"/>
        <v>2017/02/24 03:30:41.828</v>
      </c>
      <c r="C138" s="20">
        <f t="shared" si="13"/>
        <v>2.1527812350541353E-6</v>
      </c>
    </row>
    <row r="139" spans="1:3" x14ac:dyDescent="0.25">
      <c r="A139" t="s">
        <v>1047</v>
      </c>
      <c r="B139" s="20" t="str">
        <f t="shared" si="12"/>
        <v>2017/02/24 04:22:36.249</v>
      </c>
      <c r="C139" s="20">
        <f t="shared" si="13"/>
        <v>3.6046539353264961E-2</v>
      </c>
    </row>
    <row r="140" spans="1:3" x14ac:dyDescent="0.25">
      <c r="A140" t="s">
        <v>1048</v>
      </c>
      <c r="B140" s="20" t="str">
        <f t="shared" si="12"/>
        <v>2017/02/24 04:22:36.784</v>
      </c>
      <c r="C140" s="20">
        <f t="shared" si="13"/>
        <v>6.1921236920170486E-6</v>
      </c>
    </row>
    <row r="141" spans="1:3" x14ac:dyDescent="0.25">
      <c r="A141" t="s">
        <v>1049</v>
      </c>
      <c r="B141" s="20" t="str">
        <f t="shared" si="12"/>
        <v>2017/02/24 04:22:36.906</v>
      </c>
      <c r="C141" s="20">
        <f t="shared" si="13"/>
        <v>1.4120378182269633E-6</v>
      </c>
    </row>
    <row r="142" spans="1:3" x14ac:dyDescent="0.25">
      <c r="A142" t="s">
        <v>1050</v>
      </c>
      <c r="B142" s="20" t="str">
        <f t="shared" si="12"/>
        <v>2017/02/24 04:54:58.187</v>
      </c>
      <c r="C142" s="20">
        <f t="shared" si="13"/>
        <v>2.2468530092737637E-2</v>
      </c>
    </row>
    <row r="143" spans="1:3" x14ac:dyDescent="0.25">
      <c r="A143" t="s">
        <v>1051</v>
      </c>
      <c r="B143" s="20" t="str">
        <f t="shared" si="12"/>
        <v>2017/02/24 04:54:58.340</v>
      </c>
      <c r="C143" s="20">
        <f t="shared" si="13"/>
        <v>1.7708371160551906E-6</v>
      </c>
    </row>
    <row r="144" spans="1:3" x14ac:dyDescent="0.25">
      <c r="A144" t="s">
        <v>1052</v>
      </c>
      <c r="B144" s="20" t="str">
        <f t="shared" si="12"/>
        <v>2017/02/24 04:54:58.374</v>
      </c>
      <c r="C144" s="20">
        <f t="shared" si="13"/>
        <v>3.9351289160549641E-7</v>
      </c>
    </row>
    <row r="145" spans="1:3" x14ac:dyDescent="0.25">
      <c r="A145" t="s">
        <v>1053</v>
      </c>
      <c r="B145" s="20" t="str">
        <f t="shared" si="12"/>
        <v>2017/02/24 06:09:05.446</v>
      </c>
      <c r="C145" s="20">
        <f t="shared" si="13"/>
        <v>5.1470740741933696E-2</v>
      </c>
    </row>
    <row r="146" spans="1:3" x14ac:dyDescent="0.25">
      <c r="A146" t="s">
        <v>1054</v>
      </c>
      <c r="B146" s="20" t="str">
        <f t="shared" si="12"/>
        <v>2017/02/24 06:09:05.904</v>
      </c>
      <c r="C146" s="20">
        <f t="shared" si="13"/>
        <v>5.3009280236437917E-6</v>
      </c>
    </row>
    <row r="147" spans="1:3" x14ac:dyDescent="0.25">
      <c r="B147" s="20"/>
      <c r="C147" s="20"/>
    </row>
    <row r="148" spans="1:3" x14ac:dyDescent="0.25">
      <c r="B148" s="20"/>
      <c r="C148" s="20"/>
    </row>
    <row r="149" spans="1:3" x14ac:dyDescent="0.25">
      <c r="B149" s="20"/>
      <c r="C149" s="20"/>
    </row>
    <row r="150" spans="1:3" x14ac:dyDescent="0.25">
      <c r="B150" s="20"/>
      <c r="C150" s="20"/>
    </row>
    <row r="151" spans="1:3" x14ac:dyDescent="0.25">
      <c r="B151" s="20"/>
      <c r="C151" s="20"/>
    </row>
    <row r="152" spans="1:3" x14ac:dyDescent="0.25">
      <c r="B152" s="20"/>
      <c r="C152" s="20"/>
    </row>
    <row r="153" spans="1:3" x14ac:dyDescent="0.25">
      <c r="B153" s="20"/>
      <c r="C153" s="20"/>
    </row>
    <row r="154" spans="1:3" x14ac:dyDescent="0.25">
      <c r="B154" s="20"/>
      <c r="C154" s="20"/>
    </row>
    <row r="155" spans="1:3" x14ac:dyDescent="0.25">
      <c r="B155" s="20"/>
      <c r="C155" s="20"/>
    </row>
    <row r="156" spans="1:3" x14ac:dyDescent="0.25">
      <c r="B156" s="20"/>
      <c r="C156" s="20"/>
    </row>
    <row r="157" spans="1:3" x14ac:dyDescent="0.25">
      <c r="B157" s="20"/>
      <c r="C157" s="20"/>
    </row>
    <row r="158" spans="1:3" x14ac:dyDescent="0.25">
      <c r="B158" s="20"/>
      <c r="C158" s="20"/>
    </row>
    <row r="159" spans="1:3" x14ac:dyDescent="0.25">
      <c r="B159" s="20"/>
      <c r="C159" s="20"/>
    </row>
    <row r="160" spans="1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2017-02-27T21:55:43Z</dcterms:modified>
</cp:coreProperties>
</file>