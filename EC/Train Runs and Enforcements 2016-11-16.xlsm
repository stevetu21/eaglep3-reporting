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Enforcements!$A$6:$AC$47</definedName>
    <definedName name="_xlnm._FilterDatabase" localSheetId="2" hidden="1">'Missing Trips'!$B$2:$I$2</definedName>
    <definedName name="_xlnm._FilterDatabase" localSheetId="0" hidden="1">'Train Runs'!$A$12:$AG$250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9" l="1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2" i="9"/>
  <c r="K13" i="1" l="1"/>
  <c r="L13" i="1"/>
  <c r="M13" i="1"/>
  <c r="N13" i="1" s="1"/>
  <c r="V13" i="1"/>
  <c r="Y13" i="1"/>
  <c r="Z13" i="1"/>
  <c r="AB13" i="1"/>
  <c r="AC13" i="1"/>
  <c r="AD13" i="1"/>
  <c r="T13" i="1" s="1"/>
  <c r="AE13" i="1"/>
  <c r="AF13" i="1"/>
  <c r="AH13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G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S15" i="3" s="1"/>
  <c r="Y16" i="1"/>
  <c r="Z16" i="1"/>
  <c r="AB16" i="1"/>
  <c r="AC16" i="1"/>
  <c r="AD16" i="1"/>
  <c r="T16" i="1" s="1"/>
  <c r="AE16" i="1"/>
  <c r="R15" i="3" s="1"/>
  <c r="AF16" i="1"/>
  <c r="AH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S14" i="3" s="1"/>
  <c r="Y18" i="1"/>
  <c r="Z18" i="1"/>
  <c r="AB18" i="1"/>
  <c r="AC18" i="1"/>
  <c r="AD18" i="1"/>
  <c r="T18" i="1" s="1"/>
  <c r="AE18" i="1"/>
  <c r="R14" i="3" s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S16" i="3" s="1"/>
  <c r="Y20" i="1"/>
  <c r="Z20" i="1"/>
  <c r="AB20" i="1"/>
  <c r="AC20" i="1"/>
  <c r="AD20" i="1"/>
  <c r="T20" i="1" s="1"/>
  <c r="AE20" i="1"/>
  <c r="R16" i="3" s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S17" i="3" s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S19" i="3" s="1"/>
  <c r="Y32" i="1"/>
  <c r="Z32" i="1"/>
  <c r="AB32" i="1"/>
  <c r="AC32" i="1"/>
  <c r="AD32" i="1"/>
  <c r="T32" i="1" s="1"/>
  <c r="AE32" i="1"/>
  <c r="R19" i="3" s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S22" i="3" s="1"/>
  <c r="Y38" i="1"/>
  <c r="Z38" i="1"/>
  <c r="AB38" i="1"/>
  <c r="AC38" i="1"/>
  <c r="AD38" i="1"/>
  <c r="AG38" i="1" s="1"/>
  <c r="AE38" i="1"/>
  <c r="R22" i="3" s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S25" i="3" s="1"/>
  <c r="Y42" i="1"/>
  <c r="Z42" i="1"/>
  <c r="AB42" i="1"/>
  <c r="AC42" i="1"/>
  <c r="AD42" i="1"/>
  <c r="T42" i="1" s="1"/>
  <c r="AE42" i="1"/>
  <c r="R25" i="3" s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R27" i="3" s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K49" i="1"/>
  <c r="L49" i="1"/>
  <c r="M49" i="1"/>
  <c r="N49" i="1" s="1"/>
  <c r="V49" i="1"/>
  <c r="S24" i="3" s="1"/>
  <c r="Y49" i="1"/>
  <c r="Z49" i="1"/>
  <c r="AB49" i="1"/>
  <c r="AC49" i="1"/>
  <c r="AD49" i="1"/>
  <c r="T49" i="1" s="1"/>
  <c r="AE49" i="1"/>
  <c r="R24" i="3" s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S26" i="3" s="1"/>
  <c r="Y53" i="1"/>
  <c r="Z53" i="1"/>
  <c r="AB53" i="1"/>
  <c r="AC53" i="1"/>
  <c r="AD53" i="1"/>
  <c r="T53" i="1" s="1"/>
  <c r="AE53" i="1"/>
  <c r="R26" i="3" s="1"/>
  <c r="AF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S32" i="3" s="1"/>
  <c r="Y62" i="1"/>
  <c r="Z62" i="1"/>
  <c r="AB62" i="1"/>
  <c r="AC62" i="1"/>
  <c r="AD62" i="1"/>
  <c r="AG62" i="1" s="1"/>
  <c r="AE62" i="1"/>
  <c r="R32" i="3" s="1"/>
  <c r="AF62" i="1"/>
  <c r="AH62" i="1"/>
  <c r="K63" i="1"/>
  <c r="L63" i="1"/>
  <c r="M63" i="1"/>
  <c r="N63" i="1" s="1"/>
  <c r="V63" i="1"/>
  <c r="S30" i="3" s="1"/>
  <c r="Y63" i="1"/>
  <c r="Z63" i="1"/>
  <c r="AB63" i="1"/>
  <c r="AC63" i="1"/>
  <c r="AD63" i="1"/>
  <c r="T63" i="1" s="1"/>
  <c r="AE63" i="1"/>
  <c r="R30" i="3" s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N69" i="1" s="1"/>
  <c r="V69" i="1"/>
  <c r="S31" i="3" s="1"/>
  <c r="Y69" i="1"/>
  <c r="Z69" i="1"/>
  <c r="AB69" i="1"/>
  <c r="AC69" i="1"/>
  <c r="AD69" i="1"/>
  <c r="AG69" i="1" s="1"/>
  <c r="AE69" i="1"/>
  <c r="R31" i="3" s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X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X87" i="1" s="1"/>
  <c r="AE87" i="1"/>
  <c r="AF87" i="1"/>
  <c r="AH87" i="1"/>
  <c r="K88" i="1"/>
  <c r="L88" i="1"/>
  <c r="M88" i="1"/>
  <c r="N88" i="1" s="1"/>
  <c r="V88" i="1"/>
  <c r="S36" i="3" s="1"/>
  <c r="Y88" i="1"/>
  <c r="Z88" i="1"/>
  <c r="AB88" i="1"/>
  <c r="AC88" i="1"/>
  <c r="AD88" i="1"/>
  <c r="AG88" i="1" s="1"/>
  <c r="AE88" i="1"/>
  <c r="R36" i="3" s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X91" i="1" s="1"/>
  <c r="AE91" i="1"/>
  <c r="AF91" i="1"/>
  <c r="AH91" i="1"/>
  <c r="K92" i="1"/>
  <c r="L92" i="1"/>
  <c r="M92" i="1"/>
  <c r="N92" i="1" s="1"/>
  <c r="V92" i="1"/>
  <c r="S40" i="3" s="1"/>
  <c r="Y92" i="1"/>
  <c r="Z92" i="1"/>
  <c r="AB92" i="1"/>
  <c r="AC92" i="1"/>
  <c r="AD92" i="1"/>
  <c r="AG92" i="1" s="1"/>
  <c r="AE92" i="1"/>
  <c r="R40" i="3" s="1"/>
  <c r="AF92" i="1"/>
  <c r="AH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S45" i="3" s="1"/>
  <c r="Y96" i="1"/>
  <c r="Z96" i="1"/>
  <c r="AB96" i="1"/>
  <c r="AC96" i="1"/>
  <c r="AD96" i="1"/>
  <c r="AG96" i="1" s="1"/>
  <c r="AE96" i="1"/>
  <c r="R45" i="3" s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K99" i="1"/>
  <c r="L99" i="1"/>
  <c r="M99" i="1"/>
  <c r="N99" i="1" s="1"/>
  <c r="V99" i="1"/>
  <c r="S38" i="3" s="1"/>
  <c r="Y99" i="1"/>
  <c r="Z99" i="1"/>
  <c r="AB99" i="1"/>
  <c r="AC99" i="1"/>
  <c r="AD99" i="1"/>
  <c r="AE99" i="1"/>
  <c r="R38" i="3" s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S48" i="3" s="1"/>
  <c r="Y102" i="1"/>
  <c r="Z102" i="1"/>
  <c r="AB102" i="1"/>
  <c r="AC102" i="1"/>
  <c r="AD102" i="1"/>
  <c r="T102" i="1" s="1"/>
  <c r="AE102" i="1"/>
  <c r="R48" i="3" s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K105" i="1"/>
  <c r="L105" i="1"/>
  <c r="M105" i="1"/>
  <c r="N105" i="1" s="1"/>
  <c r="V105" i="1"/>
  <c r="S43" i="3" s="1"/>
  <c r="Y105" i="1"/>
  <c r="Z105" i="1"/>
  <c r="AB105" i="1"/>
  <c r="AC105" i="1"/>
  <c r="AD105" i="1"/>
  <c r="T105" i="1" s="1"/>
  <c r="AE105" i="1"/>
  <c r="R43" i="3" s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AA112" i="1" s="1"/>
  <c r="Z112" i="1"/>
  <c r="AB112" i="1"/>
  <c r="AC112" i="1"/>
  <c r="AD112" i="1"/>
  <c r="T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V115" i="1"/>
  <c r="S53" i="3" s="1"/>
  <c r="Y115" i="1"/>
  <c r="Z115" i="1"/>
  <c r="AB115" i="1"/>
  <c r="AC115" i="1"/>
  <c r="AD115" i="1"/>
  <c r="T115" i="1" s="1"/>
  <c r="AE115" i="1"/>
  <c r="R54" i="3" s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K117" i="1"/>
  <c r="L117" i="1"/>
  <c r="M117" i="1"/>
  <c r="N117" i="1" s="1"/>
  <c r="V117" i="1"/>
  <c r="S55" i="3" s="1"/>
  <c r="Y117" i="1"/>
  <c r="Z117" i="1"/>
  <c r="AB117" i="1"/>
  <c r="AC117" i="1"/>
  <c r="AD117" i="1"/>
  <c r="AG117" i="1" s="1"/>
  <c r="AE117" i="1"/>
  <c r="R55" i="3" s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K120" i="1"/>
  <c r="L120" i="1"/>
  <c r="M120" i="1"/>
  <c r="N120" i="1" s="1"/>
  <c r="V120" i="1"/>
  <c r="S49" i="3" s="1"/>
  <c r="Y120" i="1"/>
  <c r="Z120" i="1"/>
  <c r="AB120" i="1"/>
  <c r="AC120" i="1"/>
  <c r="AD120" i="1"/>
  <c r="T120" i="1" s="1"/>
  <c r="AE120" i="1"/>
  <c r="R49" i="3" s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K139" i="1"/>
  <c r="L139" i="1"/>
  <c r="M139" i="1"/>
  <c r="N139" i="1" s="1"/>
  <c r="V139" i="1"/>
  <c r="S62" i="3" s="1"/>
  <c r="Y139" i="1"/>
  <c r="Z139" i="1"/>
  <c r="AB139" i="1"/>
  <c r="AC139" i="1"/>
  <c r="AD139" i="1"/>
  <c r="T139" i="1" s="1"/>
  <c r="AE139" i="1"/>
  <c r="R62" i="3" s="1"/>
  <c r="AF139" i="1"/>
  <c r="AH139" i="1"/>
  <c r="K140" i="1"/>
  <c r="L140" i="1"/>
  <c r="M140" i="1"/>
  <c r="N140" i="1" s="1"/>
  <c r="V140" i="1"/>
  <c r="S60" i="3" s="1"/>
  <c r="Y140" i="1"/>
  <c r="Z140" i="1"/>
  <c r="AB140" i="1"/>
  <c r="AC140" i="1"/>
  <c r="AD140" i="1"/>
  <c r="T140" i="1" s="1"/>
  <c r="AE140" i="1"/>
  <c r="R60" i="3" s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K142" i="1"/>
  <c r="L142" i="1"/>
  <c r="M142" i="1"/>
  <c r="N142" i="1" s="1"/>
  <c r="V142" i="1"/>
  <c r="S61" i="3" s="1"/>
  <c r="Y142" i="1"/>
  <c r="Z142" i="1"/>
  <c r="AB142" i="1"/>
  <c r="AC142" i="1"/>
  <c r="AD142" i="1"/>
  <c r="T142" i="1" s="1"/>
  <c r="AE142" i="1"/>
  <c r="R61" i="3" s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V144" i="1"/>
  <c r="Y144" i="1"/>
  <c r="Z144" i="1"/>
  <c r="AB144" i="1"/>
  <c r="AC144" i="1"/>
  <c r="AD144" i="1"/>
  <c r="AE144" i="1"/>
  <c r="AF144" i="1"/>
  <c r="AH144" i="1"/>
  <c r="K145" i="1"/>
  <c r="L145" i="1"/>
  <c r="M145" i="1"/>
  <c r="V145" i="1"/>
  <c r="Y145" i="1"/>
  <c r="Z145" i="1"/>
  <c r="AB145" i="1"/>
  <c r="AC145" i="1"/>
  <c r="AD145" i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15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154" i="1"/>
  <c r="K203" i="1"/>
  <c r="L203" i="1"/>
  <c r="M203" i="1"/>
  <c r="N203" i="1" s="1"/>
  <c r="V203" i="1"/>
  <c r="S56" i="3" s="1"/>
  <c r="Y203" i="1"/>
  <c r="Z203" i="1"/>
  <c r="AB203" i="1"/>
  <c r="AC203" i="1"/>
  <c r="AD203" i="1"/>
  <c r="T203" i="1" s="1"/>
  <c r="AE203" i="1"/>
  <c r="R56" i="3" s="1"/>
  <c r="AF203" i="1"/>
  <c r="AH155" i="1"/>
  <c r="K204" i="1"/>
  <c r="L204" i="1"/>
  <c r="M204" i="1"/>
  <c r="N204" i="1" s="1"/>
  <c r="V204" i="1"/>
  <c r="S9" i="3" s="1"/>
  <c r="Y204" i="1"/>
  <c r="Z204" i="1"/>
  <c r="AB204" i="1"/>
  <c r="AC204" i="1"/>
  <c r="AD204" i="1"/>
  <c r="AG204" i="1" s="1"/>
  <c r="AE204" i="1"/>
  <c r="R9" i="3" s="1"/>
  <c r="AF204" i="1"/>
  <c r="AH156" i="1"/>
  <c r="K205" i="1"/>
  <c r="L205" i="1"/>
  <c r="M205" i="1"/>
  <c r="N205" i="1"/>
  <c r="V205" i="1"/>
  <c r="Y205" i="1"/>
  <c r="Z205" i="1"/>
  <c r="AB205" i="1"/>
  <c r="AC205" i="1"/>
  <c r="AD205" i="1"/>
  <c r="T205" i="1" s="1"/>
  <c r="AE205" i="1"/>
  <c r="AF205" i="1"/>
  <c r="AH15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59" i="1"/>
  <c r="K208" i="1"/>
  <c r="L208" i="1"/>
  <c r="M208" i="1"/>
  <c r="N208" i="1" s="1"/>
  <c r="V208" i="1"/>
  <c r="S10" i="3" s="1"/>
  <c r="Y208" i="1"/>
  <c r="Z208" i="1"/>
  <c r="AB208" i="1"/>
  <c r="AC208" i="1"/>
  <c r="AD208" i="1"/>
  <c r="AG208" i="1" s="1"/>
  <c r="AE208" i="1"/>
  <c r="R10" i="3" s="1"/>
  <c r="AF208" i="1"/>
  <c r="AH16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2" i="1"/>
  <c r="K211" i="1"/>
  <c r="L211" i="1"/>
  <c r="M211" i="1"/>
  <c r="N211" i="1" s="1"/>
  <c r="V211" i="1"/>
  <c r="Y211" i="1"/>
  <c r="Z211" i="1"/>
  <c r="AB211" i="1"/>
  <c r="AC211" i="1"/>
  <c r="AD211" i="1"/>
  <c r="X211" i="1" s="1"/>
  <c r="AE211" i="1"/>
  <c r="AF211" i="1"/>
  <c r="AH163" i="1"/>
  <c r="K218" i="1"/>
  <c r="L218" i="1"/>
  <c r="M218" i="1"/>
  <c r="N218" i="1" s="1"/>
  <c r="V218" i="1"/>
  <c r="S28" i="3" s="1"/>
  <c r="Y218" i="1"/>
  <c r="Z218" i="1"/>
  <c r="AB218" i="1"/>
  <c r="AC218" i="1"/>
  <c r="AD218" i="1"/>
  <c r="AG218" i="1" s="1"/>
  <c r="AE218" i="1"/>
  <c r="R28" i="3" s="1"/>
  <c r="AF218" i="1"/>
  <c r="AH164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65" i="1"/>
  <c r="K220" i="1"/>
  <c r="L220" i="1"/>
  <c r="M220" i="1"/>
  <c r="N220" i="1" s="1"/>
  <c r="V220" i="1"/>
  <c r="S11" i="3" s="1"/>
  <c r="Y220" i="1"/>
  <c r="Z220" i="1"/>
  <c r="AB220" i="1"/>
  <c r="AC220" i="1"/>
  <c r="AD220" i="1"/>
  <c r="T220" i="1" s="1"/>
  <c r="AE220" i="1"/>
  <c r="R11" i="3" s="1"/>
  <c r="AF220" i="1"/>
  <c r="AH166" i="1"/>
  <c r="K221" i="1"/>
  <c r="L221" i="1"/>
  <c r="M221" i="1"/>
  <c r="N221" i="1" s="1"/>
  <c r="V221" i="1"/>
  <c r="S33" i="3" s="1"/>
  <c r="Y221" i="1"/>
  <c r="Z221" i="1"/>
  <c r="AB221" i="1"/>
  <c r="AC221" i="1"/>
  <c r="AD221" i="1"/>
  <c r="X221" i="1" s="1"/>
  <c r="AE221" i="1"/>
  <c r="R33" i="3" s="1"/>
  <c r="AF221" i="1"/>
  <c r="AH167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168" i="1"/>
  <c r="K223" i="1"/>
  <c r="L223" i="1"/>
  <c r="M223" i="1"/>
  <c r="N223" i="1" s="1"/>
  <c r="V223" i="1"/>
  <c r="S50" i="3" s="1"/>
  <c r="Y223" i="1"/>
  <c r="Z223" i="1"/>
  <c r="AB223" i="1"/>
  <c r="AC223" i="1"/>
  <c r="AD223" i="1"/>
  <c r="T223" i="1" s="1"/>
  <c r="AE223" i="1"/>
  <c r="R50" i="3" s="1"/>
  <c r="AF223" i="1"/>
  <c r="AH169" i="1"/>
  <c r="K224" i="1"/>
  <c r="L224" i="1"/>
  <c r="M224" i="1"/>
  <c r="N224" i="1" s="1"/>
  <c r="V224" i="1"/>
  <c r="S51" i="3" s="1"/>
  <c r="Y224" i="1"/>
  <c r="Z224" i="1"/>
  <c r="AB224" i="1"/>
  <c r="AC224" i="1"/>
  <c r="AD224" i="1"/>
  <c r="T224" i="1" s="1"/>
  <c r="AE224" i="1"/>
  <c r="AF224" i="1"/>
  <c r="AH170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1" i="1"/>
  <c r="K153" i="1"/>
  <c r="L153" i="1"/>
  <c r="M153" i="1"/>
  <c r="N153" i="1" s="1"/>
  <c r="V153" i="1"/>
  <c r="S13" i="3" s="1"/>
  <c r="Y153" i="1"/>
  <c r="Z153" i="1"/>
  <c r="AB153" i="1"/>
  <c r="AC153" i="1"/>
  <c r="AD153" i="1"/>
  <c r="AG153" i="1" s="1"/>
  <c r="AE153" i="1"/>
  <c r="R13" i="3" s="1"/>
  <c r="AF153" i="1"/>
  <c r="AH172" i="1"/>
  <c r="K154" i="1"/>
  <c r="L154" i="1"/>
  <c r="M154" i="1"/>
  <c r="N154" i="1"/>
  <c r="V154" i="1"/>
  <c r="Y154" i="1"/>
  <c r="Z154" i="1"/>
  <c r="AB154" i="1"/>
  <c r="AC154" i="1"/>
  <c r="AD154" i="1"/>
  <c r="T154" i="1" s="1"/>
  <c r="AE154" i="1"/>
  <c r="AF154" i="1"/>
  <c r="AH173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74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75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76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77" i="1"/>
  <c r="K159" i="1"/>
  <c r="L159" i="1"/>
  <c r="M159" i="1"/>
  <c r="N159" i="1" s="1"/>
  <c r="V159" i="1"/>
  <c r="S18" i="3" s="1"/>
  <c r="Y159" i="1"/>
  <c r="Z159" i="1"/>
  <c r="AB159" i="1"/>
  <c r="AC159" i="1"/>
  <c r="AD159" i="1"/>
  <c r="T159" i="1" s="1"/>
  <c r="AE159" i="1"/>
  <c r="R18" i="3" s="1"/>
  <c r="AF159" i="1"/>
  <c r="AH178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79" i="1"/>
  <c r="K162" i="1"/>
  <c r="L162" i="1"/>
  <c r="M162" i="1"/>
  <c r="N162" i="1" s="1"/>
  <c r="V162" i="1"/>
  <c r="S20" i="3" s="1"/>
  <c r="Y162" i="1"/>
  <c r="Z162" i="1"/>
  <c r="AB162" i="1"/>
  <c r="AC162" i="1"/>
  <c r="AD162" i="1"/>
  <c r="T162" i="1" s="1"/>
  <c r="AE162" i="1"/>
  <c r="R20" i="3" s="1"/>
  <c r="AF162" i="1"/>
  <c r="AH180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1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2" i="1"/>
  <c r="K165" i="1"/>
  <c r="L165" i="1"/>
  <c r="M165" i="1"/>
  <c r="N165" i="1" s="1"/>
  <c r="V165" i="1"/>
  <c r="S23" i="3" s="1"/>
  <c r="Y165" i="1"/>
  <c r="Z165" i="1"/>
  <c r="AB165" i="1"/>
  <c r="AC165" i="1"/>
  <c r="AD165" i="1"/>
  <c r="AG165" i="1" s="1"/>
  <c r="AE165" i="1"/>
  <c r="R23" i="3" s="1"/>
  <c r="AF165" i="1"/>
  <c r="AH183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4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5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6" i="1"/>
  <c r="K169" i="1"/>
  <c r="L169" i="1"/>
  <c r="M169" i="1"/>
  <c r="N169" i="1" s="1"/>
  <c r="V169" i="1"/>
  <c r="S29" i="3" s="1"/>
  <c r="Y169" i="1"/>
  <c r="Z169" i="1"/>
  <c r="AB169" i="1"/>
  <c r="AC169" i="1"/>
  <c r="AD169" i="1"/>
  <c r="AG169" i="1" s="1"/>
  <c r="AE169" i="1"/>
  <c r="AF169" i="1"/>
  <c r="AH187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8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8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0" i="1"/>
  <c r="K173" i="1"/>
  <c r="L173" i="1"/>
  <c r="M173" i="1"/>
  <c r="N173" i="1" s="1"/>
  <c r="V173" i="1"/>
  <c r="S34" i="3" s="1"/>
  <c r="Y173" i="1"/>
  <c r="Z173" i="1"/>
  <c r="AB173" i="1"/>
  <c r="AC173" i="1"/>
  <c r="AD173" i="1"/>
  <c r="AG173" i="1" s="1"/>
  <c r="AE173" i="1"/>
  <c r="R34" i="3" s="1"/>
  <c r="AF173" i="1"/>
  <c r="AH191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2" i="1"/>
  <c r="K175" i="1"/>
  <c r="L175" i="1"/>
  <c r="M175" i="1"/>
  <c r="N175" i="1" s="1"/>
  <c r="V175" i="1"/>
  <c r="S35" i="3" s="1"/>
  <c r="Y175" i="1"/>
  <c r="Z175" i="1"/>
  <c r="AB175" i="1"/>
  <c r="AC175" i="1"/>
  <c r="AD175" i="1"/>
  <c r="T175" i="1" s="1"/>
  <c r="AE175" i="1"/>
  <c r="R35" i="3" s="1"/>
  <c r="AF175" i="1"/>
  <c r="AH193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94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95" i="1"/>
  <c r="K178" i="1"/>
  <c r="L178" i="1"/>
  <c r="M178" i="1"/>
  <c r="N178" i="1" s="1"/>
  <c r="V178" i="1"/>
  <c r="S37" i="3" s="1"/>
  <c r="Y178" i="1"/>
  <c r="Z178" i="1"/>
  <c r="AB178" i="1"/>
  <c r="AC178" i="1"/>
  <c r="AD178" i="1"/>
  <c r="T178" i="1" s="1"/>
  <c r="AE178" i="1"/>
  <c r="R37" i="3" s="1"/>
  <c r="AF178" i="1"/>
  <c r="AH196" i="1"/>
  <c r="AH197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8" i="1"/>
  <c r="K180" i="1"/>
  <c r="L180" i="1"/>
  <c r="M180" i="1"/>
  <c r="N180" i="1" s="1"/>
  <c r="V180" i="1"/>
  <c r="S46" i="3" s="1"/>
  <c r="Y180" i="1"/>
  <c r="Z180" i="1"/>
  <c r="AA180" i="1" s="1"/>
  <c r="W180" i="1" s="1"/>
  <c r="AB180" i="1"/>
  <c r="AC180" i="1"/>
  <c r="AD180" i="1"/>
  <c r="AG180" i="1" s="1"/>
  <c r="AE180" i="1"/>
  <c r="R46" i="3" s="1"/>
  <c r="AF180" i="1"/>
  <c r="AH199" i="1"/>
  <c r="K181" i="1"/>
  <c r="L181" i="1"/>
  <c r="M181" i="1"/>
  <c r="N181" i="1" s="1"/>
  <c r="V181" i="1"/>
  <c r="S47" i="3" s="1"/>
  <c r="Y181" i="1"/>
  <c r="Z181" i="1"/>
  <c r="AB181" i="1"/>
  <c r="AC181" i="1"/>
  <c r="AD181" i="1"/>
  <c r="T181" i="1" s="1"/>
  <c r="AE181" i="1"/>
  <c r="R47" i="3" s="1"/>
  <c r="AF181" i="1"/>
  <c r="AH200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1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2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3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4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6" i="1"/>
  <c r="K188" i="1"/>
  <c r="L188" i="1"/>
  <c r="M188" i="1"/>
  <c r="N188" i="1" s="1"/>
  <c r="V188" i="1"/>
  <c r="Y188" i="1"/>
  <c r="Z188" i="1"/>
  <c r="AA188" i="1" s="1"/>
  <c r="AB188" i="1"/>
  <c r="AC188" i="1"/>
  <c r="AD188" i="1"/>
  <c r="AE188" i="1"/>
  <c r="AF188" i="1"/>
  <c r="AH207" i="1"/>
  <c r="K189" i="1"/>
  <c r="L189" i="1"/>
  <c r="M189" i="1"/>
  <c r="N189" i="1" s="1"/>
  <c r="V189" i="1"/>
  <c r="S52" i="3" s="1"/>
  <c r="Y189" i="1"/>
  <c r="Z189" i="1"/>
  <c r="AA189" i="1" s="1"/>
  <c r="AB189" i="1"/>
  <c r="AC189" i="1"/>
  <c r="AD189" i="1"/>
  <c r="T189" i="1" s="1"/>
  <c r="AE189" i="1"/>
  <c r="R52" i="3" s="1"/>
  <c r="AF189" i="1"/>
  <c r="AH20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9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0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1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2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3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4" i="1"/>
  <c r="K196" i="1"/>
  <c r="L196" i="1"/>
  <c r="M196" i="1"/>
  <c r="V196" i="1"/>
  <c r="S57" i="3" s="1"/>
  <c r="Y196" i="1"/>
  <c r="Z196" i="1"/>
  <c r="AB196" i="1"/>
  <c r="AC196" i="1"/>
  <c r="AD196" i="1"/>
  <c r="X196" i="1" s="1"/>
  <c r="AE196" i="1"/>
  <c r="R57" i="3" s="1"/>
  <c r="AF196" i="1"/>
  <c r="AH215" i="1"/>
  <c r="K197" i="1"/>
  <c r="L197" i="1"/>
  <c r="M197" i="1"/>
  <c r="V197" i="1"/>
  <c r="Y197" i="1"/>
  <c r="Z197" i="1"/>
  <c r="AB197" i="1"/>
  <c r="AC197" i="1"/>
  <c r="AD197" i="1"/>
  <c r="AE197" i="1"/>
  <c r="AF197" i="1"/>
  <c r="AH216" i="1"/>
  <c r="K198" i="1"/>
  <c r="L198" i="1"/>
  <c r="M198" i="1"/>
  <c r="N198" i="1" s="1"/>
  <c r="V198" i="1"/>
  <c r="S59" i="3" s="1"/>
  <c r="Y198" i="1"/>
  <c r="Z198" i="1"/>
  <c r="AB198" i="1"/>
  <c r="AC198" i="1"/>
  <c r="AD198" i="1"/>
  <c r="AG198" i="1" s="1"/>
  <c r="AE198" i="1"/>
  <c r="R59" i="3" s="1"/>
  <c r="AF198" i="1"/>
  <c r="AH217" i="1"/>
  <c r="K199" i="1"/>
  <c r="L199" i="1"/>
  <c r="M199" i="1"/>
  <c r="N199" i="1" s="1"/>
  <c r="V199" i="1"/>
  <c r="S58" i="3" s="1"/>
  <c r="Y199" i="1"/>
  <c r="Z199" i="1"/>
  <c r="AB199" i="1"/>
  <c r="AC199" i="1"/>
  <c r="AD199" i="1"/>
  <c r="T199" i="1" s="1"/>
  <c r="AE199" i="1"/>
  <c r="R58" i="3" s="1"/>
  <c r="AF199" i="1"/>
  <c r="AH218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9" i="1"/>
  <c r="K212" i="1"/>
  <c r="L212" i="1"/>
  <c r="M212" i="1"/>
  <c r="N212" i="1" s="1"/>
  <c r="V212" i="1"/>
  <c r="S12" i="3" s="1"/>
  <c r="Y212" i="1"/>
  <c r="Z212" i="1"/>
  <c r="AB212" i="1"/>
  <c r="AC212" i="1"/>
  <c r="AD212" i="1"/>
  <c r="AE212" i="1"/>
  <c r="R12" i="3" s="1"/>
  <c r="AF212" i="1"/>
  <c r="AH220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21" i="1"/>
  <c r="K214" i="1"/>
  <c r="L214" i="1"/>
  <c r="M214" i="1"/>
  <c r="N214" i="1" s="1"/>
  <c r="V214" i="1"/>
  <c r="S21" i="3" s="1"/>
  <c r="Y214" i="1"/>
  <c r="Z214" i="1"/>
  <c r="AB214" i="1"/>
  <c r="AC214" i="1"/>
  <c r="AD214" i="1"/>
  <c r="AG214" i="1" s="1"/>
  <c r="AE214" i="1"/>
  <c r="R21" i="3" s="1"/>
  <c r="AF214" i="1"/>
  <c r="AH222" i="1"/>
  <c r="K215" i="1"/>
  <c r="L215" i="1"/>
  <c r="M215" i="1"/>
  <c r="N215" i="1" s="1"/>
  <c r="V215" i="1"/>
  <c r="S42" i="3" s="1"/>
  <c r="Y215" i="1"/>
  <c r="Z215" i="1"/>
  <c r="AB215" i="1"/>
  <c r="AC215" i="1"/>
  <c r="AD215" i="1"/>
  <c r="AG215" i="1" s="1"/>
  <c r="AE215" i="1"/>
  <c r="R39" i="3" s="1"/>
  <c r="AF215" i="1"/>
  <c r="AH223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24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25" i="1"/>
  <c r="M8" i="3"/>
  <c r="N8" i="3"/>
  <c r="U8" i="3"/>
  <c r="T8" i="3" s="1"/>
  <c r="V8" i="3"/>
  <c r="W8" i="3"/>
  <c r="X8" i="3"/>
  <c r="M9" i="3"/>
  <c r="N9" i="3"/>
  <c r="U9" i="3"/>
  <c r="T9" i="3" s="1"/>
  <c r="V9" i="3"/>
  <c r="W9" i="3"/>
  <c r="X9" i="3"/>
  <c r="AC9" i="3"/>
  <c r="M10" i="3"/>
  <c r="N10" i="3"/>
  <c r="U10" i="3"/>
  <c r="T10" i="3" s="1"/>
  <c r="V10" i="3"/>
  <c r="W10" i="3"/>
  <c r="X10" i="3"/>
  <c r="AC10" i="3"/>
  <c r="M11" i="3"/>
  <c r="N11" i="3"/>
  <c r="U11" i="3"/>
  <c r="T11" i="3" s="1"/>
  <c r="V11" i="3"/>
  <c r="W11" i="3"/>
  <c r="X11" i="3"/>
  <c r="M12" i="3"/>
  <c r="N12" i="3"/>
  <c r="U12" i="3"/>
  <c r="T12" i="3" s="1"/>
  <c r="V12" i="3"/>
  <c r="W12" i="3"/>
  <c r="X12" i="3"/>
  <c r="AC12" i="3"/>
  <c r="M13" i="3"/>
  <c r="N13" i="3"/>
  <c r="U13" i="3"/>
  <c r="T13" i="3" s="1"/>
  <c r="V13" i="3"/>
  <c r="W13" i="3"/>
  <c r="X13" i="3"/>
  <c r="AC13" i="3"/>
  <c r="M14" i="3"/>
  <c r="N14" i="3"/>
  <c r="U14" i="3"/>
  <c r="T14" i="3" s="1"/>
  <c r="V14" i="3"/>
  <c r="W14" i="3"/>
  <c r="X14" i="3"/>
  <c r="M15" i="3"/>
  <c r="N15" i="3"/>
  <c r="U15" i="3"/>
  <c r="T15" i="3" s="1"/>
  <c r="V15" i="3"/>
  <c r="W15" i="3"/>
  <c r="X15" i="3"/>
  <c r="AC15" i="3"/>
  <c r="M16" i="3"/>
  <c r="N16" i="3"/>
  <c r="U16" i="3"/>
  <c r="T16" i="3" s="1"/>
  <c r="V16" i="3"/>
  <c r="W16" i="3"/>
  <c r="X16" i="3"/>
  <c r="M17" i="3"/>
  <c r="N17" i="3"/>
  <c r="R17" i="3"/>
  <c r="U17" i="3"/>
  <c r="T17" i="3" s="1"/>
  <c r="V17" i="3"/>
  <c r="W17" i="3"/>
  <c r="X17" i="3"/>
  <c r="AC17" i="3"/>
  <c r="M18" i="3"/>
  <c r="N18" i="3"/>
  <c r="U18" i="3"/>
  <c r="T18" i="3" s="1"/>
  <c r="V18" i="3"/>
  <c r="W18" i="3"/>
  <c r="X18" i="3"/>
  <c r="AC18" i="3"/>
  <c r="M19" i="3"/>
  <c r="N19" i="3"/>
  <c r="U19" i="3"/>
  <c r="T19" i="3" s="1"/>
  <c r="V19" i="3"/>
  <c r="W19" i="3"/>
  <c r="X19" i="3"/>
  <c r="AC19" i="3"/>
  <c r="M20" i="3"/>
  <c r="N20" i="3"/>
  <c r="U20" i="3"/>
  <c r="T20" i="3" s="1"/>
  <c r="V20" i="3"/>
  <c r="W20" i="3"/>
  <c r="X20" i="3"/>
  <c r="AC20" i="3"/>
  <c r="M21" i="3"/>
  <c r="N21" i="3"/>
  <c r="U21" i="3"/>
  <c r="T21" i="3" s="1"/>
  <c r="V21" i="3"/>
  <c r="W21" i="3"/>
  <c r="X21" i="3"/>
  <c r="AC21" i="3"/>
  <c r="M22" i="3"/>
  <c r="N22" i="3"/>
  <c r="U22" i="3"/>
  <c r="T22" i="3" s="1"/>
  <c r="V22" i="3"/>
  <c r="W22" i="3"/>
  <c r="X22" i="3"/>
  <c r="AC22" i="3"/>
  <c r="M23" i="3"/>
  <c r="N23" i="3"/>
  <c r="U23" i="3"/>
  <c r="T23" i="3" s="1"/>
  <c r="V23" i="3"/>
  <c r="W23" i="3"/>
  <c r="X23" i="3"/>
  <c r="AC23" i="3"/>
  <c r="M24" i="3"/>
  <c r="N24" i="3"/>
  <c r="U24" i="3"/>
  <c r="T24" i="3" s="1"/>
  <c r="V24" i="3"/>
  <c r="W24" i="3"/>
  <c r="X24" i="3"/>
  <c r="AC24" i="3"/>
  <c r="M25" i="3"/>
  <c r="N25" i="3"/>
  <c r="U25" i="3"/>
  <c r="T25" i="3" s="1"/>
  <c r="V25" i="3"/>
  <c r="W25" i="3"/>
  <c r="X25" i="3"/>
  <c r="AC25" i="3"/>
  <c r="M26" i="3"/>
  <c r="N26" i="3"/>
  <c r="U26" i="3"/>
  <c r="T26" i="3" s="1"/>
  <c r="V26" i="3"/>
  <c r="W26" i="3"/>
  <c r="X26" i="3"/>
  <c r="AC26" i="3"/>
  <c r="M27" i="3"/>
  <c r="N27" i="3"/>
  <c r="S27" i="3"/>
  <c r="U27" i="3"/>
  <c r="T27" i="3" s="1"/>
  <c r="V27" i="3"/>
  <c r="W27" i="3"/>
  <c r="X27" i="3"/>
  <c r="AC27" i="3"/>
  <c r="M28" i="3"/>
  <c r="N28" i="3"/>
  <c r="U28" i="3"/>
  <c r="T28" i="3" s="1"/>
  <c r="V28" i="3"/>
  <c r="W28" i="3"/>
  <c r="X28" i="3"/>
  <c r="AC28" i="3"/>
  <c r="M29" i="3"/>
  <c r="N29" i="3"/>
  <c r="R29" i="3"/>
  <c r="U29" i="3"/>
  <c r="T29" i="3" s="1"/>
  <c r="V29" i="3"/>
  <c r="W29" i="3"/>
  <c r="X29" i="3"/>
  <c r="AC29" i="3"/>
  <c r="M30" i="3"/>
  <c r="N30" i="3"/>
  <c r="U30" i="3"/>
  <c r="T30" i="3" s="1"/>
  <c r="V30" i="3"/>
  <c r="W30" i="3"/>
  <c r="X30" i="3"/>
  <c r="AC30" i="3"/>
  <c r="M31" i="3"/>
  <c r="N31" i="3"/>
  <c r="U31" i="3"/>
  <c r="T31" i="3" s="1"/>
  <c r="V31" i="3"/>
  <c r="W31" i="3"/>
  <c r="X31" i="3"/>
  <c r="AC31" i="3"/>
  <c r="M32" i="3"/>
  <c r="N32" i="3"/>
  <c r="U32" i="3"/>
  <c r="T32" i="3" s="1"/>
  <c r="V32" i="3"/>
  <c r="W32" i="3"/>
  <c r="X32" i="3"/>
  <c r="AC32" i="3"/>
  <c r="M33" i="3"/>
  <c r="N33" i="3"/>
  <c r="U33" i="3"/>
  <c r="T33" i="3" s="1"/>
  <c r="V33" i="3"/>
  <c r="W33" i="3"/>
  <c r="X33" i="3"/>
  <c r="AC33" i="3"/>
  <c r="M34" i="3"/>
  <c r="N34" i="3"/>
  <c r="U34" i="3"/>
  <c r="T34" i="3" s="1"/>
  <c r="V34" i="3"/>
  <c r="W34" i="3"/>
  <c r="X34" i="3"/>
  <c r="AC34" i="3"/>
  <c r="M35" i="3"/>
  <c r="N35" i="3"/>
  <c r="U35" i="3"/>
  <c r="T35" i="3" s="1"/>
  <c r="V35" i="3"/>
  <c r="W35" i="3"/>
  <c r="X35" i="3"/>
  <c r="AC35" i="3"/>
  <c r="M36" i="3"/>
  <c r="N36" i="3"/>
  <c r="U36" i="3"/>
  <c r="T36" i="3" s="1"/>
  <c r="V36" i="3"/>
  <c r="W36" i="3"/>
  <c r="X36" i="3"/>
  <c r="AC36" i="3"/>
  <c r="M37" i="3"/>
  <c r="N37" i="3"/>
  <c r="U37" i="3"/>
  <c r="T37" i="3" s="1"/>
  <c r="V37" i="3"/>
  <c r="W37" i="3"/>
  <c r="X37" i="3"/>
  <c r="M38" i="3"/>
  <c r="N38" i="3"/>
  <c r="U38" i="3"/>
  <c r="T38" i="3" s="1"/>
  <c r="V38" i="3"/>
  <c r="W38" i="3"/>
  <c r="X38" i="3"/>
  <c r="AC38" i="3"/>
  <c r="M39" i="3"/>
  <c r="N39" i="3"/>
  <c r="U39" i="3"/>
  <c r="T39" i="3" s="1"/>
  <c r="V39" i="3"/>
  <c r="W39" i="3"/>
  <c r="X39" i="3"/>
  <c r="AC39" i="3"/>
  <c r="M40" i="3"/>
  <c r="N40" i="3"/>
  <c r="U40" i="3"/>
  <c r="T40" i="3" s="1"/>
  <c r="V40" i="3"/>
  <c r="W40" i="3"/>
  <c r="X40" i="3"/>
  <c r="AC40" i="3"/>
  <c r="M41" i="3"/>
  <c r="N41" i="3"/>
  <c r="U41" i="3"/>
  <c r="T41" i="3" s="1"/>
  <c r="V41" i="3"/>
  <c r="W41" i="3"/>
  <c r="X41" i="3"/>
  <c r="M42" i="3"/>
  <c r="N42" i="3"/>
  <c r="U42" i="3"/>
  <c r="T42" i="3" s="1"/>
  <c r="V42" i="3"/>
  <c r="W42" i="3"/>
  <c r="X42" i="3"/>
  <c r="M43" i="3"/>
  <c r="N43" i="3"/>
  <c r="U43" i="3"/>
  <c r="T43" i="3" s="1"/>
  <c r="V43" i="3"/>
  <c r="W43" i="3"/>
  <c r="X43" i="3"/>
  <c r="AC43" i="3"/>
  <c r="M44" i="3"/>
  <c r="N44" i="3"/>
  <c r="U44" i="3"/>
  <c r="T44" i="3" s="1"/>
  <c r="V44" i="3"/>
  <c r="W44" i="3"/>
  <c r="X44" i="3"/>
  <c r="AC44" i="3"/>
  <c r="M45" i="3"/>
  <c r="N45" i="3"/>
  <c r="U45" i="3"/>
  <c r="T45" i="3" s="1"/>
  <c r="V45" i="3"/>
  <c r="W45" i="3"/>
  <c r="X45" i="3"/>
  <c r="AC45" i="3"/>
  <c r="M46" i="3"/>
  <c r="N46" i="3"/>
  <c r="U46" i="3"/>
  <c r="T46" i="3" s="1"/>
  <c r="V46" i="3"/>
  <c r="W46" i="3"/>
  <c r="X46" i="3"/>
  <c r="AC46" i="3"/>
  <c r="M47" i="3"/>
  <c r="N47" i="3"/>
  <c r="U47" i="3"/>
  <c r="T47" i="3" s="1"/>
  <c r="V47" i="3"/>
  <c r="W47" i="3"/>
  <c r="X47" i="3"/>
  <c r="AC47" i="3"/>
  <c r="M48" i="3"/>
  <c r="N48" i="3"/>
  <c r="U48" i="3"/>
  <c r="T48" i="3" s="1"/>
  <c r="V48" i="3"/>
  <c r="W48" i="3"/>
  <c r="X48" i="3"/>
  <c r="AC48" i="3"/>
  <c r="M49" i="3"/>
  <c r="N49" i="3"/>
  <c r="U49" i="3"/>
  <c r="T49" i="3" s="1"/>
  <c r="V49" i="3"/>
  <c r="W49" i="3"/>
  <c r="X49" i="3"/>
  <c r="AC49" i="3"/>
  <c r="M50" i="3"/>
  <c r="N50" i="3"/>
  <c r="U50" i="3"/>
  <c r="T50" i="3" s="1"/>
  <c r="V50" i="3"/>
  <c r="W50" i="3"/>
  <c r="X50" i="3"/>
  <c r="AC50" i="3"/>
  <c r="M51" i="3"/>
  <c r="N51" i="3"/>
  <c r="R51" i="3"/>
  <c r="U51" i="3"/>
  <c r="T51" i="3" s="1"/>
  <c r="V51" i="3"/>
  <c r="W51" i="3"/>
  <c r="X51" i="3"/>
  <c r="AC51" i="3"/>
  <c r="M52" i="3"/>
  <c r="N52" i="3"/>
  <c r="U52" i="3"/>
  <c r="T52" i="3" s="1"/>
  <c r="V52" i="3"/>
  <c r="W52" i="3"/>
  <c r="X52" i="3"/>
  <c r="AC52" i="3"/>
  <c r="M53" i="3"/>
  <c r="N53" i="3"/>
  <c r="R53" i="3"/>
  <c r="U53" i="3"/>
  <c r="T53" i="3" s="1"/>
  <c r="V53" i="3"/>
  <c r="W53" i="3"/>
  <c r="X53" i="3"/>
  <c r="AC53" i="3"/>
  <c r="M54" i="3"/>
  <c r="N54" i="3"/>
  <c r="U54" i="3"/>
  <c r="T54" i="3" s="1"/>
  <c r="V54" i="3"/>
  <c r="W54" i="3"/>
  <c r="X54" i="3"/>
  <c r="AC54" i="3"/>
  <c r="M55" i="3"/>
  <c r="N55" i="3"/>
  <c r="U55" i="3"/>
  <c r="T55" i="3" s="1"/>
  <c r="V55" i="3"/>
  <c r="W55" i="3"/>
  <c r="X55" i="3"/>
  <c r="M56" i="3"/>
  <c r="N56" i="3"/>
  <c r="U56" i="3"/>
  <c r="T56" i="3" s="1"/>
  <c r="V56" i="3"/>
  <c r="W56" i="3"/>
  <c r="X56" i="3"/>
  <c r="AC56" i="3"/>
  <c r="M57" i="3"/>
  <c r="N57" i="3"/>
  <c r="U57" i="3"/>
  <c r="T57" i="3" s="1"/>
  <c r="V57" i="3"/>
  <c r="W57" i="3"/>
  <c r="X57" i="3"/>
  <c r="AC57" i="3"/>
  <c r="M58" i="3"/>
  <c r="N58" i="3"/>
  <c r="U58" i="3"/>
  <c r="T58" i="3" s="1"/>
  <c r="V58" i="3"/>
  <c r="W58" i="3"/>
  <c r="X58" i="3"/>
  <c r="AC58" i="3"/>
  <c r="M59" i="3"/>
  <c r="N59" i="3"/>
  <c r="U59" i="3"/>
  <c r="T59" i="3" s="1"/>
  <c r="V59" i="3"/>
  <c r="W59" i="3"/>
  <c r="X59" i="3"/>
  <c r="AC59" i="3"/>
  <c r="M60" i="3"/>
  <c r="N60" i="3"/>
  <c r="U60" i="3"/>
  <c r="T60" i="3" s="1"/>
  <c r="V60" i="3"/>
  <c r="W60" i="3"/>
  <c r="X60" i="3"/>
  <c r="AC60" i="3"/>
  <c r="M61" i="3"/>
  <c r="N61" i="3"/>
  <c r="U61" i="3"/>
  <c r="T61" i="3" s="1"/>
  <c r="V61" i="3"/>
  <c r="W61" i="3"/>
  <c r="X61" i="3"/>
  <c r="AC61" i="3"/>
  <c r="M62" i="3"/>
  <c r="N62" i="3"/>
  <c r="U62" i="3"/>
  <c r="T62" i="3" s="1"/>
  <c r="V62" i="3"/>
  <c r="W62" i="3"/>
  <c r="X62" i="3"/>
  <c r="AC62" i="3"/>
  <c r="AC41" i="3" l="1"/>
  <c r="AC55" i="3"/>
  <c r="AC37" i="3"/>
  <c r="AG33" i="1"/>
  <c r="P196" i="1"/>
  <c r="X181" i="1"/>
  <c r="AA148" i="1"/>
  <c r="AA146" i="1"/>
  <c r="AA145" i="1"/>
  <c r="AA144" i="1"/>
  <c r="AA38" i="1"/>
  <c r="AI23" i="1"/>
  <c r="X180" i="1"/>
  <c r="AA224" i="1"/>
  <c r="AA223" i="1"/>
  <c r="X153" i="1"/>
  <c r="P144" i="1"/>
  <c r="AA47" i="1"/>
  <c r="AA208" i="1"/>
  <c r="W208" i="1" s="1"/>
  <c r="AG77" i="1"/>
  <c r="T23" i="1"/>
  <c r="U23" i="1" s="1"/>
  <c r="S23" i="1" s="1"/>
  <c r="X183" i="1"/>
  <c r="X179" i="1"/>
  <c r="AG192" i="1"/>
  <c r="X192" i="1"/>
  <c r="AG123" i="1"/>
  <c r="AG26" i="1"/>
  <c r="U26" i="1" s="1"/>
  <c r="S26" i="1" s="1"/>
  <c r="X115" i="1"/>
  <c r="S44" i="3"/>
  <c r="AA215" i="1"/>
  <c r="AG191" i="1"/>
  <c r="AG224" i="1"/>
  <c r="AA113" i="1"/>
  <c r="AI108" i="1"/>
  <c r="AA104" i="1"/>
  <c r="W104" i="1" s="1"/>
  <c r="AA102" i="1"/>
  <c r="AA101" i="1"/>
  <c r="AA99" i="1"/>
  <c r="AA24" i="1"/>
  <c r="X37" i="1"/>
  <c r="X182" i="1"/>
  <c r="X178" i="1"/>
  <c r="AA184" i="1"/>
  <c r="W184" i="1" s="1"/>
  <c r="AA179" i="1"/>
  <c r="T176" i="1"/>
  <c r="U176" i="1" s="1"/>
  <c r="S176" i="1" s="1"/>
  <c r="AA90" i="1"/>
  <c r="AA89" i="1"/>
  <c r="AA46" i="1"/>
  <c r="W46" i="1" s="1"/>
  <c r="X36" i="1"/>
  <c r="X114" i="1"/>
  <c r="AC11" i="3"/>
  <c r="Y59" i="3"/>
  <c r="S54" i="3"/>
  <c r="R8" i="3"/>
  <c r="AA191" i="1"/>
  <c r="AA117" i="1"/>
  <c r="W117" i="1" s="1"/>
  <c r="AA115" i="1"/>
  <c r="AA114" i="1"/>
  <c r="AG111" i="1"/>
  <c r="U111" i="1" s="1"/>
  <c r="S111" i="1" s="1"/>
  <c r="X39" i="1"/>
  <c r="X35" i="1"/>
  <c r="AA174" i="1"/>
  <c r="AA173" i="1"/>
  <c r="AA161" i="1"/>
  <c r="W161" i="1" s="1"/>
  <c r="AA218" i="1"/>
  <c r="AA210" i="1"/>
  <c r="AA209" i="1"/>
  <c r="X16" i="1"/>
  <c r="X38" i="1"/>
  <c r="AC8" i="3"/>
  <c r="S41" i="3"/>
  <c r="Y39" i="3"/>
  <c r="W218" i="1"/>
  <c r="U123" i="1"/>
  <c r="AA56" i="1"/>
  <c r="AA52" i="1"/>
  <c r="AA14" i="1"/>
  <c r="W14" i="1" s="1"/>
  <c r="X13" i="1"/>
  <c r="X25" i="1"/>
  <c r="Y47" i="3"/>
  <c r="AA172" i="1"/>
  <c r="W172" i="1" s="1"/>
  <c r="AA167" i="1"/>
  <c r="AA165" i="1"/>
  <c r="W165" i="1" s="1"/>
  <c r="AG151" i="1"/>
  <c r="X151" i="1"/>
  <c r="AG136" i="1"/>
  <c r="AI136" i="1" s="1"/>
  <c r="AA108" i="1"/>
  <c r="W108" i="1" s="1"/>
  <c r="AA106" i="1"/>
  <c r="AA105" i="1"/>
  <c r="AA42" i="1"/>
  <c r="X20" i="1"/>
  <c r="X24" i="1"/>
  <c r="X19" i="1"/>
  <c r="X23" i="1"/>
  <c r="AA197" i="1"/>
  <c r="AA178" i="1"/>
  <c r="AA177" i="1"/>
  <c r="W177" i="1" s="1"/>
  <c r="AA157" i="1"/>
  <c r="W157" i="1" s="1"/>
  <c r="AA203" i="1"/>
  <c r="AG139" i="1"/>
  <c r="U139" i="1" s="1"/>
  <c r="X139" i="1"/>
  <c r="AA136" i="1"/>
  <c r="AG128" i="1"/>
  <c r="U128" i="1" s="1"/>
  <c r="S128" i="1" s="1"/>
  <c r="AA100" i="1"/>
  <c r="W100" i="1" s="1"/>
  <c r="AA27" i="1"/>
  <c r="X26" i="1"/>
  <c r="Y51" i="3"/>
  <c r="R42" i="3"/>
  <c r="Y31" i="3"/>
  <c r="Y17" i="3"/>
  <c r="S8" i="3"/>
  <c r="Y21" i="3"/>
  <c r="Y13" i="3"/>
  <c r="Y9" i="3"/>
  <c r="Y8" i="3"/>
  <c r="AC16" i="3"/>
  <c r="X131" i="1"/>
  <c r="AA192" i="1"/>
  <c r="W192" i="1" s="1"/>
  <c r="AG172" i="1"/>
  <c r="U172" i="1" s="1"/>
  <c r="S172" i="1" s="1"/>
  <c r="X172" i="1"/>
  <c r="AA171" i="1"/>
  <c r="AA170" i="1"/>
  <c r="AG156" i="1"/>
  <c r="AI156" i="1" s="1"/>
  <c r="X156" i="1"/>
  <c r="AA155" i="1"/>
  <c r="AA154" i="1"/>
  <c r="AA206" i="1"/>
  <c r="AA205" i="1"/>
  <c r="AA149" i="1"/>
  <c r="AG143" i="1"/>
  <c r="U143" i="1" s="1"/>
  <c r="S143" i="1" s="1"/>
  <c r="AG131" i="1"/>
  <c r="U131" i="1" s="1"/>
  <c r="S131" i="1" s="1"/>
  <c r="X100" i="1"/>
  <c r="X99" i="1"/>
  <c r="AA98" i="1"/>
  <c r="AA97" i="1"/>
  <c r="AG95" i="1"/>
  <c r="U95" i="1" s="1"/>
  <c r="S95" i="1" s="1"/>
  <c r="X95" i="1"/>
  <c r="AA94" i="1"/>
  <c r="AA93" i="1"/>
  <c r="AA73" i="1"/>
  <c r="AA68" i="1"/>
  <c r="AA67" i="1"/>
  <c r="AA66" i="1"/>
  <c r="W66" i="1" s="1"/>
  <c r="T66" i="1"/>
  <c r="AG61" i="1"/>
  <c r="AG21" i="1"/>
  <c r="Y11" i="3"/>
  <c r="T214" i="1"/>
  <c r="T65" i="1"/>
  <c r="U65" i="1" s="1"/>
  <c r="S65" i="1" s="1"/>
  <c r="AA37" i="1"/>
  <c r="AG35" i="1"/>
  <c r="AA31" i="1"/>
  <c r="W31" i="1" s="1"/>
  <c r="AA30" i="1"/>
  <c r="AA13" i="1"/>
  <c r="Y55" i="3"/>
  <c r="R44" i="3"/>
  <c r="Y35" i="3"/>
  <c r="AC14" i="3"/>
  <c r="Y43" i="3"/>
  <c r="Y27" i="3"/>
  <c r="Y23" i="3"/>
  <c r="Y15" i="3"/>
  <c r="AA217" i="1"/>
  <c r="AG200" i="1"/>
  <c r="U200" i="1" s="1"/>
  <c r="S200" i="1" s="1"/>
  <c r="AA196" i="1"/>
  <c r="AA181" i="1"/>
  <c r="AG171" i="1"/>
  <c r="AA168" i="1"/>
  <c r="AG155" i="1"/>
  <c r="AI155" i="1" s="1"/>
  <c r="AA153" i="1"/>
  <c r="W153" i="1" s="1"/>
  <c r="AA204" i="1"/>
  <c r="W204" i="1" s="1"/>
  <c r="AA202" i="1"/>
  <c r="AA201" i="1"/>
  <c r="AA152" i="1"/>
  <c r="X144" i="1"/>
  <c r="AA143" i="1"/>
  <c r="AG134" i="1"/>
  <c r="U134" i="1" s="1"/>
  <c r="S134" i="1" s="1"/>
  <c r="AA132" i="1"/>
  <c r="AG127" i="1"/>
  <c r="X104" i="1"/>
  <c r="T99" i="1"/>
  <c r="X96" i="1"/>
  <c r="AA95" i="1"/>
  <c r="X92" i="1"/>
  <c r="AA84" i="1"/>
  <c r="W84" i="1" s="1"/>
  <c r="AA79" i="1"/>
  <c r="W79" i="1" s="1"/>
  <c r="T70" i="1"/>
  <c r="X66" i="1"/>
  <c r="AG63" i="1"/>
  <c r="U63" i="1" s="1"/>
  <c r="S63" i="1" s="1"/>
  <c r="X62" i="1"/>
  <c r="AA45" i="1"/>
  <c r="X30" i="1"/>
  <c r="AA21" i="1"/>
  <c r="AA195" i="1"/>
  <c r="AA194" i="1"/>
  <c r="AA138" i="1"/>
  <c r="AA130" i="1"/>
  <c r="X113" i="1"/>
  <c r="X108" i="1"/>
  <c r="AA107" i="1"/>
  <c r="AA103" i="1"/>
  <c r="AA91" i="1"/>
  <c r="T91" i="1"/>
  <c r="X88" i="1"/>
  <c r="AA87" i="1"/>
  <c r="T87" i="1"/>
  <c r="X84" i="1"/>
  <c r="AA83" i="1"/>
  <c r="T83" i="1"/>
  <c r="AA61" i="1"/>
  <c r="AA59" i="1"/>
  <c r="AA49" i="1"/>
  <c r="X46" i="1"/>
  <c r="X45" i="1"/>
  <c r="AG41" i="1"/>
  <c r="U41" i="1" s="1"/>
  <c r="S41" i="1" s="1"/>
  <c r="X41" i="1"/>
  <c r="AA40" i="1"/>
  <c r="AA39" i="1"/>
  <c r="AG34" i="1"/>
  <c r="U34" i="1" s="1"/>
  <c r="S34" i="1" s="1"/>
  <c r="X34" i="1"/>
  <c r="AA33" i="1"/>
  <c r="AA32" i="1"/>
  <c r="X31" i="1"/>
  <c r="AA28" i="1"/>
  <c r="AG19" i="1"/>
  <c r="AA185" i="1"/>
  <c r="AA225" i="1"/>
  <c r="AG207" i="1"/>
  <c r="X207" i="1"/>
  <c r="AG152" i="1"/>
  <c r="AI152" i="1" s="1"/>
  <c r="AG147" i="1"/>
  <c r="U147" i="1" s="1"/>
  <c r="S147" i="1" s="1"/>
  <c r="AG144" i="1"/>
  <c r="AI144" i="1" s="1"/>
  <c r="AA140" i="1"/>
  <c r="AA35" i="1"/>
  <c r="AG16" i="1"/>
  <c r="U16" i="1" s="1"/>
  <c r="R41" i="3"/>
  <c r="AG217" i="1"/>
  <c r="X217" i="1"/>
  <c r="AA216" i="1"/>
  <c r="W216" i="1" s="1"/>
  <c r="X215" i="1"/>
  <c r="AA200" i="1"/>
  <c r="AA193" i="1"/>
  <c r="AA183" i="1"/>
  <c r="AA182" i="1"/>
  <c r="AA169" i="1"/>
  <c r="W169" i="1" s="1"/>
  <c r="AG167" i="1"/>
  <c r="AI167" i="1" s="1"/>
  <c r="X157" i="1"/>
  <c r="AA222" i="1"/>
  <c r="W222" i="1" s="1"/>
  <c r="T221" i="1"/>
  <c r="T211" i="1"/>
  <c r="AG202" i="1"/>
  <c r="U202" i="1" s="1"/>
  <c r="S202" i="1" s="1"/>
  <c r="X152" i="1"/>
  <c r="X148" i="1"/>
  <c r="AG140" i="1"/>
  <c r="U140" i="1" s="1"/>
  <c r="S140" i="1" s="1"/>
  <c r="X140" i="1"/>
  <c r="AA139" i="1"/>
  <c r="X135" i="1"/>
  <c r="AG132" i="1"/>
  <c r="X132" i="1"/>
  <c r="AA131" i="1"/>
  <c r="AA128" i="1"/>
  <c r="W128" i="1" s="1"/>
  <c r="AA124" i="1"/>
  <c r="X120" i="1"/>
  <c r="AG116" i="1"/>
  <c r="U116" i="1" s="1"/>
  <c r="S116" i="1" s="1"/>
  <c r="AG112" i="1"/>
  <c r="W112" i="1" s="1"/>
  <c r="X112" i="1"/>
  <c r="AA111" i="1"/>
  <c r="AG107" i="1"/>
  <c r="AI107" i="1" s="1"/>
  <c r="AG103" i="1"/>
  <c r="U103" i="1" s="1"/>
  <c r="S103" i="1" s="1"/>
  <c r="AG99" i="1"/>
  <c r="W99" i="1" s="1"/>
  <c r="AG91" i="1"/>
  <c r="AG87" i="1"/>
  <c r="AA86" i="1"/>
  <c r="AA85" i="1"/>
  <c r="AG83" i="1"/>
  <c r="AI83" i="1" s="1"/>
  <c r="AA82" i="1"/>
  <c r="AA81" i="1"/>
  <c r="AA77" i="1"/>
  <c r="W77" i="1" s="1"/>
  <c r="AA75" i="1"/>
  <c r="AA72" i="1"/>
  <c r="AA71" i="1"/>
  <c r="AA70" i="1"/>
  <c r="W70" i="1" s="1"/>
  <c r="AA63" i="1"/>
  <c r="AG59" i="1"/>
  <c r="AI59" i="1" s="1"/>
  <c r="AA57" i="1"/>
  <c r="AA55" i="1"/>
  <c r="AG40" i="1"/>
  <c r="U191" i="1"/>
  <c r="S191" i="1" s="1"/>
  <c r="X188" i="1"/>
  <c r="AA187" i="1"/>
  <c r="AA186" i="1"/>
  <c r="X173" i="1"/>
  <c r="X164" i="1"/>
  <c r="X160" i="1"/>
  <c r="AA159" i="1"/>
  <c r="AA158" i="1"/>
  <c r="X208" i="1"/>
  <c r="AA147" i="1"/>
  <c r="X128" i="1"/>
  <c r="AA127" i="1"/>
  <c r="AA126" i="1"/>
  <c r="AA121" i="1"/>
  <c r="AA96" i="1"/>
  <c r="W96" i="1" s="1"/>
  <c r="AA92" i="1"/>
  <c r="W92" i="1" s="1"/>
  <c r="AA88" i="1"/>
  <c r="W88" i="1" s="1"/>
  <c r="T69" i="1"/>
  <c r="AA53" i="1"/>
  <c r="AA51" i="1"/>
  <c r="AG42" i="1"/>
  <c r="AI215" i="1"/>
  <c r="T138" i="1"/>
  <c r="AG138" i="1"/>
  <c r="AA129" i="1"/>
  <c r="AA125" i="1"/>
  <c r="W125" i="1" s="1"/>
  <c r="AG121" i="1"/>
  <c r="AI121" i="1" s="1"/>
  <c r="X121" i="1"/>
  <c r="X200" i="1"/>
  <c r="AG199" i="1"/>
  <c r="U199" i="1" s="1"/>
  <c r="S199" i="1" s="1"/>
  <c r="T196" i="1"/>
  <c r="T188" i="1"/>
  <c r="T184" i="1"/>
  <c r="U184" i="1" s="1"/>
  <c r="S184" i="1" s="1"/>
  <c r="T180" i="1"/>
  <c r="U180" i="1" s="1"/>
  <c r="S180" i="1" s="1"/>
  <c r="T177" i="1"/>
  <c r="U177" i="1" s="1"/>
  <c r="S177" i="1" s="1"/>
  <c r="X169" i="1"/>
  <c r="AG168" i="1"/>
  <c r="U168" i="1" s="1"/>
  <c r="X168" i="1"/>
  <c r="AA164" i="1"/>
  <c r="AG163" i="1"/>
  <c r="T161" i="1"/>
  <c r="AG225" i="1"/>
  <c r="X225" i="1"/>
  <c r="AA221" i="1"/>
  <c r="AG220" i="1"/>
  <c r="T218" i="1"/>
  <c r="X204" i="1"/>
  <c r="AG203" i="1"/>
  <c r="U203" i="1" s="1"/>
  <c r="S203" i="1" s="1"/>
  <c r="X203" i="1"/>
  <c r="T148" i="1"/>
  <c r="T144" i="1"/>
  <c r="AG142" i="1"/>
  <c r="AA135" i="1"/>
  <c r="T135" i="1"/>
  <c r="T130" i="1"/>
  <c r="AG130" i="1"/>
  <c r="U192" i="1"/>
  <c r="S192" i="1" s="1"/>
  <c r="T165" i="1"/>
  <c r="S39" i="3"/>
  <c r="T215" i="1"/>
  <c r="U215" i="1" s="1"/>
  <c r="S215" i="1" s="1"/>
  <c r="AG196" i="1"/>
  <c r="AG195" i="1"/>
  <c r="U195" i="1" s="1"/>
  <c r="S195" i="1" s="1"/>
  <c r="AG188" i="1"/>
  <c r="AG187" i="1"/>
  <c r="U187" i="1" s="1"/>
  <c r="S187" i="1" s="1"/>
  <c r="AG183" i="1"/>
  <c r="U183" i="1" s="1"/>
  <c r="S183" i="1" s="1"/>
  <c r="AG179" i="1"/>
  <c r="U179" i="1" s="1"/>
  <c r="AA176" i="1"/>
  <c r="W176" i="1" s="1"/>
  <c r="AA175" i="1"/>
  <c r="T173" i="1"/>
  <c r="AA166" i="1"/>
  <c r="X165" i="1"/>
  <c r="AG164" i="1"/>
  <c r="U164" i="1" s="1"/>
  <c r="S164" i="1" s="1"/>
  <c r="AA160" i="1"/>
  <c r="AG159" i="1"/>
  <c r="W159" i="1" s="1"/>
  <c r="T157" i="1"/>
  <c r="U157" i="1" s="1"/>
  <c r="S157" i="1" s="1"/>
  <c r="W224" i="1"/>
  <c r="X222" i="1"/>
  <c r="AG221" i="1"/>
  <c r="AA211" i="1"/>
  <c r="AG210" i="1"/>
  <c r="T208" i="1"/>
  <c r="U208" i="1" s="1"/>
  <c r="S208" i="1" s="1"/>
  <c r="AG148" i="1"/>
  <c r="AG146" i="1"/>
  <c r="U146" i="1" s="1"/>
  <c r="S146" i="1" s="1"/>
  <c r="X143" i="1"/>
  <c r="T124" i="1"/>
  <c r="X124" i="1"/>
  <c r="AG124" i="1"/>
  <c r="X125" i="1"/>
  <c r="AI46" i="1"/>
  <c r="AI38" i="1"/>
  <c r="AI31" i="1"/>
  <c r="T222" i="1"/>
  <c r="U222" i="1" s="1"/>
  <c r="S222" i="1" s="1"/>
  <c r="W215" i="1"/>
  <c r="U214" i="1"/>
  <c r="S214" i="1" s="1"/>
  <c r="AA212" i="1"/>
  <c r="AA190" i="1"/>
  <c r="X184" i="1"/>
  <c r="X177" i="1"/>
  <c r="T169" i="1"/>
  <c r="U169" i="1" s="1"/>
  <c r="S169" i="1" s="1"/>
  <c r="AA163" i="1"/>
  <c r="AA162" i="1"/>
  <c r="X161" i="1"/>
  <c r="AG160" i="1"/>
  <c r="U160" i="1" s="1"/>
  <c r="S160" i="1" s="1"/>
  <c r="AA156" i="1"/>
  <c r="T153" i="1"/>
  <c r="U153" i="1" s="1"/>
  <c r="S153" i="1" s="1"/>
  <c r="AA220" i="1"/>
  <c r="AA219" i="1"/>
  <c r="X218" i="1"/>
  <c r="AG211" i="1"/>
  <c r="AA207" i="1"/>
  <c r="AG206" i="1"/>
  <c r="T204" i="1"/>
  <c r="U204" i="1" s="1"/>
  <c r="S204" i="1" s="1"/>
  <c r="U152" i="1"/>
  <c r="S152" i="1" s="1"/>
  <c r="X147" i="1"/>
  <c r="AA142" i="1"/>
  <c r="AA137" i="1"/>
  <c r="X136" i="1"/>
  <c r="AG135" i="1"/>
  <c r="AI132" i="1"/>
  <c r="T119" i="1"/>
  <c r="AG119" i="1"/>
  <c r="U77" i="1"/>
  <c r="S77" i="1" s="1"/>
  <c r="W38" i="1"/>
  <c r="U35" i="1"/>
  <c r="S35" i="1" s="1"/>
  <c r="AA120" i="1"/>
  <c r="T117" i="1"/>
  <c r="U117" i="1" s="1"/>
  <c r="S117" i="1" s="1"/>
  <c r="AG80" i="1"/>
  <c r="AI80" i="1" s="1"/>
  <c r="X80" i="1"/>
  <c r="T78" i="1"/>
  <c r="U78" i="1" s="1"/>
  <c r="S78" i="1" s="1"/>
  <c r="X76" i="1"/>
  <c r="AG75" i="1"/>
  <c r="AI75" i="1" s="1"/>
  <c r="X74" i="1"/>
  <c r="AG73" i="1"/>
  <c r="AG71" i="1"/>
  <c r="AI71" i="1" s="1"/>
  <c r="AA69" i="1"/>
  <c r="W69" i="1" s="1"/>
  <c r="X58" i="1"/>
  <c r="AG57" i="1"/>
  <c r="AG55" i="1"/>
  <c r="AI55" i="1" s="1"/>
  <c r="X54" i="1"/>
  <c r="AG53" i="1"/>
  <c r="AG51" i="1"/>
  <c r="AI51" i="1" s="1"/>
  <c r="X50" i="1"/>
  <c r="AG49" i="1"/>
  <c r="U49" i="1" s="1"/>
  <c r="S49" i="1" s="1"/>
  <c r="T46" i="1"/>
  <c r="U46" i="1" s="1"/>
  <c r="S46" i="1" s="1"/>
  <c r="AG44" i="1"/>
  <c r="X42" i="1"/>
  <c r="T38" i="1"/>
  <c r="U38" i="1" s="1"/>
  <c r="S38" i="1" s="1"/>
  <c r="AG36" i="1"/>
  <c r="W33" i="1"/>
  <c r="T31" i="1"/>
  <c r="U31" i="1" s="1"/>
  <c r="S31" i="1" s="1"/>
  <c r="AG29" i="1"/>
  <c r="AI29" i="1" s="1"/>
  <c r="AG27" i="1"/>
  <c r="W27" i="1" s="1"/>
  <c r="X27" i="1"/>
  <c r="AA23" i="1"/>
  <c r="W23" i="1" s="1"/>
  <c r="AG22" i="1"/>
  <c r="U22" i="1" s="1"/>
  <c r="S22" i="1" s="1"/>
  <c r="X22" i="1"/>
  <c r="AG18" i="1"/>
  <c r="U18" i="1" s="1"/>
  <c r="S18" i="1" s="1"/>
  <c r="AA15" i="1"/>
  <c r="AA141" i="1"/>
  <c r="AA134" i="1"/>
  <c r="AA133" i="1"/>
  <c r="AA123" i="1"/>
  <c r="W123" i="1" s="1"/>
  <c r="AA122" i="1"/>
  <c r="AG120" i="1"/>
  <c r="U120" i="1" s="1"/>
  <c r="S120" i="1" s="1"/>
  <c r="AA116" i="1"/>
  <c r="AG115" i="1"/>
  <c r="U115" i="1" s="1"/>
  <c r="S115" i="1" s="1"/>
  <c r="T113" i="1"/>
  <c r="U113" i="1" s="1"/>
  <c r="S113" i="1" s="1"/>
  <c r="T108" i="1"/>
  <c r="U108" i="1" s="1"/>
  <c r="S108" i="1" s="1"/>
  <c r="AG106" i="1"/>
  <c r="T104" i="1"/>
  <c r="U104" i="1" s="1"/>
  <c r="S104" i="1" s="1"/>
  <c r="AG102" i="1"/>
  <c r="W102" i="1" s="1"/>
  <c r="T100" i="1"/>
  <c r="AG98" i="1"/>
  <c r="T96" i="1"/>
  <c r="U96" i="1" s="1"/>
  <c r="S96" i="1" s="1"/>
  <c r="AG94" i="1"/>
  <c r="U94" i="1" s="1"/>
  <c r="S94" i="1" s="1"/>
  <c r="T92" i="1"/>
  <c r="U92" i="1" s="1"/>
  <c r="S92" i="1" s="1"/>
  <c r="AG90" i="1"/>
  <c r="W90" i="1" s="1"/>
  <c r="T88" i="1"/>
  <c r="U88" i="1" s="1"/>
  <c r="S88" i="1" s="1"/>
  <c r="AG86" i="1"/>
  <c r="U86" i="1" s="1"/>
  <c r="S86" i="1" s="1"/>
  <c r="T84" i="1"/>
  <c r="AG82" i="1"/>
  <c r="U82" i="1" s="1"/>
  <c r="S82" i="1" s="1"/>
  <c r="AA78" i="1"/>
  <c r="W78" i="1" s="1"/>
  <c r="AI77" i="1"/>
  <c r="X70" i="1"/>
  <c r="AG67" i="1"/>
  <c r="AI67" i="1" s="1"/>
  <c r="AA65" i="1"/>
  <c r="W65" i="1" s="1"/>
  <c r="AA64" i="1"/>
  <c r="AA62" i="1"/>
  <c r="T62" i="1"/>
  <c r="U62" i="1" s="1"/>
  <c r="S62" i="1" s="1"/>
  <c r="AG45" i="1"/>
  <c r="U45" i="1" s="1"/>
  <c r="S45" i="1" s="1"/>
  <c r="AA41" i="1"/>
  <c r="AG37" i="1"/>
  <c r="U37" i="1" s="1"/>
  <c r="S37" i="1" s="1"/>
  <c r="AI35" i="1"/>
  <c r="AA34" i="1"/>
  <c r="W34" i="1" s="1"/>
  <c r="AG30" i="1"/>
  <c r="U30" i="1" s="1"/>
  <c r="S30" i="1" s="1"/>
  <c r="AA26" i="1"/>
  <c r="AA20" i="1"/>
  <c r="AA19" i="1"/>
  <c r="T125" i="1"/>
  <c r="U125" i="1" s="1"/>
  <c r="S125" i="1" s="1"/>
  <c r="AA119" i="1"/>
  <c r="W119" i="1" s="1"/>
  <c r="AA118" i="1"/>
  <c r="X117" i="1"/>
  <c r="X116" i="1"/>
  <c r="AA110" i="1"/>
  <c r="AA109" i="1"/>
  <c r="X107" i="1"/>
  <c r="X103" i="1"/>
  <c r="U99" i="1"/>
  <c r="S99" i="1" s="1"/>
  <c r="AA80" i="1"/>
  <c r="AA76" i="1"/>
  <c r="AA74" i="1"/>
  <c r="W74" i="1" s="1"/>
  <c r="T74" i="1"/>
  <c r="AA60" i="1"/>
  <c r="AA58" i="1"/>
  <c r="W58" i="1" s="1"/>
  <c r="T58" i="1"/>
  <c r="U58" i="1" s="1"/>
  <c r="S58" i="1" s="1"/>
  <c r="AA54" i="1"/>
  <c r="W54" i="1" s="1"/>
  <c r="T54" i="1"/>
  <c r="U54" i="1" s="1"/>
  <c r="S54" i="1" s="1"/>
  <c r="AA50" i="1"/>
  <c r="W50" i="1" s="1"/>
  <c r="T50" i="1"/>
  <c r="U50" i="1" s="1"/>
  <c r="S50" i="1" s="1"/>
  <c r="AA44" i="1"/>
  <c r="AA43" i="1"/>
  <c r="AA36" i="1"/>
  <c r="AA29" i="1"/>
  <c r="AA25" i="1"/>
  <c r="AA22" i="1"/>
  <c r="AA18" i="1"/>
  <c r="AA17" i="1"/>
  <c r="AA16" i="1"/>
  <c r="AG15" i="1"/>
  <c r="T213" i="1"/>
  <c r="X213" i="1"/>
  <c r="AI218" i="1"/>
  <c r="X199" i="1"/>
  <c r="AI203" i="1"/>
  <c r="W173" i="1"/>
  <c r="U161" i="1"/>
  <c r="S161" i="1" s="1"/>
  <c r="U218" i="1"/>
  <c r="S218" i="1" s="1"/>
  <c r="AI222" i="1"/>
  <c r="X214" i="1"/>
  <c r="AG213" i="1"/>
  <c r="U173" i="1"/>
  <c r="S173" i="1" s="1"/>
  <c r="AI191" i="1"/>
  <c r="AI176" i="1"/>
  <c r="AI160" i="1"/>
  <c r="AI224" i="1"/>
  <c r="AA199" i="1"/>
  <c r="AA198" i="1"/>
  <c r="W198" i="1" s="1"/>
  <c r="T197" i="1"/>
  <c r="X197" i="1"/>
  <c r="AG197" i="1"/>
  <c r="W197" i="1" s="1"/>
  <c r="T216" i="1"/>
  <c r="U216" i="1" s="1"/>
  <c r="S216" i="1" s="1"/>
  <c r="X216" i="1"/>
  <c r="AA214" i="1"/>
  <c r="W214" i="1" s="1"/>
  <c r="AA213" i="1"/>
  <c r="T212" i="1"/>
  <c r="X212" i="1"/>
  <c r="AG212" i="1"/>
  <c r="T198" i="1"/>
  <c r="U198" i="1" s="1"/>
  <c r="S198" i="1" s="1"/>
  <c r="X198" i="1"/>
  <c r="U165" i="1"/>
  <c r="S165" i="1" s="1"/>
  <c r="AI183" i="1"/>
  <c r="X195" i="1"/>
  <c r="AG194" i="1"/>
  <c r="AI194" i="1" s="1"/>
  <c r="X191" i="1"/>
  <c r="AG190" i="1"/>
  <c r="AI190" i="1" s="1"/>
  <c r="X187" i="1"/>
  <c r="AG186" i="1"/>
  <c r="AI186" i="1" s="1"/>
  <c r="AG182" i="1"/>
  <c r="AI182" i="1" s="1"/>
  <c r="X176" i="1"/>
  <c r="AG175" i="1"/>
  <c r="AI175" i="1" s="1"/>
  <c r="U171" i="1"/>
  <c r="S171" i="1" s="1"/>
  <c r="U163" i="1"/>
  <c r="S163" i="1" s="1"/>
  <c r="U224" i="1"/>
  <c r="S224" i="1" s="1"/>
  <c r="U220" i="1"/>
  <c r="S220" i="1" s="1"/>
  <c r="U210" i="1"/>
  <c r="S210" i="1" s="1"/>
  <c r="U206" i="1"/>
  <c r="S206" i="1" s="1"/>
  <c r="AI151" i="1"/>
  <c r="AI150" i="1"/>
  <c r="AI214" i="1"/>
  <c r="X194" i="1"/>
  <c r="AG193" i="1"/>
  <c r="X190" i="1"/>
  <c r="AG189" i="1"/>
  <c r="W189" i="1" s="1"/>
  <c r="AI206" i="1"/>
  <c r="X186" i="1"/>
  <c r="AG185" i="1"/>
  <c r="W185" i="1" s="1"/>
  <c r="AG181" i="1"/>
  <c r="AI181" i="1" s="1"/>
  <c r="AI198" i="1"/>
  <c r="AG178" i="1"/>
  <c r="AI178" i="1" s="1"/>
  <c r="X175" i="1"/>
  <c r="AG174" i="1"/>
  <c r="X171" i="1"/>
  <c r="AG170" i="1"/>
  <c r="W170" i="1" s="1"/>
  <c r="S168" i="1"/>
  <c r="X167" i="1"/>
  <c r="AG166" i="1"/>
  <c r="X163" i="1"/>
  <c r="AG162" i="1"/>
  <c r="X159" i="1"/>
  <c r="AG158" i="1"/>
  <c r="AI158" i="1" s="1"/>
  <c r="X155" i="1"/>
  <c r="AG154" i="1"/>
  <c r="AI154" i="1" s="1"/>
  <c r="AI171" i="1"/>
  <c r="X224" i="1"/>
  <c r="AG223" i="1"/>
  <c r="AI223" i="1" s="1"/>
  <c r="X220" i="1"/>
  <c r="AG219" i="1"/>
  <c r="AI219" i="1" s="1"/>
  <c r="AI163" i="1"/>
  <c r="X210" i="1"/>
  <c r="AG209" i="1"/>
  <c r="X206" i="1"/>
  <c r="AG205" i="1"/>
  <c r="W205" i="1" s="1"/>
  <c r="X202" i="1"/>
  <c r="AG201" i="1"/>
  <c r="U119" i="1"/>
  <c r="S119" i="1" s="1"/>
  <c r="AI117" i="1"/>
  <c r="W113" i="1"/>
  <c r="X193" i="1"/>
  <c r="X189" i="1"/>
  <c r="X185" i="1"/>
  <c r="X174" i="1"/>
  <c r="X170" i="1"/>
  <c r="X166" i="1"/>
  <c r="X162" i="1"/>
  <c r="X158" i="1"/>
  <c r="X154" i="1"/>
  <c r="X223" i="1"/>
  <c r="X219" i="1"/>
  <c r="AI162" i="1"/>
  <c r="X209" i="1"/>
  <c r="X205" i="1"/>
  <c r="X201" i="1"/>
  <c r="AA151" i="1"/>
  <c r="U151" i="1"/>
  <c r="S151" i="1" s="1"/>
  <c r="AA150" i="1"/>
  <c r="W150" i="1" s="1"/>
  <c r="T149" i="1"/>
  <c r="X149" i="1"/>
  <c r="AG149" i="1"/>
  <c r="AI113" i="1"/>
  <c r="T150" i="1"/>
  <c r="U150" i="1" s="1"/>
  <c r="S150" i="1" s="1"/>
  <c r="X150" i="1"/>
  <c r="AI146" i="1"/>
  <c r="T145" i="1"/>
  <c r="X145" i="1"/>
  <c r="AG145" i="1"/>
  <c r="U127" i="1"/>
  <c r="S127" i="1" s="1"/>
  <c r="AI125" i="1"/>
  <c r="U142" i="1"/>
  <c r="S142" i="1" s="1"/>
  <c r="X127" i="1"/>
  <c r="AG126" i="1"/>
  <c r="W126" i="1" s="1"/>
  <c r="AI124" i="1"/>
  <c r="X123" i="1"/>
  <c r="AG122" i="1"/>
  <c r="AI120" i="1"/>
  <c r="X119" i="1"/>
  <c r="AG118" i="1"/>
  <c r="AG114" i="1"/>
  <c r="T110" i="1"/>
  <c r="X110" i="1"/>
  <c r="X146" i="1"/>
  <c r="X142" i="1"/>
  <c r="AG141" i="1"/>
  <c r="X138" i="1"/>
  <c r="AG137" i="1"/>
  <c r="AI135" i="1"/>
  <c r="X134" i="1"/>
  <c r="AG133" i="1"/>
  <c r="X130" i="1"/>
  <c r="AG129" i="1"/>
  <c r="AI127" i="1"/>
  <c r="X126" i="1"/>
  <c r="AI123" i="1"/>
  <c r="S123" i="1"/>
  <c r="X122" i="1"/>
  <c r="AI119" i="1"/>
  <c r="X118" i="1"/>
  <c r="X111" i="1"/>
  <c r="AG110" i="1"/>
  <c r="T109" i="1"/>
  <c r="X109" i="1"/>
  <c r="AG109" i="1"/>
  <c r="AI142" i="1"/>
  <c r="X141" i="1"/>
  <c r="X137" i="1"/>
  <c r="X133" i="1"/>
  <c r="AI130" i="1"/>
  <c r="X129" i="1"/>
  <c r="U106" i="1"/>
  <c r="S106" i="1" s="1"/>
  <c r="AI104" i="1"/>
  <c r="AI100" i="1"/>
  <c r="U100" i="1"/>
  <c r="S100" i="1" s="1"/>
  <c r="AI96" i="1"/>
  <c r="AI92" i="1"/>
  <c r="AI88" i="1"/>
  <c r="AI84" i="1"/>
  <c r="U84" i="1"/>
  <c r="S84" i="1" s="1"/>
  <c r="X106" i="1"/>
  <c r="AG105" i="1"/>
  <c r="X102" i="1"/>
  <c r="AG101" i="1"/>
  <c r="W101" i="1" s="1"/>
  <c r="AI99" i="1"/>
  <c r="X98" i="1"/>
  <c r="AG97" i="1"/>
  <c r="W97" i="1" s="1"/>
  <c r="AI95" i="1"/>
  <c r="X94" i="1"/>
  <c r="AG93" i="1"/>
  <c r="W93" i="1" s="1"/>
  <c r="AI91" i="1"/>
  <c r="X90" i="1"/>
  <c r="AG89" i="1"/>
  <c r="X86" i="1"/>
  <c r="AG85" i="1"/>
  <c r="W85" i="1" s="1"/>
  <c r="X82" i="1"/>
  <c r="AG81" i="1"/>
  <c r="AI78" i="1"/>
  <c r="AI58" i="1"/>
  <c r="AI54" i="1"/>
  <c r="AI50" i="1"/>
  <c r="X105" i="1"/>
  <c r="AI102" i="1"/>
  <c r="X101" i="1"/>
  <c r="X97" i="1"/>
  <c r="X93" i="1"/>
  <c r="AI90" i="1"/>
  <c r="X89" i="1"/>
  <c r="X85" i="1"/>
  <c r="AI82" i="1"/>
  <c r="X81" i="1"/>
  <c r="AI79" i="1"/>
  <c r="X78" i="1"/>
  <c r="U71" i="1"/>
  <c r="S71" i="1" s="1"/>
  <c r="U70" i="1"/>
  <c r="S70" i="1" s="1"/>
  <c r="AI70" i="1"/>
  <c r="U51" i="1"/>
  <c r="S51" i="1" s="1"/>
  <c r="T79" i="1"/>
  <c r="U79" i="1" s="1"/>
  <c r="S79" i="1" s="1"/>
  <c r="X79" i="1"/>
  <c r="AG76" i="1"/>
  <c r="W76" i="1" s="1"/>
  <c r="X77" i="1"/>
  <c r="U66" i="1"/>
  <c r="S66" i="1" s="1"/>
  <c r="AI66" i="1"/>
  <c r="W62" i="1"/>
  <c r="U74" i="1"/>
  <c r="S74" i="1" s="1"/>
  <c r="AI74" i="1"/>
  <c r="AI62" i="1"/>
  <c r="U69" i="1"/>
  <c r="S69" i="1" s="1"/>
  <c r="U57" i="1"/>
  <c r="S57" i="1" s="1"/>
  <c r="U53" i="1"/>
  <c r="S53" i="1" s="1"/>
  <c r="T48" i="1"/>
  <c r="X48" i="1"/>
  <c r="AI44" i="1"/>
  <c r="X73" i="1"/>
  <c r="AG72" i="1"/>
  <c r="X69" i="1"/>
  <c r="AG68" i="1"/>
  <c r="X65" i="1"/>
  <c r="AG64" i="1"/>
  <c r="X61" i="1"/>
  <c r="AG60" i="1"/>
  <c r="W60" i="1" s="1"/>
  <c r="X57" i="1"/>
  <c r="AG56" i="1"/>
  <c r="X53" i="1"/>
  <c r="AG52" i="1"/>
  <c r="X49" i="1"/>
  <c r="AG48" i="1"/>
  <c r="U44" i="1"/>
  <c r="S44" i="1" s="1"/>
  <c r="X72" i="1"/>
  <c r="AI69" i="1"/>
  <c r="X68" i="1"/>
  <c r="AI65" i="1"/>
  <c r="X64" i="1"/>
  <c r="X60" i="1"/>
  <c r="AI57" i="1"/>
  <c r="X56" i="1"/>
  <c r="X52" i="1"/>
  <c r="X75" i="1"/>
  <c r="X71" i="1"/>
  <c r="X67" i="1"/>
  <c r="X63" i="1"/>
  <c r="X59" i="1"/>
  <c r="X55" i="1"/>
  <c r="X51" i="1"/>
  <c r="AA48" i="1"/>
  <c r="T47" i="1"/>
  <c r="X47" i="1"/>
  <c r="AG47" i="1"/>
  <c r="U15" i="1"/>
  <c r="S15" i="1" s="1"/>
  <c r="U40" i="1"/>
  <c r="S40" i="1" s="1"/>
  <c r="U36" i="1"/>
  <c r="S36" i="1" s="1"/>
  <c r="U33" i="1"/>
  <c r="S33" i="1" s="1"/>
  <c r="AG25" i="1"/>
  <c r="W25" i="1" s="1"/>
  <c r="S16" i="1"/>
  <c r="X15" i="1"/>
  <c r="U14" i="1"/>
  <c r="S14" i="1" s="1"/>
  <c r="X44" i="1"/>
  <c r="AG43" i="1"/>
  <c r="W43" i="1" s="1"/>
  <c r="AI41" i="1"/>
  <c r="X40" i="1"/>
  <c r="AG39" i="1"/>
  <c r="AI37" i="1"/>
  <c r="AI34" i="1"/>
  <c r="X33" i="1"/>
  <c r="AG32" i="1"/>
  <c r="X29" i="1"/>
  <c r="AG28" i="1"/>
  <c r="AG24" i="1"/>
  <c r="AI22" i="1"/>
  <c r="X21" i="1"/>
  <c r="AG20" i="1"/>
  <c r="X18" i="1"/>
  <c r="AG17" i="1"/>
  <c r="AI15" i="1"/>
  <c r="X14" i="1"/>
  <c r="AG13" i="1"/>
  <c r="X43" i="1"/>
  <c r="AI40" i="1"/>
  <c r="AI36" i="1"/>
  <c r="AI33" i="1"/>
  <c r="X32" i="1"/>
  <c r="X28" i="1"/>
  <c r="AI18" i="1"/>
  <c r="X17" i="1"/>
  <c r="AI14" i="1"/>
  <c r="Y19" i="3"/>
  <c r="AC42" i="3"/>
  <c r="AD8" i="3"/>
  <c r="Y61" i="3"/>
  <c r="Y57" i="3"/>
  <c r="Y53" i="3"/>
  <c r="Y49" i="3"/>
  <c r="Y45" i="3"/>
  <c r="Y41" i="3"/>
  <c r="Y37" i="3"/>
  <c r="Y33" i="3"/>
  <c r="Y29" i="3"/>
  <c r="Y25" i="3"/>
  <c r="AD61" i="3"/>
  <c r="AD59" i="3"/>
  <c r="AD57" i="3"/>
  <c r="AD55" i="3"/>
  <c r="AD53" i="3"/>
  <c r="AD51" i="3"/>
  <c r="AD49" i="3"/>
  <c r="AD47" i="3"/>
  <c r="AD45" i="3"/>
  <c r="AD43" i="3"/>
  <c r="AD41" i="3"/>
  <c r="AD39" i="3"/>
  <c r="AD37" i="3"/>
  <c r="AD35" i="3"/>
  <c r="AD33" i="3"/>
  <c r="AD31" i="3"/>
  <c r="AD29" i="3"/>
  <c r="AD27" i="3"/>
  <c r="AD25" i="3"/>
  <c r="AD23" i="3"/>
  <c r="AD21" i="3"/>
  <c r="AD19" i="3"/>
  <c r="AD17" i="3"/>
  <c r="AD15" i="3"/>
  <c r="AD13" i="3"/>
  <c r="AD11" i="3"/>
  <c r="AD9" i="3"/>
  <c r="Y60" i="3"/>
  <c r="Y56" i="3"/>
  <c r="Y52" i="3"/>
  <c r="Y48" i="3"/>
  <c r="Y46" i="3"/>
  <c r="Y40" i="3"/>
  <c r="Y36" i="3"/>
  <c r="Y30" i="3"/>
  <c r="Y28" i="3"/>
  <c r="Y22" i="3"/>
  <c r="Y20" i="3"/>
  <c r="Y18" i="3"/>
  <c r="Y16" i="3"/>
  <c r="Y14" i="3"/>
  <c r="Y12" i="3"/>
  <c r="Y10" i="3"/>
  <c r="Y62" i="3"/>
  <c r="Y58" i="3"/>
  <c r="Y54" i="3"/>
  <c r="Y50" i="3"/>
  <c r="Y44" i="3"/>
  <c r="Y42" i="3"/>
  <c r="Y38" i="3"/>
  <c r="Y34" i="3"/>
  <c r="Y32" i="3"/>
  <c r="Y26" i="3"/>
  <c r="Y24" i="3"/>
  <c r="AD62" i="3"/>
  <c r="AD60" i="3"/>
  <c r="AD58" i="3"/>
  <c r="AD54" i="3"/>
  <c r="AD52" i="3"/>
  <c r="AD50" i="3"/>
  <c r="AD48" i="3"/>
  <c r="AD46" i="3"/>
  <c r="AD44" i="3"/>
  <c r="AD42" i="3"/>
  <c r="AD40" i="3"/>
  <c r="AD38" i="3"/>
  <c r="AD36" i="3"/>
  <c r="AD34" i="3"/>
  <c r="AD32" i="3"/>
  <c r="AD30" i="3"/>
  <c r="AD28" i="3"/>
  <c r="AD26" i="3"/>
  <c r="AD24" i="3"/>
  <c r="AD22" i="3"/>
  <c r="AD20" i="3"/>
  <c r="AD18" i="3"/>
  <c r="AD16" i="3"/>
  <c r="AD14" i="3"/>
  <c r="AD12" i="3"/>
  <c r="AD10" i="3"/>
  <c r="B82" i="9"/>
  <c r="B81" i="9"/>
  <c r="B115" i="9"/>
  <c r="B117" i="9"/>
  <c r="B116" i="9"/>
  <c r="B23" i="9"/>
  <c r="B27" i="9"/>
  <c r="B22" i="9"/>
  <c r="B26" i="9"/>
  <c r="B21" i="9"/>
  <c r="B25" i="9"/>
  <c r="B65" i="9"/>
  <c r="B64" i="9"/>
  <c r="B131" i="9"/>
  <c r="B132" i="9"/>
  <c r="B50" i="9"/>
  <c r="B48" i="9"/>
  <c r="B49" i="9"/>
  <c r="B130" i="9"/>
  <c r="B128" i="9"/>
  <c r="B129" i="9"/>
  <c r="B3" i="9"/>
  <c r="B6" i="9"/>
  <c r="B9" i="9"/>
  <c r="B20" i="9"/>
  <c r="B2" i="9"/>
  <c r="B5" i="9"/>
  <c r="B8" i="9"/>
  <c r="B18" i="9"/>
  <c r="B1" i="9"/>
  <c r="C1" i="9" s="1"/>
  <c r="B4" i="9"/>
  <c r="B7" i="9"/>
  <c r="B19" i="9"/>
  <c r="B24" i="9"/>
  <c r="B32" i="9"/>
  <c r="B55" i="9"/>
  <c r="B33" i="9"/>
  <c r="B56" i="9"/>
  <c r="B31" i="9"/>
  <c r="B54" i="9"/>
  <c r="B75" i="9"/>
  <c r="B109" i="9"/>
  <c r="B76" i="9"/>
  <c r="B111" i="9"/>
  <c r="B74" i="9"/>
  <c r="B110" i="9"/>
  <c r="B77" i="9"/>
  <c r="B78" i="9"/>
  <c r="B79" i="9"/>
  <c r="B120" i="9"/>
  <c r="B124" i="9"/>
  <c r="B123" i="9"/>
  <c r="B121" i="9"/>
  <c r="B122" i="9"/>
  <c r="B45" i="9"/>
  <c r="B59" i="9"/>
  <c r="B70" i="9"/>
  <c r="B43" i="9"/>
  <c r="B60" i="9"/>
  <c r="B67" i="9"/>
  <c r="B68" i="9"/>
  <c r="B44" i="9"/>
  <c r="B61" i="9"/>
  <c r="B69" i="9"/>
  <c r="B71" i="9"/>
  <c r="B72" i="9"/>
  <c r="B73" i="9"/>
  <c r="B125" i="9"/>
  <c r="B126" i="9"/>
  <c r="B127" i="9"/>
  <c r="B112" i="9"/>
  <c r="B113" i="9"/>
  <c r="B114" i="9"/>
  <c r="B41" i="9"/>
  <c r="B58" i="9"/>
  <c r="B42" i="9"/>
  <c r="B57" i="9"/>
  <c r="B40" i="9"/>
  <c r="B135" i="9"/>
  <c r="B133" i="9"/>
  <c r="B134" i="9"/>
  <c r="B102" i="9"/>
  <c r="B101" i="9"/>
  <c r="B103" i="9"/>
  <c r="B51" i="9"/>
  <c r="B53" i="9"/>
  <c r="B66" i="9"/>
  <c r="B52" i="9"/>
  <c r="B10" i="9"/>
  <c r="B11" i="9"/>
  <c r="B89" i="9"/>
  <c r="B90" i="9"/>
  <c r="B46" i="9"/>
  <c r="B63" i="9"/>
  <c r="B47" i="9"/>
  <c r="B62" i="9"/>
  <c r="B98" i="9"/>
  <c r="B100" i="9"/>
  <c r="B97" i="9"/>
  <c r="B99" i="9"/>
  <c r="B17" i="9"/>
  <c r="B28" i="9"/>
  <c r="B15" i="9"/>
  <c r="B30" i="9"/>
  <c r="B16" i="9"/>
  <c r="B29" i="9"/>
  <c r="B83" i="9"/>
  <c r="B84" i="9"/>
  <c r="B92" i="9"/>
  <c r="B94" i="9"/>
  <c r="B107" i="9"/>
  <c r="B87" i="9"/>
  <c r="B88" i="9"/>
  <c r="B91" i="9"/>
  <c r="B96" i="9"/>
  <c r="B85" i="9"/>
  <c r="B86" i="9"/>
  <c r="B93" i="9"/>
  <c r="B95" i="9"/>
  <c r="B108" i="9"/>
  <c r="B119" i="9"/>
  <c r="B118" i="9"/>
  <c r="B12" i="9"/>
  <c r="B34" i="9"/>
  <c r="B37" i="9"/>
  <c r="B14" i="9"/>
  <c r="B36" i="9"/>
  <c r="B39" i="9"/>
  <c r="B13" i="9"/>
  <c r="B35" i="9"/>
  <c r="B38" i="9"/>
  <c r="B104" i="9"/>
  <c r="B106" i="9"/>
  <c r="B105" i="9"/>
  <c r="B80" i="9"/>
  <c r="W193" i="1" l="1"/>
  <c r="AI168" i="1"/>
  <c r="AI63" i="1"/>
  <c r="U112" i="1"/>
  <c r="S112" i="1" s="1"/>
  <c r="W220" i="1"/>
  <c r="U188" i="1"/>
  <c r="S188" i="1" s="1"/>
  <c r="U130" i="1"/>
  <c r="S130" i="1" s="1"/>
  <c r="U144" i="1"/>
  <c r="W91" i="1"/>
  <c r="U156" i="1"/>
  <c r="S156" i="1" s="1"/>
  <c r="AI45" i="1"/>
  <c r="AI202" i="1"/>
  <c r="U159" i="1"/>
  <c r="S159" i="1" s="1"/>
  <c r="W16" i="1"/>
  <c r="W41" i="1"/>
  <c r="W83" i="1"/>
  <c r="W138" i="1"/>
  <c r="AI179" i="1"/>
  <c r="W106" i="1"/>
  <c r="W225" i="1"/>
  <c r="W147" i="1"/>
  <c r="AI139" i="1"/>
  <c r="AI147" i="1"/>
  <c r="W145" i="1"/>
  <c r="W151" i="1"/>
  <c r="W80" i="1"/>
  <c r="AI16" i="1"/>
  <c r="W73" i="1"/>
  <c r="W200" i="1"/>
  <c r="W217" i="1"/>
  <c r="W21" i="1"/>
  <c r="AI21" i="1"/>
  <c r="W13" i="1"/>
  <c r="W24" i="1"/>
  <c r="AI30" i="1"/>
  <c r="U29" i="1"/>
  <c r="S29" i="1" s="1"/>
  <c r="AI49" i="1"/>
  <c r="AI86" i="1"/>
  <c r="AI94" i="1"/>
  <c r="U107" i="1"/>
  <c r="S107" i="1" s="1"/>
  <c r="W141" i="1"/>
  <c r="AI116" i="1"/>
  <c r="W166" i="1"/>
  <c r="S179" i="1"/>
  <c r="W139" i="1"/>
  <c r="AI26" i="1"/>
  <c r="U59" i="1"/>
  <c r="S59" i="1" s="1"/>
  <c r="U102" i="1"/>
  <c r="S102" i="1" s="1"/>
  <c r="AI159" i="1"/>
  <c r="W174" i="1"/>
  <c r="W98" i="1"/>
  <c r="W116" i="1"/>
  <c r="W207" i="1"/>
  <c r="W210" i="1"/>
  <c r="W132" i="1"/>
  <c r="W28" i="1"/>
  <c r="U21" i="1"/>
  <c r="S21" i="1" s="1"/>
  <c r="S139" i="1"/>
  <c r="AI143" i="1"/>
  <c r="AI195" i="1"/>
  <c r="W44" i="1"/>
  <c r="W26" i="1"/>
  <c r="W40" i="1"/>
  <c r="W191" i="1"/>
  <c r="AI112" i="1"/>
  <c r="W162" i="1"/>
  <c r="U155" i="1"/>
  <c r="S155" i="1" s="1"/>
  <c r="W86" i="1"/>
  <c r="W94" i="1"/>
  <c r="W53" i="1"/>
  <c r="W206" i="1"/>
  <c r="U136" i="1"/>
  <c r="S136" i="1" s="1"/>
  <c r="W42" i="1"/>
  <c r="W121" i="1"/>
  <c r="W63" i="1"/>
  <c r="W111" i="1"/>
  <c r="W17" i="1"/>
  <c r="U67" i="1"/>
  <c r="S67" i="1" s="1"/>
  <c r="U98" i="1"/>
  <c r="S98" i="1" s="1"/>
  <c r="AI111" i="1"/>
  <c r="AI128" i="1"/>
  <c r="U138" i="1"/>
  <c r="S138" i="1" s="1"/>
  <c r="W167" i="1"/>
  <c r="U55" i="1"/>
  <c r="S55" i="1" s="1"/>
  <c r="AI98" i="1"/>
  <c r="W81" i="1"/>
  <c r="U90" i="1"/>
  <c r="S90" i="1" s="1"/>
  <c r="AI134" i="1"/>
  <c r="AI106" i="1"/>
  <c r="AI131" i="1"/>
  <c r="W137" i="1"/>
  <c r="W209" i="1"/>
  <c r="W178" i="1"/>
  <c r="U167" i="1"/>
  <c r="S167" i="1" s="1"/>
  <c r="AI172" i="1"/>
  <c r="W18" i="1"/>
  <c r="W19" i="1"/>
  <c r="W134" i="1"/>
  <c r="W57" i="1"/>
  <c r="W156" i="1"/>
  <c r="W131" i="1"/>
  <c r="W130" i="1"/>
  <c r="U87" i="1"/>
  <c r="S87" i="1" s="1"/>
  <c r="W143" i="1"/>
  <c r="W136" i="1"/>
  <c r="AI174" i="1"/>
  <c r="W142" i="1"/>
  <c r="W163" i="1"/>
  <c r="U91" i="1"/>
  <c r="S91" i="1" s="1"/>
  <c r="AI185" i="1"/>
  <c r="W195" i="1"/>
  <c r="W127" i="1"/>
  <c r="AI170" i="1"/>
  <c r="U196" i="1"/>
  <c r="S196" i="1" s="1"/>
  <c r="W35" i="1"/>
  <c r="W45" i="1"/>
  <c r="W95" i="1"/>
  <c r="W202" i="1"/>
  <c r="W168" i="1"/>
  <c r="W61" i="1"/>
  <c r="W68" i="1"/>
  <c r="W155" i="1"/>
  <c r="W171" i="1"/>
  <c r="AI53" i="1"/>
  <c r="AI61" i="1"/>
  <c r="U61" i="1"/>
  <c r="S61" i="1" s="1"/>
  <c r="U73" i="1"/>
  <c r="S73" i="1" s="1"/>
  <c r="AI87" i="1"/>
  <c r="AI103" i="1"/>
  <c r="AI166" i="1"/>
  <c r="AI189" i="1"/>
  <c r="U121" i="1"/>
  <c r="S121" i="1" s="1"/>
  <c r="W199" i="1"/>
  <c r="W75" i="1"/>
  <c r="U124" i="1"/>
  <c r="S124" i="1" s="1"/>
  <c r="U221" i="1"/>
  <c r="S221" i="1" s="1"/>
  <c r="U217" i="1"/>
  <c r="S217" i="1" s="1"/>
  <c r="AI138" i="1"/>
  <c r="W109" i="1"/>
  <c r="AI115" i="1"/>
  <c r="AI187" i="1"/>
  <c r="AI164" i="1"/>
  <c r="AI199" i="1"/>
  <c r="AI217" i="1"/>
  <c r="AI42" i="1"/>
  <c r="U42" i="1"/>
  <c r="S42" i="1" s="1"/>
  <c r="W87" i="1"/>
  <c r="W32" i="1"/>
  <c r="AI73" i="1"/>
  <c r="W149" i="1"/>
  <c r="AI210" i="1"/>
  <c r="W82" i="1"/>
  <c r="W49" i="1"/>
  <c r="W55" i="1"/>
  <c r="AI140" i="1"/>
  <c r="U132" i="1"/>
  <c r="S132" i="1" s="1"/>
  <c r="W140" i="1"/>
  <c r="W29" i="1"/>
  <c r="U135" i="1"/>
  <c r="S135" i="1" s="1"/>
  <c r="U207" i="1"/>
  <c r="S207" i="1" s="1"/>
  <c r="AI207" i="1"/>
  <c r="W103" i="1"/>
  <c r="W152" i="1"/>
  <c r="W213" i="1"/>
  <c r="U80" i="1"/>
  <c r="S80" i="1" s="1"/>
  <c r="U83" i="1"/>
  <c r="S83" i="1" s="1"/>
  <c r="U19" i="1"/>
  <c r="S19" i="1" s="1"/>
  <c r="AI19" i="1"/>
  <c r="W59" i="1"/>
  <c r="W107" i="1"/>
  <c r="W144" i="1"/>
  <c r="W22" i="1"/>
  <c r="W36" i="1"/>
  <c r="U27" i="1"/>
  <c r="S27" i="1" s="1"/>
  <c r="AI27" i="1"/>
  <c r="U75" i="1"/>
  <c r="S75" i="1" s="1"/>
  <c r="W124" i="1"/>
  <c r="W115" i="1"/>
  <c r="W221" i="1"/>
  <c r="W188" i="1"/>
  <c r="W203" i="1"/>
  <c r="W223" i="1"/>
  <c r="W51" i="1"/>
  <c r="W67" i="1"/>
  <c r="W160" i="1"/>
  <c r="W135" i="1"/>
  <c r="W164" i="1"/>
  <c r="W179" i="1"/>
  <c r="W48" i="1"/>
  <c r="W15" i="1"/>
  <c r="U225" i="1"/>
  <c r="S225" i="1" s="1"/>
  <c r="AI225" i="1"/>
  <c r="W183" i="1"/>
  <c r="W146" i="1"/>
  <c r="W196" i="1"/>
  <c r="W219" i="1"/>
  <c r="W120" i="1"/>
  <c r="W30" i="1"/>
  <c r="W37" i="1"/>
  <c r="U211" i="1"/>
  <c r="S211" i="1" s="1"/>
  <c r="AI211" i="1"/>
  <c r="W71" i="1"/>
  <c r="U148" i="1"/>
  <c r="S148" i="1" s="1"/>
  <c r="AI148" i="1"/>
  <c r="W211" i="1"/>
  <c r="W187" i="1"/>
  <c r="W148" i="1"/>
  <c r="AI48" i="1"/>
  <c r="U48" i="1"/>
  <c r="S48" i="1" s="1"/>
  <c r="AI56" i="1"/>
  <c r="U56" i="1"/>
  <c r="S56" i="1" s="1"/>
  <c r="AI64" i="1"/>
  <c r="U64" i="1"/>
  <c r="S64" i="1" s="1"/>
  <c r="AI72" i="1"/>
  <c r="U72" i="1"/>
  <c r="S72" i="1" s="1"/>
  <c r="W64" i="1"/>
  <c r="AI76" i="1"/>
  <c r="U76" i="1"/>
  <c r="S76" i="1" s="1"/>
  <c r="W72" i="1"/>
  <c r="AI114" i="1"/>
  <c r="U114" i="1"/>
  <c r="S114" i="1" s="1"/>
  <c r="AI118" i="1"/>
  <c r="U118" i="1"/>
  <c r="S118" i="1" s="1"/>
  <c r="AI122" i="1"/>
  <c r="U122" i="1"/>
  <c r="S122" i="1" s="1"/>
  <c r="AI126" i="1"/>
  <c r="U126" i="1"/>
  <c r="S126" i="1" s="1"/>
  <c r="W118" i="1"/>
  <c r="W122" i="1"/>
  <c r="AI193" i="1"/>
  <c r="U175" i="1"/>
  <c r="S175" i="1" s="1"/>
  <c r="AI201" i="1"/>
  <c r="U182" i="1"/>
  <c r="S182" i="1" s="1"/>
  <c r="AI209" i="1"/>
  <c r="U190" i="1"/>
  <c r="S190" i="1" s="1"/>
  <c r="W175" i="1"/>
  <c r="AI133" i="1"/>
  <c r="U133" i="1"/>
  <c r="S133" i="1" s="1"/>
  <c r="AI141" i="1"/>
  <c r="U141" i="1"/>
  <c r="S141" i="1" s="1"/>
  <c r="AI221" i="1"/>
  <c r="U213" i="1"/>
  <c r="S213" i="1" s="1"/>
  <c r="AI110" i="1"/>
  <c r="U110" i="1"/>
  <c r="S110" i="1" s="1"/>
  <c r="AI129" i="1"/>
  <c r="U129" i="1"/>
  <c r="S129" i="1" s="1"/>
  <c r="AI137" i="1"/>
  <c r="U137" i="1"/>
  <c r="S137" i="1" s="1"/>
  <c r="AI13" i="1"/>
  <c r="U13" i="1"/>
  <c r="S13" i="1" s="1"/>
  <c r="AI17" i="1"/>
  <c r="U17" i="1"/>
  <c r="S17" i="1" s="1"/>
  <c r="AI20" i="1"/>
  <c r="U20" i="1"/>
  <c r="S20" i="1" s="1"/>
  <c r="AI24" i="1"/>
  <c r="U24" i="1"/>
  <c r="S24" i="1" s="1"/>
  <c r="AI28" i="1"/>
  <c r="U28" i="1"/>
  <c r="S28" i="1" s="1"/>
  <c r="AI32" i="1"/>
  <c r="U32" i="1"/>
  <c r="S32" i="1" s="1"/>
  <c r="AI39" i="1"/>
  <c r="U39" i="1"/>
  <c r="S39" i="1" s="1"/>
  <c r="AI43" i="1"/>
  <c r="U43" i="1"/>
  <c r="S43" i="1" s="1"/>
  <c r="U47" i="1"/>
  <c r="S47" i="1" s="1"/>
  <c r="AI47" i="1"/>
  <c r="W20" i="1"/>
  <c r="W39" i="1"/>
  <c r="AI52" i="1"/>
  <c r="U52" i="1"/>
  <c r="S52" i="1" s="1"/>
  <c r="AI60" i="1"/>
  <c r="U60" i="1"/>
  <c r="S60" i="1" s="1"/>
  <c r="AI68" i="1"/>
  <c r="U68" i="1"/>
  <c r="S68" i="1" s="1"/>
  <c r="W47" i="1"/>
  <c r="W52" i="1"/>
  <c r="W56" i="1"/>
  <c r="AI81" i="1"/>
  <c r="U81" i="1"/>
  <c r="S81" i="1" s="1"/>
  <c r="AI85" i="1"/>
  <c r="U85" i="1"/>
  <c r="S85" i="1" s="1"/>
  <c r="AI89" i="1"/>
  <c r="U89" i="1"/>
  <c r="S89" i="1" s="1"/>
  <c r="AI93" i="1"/>
  <c r="U93" i="1"/>
  <c r="S93" i="1" s="1"/>
  <c r="AI97" i="1"/>
  <c r="U97" i="1"/>
  <c r="S97" i="1" s="1"/>
  <c r="AI101" i="1"/>
  <c r="U101" i="1"/>
  <c r="S101" i="1" s="1"/>
  <c r="AI105" i="1"/>
  <c r="U105" i="1"/>
  <c r="S105" i="1" s="1"/>
  <c r="AI109" i="1"/>
  <c r="U109" i="1"/>
  <c r="S109" i="1" s="1"/>
  <c r="W89" i="1"/>
  <c r="W105" i="1"/>
  <c r="AI145" i="1"/>
  <c r="U145" i="1"/>
  <c r="W133" i="1"/>
  <c r="U149" i="1"/>
  <c r="S149" i="1" s="1"/>
  <c r="AI149" i="1"/>
  <c r="AI153" i="1"/>
  <c r="U201" i="1"/>
  <c r="S201" i="1" s="1"/>
  <c r="AI157" i="1"/>
  <c r="U205" i="1"/>
  <c r="S205" i="1" s="1"/>
  <c r="AI161" i="1"/>
  <c r="U209" i="1"/>
  <c r="S209" i="1" s="1"/>
  <c r="AI165" i="1"/>
  <c r="U219" i="1"/>
  <c r="S219" i="1" s="1"/>
  <c r="AI169" i="1"/>
  <c r="U223" i="1"/>
  <c r="S223" i="1" s="1"/>
  <c r="AI173" i="1"/>
  <c r="U154" i="1"/>
  <c r="S154" i="1" s="1"/>
  <c r="AI177" i="1"/>
  <c r="U158" i="1"/>
  <c r="S158" i="1" s="1"/>
  <c r="AI180" i="1"/>
  <c r="U162" i="1"/>
  <c r="S162" i="1" s="1"/>
  <c r="AI184" i="1"/>
  <c r="U166" i="1"/>
  <c r="S166" i="1" s="1"/>
  <c r="AI188" i="1"/>
  <c r="U170" i="1"/>
  <c r="S170" i="1" s="1"/>
  <c r="AI192" i="1"/>
  <c r="U174" i="1"/>
  <c r="S174" i="1" s="1"/>
  <c r="AI196" i="1"/>
  <c r="U178" i="1"/>
  <c r="S178" i="1" s="1"/>
  <c r="AI200" i="1"/>
  <c r="U181" i="1"/>
  <c r="S181" i="1" s="1"/>
  <c r="AI204" i="1"/>
  <c r="U185" i="1"/>
  <c r="S185" i="1" s="1"/>
  <c r="AI208" i="1"/>
  <c r="U189" i="1"/>
  <c r="S189" i="1" s="1"/>
  <c r="AI212" i="1"/>
  <c r="U193" i="1"/>
  <c r="S193" i="1" s="1"/>
  <c r="W114" i="1"/>
  <c r="W129" i="1"/>
  <c r="AI197" i="1"/>
  <c r="AI205" i="1"/>
  <c r="U186" i="1"/>
  <c r="S186" i="1" s="1"/>
  <c r="AI213" i="1"/>
  <c r="U194" i="1"/>
  <c r="S194" i="1" s="1"/>
  <c r="W158" i="1"/>
  <c r="U212" i="1"/>
  <c r="S212" i="1" s="1"/>
  <c r="AI220" i="1"/>
  <c r="W190" i="1"/>
  <c r="W201" i="1"/>
  <c r="W181" i="1"/>
  <c r="W182" i="1"/>
  <c r="W186" i="1"/>
  <c r="W212" i="1"/>
  <c r="AI25" i="1"/>
  <c r="U25" i="1"/>
  <c r="S25" i="1" s="1"/>
  <c r="W110" i="1"/>
  <c r="U197" i="1"/>
  <c r="AI216" i="1"/>
  <c r="W154" i="1"/>
  <c r="W194" i="1"/>
  <c r="R7" i="3"/>
  <c r="M7" i="3"/>
  <c r="N7" i="3"/>
  <c r="S7" i="3"/>
  <c r="U7" i="3"/>
  <c r="AD56" i="3" s="1"/>
  <c r="V7" i="3"/>
  <c r="W7" i="3"/>
  <c r="X7" i="3"/>
  <c r="S144" i="1" l="1"/>
  <c r="AC7" i="3"/>
  <c r="Y7" i="3"/>
  <c r="AD7" i="3"/>
  <c r="T7" i="3"/>
  <c r="B4" i="6" l="1"/>
  <c r="K4" i="6"/>
  <c r="J4" i="6" l="1"/>
  <c r="F4" i="6"/>
  <c r="I4" i="6"/>
  <c r="B3" i="6"/>
  <c r="F3" i="6" s="1"/>
  <c r="K3" i="6"/>
  <c r="B5" i="6"/>
  <c r="F5" i="6" s="1"/>
  <c r="K5" i="6"/>
  <c r="B6" i="6"/>
  <c r="K6" i="6"/>
  <c r="B7" i="6"/>
  <c r="K7" i="6"/>
  <c r="B8" i="6"/>
  <c r="F8" i="6" s="1"/>
  <c r="K8" i="6"/>
  <c r="B9" i="6"/>
  <c r="F9" i="6" s="1"/>
  <c r="K9" i="6"/>
  <c r="B10" i="6"/>
  <c r="K10" i="6"/>
  <c r="B11" i="6"/>
  <c r="K11" i="6"/>
  <c r="I11" i="6" l="1"/>
  <c r="F6" i="6"/>
  <c r="F10" i="6"/>
  <c r="I7" i="6"/>
  <c r="J10" i="6"/>
  <c r="I8" i="6"/>
  <c r="J6" i="6"/>
  <c r="I3" i="6"/>
  <c r="J11" i="6"/>
  <c r="F11" i="6"/>
  <c r="I10" i="6"/>
  <c r="I9" i="6"/>
  <c r="J7" i="6"/>
  <c r="F7" i="6"/>
  <c r="I6" i="6"/>
  <c r="I5" i="6"/>
  <c r="J8" i="6"/>
  <c r="J3" i="6"/>
  <c r="J9" i="6"/>
  <c r="J5" i="6"/>
  <c r="M30" i="5" l="1"/>
  <c r="M29" i="5"/>
  <c r="M28" i="5"/>
  <c r="M27" i="5"/>
  <c r="F6" i="4" l="1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0" i="6" s="1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G11" i="6" l="1"/>
  <c r="G7" i="6"/>
  <c r="G4" i="6"/>
  <c r="G9" i="6"/>
  <c r="G3" i="6"/>
  <c r="H10" i="6"/>
  <c r="H9" i="6"/>
  <c r="H11" i="6"/>
  <c r="H7" i="6"/>
  <c r="H3" i="6"/>
  <c r="H4" i="6"/>
  <c r="H8" i="6"/>
  <c r="H5" i="6"/>
  <c r="H6" i="6"/>
  <c r="G8" i="6"/>
  <c r="G5" i="6"/>
  <c r="G6" i="6"/>
  <c r="M26" i="5"/>
  <c r="J7" i="1" l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<sst xmlns="http://schemas.openxmlformats.org/spreadsheetml/2006/main" count="2542" uniqueCount="958">
  <si>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</si>
  <si>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</si>
  <si>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</si>
  <si>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</si>
  <si>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</si>
  <si>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</si>
  <si>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</si>
  <si>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</si>
  <si>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</si>
  <si>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</si>
  <si>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</si>
  <si>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</si>
  <si>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</si>
  <si>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</si>
  <si>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</si>
  <si>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</si>
  <si>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</si>
  <si>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</si>
  <si>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</si>
  <si>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</si>
  <si>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</si>
  <si>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</si>
  <si>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</si>
  <si>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</si>
  <si>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</si>
  <si>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</si>
  <si>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</si>
  <si>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</si>
  <si>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</si>
  <si>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</si>
  <si>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</si>
  <si>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</si>
  <si>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</si>
  <si>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</si>
  <si>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</si>
  <si>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</si>
  <si>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</si>
  <si>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</si>
  <si>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</si>
  <si>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</si>
  <si>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</si>
  <si>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</si>
  <si>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</si>
  <si>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</si>
  <si>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</si>
  <si>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</si>
  <si>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</si>
  <si>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</si>
  <si>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</si>
  <si>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</si>
  <si>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</si>
  <si>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</si>
  <si>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</si>
  <si>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</si>
  <si>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</si>
  <si>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</si>
  <si>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</si>
  <si>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</si>
  <si>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</si>
  <si>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</si>
  <si>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</si>
  <si>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</si>
  <si>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</si>
  <si>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</si>
  <si>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</si>
  <si>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</si>
  <si>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</si>
  <si>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</si>
  <si>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</si>
  <si>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</si>
  <si>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</si>
  <si>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</si>
  <si>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</si>
  <si>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</si>
  <si>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</si>
  <si>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</si>
  <si>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</si>
  <si>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</si>
  <si>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</si>
  <si>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</si>
  <si>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</si>
  <si>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</si>
  <si>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</si>
  <si>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</si>
  <si>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</si>
  <si>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</si>
  <si>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</si>
  <si>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</si>
  <si>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</si>
  <si>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</si>
  <si>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</si>
  <si>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</si>
  <si>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</si>
  <si>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</si>
  <si>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</si>
  <si>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</si>
  <si>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</si>
  <si>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</si>
  <si>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</si>
  <si>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</si>
  <si>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</si>
  <si>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</si>
  <si>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</si>
  <si>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</si>
  <si>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</si>
  <si>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</si>
  <si>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</si>
  <si>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</si>
  <si>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</si>
  <si>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</si>
  <si>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</si>
  <si>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</si>
  <si>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</si>
  <si>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</si>
  <si>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</si>
  <si>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</si>
  <si>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</si>
  <si>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</si>
  <si>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</si>
  <si>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</si>
  <si>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</si>
  <si>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</si>
  <si>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</si>
  <si>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</si>
  <si>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</si>
  <si>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</si>
  <si>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</si>
  <si>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</si>
  <si>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</si>
  <si>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</si>
  <si>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</si>
  <si>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</si>
  <si>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</si>
  <si>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</si>
  <si>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</si>
  <si>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</si>
  <si>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</si>
  <si>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</si>
  <si>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</si>
  <si>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</si>
  <si>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</si>
  <si>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</si>
  <si>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</si>
  <si>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</si>
  <si>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</si>
  <si>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</si>
  <si>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</si>
  <si>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</si>
  <si>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</si>
  <si>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</si>
  <si>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</si>
  <si>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</si>
  <si>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</si>
  <si>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</si>
  <si>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</si>
  <si>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</si>
  <si>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</si>
  <si>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</si>
  <si>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</si>
  <si>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</si>
  <si>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</si>
  <si>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</si>
  <si>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</si>
  <si>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</si>
  <si>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</si>
  <si>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</si>
  <si>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</si>
  <si>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</si>
  <si>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</si>
  <si>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</si>
  <si>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</si>
  <si>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</si>
  <si>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</si>
  <si>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</si>
  <si>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</si>
  <si>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204:152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</si>
  <si>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</si>
  <si>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</si>
  <si>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</si>
  <si>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</si>
  <si>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</si>
  <si>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</si>
  <si>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</si>
  <si>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</si>
  <si>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</si>
  <si>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</si>
  <si>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</si>
  <si>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204:233297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</si>
  <si>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</si>
  <si>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</si>
  <si>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</si>
  <si>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</si>
  <si>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</si>
  <si>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</si>
  <si>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</si>
  <si>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</si>
  <si>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</si>
  <si>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</si>
  <si>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</si>
  <si>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204:453</t>
  </si>
  <si>
    <t>204:233295</t>
  </si>
  <si>
    <t>204:460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</si>
  <si>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</si>
  <si>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</si>
  <si>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</si>
  <si>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</si>
  <si>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</si>
  <si>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</si>
  <si>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</si>
  <si>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</si>
  <si>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</si>
  <si>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</si>
  <si>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</si>
  <si>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</si>
  <si>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</si>
  <si>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</si>
  <si>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204:462</t>
  </si>
  <si>
    <t>204:232985</t>
  </si>
  <si>
    <t>rtdc.l.rtdc.4011:itc</t>
  </si>
  <si>
    <t>204:457</t>
  </si>
  <si>
    <t>204:161</t>
  </si>
  <si>
    <t>204:464</t>
  </si>
  <si>
    <t>DE.1.0.8.0</t>
  </si>
  <si>
    <t>rtdc.l.rtdc.4040:itc</t>
  </si>
  <si>
    <t>204:458</t>
  </si>
  <si>
    <t>Partly Cloudy</t>
  </si>
  <si>
    <t>204:158</t>
  </si>
  <si>
    <t>rtdc.l.rtdc.4039:itc</t>
  </si>
  <si>
    <t>rtdc.l.rtdc.4004:itc</t>
  </si>
  <si>
    <t>204:233312</t>
  </si>
  <si>
    <t>Human Factors</t>
  </si>
  <si>
    <t>STAMBAUGH</t>
  </si>
  <si>
    <t>204:469</t>
  </si>
  <si>
    <t>204:233306</t>
  </si>
  <si>
    <t>rtdc.l.rtdc.4012:itc</t>
  </si>
  <si>
    <t>204:160</t>
  </si>
  <si>
    <t>204:150</t>
  </si>
  <si>
    <t>rtdc.l.rtdc.4001:itc</t>
  </si>
  <si>
    <t>rtdc.l.rtdc.4002:itc</t>
  </si>
  <si>
    <t>BADERTSCHER</t>
  </si>
  <si>
    <t>MAGEE</t>
  </si>
  <si>
    <t>204:233319</t>
  </si>
  <si>
    <t>rtdc.l.rtdc.4016:itc</t>
  </si>
  <si>
    <t>rtdc.l.rtdc.4015:itc</t>
  </si>
  <si>
    <t>rtdc.l.rtdc.4043:itc</t>
  </si>
  <si>
    <t>204:233299</t>
  </si>
  <si>
    <t>204:438</t>
  </si>
  <si>
    <t>:.+((SYSTEM_STATE.+slice.+state.+changed )|(ment ac)|(system.+state.+changed )|(\[timeout)|(PRM\|1\|D)|(kpr)|(kdp)|(\|lc)|(penalty))</t>
  </si>
  <si>
    <t>rtdc.l.rtdc.4010:itc</t>
  </si>
  <si>
    <t>rtdc.l.rtdc.4022:itc</t>
  </si>
  <si>
    <t>rtdc.l.rtdc.4021:itc</t>
  </si>
  <si>
    <t>HOLCOMB</t>
  </si>
  <si>
    <t>204:473</t>
  </si>
  <si>
    <t>204:233303</t>
  </si>
  <si>
    <t>204:233310</t>
  </si>
  <si>
    <t>204:471</t>
  </si>
  <si>
    <t>204:480</t>
  </si>
  <si>
    <t>rtdc.l.rtdc.4054:itc</t>
  </si>
  <si>
    <t>rtdc.l.rtdc.4053:itc</t>
  </si>
  <si>
    <t>rtdc.l.rtdc.4038:itc</t>
  </si>
  <si>
    <t>232-10</t>
  </si>
  <si>
    <t>236-10</t>
  </si>
  <si>
    <t>239-10</t>
  </si>
  <si>
    <t>rtdc.l.rtdc.4037:itc</t>
  </si>
  <si>
    <t>847-10</t>
  </si>
  <si>
    <t>235-10</t>
  </si>
  <si>
    <t>908-10</t>
  </si>
  <si>
    <t>234-10</t>
  </si>
  <si>
    <t>237-10</t>
  </si>
  <si>
    <t>238-10</t>
  </si>
  <si>
    <t>241-10</t>
  </si>
  <si>
    <t>240-10</t>
  </si>
  <si>
    <t>243-10</t>
  </si>
  <si>
    <t>309-10</t>
  </si>
  <si>
    <t>242-10</t>
  </si>
  <si>
    <t>311-10</t>
  </si>
  <si>
    <t>244-10</t>
  </si>
  <si>
    <t>313-10</t>
  </si>
  <si>
    <t>204:154</t>
  </si>
  <si>
    <t>204:138</t>
  </si>
  <si>
    <t>204:466</t>
  </si>
  <si>
    <t>204:232980</t>
  </si>
  <si>
    <t>204:449</t>
  </si>
  <si>
    <t>204:141</t>
  </si>
  <si>
    <t>CHANDLER</t>
  </si>
  <si>
    <t>partly-cloudy-day</t>
  </si>
  <si>
    <t>204:444</t>
  </si>
  <si>
    <t>204:232987</t>
  </si>
  <si>
    <t>204:233315</t>
  </si>
  <si>
    <t>rtdc.l.rtdc.4014:itc</t>
  </si>
  <si>
    <t>rtdc.l.rtdc.4013:itc</t>
  </si>
  <si>
    <t>204:233301</t>
  </si>
  <si>
    <t>204:232989</t>
  </si>
  <si>
    <t>204:232975</t>
  </si>
  <si>
    <t>300:58935</t>
  </si>
  <si>
    <t>300:58926</t>
  </si>
  <si>
    <t>CRAYTON</t>
  </si>
  <si>
    <t>ROMERO</t>
  </si>
  <si>
    <t>204:233000</t>
  </si>
  <si>
    <t>204:232994</t>
  </si>
  <si>
    <t>204:233289</t>
  </si>
  <si>
    <t>204:167</t>
  </si>
  <si>
    <t>300:58929</t>
  </si>
  <si>
    <t>300:58609</t>
  </si>
  <si>
    <t>300:58608</t>
  </si>
  <si>
    <t>204:478</t>
  </si>
  <si>
    <t>204:232970</t>
  </si>
  <si>
    <t>204:233308</t>
  </si>
  <si>
    <t>rtdc.l.rtdc.4045:itc</t>
  </si>
  <si>
    <t>rtdc.l.rtdc.4046:itc</t>
  </si>
  <si>
    <t>ROBINSON</t>
  </si>
  <si>
    <t>rtdc.l.rtdc.4018:itc</t>
  </si>
  <si>
    <t>JOHNSON</t>
  </si>
  <si>
    <t>MCREYNOLDS</t>
  </si>
  <si>
    <t>NELSON</t>
  </si>
  <si>
    <t>PERKINS</t>
  </si>
  <si>
    <t>204:136</t>
  </si>
  <si>
    <t>204:132</t>
  </si>
  <si>
    <t>204:233006</t>
  </si>
  <si>
    <t>204:233291</t>
  </si>
  <si>
    <t>204:440</t>
  </si>
  <si>
    <t>204:233004</t>
  </si>
  <si>
    <t>204:232984</t>
  </si>
  <si>
    <t>204:233283</t>
  </si>
  <si>
    <t>204:178</t>
  </si>
  <si>
    <t>204:233288</t>
  </si>
  <si>
    <t>300:23308</t>
  </si>
  <si>
    <t>300:58920</t>
  </si>
  <si>
    <t>300:58611</t>
  </si>
  <si>
    <t>300:58918</t>
  </si>
  <si>
    <t>204:691</t>
  </si>
  <si>
    <t>204:988</t>
  </si>
  <si>
    <t>300:58924</t>
  </si>
  <si>
    <t>300:58606</t>
  </si>
  <si>
    <t>204:972</t>
  </si>
  <si>
    <t>204:724</t>
  </si>
  <si>
    <t>300:58604</t>
  </si>
  <si>
    <t>CLI Grep2 (for slice disagreement)</t>
  </si>
  <si>
    <t>rtdc.l.rtdc.4003:itc</t>
  </si>
  <si>
    <t>rtdc.l.rtdc.4041:itc</t>
  </si>
  <si>
    <t>rtdc.l.rtdc.4042:itc</t>
  </si>
  <si>
    <t>SAFIEF</t>
  </si>
  <si>
    <t>BEAM</t>
  </si>
  <si>
    <t>STARKS</t>
  </si>
  <si>
    <t>DAVIDSON</t>
  </si>
  <si>
    <t>NICHOLSON</t>
  </si>
  <si>
    <t>rtdc.l.rtdc.4026:itc</t>
  </si>
  <si>
    <t>rtdc.l.rtdc.4025:itc</t>
  </si>
  <si>
    <t>238-15</t>
  </si>
  <si>
    <t>240-15</t>
  </si>
  <si>
    <t>309-15</t>
  </si>
  <si>
    <t>243-15</t>
  </si>
  <si>
    <t>242-15</t>
  </si>
  <si>
    <t>311-15</t>
  </si>
  <si>
    <t>244-15</t>
  </si>
  <si>
    <t>313-15</t>
  </si>
  <si>
    <t>204:759</t>
  </si>
  <si>
    <t>204:232673</t>
  </si>
  <si>
    <t>204:435</t>
  </si>
  <si>
    <t>204:785</t>
  </si>
  <si>
    <t>204:233309</t>
  </si>
  <si>
    <t>204:233317</t>
  </si>
  <si>
    <t>204:232979</t>
  </si>
  <si>
    <t>204:232986</t>
  </si>
  <si>
    <t>204:233278</t>
  </si>
  <si>
    <t>204:232963</t>
  </si>
  <si>
    <t>204:232974</t>
  </si>
  <si>
    <t>204:145</t>
  </si>
  <si>
    <t>204:232948</t>
  </si>
  <si>
    <t>204:233353</t>
  </si>
  <si>
    <t>204:127</t>
  </si>
  <si>
    <t>204:233284</t>
  </si>
  <si>
    <t>204:233017</t>
  </si>
  <si>
    <t>204:232959</t>
  </si>
  <si>
    <t>204:233307</t>
  </si>
  <si>
    <t>204:233280</t>
  </si>
  <si>
    <t>204:129</t>
  </si>
  <si>
    <t>204:429</t>
  </si>
  <si>
    <t>204:232998</t>
  </si>
  <si>
    <t>204:85</t>
  </si>
  <si>
    <t>204:701</t>
  </si>
  <si>
    <t>300:58638</t>
  </si>
  <si>
    <t>204:782</t>
  </si>
  <si>
    <t>204:993</t>
  </si>
  <si>
    <t>204:1011</t>
  </si>
  <si>
    <t>300:58602</t>
  </si>
  <si>
    <t>300:58943</t>
  </si>
  <si>
    <t>300:58950</t>
  </si>
  <si>
    <t>204:685</t>
  </si>
  <si>
    <t>204:692</t>
  </si>
  <si>
    <t>300:58623</t>
  </si>
  <si>
    <t>204:985</t>
  </si>
  <si>
    <t>204:699</t>
  </si>
  <si>
    <t>300:58664</t>
  </si>
  <si>
    <t>204:992</t>
  </si>
  <si>
    <t>Early arrival</t>
  </si>
  <si>
    <t>Y</t>
  </si>
  <si>
    <t>306-16</t>
  </si>
  <si>
    <t>310-16</t>
  </si>
  <si>
    <t>52-16</t>
  </si>
  <si>
    <t>901-16</t>
  </si>
  <si>
    <t>800-16</t>
  </si>
  <si>
    <t>108-16</t>
  </si>
  <si>
    <t>rtdc.l.rtdc.4008:itc</t>
  </si>
  <si>
    <t>106-16</t>
  </si>
  <si>
    <t>110-16</t>
  </si>
  <si>
    <t>122-16</t>
  </si>
  <si>
    <t>806-16</t>
  </si>
  <si>
    <t>124-16</t>
  </si>
  <si>
    <t>809-16</t>
  </si>
  <si>
    <t>903-16</t>
  </si>
  <si>
    <t>130-16</t>
  </si>
  <si>
    <t>812-16</t>
  </si>
  <si>
    <t>141-16</t>
  </si>
  <si>
    <t>134-16</t>
  </si>
  <si>
    <t>145-16</t>
  </si>
  <si>
    <t>138-16</t>
  </si>
  <si>
    <t>rtdc.l.rtdc.4028:itc</t>
  </si>
  <si>
    <t>50-16</t>
  </si>
  <si>
    <t>816-16</t>
  </si>
  <si>
    <t>155-16</t>
  </si>
  <si>
    <t>161-16</t>
  </si>
  <si>
    <t>TEMPORARY SPEED RESTRICTION</t>
  </si>
  <si>
    <t>154-16</t>
  </si>
  <si>
    <t>rtdc.l.rtdc.4027:itc</t>
  </si>
  <si>
    <t>53-16</t>
  </si>
  <si>
    <t>820-16</t>
  </si>
  <si>
    <t>822-16</t>
  </si>
  <si>
    <t>180-16</t>
  </si>
  <si>
    <t>825-16</t>
  </si>
  <si>
    <t>rtdc.l.rtdc.4007:itc</t>
  </si>
  <si>
    <t>191-16</t>
  </si>
  <si>
    <t>904-16</t>
  </si>
  <si>
    <t>184-16</t>
  </si>
  <si>
    <t>197-16</t>
  </si>
  <si>
    <t>188-16</t>
  </si>
  <si>
    <t>827-16</t>
  </si>
  <si>
    <t>828-16</t>
  </si>
  <si>
    <t>194-16</t>
  </si>
  <si>
    <t>213-16</t>
  </si>
  <si>
    <t>64-16</t>
  </si>
  <si>
    <t>65-16</t>
  </si>
  <si>
    <t>836-16</t>
  </si>
  <si>
    <t>208-16</t>
  </si>
  <si>
    <t>210-16</t>
  </si>
  <si>
    <t>305-16</t>
  </si>
  <si>
    <t>843-16</t>
  </si>
  <si>
    <t>SWITCH UNKNOWN</t>
  </si>
  <si>
    <t>Track device (7)</t>
  </si>
  <si>
    <t>845-16</t>
  </si>
  <si>
    <t>844-16</t>
  </si>
  <si>
    <t>233-16</t>
  </si>
  <si>
    <t>235-16</t>
  </si>
  <si>
    <t>232-16</t>
  </si>
  <si>
    <t>315-15</t>
  </si>
  <si>
    <t>51-16</t>
  </si>
  <si>
    <t>101-16</t>
  </si>
  <si>
    <t>MAELZER</t>
  </si>
  <si>
    <t>304-16</t>
  </si>
  <si>
    <t>103-16</t>
  </si>
  <si>
    <t>105-16</t>
  </si>
  <si>
    <t>STRICKLAND</t>
  </si>
  <si>
    <t>308-16</t>
  </si>
  <si>
    <t>SPECTOR</t>
  </si>
  <si>
    <t>107-16</t>
  </si>
  <si>
    <t>109-16</t>
  </si>
  <si>
    <t>104-16</t>
  </si>
  <si>
    <t>111-16</t>
  </si>
  <si>
    <t>115-16</t>
  </si>
  <si>
    <t>117-16</t>
  </si>
  <si>
    <t>801-16</t>
  </si>
  <si>
    <t>902-16</t>
  </si>
  <si>
    <t>112-16</t>
  </si>
  <si>
    <t>119-16</t>
  </si>
  <si>
    <t>RICHARDSON</t>
  </si>
  <si>
    <t>121-16</t>
  </si>
  <si>
    <t>802-16</t>
  </si>
  <si>
    <t>803-16</t>
  </si>
  <si>
    <t>116-16</t>
  </si>
  <si>
    <t>123-16</t>
  </si>
  <si>
    <t>118-16</t>
  </si>
  <si>
    <t>804-16</t>
  </si>
  <si>
    <t>125-16</t>
  </si>
  <si>
    <t>805-16</t>
  </si>
  <si>
    <t>127-16</t>
  </si>
  <si>
    <t>120-16</t>
  </si>
  <si>
    <t>807-16</t>
  </si>
  <si>
    <t>129-16</t>
  </si>
  <si>
    <t>131-16</t>
  </si>
  <si>
    <t>126-16</t>
  </si>
  <si>
    <t>808-16</t>
  </si>
  <si>
    <t>133-16</t>
  </si>
  <si>
    <t>128-16</t>
  </si>
  <si>
    <t>135-16</t>
  </si>
  <si>
    <t>810-16</t>
  </si>
  <si>
    <t>137-16</t>
  </si>
  <si>
    <t>811-16</t>
  </si>
  <si>
    <t>139-16</t>
  </si>
  <si>
    <t>132-16</t>
  </si>
  <si>
    <t>136-16</t>
  </si>
  <si>
    <t>143-16</t>
  </si>
  <si>
    <t>813-16</t>
  </si>
  <si>
    <t>140-16</t>
  </si>
  <si>
    <t>147-16</t>
  </si>
  <si>
    <t>142-16</t>
  </si>
  <si>
    <t>814-16</t>
  </si>
  <si>
    <t>149-16</t>
  </si>
  <si>
    <t>144-16</t>
  </si>
  <si>
    <t>151-16</t>
  </si>
  <si>
    <t>146-16</t>
  </si>
  <si>
    <t>815-16</t>
  </si>
  <si>
    <t>153-16</t>
  </si>
  <si>
    <t>148-16</t>
  </si>
  <si>
    <t>BARTLETT</t>
  </si>
  <si>
    <t>150-16</t>
  </si>
  <si>
    <t>157-16</t>
  </si>
  <si>
    <t>152-16</t>
  </si>
  <si>
    <t>159-16</t>
  </si>
  <si>
    <t>MACDONALD</t>
  </si>
  <si>
    <t>54-16</t>
  </si>
  <si>
    <t>BROWN</t>
  </si>
  <si>
    <t>817-16</t>
  </si>
  <si>
    <t>55-16</t>
  </si>
  <si>
    <t>CUSHING</t>
  </si>
  <si>
    <t>156-16</t>
  </si>
  <si>
    <t>163-16</t>
  </si>
  <si>
    <t>158-16</t>
  </si>
  <si>
    <t>818-16</t>
  </si>
  <si>
    <t>165-16</t>
  </si>
  <si>
    <t>ADANE</t>
  </si>
  <si>
    <t>160-16</t>
  </si>
  <si>
    <t>167-16</t>
  </si>
  <si>
    <t>BERLING</t>
  </si>
  <si>
    <t>162-16</t>
  </si>
  <si>
    <t>819-16</t>
  </si>
  <si>
    <t>169-16</t>
  </si>
  <si>
    <t>HILLS</t>
  </si>
  <si>
    <t>164-16</t>
  </si>
  <si>
    <t>COOLAHAN</t>
  </si>
  <si>
    <t>166-16</t>
  </si>
  <si>
    <t>171-16</t>
  </si>
  <si>
    <t>173-16</t>
  </si>
  <si>
    <t>168-16</t>
  </si>
  <si>
    <t>175-16</t>
  </si>
  <si>
    <t>170-16</t>
  </si>
  <si>
    <t>177-16</t>
  </si>
  <si>
    <t>821-16</t>
  </si>
  <si>
    <t>172-16</t>
  </si>
  <si>
    <t>179-16</t>
  </si>
  <si>
    <t>174-16</t>
  </si>
  <si>
    <t>181-16</t>
  </si>
  <si>
    <t>176-16</t>
  </si>
  <si>
    <t>183-16</t>
  </si>
  <si>
    <t>823-16</t>
  </si>
  <si>
    <t>178-16</t>
  </si>
  <si>
    <t>185-16</t>
  </si>
  <si>
    <t>187-16</t>
  </si>
  <si>
    <t>182-16</t>
  </si>
  <si>
    <t>189-16</t>
  </si>
  <si>
    <t>824-16</t>
  </si>
  <si>
    <t>186-16</t>
  </si>
  <si>
    <t>193-16</t>
  </si>
  <si>
    <t>195-16</t>
  </si>
  <si>
    <t>190-16</t>
  </si>
  <si>
    <t>826-16</t>
  </si>
  <si>
    <t>192-16</t>
  </si>
  <si>
    <t>199-16</t>
  </si>
  <si>
    <t>201-16</t>
  </si>
  <si>
    <t>829-16</t>
  </si>
  <si>
    <t>196-16</t>
  </si>
  <si>
    <t>203-16</t>
  </si>
  <si>
    <t>198-16</t>
  </si>
  <si>
    <t>830-16</t>
  </si>
  <si>
    <t>205-16</t>
  </si>
  <si>
    <t>831-16</t>
  </si>
  <si>
    <t>200-16</t>
  </si>
  <si>
    <t>207-16</t>
  </si>
  <si>
    <t>202-16</t>
  </si>
  <si>
    <t>833-16</t>
  </si>
  <si>
    <t>209-16</t>
  </si>
  <si>
    <t>832-16</t>
  </si>
  <si>
    <t>211-16</t>
  </si>
  <si>
    <t>834-16</t>
  </si>
  <si>
    <t>835-16</t>
  </si>
  <si>
    <t>204-16</t>
  </si>
  <si>
    <t>837-16</t>
  </si>
  <si>
    <t>215-16</t>
  </si>
  <si>
    <t>LOPES</t>
  </si>
  <si>
    <t>217-16</t>
  </si>
  <si>
    <t>212-16</t>
  </si>
  <si>
    <t>219-16</t>
  </si>
  <si>
    <t>214-16</t>
  </si>
  <si>
    <t>841-16</t>
  </si>
  <si>
    <t>838-16</t>
  </si>
  <si>
    <t>68-16</t>
  </si>
  <si>
    <t>839-16</t>
  </si>
  <si>
    <t>303-16</t>
  </si>
  <si>
    <t>216-16</t>
  </si>
  <si>
    <t>221-16</t>
  </si>
  <si>
    <t>218-16</t>
  </si>
  <si>
    <t>906-16</t>
  </si>
  <si>
    <t>220-16</t>
  </si>
  <si>
    <t>223-16</t>
  </si>
  <si>
    <t>840-16</t>
  </si>
  <si>
    <t>307-16</t>
  </si>
  <si>
    <t>222-16</t>
  </si>
  <si>
    <t>225-16</t>
  </si>
  <si>
    <t>227-16</t>
  </si>
  <si>
    <t>224-16</t>
  </si>
  <si>
    <t>229-16</t>
  </si>
  <si>
    <t>842-16</t>
  </si>
  <si>
    <t>226-16</t>
  </si>
  <si>
    <t>231-16</t>
  </si>
  <si>
    <t>228-16</t>
  </si>
  <si>
    <t>230-16</t>
  </si>
  <si>
    <t>847-16</t>
  </si>
  <si>
    <t>908-16</t>
  </si>
  <si>
    <t>237-16</t>
  </si>
  <si>
    <t>234-16</t>
  </si>
  <si>
    <t>239-16</t>
  </si>
  <si>
    <t>236-16</t>
  </si>
  <si>
    <t>241-16</t>
  </si>
  <si>
    <t>238-16</t>
  </si>
  <si>
    <t>240-16</t>
  </si>
  <si>
    <t>243-16</t>
  </si>
  <si>
    <t>309-16</t>
  </si>
  <si>
    <t>242-16</t>
  </si>
  <si>
    <t>244-16</t>
  </si>
  <si>
    <t>311-16</t>
  </si>
  <si>
    <t>fog</t>
  </si>
  <si>
    <t>Foggy</t>
  </si>
  <si>
    <t>Mostly Cloudy</t>
  </si>
  <si>
    <t>partly-cloudy-night</t>
  </si>
  <si>
    <t>204:734</t>
  </si>
  <si>
    <t>204:746</t>
  </si>
  <si>
    <t>204:233320</t>
  </si>
  <si>
    <t>204:648</t>
  </si>
  <si>
    <t>204:233393</t>
  </si>
  <si>
    <t>204:232737</t>
  </si>
  <si>
    <t>204:114</t>
  </si>
  <si>
    <t>204:865</t>
  </si>
  <si>
    <t>204:232654</t>
  </si>
  <si>
    <t>204:232996</t>
  </si>
  <si>
    <t>204:233245</t>
  </si>
  <si>
    <t>204:232930</t>
  </si>
  <si>
    <t>204:488</t>
  </si>
  <si>
    <t>204:741</t>
  </si>
  <si>
    <t>204:763</t>
  </si>
  <si>
    <t>204:147</t>
  </si>
  <si>
    <t>204:783</t>
  </si>
  <si>
    <t>204:233304</t>
  </si>
  <si>
    <t>204:232993</t>
  </si>
  <si>
    <t>204:233318</t>
  </si>
  <si>
    <t>204:170</t>
  </si>
  <si>
    <t>204:437</t>
  </si>
  <si>
    <t>204:232978</t>
  </si>
  <si>
    <t>204:201</t>
  </si>
  <si>
    <t>204:233322</t>
  </si>
  <si>
    <t>204:467</t>
  </si>
  <si>
    <t>204:165</t>
  </si>
  <si>
    <t>204:232982</t>
  </si>
  <si>
    <t>204:493</t>
  </si>
  <si>
    <t>204:233223</t>
  </si>
  <si>
    <t>204:232934</t>
  </si>
  <si>
    <t>204:233293</t>
  </si>
  <si>
    <t>204:233314</t>
  </si>
  <si>
    <t>204:233015</t>
  </si>
  <si>
    <t>204:233266</t>
  </si>
  <si>
    <t>204:232992</t>
  </si>
  <si>
    <t>204:92</t>
  </si>
  <si>
    <t>204:233349</t>
  </si>
  <si>
    <t>204:233032</t>
  </si>
  <si>
    <t>204:455</t>
  </si>
  <si>
    <t>204:232971</t>
  </si>
  <si>
    <t>204:233345</t>
  </si>
  <si>
    <t>204:233028</t>
  </si>
  <si>
    <t>204:402</t>
  </si>
  <si>
    <t>204:233400</t>
  </si>
  <si>
    <t>204:233093</t>
  </si>
  <si>
    <t>204:233036</t>
  </si>
  <si>
    <t>204:1179</t>
  </si>
  <si>
    <t>204:427</t>
  </si>
  <si>
    <t>204:233327</t>
  </si>
  <si>
    <t>204:367</t>
  </si>
  <si>
    <t>204:233009</t>
  </si>
  <si>
    <t>204:110</t>
  </si>
  <si>
    <t>204:233270</t>
  </si>
  <si>
    <t>204:409</t>
  </si>
  <si>
    <t>204:233324</t>
  </si>
  <si>
    <t>204:233300</t>
  </si>
  <si>
    <t>204:413</t>
  </si>
  <si>
    <t>204:232983</t>
  </si>
  <si>
    <t>204:233002</t>
  </si>
  <si>
    <t>204:1223</t>
  </si>
  <si>
    <t>204:249</t>
  </si>
  <si>
    <t>204:233323</t>
  </si>
  <si>
    <t>204:154422</t>
  </si>
  <si>
    <t>204:120377</t>
  </si>
  <si>
    <t>204:555</t>
  </si>
  <si>
    <t>204:151</t>
  </si>
  <si>
    <t>300:23140</t>
  </si>
  <si>
    <t>300:22340</t>
  </si>
  <si>
    <t>300:21314</t>
  </si>
  <si>
    <t>300:23017</t>
  </si>
  <si>
    <t>300:23249</t>
  </si>
  <si>
    <t>300:31182</t>
  </si>
  <si>
    <t>300:23165</t>
  </si>
  <si>
    <t>300:23176</t>
  </si>
  <si>
    <t>313-16</t>
  </si>
  <si>
    <t>204:1222</t>
  </si>
  <si>
    <t>204:3379</t>
  </si>
  <si>
    <t>315-16</t>
  </si>
  <si>
    <t>300:22159</t>
  </si>
  <si>
    <t>204:70008</t>
  </si>
  <si>
    <t>204:69693</t>
  </si>
  <si>
    <t>204:901</t>
  </si>
  <si>
    <t>204:365</t>
  </si>
  <si>
    <t>300:24233</t>
  </si>
  <si>
    <t>300:23133</t>
  </si>
  <si>
    <t>204:368</t>
  </si>
  <si>
    <t>300:21782</t>
  </si>
  <si>
    <t>204:911</t>
  </si>
  <si>
    <t>204:1490</t>
  </si>
  <si>
    <t>204:1808</t>
  </si>
  <si>
    <t>204:898</t>
  </si>
  <si>
    <t>204:1084</t>
  </si>
  <si>
    <t>300:58628</t>
  </si>
  <si>
    <t>204:978</t>
  </si>
  <si>
    <t>300:58995</t>
  </si>
  <si>
    <t>300:58673</t>
  </si>
  <si>
    <t>204:1081</t>
  </si>
  <si>
    <t>300:58944</t>
  </si>
  <si>
    <t>300:58626</t>
  </si>
  <si>
    <t>204:757</t>
  </si>
  <si>
    <t>204:986</t>
  </si>
  <si>
    <t>300:58978</t>
  </si>
  <si>
    <t>204:1049</t>
  </si>
  <si>
    <t>300:58954</t>
  </si>
  <si>
    <t>300:58641</t>
  </si>
  <si>
    <t>204:789</t>
  </si>
  <si>
    <t>300:58973</t>
  </si>
  <si>
    <t>300:58670</t>
  </si>
  <si>
    <t>300:58984</t>
  </si>
  <si>
    <t>204:687</t>
  </si>
  <si>
    <t>300:58992</t>
  </si>
  <si>
    <t>300:58656</t>
  </si>
  <si>
    <t>204:715</t>
  </si>
  <si>
    <t>300:58986</t>
  </si>
  <si>
    <t>300:58679</t>
  </si>
  <si>
    <t>300:58990</t>
  </si>
  <si>
    <t>300:58672</t>
  </si>
  <si>
    <t>204:705</t>
  </si>
  <si>
    <t>204:736</t>
  </si>
  <si>
    <t>204:1023</t>
  </si>
  <si>
    <t>204:752</t>
  </si>
  <si>
    <t>204:999</t>
  </si>
  <si>
    <t>300:58914</t>
  </si>
  <si>
    <t>204:750</t>
  </si>
  <si>
    <t>204:1044</t>
  </si>
  <si>
    <t>300:58922</t>
  </si>
  <si>
    <t>204:726</t>
  </si>
  <si>
    <t>300:58956</t>
  </si>
  <si>
    <t>204:1014</t>
  </si>
  <si>
    <t>300:58613</t>
  </si>
  <si>
    <t>300:58948</t>
  </si>
  <si>
    <t>204:748</t>
  </si>
  <si>
    <t>204:976</t>
  </si>
  <si>
    <t>300:58967</t>
  </si>
  <si>
    <t>204:740</t>
  </si>
  <si>
    <t>204:1032</t>
  </si>
  <si>
    <t>204:764</t>
  </si>
  <si>
    <t>204:1030</t>
  </si>
  <si>
    <t>300:23691</t>
  </si>
  <si>
    <t>300:23684</t>
  </si>
  <si>
    <t>300:58658</t>
  </si>
  <si>
    <t>204:1048</t>
  </si>
  <si>
    <t>204:1009</t>
  </si>
  <si>
    <t>300:29729</t>
  </si>
  <si>
    <t>300:22172</t>
  </si>
  <si>
    <t>204:1063</t>
  </si>
  <si>
    <t>300:24243</t>
  </si>
  <si>
    <t>300:23262</t>
  </si>
  <si>
    <t>204:722</t>
  </si>
  <si>
    <t>300:58645</t>
  </si>
  <si>
    <t>300:29290</t>
  </si>
  <si>
    <t>300:58624</t>
  </si>
  <si>
    <t>300:29237</t>
  </si>
  <si>
    <t>aws s3 cp s3://rtdc.mdm.uploadarchive.raw/RTDC4029/ "%USERPROFILE%\AppData\Local\Temp\OnboardLogs"\RTDC4029\2016-11-16 --exclude "*" --recursive --include "*20161116*" &amp; "%USERPROFILE%\Documents\GitHub\mrs-test-scripts\Headless Mode &amp; Sideloading\WalkAndUnGZ.bat" "%USERPROFILE%\AppData\Local\Temp\OnboardLogs"\RTDC4029\2016-11-16 &amp; aws s3 cp s3://rtdc.mdm.uploadarchive.raw/RTDC4029/ "%USERPROFILE%\AppData\Local\Temp\OnboardLogs"\RTDC4029\2016-11-17 --exclude "*" --recursive --include "*20161117*" &amp; "%USERPROFILE%\Documents\GitHub\mrs-test-scripts\Headless Mode &amp; Sideloading\WalkAndUnGZ.bat" "%USERPROFILE%\AppData\Local\Temp\OnboardLogs"\RTDC4029\2016-11-17</t>
  </si>
  <si>
    <t>aws s3 cp s3://rtdc.mdm.uploadarchive.raw/RTDC4016/ "%USERPROFILE%\AppData\Local\Temp\OnboardLogs"\RTDC4016\2016-11-16 --exclude "*" --recursive --include "*20161116*" &amp; "%USERPROFILE%\Documents\GitHub\mrs-test-scripts\Headless Mode &amp; Sideloading\WalkAndUnGZ.bat" "%USERPROFILE%\AppData\Local\Temp\OnboardLogs"\RTDC4016\2016-11-16 &amp; aws s3 cp s3://rtdc.mdm.uploadarchive.raw/RTDC4016/ "%USERPROFILE%\AppData\Local\Temp\OnboardLogs"\RTDC4016\2016-11-17 --exclude "*" --recursive --include "*20161117*" &amp; "%USERPROFILE%\Documents\GitHub\mrs-test-scripts\Headless Mode &amp; Sideloading\WalkAndUnGZ.bat" "%USERPROFILE%\AppData\Local\Temp\OnboardLogs"\RTDC4016\2016-11-17</t>
  </si>
  <si>
    <t>aws s3 cp s3://rtdc.mdm.uploadarchive.raw/RTDC4044/ "%USERPROFILE%\AppData\Local\Temp\OnboardLogs"\RTDC4044\2016-11-16 --exclude "*" --recursive --include "*20161116*" &amp; "%USERPROFILE%\Documents\GitHub\mrs-test-scripts\Headless Mode &amp; Sideloading\WalkAndUnGZ.bat" "%USERPROFILE%\AppData\Local\Temp\OnboardLogs"\RTDC4044\2016-11-16 &amp; aws s3 cp s3://rtdc.mdm.uploadarchive.raw/RTDC4044/ "%USERPROFILE%\AppData\Local\Temp\OnboardLogs"\RTDC4044\2016-11-17 --exclude "*" --recursive --include "*20161117*" &amp; "%USERPROFILE%\Documents\GitHub\mrs-test-scripts\Headless Mode &amp; Sideloading\WalkAndUnGZ.bat" "%USERPROFILE%\AppData\Local\Temp\OnboardLogs"\RTDC4044\2016-11-17</t>
  </si>
  <si>
    <t>aws s3 cp s3://rtdc.mdm.uploadarchive.raw/RTDC4025/ "%USERPROFILE%\AppData\Local\Temp\OnboardLogs"\RTDC4025\2016-11-16 --exclude "*" --recursive --include "*20161116*" &amp; "%USERPROFILE%\Documents\GitHub\mrs-test-scripts\Headless Mode &amp; Sideloading\WalkAndUnGZ.bat" "%USERPROFILE%\AppData\Local\Temp\OnboardLogs"\RTDC4025\2016-11-16 &amp; aws s3 cp s3://rtdc.mdm.uploadarchive.raw/RTDC4025/ "%USERPROFILE%\AppData\Local\Temp\OnboardLogs"\RTDC4025\2016-11-17 --exclude "*" --recursive --include "*20161117*" &amp; "%USERPROFILE%\Documents\GitHub\mrs-test-scripts\Headless Mode &amp; Sideloading\WalkAndUnGZ.bat" "%USERPROFILE%\AppData\Local\Temp\OnboardLogs"\RTDC4025\2016-11-17</t>
  </si>
  <si>
    <t>aws s3 cp s3://rtdc.mdm.uploadarchive.raw/RTDC4015/ "%USERPROFILE%\AppData\Local\Temp\OnboardLogs"\RTDC4015\2016-11-16 --exclude "*" --recursive --include "*20161116*" &amp; "%USERPROFILE%\Documents\GitHub\mrs-test-scripts\Headless Mode &amp; Sideloading\WalkAndUnGZ.bat" "%USERPROFILE%\AppData\Local\Temp\OnboardLogs"\RTDC4015\2016-11-16 &amp; aws s3 cp s3://rtdc.mdm.uploadarchive.raw/RTDC4015/ "%USERPROFILE%\AppData\Local\Temp\OnboardLogs"\RTDC4015\2016-11-17 --exclude "*" --recursive --include "*20161117*" &amp; "%USERPROFILE%\Documents\GitHub\mrs-test-scripts\Headless Mode &amp; Sideloading\WalkAndUnGZ.bat" "%USERPROFILE%\AppData\Local\Temp\OnboardLogs"\RTDC4015\2016-11-17</t>
  </si>
  <si>
    <t>aws s3 cp s3://rtdc.mdm.uploadarchive.raw/RTDC4011/ "%USERPROFILE%\AppData\Local\Temp\OnboardLogs"\RTDC4011\2016-11-16 --exclude "*" --recursive --include "*20161116*" &amp; "%USERPROFILE%\Documents\GitHub\mrs-test-scripts\Headless Mode &amp; Sideloading\WalkAndUnGZ.bat" "%USERPROFILE%\AppData\Local\Temp\OnboardLogs"\RTDC4011\2016-11-16 &amp; 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</t>
  </si>
  <si>
    <t>aws s3 cp s3://rtdc.mdm.uploadarchive.raw/RTDC4021/ "%USERPROFILE%\AppData\Local\Temp\OnboardLogs"\RTDC4021\2016-11-16 --exclude "*" --recursive --include "*20161116*" &amp; "%USERPROFILE%\Documents\GitHub\mrs-test-scripts\Headless Mode &amp; Sideloading\WalkAndUnGZ.bat" "%USERPROFILE%\AppData\Local\Temp\OnboardLogs"\RTDC4021\2016-11-16 &amp; aws s3 cp s3://rtdc.mdm.uploadarchive.raw/RTDC4021/ "%USERPROFILE%\AppData\Local\Temp\OnboardLogs"\RTDC4021\2016-11-17 --exclude "*" --recursive --include "*20161117*" &amp; "%USERPROFILE%\Documents\GitHub\mrs-test-scripts\Headless Mode &amp; Sideloading\WalkAndUnGZ.bat" "%USERPROFILE%\AppData\Local\Temp\OnboardLogs"\RTDC4021\2016-11-17</t>
  </si>
  <si>
    <t>aws s3 cp s3://rtdc.mdm.uploadarchive.raw/RTDC4030/ "%USERPROFILE%\AppData\Local\Temp\OnboardLogs"\RTDC4030\2016-11-16 --exclude "*" --recursive --include "*20161116*" &amp; "%USERPROFILE%\Documents\GitHub\mrs-test-scripts\Headless Mode &amp; Sideloading\WalkAndUnGZ.bat" "%USERPROFILE%\AppData\Local\Temp\OnboardLogs"\RTDC4030\2016-11-16 &amp; aws s3 cp s3://rtdc.mdm.uploadarchive.raw/RTDC4030/ "%USERPROFILE%\AppData\Local\Temp\OnboardLogs"\RTDC4030\2016-11-17 --exclude "*" --recursive --include "*20161117*" &amp; "%USERPROFILE%\Documents\GitHub\mrs-test-scripts\Headless Mode &amp; Sideloading\WalkAndUnGZ.bat" "%USERPROFILE%\AppData\Local\Temp\OnboardLogs"\RTDC4030\2016-11-17</t>
  </si>
  <si>
    <t>aws s3 cp s3://rtdc.mdm.uploadarchive.raw/RTDC4037/ "%USERPROFILE%\AppData\Local\Temp\OnboardLogs"\RTDC4037\2016-11-16 --exclude "*" --recursive --include "*20161116*" &amp; "%USERPROFILE%\Documents\GitHub\mrs-test-scripts\Headless Mode &amp; Sideloading\WalkAndUnGZ.bat" "%USERPROFILE%\AppData\Local\Temp\OnboardLogs"\RTDC4037\2016-11-16 &amp; 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</t>
  </si>
  <si>
    <t>aws s3 cp s3://rtdc.mdm.uploadarchive.raw/RTDC4007/ "%USERPROFILE%\AppData\Local\Temp\OnboardLogs"\RTDC4007\2016-11-16 --exclude "*" --recursive --include "*20161116*" &amp; "%USERPROFILE%\Documents\GitHub\mrs-test-scripts\Headless Mode &amp; Sideloading\WalkAndUnGZ.bat" "%USERPROFILE%\AppData\Local\Temp\OnboardLogs"\RTDC4007\2016-11-16 &amp; aws s3 cp s3://rtdc.mdm.uploadarchive.raw/RTDC4007/ "%USERPROFILE%\AppData\Local\Temp\OnboardLogs"\RTDC4007\2016-11-17 --exclude "*" --recursive --include "*20161117*" &amp; "%USERPROFILE%\Documents\GitHub\mrs-test-scripts\Headless Mode &amp; Sideloading\WalkAndUnGZ.bat" "%USERPROFILE%\AppData\Local\Temp\OnboardLogs"\RTDC4007\2016-11-17</t>
  </si>
  <si>
    <t>aws s3 cp s3://rtdc.mdm.uploadarchive.raw/RTDC4013/ "%USERPROFILE%\AppData\Local\Temp\OnboardLogs"\RTDC4013\2016-11-16 --exclude "*" --recursive --include "*20161116*" &amp; "%USERPROFILE%\Documents\GitHub\mrs-test-scripts\Headless Mode &amp; Sideloading\WalkAndUnGZ.bat" "%USERPROFILE%\AppData\Local\Temp\OnboardLogs"\RTDC4013\2016-11-16 &amp; 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</t>
  </si>
  <si>
    <t>aws s3 cp s3://rtdc.mdm.uploadarchive.raw/RTDC4010/ "%USERPROFILE%\AppData\Local\Temp\OnboardLogs"\RTDC4010\2016-11-16 --exclude "*" --recursive --include "*20161116*" &amp; "%USERPROFILE%\Documents\GitHub\mrs-test-scripts\Headless Mode &amp; Sideloading\WalkAndUnGZ.bat" "%USERPROFILE%\AppData\Local\Temp\OnboardLogs"\RTDC4010\2016-11-16 &amp; aws s3 cp s3://rtdc.mdm.uploadarchive.raw/RTDC4010/ "%USERPROFILE%\AppData\Local\Temp\OnboardLogs"\RTDC4010\2016-11-17 --exclude "*" --recursive --include "*20161117*" &amp; "%USERPROFILE%\Documents\GitHub\mrs-test-scripts\Headless Mode &amp; Sideloading\WalkAndUnGZ.bat" "%USERPROFILE%\AppData\Local\Temp\OnboardLogs"\RTDC4010\2016-11-17</t>
  </si>
  <si>
    <t>aws s3 cp s3://rtdc.mdm.uploadarchive.raw/RTDC4038/ "%USERPROFILE%\AppData\Local\Temp\OnboardLogs"\RTDC4038\2016-11-16 --exclude "*" --recursive --include "*20161116*" &amp; "%USERPROFILE%\Documents\GitHub\mrs-test-scripts\Headless Mode &amp; Sideloading\WalkAndUnGZ.bat" "%USERPROFILE%\AppData\Local\Temp\OnboardLogs"\RTDC4038\2016-11-16 &amp; 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</t>
  </si>
  <si>
    <t>aws s3 cp s3://rtdc.mdm.uploadarchive.raw/RTDC4009/ "%USERPROFILE%\AppData\Local\Temp\OnboardLogs"\RTDC4009\2016-11-16 --exclude "*" --recursive --include "*20161116*" &amp; "%USERPROFILE%\Documents\GitHub\mrs-test-scripts\Headless Mode &amp; Sideloading\WalkAndUnGZ.bat" "%USERPROFILE%\AppData\Local\Temp\OnboardLogs"\RTDC4009\2016-11-16 &amp; aws s3 cp s3://rtdc.mdm.uploadarchive.raw/RTDC4009/ "%USERPROFILE%\AppData\Local\Temp\OnboardLogs"\RTDC4009\2016-11-17 --exclude "*" --recursive --include "*20161117*" &amp; "%USERPROFILE%\Documents\GitHub\mrs-test-scripts\Headless Mode &amp; Sideloading\WalkAndUnGZ.bat" "%USERPROFILE%\AppData\Local\Temp\OnboardLogs"\RTDC4009\2016-11-17</t>
  </si>
  <si>
    <t>aws s3 cp s3://rtdc.mdm.uploadarchive.raw/RTDC4008/ "%USERPROFILE%\AppData\Local\Temp\OnboardLogs"\RTDC4008\2016-11-16 --exclude "*" --recursive --include "*20161116*" &amp; "%USERPROFILE%\Documents\GitHub\mrs-test-scripts\Headless Mode &amp; Sideloading\WalkAndUnGZ.bat" "%USERPROFILE%\AppData\Local\Temp\OnboardLogs"\RTDC4008\2016-11-16 &amp; aws s3 cp s3://rtdc.mdm.uploadarchive.raw/RTDC4008/ "%USERPROFILE%\AppData\Local\Temp\OnboardLogs"\RTDC4008\2016-11-17 --exclude "*" --recursive --include "*20161117*" &amp; "%USERPROFILE%\Documents\GitHub\mrs-test-scripts\Headless Mode &amp; Sideloading\WalkAndUnGZ.bat" "%USERPROFILE%\AppData\Local\Temp\OnboardLogs"\RTDC4008\2016-11-17</t>
  </si>
  <si>
    <t>aws s3 cp s3://rtdc.mdm.uploadarchive.raw/RTDC4043/ "%USERPROFILE%\AppData\Local\Temp\OnboardLogs"\RTDC4043\2016-11-16 --exclude "*" --recursive --include "*20161116*" &amp; "%USERPROFILE%\Documents\GitHub\mrs-test-scripts\Headless Mode &amp; Sideloading\WalkAndUnGZ.bat" "%USERPROFILE%\AppData\Local\Temp\OnboardLogs"\RTDC4043\2016-11-16 &amp; aws s3 cp s3://rtdc.mdm.uploadarchive.raw/RTDC4043/ "%USERPROFILE%\AppData\Local\Temp\OnboardLogs"\RTDC4043\2016-11-17 --exclude "*" --recursive --include "*20161117*" &amp; "%USERPROFILE%\Documents\GitHub\mrs-test-scripts\Headless Mode &amp; Sideloading\WalkAndUnGZ.bat" "%USERPROFILE%\AppData\Local\Temp\OnboardLogs"\RTDC4043\2016-11-17</t>
  </si>
  <si>
    <t>aws s3 cp s3://rtdc.mdm.uploadarchive.raw/RTDC4045/ "%USERPROFILE%\AppData\Local\Temp\OnboardLogs"\RTDC4045\2016-11-16 --exclude "*" --recursive --include "*20161116*" &amp; "%USERPROFILE%\Documents\GitHub\mrs-test-scripts\Headless Mode &amp; Sideloading\WalkAndUnGZ.bat" "%USERPROFILE%\AppData\Local\Temp\OnboardLogs"\RTDC4045\2016-11-16 &amp; aws s3 cp s3://rtdc.mdm.uploadarchive.raw/RTDC4045/ "%USERPROFILE%\AppData\Local\Temp\OnboardLogs"\RTDC4045\2016-11-17 --exclude "*" --recursive --include "*20161117*" &amp; "%USERPROFILE%\Documents\GitHub\mrs-test-scripts\Headless Mode &amp; Sideloading\WalkAndUnGZ.bat" "%USERPROFILE%\AppData\Local\Temp\OnboardLogs"\RTDC4045\2016-11-17</t>
  </si>
  <si>
    <t>aws s3 cp s3://rtdc.mdm.uploadarchive.raw/RTDC4046/ "%USERPROFILE%\AppData\Local\Temp\OnboardLogs"\RTDC4046\2016-11-16 --exclude "*" --recursive --include "*20161116*" &amp; "%USERPROFILE%\Documents\GitHub\mrs-test-scripts\Headless Mode &amp; Sideloading\WalkAndUnGZ.bat" "%USERPROFILE%\AppData\Local\Temp\OnboardLogs"\RTDC4046\2016-11-16 &amp; aws s3 cp s3://rtdc.mdm.uploadarchive.raw/RTDC4046/ "%USERPROFILE%\AppData\Local\Temp\OnboardLogs"\RTDC4046\2016-11-17 --exclude "*" --recursive --include "*20161117*" &amp; "%USERPROFILE%\Documents\GitHub\mrs-test-scripts\Headless Mode &amp; Sideloading\WalkAndUnGZ.bat" "%USERPROFILE%\AppData\Local\Temp\OnboardLogs"\RTDC4046\2016-11-17</t>
  </si>
  <si>
    <t>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 &amp; aws s3 cp s3://rtdc.mdm.uploadarchive.raw/RTDC4026/ "%USERPROFILE%\AppData\Local\Temp\OnboardLogs"\RTDC4026\2016-11-17 --exclude "*" --recursive --include "*20161117*" &amp; "%USERPROFILE%\Documents\GitHub\mrs-test-scripts\Headless Mode &amp; Sideloading\WalkAndUnGZ.bat" "%USERPROFILE%\AppData\Local\Temp\OnboardLogs"\RTDC4026\2016-11-17</t>
  </si>
  <si>
    <t>Delayed by 4 Form C's</t>
  </si>
  <si>
    <t>78th 4S stuck at STOP, PSS succeeded</t>
  </si>
  <si>
    <t>40th 2N downgraded to STOP - 61st reset?</t>
  </si>
  <si>
    <t>At 23:18:33, 40th 2N downgraded to STOP and stayed that way. A few minutes later (23:21:17), CP Pena dropped offline. Was there an ELXS reset?</t>
  </si>
  <si>
    <t>Delayed at CP Pena</t>
  </si>
  <si>
    <t>http://stevetu21.github.io/eaglep3/load_kml.html?kml=http://rtdc.gmaps-snips.s3.amazonaws.com/51ad0f3b-a2d1-4c34-a712-f246f491f3b1.kml</t>
  </si>
  <si>
    <t>Wi-MAX data drop</t>
  </si>
  <si>
    <t>http://stevetu21.github.io/eaglep3/load_kml.html?kml=http://rtdc.gmaps-snips.s3.amazonaws.com/6d86adeb-8fde-4c2d-909d-e4075aeb2b01.kml</t>
  </si>
  <si>
    <t>http://stevetu21.github.io/eaglep3/load_kml.html?kml=http://rtdc.gmaps-snips.s3.amazonaws.com/8e6919af-5e71-4914-91e0-f833c2332b46.kml</t>
  </si>
  <si>
    <t>http://stevetu21.github.io/eaglep3/load_kml.html?kml=http://rtdc.gmaps-snips.s3.amazonaws.com/435a23d5-c4f1-4f43-bbbb-55e75da0edcf.kml</t>
  </si>
  <si>
    <t>http://stevetu21.github.io/eaglep3/load_kml.html?kml=http://rtdc.gmaps-snips.s3.amazonaws.com/6839d12a-b719-4af1-b432-ee0f912fa2ad.kml</t>
  </si>
  <si>
    <t>http://stevetu21.github.io/eaglep3/load_kml.html?kml=http://rtdc.gmaps-snips.s3.amazonaws.com/173826b6-074b-4139-893c-deaae9ebde2a.kml</t>
  </si>
  <si>
    <t>Restricting aspects</t>
  </si>
  <si>
    <t>Around 2016-11-16 07:14:49.000, 78th 4S was stuck at at STOP… any issues causing this?</t>
  </si>
  <si>
    <t>SYS :2016/11/16 22:32:24.485:ENFORCEMENT:Predictive Enforcement Action:  Target Number: 000100D0  Target Speed:  35.0  Current Speed:  55.0</t>
  </si>
  <si>
    <t>SYS :2016/11/16 22:32:24.740:ENFORCEMENT:Predictive Enforcement Action:  Target Number: 000100CE  Target Speed:  35.0  Current Speed:  55.3</t>
  </si>
  <si>
    <t>SYS :2016/11/16 22:32:24.520:ENFORCEMENT:Predictive Enforcement Action:  Target Number: 000100D0  Target Speed:  35.0  Current Speed:  55.3</t>
  </si>
  <si>
    <t>SYS :2016/11/17 01:06:22.476:ENFORCEMENT:Reactive Enforcement Action:  Target Number: 000061A4  Target Speed:   0.0  Current Speed:   3.1</t>
  </si>
  <si>
    <t>SYS :2016/11/17 01:06:23.741:ENFORCEMENT:Reactive Enforcement Action:  Target Number: 00006189  Target Speed:   0.0  Current Speed:   3.3</t>
  </si>
  <si>
    <t>SYS :2016/11/17 01:06:22.508:ENFORCEMENT:Reactive Enforcement Action:  Target Number: 0000619B  Target Speed:   0.0  Current Speed:   3.1</t>
  </si>
  <si>
    <t>SYS :2016/11/16 12:52:06.118:ENFORCEMENT:Predictive Enforcement Action:  Target Number: 00001008  Target Speed:   0.0  Current Speed:   4.0</t>
  </si>
  <si>
    <t>SYS :2016/11/16 14:14:25.127:ENFORCEMENT:Predictive Enforcement Action:  Target Number: 00006091  Target Speed:   0.0  Current Speed:  42.3</t>
  </si>
  <si>
    <t>SYS :2016/11/16 12:52:05.623:ENFORCEMENT:Predictive Enforcement Action:  Target Number: 00001008  Target Speed:   0.0  Current Speed:   4.0</t>
  </si>
  <si>
    <t>SYS :2016/11/16 14:14:24.631:ENFORCEMENT:Predictive Enforcement Action:  Target Number: 0000609F  Target Speed:   0.0  Current Speed:  42.3</t>
  </si>
  <si>
    <t>SYS :2016/11/16 12:52:05.530:ENFORCEMENT:Predictive Enforcement Action:  Target Number: 00001008  Target Speed:   0.0  Current Speed:   4.0</t>
  </si>
  <si>
    <t>SYS :2016/11/16 14:14:24.553:ENFORCEMENT:Predictive Enforcement Action:  Target Number: 00006090  Target Speed:   0.0  Current Speed:  42.3</t>
  </si>
  <si>
    <t>SYS :2016/11/16 18:24:46.939:ENFORCEMENT:Reactive Enforcement Action:  Target Number: 0000A002  Target Speed:  15.0  Current Speed:  20.0</t>
  </si>
  <si>
    <t>SYS :2016/11/16 18:24:46.841:ENFORCEMENT:Reactive Enforcement Action:  Target Number: 0000A002  Target Speed:  15.0  Current Speed:  20.0</t>
  </si>
  <si>
    <t>SYS :2016/11/17 06:01:14.882:ENFORCEMENT:Predictive Enforcement Action:  Target Number: 000062F9  Target Speed:   0.0  Current Speed:  75.3</t>
  </si>
  <si>
    <t>SYS :2016/11/17 06:01:15.844:ENFORCEMENT:Predictive Enforcement Action:  Target Number: 000062FA  Target Speed:   0.0  Current Speed:  75.3</t>
  </si>
  <si>
    <t>SYS :2016/11/16 16:04:10.357:ENFORCEMENT:Predictive Enforcement Action:  Target Number: 00006098  Target Speed:   0.0  Current Speed:  51.6</t>
  </si>
  <si>
    <t>SYS :2016/11/16 16:04:09.548:ENFORCEMENT:Predictive Enforcement Action:  Target Number: 00006088  Target Speed:   0.0  Current Speed:  51.6</t>
  </si>
  <si>
    <t>SYS :2016/11/16 16:04:10.237:ENFORCEMENT:Predictive Enforcement Action:  Target Number: 00006088  Target Speed:   0.0  Current Speed:  51.6</t>
  </si>
  <si>
    <t>SYS :2016/11/17 05:08:25.758:ENFORCEMENT:Predictive Enforcement Action:  Target Number: 00017128  Target Speed:   0.0  Current Speed:  25.6</t>
  </si>
  <si>
    <t>SYS :2016/11/17 05:08:24.562:ENFORCEMENT:Predictive Enforcement Action:  Target Number: 00017128  Target Speed:   0.0  Current Speed:  25.9</t>
  </si>
  <si>
    <t>SYS :2016/11/17 05:08:24.969:ENFORCEMENT:Predictive Enforcement Action:  Target Number: 00017128  Target Speed:   0.0  Current Speed:  25.6</t>
  </si>
  <si>
    <t>SYS :2016/11/16 11:05:30.291:ENFORCEMENT:Predictive Enforcement Action:  Target Number: 00001002  Target Speed:   0.0  Current Speed:   8.9</t>
  </si>
  <si>
    <t>SYS :2016/11/16 11:06:14.291:ENFORCEMENT:Predictive Enforcement Action:  Target Number: 00001002  Target Speed:   0.0  Current Speed:   2.9</t>
  </si>
  <si>
    <t>SYS :2016/11/16 11:06:49.288:ENFORCEMENT:Predictive Enforcement Action:  Target Number: 00001002  Target Speed:   0.0  Current Speed:   1.4</t>
  </si>
  <si>
    <t>SYS :2016/11/16 12:43:57.284:ENFORCEMENT:Reactive Enforcement Action:  Target Number: 0001001C  Target Speed:  35.0  Current Speed:  40.0</t>
  </si>
  <si>
    <t>SYS :2016/11/16 11:05:29.861:ENFORCEMENT:Predictive Enforcement Action:  Target Number: 00001002  Target Speed:   0.0  Current Speed:   8.9</t>
  </si>
  <si>
    <t>SYS :2016/11/16 11:06:13.859:ENFORCEMENT:Predictive Enforcement Action:  Target Number: 00001002  Target Speed:   0.0  Current Speed:   2.9</t>
  </si>
  <si>
    <t>SYS :2016/11/16 11:06:48.864:ENFORCEMENT:Predictive Enforcement Action:  Target Number: 00001002  Target Speed:   0.0  Current Speed:   1.4</t>
  </si>
  <si>
    <t>SYS :2016/11/16 12:43:55.873:ENFORCEMENT:Reactive Enforcement Action:  Target Number: 0001001C  Target Speed:  35.0  Current Speed:  40.0</t>
  </si>
  <si>
    <t>SYS :2016/11/16 11:05:29.500:ENFORCEMENT:Predictive Enforcement Action:  Target Number: 00001002  Target Speed:   0.0  Current Speed:   8.9</t>
  </si>
  <si>
    <t>SYS :2016/11/16 11:06:03.492:ENFORCEMENT:Predictive Enforcement Action:  Target Number: 00001002  Target Speed:   0.0  Current Speed:   4.3</t>
  </si>
  <si>
    <t>SYS :2016/11/16 11:06:48.494:ENFORCEMENT:Predictive Enforcement Action:  Target Number: 00001002  Target Speed:   0.0  Current Speed:   1.4</t>
  </si>
  <si>
    <t>SYS :2016/11/16 12:43:56.521:ENFORCEMENT:Reactive Enforcement Action:  Target Number: 0001001C  Target Speed:  35.0  Current Speed:  40.0</t>
  </si>
  <si>
    <t>SYS :2016/11/16 13:33:18.104:ENFORCEMENT:Predictive Enforcement Action:  Target Number: 00001003  Target Speed:   0.0  Current Speed:   5.6</t>
  </si>
  <si>
    <t>SYS :2016/11/16 14:27:32.504:ENFORCEMENT:Reactive Enforcement Action:  Target Number: 000100DE  Target Speed:  35.0  Current Speed:  40.0</t>
  </si>
  <si>
    <t>SYS :2016/11/16 16:51:07.501:ENFORCEMENT:Predictive Enforcement Action:  Target Number: 00001014  Target Speed:   0.0  Current Speed:   7.2</t>
  </si>
  <si>
    <t>SYS :2016/11/16 14:27:32.790:ENFORCEMENT:Reactive Enforcement Action:  Target Number: 000100FC  Target Speed:  35.0  Current Speed:  40.0</t>
  </si>
  <si>
    <t>SYS :2016/11/16 16:51:07.781:ENFORCEMENT:Predictive Enforcement Action:  Target Number: 00001016  Target Speed:   0.0  Current Speed:   7.2</t>
  </si>
  <si>
    <t>SYS :2016/11/16 14:27:32.464:ENFORCEMENT:Reactive Enforcement Action:  Target Number: 0001013C  Target Speed:  35.0  Current Speed:  40.0</t>
  </si>
  <si>
    <t>SYS :2016/11/16 16:51:07.465:ENFORCEMENT:Predictive Enforcement Action:  Target Number: 0000101F  Target Speed:   0.0  Current Speed:   7.2</t>
  </si>
  <si>
    <t>SYS :2016/11/16 22:03:12.500:ENFORCEMENT:Predictive Enforcement Action:  Target Number: 0000101A  Target Speed:   0.0  Current Speed:   4.2</t>
  </si>
  <si>
    <t>SYS :2016/11/16 23:41:59.508:ENFORCEMENT:Predictive Enforcement Action:  Target Number: 00017121  Target Speed:   0.0  Current Speed:  28.0</t>
  </si>
  <si>
    <t>SYS :2016/11/16 22:03:12.782:ENFORCEMENT:Predictive Enforcement Action:  Target Number: 0000101C  Target Speed:   0.0  Current Speed:   4.3</t>
  </si>
  <si>
    <t>SYS :2016/11/16 23:42:00.790:ENFORCEMENT:Predictive Enforcement Action:  Target Number: 00017129  Target Speed:   0.0  Current Speed:  28.0</t>
  </si>
  <si>
    <t>SYS :2016/11/16 22:03:12.451:ENFORCEMENT:Predictive Enforcement Action:  Target Number: 00001025  Target Speed:   0.0  Current Speed:   4.3</t>
  </si>
  <si>
    <t>SYS :2016/11/16 23:42:00.472:ENFORCEMENT:Predictive Enforcement Action:  Target Number: 00017154  Target Speed:   0.0  Current Speed:  28.0</t>
  </si>
  <si>
    <t>SYS :2016/11/16 22:26:52.863:ENFORCEMENT:Predictive Enforcement Action:  Target Number: 00010170  Target Speed:  30.0  Current Speed:  35.6</t>
  </si>
  <si>
    <t>SYS :2016/11/16 22:26:53.399:ENFORCEMENT:Predictive Enforcement Action:  Target Number: 00010170  Target Speed:  30.0  Current Speed:  35.8</t>
  </si>
  <si>
    <t>SYS :2016/11/16 22:26:53.762:ENFORCEMENT:Predictive Enforcement Action:  Target Number: 00010071  Target Speed:  30.0  Current Speed:  35.8</t>
  </si>
  <si>
    <t>SYS :2016/11/17 03:27:50.857:ENFORCEMENT:Predictive Enforcement Action:  Target Number: 000040DA  Target Speed:   0.0  Current Speed:  29.5</t>
  </si>
  <si>
    <t>SYS :2016/11/17 04:27:26.853:ENFORCEMENT:Predictive Enforcement Action:  Target Number: 000040FB  Target Speed:   0.0  Current Speed:  29.6</t>
  </si>
  <si>
    <t>SYS :2016/11/17 04:27:26.836:ENFORCEMENT:Predictive Enforcement Action:  Target Number: 00004013  Target Speed:   0.0  Current Speed:  29.6</t>
  </si>
  <si>
    <t>SYS :2016/11/17 03:27:51.643:ENFORCEMENT:Predictive Enforcement Action:  Target Number: 00004007  Target Speed:   0.0  Current Speed:  29.9</t>
  </si>
  <si>
    <t>SYS :2016/11/17 04:27:26.396:ENFORCEMENT:Predictive Enforcement Action:  Target Number: 00004025  Target Speed:   0.0  Current Speed:  29.6</t>
  </si>
  <si>
    <t>SYS :2016/11/16 15:47:31.937:ENFORCEMENT:Predictive Enforcement Action:  Target Number: 0000647F  Target Speed:   0.0  Current Speed:  56.5</t>
  </si>
  <si>
    <t>SYS :2016/11/16 17:54:10.933:ENFORCEMENT:Predictive Enforcement Action:  Target Number: 0000102C  Target Speed:   0.0  Current Speed:   9.1</t>
  </si>
  <si>
    <t>SYS :2016/11/16 19:47:04.960:ENFORCEMENT:Predictive Enforcement Action:  Target Number: 0000656D  Target Speed:   0.0  Current Speed:  57.2</t>
  </si>
  <si>
    <t>SYS :2016/11/16 15:47:31.325:ENFORCEMENT:Predictive Enforcement Action:  Target Number: 00006180  Target Speed:   0.0  Current Speed:  56.9</t>
  </si>
  <si>
    <t>SYS :2016/11/16 17:54:11.312:ENFORCEMENT:Predictive Enforcement Action:  Target Number: 00001016  Target Speed:   0.0  Current Speed:   9.1</t>
  </si>
  <si>
    <t>SYS :2016/11/16 18:54:35.309:ENFORCEMENT:Predictive Enforcement Action:  Target Number: 00001019  Target Speed:   0.0  Current Speed:   6.0</t>
  </si>
  <si>
    <t>SYS :2016/11/16 19:47:04.333:ENFORCEMENT:Predictive Enforcement Action:  Target Number: 00006237  Target Speed:   0.0  Current Speed:  57.2</t>
  </si>
  <si>
    <t>SYS :2016/11/16 15:47:31.350:ENFORCEMENT:Predictive Enforcement Action:  Target Number: 00006483  Target Speed:   0.0  Current Speed:  56.9</t>
  </si>
  <si>
    <t>SYS :2016/11/16 17:54:11.335:ENFORCEMENT:Predictive Enforcement Action:  Target Number: 0000102C  Target Speed:   0.0  Current Speed:   9.1</t>
  </si>
  <si>
    <t>SYS :2016/11/16 19:47:04.365:ENFORCEMENT:Predictive Enforcement Action:  Target Number: 00006572  Target Speed:   0.0  Current Speed:  57.2</t>
  </si>
  <si>
    <t>SYS :2016/11/16 20:47:52.940:ENFORCEMENT:Predictive Enforcement Action:  Target Number: 000065A5  Target Speed:   0.0  Current Speed:  53.0</t>
  </si>
  <si>
    <t>SYS :2016/11/16 20:47:53.319:ENFORCEMENT:Predictive Enforcement Action:  Target Number: 0000625F  Target Speed:   0.0  Current Speed:  53.1</t>
  </si>
  <si>
    <t>SYS :2016/11/16 20:47:53.339:ENFORCEMENT:Predictive Enforcement Action:  Target Number: 000065A9  Target Speed:   0.0  Current Speed:  53.0</t>
  </si>
  <si>
    <t>SYS :2016/11/17 04:58:05.671:ENFORCEMENT:Predictive Enforcement Action:  Target Number: 0000101B  Target Speed:   0.0  Current Speed:   4.5</t>
  </si>
  <si>
    <t>SYS :2016/11/17 04:58:06.305:ENFORCEMENT:Predictive Enforcement Action:  Target Number: 0000103C  Target Speed:   0.0  Current Speed:   4.5</t>
  </si>
  <si>
    <t>SYS :2016/11/17 04:58:06.327:ENFORCEMENT:Predictive Enforcement Action:  Target Number: 00001052  Target Speed:   0.0  Current Speed:   4.5</t>
  </si>
  <si>
    <t>SYS :2016/11/17 00:53:49.849:ENFORCEMENT:Reactive Enforcement Action:  Target Number: 0001014A  Target Speed:  30.0  Current Speed:  36.3</t>
  </si>
  <si>
    <t>SYS :2016/11/17 00:53:50.133:ENFORCEMENT:Reactive Enforcement Action:  Target Number: 000102F2  Target Speed:  30.0  Current Speed:  36.3</t>
  </si>
  <si>
    <t>SYS :2016/11/17 00:53:51.285:ENFORCEMENT:Reactive Enforcement Action:  Target Number: 00010129  Target Speed:  30.0  Current Speed:  36.3</t>
  </si>
  <si>
    <t>SYS :2016/11/16 15:41:13.523:ENFORCEMENT:Predictive Enforcement Action:  Target Number: 00017155  Target Speed:  26.0  Current Speed:  36.9</t>
  </si>
  <si>
    <t>SYS :2016/11/16 17:26:42.501:ENFORCEMENT:Reactive Enforcement Action:  Target Number: 00017175  Target Speed:  19.0  Current Speed:  24.3</t>
  </si>
  <si>
    <t>SYS :2016/11/16 15:41:14.223:ENFORCEMENT:Predictive Enforcement Action:  Target Number: 00017155  Target Speed:  26.0  Current Speed:  36.7</t>
  </si>
  <si>
    <t>SYS :2016/11/16 17:26:42.215:ENFORCEMENT:Reactive Enforcement Action:  Target Number: 00017175  Target Speed:  19.0  Current Speed:  24.3</t>
  </si>
  <si>
    <t>SYS :2016/11/16 15:41:12.408:ENFORCEMENT:Predictive Enforcement Action:  Target Number: 00017155  Target Speed:  26.0  Current Speed:  36.9</t>
  </si>
  <si>
    <t>SYS :2016/11/17 06:03:03.495:ENFORCEMENT:Predictive Enforcement Action:  Target Number: 00001036  Target Speed:   0.0  Current Speed:   7.9</t>
  </si>
  <si>
    <t>SYS :2016/11/17 06:03:03.208:ENFORCEMENT:Predictive Enforcement Action:  Target Number: 00001035  Target Speed:   0.0  Current Speed:   7.9</t>
  </si>
  <si>
    <t>SYS :2016/11/17 06:03:03.389:ENFORCEMENT:Predictive Enforcement Action:  Target Number: 00001036  Target Speed:   0.0  Current Speed:   7.9</t>
  </si>
  <si>
    <t>SYS :2016/11/16 22:55:54.566:ENFORCEMENT:Predictive Enforcement Action:  Target Number: 00010100  Target Speed:  20.0  Current Speed:  28.2</t>
  </si>
  <si>
    <t>SYS :2016/11/16 22:55:54.110:ENFORCEMENT:Predictive Enforcement Action:  Target Number: 00010100  Target Speed:  20.0  Current Speed:  28.0</t>
  </si>
  <si>
    <t>SYS :2016/11/16 22:55:54.956:ENFORCEMENT:Predictive Enforcement Action:  Target Number: 00010100  Target Speed:  20.0  Current Speed:  28.2</t>
  </si>
  <si>
    <t>SYS :2016/11/16 16:33:33.503:ENFORCEMENT:Predictive Enforcement Action:  Target Number: 000060C5  Target Speed:   0.0  Current Speed:   9.9</t>
  </si>
  <si>
    <t>SYS :2016/11/16 16:33:34.309:ENFORCEMENT:Predictive Enforcement Action:  Target Number: 000060C7  Target Speed:   0.0  Current Speed:   9.9</t>
  </si>
  <si>
    <t>SYS :2016/11/16 18:44:42.299:ENFORCEMENT:Predictive Enforcement Action:  Target Number: 00001009  Target Speed:   0.0  Current Speed:   9.8</t>
  </si>
  <si>
    <t>SYS :2016/11/16 16:33:34.129:ENFORCEMENT:Predictive Enforcement Action:  Target Number: 000060D7  Target Speed:   0.0  Current Speed:   9.9</t>
  </si>
  <si>
    <t>SYS :2016/11/16 11:27:28.870:ENFORCEMENT:Predictive Enforcement Action:  Target Number: 00006246  Target Speed:   0.0  Current Speed:   7.1</t>
  </si>
  <si>
    <t>SYS :2016/11/16 11:27:29.032:ENFORCEMENT:Predictive Enforcement Action:  Target Number: 000062D7  Target Speed:   0.0  Current Speed:   6.9</t>
  </si>
  <si>
    <t>SYS :2016/11/16 22:34:20.857:ENFORCEMENT:Predictive Enforcement Action:  Target Number: 00001025  Target Speed:   0.0  Current Speed:   4.9</t>
  </si>
  <si>
    <t>SYS :2016/11/16 22:34:21.024:ENFORCEMENT:Predictive Enforcement Action:  Target Number: 0000102B  Target Speed:   0.0  Current Speed:   5.3</t>
  </si>
  <si>
    <t>SYS :2016/11/16 16:02:37.633:ENFORCEMENT:Predictive Enforcement Action:  Target Number: 000066FF  Target Speed:   0.0  Current Speed:  73.5</t>
  </si>
  <si>
    <t>SYS :2016/11/16 18:05:33.618:ENFORCEMENT:Predictive Enforcement Action:  Target Number: 0000103F  Target Speed:   0.0  Current Speed:   7.6</t>
  </si>
  <si>
    <t>SYS :2016/11/16 16:02:38.554:ENFORCEMENT:Predictive Enforcement Action:  Target Number: 00006741  Target Speed:   0.0  Current Speed:  73.9</t>
  </si>
  <si>
    <t>SYS :2016/11/16 18:05:33.538:ENFORCEMENT:Predictive Enforcement Action:  Target Number: 0000103F  Target Speed:   0.0  Current Speed:   7.7</t>
  </si>
  <si>
    <t>SYS :2016/11/16 22:52:29.634:ENFORCEMENT:Reactive Enforcement Action:  Target Number: 0001725F  Target Speed:   0.0  Current Speed:  21.9</t>
  </si>
  <si>
    <t>SYS :2016/11/16 22:55:07.637:ENFORCEMENT:Reactive Enforcement Action:  Target Number: 00017260  Target Speed:  22.0  Current Speed:  27.2</t>
  </si>
  <si>
    <t>SYS :2016/11/16 22:52:29.554:ENFORCEMENT:Predictive Enforcement Action:  Target Number: 00017260  Target Speed:   0.0  Current Speed:  21.9</t>
  </si>
  <si>
    <t>SYS :2016/11/16 22:55:07.552:ENFORCEMENT:Reactive Enforcement Action:  Target Number: 00017261  Target Speed:  22.0  Current Speed:  27.2</t>
  </si>
  <si>
    <t>SYS :2016/11/16 12:26:21.057:ENFORCEMENT:Predictive Enforcement Action:  Target Number: 0000101A  Target Speed:   0.0  Current Speed:   6.5</t>
  </si>
  <si>
    <t>SYS :2016/11/16 14:17:25.083:ENFORCEMENT:Predictive Enforcement Action:  Target Number: 000062AA  Target Speed:   0.0  Current Speed:  56.7</t>
  </si>
  <si>
    <t>SYS :2016/11/16 12:26:19.827:ENFORCEMENT:Predictive Enforcement Action:  Target Number: 00001024  Target Speed:   0.0  Current Speed:   6.5</t>
  </si>
  <si>
    <t>SYS :2016/11/16 14:17:25.848:ENFORCEMENT:Predictive Enforcement Action:  Target Number: 000063BB  Target Speed:   0.0  Current Speed:  56.6</t>
  </si>
  <si>
    <t>SYS :2016/11/16 12:26:20.709:ENFORCEMENT:Predictive Enforcement Action:  Target Number: 00001024  Target Speed:   0.0  Current Speed:   6.5</t>
  </si>
  <si>
    <t>SYS :2016/11/16 14:17:25.237:ENFORCEMENT:Predictive Enforcement Action:  Target Number: 00006035  Target Speed:   0.0  Current Speed:  56.7</t>
  </si>
  <si>
    <t>SYS :2016/11/16 22:33:11.072:ENFORCEMENT:Predictive Enforcement Action:  Target Number: 0000A005  Target Speed:  10.0  Current Speed:  21.2</t>
  </si>
  <si>
    <t>SYS :2016/11/16 22:33:11.079:ENFORCEMENT:Predictive Enforcement Action:  Target Number: 000170BE  Target Speed:   9.0  Current Speed:  21.2</t>
  </si>
  <si>
    <t>SYS :2016/11/16 22:35:21.081:ENFORCEMENT:Predictive Enforcement Action:  Target Number: 0000A005  Target Speed:  10.0  Current Speed:  15.5</t>
  </si>
  <si>
    <t>SYS :2016/11/16 22:40:39.059:ENFORCEMENT:Predictive Enforcement Action:  Target Number: 00001023  Target Speed:   0.0  Current Speed:   4.8</t>
  </si>
  <si>
    <t>SYS :2016/11/16 23:26:55.062:ENFORCEMENT:Predictive Enforcement Action:  Target Number: 00001026  Target Speed:   0.0  Current Speed:   5.8</t>
  </si>
  <si>
    <t>SYS :2016/11/16 22:33:11.836:ENFORCEMENT:Predictive Enforcement Action:  Target Number: 0000A005  Target Speed:  10.0  Current Speed:  21.7</t>
  </si>
  <si>
    <t>SYS :2016/11/16 22:33:11.843:ENFORCEMENT:Predictive Enforcement Action:  Target Number: 00017116  Target Speed:   9.0  Current Speed:  21.7</t>
  </si>
  <si>
    <t>SYS :2016/11/16 22:35:20.846:ENFORCEMENT:Predictive Enforcement Action:  Target Number: 0000A005  Target Speed:  10.0  Current Speed:  15.5</t>
  </si>
  <si>
    <t>SYS :2016/11/16 22:40:39.824:ENFORCEMENT:Predictive Enforcement Action:  Target Number: 0000102D  Target Speed:   0.0  Current Speed:   4.7</t>
  </si>
  <si>
    <t>SYS :2016/11/16 22:33:11.239:ENFORCEMENT:Predictive Enforcement Action:  Target Number: 0000A004  Target Speed:  10.0  Current Speed:  21.2</t>
  </si>
  <si>
    <t>SYS :2016/11/16 22:33:11.246:ENFORCEMENT:Predictive Enforcement Action:  Target Number: 00017009  Target Speed:   9.0  Current Speed:  21.2</t>
  </si>
  <si>
    <t>SYS :2016/11/16 22:35:21.261:ENFORCEMENT:Predictive Enforcement Action:  Target Number: 0000A004  Target Speed:  10.0  Current Speed:  15.5</t>
  </si>
  <si>
    <t>SYS :2016/11/16 22:40:39.246:ENFORCEMENT:Predictive Enforcement Action:  Target Number: 00001009  Target Speed:   0.0  Current Speed:   4.8</t>
  </si>
  <si>
    <t>SYS :2016/11/16 23:26:55.237:ENFORCEMENT:Predictive Enforcement Action:  Target Number: 0000100C  Target Speed:   0.0  Current Speed:   5.8</t>
  </si>
  <si>
    <t>SYS :2016/11/17 01:20:38.068:ENFORCEMENT:Reactive Enforcement Action:  Target Number: 000101DC  Target Speed:  30.0  Current Speed:  35.5</t>
  </si>
  <si>
    <t>SYS :2016/11/17 01:20:37.258:ENFORCEMENT:Reactive Enforcement Action:  Target Number: 00010090  Target Speed:  30.0  Current Speed:  35.5</t>
  </si>
  <si>
    <t>SYS :2016/11/16 12:01:38.780:ENFORCEMENT:Predictive Enforcement Action:  Target Number: 000101E3  Target Speed:  40.0  Current Speed:  45.7</t>
  </si>
  <si>
    <t>SYS :2016/11/16 15:00:32.768:ENFORCEMENT:Reactive Enforcement Action:  Target Number: 00010244  Target Speed:  40.0  Current Speed:  45.5</t>
  </si>
  <si>
    <t>SYS :2016/11/16 15:40:03.762:ENFORCEMENT:Predictive Enforcement Action:  Target Number: 00010260  Target Speed:  30.0  Current Speed:  37.5</t>
  </si>
  <si>
    <t>SYS :2016/11/16 12:01:38.952:ENFORCEMENT:Predictive Enforcement Action:  Target Number: 000101E8  Target Speed:  40.0  Current Speed:  45.7</t>
  </si>
  <si>
    <t>SYS :2016/11/16 15:00:32.945:ENFORCEMENT:Reactive Enforcement Action:  Target Number: 00010249  Target Speed:  40.0  Current Speed:  45.5</t>
  </si>
  <si>
    <t>SYS :2016/11/16 15:40:03.936:ENFORCEMENT:Predictive Enforcement Action:  Target Number: 00010265  Target Speed:  30.0  Current Speed:  37.5</t>
  </si>
  <si>
    <t>SYS :2016/11/16 12:01:38.925:ENFORCEMENT:Predictive Enforcement Action:  Target Number: 000101E9  Target Speed:  40.0  Current Speed:  45.7</t>
  </si>
  <si>
    <t>SYS :2016/11/16 15:00:32.910:ENFORCEMENT:Reactive Enforcement Action:  Target Number: 0001024A  Target Speed:  40.0  Current Speed:  45.5</t>
  </si>
  <si>
    <t>SYS :2016/11/16 15:40:03.908:ENFORCEMENT:Predictive Enforcement Action:  Target Number: 0001026F  Target Speed:  30.0  Current Speed:  37.5</t>
  </si>
  <si>
    <t>SYS :2016/11/16 23:05:53.736:ENFORCEMENT:Predictive Enforcement Action:  Target Number: 00001027  Target Speed:   0.0  Current Speed:   4.6</t>
  </si>
  <si>
    <t>SYS :2016/11/16 23:05:53.919:ENFORCEMENT:Predictive Enforcement Action:  Target Number: 00001027  Target Speed:   0.0  Current Speed:   4.6</t>
  </si>
  <si>
    <t>SYS :2016/11/16 23:05:53.895:ENFORCEMENT:Predictive Enforcement Action:  Target Number: 00001027  Target Speed:   0.0  Current Speed:   4.6</t>
  </si>
  <si>
    <t>Cancelled</t>
  </si>
  <si>
    <t>Banner without braking</t>
  </si>
  <si>
    <t>CPU1 commanded braking, other 2 did not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</si>
</sst>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0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hyperlink" Target="http://stevetu21.github.io/eaglep3/load_kml.html?kml=http://rtdc.gmaps-snips.s3.amazonaws.com/8e6919af-5e71-4914-91e0-f833c2332b46.km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://stevetu21.github.io/eaglep3/load_kml.html?kml=http://rtdc.gmaps-snips.s3.amazonaws.com/6d86adeb-8fde-4c2d-909d-e4075aeb2b01.kml" TargetMode="External"/><Relationship Id="rId1" Type="http://schemas.openxmlformats.org/officeDocument/2006/relationships/hyperlink" Target="http://stevetu21.github.io/eaglep3/load_kml.html?kml=http://rtdc.gmaps-snips.s3.amazonaws.com/51ad0f3b-a2d1-4c34-a712-f246f491f3b1.kml" TargetMode="External"/><Relationship Id="rId6" Type="http://schemas.openxmlformats.org/officeDocument/2006/relationships/hyperlink" Target="http://stevetu21.github.io/eaglep3/load_kml.html?kml=http://rtdc.gmaps-snips.s3.amazonaws.com/173826b6-074b-4139-893c-deaae9ebde2a.kml" TargetMode="External"/><Relationship Id="rId5" Type="http://schemas.openxmlformats.org/officeDocument/2006/relationships/hyperlink" Target="http://stevetu21.github.io/eaglep3/load_kml.html?kml=http://rtdc.gmaps-snips.s3.amazonaws.com/6839d12a-b719-4af1-b432-ee0f912fa2ad.kml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://stevetu21.github.io/eaglep3/load_kml.html?kml=http://rtdc.gmaps-snips.s3.amazonaws.com/435a23d5-c4f1-4f43-bbbb-55e75da0edcf.kml" TargetMode="External"/><Relationship Id="rId9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0"/>
  <sheetViews>
    <sheetView tabSelected="1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42690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42690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139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COUNTIFS($N$13:$N$9383,"&gt;0",$AG$13:$AG$9383,I1)</f>
        <v>138</v>
      </c>
      <c r="K5" s="44"/>
      <c r="L5" s="44"/>
      <c r="M5" s="45">
        <f>AVERAGEIFS($N$13:$N$9383,$AG$13:$AG$9383,I1)</f>
        <v>39.742391304436907</v>
      </c>
      <c r="N5" s="43">
        <f t="array" ref="N5">MIN(IF($AG$13:$AG$9383=I1,IF(ISNUMBER($N$13:$N$9383),IF($N$13:$N$9383&gt;0,$N$13:$N$9383))))</f>
        <v>34.516666667768732</v>
      </c>
      <c r="O5" s="3">
        <f t="array" ref="O5">MAX(IF($AG$13:$AG$9383=I1,IF(ISNUMBER($N$13:$N$9383),IF($N$13:$N$9383&gt;0,$N$13:$N$9383))))</f>
        <v>63.400000005494803</v>
      </c>
      <c r="P5" s="2"/>
      <c r="R5" s="80" t="s">
        <v>17</v>
      </c>
      <c r="S5" s="55">
        <f>COUNTIFS($N$13:$N$9383,"&gt;0",$AG$13:$AG$9383,R1)</f>
        <v>46</v>
      </c>
      <c r="T5" s="44"/>
      <c r="U5" s="169"/>
      <c r="V5" s="45">
        <f>AVERAGEIFS($N$13:$N$9383,$AG$13:$AG$9383,R1)</f>
        <v>15.609420289654974</v>
      </c>
      <c r="W5" s="43">
        <f t="array" ref="W5">MIN(IF($AG$13:$AG$9383=R1,IF(ISNUMBER($N$13:$N$9383),IF($N$13:$N$9383&gt;0,$N$13:$N$9383))))</f>
        <v>12.966666669817641</v>
      </c>
      <c r="X5" s="173">
        <f t="array" ref="X5">MAX(IF($AG$13:$AG$9383=R1,IF(ISNUMBER($N$13:$N$9383),IF($N$13:$N$9383&gt;0,$N$13:$N$9383))))</f>
        <v>18.950000008335337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COUNT($O$13:$O$158)</f>
        <v>0</v>
      </c>
      <c r="K6" s="44"/>
      <c r="L6" s="44"/>
      <c r="M6" s="45">
        <f>IFERROR(AVERAGE($O$13:$O$158),0)</f>
        <v>0</v>
      </c>
      <c r="N6" s="43">
        <f>MIN($O$13:$O$158)</f>
        <v>0</v>
      </c>
      <c r="O6" s="3">
        <f>MAX($O$13:$O$158)</f>
        <v>0</v>
      </c>
      <c r="P6" s="2"/>
      <c r="R6" s="81" t="s">
        <v>43</v>
      </c>
      <c r="S6" s="55">
        <f>COUNT($O$13:$O$158)</f>
        <v>0</v>
      </c>
      <c r="T6" s="44"/>
      <c r="U6" s="169"/>
      <c r="V6" s="45">
        <f>IFERROR(AVERAGE($O$13:$O$158),0)</f>
        <v>0</v>
      </c>
      <c r="W6" s="43">
        <f>MIN($O$13:$O$158)</f>
        <v>0</v>
      </c>
      <c r="X6" s="173">
        <f>MAX($O$13:$O$158)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COUNTIFS($P$13:$P$9383,"&gt;0",$AG$13:$AG$9383,I1)</f>
        <v>1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COUNTIFS($P$13:$P$9383,"&gt;0",$AG$13:$AG$9383,R1)</f>
        <v>1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138</v>
      </c>
      <c r="K8" s="44"/>
      <c r="L8" s="44"/>
      <c r="M8" s="45">
        <f>M5</f>
        <v>39.742391304436907</v>
      </c>
      <c r="N8" s="43">
        <f>N5</f>
        <v>34.516666667768732</v>
      </c>
      <c r="O8" s="3">
        <f>O5</f>
        <v>63.400000005494803</v>
      </c>
      <c r="P8" s="2"/>
      <c r="R8" s="80" t="s">
        <v>16</v>
      </c>
      <c r="S8" s="55">
        <f>S5</f>
        <v>46</v>
      </c>
      <c r="T8" s="44"/>
      <c r="U8" s="169"/>
      <c r="V8" s="45">
        <f>V5</f>
        <v>15.609420289654974</v>
      </c>
      <c r="W8" s="43">
        <f>W5</f>
        <v>12.966666669817641</v>
      </c>
      <c r="X8" s="173">
        <f>X5</f>
        <v>18.950000008335337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0.9928057553956835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0.97872340425531912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- 2016-11-16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AVERAGE(S13:S105)</f>
        <v>0.989247311827957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459</v>
      </c>
      <c r="B13" s="7">
        <v>4029</v>
      </c>
      <c r="C13" s="22" t="s">
        <v>222</v>
      </c>
      <c r="D13" s="22" t="s">
        <v>634</v>
      </c>
      <c r="E13" s="13">
        <v>42690.145995370367</v>
      </c>
      <c r="F13" s="13">
        <v>42690.160497685189</v>
      </c>
      <c r="G13" s="7">
        <v>1</v>
      </c>
      <c r="H13" s="22" t="s">
        <v>635</v>
      </c>
      <c r="I13" s="13">
        <v>42690.189351851855</v>
      </c>
      <c r="J13" s="7">
        <v>0</v>
      </c>
      <c r="K13" s="109" t="str">
        <f t="shared" ref="K13:K22" si="0">IF(ISEVEN(B13),(B13-1)&amp;"/"&amp;B13,B13&amp;"/"&amp;(B13+1))</f>
        <v>4029/4030</v>
      </c>
      <c r="L13" s="22" t="str">
        <f>VLOOKUP(A13,'Trips&amp;Operators'!$C$1:$E$10000,3,FALSE)</f>
        <v>MAELZER</v>
      </c>
      <c r="M13" s="6">
        <f t="shared" ref="M13:M22" si="1">I13-F13</f>
        <v>2.8854166666860692E-2</v>
      </c>
      <c r="N13" s="7">
        <f t="shared" ref="N13:N22" si="2">24*60*SUM($M13:$M13)</f>
        <v>41.550000000279397</v>
      </c>
      <c r="O13" s="7"/>
      <c r="P13" s="7"/>
      <c r="Q13" s="23"/>
      <c r="R13" s="23"/>
      <c r="S13" s="35">
        <f t="shared" ref="S13:S22" si="3">SUM(U13:U13)/IF(AG13="EC",12,1)</f>
        <v>1</v>
      </c>
      <c r="T13" s="50" t="str">
        <f t="shared" ref="T13:T22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2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https://search-rtdc-monitor-bjffxe2xuh6vdkpspy63sjmuny.us-east-1.es.amazonaws.com/_plugin/kibana/#/discover/Steve-Slow-Train-Analysis-(2080s-and-2083s)?_g=(refreshInterval:(display:Off,section:0,value:0),time:(from:'2016-11-16 02:30:14-700',mode:absolute,to:'2016-11-16 05:32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" s="52" t="str">
        <f t="shared" ref="W13:W22" si="6">IF(AA13&lt;IF(AG13="EC",23,5.65),"Y","N")</f>
        <v>N</v>
      </c>
      <c r="X13" s="177" t="e">
        <f>VALUE(LEFT(AD13,4))-VALUE(LEFT(#REF!,4))</f>
        <v>#REF!</v>
      </c>
      <c r="Y13" s="67">
        <f t="shared" ref="Y13:Y22" si="7">RIGHT(D13,LEN(D13)-4)/10000</f>
        <v>7.46E-2</v>
      </c>
      <c r="Z13" s="67">
        <f t="shared" ref="Z13:Z22" si="8">RIGHT(H13,LEN(H13)-4)/10000</f>
        <v>23.332000000000001</v>
      </c>
      <c r="AA13" s="67">
        <f t="shared" ref="AA13:AA22" si="9">ABS(Z13-Y13)</f>
        <v>23.257400000000001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22" si="10">IF(LEN(A13)=6,"0"&amp;A13,A13)</f>
        <v>0103-16</v>
      </c>
      <c r="AE13" s="91" t="str">
        <f t="shared" ref="AE13:AE72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s3://rtdc.mdm.uploadarchive.raw/RTDC4029/ "%USERPROFILE%\AppData\Local\Temp\OnboardLogs"\RTDC4029\2016-11-16 --exclude "*" --recursive --include "*20161116*" &amp; "%USERPROFILE%\Documents\GitHub\mrs-test-scripts\Headless Mode &amp; Sideloading\WalkAndUnGZ.bat" "%USERPROFILE%\AppData\Local\Temp\OnboardLogs"\RTDC4029\2016-11-16 &amp; aws s3 cp s3://rtdc.mdm.uploadarchive.raw/RTDC4029/ "%USERPROFILE%\AppData\Local\Temp\OnboardLogs"\RTDC4029\2016-11-17 --exclude "*" --recursive --include "*20161117*" &amp; "%USERPROFILE%\Documents\GitHub\mrs-test-scripts\Headless Mode &amp; Sideloading\WalkAndUnGZ.bat" "%USERPROFILE%\AppData\Local\Temp\OnboardLogs"\RTDC4029\2016-11-17</v>
      </c>
      <c r="AF13" s="88" t="str">
        <f t="shared" ref="AF13:AF72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/stypes="app*4029*20161116*" /stext=" 11:.+((SYSTEM_STATE.+slice.+state.+changed )|(ment ac)|(system.+state.+changed )|(\[timeout)|(PRM\|1\|D)|(kpr)|(kdp)|(\|lc)|(penalty))" /e /r /s</v>
      </c>
      <c r="AG13" s="1" t="str">
        <f t="shared" ref="AG13:AG22" si="13">IFERROR(IF(VALUE(LEFT(AD13,2))&lt;=2,"EC",IF(OR(VALUE(LEFT(AD13,2))=8,VALUE(LEFT(AD13,2))=18),"NW","Other")),"Other")</f>
        <v>EC</v>
      </c>
      <c r="AH13" s="92" t="str">
        <f t="shared" ref="AH13:AH74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103-16 --locoid 4029 --swversion DE.1.0.8.0 --startMP 204:746 --initTime 2016-11-16T03:30:14 --startdatetime 2016-11-16T03:51:07 --delay 1 --endMP 204:233320 --enddatetime 2016-11-16T04:32:40 --enforcementcount 0 &gt;&gt;C:\Users\stu\Documents\GitHub\eaglep3-reporting\EC\2016-11-16-refined-times.txt</v>
      </c>
      <c r="AI13" s="119" t="str">
        <f t="shared" ref="AI13:AI74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{"issue":{"subject":"","project_id":79,"tracker_id":40,"status_id":1,"priority_id":2,"assigned_to_id":23,"start_date":"2016-11-16","description":"","custom_fields":[{"id":1,"name":"Subdivision","value":"EC"},{"id":4,"name":"Milepost","value":"23.332"},{"id":17,"name":"Train ID","value":"103-16"},{"id":16,"name":"Locomotive ID","value":"4029"},{"id":130,"name":"Impact","value":""},{"id":150,"name":"Time of Event (Mountain Time)","value":"04:32:40"},{"id":151,"name":"Denver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466</v>
      </c>
      <c r="B14" s="7">
        <v>4037</v>
      </c>
      <c r="C14" s="22" t="s">
        <v>222</v>
      </c>
      <c r="D14" s="22" t="s">
        <v>357</v>
      </c>
      <c r="E14" s="13">
        <v>42690.193530092591</v>
      </c>
      <c r="F14" s="13">
        <v>42690.195729166669</v>
      </c>
      <c r="G14" s="7">
        <v>1</v>
      </c>
      <c r="H14" s="22" t="s">
        <v>279</v>
      </c>
      <c r="I14" s="13">
        <v>42690.222743055558</v>
      </c>
      <c r="J14" s="7">
        <v>0</v>
      </c>
      <c r="K14" s="109" t="str">
        <f t="shared" si="0"/>
        <v>4037/4038</v>
      </c>
      <c r="L14" s="22" t="str">
        <f>VLOOKUP(A14,'Trips&amp;Operators'!$C$1:$E$10000,3,FALSE)</f>
        <v>MAELZER</v>
      </c>
      <c r="M14" s="6">
        <f t="shared" si="1"/>
        <v>2.7013888888177462E-2</v>
      </c>
      <c r="N14" s="7">
        <f t="shared" si="2"/>
        <v>38.899999998975545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03:38:41-700',mode:absolute,to:'2016-11-16 06:20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" s="52" t="str">
        <f t="shared" si="6"/>
        <v>N</v>
      </c>
      <c r="X14" s="177">
        <f t="shared" ref="X14:X18" si="16">VALUE(LEFT(AD14,4))-VALUE(LEFT(AD13,4))</f>
        <v>1</v>
      </c>
      <c r="Y14" s="67">
        <f t="shared" si="7"/>
        <v>23.267299999999999</v>
      </c>
      <c r="Z14" s="67">
        <f t="shared" si="8"/>
        <v>1.38E-2</v>
      </c>
      <c r="AA14" s="67">
        <f t="shared" si="9"/>
        <v>23.253499999999999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0"/>
        <v>0104-16</v>
      </c>
      <c r="AE14" s="91" t="str">
        <f t="shared" si="11"/>
        <v>aws s3 cp s3://rtdc.mdm.uploadarchive.raw/RTDC4037/ "%USERPROFILE%\AppData\Local\Temp\OnboardLogs"\RTDC4037\2016-11-16 --exclude "*" --recursive --include "*20161116*" &amp; "%USERPROFILE%\Documents\GitHub\mrs-test-scripts\Headless Mode &amp; Sideloading\WalkAndUnGZ.bat" "%USERPROFILE%\AppData\Local\Temp\OnboardLogs"\RTDC4037\2016-11-16 &amp; 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</v>
      </c>
      <c r="AF14" s="88" t="str">
        <f t="shared" si="12"/>
        <v>"C:\Program Files (x86)\AstroGrep\AstroGrep.exe" /spath="%USERPROFILE%\AppData\Local\Temp\OnboardLogs" /stypes="app*4037*20161116*" /stext=" 12:.+((SYSTEM_STATE.+slice.+state.+changed )|(ment ac)|(system.+state.+changed )|(\[timeout)|(PRM\|1\|D)|(kpr)|(kdp)|(\|lc)|(penalty))" /e /r /s</v>
      </c>
      <c r="AG14" s="1" t="str">
        <f t="shared" si="13"/>
        <v>EC</v>
      </c>
      <c r="AH14" s="92" t="str">
        <f t="shared" si="14"/>
        <v>"%USERPROFILE%\Documents\GitHub\eaglep3\Utilities\RefineRTDCRunTimes.py" --tripid 104-16 --locoid 4037 --swversion DE.1.0.8.0 --startMP 204:232673 --initTime 2016-11-16T04:38:41 --startdatetime 2016-11-16T04:41:51 --delay 1 --endMP 204:138 --enddatetime 2016-11-16T05:20:45 --enforcementcount 0 &gt;&gt;C:\Users\stu\Documents\GitHub\eaglep3-reporting\EC\2016-11-16-refined-times.txt</v>
      </c>
      <c r="AI14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{"issue":{"subject":"","project_id":79,"tracker_id":40,"status_id":1,"priority_id":2,"assigned_to_id":23,"start_date":"2016-11-16","description":"","custom_fields":[{"id":1,"name":"Subdivision","value":"EC"},{"id":4,"name":"Milepost","value":"0.0138"},{"id":17,"name":"Train ID","value":"104-16"},{"id":16,"name":"Locomotive ID","value":"4037"},{"id":130,"name":"Impact","value":""},{"id":150,"name":"Time of Event (Mountain Time)","value":"05:20:45"},{"id":151,"name":"Denver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460</v>
      </c>
      <c r="B15" s="7">
        <v>4009</v>
      </c>
      <c r="C15" s="22" t="s">
        <v>222</v>
      </c>
      <c r="D15" s="22" t="s">
        <v>636</v>
      </c>
      <c r="E15" s="13">
        <v>42690.161469907405</v>
      </c>
      <c r="F15" s="13">
        <v>42690.179490740738</v>
      </c>
      <c r="G15" s="7">
        <v>1</v>
      </c>
      <c r="H15" s="22" t="s">
        <v>637</v>
      </c>
      <c r="I15" s="13">
        <v>42690.209386574075</v>
      </c>
      <c r="J15" s="7">
        <v>0</v>
      </c>
      <c r="K15" s="109" t="str">
        <f t="shared" si="0"/>
        <v>4009/4010</v>
      </c>
      <c r="L15" s="22" t="str">
        <f>VLOOKUP(A15,'Trips&amp;Operators'!$C$1:$E$10000,3,FALSE)</f>
        <v>SAFIEF</v>
      </c>
      <c r="M15" s="6">
        <f t="shared" si="1"/>
        <v>2.9895833336922806E-2</v>
      </c>
      <c r="N15" s="7">
        <f t="shared" si="2"/>
        <v>43.05000000516884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02:52:31-700',mode:absolute,to:'2016-11-16 06:01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" s="52" t="str">
        <f t="shared" si="6"/>
        <v>N</v>
      </c>
      <c r="X15" s="177">
        <f t="shared" si="16"/>
        <v>1</v>
      </c>
      <c r="Y15" s="67">
        <f t="shared" si="7"/>
        <v>6.4799999999999996E-2</v>
      </c>
      <c r="Z15" s="67">
        <f t="shared" si="8"/>
        <v>23.339300000000001</v>
      </c>
      <c r="AA15" s="67">
        <f t="shared" si="9"/>
        <v>23.2745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0"/>
        <v>0105-16</v>
      </c>
      <c r="AE15" s="91" t="str">
        <f t="shared" si="11"/>
        <v>aws s3 cp s3://rtdc.mdm.uploadarchive.raw/RTDC4009/ "%USERPROFILE%\AppData\Local\Temp\OnboardLogs"\RTDC4009\2016-11-16 --exclude "*" --recursive --include "*20161116*" &amp; "%USERPROFILE%\Documents\GitHub\mrs-test-scripts\Headless Mode &amp; Sideloading\WalkAndUnGZ.bat" "%USERPROFILE%\AppData\Local\Temp\OnboardLogs"\RTDC4009\2016-11-16 &amp; aws s3 cp s3://rtdc.mdm.uploadarchive.raw/RTDC4009/ "%USERPROFILE%\AppData\Local\Temp\OnboardLogs"\RTDC4009\2016-11-17 --exclude "*" --recursive --include "*20161117*" &amp; "%USERPROFILE%\Documents\GitHub\mrs-test-scripts\Headless Mode &amp; Sideloading\WalkAndUnGZ.bat" "%USERPROFILE%\AppData\Local\Temp\OnboardLogs"\RTDC4009\2016-11-17</v>
      </c>
      <c r="AF15" s="88" t="str">
        <f t="shared" si="12"/>
        <v>"C:\Program Files (x86)\AstroGrep\AstroGrep.exe" /spath="%USERPROFILE%\AppData\Local\Temp\OnboardLogs" /stypes="app*4009*20161116*" /stext=" 12:.+((SYSTEM_STATE.+slice.+state.+changed )|(ment ac)|(system.+state.+changed )|(\[timeout)|(PRM\|1\|D)|(kpr)|(kdp)|(\|lc)|(penalty))" /e /r /s</v>
      </c>
      <c r="AG15" s="1" t="str">
        <f t="shared" si="13"/>
        <v>EC</v>
      </c>
      <c r="AH15" s="92" t="str">
        <f t="shared" si="14"/>
        <v>"%USERPROFILE%\Documents\GitHub\eaglep3\Utilities\RefineRTDCRunTimes.py" --tripid 105-16 --locoid 4009 --swversion DE.1.0.8.0 --startMP 204:648 --initTime 2016-11-16T03:52:31 --startdatetime 2016-11-16T04:18:28 --delay 1 --endMP 204:233393 --enddatetime 2016-11-16T05:01:31 --enforcementcount 0 &gt;&gt;C:\Users\stu\Documents\GitHub\eaglep3-reporting\EC\2016-11-16-refined-times.txt</v>
      </c>
      <c r="AI15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{"issue":{"subject":"","project_id":79,"tracker_id":40,"status_id":1,"priority_id":2,"assigned_to_id":23,"start_date":"2016-11-16","description":"","custom_fields":[{"id":1,"name":"Subdivision","value":"EC"},{"id":4,"name":"Milepost","value":"23.3393"},{"id":17,"name":"Train ID","value":"105-16"},{"id":16,"name":"Locomotive ID","value":"4009"},{"id":130,"name":"Impact","value":""},{"id":150,"name":"Time of Event (Mountain Time)","value":"05:01:31"},{"id":151,"name":"Denver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404</v>
      </c>
      <c r="B16" s="7">
        <v>4008</v>
      </c>
      <c r="C16" s="22" t="s">
        <v>222</v>
      </c>
      <c r="D16" s="22" t="s">
        <v>638</v>
      </c>
      <c r="E16" s="13">
        <v>42690.215601851851</v>
      </c>
      <c r="F16" s="13">
        <v>42690.218124999999</v>
      </c>
      <c r="G16" s="7">
        <v>1</v>
      </c>
      <c r="H16" s="22" t="s">
        <v>639</v>
      </c>
      <c r="I16" s="13">
        <v>42690.244571759256</v>
      </c>
      <c r="J16" s="7">
        <v>0</v>
      </c>
      <c r="K16" s="109" t="str">
        <f t="shared" si="0"/>
        <v>4007/4008</v>
      </c>
      <c r="L16" s="22" t="str">
        <f>VLOOKUP(A16,'Trips&amp;Operators'!$C$1:$E$10000,3,FALSE)</f>
        <v>SAFIEF</v>
      </c>
      <c r="M16" s="6">
        <f t="shared" si="1"/>
        <v>2.6446759256941732E-2</v>
      </c>
      <c r="N16" s="7">
        <f t="shared" si="2"/>
        <v>38.083333329996094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04:10:28-700',mode:absolute,to:'2016-11-16 06:52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" s="52" t="str">
        <f t="shared" si="6"/>
        <v>N</v>
      </c>
      <c r="X16" s="177">
        <f t="shared" si="16"/>
        <v>1</v>
      </c>
      <c r="Y16" s="67">
        <f t="shared" si="7"/>
        <v>23.273700000000002</v>
      </c>
      <c r="Z16" s="67">
        <f t="shared" si="8"/>
        <v>1.14E-2</v>
      </c>
      <c r="AA16" s="67">
        <f t="shared" si="9"/>
        <v>23.262300000000003</v>
      </c>
      <c r="AB16" s="64" t="str">
        <f>VLOOKUP(A16,Enforcements!$C$7:$K$20,8,0)</f>
        <v>Form based authority (4)</v>
      </c>
      <c r="AC16" s="60" t="str">
        <f>VLOOKUP(A16,Enforcements!$C$7:$E$20,3,0)</f>
        <v>TRACK WARRANT AUTHORITY</v>
      </c>
      <c r="AD16" s="61" t="str">
        <f t="shared" si="10"/>
        <v>0106-16</v>
      </c>
      <c r="AE16" s="91" t="str">
        <f t="shared" si="11"/>
        <v>aws s3 cp s3://rtdc.mdm.uploadarchive.raw/RTDC4008/ "%USERPROFILE%\AppData\Local\Temp\OnboardLogs"\RTDC4008\2016-11-16 --exclude "*" --recursive --include "*20161116*" &amp; "%USERPROFILE%\Documents\GitHub\mrs-test-scripts\Headless Mode &amp; Sideloading\WalkAndUnGZ.bat" "%USERPROFILE%\AppData\Local\Temp\OnboardLogs"\RTDC4008\2016-11-16 &amp; aws s3 cp s3://rtdc.mdm.uploadarchive.raw/RTDC4008/ "%USERPROFILE%\AppData\Local\Temp\OnboardLogs"\RTDC4008\2016-11-17 --exclude "*" --recursive --include "*20161117*" &amp; "%USERPROFILE%\Documents\GitHub\mrs-test-scripts\Headless Mode &amp; Sideloading\WalkAndUnGZ.bat" "%USERPROFILE%\AppData\Local\Temp\OnboardLogs"\RTDC4008\2016-11-17</v>
      </c>
      <c r="AF16" s="88" t="str">
        <f t="shared" si="12"/>
        <v>"C:\Program Files (x86)\AstroGrep\AstroGrep.exe" /spath="%USERPROFILE%\AppData\Local\Temp\OnboardLogs" /stypes="app*4008*20161116*" /stext=" 12:.+((SYSTEM_STATE.+slice.+state.+changed )|(ment ac)|(system.+state.+changed )|(\[timeout)|(PRM\|1\|D)|(kpr)|(kdp)|(\|lc)|(penalty))" /e /r /s</v>
      </c>
      <c r="AG16" s="1" t="str">
        <f t="shared" si="13"/>
        <v>EC</v>
      </c>
      <c r="AH16" s="92" t="str">
        <f t="shared" si="14"/>
        <v>"%USERPROFILE%\Documents\GitHub\eaglep3\Utilities\RefineRTDCRunTimes.py" --tripid 106-16 --locoid 4008 --swversion DE.1.0.8.0 --startMP 204:232737 --initTime 2016-11-16T05:10:28 --startdatetime 2016-11-16T05:14:06 --delay 1 --endMP 204:114 --enddatetime 2016-11-16T05:52:11 --enforcementcount 0 &gt;&gt;C:\Users\stu\Documents\GitHub\eaglep3-reporting\EC\2016-11-16-refined-times.txt</v>
      </c>
      <c r="AI16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{"issue":{"subject":"","project_id":79,"tracker_id":40,"status_id":1,"priority_id":2,"assigned_to_id":23,"start_date":"2016-11-16","description":"","custom_fields":[{"id":1,"name":"Subdivision","value":"EC"},{"id":4,"name":"Milepost","value":"0.0114"},{"id":17,"name":"Train ID","value":"106-16"},{"id":16,"name":"Locomotive ID","value":"4008"},{"id":130,"name":"Impact","value":""},{"id":150,"name":"Time of Event (Mountain Time)","value":"05:52:11"},{"id":151,"name":"Denver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464</v>
      </c>
      <c r="B17" s="7">
        <v>4022</v>
      </c>
      <c r="C17" s="22" t="s">
        <v>222</v>
      </c>
      <c r="D17" s="22" t="s">
        <v>640</v>
      </c>
      <c r="E17" s="13">
        <v>42690.175636574073</v>
      </c>
      <c r="F17" s="13">
        <v>42690.196875000001</v>
      </c>
      <c r="G17" s="7">
        <v>6</v>
      </c>
      <c r="H17" s="22" t="s">
        <v>360</v>
      </c>
      <c r="I17" s="13">
        <v>42690.231840277775</v>
      </c>
      <c r="J17" s="7">
        <v>0</v>
      </c>
      <c r="K17" s="109" t="str">
        <f t="shared" si="0"/>
        <v>4021/4022</v>
      </c>
      <c r="L17" s="22" t="str">
        <f>VLOOKUP(A17,'Trips&amp;Operators'!$C$1:$E$10000,3,FALSE)</f>
        <v>STRICKLAND</v>
      </c>
      <c r="M17" s="6">
        <f t="shared" si="1"/>
        <v>3.4965277773153502E-2</v>
      </c>
      <c r="N17" s="7">
        <f t="shared" si="2"/>
        <v>50.349999993341044</v>
      </c>
      <c r="O17" s="7"/>
      <c r="P17" s="7"/>
      <c r="Q17" s="23"/>
      <c r="R17" s="23" t="s">
        <v>806</v>
      </c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03:12:55-700',mode:absolute,to:'2016-11-16 06:33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" s="52" t="str">
        <f t="shared" si="6"/>
        <v>N</v>
      </c>
      <c r="X17" s="177">
        <f t="shared" si="16"/>
        <v>1</v>
      </c>
      <c r="Y17" s="67">
        <f t="shared" si="7"/>
        <v>8.6499999999999994E-2</v>
      </c>
      <c r="Z17" s="67">
        <f t="shared" si="8"/>
        <v>23.3309</v>
      </c>
      <c r="AA17" s="67">
        <f t="shared" si="9"/>
        <v>23.244399999999999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0"/>
        <v>0107-16</v>
      </c>
      <c r="AE17" s="91" t="str">
        <f t="shared" si="11"/>
        <v>aws s3 cp s3://rtdc.mdm.uploadarchive.raw/RTDC4022/ "%USERPROFILE%\AppData\Local\Temp\OnboardLogs"\RTDC4022\2016-11-16 --exclude "*" --recursive --include "*20161116*" &amp; "%USERPROFILE%\Documents\GitHub\mrs-test-scripts\Headless Mode &amp; Sideloading\WalkAndUnGZ.bat" "%USERPROFILE%\AppData\Local\Temp\OnboardLogs"\RTDC4022\2016-11-16 &amp; aws s3 cp s3://rtdc.mdm.uploadarchive.raw/RTDC4022/ "%USERPROFILE%\AppData\Local\Temp\OnboardLogs"\RTDC4022\2016-11-17 --exclude "*" --recursive --include "*20161117*" &amp; "%USERPROFILE%\Documents\GitHub\mrs-test-scripts\Headless Mode &amp; Sideloading\WalkAndUnGZ.bat" "%USERPROFILE%\AppData\Local\Temp\OnboardLogs"\RTDC4022\2016-11-17</v>
      </c>
      <c r="AF17" s="88" t="str">
        <f t="shared" si="12"/>
        <v>"C:\Program Files (x86)\AstroGrep\AstroGrep.exe" /spath="%USERPROFILE%\AppData\Local\Temp\OnboardLogs" /stypes="app*4022*20161116*" /stext=" 12:.+((SYSTEM_STATE.+slice.+state.+changed )|(ment ac)|(system.+state.+changed )|(\[timeout)|(PRM\|1\|D)|(kpr)|(kdp)|(\|lc)|(penalty))" /e /r /s</v>
      </c>
      <c r="AG17" s="1" t="str">
        <f t="shared" si="13"/>
        <v>EC</v>
      </c>
      <c r="AH17" s="92" t="str">
        <f t="shared" si="14"/>
        <v>"%USERPROFILE%\Documents\GitHub\eaglep3\Utilities\RefineRTDCRunTimes.py" --tripid 107-16 --locoid 4022 --swversion DE.1.0.8.0 --startMP 204:865 --initTime 2016-11-16T04:12:55 --startdatetime 2016-11-16T04:43:30 --delay 6 --endMP 204:233309 --enddatetime 2016-11-16T05:33:51 --enforcementcount 0 &gt;&gt;C:\Users\stu\Documents\GitHub\eaglep3-reporting\EC\2016-11-16-refined-times.txt</v>
      </c>
      <c r="AI17" s="119" t="str">
        <f t="shared" si="15"/>
        <v>echo {"issue":{"subject":"Delayed by 4 Form C's","project_id":79,"tracker_id":40,"status_id":1,"priority_id":2,"assigned_to_id":23,"start_date":"2016-11-16","description":"","custom_fields":[{"id":1,"name":"Subdivision","value":"EC"},{"id":4,"name":"Milepost","value":"23.3309"},{"id":17,"name":"Train ID","value":"107-16"},{"id":16,"name":"Locomotive ID","value":"4022"},{"id":130,"name":"Impact","value":""},{"id":150,"name":"Time of Event (Mountain Time)","value":"05:33:51"},{"id":151,"name":"Denver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402</v>
      </c>
      <c r="B18" s="7">
        <v>4013</v>
      </c>
      <c r="C18" s="22" t="s">
        <v>222</v>
      </c>
      <c r="D18" s="22" t="s">
        <v>641</v>
      </c>
      <c r="E18" s="13">
        <v>42690.235972222225</v>
      </c>
      <c r="F18" s="13">
        <v>42690.237569444442</v>
      </c>
      <c r="G18" s="7">
        <v>1</v>
      </c>
      <c r="H18" s="22" t="s">
        <v>226</v>
      </c>
      <c r="I18" s="13">
        <v>42690.265798611108</v>
      </c>
      <c r="J18" s="7">
        <v>0</v>
      </c>
      <c r="K18" s="109" t="str">
        <f t="shared" si="0"/>
        <v>4013/4014</v>
      </c>
      <c r="L18" s="22" t="str">
        <f>VLOOKUP(A18,'Trips&amp;Operators'!$C$1:$E$10000,3,FALSE)</f>
        <v>STRICKLAND</v>
      </c>
      <c r="M18" s="6">
        <f t="shared" si="1"/>
        <v>2.8229166666278616E-2</v>
      </c>
      <c r="N18" s="7">
        <f t="shared" si="2"/>
        <v>40.649999999441206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04:39:48-700',mode:absolute,to:'2016-11-16 07:22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" s="52" t="str">
        <f t="shared" si="6"/>
        <v>N</v>
      </c>
      <c r="X18" s="177">
        <f t="shared" si="16"/>
        <v>1</v>
      </c>
      <c r="Y18" s="67">
        <f t="shared" si="7"/>
        <v>23.2654</v>
      </c>
      <c r="Z18" s="67">
        <f t="shared" si="8"/>
        <v>1.5800000000000002E-2</v>
      </c>
      <c r="AA18" s="67">
        <f t="shared" si="9"/>
        <v>23.249600000000001</v>
      </c>
      <c r="AB18" s="64" t="str">
        <f>VLOOKUP(A18,Enforcements!$C$7:$K$20,8,0)</f>
        <v>Speed (6)</v>
      </c>
      <c r="AC18" s="60" t="str">
        <f>VLOOKUP(A18,Enforcements!$C$7:$E$20,3,0)</f>
        <v>PERMANENT SPEED RESTRICTION</v>
      </c>
      <c r="AD18" s="61" t="str">
        <f t="shared" si="10"/>
        <v>0108-16</v>
      </c>
      <c r="AE18" s="91" t="str">
        <f t="shared" si="11"/>
        <v>aws s3 cp s3://rtdc.mdm.uploadarchive.raw/RTDC4013/ "%USERPROFILE%\AppData\Local\Temp\OnboardLogs"\RTDC4013\2016-11-16 --exclude "*" --recursive --include "*20161116*" &amp; "%USERPROFILE%\Documents\GitHub\mrs-test-scripts\Headless Mode &amp; Sideloading\WalkAndUnGZ.bat" "%USERPROFILE%\AppData\Local\Temp\OnboardLogs"\RTDC4013\2016-11-16 &amp; 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</v>
      </c>
      <c r="AF18" s="88" t="str">
        <f t="shared" si="12"/>
        <v>"C:\Program Files (x86)\AstroGrep\AstroGrep.exe" /spath="%USERPROFILE%\AppData\Local\Temp\OnboardLogs" /stypes="app*4013*20161116*" /stext=" 13:.+((SYSTEM_STATE.+slice.+state.+changed )|(ment ac)|(system.+state.+changed )|(\[timeout)|(PRM\|1\|D)|(kpr)|(kdp)|(\|lc)|(penalty))" /e /r /s</v>
      </c>
      <c r="AG18" s="1" t="str">
        <f t="shared" si="13"/>
        <v>EC</v>
      </c>
      <c r="AH18" s="92" t="str">
        <f t="shared" si="14"/>
        <v>"%USERPROFILE%\Documents\GitHub\eaglep3\Utilities\RefineRTDCRunTimes.py" --tripid 108-16 --locoid 4013 --swversion DE.1.0.8.0 --startMP 204:232654 --initTime 2016-11-16T05:39:48 --startdatetime 2016-11-16T05:42:06 --delay 1 --endMP 204:158 --enddatetime 2016-11-16T06:22:45 --enforcementcount 0 &gt;&gt;C:\Users\stu\Documents\GitHub\eaglep3-reporting\EC\2016-11-16-refined-times.txt</v>
      </c>
      <c r="AI18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{"issue":{"subject":"","project_id":79,"tracker_id":40,"status_id":1,"priority_id":2,"assigned_to_id":23,"start_date":"2016-11-16","description":"","custom_fields":[{"id":1,"name":"Subdivision","value":"EC"},{"id":4,"name":"Milepost","value":"0.0158"},{"id":17,"name":"Train ID","value":"108-16"},{"id":16,"name":"Locomotive ID","value":"4013"},{"id":130,"name":"Impact","value":""},{"id":150,"name":"Time of Event (Mountain Time)","value":"06:22:45"},{"id":151,"name":"Denver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465</v>
      </c>
      <c r="B19" s="7">
        <v>4016</v>
      </c>
      <c r="C19" s="22" t="s">
        <v>222</v>
      </c>
      <c r="D19" s="22" t="s">
        <v>232</v>
      </c>
      <c r="E19" s="13">
        <v>42690.204976851855</v>
      </c>
      <c r="F19" s="13">
        <v>42690.206990740742</v>
      </c>
      <c r="G19" s="7">
        <v>1</v>
      </c>
      <c r="H19" s="22" t="s">
        <v>307</v>
      </c>
      <c r="I19" s="13">
        <v>42690.233460648145</v>
      </c>
      <c r="J19" s="7">
        <v>0</v>
      </c>
      <c r="K19" s="109" t="str">
        <f t="shared" si="0"/>
        <v>4015/4016</v>
      </c>
      <c r="L19" s="22" t="str">
        <f>VLOOKUP(A19,'Trips&amp;Operators'!$C$1:$E$10000,3,FALSE)</f>
        <v>SPECTOR</v>
      </c>
      <c r="M19" s="6">
        <f t="shared" si="1"/>
        <v>2.6469907403225079E-2</v>
      </c>
      <c r="N19" s="7">
        <f t="shared" si="2"/>
        <v>38.116666660644114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03:55:10-700',mode:absolute,to:'2016-11-16 06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" s="52" t="str">
        <f t="shared" si="6"/>
        <v>N</v>
      </c>
      <c r="X19" s="177">
        <f t="shared" ref="X19:X20" si="17">VALUE(LEFT(AD19,4))-VALUE(LEFT(AD18,4))</f>
        <v>1</v>
      </c>
      <c r="Y19" s="67">
        <f t="shared" si="7"/>
        <v>4.6899999999999997E-2</v>
      </c>
      <c r="Z19" s="67">
        <f t="shared" si="8"/>
        <v>23.3308</v>
      </c>
      <c r="AA19" s="67">
        <f t="shared" si="9"/>
        <v>23.283899999999999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10"/>
        <v>0109-16</v>
      </c>
      <c r="AE19" s="91" t="str">
        <f t="shared" si="11"/>
        <v>aws s3 cp s3://rtdc.mdm.uploadarchive.raw/RTDC4016/ "%USERPROFILE%\AppData\Local\Temp\OnboardLogs"\RTDC4016\2016-11-16 --exclude "*" --recursive --include "*20161116*" &amp; "%USERPROFILE%\Documents\GitHub\mrs-test-scripts\Headless Mode &amp; Sideloading\WalkAndUnGZ.bat" "%USERPROFILE%\AppData\Local\Temp\OnboardLogs"\RTDC4016\2016-11-16 &amp; aws s3 cp s3://rtdc.mdm.uploadarchive.raw/RTDC4016/ "%USERPROFILE%\AppData\Local\Temp\OnboardLogs"\RTDC4016\2016-11-17 --exclude "*" --recursive --include "*20161117*" &amp; "%USERPROFILE%\Documents\GitHub\mrs-test-scripts\Headless Mode &amp; Sideloading\WalkAndUnGZ.bat" "%USERPROFILE%\AppData\Local\Temp\OnboardLogs"\RTDC4016\2016-11-17</v>
      </c>
      <c r="AF19" s="88" t="str">
        <f t="shared" si="12"/>
        <v>"C:\Program Files (x86)\AstroGrep\AstroGrep.exe" /spath="%USERPROFILE%\AppData\Local\Temp\OnboardLogs" /stypes="app*4016*20161116*" /stext=" 12:.+((SYSTEM_STATE.+slice.+state.+changed )|(ment ac)|(system.+state.+changed )|(\[timeout)|(PRM\|1\|D)|(kpr)|(kdp)|(\|lc)|(penalty))" /e /r /s</v>
      </c>
      <c r="AG19" s="1" t="str">
        <f t="shared" si="13"/>
        <v>EC</v>
      </c>
      <c r="AH19" s="92" t="str">
        <f t="shared" si="14"/>
        <v>"%USERPROFILE%\Documents\GitHub\eaglep3\Utilities\RefineRTDCRunTimes.py" --tripid 109-16 --locoid 4016 --swversion DE.1.0.8.0 --startMP 204:469 --initTime 2016-11-16T04:55:10 --startdatetime 2016-11-16T04:58:04 --delay 1 --endMP 204:233308 --enddatetime 2016-11-16T05:36:11 --enforcementcount 0 &gt;&gt;C:\Users\stu\Documents\GitHub\eaglep3-reporting\EC\2016-11-16-refined-times.txt</v>
      </c>
      <c r="AI19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{"issue":{"subject":"","project_id":79,"tracker_id":40,"status_id":1,"priority_id":2,"assigned_to_id":23,"start_date":"2016-11-16","description":"","custom_fields":[{"id":1,"name":"Subdivision","value":"EC"},{"id":4,"name":"Milepost","value":"23.3308"},{"id":17,"name":"Train ID","value":"109-16"},{"id":16,"name":"Locomotive ID","value":"4016"},{"id":130,"name":"Impact","value":""},{"id":150,"name":"Time of Event (Mountain Time)","value":"05:36:11"},{"id":151,"name":"Denver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405</v>
      </c>
      <c r="B20" s="7">
        <v>4015</v>
      </c>
      <c r="C20" s="22" t="s">
        <v>222</v>
      </c>
      <c r="D20" s="22" t="s">
        <v>642</v>
      </c>
      <c r="E20" s="13">
        <v>42690.238958333335</v>
      </c>
      <c r="F20" s="13">
        <v>42690.243020833332</v>
      </c>
      <c r="G20" s="7">
        <v>1</v>
      </c>
      <c r="H20" s="22" t="s">
        <v>324</v>
      </c>
      <c r="I20" s="13">
        <v>42690.273217592592</v>
      </c>
      <c r="J20" s="7">
        <v>0</v>
      </c>
      <c r="K20" s="109" t="str">
        <f t="shared" si="0"/>
        <v>4015/4016</v>
      </c>
      <c r="L20" s="22" t="str">
        <f>VLOOKUP(A20,'Trips&amp;Operators'!$C$1:$E$10000,3,FALSE)</f>
        <v>SPECTOR</v>
      </c>
      <c r="M20" s="6">
        <f t="shared" si="1"/>
        <v>3.0196759260434192E-2</v>
      </c>
      <c r="N20" s="7">
        <f t="shared" si="2"/>
        <v>43.483333335025236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04:44:06-700',mode:absolute,to:'2016-11-16 07:33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0" s="52" t="str">
        <f t="shared" si="6"/>
        <v>N</v>
      </c>
      <c r="X20" s="177">
        <f t="shared" si="17"/>
        <v>1</v>
      </c>
      <c r="Y20" s="67">
        <f t="shared" si="7"/>
        <v>23.299600000000002</v>
      </c>
      <c r="Z20" s="67">
        <f t="shared" si="8"/>
        <v>1.78E-2</v>
      </c>
      <c r="AA20" s="67">
        <f t="shared" si="9"/>
        <v>23.2818</v>
      </c>
      <c r="AB20" s="64" t="str">
        <f>VLOOKUP(A20,Enforcements!$C$7:$K$20,8,0)</f>
        <v>Form based authority (4)</v>
      </c>
      <c r="AC20" s="60" t="str">
        <f>VLOOKUP(A20,Enforcements!$C$7:$E$20,3,0)</f>
        <v>TRACK WARRANT AUTHORITY</v>
      </c>
      <c r="AD20" s="61" t="str">
        <f t="shared" si="10"/>
        <v>0110-16</v>
      </c>
      <c r="AE20" s="91" t="str">
        <f t="shared" si="11"/>
        <v>aws s3 cp s3://rtdc.mdm.uploadarchive.raw/RTDC4015/ "%USERPROFILE%\AppData\Local\Temp\OnboardLogs"\RTDC4015\2016-11-16 --exclude "*" --recursive --include "*20161116*" &amp; "%USERPROFILE%\Documents\GitHub\mrs-test-scripts\Headless Mode &amp; Sideloading\WalkAndUnGZ.bat" "%USERPROFILE%\AppData\Local\Temp\OnboardLogs"\RTDC4015\2016-11-16 &amp; aws s3 cp s3://rtdc.mdm.uploadarchive.raw/RTDC4015/ "%USERPROFILE%\AppData\Local\Temp\OnboardLogs"\RTDC4015\2016-11-17 --exclude "*" --recursive --include "*20161117*" &amp; "%USERPROFILE%\Documents\GitHub\mrs-test-scripts\Headless Mode &amp; Sideloading\WalkAndUnGZ.bat" "%USERPROFILE%\AppData\Local\Temp\OnboardLogs"\RTDC4015\2016-11-17</v>
      </c>
      <c r="AF20" s="88" t="str">
        <f t="shared" si="12"/>
        <v>"C:\Program Files (x86)\AstroGrep\AstroGrep.exe" /spath="%USERPROFILE%\AppData\Local\Temp\OnboardLogs" /stypes="app*4015*20161116*" /stext=" 13:.+((SYSTEM_STATE.+slice.+state.+changed )|(ment ac)|(system.+state.+changed )|(\[timeout)|(PRM\|1\|D)|(kpr)|(kdp)|(\|lc)|(penalty))" /e /r /s</v>
      </c>
      <c r="AG20" s="1" t="str">
        <f t="shared" si="13"/>
        <v>EC</v>
      </c>
      <c r="AH20" s="92" t="str">
        <f t="shared" si="14"/>
        <v>"%USERPROFILE%\Documents\GitHub\eaglep3\Utilities\RefineRTDCRunTimes.py" --tripid 110-16 --locoid 4015 --swversion DE.1.0.8.0 --startMP 204:232996 --initTime 2016-11-16T05:44:06 --startdatetime 2016-11-16T05:49:57 --delay 1 --endMP 204:178 --enddatetime 2016-11-16T06:33:26 --enforcementcount 0 &gt;&gt;C:\Users\stu\Documents\GitHub\eaglep3-reporting\EC\2016-11-16-refined-times.txt</v>
      </c>
      <c r="AI20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{"issue":{"subject":"","project_id":79,"tracker_id":40,"status_id":1,"priority_id":2,"assigned_to_id":23,"start_date":"2016-11-16","description":"","custom_fields":[{"id":1,"name":"Subdivision","value":"EC"},{"id":4,"name":"Milepost","value":"0.0178"},{"id":17,"name":"Train ID","value":"110-16"},{"id":16,"name":"Locomotive ID","value":"4015"},{"id":130,"name":"Impact","value":""},{"id":150,"name":"Time of Event (Mountain Time)","value":"06:33:26"},{"id":151,"name":"Denver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467</v>
      </c>
      <c r="B21" s="7">
        <v>4044</v>
      </c>
      <c r="C21" s="22" t="s">
        <v>222</v>
      </c>
      <c r="D21" s="22" t="s">
        <v>201</v>
      </c>
      <c r="E21" s="13">
        <v>42690.20207175926</v>
      </c>
      <c r="F21" s="13">
        <v>42690.214895833335</v>
      </c>
      <c r="G21" s="7">
        <v>8</v>
      </c>
      <c r="H21" s="22" t="s">
        <v>643</v>
      </c>
      <c r="I21" s="13">
        <v>42690.242835648147</v>
      </c>
      <c r="J21" s="7">
        <v>0</v>
      </c>
      <c r="K21" s="109" t="str">
        <f t="shared" si="0"/>
        <v>4043/4044</v>
      </c>
      <c r="L21" s="22" t="str">
        <f>VLOOKUP(A21,'Trips&amp;Operators'!$C$1:$E$10000,3,FALSE)</f>
        <v>ROBINSON</v>
      </c>
      <c r="M21" s="6">
        <f t="shared" si="1"/>
        <v>2.7939814812270924E-2</v>
      </c>
      <c r="N21" s="7">
        <f t="shared" si="2"/>
        <v>40.233333329670131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03:50:59-700',mode:absolute,to:'2016-11-16 06:49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" s="52" t="str">
        <f t="shared" si="6"/>
        <v>N</v>
      </c>
      <c r="X21" s="177">
        <f>VALUE(LEFT(AD21,4))-VALUE(LEFT(AD20,4))</f>
        <v>1</v>
      </c>
      <c r="Y21" s="67">
        <f t="shared" si="7"/>
        <v>4.5999999999999999E-2</v>
      </c>
      <c r="Z21" s="67">
        <f t="shared" si="8"/>
        <v>23.3245</v>
      </c>
      <c r="AA21" s="67">
        <f t="shared" si="9"/>
        <v>23.278500000000001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0"/>
        <v>0111-16</v>
      </c>
      <c r="AE21" s="91" t="str">
        <f t="shared" si="11"/>
        <v>aws s3 cp s3://rtdc.mdm.uploadarchive.raw/RTDC4044/ "%USERPROFILE%\AppData\Local\Temp\OnboardLogs"\RTDC4044\2016-11-16 --exclude "*" --recursive --include "*20161116*" &amp; "%USERPROFILE%\Documents\GitHub\mrs-test-scripts\Headless Mode &amp; Sideloading\WalkAndUnGZ.bat" "%USERPROFILE%\AppData\Local\Temp\OnboardLogs"\RTDC4044\2016-11-16 &amp; aws s3 cp s3://rtdc.mdm.uploadarchive.raw/RTDC4044/ "%USERPROFILE%\AppData\Local\Temp\OnboardLogs"\RTDC4044\2016-11-17 --exclude "*" --recursive --include "*20161117*" &amp; "%USERPROFILE%\Documents\GitHub\mrs-test-scripts\Headless Mode &amp; Sideloading\WalkAndUnGZ.bat" "%USERPROFILE%\AppData\Local\Temp\OnboardLogs"\RTDC4044\2016-11-17</v>
      </c>
      <c r="AF21" s="88" t="str">
        <f t="shared" si="12"/>
        <v>"C:\Program Files (x86)\AstroGrep\AstroGrep.exe" /spath="%USERPROFILE%\AppData\Local\Temp\OnboardLogs" /stypes="app*4044*20161116*" /stext=" 12:.+((SYSTEM_STATE.+slice.+state.+changed )|(ment ac)|(system.+state.+changed )|(\[timeout)|(PRM\|1\|D)|(kpr)|(kdp)|(\|lc)|(penalty))" /e /r /s</v>
      </c>
      <c r="AG21" s="1" t="str">
        <f t="shared" si="13"/>
        <v>EC</v>
      </c>
      <c r="AH21" s="92" t="str">
        <f t="shared" si="14"/>
        <v>"%USERPROFILE%\Documents\GitHub\eaglep3\Utilities\RefineRTDCRunTimes.py" --tripid 111-16 --locoid 4044 --swversion DE.1.0.8.0 --startMP 204:460 --initTime 2016-11-16T04:50:59 --startdatetime 2016-11-16T05:09:27 --delay 8 --endMP 204:233245 --enddatetime 2016-11-16T05:49:41 --enforcementcount 0 &gt;&gt;C:\Users\stu\Documents\GitHub\eaglep3-reporting\EC\2016-11-16-refined-times.txt</v>
      </c>
      <c r="AI21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{"issue":{"subject":"","project_id":79,"tracker_id":40,"status_id":1,"priority_id":2,"assigned_to_id":23,"start_date":"2016-11-16","description":"","custom_fields":[{"id":1,"name":"Subdivision","value":"EC"},{"id":4,"name":"Milepost","value":"23.3245"},{"id":17,"name":"Train ID","value":"111-16"},{"id":16,"name":"Locomotive ID","value":"4044"},{"id":130,"name":"Impact","value":""},{"id":150,"name":"Time of Event (Mountain Time)","value":"05:49:41"},{"id":151,"name":"Denver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472</v>
      </c>
      <c r="B22" s="7">
        <v>4043</v>
      </c>
      <c r="C22" s="22" t="s">
        <v>222</v>
      </c>
      <c r="D22" s="22" t="s">
        <v>644</v>
      </c>
      <c r="E22" s="13">
        <v>42690.245578703703</v>
      </c>
      <c r="F22" s="13">
        <v>42690.248761574076</v>
      </c>
      <c r="G22" s="7">
        <v>3</v>
      </c>
      <c r="H22" s="22" t="s">
        <v>645</v>
      </c>
      <c r="I22" s="13">
        <v>42690.276759259257</v>
      </c>
      <c r="J22" s="7">
        <v>0</v>
      </c>
      <c r="K22" s="109" t="str">
        <f t="shared" si="0"/>
        <v>4043/4044</v>
      </c>
      <c r="L22" s="22" t="str">
        <f>VLOOKUP(A22,'Trips&amp;Operators'!$C$1:$E$10000,3,FALSE)</f>
        <v>ROBINSON</v>
      </c>
      <c r="M22" s="6">
        <f t="shared" si="1"/>
        <v>2.7997685181617271E-2</v>
      </c>
      <c r="N22" s="7">
        <f t="shared" si="2"/>
        <v>40.31666666152887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04:53:38-700',mode:absolute,to:'2016-11-16 07:38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" s="52" t="str">
        <f t="shared" si="6"/>
        <v>N</v>
      </c>
      <c r="X22" s="177">
        <f>VALUE(LEFT(AD22,4))-VALUE(LEFT(AD21,4))</f>
        <v>1</v>
      </c>
      <c r="Y22" s="67">
        <f t="shared" si="7"/>
        <v>23.292999999999999</v>
      </c>
      <c r="Z22" s="67">
        <f t="shared" si="8"/>
        <v>4.8800000000000003E-2</v>
      </c>
      <c r="AA22" s="67">
        <f t="shared" si="9"/>
        <v>23.244199999999999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10"/>
        <v>0112-16</v>
      </c>
      <c r="AE22" s="91" t="str">
        <f t="shared" si="11"/>
        <v>aws s3 cp s3://rtdc.mdm.uploadarchive.raw/RTDC4043/ "%USERPROFILE%\AppData\Local\Temp\OnboardLogs"\RTDC4043\2016-11-16 --exclude "*" --recursive --include "*20161116*" &amp; "%USERPROFILE%\Documents\GitHub\mrs-test-scripts\Headless Mode &amp; Sideloading\WalkAndUnGZ.bat" "%USERPROFILE%\AppData\Local\Temp\OnboardLogs"\RTDC4043\2016-11-16 &amp; aws s3 cp s3://rtdc.mdm.uploadarchive.raw/RTDC4043/ "%USERPROFILE%\AppData\Local\Temp\OnboardLogs"\RTDC4043\2016-11-17 --exclude "*" --recursive --include "*20161117*" &amp; "%USERPROFILE%\Documents\GitHub\mrs-test-scripts\Headless Mode &amp; Sideloading\WalkAndUnGZ.bat" "%USERPROFILE%\AppData\Local\Temp\OnboardLogs"\RTDC4043\2016-11-17</v>
      </c>
      <c r="AF22" s="88" t="str">
        <f t="shared" si="12"/>
        <v>"C:\Program Files (x86)\AstroGrep\AstroGrep.exe" /spath="%USERPROFILE%\AppData\Local\Temp\OnboardLogs" /stypes="app*4043*20161116*" /stext=" 13:.+((SYSTEM_STATE.+slice.+state.+changed )|(ment ac)|(system.+state.+changed )|(\[timeout)|(PRM\|1\|D)|(kpr)|(kdp)|(\|lc)|(penalty))" /e /r /s</v>
      </c>
      <c r="AG22" s="1" t="str">
        <f t="shared" si="13"/>
        <v>EC</v>
      </c>
      <c r="AH22" s="92" t="str">
        <f t="shared" si="14"/>
        <v>"%USERPROFILE%\Documents\GitHub\eaglep3\Utilities\RefineRTDCRunTimes.py" --tripid 112-16 --locoid 4043 --swversion DE.1.0.8.0 --startMP 204:232930 --initTime 2016-11-16T05:53:38 --startdatetime 2016-11-16T05:58:13 --delay 3 --endMP 204:488 --enddatetime 2016-11-16T06:38:32 --enforcementcount 0 &gt;&gt;C:\Users\stu\Documents\GitHub\eaglep3-reporting\EC\2016-11-16-refined-times.txt</v>
      </c>
      <c r="AI22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{"issue":{"subject":"","project_id":79,"tracker_id":40,"status_id":1,"priority_id":2,"assigned_to_id":23,"start_date":"2016-11-16","description":"","custom_fields":[{"id":1,"name":"Subdivision","value":"EC"},{"id":4,"name":"Milepost","value":"0.0488"},{"id":17,"name":"Train ID","value":"112-16"},{"id":16,"name":"Locomotive ID","value":"4043"},{"id":130,"name":"Impact","value":""},{"id":150,"name":"Time of Event (Mountain Time)","value":"06:38:32"},{"id":151,"name":"Denver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468</v>
      </c>
      <c r="B23" s="7">
        <v>4029</v>
      </c>
      <c r="C23" s="22" t="s">
        <v>222</v>
      </c>
      <c r="D23" s="22" t="s">
        <v>646</v>
      </c>
      <c r="E23" s="13">
        <v>42690.228321759256</v>
      </c>
      <c r="F23" s="13">
        <v>42690.22960648148</v>
      </c>
      <c r="G23" s="7">
        <v>1</v>
      </c>
      <c r="H23" s="22" t="s">
        <v>187</v>
      </c>
      <c r="I23" s="13">
        <v>42690.253750000003</v>
      </c>
      <c r="J23" s="7">
        <v>0</v>
      </c>
      <c r="K23" s="109" t="str">
        <f t="shared" ref="K23:K86" si="18">IF(ISEVEN(B23),(B23-1)&amp;"/"&amp;B23,B23&amp;"/"&amp;(B23+1))</f>
        <v>4029/4030</v>
      </c>
      <c r="L23" s="22" t="str">
        <f>VLOOKUP(A23,'Trips&amp;Operators'!$C$1:$E$10000,3,FALSE)</f>
        <v>MAGEE</v>
      </c>
      <c r="M23" s="6">
        <f t="shared" ref="M23:M86" si="19">I23-F23</f>
        <v>2.4143518523487728E-2</v>
      </c>
      <c r="N23" s="7">
        <f t="shared" ref="N23:N54" si="20">24*60*SUM($M23:$M23)</f>
        <v>34.766666673822328</v>
      </c>
      <c r="O23" s="7"/>
      <c r="P23" s="7"/>
      <c r="Q23" s="23"/>
      <c r="R23" s="23"/>
      <c r="S23" s="35">
        <f t="shared" ref="S23:S54" si="21">SUM(U23:U23)/IF(AG23="EC",12,1)</f>
        <v>1</v>
      </c>
      <c r="T23" s="50" t="str">
        <f t="shared" ref="T23:T86" si="22">IF(ISEVEN(LEFT(AD23,4)),"Southbound","NorthBound")</f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04:28:47-700',mode:absolute,to:'2016-11-16 07:05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3" s="52" t="str">
        <f t="shared" ref="W23:W86" si="23">IF(AA23&lt;IF(AG23="EC",23,5.65),"Y","N")</f>
        <v>N</v>
      </c>
      <c r="X23" s="177" t="e">
        <f>VALUE(LEFT(AD23,4))-VALUE(LEFT(#REF!,4))</f>
        <v>#REF!</v>
      </c>
      <c r="Y23" s="67">
        <f t="shared" ref="Y23:Y86" si="24">RIGHT(D23,LEN(D23)-4)/10000</f>
        <v>7.4099999999999999E-2</v>
      </c>
      <c r="Z23" s="67">
        <f t="shared" ref="Z23:Z86" si="25">RIGHT(H23,LEN(H23)-4)/10000</f>
        <v>23.329699999999999</v>
      </c>
      <c r="AA23" s="67">
        <f t="shared" ref="AA23:AA86" si="26">ABS(Z23-Y23)</f>
        <v>23.255599999999998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ref="AD23:AD86" si="27">IF(LEN(A23)=6,"0"&amp;A23,A23)</f>
        <v>0115-16</v>
      </c>
      <c r="AE23" s="91" t="str">
        <f t="shared" si="11"/>
        <v>aws s3 cp s3://rtdc.mdm.uploadarchive.raw/RTDC4029/ "%USERPROFILE%\AppData\Local\Temp\OnboardLogs"\RTDC4029\2016-11-16 --exclude "*" --recursive --include "*20161116*" &amp; "%USERPROFILE%\Documents\GitHub\mrs-test-scripts\Headless Mode &amp; Sideloading\WalkAndUnGZ.bat" "%USERPROFILE%\AppData\Local\Temp\OnboardLogs"\RTDC4029\2016-11-16 &amp; aws s3 cp s3://rtdc.mdm.uploadarchive.raw/RTDC4029/ "%USERPROFILE%\AppData\Local\Temp\OnboardLogs"\RTDC4029\2016-11-17 --exclude "*" --recursive --include "*20161117*" &amp; "%USERPROFILE%\Documents\GitHub\mrs-test-scripts\Headless Mode &amp; Sideloading\WalkAndUnGZ.bat" "%USERPROFILE%\AppData\Local\Temp\OnboardLogs"\RTDC4029\2016-11-17</v>
      </c>
      <c r="AF23" s="88" t="str">
        <f t="shared" si="12"/>
        <v>"C:\Program Files (x86)\AstroGrep\AstroGrep.exe" /spath="%USERPROFILE%\AppData\Local\Temp\OnboardLogs" /stypes="app*4029*20161116*" /stext=" 13:.+((SYSTEM_STATE.+slice.+state.+changed )|(ment ac)|(system.+state.+changed )|(\[timeout)|(PRM\|1\|D)|(kpr)|(kdp)|(\|lc)|(penalty))" /e /r /s</v>
      </c>
      <c r="AG23" s="1" t="str">
        <f t="shared" ref="AG23:AG86" si="28">IFERROR(IF(VALUE(LEFT(AD23,2))&lt;=2,"EC",IF(OR(VALUE(LEFT(AD23,2))=8,VALUE(LEFT(AD23,2))=18),"NW","Other")),"Other")</f>
        <v>EC</v>
      </c>
      <c r="AH23" s="92" t="str">
        <f t="shared" si="14"/>
        <v>"%USERPROFILE%\Documents\GitHub\eaglep3\Utilities\RefineRTDCRunTimes.py" --tripid 115-16 --locoid 4029 --swversion DE.1.0.8.0 --startMP 204:741 --initTime 2016-11-16T05:28:47 --startdatetime 2016-11-16T05:30:38 --delay 1 --endMP 204:233297 --enddatetime 2016-11-16T06:05:24 --enforcementcount 0 &gt;&gt;C:\Users\stu\Documents\GitHub\eaglep3-reporting\EC\2016-11-16-refined-times.txt</v>
      </c>
      <c r="AI23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{"issue":{"subject":"","project_id":79,"tracker_id":40,"status_id":1,"priority_id":2,"assigned_to_id":23,"start_date":"2016-11-16","description":"","custom_fields":[{"id":1,"name":"Subdivision","value":"EC"},{"id":4,"name":"Milepost","value":"23.3297"},{"id":17,"name":"Train ID","value":"115-16"},{"id":16,"name":"Locomotive ID","value":"4029"},{"id":130,"name":"Impact","value":""},{"id":150,"name":"Time of Event (Mountain Time)","value":"06:05:24"},{"id":151,"name":"Denver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478</v>
      </c>
      <c r="B24" s="7">
        <v>4030</v>
      </c>
      <c r="C24" s="22" t="s">
        <v>222</v>
      </c>
      <c r="D24" s="22" t="s">
        <v>306</v>
      </c>
      <c r="E24" s="13">
        <v>42690.265567129631</v>
      </c>
      <c r="F24" s="13">
        <v>42690.268310185187</v>
      </c>
      <c r="G24" s="7">
        <v>1</v>
      </c>
      <c r="H24" s="22" t="s">
        <v>235</v>
      </c>
      <c r="I24" s="13">
        <v>42690.294606481482</v>
      </c>
      <c r="J24" s="7">
        <v>0</v>
      </c>
      <c r="K24" s="109" t="str">
        <f t="shared" si="18"/>
        <v>4029/4030</v>
      </c>
      <c r="L24" s="22" t="str">
        <f>VLOOKUP(A24,'Trips&amp;Operators'!$C$1:$E$10000,3,FALSE)</f>
        <v>MAGEE</v>
      </c>
      <c r="M24" s="6">
        <f t="shared" si="19"/>
        <v>2.6296296295186039E-2</v>
      </c>
      <c r="N24" s="7">
        <f t="shared" si="20"/>
        <v>37.866666665067896</v>
      </c>
      <c r="O24" s="7"/>
      <c r="P24" s="7"/>
      <c r="Q24" s="23"/>
      <c r="R24" s="23"/>
      <c r="S24" s="35">
        <f t="shared" si="21"/>
        <v>1</v>
      </c>
      <c r="T24" s="50" t="str">
        <f t="shared" si="22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05:22:25-700',mode:absolute,to:'2016-11-16 08:04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4" s="52" t="str">
        <f t="shared" si="23"/>
        <v>N</v>
      </c>
      <c r="X24" s="177">
        <f t="shared" ref="X24:X26" si="29">VALUE(LEFT(AD24,4))-VALUE(LEFT(AD23,4))</f>
        <v>1</v>
      </c>
      <c r="Y24" s="67">
        <f t="shared" si="24"/>
        <v>23.297000000000001</v>
      </c>
      <c r="Z24" s="67">
        <f t="shared" si="25"/>
        <v>1.6E-2</v>
      </c>
      <c r="AA24" s="67">
        <f t="shared" si="26"/>
        <v>23.281000000000002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27"/>
        <v>0116-16</v>
      </c>
      <c r="AE24" s="91" t="str">
        <f t="shared" si="11"/>
        <v>aws s3 cp s3://rtdc.mdm.uploadarchive.raw/RTDC4030/ "%USERPROFILE%\AppData\Local\Temp\OnboardLogs"\RTDC4030\2016-11-16 --exclude "*" --recursive --include "*20161116*" &amp; "%USERPROFILE%\Documents\GitHub\mrs-test-scripts\Headless Mode &amp; Sideloading\WalkAndUnGZ.bat" "%USERPROFILE%\AppData\Local\Temp\OnboardLogs"\RTDC4030\2016-11-16 &amp; aws s3 cp s3://rtdc.mdm.uploadarchive.raw/RTDC4030/ "%USERPROFILE%\AppData\Local\Temp\OnboardLogs"\RTDC4030\2016-11-17 --exclude "*" --recursive --include "*20161117*" &amp; "%USERPROFILE%\Documents\GitHub\mrs-test-scripts\Headless Mode &amp; Sideloading\WalkAndUnGZ.bat" "%USERPROFILE%\AppData\Local\Temp\OnboardLogs"\RTDC4030\2016-11-17</v>
      </c>
      <c r="AF24" s="88" t="str">
        <f t="shared" si="12"/>
        <v>"C:\Program Files (x86)\AstroGrep\AstroGrep.exe" /spath="%USERPROFILE%\AppData\Local\Temp\OnboardLogs" /stypes="app*4030*20161116*" /stext=" 14:.+((SYSTEM_STATE.+slice.+state.+changed )|(ment ac)|(system.+state.+changed )|(\[timeout)|(PRM\|1\|D)|(kpr)|(kdp)|(\|lc)|(penalty))" /e /r /s</v>
      </c>
      <c r="AG24" s="1" t="str">
        <f t="shared" si="28"/>
        <v>EC</v>
      </c>
      <c r="AH24" s="92" t="str">
        <f t="shared" si="14"/>
        <v>"%USERPROFILE%\Documents\GitHub\eaglep3\Utilities\RefineRTDCRunTimes.py" --tripid 116-16 --locoid 4030 --swversion DE.1.0.8.0 --startMP 204:232970 --initTime 2016-11-16T06:22:25 --startdatetime 2016-11-16T06:26:22 --delay 1 --endMP 204:160 --enddatetime 2016-11-16T07:04:14 --enforcementcount 0 &gt;&gt;C:\Users\stu\Documents\GitHub\eaglep3-reporting\EC\2016-11-16-refined-times.txt</v>
      </c>
      <c r="AI24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{"issue":{"subject":"","project_id":79,"tracker_id":40,"status_id":1,"priority_id":2,"assigned_to_id":23,"start_date":"2016-11-16","description":"","custom_fields":[{"id":1,"name":"Subdivision","value":"EC"},{"id":4,"name":"Milepost","value":"0.016"},{"id":17,"name":"Train ID","value":"116-16"},{"id":16,"name":"Locomotive ID","value":"4030"},{"id":130,"name":"Impact","value":""},{"id":150,"name":"Time of Event (Mountain Time)","value":"07:04:14"},{"id":151,"name":"Denver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469</v>
      </c>
      <c r="B25" s="7">
        <v>4038</v>
      </c>
      <c r="C25" s="22" t="s">
        <v>222</v>
      </c>
      <c r="D25" s="22" t="s">
        <v>201</v>
      </c>
      <c r="E25" s="13">
        <v>42690.235196759262</v>
      </c>
      <c r="F25" s="13">
        <v>42690.23982638889</v>
      </c>
      <c r="G25" s="7">
        <v>0</v>
      </c>
      <c r="H25" s="22" t="s">
        <v>187</v>
      </c>
      <c r="I25" s="13">
        <v>42690.264293981483</v>
      </c>
      <c r="J25" s="7">
        <v>0</v>
      </c>
      <c r="K25" s="109" t="str">
        <f t="shared" si="18"/>
        <v>4037/4038</v>
      </c>
      <c r="L25" s="22" t="str">
        <f>VLOOKUP(A25,'Trips&amp;Operators'!$C$1:$E$10000,3,FALSE)</f>
        <v>MAELZER</v>
      </c>
      <c r="M25" s="6">
        <f t="shared" si="19"/>
        <v>2.4467592593282461E-2</v>
      </c>
      <c r="N25" s="7">
        <f t="shared" si="20"/>
        <v>35.233333334326744</v>
      </c>
      <c r="O25" s="7"/>
      <c r="P25" s="7"/>
      <c r="Q25" s="23"/>
      <c r="R25" s="23"/>
      <c r="S25" s="35">
        <f t="shared" si="21"/>
        <v>1</v>
      </c>
      <c r="T25" s="50" t="str">
        <f t="shared" si="22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04:38:41-700',mode:absolute,to:'2016-11-16 07:20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5" s="52" t="str">
        <f t="shared" si="23"/>
        <v>N</v>
      </c>
      <c r="X25" s="177">
        <f t="shared" si="29"/>
        <v>1</v>
      </c>
      <c r="Y25" s="67">
        <f t="shared" si="24"/>
        <v>4.5999999999999999E-2</v>
      </c>
      <c r="Z25" s="67">
        <f t="shared" si="25"/>
        <v>23.329699999999999</v>
      </c>
      <c r="AA25" s="67">
        <f t="shared" si="26"/>
        <v>23.2837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27"/>
        <v>0117-16</v>
      </c>
      <c r="AE25" s="91" t="str">
        <f t="shared" si="11"/>
        <v>aws s3 cp s3://rtdc.mdm.uploadarchive.raw/RTDC4038/ "%USERPROFILE%\AppData\Local\Temp\OnboardLogs"\RTDC4038\2016-11-16 --exclude "*" --recursive --include "*20161116*" &amp; "%USERPROFILE%\Documents\GitHub\mrs-test-scripts\Headless Mode &amp; Sideloading\WalkAndUnGZ.bat" "%USERPROFILE%\AppData\Local\Temp\OnboardLogs"\RTDC4038\2016-11-16 &amp; 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</v>
      </c>
      <c r="AF25" s="88" t="str">
        <f t="shared" si="12"/>
        <v>"C:\Program Files (x86)\AstroGrep\AstroGrep.exe" /spath="%USERPROFILE%\AppData\Local\Temp\OnboardLogs" /stypes="app*4038*20161116*" /stext=" 13:.+((SYSTEM_STATE.+slice.+state.+changed )|(ment ac)|(system.+state.+changed )|(\[timeout)|(PRM\|1\|D)|(kpr)|(kdp)|(\|lc)|(penalty))" /e /r /s</v>
      </c>
      <c r="AG25" s="1" t="str">
        <f t="shared" si="28"/>
        <v>EC</v>
      </c>
      <c r="AH25" s="92" t="str">
        <f t="shared" si="14"/>
        <v>"%USERPROFILE%\Documents\GitHub\eaglep3\Utilities\RefineRTDCRunTimes.py" --tripid 117-16 --locoid 4038 --swversion DE.1.0.8.0 --startMP 204:460 --initTime 2016-11-16T05:38:41 --startdatetime 2016-11-16T05:45:21 --delay 0 --endMP 204:233297 --enddatetime 2016-11-16T06:20:35 --enforcementcount 0 &gt;&gt;C:\Users\stu\Documents\GitHub\eaglep3-reporting\EC\2016-11-16-refined-times.txt</v>
      </c>
      <c r="AI25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{"issue":{"subject":"","project_id":79,"tracker_id":40,"status_id":1,"priority_id":2,"assigned_to_id":23,"start_date":"2016-11-16","description":"","custom_fields":[{"id":1,"name":"Subdivision","value":"EC"},{"id":4,"name":"Milepost","value":"23.3297"},{"id":17,"name":"Train ID","value":"117-16"},{"id":16,"name":"Locomotive ID","value":"4038"},{"id":130,"name":"Impact","value":""},{"id":150,"name":"Time of Event (Mountain Time)","value":"06:20:35"},{"id":151,"name":"Denver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480</v>
      </c>
      <c r="B26" s="7">
        <v>4037</v>
      </c>
      <c r="C26" s="22" t="s">
        <v>222</v>
      </c>
      <c r="D26" s="22" t="s">
        <v>293</v>
      </c>
      <c r="E26" s="13">
        <v>42690.269930555558</v>
      </c>
      <c r="F26" s="13">
        <v>42690.278749999998</v>
      </c>
      <c r="G26" s="7">
        <v>1</v>
      </c>
      <c r="H26" s="22" t="s">
        <v>317</v>
      </c>
      <c r="I26" s="13">
        <v>42690.305868055555</v>
      </c>
      <c r="J26" s="7">
        <v>0</v>
      </c>
      <c r="K26" s="109" t="str">
        <f t="shared" si="18"/>
        <v>4037/4038</v>
      </c>
      <c r="L26" s="22" t="str">
        <f>VLOOKUP(A26,'Trips&amp;Operators'!$C$1:$E$10000,3,FALSE)</f>
        <v>MAELZER</v>
      </c>
      <c r="M26" s="6">
        <f t="shared" si="19"/>
        <v>2.7118055557366461E-2</v>
      </c>
      <c r="N26" s="7">
        <f t="shared" si="20"/>
        <v>39.050000002607703</v>
      </c>
      <c r="O26" s="7"/>
      <c r="P26" s="7"/>
      <c r="Q26" s="23"/>
      <c r="R26" s="23"/>
      <c r="S26" s="35">
        <f t="shared" si="21"/>
        <v>1</v>
      </c>
      <c r="T26" s="50" t="str">
        <f t="shared" si="22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05:28:42-700',mode:absolute,to:'2016-11-16 08:20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6" s="52" t="str">
        <f t="shared" si="23"/>
        <v>N</v>
      </c>
      <c r="X26" s="177">
        <f t="shared" si="29"/>
        <v>1</v>
      </c>
      <c r="Y26" s="67">
        <f t="shared" si="24"/>
        <v>23.297499999999999</v>
      </c>
      <c r="Z26" s="67">
        <f t="shared" si="25"/>
        <v>1.32E-2</v>
      </c>
      <c r="AA26" s="67">
        <f t="shared" si="26"/>
        <v>23.284299999999998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27"/>
        <v>0118-16</v>
      </c>
      <c r="AE26" s="91" t="str">
        <f t="shared" si="11"/>
        <v>aws s3 cp s3://rtdc.mdm.uploadarchive.raw/RTDC4037/ "%USERPROFILE%\AppData\Local\Temp\OnboardLogs"\RTDC4037\2016-11-16 --exclude "*" --recursive --include "*20161116*" &amp; "%USERPROFILE%\Documents\GitHub\mrs-test-scripts\Headless Mode &amp; Sideloading\WalkAndUnGZ.bat" "%USERPROFILE%\AppData\Local\Temp\OnboardLogs"\RTDC4037\2016-11-16 &amp; 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</v>
      </c>
      <c r="AF26" s="88" t="str">
        <f t="shared" si="12"/>
        <v>"C:\Program Files (x86)\AstroGrep\AstroGrep.exe" /spath="%USERPROFILE%\AppData\Local\Temp\OnboardLogs" /stypes="app*4037*20161116*" /stext=" 14:.+((SYSTEM_STATE.+slice.+state.+changed )|(ment ac)|(system.+state.+changed )|(\[timeout)|(PRM\|1\|D)|(kpr)|(kdp)|(\|lc)|(penalty))" /e /r /s</v>
      </c>
      <c r="AG26" s="1" t="str">
        <f t="shared" si="28"/>
        <v>EC</v>
      </c>
      <c r="AH26" s="92" t="str">
        <f t="shared" si="14"/>
        <v>"%USERPROFILE%\Documents\GitHub\eaglep3\Utilities\RefineRTDCRunTimes.py" --tripid 118-16 --locoid 4037 --swversion DE.1.0.8.0 --startMP 204:232975 --initTime 2016-11-16T06:28:42 --startdatetime 2016-11-16T06:41:24 --delay 1 --endMP 204:132 --enddatetime 2016-11-16T07:20:27 --enforcementcount 0 &gt;&gt;C:\Users\stu\Documents\GitHub\eaglep3-reporting\EC\2016-11-16-refined-times.txt</v>
      </c>
      <c r="AI26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{"issue":{"subject":"","project_id":79,"tracker_id":40,"status_id":1,"priority_id":2,"assigned_to_id":23,"start_date":"2016-11-16","description":"","custom_fields":[{"id":1,"name":"Subdivision","value":"EC"},{"id":4,"name":"Milepost","value":"0.0132"},{"id":17,"name":"Train ID","value":"118-16"},{"id":16,"name":"Locomotive ID","value":"4037"},{"id":130,"name":"Impact","value":""},{"id":150,"name":"Time of Event (Mountain Time)","value":"07:20:27"},{"id":151,"name":"Denver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473</v>
      </c>
      <c r="B27" s="7">
        <v>4009</v>
      </c>
      <c r="C27" s="22" t="s">
        <v>222</v>
      </c>
      <c r="D27" s="22" t="s">
        <v>647</v>
      </c>
      <c r="E27" s="13">
        <v>42690.246840277781</v>
      </c>
      <c r="F27" s="13">
        <v>42690.250347222223</v>
      </c>
      <c r="G27" s="7">
        <v>2</v>
      </c>
      <c r="H27" s="22" t="s">
        <v>300</v>
      </c>
      <c r="I27" s="13">
        <v>42690.27449074074</v>
      </c>
      <c r="J27" s="7">
        <v>0</v>
      </c>
      <c r="K27" s="109" t="str">
        <f t="shared" si="18"/>
        <v>4009/4010</v>
      </c>
      <c r="L27" s="22" t="str">
        <f>VLOOKUP(A27,'Trips&amp;Operators'!$C$1:$E$10000,3,FALSE)</f>
        <v>RICHARDSON</v>
      </c>
      <c r="M27" s="6">
        <f t="shared" si="19"/>
        <v>2.414351851621177E-2</v>
      </c>
      <c r="N27" s="7">
        <f t="shared" si="20"/>
        <v>34.766666663344949</v>
      </c>
      <c r="O27" s="7"/>
      <c r="P27" s="7"/>
      <c r="Q27" s="23"/>
      <c r="R27" s="23"/>
      <c r="S27" s="35">
        <f t="shared" si="21"/>
        <v>1</v>
      </c>
      <c r="T27" s="50" t="str">
        <f t="shared" si="22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04:55:27-700',mode:absolute,to:'2016-11-16 07:35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7" s="52" t="str">
        <f t="shared" si="23"/>
        <v>N</v>
      </c>
      <c r="X27" s="177">
        <f t="shared" ref="X27:X34" si="30">VALUE(LEFT(AD27,4))-VALUE(LEFT(AD26,4))</f>
        <v>1</v>
      </c>
      <c r="Y27" s="67">
        <f t="shared" si="24"/>
        <v>7.6300000000000007E-2</v>
      </c>
      <c r="Z27" s="67">
        <f t="shared" si="25"/>
        <v>23.328900000000001</v>
      </c>
      <c r="AA27" s="67">
        <f t="shared" si="26"/>
        <v>23.252600000000001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27"/>
        <v>0119-16</v>
      </c>
      <c r="AE27" s="91" t="str">
        <f t="shared" si="11"/>
        <v>aws s3 cp s3://rtdc.mdm.uploadarchive.raw/RTDC4009/ "%USERPROFILE%\AppData\Local\Temp\OnboardLogs"\RTDC4009\2016-11-16 --exclude "*" --recursive --include "*20161116*" &amp; "%USERPROFILE%\Documents\GitHub\mrs-test-scripts\Headless Mode &amp; Sideloading\WalkAndUnGZ.bat" "%USERPROFILE%\AppData\Local\Temp\OnboardLogs"\RTDC4009\2016-11-16 &amp; aws s3 cp s3://rtdc.mdm.uploadarchive.raw/RTDC4009/ "%USERPROFILE%\AppData\Local\Temp\OnboardLogs"\RTDC4009\2016-11-17 --exclude "*" --recursive --include "*20161117*" &amp; "%USERPROFILE%\Documents\GitHub\mrs-test-scripts\Headless Mode &amp; Sideloading\WalkAndUnGZ.bat" "%USERPROFILE%\AppData\Local\Temp\OnboardLogs"\RTDC4009\2016-11-17</v>
      </c>
      <c r="AF27" s="88" t="str">
        <f t="shared" si="12"/>
        <v>"C:\Program Files (x86)\AstroGrep\AstroGrep.exe" /spath="%USERPROFILE%\AppData\Local\Temp\OnboardLogs" /stypes="app*4009*20161116*" /stext=" 13:.+((SYSTEM_STATE.+slice.+state.+changed )|(ment ac)|(system.+state.+changed )|(\[timeout)|(PRM\|1\|D)|(kpr)|(kdp)|(\|lc)|(penalty))" /e /r /s</v>
      </c>
      <c r="AG27" s="1" t="str">
        <f t="shared" si="28"/>
        <v>EC</v>
      </c>
      <c r="AH27" s="92" t="str">
        <f t="shared" si="14"/>
        <v>"%USERPROFILE%\Documents\GitHub\eaglep3\Utilities\RefineRTDCRunTimes.py" --tripid 119-16 --locoid 4009 --swversion DE.1.0.8.0 --startMP 204:763 --initTime 2016-11-16T05:55:27 --startdatetime 2016-11-16T06:00:30 --delay 2 --endMP 204:233289 --enddatetime 2016-11-16T06:35:16 --enforcementcount 0 &gt;&gt;C:\Users\stu\Documents\GitHub\eaglep3-reporting\EC\2016-11-16-refined-times.txt</v>
      </c>
      <c r="AI27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{"issue":{"subject":"","project_id":79,"tracker_id":40,"status_id":1,"priority_id":2,"assigned_to_id":23,"start_date":"2016-11-16","description":"","custom_fields":[{"id":1,"name":"Subdivision","value":"EC"},{"id":4,"name":"Milepost","value":"23.3289"},{"id":17,"name":"Train ID","value":"119-16"},{"id":16,"name":"Locomotive ID","value":"4009"},{"id":130,"name":"Impact","value":""},{"id":150,"name":"Time of Event (Mountain Time)","value":"06:35:16"},{"id":151,"name":"Denver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485</v>
      </c>
      <c r="B28" s="7">
        <v>4010</v>
      </c>
      <c r="C28" s="22" t="s">
        <v>222</v>
      </c>
      <c r="D28" s="22" t="s">
        <v>287</v>
      </c>
      <c r="E28" s="13">
        <v>42690.283831018518</v>
      </c>
      <c r="F28" s="13">
        <v>42690.289085648146</v>
      </c>
      <c r="G28" s="7">
        <v>1</v>
      </c>
      <c r="H28" s="22" t="s">
        <v>648</v>
      </c>
      <c r="I28" s="13">
        <v>42690.315613425926</v>
      </c>
      <c r="J28" s="7">
        <v>0</v>
      </c>
      <c r="K28" s="109" t="str">
        <f t="shared" si="18"/>
        <v>4009/4010</v>
      </c>
      <c r="L28" s="22" t="str">
        <f>VLOOKUP(A28,'Trips&amp;Operators'!$C$1:$E$10000,3,FALSE)</f>
        <v>RICHARDSON</v>
      </c>
      <c r="M28" s="6">
        <f t="shared" si="19"/>
        <v>2.6527777779847383E-2</v>
      </c>
      <c r="N28" s="7">
        <f t="shared" si="20"/>
        <v>38.200000002980232</v>
      </c>
      <c r="O28" s="7"/>
      <c r="P28" s="7"/>
      <c r="Q28" s="23"/>
      <c r="R28" s="23"/>
      <c r="S28" s="35">
        <f t="shared" si="21"/>
        <v>1</v>
      </c>
      <c r="T28" s="50" t="str">
        <f t="shared" si="22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05:48:43-700',mode:absolute,to:'2016-11-16 08:34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8" s="52" t="str">
        <f t="shared" si="23"/>
        <v>N</v>
      </c>
      <c r="X28" s="177">
        <f t="shared" si="30"/>
        <v>1</v>
      </c>
      <c r="Y28" s="67">
        <f t="shared" si="24"/>
        <v>23.2987</v>
      </c>
      <c r="Z28" s="67">
        <f t="shared" si="25"/>
        <v>1.47E-2</v>
      </c>
      <c r="AA28" s="67">
        <f t="shared" si="26"/>
        <v>23.283999999999999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27"/>
        <v>0120-16</v>
      </c>
      <c r="AE28" s="91" t="str">
        <f t="shared" si="11"/>
        <v>aws s3 cp s3://rtdc.mdm.uploadarchive.raw/RTDC4010/ "%USERPROFILE%\AppData\Local\Temp\OnboardLogs"\RTDC4010\2016-11-16 --exclude "*" --recursive --include "*20161116*" &amp; "%USERPROFILE%\Documents\GitHub\mrs-test-scripts\Headless Mode &amp; Sideloading\WalkAndUnGZ.bat" "%USERPROFILE%\AppData\Local\Temp\OnboardLogs"\RTDC4010\2016-11-16 &amp; aws s3 cp s3://rtdc.mdm.uploadarchive.raw/RTDC4010/ "%USERPROFILE%\AppData\Local\Temp\OnboardLogs"\RTDC4010\2016-11-17 --exclude "*" --recursive --include "*20161117*" &amp; "%USERPROFILE%\Documents\GitHub\mrs-test-scripts\Headless Mode &amp; Sideloading\WalkAndUnGZ.bat" "%USERPROFILE%\AppData\Local\Temp\OnboardLogs"\RTDC4010\2016-11-17</v>
      </c>
      <c r="AF28" s="88" t="str">
        <f t="shared" si="12"/>
        <v>"C:\Program Files (x86)\AstroGrep\AstroGrep.exe" /spath="%USERPROFILE%\AppData\Local\Temp\OnboardLogs" /stypes="app*4010*20161116*" /stext=" 14:.+((SYSTEM_STATE.+slice.+state.+changed )|(ment ac)|(system.+state.+changed )|(\[timeout)|(PRM\|1\|D)|(kpr)|(kdp)|(\|lc)|(penalty))" /e /r /s</v>
      </c>
      <c r="AG28" s="1" t="str">
        <f t="shared" si="28"/>
        <v>EC</v>
      </c>
      <c r="AH28" s="92" t="str">
        <f t="shared" si="14"/>
        <v>"%USERPROFILE%\Documents\GitHub\eaglep3\Utilities\RefineRTDCRunTimes.py" --tripid 120-16 --locoid 4010 --swversion DE.1.0.8.0 --startMP 204:232987 --initTime 2016-11-16T06:48:43 --startdatetime 2016-11-16T06:56:17 --delay 1 --endMP 204:147 --enddatetime 2016-11-16T07:34:29 --enforcementcount 0 &gt;&gt;C:\Users\stu\Documents\GitHub\eaglep3-reporting\EC\2016-11-16-refined-times.txt</v>
      </c>
      <c r="AI28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{"issue":{"subject":"","project_id":79,"tracker_id":40,"status_id":1,"priority_id":2,"assigned_to_id":23,"start_date":"2016-11-16","description":"","custom_fields":[{"id":1,"name":"Subdivision","value":"EC"},{"id":4,"name":"Milepost","value":"0.0147"},{"id":17,"name":"Train ID","value":"120-16"},{"id":16,"name":"Locomotive ID","value":"4010"},{"id":130,"name":"Impact","value":""},{"id":150,"name":"Time of Event (Mountain Time)","value":"07:34:29"},{"id":151,"name":"Denver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475</v>
      </c>
      <c r="B29" s="7">
        <v>4007</v>
      </c>
      <c r="C29" s="22" t="s">
        <v>222</v>
      </c>
      <c r="D29" s="22" t="s">
        <v>286</v>
      </c>
      <c r="E29" s="13">
        <v>42690.252025462964</v>
      </c>
      <c r="F29" s="13">
        <v>42690.261006944442</v>
      </c>
      <c r="G29" s="7">
        <v>3</v>
      </c>
      <c r="H29" s="22" t="s">
        <v>187</v>
      </c>
      <c r="I29" s="13">
        <v>42690.287349537037</v>
      </c>
      <c r="J29" s="7">
        <v>0</v>
      </c>
      <c r="K29" s="109" t="str">
        <f t="shared" si="18"/>
        <v>4007/4008</v>
      </c>
      <c r="L29" s="22" t="str">
        <f>VLOOKUP(A29,'Trips&amp;Operators'!$C$1:$E$10000,3,FALSE)</f>
        <v>SAFIEF</v>
      </c>
      <c r="M29" s="6">
        <f t="shared" si="19"/>
        <v>2.6342592595028691E-2</v>
      </c>
      <c r="N29" s="7">
        <f t="shared" si="20"/>
        <v>37.933333336841315</v>
      </c>
      <c r="O29" s="7"/>
      <c r="P29" s="7"/>
      <c r="Q29" s="23"/>
      <c r="R29" s="23"/>
      <c r="S29" s="35">
        <f t="shared" si="21"/>
        <v>1</v>
      </c>
      <c r="T29" s="50" t="str">
        <f t="shared" si="22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05:02:55-700',mode:absolute,to:'2016-11-16 07:53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9" s="52" t="str">
        <f t="shared" si="23"/>
        <v>N</v>
      </c>
      <c r="X29" s="177">
        <f t="shared" si="30"/>
        <v>1</v>
      </c>
      <c r="Y29" s="67">
        <f t="shared" si="24"/>
        <v>4.4400000000000002E-2</v>
      </c>
      <c r="Z29" s="67">
        <f t="shared" si="25"/>
        <v>23.329699999999999</v>
      </c>
      <c r="AA29" s="67">
        <f t="shared" si="26"/>
        <v>23.285299999999999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27"/>
        <v>0121-16</v>
      </c>
      <c r="AE29" s="91" t="str">
        <f t="shared" si="11"/>
        <v>aws s3 cp s3://rtdc.mdm.uploadarchive.raw/RTDC4007/ "%USERPROFILE%\AppData\Local\Temp\OnboardLogs"\RTDC4007\2016-11-16 --exclude "*" --recursive --include "*20161116*" &amp; "%USERPROFILE%\Documents\GitHub\mrs-test-scripts\Headless Mode &amp; Sideloading\WalkAndUnGZ.bat" "%USERPROFILE%\AppData\Local\Temp\OnboardLogs"\RTDC4007\2016-11-16 &amp; aws s3 cp s3://rtdc.mdm.uploadarchive.raw/RTDC4007/ "%USERPROFILE%\AppData\Local\Temp\OnboardLogs"\RTDC4007\2016-11-17 --exclude "*" --recursive --include "*20161117*" &amp; "%USERPROFILE%\Documents\GitHub\mrs-test-scripts\Headless Mode &amp; Sideloading\WalkAndUnGZ.bat" "%USERPROFILE%\AppData\Local\Temp\OnboardLogs"\RTDC4007\2016-11-17</v>
      </c>
      <c r="AF29" s="88" t="str">
        <f t="shared" si="12"/>
        <v>"C:\Program Files (x86)\AstroGrep\AstroGrep.exe" /spath="%USERPROFILE%\AppData\Local\Temp\OnboardLogs" /stypes="app*4007*20161116*" /stext=" 13:.+((SYSTEM_STATE.+slice.+state.+changed )|(ment ac)|(system.+state.+changed )|(\[timeout)|(PRM\|1\|D)|(kpr)|(kdp)|(\|lc)|(penalty))" /e /r /s</v>
      </c>
      <c r="AG29" s="1" t="str">
        <f t="shared" si="28"/>
        <v>EC</v>
      </c>
      <c r="AH29" s="92" t="str">
        <f t="shared" si="14"/>
        <v>"%USERPROFILE%\Documents\GitHub\eaglep3\Utilities\RefineRTDCRunTimes.py" --tripid 121-16 --locoid 4007 --swversion DE.1.0.8.0 --startMP 204:444 --initTime 2016-11-16T06:02:55 --startdatetime 2016-11-16T06:15:51 --delay 3 --endMP 204:233297 --enddatetime 2016-11-16T06:53:47 --enforcementcount 0 &gt;&gt;C:\Users\stu\Documents\GitHub\eaglep3-reporting\EC\2016-11-16-refined-times.txt</v>
      </c>
      <c r="AI29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{"issue":{"subject":"","project_id":79,"tracker_id":40,"status_id":1,"priority_id":2,"assigned_to_id":23,"start_date":"2016-11-16","description":"","custom_fields":[{"id":1,"name":"Subdivision","value":"EC"},{"id":4,"name":"Milepost","value":"23.3297"},{"id":17,"name":"Train ID","value":"121-16"},{"id":16,"name":"Locomotive ID","value":"4007"},{"id":130,"name":"Impact","value":""},{"id":150,"name":"Time of Event (Mountain Time)","value":"06:53:47"},{"id":151,"name":"Denver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406</v>
      </c>
      <c r="B30" s="7">
        <v>4008</v>
      </c>
      <c r="C30" s="22" t="s">
        <v>222</v>
      </c>
      <c r="D30" s="22" t="s">
        <v>365</v>
      </c>
      <c r="E30" s="13">
        <v>42690.294560185182</v>
      </c>
      <c r="F30" s="13">
        <v>42690.299722222226</v>
      </c>
      <c r="G30" s="7">
        <v>1</v>
      </c>
      <c r="H30" s="22" t="s">
        <v>316</v>
      </c>
      <c r="I30" s="13">
        <v>42690.335821759261</v>
      </c>
      <c r="J30" s="7">
        <v>0</v>
      </c>
      <c r="K30" s="109" t="str">
        <f t="shared" si="18"/>
        <v>4007/4008</v>
      </c>
      <c r="L30" s="22" t="str">
        <f>VLOOKUP(A30,'Trips&amp;Operators'!$C$1:$E$10000,3,FALSE)</f>
        <v>SAFIEF</v>
      </c>
      <c r="M30" s="6">
        <f t="shared" si="19"/>
        <v>3.6099537035624962E-2</v>
      </c>
      <c r="N30" s="7">
        <f t="shared" si="20"/>
        <v>51.983333331299946</v>
      </c>
      <c r="O30" s="7"/>
      <c r="P30" s="7"/>
      <c r="Q30" s="23"/>
      <c r="R30" s="23" t="s">
        <v>807</v>
      </c>
      <c r="S30" s="35">
        <f t="shared" si="21"/>
        <v>1</v>
      </c>
      <c r="T30" s="50" t="str">
        <f t="shared" si="22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06:04:10-700',mode:absolute,to:'2016-11-16 09:03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0" s="52" t="str">
        <f t="shared" si="23"/>
        <v>N</v>
      </c>
      <c r="X30" s="177">
        <f t="shared" si="30"/>
        <v>1</v>
      </c>
      <c r="Y30" s="67">
        <f t="shared" si="24"/>
        <v>23.296299999999999</v>
      </c>
      <c r="Z30" s="67">
        <f t="shared" si="25"/>
        <v>1.3599999999999999E-2</v>
      </c>
      <c r="AA30" s="67">
        <f t="shared" si="26"/>
        <v>23.282699999999998</v>
      </c>
      <c r="AB30" s="64" t="str">
        <f>VLOOKUP(A30,Enforcements!$C$7:$K$20,8,0)</f>
        <v>Signal based authority (5)</v>
      </c>
      <c r="AC30" s="60" t="str">
        <f>VLOOKUP(A30,Enforcements!$C$7:$E$20,3,0)</f>
        <v>SIGNAL</v>
      </c>
      <c r="AD30" s="61" t="str">
        <f t="shared" si="27"/>
        <v>0122-16</v>
      </c>
      <c r="AE30" s="91" t="str">
        <f t="shared" si="11"/>
        <v>aws s3 cp s3://rtdc.mdm.uploadarchive.raw/RTDC4008/ "%USERPROFILE%\AppData\Local\Temp\OnboardLogs"\RTDC4008\2016-11-16 --exclude "*" --recursive --include "*20161116*" &amp; "%USERPROFILE%\Documents\GitHub\mrs-test-scripts\Headless Mode &amp; Sideloading\WalkAndUnGZ.bat" "%USERPROFILE%\AppData\Local\Temp\OnboardLogs"\RTDC4008\2016-11-16 &amp; aws s3 cp s3://rtdc.mdm.uploadarchive.raw/RTDC4008/ "%USERPROFILE%\AppData\Local\Temp\OnboardLogs"\RTDC4008\2016-11-17 --exclude "*" --recursive --include "*20161117*" &amp; "%USERPROFILE%\Documents\GitHub\mrs-test-scripts\Headless Mode &amp; Sideloading\WalkAndUnGZ.bat" "%USERPROFILE%\AppData\Local\Temp\OnboardLogs"\RTDC4008\2016-11-17</v>
      </c>
      <c r="AF30" s="88" t="str">
        <f t="shared" si="12"/>
        <v>"C:\Program Files (x86)\AstroGrep\AstroGrep.exe" /spath="%USERPROFILE%\AppData\Local\Temp\OnboardLogs" /stypes="app*4008*20161116*" /stext=" 15:.+((SYSTEM_STATE.+slice.+state.+changed )|(ment ac)|(system.+state.+changed )|(\[timeout)|(PRM\|1\|D)|(kpr)|(kdp)|(\|lc)|(penalty))" /e /r /s</v>
      </c>
      <c r="AG30" s="1" t="str">
        <f t="shared" si="28"/>
        <v>EC</v>
      </c>
      <c r="AH30" s="92" t="str">
        <f t="shared" si="14"/>
        <v>"%USERPROFILE%\Documents\GitHub\eaglep3\Utilities\RefineRTDCRunTimes.py" --tripid 122-16 --locoid 4008 --swversion DE.1.0.8.0 --startMP 204:232963 --initTime 2016-11-16T07:04:10 --startdatetime 2016-11-16T07:11:36 --delay 1 --endMP 204:136 --enddatetime 2016-11-16T08:03:35 --enforcementcount 0 &gt;&gt;C:\Users\stu\Documents\GitHub\eaglep3-reporting\EC\2016-11-16-refined-times.txt</v>
      </c>
      <c r="AI30" s="119" t="str">
        <f t="shared" si="15"/>
        <v>echo {"issue":{"subject":"78th 4S stuck at STOP, PSS succeeded","project_id":79,"tracker_id":40,"status_id":1,"priority_id":2,"assigned_to_id":23,"start_date":"2016-11-16","description":"Around 2016-11-16 07:14:49.000, 78th 4S was stuck at at STOP… any issues causing this?","custom_fields":[{"id":1,"name":"Subdivision","value":"EC"},{"id":4,"name":"Milepost","value":"0.0136"},{"id":17,"name":"Train ID","value":"122-16"},{"id":16,"name":"Locomotive ID","value":"4008"},{"id":130,"name":"Impact","value":"Others"},{"id":150,"name":"Time of Event (Mountain Time)","value":"08:03:35"},{"id":151,"name":"Denver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30" s="53" t="s">
        <v>819</v>
      </c>
      <c r="AK30" s="53" t="s">
        <v>137</v>
      </c>
      <c r="AL30" s="53" t="s">
        <v>130</v>
      </c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479</v>
      </c>
      <c r="B31" s="7">
        <v>4022</v>
      </c>
      <c r="C31" s="22" t="s">
        <v>222</v>
      </c>
      <c r="D31" s="22" t="s">
        <v>649</v>
      </c>
      <c r="E31" s="13">
        <v>42690.268993055557</v>
      </c>
      <c r="F31" s="13">
        <v>42690.271006944444</v>
      </c>
      <c r="G31" s="7">
        <v>2</v>
      </c>
      <c r="H31" s="22" t="s">
        <v>650</v>
      </c>
      <c r="I31" s="13">
        <v>42690.296631944446</v>
      </c>
      <c r="J31" s="7">
        <v>0</v>
      </c>
      <c r="K31" s="109" t="str">
        <f t="shared" si="18"/>
        <v>4021/4022</v>
      </c>
      <c r="L31" s="22" t="str">
        <f>VLOOKUP(A31,'Trips&amp;Operators'!$C$1:$E$10000,3,FALSE)</f>
        <v>STRICKLAND</v>
      </c>
      <c r="M31" s="6">
        <f t="shared" si="19"/>
        <v>2.5625000002037268E-2</v>
      </c>
      <c r="N31" s="7">
        <f t="shared" si="20"/>
        <v>36.900000002933666</v>
      </c>
      <c r="O31" s="7"/>
      <c r="P31" s="7"/>
      <c r="Q31" s="23"/>
      <c r="R31" s="23"/>
      <c r="S31" s="35">
        <f t="shared" si="21"/>
        <v>1</v>
      </c>
      <c r="T31" s="50" t="str">
        <f t="shared" si="22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05:27:21-700',mode:absolute,to:'2016-11-16 08:07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1" s="52" t="str">
        <f t="shared" si="23"/>
        <v>N</v>
      </c>
      <c r="X31" s="177">
        <f t="shared" si="30"/>
        <v>1</v>
      </c>
      <c r="Y31" s="67">
        <f t="shared" si="24"/>
        <v>7.8299999999999995E-2</v>
      </c>
      <c r="Z31" s="67">
        <f t="shared" si="25"/>
        <v>23.330400000000001</v>
      </c>
      <c r="AA31" s="67">
        <f t="shared" si="26"/>
        <v>23.252100000000002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27"/>
        <v>0123-16</v>
      </c>
      <c r="AE31" s="91" t="str">
        <f t="shared" si="11"/>
        <v>aws s3 cp s3://rtdc.mdm.uploadarchive.raw/RTDC4022/ "%USERPROFILE%\AppData\Local\Temp\OnboardLogs"\RTDC4022\2016-11-16 --exclude "*" --recursive --include "*20161116*" &amp; "%USERPROFILE%\Documents\GitHub\mrs-test-scripts\Headless Mode &amp; Sideloading\WalkAndUnGZ.bat" "%USERPROFILE%\AppData\Local\Temp\OnboardLogs"\RTDC4022\2016-11-16 &amp; aws s3 cp s3://rtdc.mdm.uploadarchive.raw/RTDC4022/ "%USERPROFILE%\AppData\Local\Temp\OnboardLogs"\RTDC4022\2016-11-17 --exclude "*" --recursive --include "*20161117*" &amp; "%USERPROFILE%\Documents\GitHub\mrs-test-scripts\Headless Mode &amp; Sideloading\WalkAndUnGZ.bat" "%USERPROFILE%\AppData\Local\Temp\OnboardLogs"\RTDC4022\2016-11-17</v>
      </c>
      <c r="AF31" s="88" t="str">
        <f t="shared" si="12"/>
        <v>"C:\Program Files (x86)\AstroGrep\AstroGrep.exe" /spath="%USERPROFILE%\AppData\Local\Temp\OnboardLogs" /stypes="app*4022*20161116*" /stext=" 14:.+((SYSTEM_STATE.+slice.+state.+changed )|(ment ac)|(system.+state.+changed )|(\[timeout)|(PRM\|1\|D)|(kpr)|(kdp)|(\|lc)|(penalty))" /e /r /s</v>
      </c>
      <c r="AG31" s="1" t="str">
        <f t="shared" si="28"/>
        <v>EC</v>
      </c>
      <c r="AH31" s="92" t="str">
        <f t="shared" si="14"/>
        <v>"%USERPROFILE%\Documents\GitHub\eaglep3\Utilities\RefineRTDCRunTimes.py" --tripid 123-16 --locoid 4022 --swversion DE.1.0.8.0 --startMP 204:783 --initTime 2016-11-16T06:27:21 --startdatetime 2016-11-16T06:30:15 --delay 2 --endMP 204:233304 --enddatetime 2016-11-16T07:07:09 --enforcementcount 0 &gt;&gt;C:\Users\stu\Documents\GitHub\eaglep3-reporting\EC\2016-11-16-refined-times.txt</v>
      </c>
      <c r="AI31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{"issue":{"subject":"","project_id":79,"tracker_id":40,"status_id":1,"priority_id":2,"assigned_to_id":23,"start_date":"2016-11-16","description":"","custom_fields":[{"id":1,"name":"Subdivision","value":"EC"},{"id":4,"name":"Milepost","value":"23.3304"},{"id":17,"name":"Train ID","value":"123-16"},{"id":16,"name":"Locomotive ID","value":"4022"},{"id":130,"name":"Impact","value":""},{"id":150,"name":"Time of Event (Mountain Time)","value":"07:07:09"},{"id":151,"name":"Denver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408</v>
      </c>
      <c r="B32" s="7">
        <v>4021</v>
      </c>
      <c r="C32" s="22" t="s">
        <v>222</v>
      </c>
      <c r="D32" s="22" t="s">
        <v>651</v>
      </c>
      <c r="E32" s="13">
        <v>42690.304282407407</v>
      </c>
      <c r="F32" s="13">
        <v>42690.310023148151</v>
      </c>
      <c r="G32" s="7">
        <v>1</v>
      </c>
      <c r="H32" s="22" t="s">
        <v>220</v>
      </c>
      <c r="I32" s="13">
        <v>42690.341562499998</v>
      </c>
      <c r="J32" s="7">
        <v>0</v>
      </c>
      <c r="K32" s="109" t="str">
        <f t="shared" si="18"/>
        <v>4021/4022</v>
      </c>
      <c r="L32" s="22" t="str">
        <f>VLOOKUP(A32,'Trips&amp;Operators'!$C$1:$E$10000,3,FALSE)</f>
        <v>STRICKLAND</v>
      </c>
      <c r="M32" s="6">
        <f t="shared" si="19"/>
        <v>3.1539351846731734E-2</v>
      </c>
      <c r="N32" s="7">
        <f t="shared" si="20"/>
        <v>45.416666659293696</v>
      </c>
      <c r="O32" s="7"/>
      <c r="P32" s="7"/>
      <c r="Q32" s="23"/>
      <c r="R32" s="23"/>
      <c r="S32" s="35">
        <f t="shared" si="21"/>
        <v>1</v>
      </c>
      <c r="T32" s="50" t="str">
        <f t="shared" si="22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06:18:10-700',mode:absolute,to:'2016-11-16 09:11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2" s="52" t="str">
        <f t="shared" si="23"/>
        <v>N</v>
      </c>
      <c r="X32" s="177">
        <f t="shared" si="30"/>
        <v>1</v>
      </c>
      <c r="Y32" s="67">
        <f t="shared" si="24"/>
        <v>23.299299999999999</v>
      </c>
      <c r="Z32" s="67">
        <f t="shared" si="25"/>
        <v>1.61E-2</v>
      </c>
      <c r="AA32" s="67">
        <f t="shared" si="26"/>
        <v>23.283199999999997</v>
      </c>
      <c r="AB32" s="64" t="str">
        <f>VLOOKUP(A32,Enforcements!$C$7:$K$20,8,0)</f>
        <v>Speed (6)</v>
      </c>
      <c r="AC32" s="60" t="str">
        <f>VLOOKUP(A32,Enforcements!$C$7:$E$20,3,0)</f>
        <v>PERMANENT SPEED RESTRICTION</v>
      </c>
      <c r="AD32" s="61" t="str">
        <f t="shared" si="27"/>
        <v>0124-16</v>
      </c>
      <c r="AE32" s="91" t="str">
        <f t="shared" si="11"/>
        <v>aws s3 cp s3://rtdc.mdm.uploadarchive.raw/RTDC4021/ "%USERPROFILE%\AppData\Local\Temp\OnboardLogs"\RTDC4021\2016-11-16 --exclude "*" --recursive --include "*20161116*" &amp; "%USERPROFILE%\Documents\GitHub\mrs-test-scripts\Headless Mode &amp; Sideloading\WalkAndUnGZ.bat" "%USERPROFILE%\AppData\Local\Temp\OnboardLogs"\RTDC4021\2016-11-16 &amp; aws s3 cp s3://rtdc.mdm.uploadarchive.raw/RTDC4021/ "%USERPROFILE%\AppData\Local\Temp\OnboardLogs"\RTDC4021\2016-11-17 --exclude "*" --recursive --include "*20161117*" &amp; "%USERPROFILE%\Documents\GitHub\mrs-test-scripts\Headless Mode &amp; Sideloading\WalkAndUnGZ.bat" "%USERPROFILE%\AppData\Local\Temp\OnboardLogs"\RTDC4021\2016-11-17</v>
      </c>
      <c r="AF32" s="88" t="str">
        <f t="shared" si="12"/>
        <v>"C:\Program Files (x86)\AstroGrep\AstroGrep.exe" /spath="%USERPROFILE%\AppData\Local\Temp\OnboardLogs" /stypes="app*4021*20161116*" /stext=" 15:.+((SYSTEM_STATE.+slice.+state.+changed )|(ment ac)|(system.+state.+changed )|(\[timeout)|(PRM\|1\|D)|(kpr)|(kdp)|(\|lc)|(penalty))" /e /r /s</v>
      </c>
      <c r="AG32" s="1" t="str">
        <f t="shared" si="28"/>
        <v>EC</v>
      </c>
      <c r="AH32" s="92" t="str">
        <f t="shared" si="14"/>
        <v>"%USERPROFILE%\Documents\GitHub\eaglep3\Utilities\RefineRTDCRunTimes.py" --tripid 124-16 --locoid 4021 --swversion DE.1.0.8.0 --startMP 204:232993 --initTime 2016-11-16T07:18:10 --startdatetime 2016-11-16T07:26:26 --delay 1 --endMP 204:161 --enddatetime 2016-11-16T08:11:51 --enforcementcount 0 &gt;&gt;C:\Users\stu\Documents\GitHub\eaglep3-reporting\EC\2016-11-16-refined-times.txt</v>
      </c>
      <c r="AI32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{"issue":{"subject":"","project_id":79,"tracker_id":40,"status_id":1,"priority_id":2,"assigned_to_id":23,"start_date":"2016-11-16","description":"","custom_fields":[{"id":1,"name":"Subdivision","value":"EC"},{"id":4,"name":"Milepost","value":"0.0161"},{"id":17,"name":"Train ID","value":"124-16"},{"id":16,"name":"Locomotive ID","value":"4021"},{"id":130,"name":"Impact","value":""},{"id":150,"name":"Time of Event (Mountain Time)","value":"08:11:51"},{"id":151,"name":"Denver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482</v>
      </c>
      <c r="B33" s="7">
        <v>4016</v>
      </c>
      <c r="C33" s="22" t="s">
        <v>222</v>
      </c>
      <c r="D33" s="22" t="s">
        <v>256</v>
      </c>
      <c r="E33" s="13">
        <v>42690.277812499997</v>
      </c>
      <c r="F33" s="13">
        <v>42690.281550925924</v>
      </c>
      <c r="G33" s="7">
        <v>1</v>
      </c>
      <c r="H33" s="22" t="s">
        <v>652</v>
      </c>
      <c r="I33" s="13">
        <v>42690.312685185185</v>
      </c>
      <c r="J33" s="7">
        <v>0</v>
      </c>
      <c r="K33" s="109" t="str">
        <f t="shared" si="18"/>
        <v>4015/4016</v>
      </c>
      <c r="L33" s="22" t="str">
        <f>VLOOKUP(A33,'Trips&amp;Operators'!$C$1:$E$10000,3,FALSE)</f>
        <v>SPECTOR</v>
      </c>
      <c r="M33" s="6">
        <f t="shared" si="19"/>
        <v>3.1134259261307307E-2</v>
      </c>
      <c r="N33" s="7">
        <f t="shared" si="20"/>
        <v>44.833333336282521</v>
      </c>
      <c r="O33" s="7"/>
      <c r="P33" s="7"/>
      <c r="Q33" s="23"/>
      <c r="R33" s="23"/>
      <c r="S33" s="35">
        <f t="shared" si="21"/>
        <v>1</v>
      </c>
      <c r="T33" s="50" t="str">
        <f t="shared" si="22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05:40:03-700',mode:absolute,to:'2016-11-16 08:30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3" s="52" t="str">
        <f t="shared" si="23"/>
        <v>N</v>
      </c>
      <c r="X33" s="177">
        <f t="shared" si="30"/>
        <v>1</v>
      </c>
      <c r="Y33" s="67">
        <f t="shared" si="24"/>
        <v>4.8000000000000001E-2</v>
      </c>
      <c r="Z33" s="67">
        <f t="shared" si="25"/>
        <v>23.331800000000001</v>
      </c>
      <c r="AA33" s="67">
        <f t="shared" si="26"/>
        <v>23.283800000000003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27"/>
        <v>0125-16</v>
      </c>
      <c r="AE33" s="91" t="str">
        <f t="shared" si="11"/>
        <v>aws s3 cp s3://rtdc.mdm.uploadarchive.raw/RTDC4016/ "%USERPROFILE%\AppData\Local\Temp\OnboardLogs"\RTDC4016\2016-11-16 --exclude "*" --recursive --include "*20161116*" &amp; "%USERPROFILE%\Documents\GitHub\mrs-test-scripts\Headless Mode &amp; Sideloading\WalkAndUnGZ.bat" "%USERPROFILE%\AppData\Local\Temp\OnboardLogs"\RTDC4016\2016-11-16 &amp; aws s3 cp s3://rtdc.mdm.uploadarchive.raw/RTDC4016/ "%USERPROFILE%\AppData\Local\Temp\OnboardLogs"\RTDC4016\2016-11-17 --exclude "*" --recursive --include "*20161117*" &amp; "%USERPROFILE%\Documents\GitHub\mrs-test-scripts\Headless Mode &amp; Sideloading\WalkAndUnGZ.bat" "%USERPROFILE%\AppData\Local\Temp\OnboardLogs"\RTDC4016\2016-11-17</v>
      </c>
      <c r="AF33" s="88" t="str">
        <f t="shared" si="12"/>
        <v>"C:\Program Files (x86)\AstroGrep\AstroGrep.exe" /spath="%USERPROFILE%\AppData\Local\Temp\OnboardLogs" /stypes="app*4016*20161116*" /stext=" 14:.+((SYSTEM_STATE.+slice.+state.+changed )|(ment ac)|(system.+state.+changed )|(\[timeout)|(PRM\|1\|D)|(kpr)|(kdp)|(\|lc)|(penalty))" /e /r /s</v>
      </c>
      <c r="AG33" s="1" t="str">
        <f t="shared" si="28"/>
        <v>EC</v>
      </c>
      <c r="AH33" s="92" t="str">
        <f t="shared" si="14"/>
        <v>"%USERPROFILE%\Documents\GitHub\eaglep3\Utilities\RefineRTDCRunTimes.py" --tripid 125-16 --locoid 4016 --swversion DE.1.0.8.0 --startMP 204:480 --initTime 2016-11-16T06:40:03 --startdatetime 2016-11-16T06:45:26 --delay 1 --endMP 204:233318 --enddatetime 2016-11-16T07:30:16 --enforcementcount 0 &gt;&gt;C:\Users\stu\Documents\GitHub\eaglep3-reporting\EC\2016-11-16-refined-times.txt</v>
      </c>
      <c r="AI33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{"issue":{"subject":"","project_id":79,"tracker_id":40,"status_id":1,"priority_id":2,"assigned_to_id":23,"start_date":"2016-11-16","description":"","custom_fields":[{"id":1,"name":"Subdivision","value":"EC"},{"id":4,"name":"Milepost","value":"23.3318"},{"id":17,"name":"Train ID","value":"125-16"},{"id":16,"name":"Locomotive ID","value":"4016"},{"id":130,"name":"Impact","value":""},{"id":150,"name":"Time of Event (Mountain Time)","value":"07:30:16"},{"id":151,"name":"Denver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489</v>
      </c>
      <c r="B34" s="7">
        <v>4015</v>
      </c>
      <c r="C34" s="22" t="s">
        <v>222</v>
      </c>
      <c r="D34" s="22" t="s">
        <v>322</v>
      </c>
      <c r="E34" s="13">
        <v>42690.317604166667</v>
      </c>
      <c r="F34" s="13">
        <v>42690.320335648146</v>
      </c>
      <c r="G34" s="7">
        <v>1</v>
      </c>
      <c r="H34" s="22" t="s">
        <v>279</v>
      </c>
      <c r="I34" s="13">
        <v>42690.346805555557</v>
      </c>
      <c r="J34" s="7">
        <v>0</v>
      </c>
      <c r="K34" s="109" t="str">
        <f t="shared" si="18"/>
        <v>4015/4016</v>
      </c>
      <c r="L34" s="22" t="str">
        <f>VLOOKUP(A34,'Trips&amp;Operators'!$C$1:$E$10000,3,FALSE)</f>
        <v>SPECTOR</v>
      </c>
      <c r="M34" s="6">
        <f t="shared" si="19"/>
        <v>2.6469907410501037E-2</v>
      </c>
      <c r="N34" s="7">
        <f t="shared" si="20"/>
        <v>38.116666671121493</v>
      </c>
      <c r="O34" s="7"/>
      <c r="P34" s="7"/>
      <c r="Q34" s="23"/>
      <c r="R34" s="23"/>
      <c r="S34" s="35">
        <f t="shared" si="21"/>
        <v>1</v>
      </c>
      <c r="T34" s="50" t="str">
        <f t="shared" si="22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06:37:21-700',mode:absolute,to:'2016-11-16 09:19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4" s="52" t="str">
        <f t="shared" si="23"/>
        <v>N</v>
      </c>
      <c r="X34" s="177">
        <f t="shared" si="30"/>
        <v>1</v>
      </c>
      <c r="Y34" s="67">
        <f t="shared" si="24"/>
        <v>23.298400000000001</v>
      </c>
      <c r="Z34" s="67">
        <f t="shared" si="25"/>
        <v>1.38E-2</v>
      </c>
      <c r="AA34" s="67">
        <f t="shared" si="26"/>
        <v>23.284600000000001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27"/>
        <v>0126-16</v>
      </c>
      <c r="AE34" s="91" t="str">
        <f t="shared" si="11"/>
        <v>aws s3 cp s3://rtdc.mdm.uploadarchive.raw/RTDC4015/ "%USERPROFILE%\AppData\Local\Temp\OnboardLogs"\RTDC4015\2016-11-16 --exclude "*" --recursive --include "*20161116*" &amp; "%USERPROFILE%\Documents\GitHub\mrs-test-scripts\Headless Mode &amp; Sideloading\WalkAndUnGZ.bat" "%USERPROFILE%\AppData\Local\Temp\OnboardLogs"\RTDC4015\2016-11-16 &amp; aws s3 cp s3://rtdc.mdm.uploadarchive.raw/RTDC4015/ "%USERPROFILE%\AppData\Local\Temp\OnboardLogs"\RTDC4015\2016-11-17 --exclude "*" --recursive --include "*20161117*" &amp; "%USERPROFILE%\Documents\GitHub\mrs-test-scripts\Headless Mode &amp; Sideloading\WalkAndUnGZ.bat" "%USERPROFILE%\AppData\Local\Temp\OnboardLogs"\RTDC4015\2016-11-17</v>
      </c>
      <c r="AF34" s="88" t="str">
        <f t="shared" si="12"/>
        <v>"C:\Program Files (x86)\AstroGrep\AstroGrep.exe" /spath="%USERPROFILE%\AppData\Local\Temp\OnboardLogs" /stypes="app*4015*20161116*" /stext=" 15:.+((SYSTEM_STATE.+slice.+state.+changed )|(ment ac)|(system.+state.+changed )|(\[timeout)|(PRM\|1\|D)|(kpr)|(kdp)|(\|lc)|(penalty))" /e /r /s</v>
      </c>
      <c r="AG34" s="1" t="str">
        <f t="shared" si="28"/>
        <v>EC</v>
      </c>
      <c r="AH34" s="92" t="str">
        <f t="shared" si="14"/>
        <v>"%USERPROFILE%\Documents\GitHub\eaglep3\Utilities\RefineRTDCRunTimes.py" --tripid 126-16 --locoid 4015 --swversion DE.1.0.8.0 --startMP 204:232984 --initTime 2016-11-16T07:37:21 --startdatetime 2016-11-16T07:41:17 --delay 1 --endMP 204:138 --enddatetime 2016-11-16T08:19:24 --enforcementcount 0 &gt;&gt;C:\Users\stu\Documents\GitHub\eaglep3-reporting\EC\2016-11-16-refined-times.txt</v>
      </c>
      <c r="AI34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{"issue":{"subject":"","project_id":79,"tracker_id":40,"status_id":1,"priority_id":2,"assigned_to_id":23,"start_date":"2016-11-16","description":"","custom_fields":[{"id":1,"name":"Subdivision","value":"EC"},{"id":4,"name":"Milepost","value":"0.0138"},{"id":17,"name":"Train ID","value":"126-16"},{"id":16,"name":"Locomotive ID","value":"4015"},{"id":130,"name":"Impact","value":""},{"id":150,"name":"Time of Event (Mountain Time)","value":"08:19:24"},{"id":151,"name":"Denver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484</v>
      </c>
      <c r="B35" s="7">
        <v>4044</v>
      </c>
      <c r="C35" s="22" t="s">
        <v>222</v>
      </c>
      <c r="D35" s="22" t="s">
        <v>356</v>
      </c>
      <c r="E35" s="13">
        <v>42690.283622685187</v>
      </c>
      <c r="F35" s="13">
        <v>42690.291875000003</v>
      </c>
      <c r="G35" s="7">
        <v>4</v>
      </c>
      <c r="H35" s="22" t="s">
        <v>307</v>
      </c>
      <c r="I35" s="13">
        <v>42690.320752314816</v>
      </c>
      <c r="J35" s="7">
        <v>0</v>
      </c>
      <c r="K35" s="109" t="str">
        <f t="shared" si="18"/>
        <v>4043/4044</v>
      </c>
      <c r="L35" s="22" t="str">
        <f>VLOOKUP(A35,'Trips&amp;Operators'!$C$1:$E$10000,3,FALSE)</f>
        <v>ROBINSON</v>
      </c>
      <c r="M35" s="6">
        <f t="shared" si="19"/>
        <v>2.8877314813144039E-2</v>
      </c>
      <c r="N35" s="7">
        <f t="shared" si="20"/>
        <v>41.583333330927417</v>
      </c>
      <c r="O35" s="7"/>
      <c r="P35" s="7"/>
      <c r="Q35" s="23"/>
      <c r="R35" s="23"/>
      <c r="S35" s="35">
        <f t="shared" si="21"/>
        <v>1</v>
      </c>
      <c r="T35" s="50" t="str">
        <f t="shared" si="22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05:48:25-700',mode:absolute,to:'2016-11-16 08:41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5" s="52" t="str">
        <f t="shared" si="23"/>
        <v>N</v>
      </c>
      <c r="X35" s="177">
        <f t="shared" ref="X35:X39" si="31">VALUE(LEFT(AD35,4))-VALUE(LEFT(AD34,4))</f>
        <v>1</v>
      </c>
      <c r="Y35" s="67">
        <f t="shared" si="24"/>
        <v>7.5899999999999995E-2</v>
      </c>
      <c r="Z35" s="67">
        <f t="shared" si="25"/>
        <v>23.3308</v>
      </c>
      <c r="AA35" s="67">
        <f t="shared" si="26"/>
        <v>23.254899999999999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27"/>
        <v>0127-16</v>
      </c>
      <c r="AE35" s="91" t="str">
        <f t="shared" si="11"/>
        <v>aws s3 cp s3://rtdc.mdm.uploadarchive.raw/RTDC4044/ "%USERPROFILE%\AppData\Local\Temp\OnboardLogs"\RTDC4044\2016-11-16 --exclude "*" --recursive --include "*20161116*" &amp; "%USERPROFILE%\Documents\GitHub\mrs-test-scripts\Headless Mode &amp; Sideloading\WalkAndUnGZ.bat" "%USERPROFILE%\AppData\Local\Temp\OnboardLogs"\RTDC4044\2016-11-16 &amp; aws s3 cp s3://rtdc.mdm.uploadarchive.raw/RTDC4044/ "%USERPROFILE%\AppData\Local\Temp\OnboardLogs"\RTDC4044\2016-11-17 --exclude "*" --recursive --include "*20161117*" &amp; "%USERPROFILE%\Documents\GitHub\mrs-test-scripts\Headless Mode &amp; Sideloading\WalkAndUnGZ.bat" "%USERPROFILE%\AppData\Local\Temp\OnboardLogs"\RTDC4044\2016-11-17</v>
      </c>
      <c r="AF35" s="88" t="str">
        <f t="shared" si="12"/>
        <v>"C:\Program Files (x86)\AstroGrep\AstroGrep.exe" /spath="%USERPROFILE%\AppData\Local\Temp\OnboardLogs" /stypes="app*4044*20161116*" /stext=" 14:.+((SYSTEM_STATE.+slice.+state.+changed )|(ment ac)|(system.+state.+changed )|(\[timeout)|(PRM\|1\|D)|(kpr)|(kdp)|(\|lc)|(penalty))" /e /r /s</v>
      </c>
      <c r="AG35" s="1" t="str">
        <f t="shared" si="28"/>
        <v>EC</v>
      </c>
      <c r="AH35" s="92" t="str">
        <f t="shared" si="14"/>
        <v>"%USERPROFILE%\Documents\GitHub\eaglep3\Utilities\RefineRTDCRunTimes.py" --tripid 127-16 --locoid 4044 --swversion DE.1.0.8.0 --startMP 204:759 --initTime 2016-11-16T06:48:25 --startdatetime 2016-11-16T07:00:18 --delay 4 --endMP 204:233308 --enddatetime 2016-11-16T07:41:53 --enforcementcount 0 &gt;&gt;C:\Users\stu\Documents\GitHub\eaglep3-reporting\EC\2016-11-16-refined-times.txt</v>
      </c>
      <c r="AI35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{"issue":{"subject":"","project_id":79,"tracker_id":40,"status_id":1,"priority_id":2,"assigned_to_id":23,"start_date":"2016-11-16","description":"","custom_fields":[{"id":1,"name":"Subdivision","value":"EC"},{"id":4,"name":"Milepost","value":"23.3308"},{"id":17,"name":"Train ID","value":"127-16"},{"id":16,"name":"Locomotive ID","value":"4044"},{"id":130,"name":"Impact","value":""},{"id":150,"name":"Time of Event (Mountain Time)","value":"07:41:53"},{"id":151,"name":"Denver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492</v>
      </c>
      <c r="B36" s="7">
        <v>4043</v>
      </c>
      <c r="C36" s="22" t="s">
        <v>222</v>
      </c>
      <c r="D36" s="22" t="s">
        <v>292</v>
      </c>
      <c r="E36" s="13">
        <v>42690.328287037039</v>
      </c>
      <c r="F36" s="13">
        <v>42690.330775462964</v>
      </c>
      <c r="G36" s="7">
        <v>1</v>
      </c>
      <c r="H36" s="22" t="s">
        <v>236</v>
      </c>
      <c r="I36" s="13">
        <v>42690.363043981481</v>
      </c>
      <c r="J36" s="7">
        <v>0</v>
      </c>
      <c r="K36" s="109" t="str">
        <f t="shared" si="18"/>
        <v>4043/4044</v>
      </c>
      <c r="L36" s="22" t="str">
        <f>VLOOKUP(A36,'Trips&amp;Operators'!$C$1:$E$10000,3,FALSE)</f>
        <v>ROBINSON</v>
      </c>
      <c r="M36" s="6">
        <f t="shared" si="19"/>
        <v>3.2268518516502809E-2</v>
      </c>
      <c r="N36" s="7">
        <f t="shared" si="20"/>
        <v>46.466666663764045</v>
      </c>
      <c r="O36" s="7"/>
      <c r="P36" s="7"/>
      <c r="Q36" s="23"/>
      <c r="R36" s="23"/>
      <c r="S36" s="35">
        <f t="shared" si="21"/>
        <v>1</v>
      </c>
      <c r="T36" s="50" t="str">
        <f t="shared" si="22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06:52:44-700',mode:absolute,to:'2016-11-16 09:42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6" s="52" t="str">
        <f t="shared" si="23"/>
        <v>N</v>
      </c>
      <c r="X36" s="177">
        <f t="shared" si="31"/>
        <v>1</v>
      </c>
      <c r="Y36" s="67">
        <f t="shared" si="24"/>
        <v>23.2989</v>
      </c>
      <c r="Z36" s="67">
        <f t="shared" si="25"/>
        <v>1.4999999999999999E-2</v>
      </c>
      <c r="AA36" s="67">
        <f t="shared" si="26"/>
        <v>23.283899999999999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27"/>
        <v>0128-16</v>
      </c>
      <c r="AE36" s="91" t="str">
        <f t="shared" si="11"/>
        <v>aws s3 cp s3://rtdc.mdm.uploadarchive.raw/RTDC4043/ "%USERPROFILE%\AppData\Local\Temp\OnboardLogs"\RTDC4043\2016-11-16 --exclude "*" --recursive --include "*20161116*" &amp; "%USERPROFILE%\Documents\GitHub\mrs-test-scripts\Headless Mode &amp; Sideloading\WalkAndUnGZ.bat" "%USERPROFILE%\AppData\Local\Temp\OnboardLogs"\RTDC4043\2016-11-16 &amp; aws s3 cp s3://rtdc.mdm.uploadarchive.raw/RTDC4043/ "%USERPROFILE%\AppData\Local\Temp\OnboardLogs"\RTDC4043\2016-11-17 --exclude "*" --recursive --include "*20161117*" &amp; "%USERPROFILE%\Documents\GitHub\mrs-test-scripts\Headless Mode &amp; Sideloading\WalkAndUnGZ.bat" "%USERPROFILE%\AppData\Local\Temp\OnboardLogs"\RTDC4043\2016-11-17</v>
      </c>
      <c r="AF36" s="88" t="str">
        <f t="shared" si="12"/>
        <v>"C:\Program Files (x86)\AstroGrep\AstroGrep.exe" /spath="%USERPROFILE%\AppData\Local\Temp\OnboardLogs" /stypes="app*4043*20161116*" /stext=" 15:.+((SYSTEM_STATE.+slice.+state.+changed )|(ment ac)|(system.+state.+changed )|(\[timeout)|(PRM\|1\|D)|(kpr)|(kdp)|(\|lc)|(penalty))" /e /r /s</v>
      </c>
      <c r="AG36" s="1" t="str">
        <f t="shared" si="28"/>
        <v>EC</v>
      </c>
      <c r="AH36" s="92" t="str">
        <f t="shared" si="14"/>
        <v>"%USERPROFILE%\Documents\GitHub\eaglep3\Utilities\RefineRTDCRunTimes.py" --tripid 128-16 --locoid 4043 --swversion DE.1.0.8.0 --startMP 204:232989 --initTime 2016-11-16T07:52:44 --startdatetime 2016-11-16T07:56:19 --delay 1 --endMP 204:150 --enddatetime 2016-11-16T08:42:47 --enforcementcount 0 &gt;&gt;C:\Users\stu\Documents\GitHub\eaglep3-reporting\EC\2016-11-16-refined-times.txt</v>
      </c>
      <c r="AI36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{"issue":{"subject":"","project_id":79,"tracker_id":40,"status_id":1,"priority_id":2,"assigned_to_id":23,"start_date":"2016-11-16","description":"","custom_fields":[{"id":1,"name":"Subdivision","value":"EC"},{"id":4,"name":"Milepost","value":"0.015"},{"id":17,"name":"Train ID","value":"128-16"},{"id":16,"name":"Locomotive ID","value":"4043"},{"id":130,"name":"Impact","value":""},{"id":150,"name":"Time of Event (Mountain Time)","value":"08:42:47"},{"id":151,"name":"Denver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487</v>
      </c>
      <c r="B37" s="7">
        <v>4029</v>
      </c>
      <c r="C37" s="22" t="s">
        <v>222</v>
      </c>
      <c r="D37" s="22" t="s">
        <v>645</v>
      </c>
      <c r="E37" s="13">
        <v>42690.296620370369</v>
      </c>
      <c r="F37" s="13">
        <v>42690.302418981482</v>
      </c>
      <c r="G37" s="7">
        <v>1</v>
      </c>
      <c r="H37" s="22" t="s">
        <v>253</v>
      </c>
      <c r="I37" s="13">
        <v>42690.327847222223</v>
      </c>
      <c r="J37" s="7">
        <v>0</v>
      </c>
      <c r="K37" s="109" t="str">
        <f t="shared" si="18"/>
        <v>4029/4030</v>
      </c>
      <c r="L37" s="22" t="str">
        <f>VLOOKUP(A37,'Trips&amp;Operators'!$C$1:$E$10000,3,FALSE)</f>
        <v>MAGEE</v>
      </c>
      <c r="M37" s="6">
        <f t="shared" si="19"/>
        <v>2.5428240740438923E-2</v>
      </c>
      <c r="N37" s="7">
        <f t="shared" si="20"/>
        <v>36.616666666232049</v>
      </c>
      <c r="O37" s="7"/>
      <c r="P37" s="7"/>
      <c r="Q37" s="23"/>
      <c r="R37" s="23"/>
      <c r="S37" s="35">
        <f t="shared" si="21"/>
        <v>1</v>
      </c>
      <c r="T37" s="50" t="str">
        <f t="shared" si="22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06:07:08-700',mode:absolute,to:'2016-11-16 08:52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7" s="52" t="str">
        <f t="shared" si="23"/>
        <v>N</v>
      </c>
      <c r="X37" s="177">
        <f t="shared" si="31"/>
        <v>1</v>
      </c>
      <c r="Y37" s="67">
        <f t="shared" si="24"/>
        <v>4.8800000000000003E-2</v>
      </c>
      <c r="Z37" s="67">
        <f t="shared" si="25"/>
        <v>23.330300000000001</v>
      </c>
      <c r="AA37" s="67">
        <f t="shared" si="26"/>
        <v>23.281500000000001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27"/>
        <v>0129-16</v>
      </c>
      <c r="AE37" s="91" t="str">
        <f t="shared" si="11"/>
        <v>aws s3 cp s3://rtdc.mdm.uploadarchive.raw/RTDC4029/ "%USERPROFILE%\AppData\Local\Temp\OnboardLogs"\RTDC4029\2016-11-16 --exclude "*" --recursive --include "*20161116*" &amp; "%USERPROFILE%\Documents\GitHub\mrs-test-scripts\Headless Mode &amp; Sideloading\WalkAndUnGZ.bat" "%USERPROFILE%\AppData\Local\Temp\OnboardLogs"\RTDC4029\2016-11-16 &amp; aws s3 cp s3://rtdc.mdm.uploadarchive.raw/RTDC4029/ "%USERPROFILE%\AppData\Local\Temp\OnboardLogs"\RTDC4029\2016-11-17 --exclude "*" --recursive --include "*20161117*" &amp; "%USERPROFILE%\Documents\GitHub\mrs-test-scripts\Headless Mode &amp; Sideloading\WalkAndUnGZ.bat" "%USERPROFILE%\AppData\Local\Temp\OnboardLogs"\RTDC4029\2016-11-17</v>
      </c>
      <c r="AF37" s="88" t="str">
        <f t="shared" si="12"/>
        <v>"C:\Program Files (x86)\AstroGrep\AstroGrep.exe" /spath="%USERPROFILE%\AppData\Local\Temp\OnboardLogs" /stypes="app*4029*20161116*" /stext=" 14:.+((SYSTEM_STATE.+slice.+state.+changed )|(ment ac)|(system.+state.+changed )|(\[timeout)|(PRM\|1\|D)|(kpr)|(kdp)|(\|lc)|(penalty))" /e /r /s</v>
      </c>
      <c r="AG37" s="1" t="str">
        <f t="shared" si="28"/>
        <v>EC</v>
      </c>
      <c r="AH37" s="92" t="str">
        <f t="shared" si="14"/>
        <v>"%USERPROFILE%\Documents\GitHub\eaglep3\Utilities\RefineRTDCRunTimes.py" --tripid 129-16 --locoid 4029 --swversion DE.1.0.8.0 --startMP 204:488 --initTime 2016-11-16T07:07:08 --startdatetime 2016-11-16T07:15:29 --delay 1 --endMP 204:233303 --enddatetime 2016-11-16T07:52:06 --enforcementcount 0 &gt;&gt;C:\Users\stu\Documents\GitHub\eaglep3-reporting\EC\2016-11-16-refined-times.txt</v>
      </c>
      <c r="AI37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{"issue":{"subject":"","project_id":79,"tracker_id":40,"status_id":1,"priority_id":2,"assigned_to_id":23,"start_date":"2016-11-16","description":"","custom_fields":[{"id":1,"name":"Subdivision","value":"EC"},{"id":4,"name":"Milepost","value":"23.3303"},{"id":17,"name":"Train ID","value":"129-16"},{"id":16,"name":"Locomotive ID","value":"4029"},{"id":130,"name":"Impact","value":""},{"id":150,"name":"Time of Event (Mountain Time)","value":"07:52:06"},{"id":151,"name":"Denver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411</v>
      </c>
      <c r="B38" s="7">
        <v>4030</v>
      </c>
      <c r="C38" s="22" t="s">
        <v>222</v>
      </c>
      <c r="D38" s="22" t="s">
        <v>293</v>
      </c>
      <c r="E38" s="13">
        <v>42690.330763888887</v>
      </c>
      <c r="F38" s="13">
        <v>42690.341516203705</v>
      </c>
      <c r="G38" s="7">
        <v>1</v>
      </c>
      <c r="H38" s="22" t="s">
        <v>653</v>
      </c>
      <c r="I38" s="13">
        <v>42690.371782407405</v>
      </c>
      <c r="J38" s="7">
        <v>0</v>
      </c>
      <c r="K38" s="109" t="str">
        <f t="shared" si="18"/>
        <v>4029/4030</v>
      </c>
      <c r="L38" s="22" t="str">
        <f>VLOOKUP(A38,'Trips&amp;Operators'!$C$1:$E$10000,3,FALSE)</f>
        <v>MAGEE</v>
      </c>
      <c r="M38" s="6">
        <f t="shared" si="19"/>
        <v>3.0266203699284233E-2</v>
      </c>
      <c r="N38" s="7">
        <f t="shared" si="20"/>
        <v>43.583333326969296</v>
      </c>
      <c r="O38" s="7"/>
      <c r="P38" s="7"/>
      <c r="Q38" s="23"/>
      <c r="R38" s="23"/>
      <c r="S38" s="35">
        <f t="shared" si="21"/>
        <v>1</v>
      </c>
      <c r="T38" s="50" t="str">
        <f t="shared" si="22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06:56:18-700',mode:absolute,to:'2016-11-16 09:55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8" s="52" t="str">
        <f t="shared" si="23"/>
        <v>N</v>
      </c>
      <c r="X38" s="177">
        <f t="shared" si="31"/>
        <v>1</v>
      </c>
      <c r="Y38" s="67">
        <f t="shared" si="24"/>
        <v>23.297499999999999</v>
      </c>
      <c r="Z38" s="67">
        <f t="shared" si="25"/>
        <v>1.7000000000000001E-2</v>
      </c>
      <c r="AA38" s="67">
        <f t="shared" si="26"/>
        <v>23.2805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27"/>
        <v>0130-16</v>
      </c>
      <c r="AE38" s="91" t="str">
        <f t="shared" si="11"/>
        <v>aws s3 cp s3://rtdc.mdm.uploadarchive.raw/RTDC4030/ "%USERPROFILE%\AppData\Local\Temp\OnboardLogs"\RTDC4030\2016-11-16 --exclude "*" --recursive --include "*20161116*" &amp; "%USERPROFILE%\Documents\GitHub\mrs-test-scripts\Headless Mode &amp; Sideloading\WalkAndUnGZ.bat" "%USERPROFILE%\AppData\Local\Temp\OnboardLogs"\RTDC4030\2016-11-16 &amp; aws s3 cp s3://rtdc.mdm.uploadarchive.raw/RTDC4030/ "%USERPROFILE%\AppData\Local\Temp\OnboardLogs"\RTDC4030\2016-11-17 --exclude "*" --recursive --include "*20161117*" &amp; "%USERPROFILE%\Documents\GitHub\mrs-test-scripts\Headless Mode &amp; Sideloading\WalkAndUnGZ.bat" "%USERPROFILE%\AppData\Local\Temp\OnboardLogs"\RTDC4030\2016-11-17</v>
      </c>
      <c r="AF38" s="88" t="str">
        <f t="shared" si="12"/>
        <v>"C:\Program Files (x86)\AstroGrep\AstroGrep.exe" /spath="%USERPROFILE%\AppData\Local\Temp\OnboardLogs" /stypes="app*4030*20161116*" /stext=" 15:.+((SYSTEM_STATE.+slice.+state.+changed )|(ment ac)|(system.+state.+changed )|(\[timeout)|(PRM\|1\|D)|(kpr)|(kdp)|(\|lc)|(penalty))" /e /r /s</v>
      </c>
      <c r="AG38" s="1" t="str">
        <f t="shared" si="28"/>
        <v>EC</v>
      </c>
      <c r="AH38" s="92" t="str">
        <f t="shared" si="14"/>
        <v>"%USERPROFILE%\Documents\GitHub\eaglep3\Utilities\RefineRTDCRunTimes.py" --tripid 130-16 --locoid 4030 --swversion DE.1.0.8.0 --startMP 204:232975 --initTime 2016-11-16T07:56:18 --startdatetime 2016-11-16T08:11:47 --delay 1 --endMP 204:170 --enddatetime 2016-11-16T08:55:22 --enforcementcount 0 &gt;&gt;C:\Users\stu\Documents\GitHub\eaglep3-reporting\EC\2016-11-16-refined-times.txt</v>
      </c>
      <c r="AI38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{"issue":{"subject":"","project_id":79,"tracker_id":40,"status_id":1,"priority_id":2,"assigned_to_id":23,"start_date":"2016-11-16","description":"","custom_fields":[{"id":1,"name":"Subdivision","value":"EC"},{"id":4,"name":"Milepost","value":"0.017"},{"id":17,"name":"Train ID","value":"130-16"},{"id":16,"name":"Locomotive ID","value":"4030"},{"id":130,"name":"Impact","value":""},{"id":150,"name":"Time of Event (Mountain Time)","value":"08:55:22"},{"id":151,"name":"Denver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488</v>
      </c>
      <c r="B39" s="7">
        <v>4038</v>
      </c>
      <c r="C39" s="22" t="s">
        <v>222</v>
      </c>
      <c r="D39" s="22" t="s">
        <v>654</v>
      </c>
      <c r="E39" s="13">
        <v>42690.308252314811</v>
      </c>
      <c r="F39" s="13">
        <v>42690.313217592593</v>
      </c>
      <c r="G39" s="7">
        <v>1</v>
      </c>
      <c r="H39" s="22" t="s">
        <v>254</v>
      </c>
      <c r="I39" s="13">
        <v>42690.344733796293</v>
      </c>
      <c r="J39" s="7">
        <v>0</v>
      </c>
      <c r="K39" s="109" t="str">
        <f t="shared" si="18"/>
        <v>4037/4038</v>
      </c>
      <c r="L39" s="22" t="str">
        <f>VLOOKUP(A39,'Trips&amp;Operators'!$C$1:$E$10000,3,FALSE)</f>
        <v>MAELZER</v>
      </c>
      <c r="M39" s="6">
        <f t="shared" si="19"/>
        <v>3.1516203700448386E-2</v>
      </c>
      <c r="N39" s="7">
        <f t="shared" si="20"/>
        <v>45.383333328645676</v>
      </c>
      <c r="O39" s="7"/>
      <c r="P39" s="7"/>
      <c r="Q39" s="23"/>
      <c r="R39" s="23"/>
      <c r="S39" s="35">
        <f t="shared" si="21"/>
        <v>1</v>
      </c>
      <c r="T39" s="50" t="str">
        <f t="shared" si="22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06:23:53-700',mode:absolute,to:'2016-11-16 09:16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9" s="52" t="str">
        <f t="shared" si="23"/>
        <v>N</v>
      </c>
      <c r="X39" s="177">
        <f t="shared" si="31"/>
        <v>1</v>
      </c>
      <c r="Y39" s="67">
        <f t="shared" si="24"/>
        <v>4.3700000000000003E-2</v>
      </c>
      <c r="Z39" s="67">
        <f t="shared" si="25"/>
        <v>23.331</v>
      </c>
      <c r="AA39" s="67">
        <f t="shared" si="26"/>
        <v>23.287299999999998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27"/>
        <v>0131-16</v>
      </c>
      <c r="AE39" s="91" t="str">
        <f t="shared" si="11"/>
        <v>aws s3 cp s3://rtdc.mdm.uploadarchive.raw/RTDC4038/ "%USERPROFILE%\AppData\Local\Temp\OnboardLogs"\RTDC4038\2016-11-16 --exclude "*" --recursive --include "*20161116*" &amp; "%USERPROFILE%\Documents\GitHub\mrs-test-scripts\Headless Mode &amp; Sideloading\WalkAndUnGZ.bat" "%USERPROFILE%\AppData\Local\Temp\OnboardLogs"\RTDC4038\2016-11-16 &amp; 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</v>
      </c>
      <c r="AF39" s="88" t="str">
        <f t="shared" si="12"/>
        <v>"C:\Program Files (x86)\AstroGrep\AstroGrep.exe" /spath="%USERPROFILE%\AppData\Local\Temp\OnboardLogs" /stypes="app*4038*20161116*" /stext=" 15:.+((SYSTEM_STATE.+slice.+state.+changed )|(ment ac)|(system.+state.+changed )|(\[timeout)|(PRM\|1\|D)|(kpr)|(kdp)|(\|lc)|(penalty))" /e /r /s</v>
      </c>
      <c r="AG39" s="1" t="str">
        <f t="shared" si="28"/>
        <v>EC</v>
      </c>
      <c r="AH39" s="92" t="str">
        <f t="shared" si="14"/>
        <v>"%USERPROFILE%\Documents\GitHub\eaglep3\Utilities\RefineRTDCRunTimes.py" --tripid 131-16 --locoid 4038 --swversion DE.1.0.8.0 --startMP 204:437 --initTime 2016-11-16T07:23:53 --startdatetime 2016-11-16T07:31:02 --delay 1 --endMP 204:233310 --enddatetime 2016-11-16T08:16:25 --enforcementcount 0 &gt;&gt;C:\Users\stu\Documents\GitHub\eaglep3-reporting\EC\2016-11-16-refined-times.txt</v>
      </c>
      <c r="AI39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{"issue":{"subject":"","project_id":79,"tracker_id":40,"status_id":1,"priority_id":2,"assigned_to_id":23,"start_date":"2016-11-16","description":"","custom_fields":[{"id":1,"name":"Subdivision","value":"EC"},{"id":4,"name":"Milepost","value":"23.331"},{"id":17,"name":"Train ID","value":"131-16"},{"id":16,"name":"Locomotive ID","value":"4038"},{"id":130,"name":"Impact","value":""},{"id":150,"name":"Time of Event (Mountain Time)","value":"08:16:25"},{"id":151,"name":"Denver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498</v>
      </c>
      <c r="B40" s="7">
        <v>4037</v>
      </c>
      <c r="C40" s="22" t="s">
        <v>222</v>
      </c>
      <c r="D40" s="22" t="s">
        <v>299</v>
      </c>
      <c r="E40" s="13">
        <v>42690.349236111113</v>
      </c>
      <c r="F40" s="13">
        <v>42690.3516087963</v>
      </c>
      <c r="G40" s="7">
        <v>2</v>
      </c>
      <c r="H40" s="22" t="s">
        <v>648</v>
      </c>
      <c r="I40" s="13">
        <v>42690.3825462963</v>
      </c>
      <c r="J40" s="7">
        <v>0</v>
      </c>
      <c r="K40" s="109" t="str">
        <f t="shared" si="18"/>
        <v>4037/4038</v>
      </c>
      <c r="L40" s="22" t="str">
        <f>VLOOKUP(A40,'Trips&amp;Operators'!$C$1:$E$10000,3,FALSE)</f>
        <v>MAELZER</v>
      </c>
      <c r="M40" s="6">
        <f t="shared" si="19"/>
        <v>3.0937499999708962E-2</v>
      </c>
      <c r="N40" s="7">
        <f t="shared" si="20"/>
        <v>44.549999999580905</v>
      </c>
      <c r="O40" s="7"/>
      <c r="P40" s="7"/>
      <c r="Q40" s="23"/>
      <c r="R40" s="23"/>
      <c r="S40" s="35">
        <f t="shared" si="21"/>
        <v>1</v>
      </c>
      <c r="T40" s="50" t="str">
        <f t="shared" si="22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07:22:54-700',mode:absolute,to:'2016-11-16 10:10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0" s="52" t="str">
        <f t="shared" si="23"/>
        <v>N</v>
      </c>
      <c r="X40" s="177">
        <f t="shared" ref="X40:X71" si="32">VALUE(LEFT(AD40,4))-VALUE(LEFT(AD39,4))</f>
        <v>1</v>
      </c>
      <c r="Y40" s="67">
        <f t="shared" si="24"/>
        <v>23.299399999999999</v>
      </c>
      <c r="Z40" s="67">
        <f t="shared" si="25"/>
        <v>1.47E-2</v>
      </c>
      <c r="AA40" s="67">
        <f t="shared" si="26"/>
        <v>23.284699999999997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27"/>
        <v>0132-16</v>
      </c>
      <c r="AE40" s="91" t="str">
        <f t="shared" si="11"/>
        <v>aws s3 cp s3://rtdc.mdm.uploadarchive.raw/RTDC4037/ "%USERPROFILE%\AppData\Local\Temp\OnboardLogs"\RTDC4037\2016-11-16 --exclude "*" --recursive --include "*20161116*" &amp; "%USERPROFILE%\Documents\GitHub\mrs-test-scripts\Headless Mode &amp; Sideloading\WalkAndUnGZ.bat" "%USERPROFILE%\AppData\Local\Temp\OnboardLogs"\RTDC4037\2016-11-16 &amp; 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</v>
      </c>
      <c r="AF40" s="88" t="str">
        <f t="shared" si="12"/>
        <v>"C:\Program Files (x86)\AstroGrep\AstroGrep.exe" /spath="%USERPROFILE%\AppData\Local\Temp\OnboardLogs" /stypes="app*4037*20161116*" /stext=" 16:.+((SYSTEM_STATE.+slice.+state.+changed )|(ment ac)|(system.+state.+changed )|(\[timeout)|(PRM\|1\|D)|(kpr)|(kdp)|(\|lc)|(penalty))" /e /r /s</v>
      </c>
      <c r="AG40" s="1" t="str">
        <f t="shared" si="28"/>
        <v>EC</v>
      </c>
      <c r="AH40" s="92" t="str">
        <f t="shared" si="14"/>
        <v>"%USERPROFILE%\Documents\GitHub\eaglep3\Utilities\RefineRTDCRunTimes.py" --tripid 132-16 --locoid 4037 --swversion DE.1.0.8.0 --startMP 204:232994 --initTime 2016-11-16T08:22:54 --startdatetime 2016-11-16T08:26:19 --delay 2 --endMP 204:147 --enddatetime 2016-11-16T09:10:52 --enforcementcount 0 &gt;&gt;C:\Users\stu\Documents\GitHub\eaglep3-reporting\EC\2016-11-16-refined-times.txt</v>
      </c>
      <c r="AI40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{"issue":{"subject":"","project_id":79,"tracker_id":40,"status_id":1,"priority_id":2,"assigned_to_id":23,"start_date":"2016-11-16","description":"","custom_fields":[{"id":1,"name":"Subdivision","value":"EC"},{"id":4,"name":"Milepost","value":"0.0147"},{"id":17,"name":"Train ID","value":"132-16"},{"id":16,"name":"Locomotive ID","value":"4037"},{"id":130,"name":"Impact","value":""},{"id":150,"name":"Time of Event (Mountain Time)","value":"09:10:52"},{"id":151,"name":"Denver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491</v>
      </c>
      <c r="B41" s="7">
        <v>4009</v>
      </c>
      <c r="C41" s="22" t="s">
        <v>222</v>
      </c>
      <c r="D41" s="22" t="s">
        <v>198</v>
      </c>
      <c r="E41" s="13">
        <v>42690.317939814813</v>
      </c>
      <c r="F41" s="13">
        <v>42690.323125000003</v>
      </c>
      <c r="G41" s="7">
        <v>6</v>
      </c>
      <c r="H41" s="22" t="s">
        <v>364</v>
      </c>
      <c r="I41" s="13">
        <v>42690.350752314815</v>
      </c>
      <c r="J41" s="7">
        <v>0</v>
      </c>
      <c r="K41" s="109" t="str">
        <f t="shared" si="18"/>
        <v>4009/4010</v>
      </c>
      <c r="L41" s="22" t="str">
        <f>VLOOKUP(A41,'Trips&amp;Operators'!$C$1:$E$10000,3,FALSE)</f>
        <v>RICHARDSON</v>
      </c>
      <c r="M41" s="6">
        <f t="shared" si="19"/>
        <v>2.7627314811979886E-2</v>
      </c>
      <c r="N41" s="7">
        <f t="shared" si="20"/>
        <v>39.783333329251036</v>
      </c>
      <c r="O41" s="7"/>
      <c r="P41" s="7"/>
      <c r="Q41" s="23"/>
      <c r="R41" s="23"/>
      <c r="S41" s="35">
        <f t="shared" si="21"/>
        <v>1</v>
      </c>
      <c r="T41" s="50" t="str">
        <f t="shared" si="22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06:37:50-700',mode:absolute,to:'2016-11-16 09:25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1" s="52" t="str">
        <f t="shared" si="23"/>
        <v>N</v>
      </c>
      <c r="X41" s="177">
        <f t="shared" si="32"/>
        <v>1</v>
      </c>
      <c r="Y41" s="67">
        <f t="shared" si="24"/>
        <v>4.4699999999999997E-2</v>
      </c>
      <c r="Z41" s="67">
        <f t="shared" si="25"/>
        <v>23.3278</v>
      </c>
      <c r="AA41" s="67">
        <f t="shared" si="26"/>
        <v>23.283100000000001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27"/>
        <v>0133-16</v>
      </c>
      <c r="AE41" s="91" t="str">
        <f t="shared" si="11"/>
        <v>aws s3 cp s3://rtdc.mdm.uploadarchive.raw/RTDC4009/ "%USERPROFILE%\AppData\Local\Temp\OnboardLogs"\RTDC4009\2016-11-16 --exclude "*" --recursive --include "*20161116*" &amp; "%USERPROFILE%\Documents\GitHub\mrs-test-scripts\Headless Mode &amp; Sideloading\WalkAndUnGZ.bat" "%USERPROFILE%\AppData\Local\Temp\OnboardLogs"\RTDC4009\2016-11-16 &amp; aws s3 cp s3://rtdc.mdm.uploadarchive.raw/RTDC4009/ "%USERPROFILE%\AppData\Local\Temp\OnboardLogs"\RTDC4009\2016-11-17 --exclude "*" --recursive --include "*20161117*" &amp; "%USERPROFILE%\Documents\GitHub\mrs-test-scripts\Headless Mode &amp; Sideloading\WalkAndUnGZ.bat" "%USERPROFILE%\AppData\Local\Temp\OnboardLogs"\RTDC4009\2016-11-17</v>
      </c>
      <c r="AF41" s="88" t="str">
        <f t="shared" si="12"/>
        <v>"C:\Program Files (x86)\AstroGrep\AstroGrep.exe" /spath="%USERPROFILE%\AppData\Local\Temp\OnboardLogs" /stypes="app*4009*20161116*" /stext=" 15:.+((SYSTEM_STATE.+slice.+state.+changed )|(ment ac)|(system.+state.+changed )|(\[timeout)|(PRM\|1\|D)|(kpr)|(kdp)|(\|lc)|(penalty))" /e /r /s</v>
      </c>
      <c r="AG41" s="1" t="str">
        <f t="shared" si="28"/>
        <v>EC</v>
      </c>
      <c r="AH41" s="92" t="str">
        <f t="shared" si="14"/>
        <v>"%USERPROFILE%\Documents\GitHub\eaglep3\Utilities\RefineRTDCRunTimes.py" --tripid 133-16 --locoid 4009 --swversion DE.1.0.8.0 --startMP 204:447 --initTime 2016-11-16T07:37:50 --startdatetime 2016-11-16T07:45:18 --delay 6 --endMP 204:233278 --enddatetime 2016-11-16T08:25:05 --enforcementcount 0 &gt;&gt;C:\Users\stu\Documents\GitHub\eaglep3-reporting\EC\2016-11-16-refined-times.txt</v>
      </c>
      <c r="AI41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{"issue":{"subject":"","project_id":79,"tracker_id":40,"status_id":1,"priority_id":2,"assigned_to_id":23,"start_date":"2016-11-16","description":"","custom_fields":[{"id":1,"name":"Subdivision","value":"EC"},{"id":4,"name":"Milepost","value":"23.3278"},{"id":17,"name":"Train ID","value":"133-16"},{"id":16,"name":"Locomotive ID","value":"4009"},{"id":130,"name":"Impact","value":""},{"id":150,"name":"Time of Event (Mountain Time)","value":"08:25:05"},{"id":151,"name":"Denver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414</v>
      </c>
      <c r="B42" s="7">
        <v>4010</v>
      </c>
      <c r="C42" s="22" t="s">
        <v>222</v>
      </c>
      <c r="D42" s="22" t="s">
        <v>655</v>
      </c>
      <c r="E42" s="13">
        <v>42690.356851851851</v>
      </c>
      <c r="F42" s="13">
        <v>42690.363865740743</v>
      </c>
      <c r="G42" s="7">
        <v>6</v>
      </c>
      <c r="H42" s="22" t="s">
        <v>317</v>
      </c>
      <c r="I42" s="13">
        <v>42690.39234953704</v>
      </c>
      <c r="J42" s="7">
        <v>0</v>
      </c>
      <c r="K42" s="109" t="str">
        <f t="shared" si="18"/>
        <v>4009/4010</v>
      </c>
      <c r="L42" s="22" t="str">
        <f>VLOOKUP(A42,'Trips&amp;Operators'!$C$1:$E$10000,3,FALSE)</f>
        <v>RICHARDSON</v>
      </c>
      <c r="M42" s="6">
        <f t="shared" si="19"/>
        <v>2.8483796297223307E-2</v>
      </c>
      <c r="N42" s="7">
        <f t="shared" si="20"/>
        <v>41.016666668001562</v>
      </c>
      <c r="O42" s="7"/>
      <c r="P42" s="7"/>
      <c r="Q42" s="23"/>
      <c r="R42" s="23"/>
      <c r="S42" s="35">
        <f t="shared" si="21"/>
        <v>1</v>
      </c>
      <c r="T42" s="50" t="str">
        <f t="shared" si="22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07:33:52-700',mode:absolute,to:'2016-11-16 10:24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2" s="52" t="str">
        <f t="shared" si="23"/>
        <v>N</v>
      </c>
      <c r="X42" s="177">
        <f t="shared" si="32"/>
        <v>1</v>
      </c>
      <c r="Y42" s="67">
        <f t="shared" si="24"/>
        <v>23.297799999999999</v>
      </c>
      <c r="Z42" s="67">
        <f t="shared" si="25"/>
        <v>1.32E-2</v>
      </c>
      <c r="AA42" s="67">
        <f t="shared" si="26"/>
        <v>23.284599999999998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27"/>
        <v>0134-16</v>
      </c>
      <c r="AE42" s="91" t="str">
        <f t="shared" si="11"/>
        <v>aws s3 cp s3://rtdc.mdm.uploadarchive.raw/RTDC4010/ "%USERPROFILE%\AppData\Local\Temp\OnboardLogs"\RTDC4010\2016-11-16 --exclude "*" --recursive --include "*20161116*" &amp; "%USERPROFILE%\Documents\GitHub\mrs-test-scripts\Headless Mode &amp; Sideloading\WalkAndUnGZ.bat" "%USERPROFILE%\AppData\Local\Temp\OnboardLogs"\RTDC4010\2016-11-16 &amp; aws s3 cp s3://rtdc.mdm.uploadarchive.raw/RTDC4010/ "%USERPROFILE%\AppData\Local\Temp\OnboardLogs"\RTDC4010\2016-11-17 --exclude "*" --recursive --include "*20161117*" &amp; "%USERPROFILE%\Documents\GitHub\mrs-test-scripts\Headless Mode &amp; Sideloading\WalkAndUnGZ.bat" "%USERPROFILE%\AppData\Local\Temp\OnboardLogs"\RTDC4010\2016-11-17</v>
      </c>
      <c r="AF42" s="88" t="str">
        <f t="shared" si="12"/>
        <v>"C:\Program Files (x86)\AstroGrep\AstroGrep.exe" /spath="%USERPROFILE%\AppData\Local\Temp\OnboardLogs" /stypes="app*4010*20161116*" /stext=" 16:.+((SYSTEM_STATE.+slice.+state.+changed )|(ment ac)|(system.+state.+changed )|(\[timeout)|(PRM\|1\|D)|(kpr)|(kdp)|(\|lc)|(penalty))" /e /r /s</v>
      </c>
      <c r="AG42" s="1" t="str">
        <f t="shared" si="28"/>
        <v>EC</v>
      </c>
      <c r="AH42" s="92" t="str">
        <f t="shared" si="14"/>
        <v>"%USERPROFILE%\Documents\GitHub\eaglep3\Utilities\RefineRTDCRunTimes.py" --tripid 134-16 --locoid 4010 --swversion DE.1.0.8.0 --startMP 204:232978 --initTime 2016-11-16T08:33:52 --startdatetime 2016-11-16T08:43:58 --delay 6 --endMP 204:132 --enddatetime 2016-11-16T09:24:59 --enforcementcount 0 &gt;&gt;C:\Users\stu\Documents\GitHub\eaglep3-reporting\EC\2016-11-16-refined-times.txt</v>
      </c>
      <c r="AI42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{"issue":{"subject":"","project_id":79,"tracker_id":40,"status_id":1,"priority_id":2,"assigned_to_id":23,"start_date":"2016-11-16","description":"","custom_fields":[{"id":1,"name":"Subdivision","value":"EC"},{"id":4,"name":"Milepost","value":"0.0132"},{"id":17,"name":"Train ID","value":"134-16"},{"id":16,"name":"Locomotive ID","value":"4010"},{"id":130,"name":"Impact","value":""},{"id":150,"name":"Time of Event (Mountain Time)","value":"09:24:59"},{"id":151,"name":"Denver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493</v>
      </c>
      <c r="B43" s="7">
        <v>4007</v>
      </c>
      <c r="C43" s="22" t="s">
        <v>222</v>
      </c>
      <c r="D43" s="22" t="s">
        <v>202</v>
      </c>
      <c r="E43" s="13">
        <v>42690.337442129632</v>
      </c>
      <c r="F43" s="13">
        <v>42690.339039351849</v>
      </c>
      <c r="G43" s="7">
        <v>1</v>
      </c>
      <c r="H43" s="22" t="s">
        <v>233</v>
      </c>
      <c r="I43" s="13">
        <v>42690.363703703704</v>
      </c>
      <c r="J43" s="7">
        <v>0</v>
      </c>
      <c r="K43" s="109" t="str">
        <f t="shared" si="18"/>
        <v>4007/4008</v>
      </c>
      <c r="L43" s="22" t="str">
        <f>VLOOKUP(A43,'Trips&amp;Operators'!$C$1:$E$10000,3,FALSE)</f>
        <v>SAFIEF</v>
      </c>
      <c r="M43" s="6">
        <f t="shared" si="19"/>
        <v>2.4664351854880806E-2</v>
      </c>
      <c r="N43" s="7">
        <f t="shared" si="20"/>
        <v>35.516666671028361</v>
      </c>
      <c r="O43" s="7"/>
      <c r="P43" s="7"/>
      <c r="Q43" s="23"/>
      <c r="R43" s="23"/>
      <c r="S43" s="35">
        <f t="shared" si="21"/>
        <v>1</v>
      </c>
      <c r="T43" s="50" t="str">
        <f t="shared" si="22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07:05:55-700',mode:absolute,to:'2016-11-16 09:43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3" s="52" t="str">
        <f t="shared" si="23"/>
        <v>N</v>
      </c>
      <c r="X43" s="177">
        <f t="shared" si="32"/>
        <v>1</v>
      </c>
      <c r="Y43" s="67">
        <f t="shared" si="24"/>
        <v>4.5100000000000001E-2</v>
      </c>
      <c r="Z43" s="67">
        <f t="shared" si="25"/>
        <v>23.3306</v>
      </c>
      <c r="AA43" s="67">
        <f t="shared" si="26"/>
        <v>23.285499999999999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27"/>
        <v>0135-16</v>
      </c>
      <c r="AE43" s="91" t="str">
        <f t="shared" si="11"/>
        <v>aws s3 cp s3://rtdc.mdm.uploadarchive.raw/RTDC4007/ "%USERPROFILE%\AppData\Local\Temp\OnboardLogs"\RTDC4007\2016-11-16 --exclude "*" --recursive --include "*20161116*" &amp; "%USERPROFILE%\Documents\GitHub\mrs-test-scripts\Headless Mode &amp; Sideloading\WalkAndUnGZ.bat" "%USERPROFILE%\AppData\Local\Temp\OnboardLogs"\RTDC4007\2016-11-16 &amp; aws s3 cp s3://rtdc.mdm.uploadarchive.raw/RTDC4007/ "%USERPROFILE%\AppData\Local\Temp\OnboardLogs"\RTDC4007\2016-11-17 --exclude "*" --recursive --include "*20161117*" &amp; "%USERPROFILE%\Documents\GitHub\mrs-test-scripts\Headless Mode &amp; Sideloading\WalkAndUnGZ.bat" "%USERPROFILE%\AppData\Local\Temp\OnboardLogs"\RTDC4007\2016-11-17</v>
      </c>
      <c r="AF43" s="88" t="str">
        <f t="shared" si="12"/>
        <v>"C:\Program Files (x86)\AstroGrep\AstroGrep.exe" /spath="%USERPROFILE%\AppData\Local\Temp\OnboardLogs" /stypes="app*4007*20161116*" /stext=" 15:.+((SYSTEM_STATE.+slice.+state.+changed )|(ment ac)|(system.+state.+changed )|(\[timeout)|(PRM\|1\|D)|(kpr)|(kdp)|(\|lc)|(penalty))" /e /r /s</v>
      </c>
      <c r="AG43" s="1" t="str">
        <f t="shared" si="28"/>
        <v>EC</v>
      </c>
      <c r="AH43" s="92" t="str">
        <f t="shared" si="14"/>
        <v>"%USERPROFILE%\Documents\GitHub\eaglep3\Utilities\RefineRTDCRunTimes.py" --tripid 135-16 --locoid 4007 --swversion DE.1.0.8.0 --startMP 204:451 --initTime 2016-11-16T08:05:55 --startdatetime 2016-11-16T08:08:13 --delay 1 --endMP 204:233306 --enddatetime 2016-11-16T08:43:44 --enforcementcount 0 &gt;&gt;C:\Users\stu\Documents\GitHub\eaglep3-reporting\EC\2016-11-16-refined-times.txt</v>
      </c>
      <c r="AI43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{"issue":{"subject":"","project_id":79,"tracker_id":40,"status_id":1,"priority_id":2,"assigned_to_id":23,"start_date":"2016-11-16","description":"","custom_fields":[{"id":1,"name":"Subdivision","value":"EC"},{"id":4,"name":"Milepost","value":"23.3306"},{"id":17,"name":"Train ID","value":"135-16"},{"id":16,"name":"Locomotive ID","value":"4007"},{"id":130,"name":"Impact","value":""},{"id":150,"name":"Time of Event (Mountain Time)","value":"08:43:44"},{"id":151,"name":"Denver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499</v>
      </c>
      <c r="B44" s="7">
        <v>4008</v>
      </c>
      <c r="C44" s="22" t="s">
        <v>222</v>
      </c>
      <c r="D44" s="22" t="s">
        <v>651</v>
      </c>
      <c r="E44" s="13">
        <v>42690.36681712963</v>
      </c>
      <c r="F44" s="13">
        <v>42690.372488425928</v>
      </c>
      <c r="G44" s="7">
        <v>1</v>
      </c>
      <c r="H44" s="22" t="s">
        <v>648</v>
      </c>
      <c r="I44" s="13">
        <v>42690.400219907409</v>
      </c>
      <c r="J44" s="7">
        <v>0</v>
      </c>
      <c r="K44" s="109" t="str">
        <f t="shared" si="18"/>
        <v>4007/4008</v>
      </c>
      <c r="L44" s="22" t="str">
        <f>VLOOKUP(A44,'Trips&amp;Operators'!$C$1:$E$10000,3,FALSE)</f>
        <v>SAFIEF</v>
      </c>
      <c r="M44" s="6">
        <f t="shared" si="19"/>
        <v>2.7731481481168885E-2</v>
      </c>
      <c r="N44" s="7">
        <f t="shared" si="20"/>
        <v>39.933333332883194</v>
      </c>
      <c r="O44" s="7"/>
      <c r="P44" s="7"/>
      <c r="Q44" s="23"/>
      <c r="R44" s="23"/>
      <c r="S44" s="35">
        <f t="shared" si="21"/>
        <v>1</v>
      </c>
      <c r="T44" s="50" t="str">
        <f t="shared" si="22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07:48:13-700',mode:absolute,to:'2016-11-16 10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44" s="52" t="str">
        <f t="shared" si="23"/>
        <v>N</v>
      </c>
      <c r="X44" s="177">
        <f t="shared" si="32"/>
        <v>1</v>
      </c>
      <c r="Y44" s="67">
        <f t="shared" si="24"/>
        <v>23.299299999999999</v>
      </c>
      <c r="Z44" s="67">
        <f t="shared" si="25"/>
        <v>1.47E-2</v>
      </c>
      <c r="AA44" s="67">
        <f t="shared" si="26"/>
        <v>23.284599999999998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27"/>
        <v>0136-16</v>
      </c>
      <c r="AE44" s="91" t="str">
        <f t="shared" si="11"/>
        <v>aws s3 cp s3://rtdc.mdm.uploadarchive.raw/RTDC4008/ "%USERPROFILE%\AppData\Local\Temp\OnboardLogs"\RTDC4008\2016-11-16 --exclude "*" --recursive --include "*20161116*" &amp; "%USERPROFILE%\Documents\GitHub\mrs-test-scripts\Headless Mode &amp; Sideloading\WalkAndUnGZ.bat" "%USERPROFILE%\AppData\Local\Temp\OnboardLogs"\RTDC4008\2016-11-16 &amp; aws s3 cp s3://rtdc.mdm.uploadarchive.raw/RTDC4008/ "%USERPROFILE%\AppData\Local\Temp\OnboardLogs"\RTDC4008\2016-11-17 --exclude "*" --recursive --include "*20161117*" &amp; "%USERPROFILE%\Documents\GitHub\mrs-test-scripts\Headless Mode &amp; Sideloading\WalkAndUnGZ.bat" "%USERPROFILE%\AppData\Local\Temp\OnboardLogs"\RTDC4008\2016-11-17</v>
      </c>
      <c r="AF44" s="88" t="str">
        <f t="shared" si="12"/>
        <v>"C:\Program Files (x86)\AstroGrep\AstroGrep.exe" /spath="%USERPROFILE%\AppData\Local\Temp\OnboardLogs" /stypes="app*4008*20161116*" /stext=" 16:.+((SYSTEM_STATE.+slice.+state.+changed )|(ment ac)|(system.+state.+changed )|(\[timeout)|(PRM\|1\|D)|(kpr)|(kdp)|(\|lc)|(penalty))" /e /r /s</v>
      </c>
      <c r="AG44" s="1" t="str">
        <f t="shared" si="28"/>
        <v>EC</v>
      </c>
      <c r="AH44" s="92" t="str">
        <f t="shared" si="14"/>
        <v>"%USERPROFILE%\Documents\GitHub\eaglep3\Utilities\RefineRTDCRunTimes.py" --tripid 136-16 --locoid 4008 --swversion DE.1.0.8.0 --startMP 204:232993 --initTime 2016-11-16T08:48:13 --startdatetime 2016-11-16T08:56:23 --delay 1 --endMP 204:147 --enddatetime 2016-11-16T09:36:19 --enforcementcount 0 &gt;&gt;C:\Users\stu\Documents\GitHub\eaglep3-reporting\EC\2016-11-16-refined-times.txt</v>
      </c>
      <c r="AI44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{"issue":{"subject":"","project_id":79,"tracker_id":40,"status_id":1,"priority_id":2,"assigned_to_id":23,"start_date":"2016-11-16","description":"","custom_fields":[{"id":1,"name":"Subdivision","value":"EC"},{"id":4,"name":"Milepost","value":"0.0147"},{"id":17,"name":"Train ID","value":"136-16"},{"id":16,"name":"Locomotive ID","value":"4008"},{"id":130,"name":"Impact","value":""},{"id":150,"name":"Time of Event (Mountain Time)","value":"09:36:19"},{"id":151,"name":"Denver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495</v>
      </c>
      <c r="B45" s="7">
        <v>4022</v>
      </c>
      <c r="C45" s="22" t="s">
        <v>222</v>
      </c>
      <c r="D45" s="22" t="s">
        <v>654</v>
      </c>
      <c r="E45" s="13">
        <v>42690.34337962963</v>
      </c>
      <c r="F45" s="13">
        <v>42690.344861111109</v>
      </c>
      <c r="G45" s="7">
        <v>1</v>
      </c>
      <c r="H45" s="22" t="s">
        <v>187</v>
      </c>
      <c r="I45" s="13">
        <v>42690.370925925927</v>
      </c>
      <c r="J45" s="7">
        <v>0</v>
      </c>
      <c r="K45" s="109" t="str">
        <f t="shared" si="18"/>
        <v>4021/4022</v>
      </c>
      <c r="L45" s="22" t="str">
        <f>VLOOKUP(A45,'Trips&amp;Operators'!$C$1:$E$10000,3,FALSE)</f>
        <v>STRICKLAND</v>
      </c>
      <c r="M45" s="6">
        <f t="shared" si="19"/>
        <v>2.6064814817800652E-2</v>
      </c>
      <c r="N45" s="7">
        <f t="shared" si="20"/>
        <v>37.533333337632939</v>
      </c>
      <c r="O45" s="7"/>
      <c r="P45" s="7"/>
      <c r="Q45" s="23"/>
      <c r="R45" s="23"/>
      <c r="S45" s="35">
        <f t="shared" si="21"/>
        <v>1</v>
      </c>
      <c r="T45" s="50" t="str">
        <f t="shared" si="22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07:14:28-700',mode:absolute,to:'2016-11-16 09:54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45" s="52" t="str">
        <f t="shared" si="23"/>
        <v>N</v>
      </c>
      <c r="X45" s="177">
        <f t="shared" si="32"/>
        <v>1</v>
      </c>
      <c r="Y45" s="67">
        <f t="shared" si="24"/>
        <v>4.3700000000000003E-2</v>
      </c>
      <c r="Z45" s="67">
        <f t="shared" si="25"/>
        <v>23.329699999999999</v>
      </c>
      <c r="AA45" s="67">
        <f t="shared" si="26"/>
        <v>23.285999999999998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27"/>
        <v>0137-16</v>
      </c>
      <c r="AE45" s="91" t="str">
        <f t="shared" si="11"/>
        <v>aws s3 cp s3://rtdc.mdm.uploadarchive.raw/RTDC4022/ "%USERPROFILE%\AppData\Local\Temp\OnboardLogs"\RTDC4022\2016-11-16 --exclude "*" --recursive --include "*20161116*" &amp; "%USERPROFILE%\Documents\GitHub\mrs-test-scripts\Headless Mode &amp; Sideloading\WalkAndUnGZ.bat" "%USERPROFILE%\AppData\Local\Temp\OnboardLogs"\RTDC4022\2016-11-16 &amp; aws s3 cp s3://rtdc.mdm.uploadarchive.raw/RTDC4022/ "%USERPROFILE%\AppData\Local\Temp\OnboardLogs"\RTDC4022\2016-11-17 --exclude "*" --recursive --include "*20161117*" &amp; "%USERPROFILE%\Documents\GitHub\mrs-test-scripts\Headless Mode &amp; Sideloading\WalkAndUnGZ.bat" "%USERPROFILE%\AppData\Local\Temp\OnboardLogs"\RTDC4022\2016-11-17</v>
      </c>
      <c r="AF45" s="88" t="str">
        <f t="shared" si="12"/>
        <v>"C:\Program Files (x86)\AstroGrep\AstroGrep.exe" /spath="%USERPROFILE%\AppData\Local\Temp\OnboardLogs" /stypes="app*4022*20161116*" /stext=" 15:.+((SYSTEM_STATE.+slice.+state.+changed )|(ment ac)|(system.+state.+changed )|(\[timeout)|(PRM\|1\|D)|(kpr)|(kdp)|(\|lc)|(penalty))" /e /r /s</v>
      </c>
      <c r="AG45" s="1" t="str">
        <f t="shared" si="28"/>
        <v>EC</v>
      </c>
      <c r="AH45" s="92" t="str">
        <f t="shared" si="14"/>
        <v>"%USERPROFILE%\Documents\GitHub\eaglep3\Utilities\RefineRTDCRunTimes.py" --tripid 137-16 --locoid 4022 --swversion DE.1.0.8.0 --startMP 204:437 --initTime 2016-11-16T08:14:28 --startdatetime 2016-11-16T08:16:36 --delay 1 --endMP 204:233297 --enddatetime 2016-11-16T08:54:08 --enforcementcount 0 &gt;&gt;C:\Users\stu\Documents\GitHub\eaglep3-reporting\EC\2016-11-16-refined-times.txt</v>
      </c>
      <c r="AI45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{"issue":{"subject":"","project_id":79,"tracker_id":40,"status_id":1,"priority_id":2,"assigned_to_id":23,"start_date":"2016-11-16","description":"","custom_fields":[{"id":1,"name":"Subdivision","value":"EC"},{"id":4,"name":"Milepost","value":"23.3297"},{"id":17,"name":"Train ID","value":"137-16"},{"id":16,"name":"Locomotive ID","value":"4022"},{"id":130,"name":"Impact","value":""},{"id":150,"name":"Time of Event (Mountain Time)","value":"08:54:08"},{"id":151,"name":"Denver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416</v>
      </c>
      <c r="B46" s="7">
        <v>4021</v>
      </c>
      <c r="C46" s="22" t="s">
        <v>222</v>
      </c>
      <c r="D46" s="22" t="s">
        <v>655</v>
      </c>
      <c r="E46" s="13">
        <v>42690.379490740743</v>
      </c>
      <c r="F46" s="13">
        <v>42690.383009259262</v>
      </c>
      <c r="G46" s="7">
        <v>1</v>
      </c>
      <c r="H46" s="22" t="s">
        <v>656</v>
      </c>
      <c r="I46" s="13">
        <v>42690.410578703704</v>
      </c>
      <c r="J46" s="7">
        <v>0</v>
      </c>
      <c r="K46" s="109" t="str">
        <f t="shared" si="18"/>
        <v>4021/4022</v>
      </c>
      <c r="L46" s="22" t="str">
        <f>VLOOKUP(A46,'Trips&amp;Operators'!$C$1:$E$10000,3,FALSE)</f>
        <v>STRICKLAND</v>
      </c>
      <c r="M46" s="6">
        <f t="shared" si="19"/>
        <v>2.7569444442633539E-2</v>
      </c>
      <c r="N46" s="7">
        <f t="shared" si="20"/>
        <v>39.699999997392297</v>
      </c>
      <c r="O46" s="7"/>
      <c r="P46" s="7"/>
      <c r="Q46" s="23"/>
      <c r="R46" s="23"/>
      <c r="S46" s="35">
        <f t="shared" si="21"/>
        <v>1</v>
      </c>
      <c r="T46" s="50" t="str">
        <f t="shared" si="22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08:06:28-700',mode:absolute,to:'2016-11-16 10:51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46" s="52" t="str">
        <f t="shared" si="23"/>
        <v>N</v>
      </c>
      <c r="X46" s="177">
        <f t="shared" si="32"/>
        <v>1</v>
      </c>
      <c r="Y46" s="67">
        <f t="shared" si="24"/>
        <v>23.297799999999999</v>
      </c>
      <c r="Z46" s="67">
        <f t="shared" si="25"/>
        <v>2.01E-2</v>
      </c>
      <c r="AA46" s="67">
        <f t="shared" si="26"/>
        <v>23.277699999999999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27"/>
        <v>0138-16</v>
      </c>
      <c r="AE46" s="91" t="str">
        <f t="shared" si="11"/>
        <v>aws s3 cp s3://rtdc.mdm.uploadarchive.raw/RTDC4021/ "%USERPROFILE%\AppData\Local\Temp\OnboardLogs"\RTDC4021\2016-11-16 --exclude "*" --recursive --include "*20161116*" &amp; "%USERPROFILE%\Documents\GitHub\mrs-test-scripts\Headless Mode &amp; Sideloading\WalkAndUnGZ.bat" "%USERPROFILE%\AppData\Local\Temp\OnboardLogs"\RTDC4021\2016-11-16 &amp; aws s3 cp s3://rtdc.mdm.uploadarchive.raw/RTDC4021/ "%USERPROFILE%\AppData\Local\Temp\OnboardLogs"\RTDC4021\2016-11-17 --exclude "*" --recursive --include "*20161117*" &amp; "%USERPROFILE%\Documents\GitHub\mrs-test-scripts\Headless Mode &amp; Sideloading\WalkAndUnGZ.bat" "%USERPROFILE%\AppData\Local\Temp\OnboardLogs"\RTDC4021\2016-11-17</v>
      </c>
      <c r="AF46" s="88" t="str">
        <f t="shared" si="12"/>
        <v>"C:\Program Files (x86)\AstroGrep\AstroGrep.exe" /spath="%USERPROFILE%\AppData\Local\Temp\OnboardLogs" /stypes="app*4021*20161116*" /stext=" 16:.+((SYSTEM_STATE.+slice.+state.+changed )|(ment ac)|(system.+state.+changed )|(\[timeout)|(PRM\|1\|D)|(kpr)|(kdp)|(\|lc)|(penalty))" /e /r /s</v>
      </c>
      <c r="AG46" s="1" t="str">
        <f t="shared" si="28"/>
        <v>EC</v>
      </c>
      <c r="AH46" s="92" t="str">
        <f t="shared" si="14"/>
        <v>"%USERPROFILE%\Documents\GitHub\eaglep3\Utilities\RefineRTDCRunTimes.py" --tripid 138-16 --locoid 4021 --swversion DE.1.0.8.0 --startMP 204:232978 --initTime 2016-11-16T09:06:28 --startdatetime 2016-11-16T09:11:32 --delay 1 --endMP 204:201 --enddatetime 2016-11-16T09:51:14 --enforcementcount 0 &gt;&gt;C:\Users\stu\Documents\GitHub\eaglep3-reporting\EC\2016-11-16-refined-times.txt</v>
      </c>
      <c r="AI46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{"issue":{"subject":"","project_id":79,"tracker_id":40,"status_id":1,"priority_id":2,"assigned_to_id":23,"start_date":"2016-11-16","description":"","custom_fields":[{"id":1,"name":"Subdivision","value":"EC"},{"id":4,"name":"Milepost","value":"0.0201"},{"id":17,"name":"Train ID","value":"138-16"},{"id":16,"name":"Locomotive ID","value":"4021"},{"id":130,"name":"Impact","value":""},{"id":150,"name":"Time of Event (Mountain Time)","value":"09:51:14"},{"id":151,"name":"Denver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497</v>
      </c>
      <c r="B47" s="7">
        <v>4016</v>
      </c>
      <c r="C47" s="22" t="s">
        <v>222</v>
      </c>
      <c r="D47" s="22" t="s">
        <v>221</v>
      </c>
      <c r="E47" s="13">
        <v>42690.348761574074</v>
      </c>
      <c r="F47" s="13">
        <v>42690.354375000003</v>
      </c>
      <c r="G47" s="7">
        <v>1</v>
      </c>
      <c r="H47" s="22" t="s">
        <v>307</v>
      </c>
      <c r="I47" s="13">
        <v>42690.380462962959</v>
      </c>
      <c r="J47" s="7">
        <v>0</v>
      </c>
      <c r="K47" s="109" t="str">
        <f t="shared" si="18"/>
        <v>4015/4016</v>
      </c>
      <c r="L47" s="22" t="str">
        <f>VLOOKUP(A47,'Trips&amp;Operators'!$C$1:$E$10000,3,FALSE)</f>
        <v>SPECTOR</v>
      </c>
      <c r="M47" s="6">
        <f t="shared" si="19"/>
        <v>2.6087962956808042E-2</v>
      </c>
      <c r="N47" s="7">
        <f t="shared" si="20"/>
        <v>37.56666665780358</v>
      </c>
      <c r="O47" s="7"/>
      <c r="P47" s="7"/>
      <c r="Q47" s="23"/>
      <c r="R47" s="23"/>
      <c r="S47" s="35">
        <f t="shared" si="21"/>
        <v>1</v>
      </c>
      <c r="T47" s="50" t="str">
        <f t="shared" si="22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07:22:13-700',mode:absolute,to:'2016-11-16 10:07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7" s="52" t="str">
        <f t="shared" si="23"/>
        <v>N</v>
      </c>
      <c r="X47" s="177">
        <f t="shared" si="32"/>
        <v>1</v>
      </c>
      <c r="Y47" s="67">
        <f t="shared" si="24"/>
        <v>4.6399999999999997E-2</v>
      </c>
      <c r="Z47" s="67">
        <f t="shared" si="25"/>
        <v>23.3308</v>
      </c>
      <c r="AA47" s="67">
        <f t="shared" si="26"/>
        <v>23.284400000000002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27"/>
        <v>0139-16</v>
      </c>
      <c r="AE47" s="91" t="str">
        <f t="shared" si="11"/>
        <v>aws s3 cp s3://rtdc.mdm.uploadarchive.raw/RTDC4016/ "%USERPROFILE%\AppData\Local\Temp\OnboardLogs"\RTDC4016\2016-11-16 --exclude "*" --recursive --include "*20161116*" &amp; "%USERPROFILE%\Documents\GitHub\mrs-test-scripts\Headless Mode &amp; Sideloading\WalkAndUnGZ.bat" "%USERPROFILE%\AppData\Local\Temp\OnboardLogs"\RTDC4016\2016-11-16 &amp; aws s3 cp s3://rtdc.mdm.uploadarchive.raw/RTDC4016/ "%USERPROFILE%\AppData\Local\Temp\OnboardLogs"\RTDC4016\2016-11-17 --exclude "*" --recursive --include "*20161117*" &amp; "%USERPROFILE%\Documents\GitHub\mrs-test-scripts\Headless Mode &amp; Sideloading\WalkAndUnGZ.bat" "%USERPROFILE%\AppData\Local\Temp\OnboardLogs"\RTDC4016\2016-11-17</v>
      </c>
      <c r="AF47" s="88" t="str">
        <f t="shared" si="12"/>
        <v>"C:\Program Files (x86)\AstroGrep\AstroGrep.exe" /spath="%USERPROFILE%\AppData\Local\Temp\OnboardLogs" /stypes="app*4016*20161116*" /stext=" 16:.+((SYSTEM_STATE.+slice.+state.+changed )|(ment ac)|(system.+state.+changed )|(\[timeout)|(PRM\|1\|D)|(kpr)|(kdp)|(\|lc)|(penalty))" /e /r /s</v>
      </c>
      <c r="AG47" s="1" t="str">
        <f t="shared" si="28"/>
        <v>EC</v>
      </c>
      <c r="AH47" s="92" t="str">
        <f t="shared" si="14"/>
        <v>"%USERPROFILE%\Documents\GitHub\eaglep3\Utilities\RefineRTDCRunTimes.py" --tripid 139-16 --locoid 4016 --swversion DE.1.0.8.0 --startMP 204:464 --initTime 2016-11-16T08:22:13 --startdatetime 2016-11-16T08:30:18 --delay 1 --endMP 204:233308 --enddatetime 2016-11-16T09:07:52 --enforcementcount 0 &gt;&gt;C:\Users\stu\Documents\GitHub\eaglep3-reporting\EC\2016-11-16-refined-times.txt</v>
      </c>
      <c r="AI47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{"issue":{"subject":"","project_id":79,"tracker_id":40,"status_id":1,"priority_id":2,"assigned_to_id":23,"start_date":"2016-11-16","description":"","custom_fields":[{"id":1,"name":"Subdivision","value":"EC"},{"id":4,"name":"Milepost","value":"23.3308"},{"id":17,"name":"Train ID","value":"139-16"},{"id":16,"name":"Locomotive ID","value":"4016"},{"id":130,"name":"Impact","value":""},{"id":150,"name":"Time of Event (Mountain Time)","value":"09:07:52"},{"id":151,"name":"Denver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502</v>
      </c>
      <c r="B48" s="7">
        <v>4015</v>
      </c>
      <c r="C48" s="22" t="s">
        <v>222</v>
      </c>
      <c r="D48" s="22" t="s">
        <v>298</v>
      </c>
      <c r="E48" s="13">
        <v>42690.385833333334</v>
      </c>
      <c r="F48" s="13">
        <v>42690.393321759257</v>
      </c>
      <c r="G48" s="7">
        <v>1</v>
      </c>
      <c r="H48" s="22" t="s">
        <v>196</v>
      </c>
      <c r="I48" s="13">
        <v>42690.41988425926</v>
      </c>
      <c r="J48" s="7">
        <v>0</v>
      </c>
      <c r="K48" s="109" t="str">
        <f t="shared" si="18"/>
        <v>4015/4016</v>
      </c>
      <c r="L48" s="22" t="str">
        <f>VLOOKUP(A48,'Trips&amp;Operators'!$C$1:$E$10000,3,FALSE)</f>
        <v>SPECTOR</v>
      </c>
      <c r="M48" s="6">
        <f t="shared" si="19"/>
        <v>2.6562500002910383E-2</v>
      </c>
      <c r="N48" s="7">
        <f t="shared" si="20"/>
        <v>38.250000004190952</v>
      </c>
      <c r="O48" s="7"/>
      <c r="P48" s="7"/>
      <c r="Q48" s="23"/>
      <c r="R48" s="23"/>
      <c r="S48" s="35">
        <f t="shared" si="21"/>
        <v>1</v>
      </c>
      <c r="T48" s="50" t="str">
        <f t="shared" si="22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08:15:36-700',mode:absolute,to:'2016-11-16 11:04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8" s="52" t="str">
        <f t="shared" si="23"/>
        <v>N</v>
      </c>
      <c r="X48" s="177">
        <f t="shared" si="32"/>
        <v>1</v>
      </c>
      <c r="Y48" s="67">
        <f t="shared" si="24"/>
        <v>23.3</v>
      </c>
      <c r="Z48" s="67">
        <f t="shared" si="25"/>
        <v>1.49E-2</v>
      </c>
      <c r="AA48" s="67">
        <f t="shared" si="26"/>
        <v>23.2851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27"/>
        <v>0140-16</v>
      </c>
      <c r="AE48" s="91" t="str">
        <f t="shared" si="11"/>
        <v>aws s3 cp s3://rtdc.mdm.uploadarchive.raw/RTDC4015/ "%USERPROFILE%\AppData\Local\Temp\OnboardLogs"\RTDC4015\2016-11-16 --exclude "*" --recursive --include "*20161116*" &amp; "%USERPROFILE%\Documents\GitHub\mrs-test-scripts\Headless Mode &amp; Sideloading\WalkAndUnGZ.bat" "%USERPROFILE%\AppData\Local\Temp\OnboardLogs"\RTDC4015\2016-11-16 &amp; aws s3 cp s3://rtdc.mdm.uploadarchive.raw/RTDC4015/ "%USERPROFILE%\AppData\Local\Temp\OnboardLogs"\RTDC4015\2016-11-17 --exclude "*" --recursive --include "*20161117*" &amp; "%USERPROFILE%\Documents\GitHub\mrs-test-scripts\Headless Mode &amp; Sideloading\WalkAndUnGZ.bat" "%USERPROFILE%\AppData\Local\Temp\OnboardLogs"\RTDC4015\2016-11-17</v>
      </c>
      <c r="AF48" s="88" t="str">
        <f t="shared" si="12"/>
        <v>"C:\Program Files (x86)\AstroGrep\AstroGrep.exe" /spath="%USERPROFILE%\AppData\Local\Temp\OnboardLogs" /stypes="app*4015*20161116*" /stext=" 17:.+((SYSTEM_STATE.+slice.+state.+changed )|(ment ac)|(system.+state.+changed )|(\[timeout)|(PRM\|1\|D)|(kpr)|(kdp)|(\|lc)|(penalty))" /e /r /s</v>
      </c>
      <c r="AG48" s="1" t="str">
        <f t="shared" si="28"/>
        <v>EC</v>
      </c>
      <c r="AH48" s="92" t="str">
        <f t="shared" si="14"/>
        <v>"%USERPROFILE%\Documents\GitHub\eaglep3\Utilities\RefineRTDCRunTimes.py" --tripid 140-16 --locoid 4015 --swversion DE.1.0.8.0 --startMP 204:233000 --initTime 2016-11-16T09:15:36 --startdatetime 2016-11-16T09:26:23 --delay 1 --endMP 204:149 --enddatetime 2016-11-16T10:04:38 --enforcementcount 0 &gt;&gt;C:\Users\stu\Documents\GitHub\eaglep3-reporting\EC\2016-11-16-refined-times.txt</v>
      </c>
      <c r="AI48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{"issue":{"subject":"","project_id":79,"tracker_id":40,"status_id":1,"priority_id":2,"assigned_to_id":23,"start_date":"2016-11-16","description":"","custom_fields":[{"id":1,"name":"Subdivision","value":"EC"},{"id":4,"name":"Milepost","value":"0.0149"},{"id":17,"name":"Train ID","value":"140-16"},{"id":16,"name":"Locomotive ID","value":"4015"},{"id":130,"name":"Impact","value":""},{"id":150,"name":"Time of Event (Mountain Time)","value":"10:04:38"},{"id":151,"name":"Denver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413</v>
      </c>
      <c r="B49" s="7">
        <v>4044</v>
      </c>
      <c r="C49" s="22" t="s">
        <v>222</v>
      </c>
      <c r="D49" s="22" t="s">
        <v>216</v>
      </c>
      <c r="E49" s="13">
        <v>42690.364212962966</v>
      </c>
      <c r="F49" s="13">
        <v>42690.36546296296</v>
      </c>
      <c r="G49" s="7">
        <v>1</v>
      </c>
      <c r="H49" s="22" t="s">
        <v>657</v>
      </c>
      <c r="I49" s="13">
        <v>42690.391574074078</v>
      </c>
      <c r="J49" s="7">
        <v>0</v>
      </c>
      <c r="K49" s="109" t="str">
        <f t="shared" si="18"/>
        <v>4043/4044</v>
      </c>
      <c r="L49" s="22" t="str">
        <f>VLOOKUP(A49,'Trips&amp;Operators'!$C$1:$E$10000,3,FALSE)</f>
        <v>ROBINSON</v>
      </c>
      <c r="M49" s="6">
        <f t="shared" si="19"/>
        <v>2.6111111117643304E-2</v>
      </c>
      <c r="N49" s="7">
        <f t="shared" si="20"/>
        <v>37.600000009406358</v>
      </c>
      <c r="O49" s="7"/>
      <c r="P49" s="7"/>
      <c r="Q49" s="23"/>
      <c r="R49" s="23"/>
      <c r="S49" s="35">
        <f t="shared" si="21"/>
        <v>1</v>
      </c>
      <c r="T49" s="50" t="str">
        <f t="shared" si="22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07:44:28-700',mode:absolute,to:'2016-11-16 10:23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9" s="52" t="str">
        <f t="shared" si="23"/>
        <v>N</v>
      </c>
      <c r="X49" s="177">
        <f t="shared" si="32"/>
        <v>1</v>
      </c>
      <c r="Y49" s="67">
        <f t="shared" si="24"/>
        <v>4.6199999999999998E-2</v>
      </c>
      <c r="Z49" s="67">
        <f t="shared" si="25"/>
        <v>23.3322</v>
      </c>
      <c r="AA49" s="67">
        <f t="shared" si="26"/>
        <v>23.286000000000001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27"/>
        <v>0141-16</v>
      </c>
      <c r="AE49" s="91" t="str">
        <f t="shared" si="11"/>
        <v>aws s3 cp s3://rtdc.mdm.uploadarchive.raw/RTDC4044/ "%USERPROFILE%\AppData\Local\Temp\OnboardLogs"\RTDC4044\2016-11-16 --exclude "*" --recursive --include "*20161116*" &amp; "%USERPROFILE%\Documents\GitHub\mrs-test-scripts\Headless Mode &amp; Sideloading\WalkAndUnGZ.bat" "%USERPROFILE%\AppData\Local\Temp\OnboardLogs"\RTDC4044\2016-11-16 &amp; aws s3 cp s3://rtdc.mdm.uploadarchive.raw/RTDC4044/ "%USERPROFILE%\AppData\Local\Temp\OnboardLogs"\RTDC4044\2016-11-17 --exclude "*" --recursive --include "*20161117*" &amp; "%USERPROFILE%\Documents\GitHub\mrs-test-scripts\Headless Mode &amp; Sideloading\WalkAndUnGZ.bat" "%USERPROFILE%\AppData\Local\Temp\OnboardLogs"\RTDC4044\2016-11-17</v>
      </c>
      <c r="AF49" s="88" t="str">
        <f t="shared" si="12"/>
        <v>"C:\Program Files (x86)\AstroGrep\AstroGrep.exe" /spath="%USERPROFILE%\AppData\Local\Temp\OnboardLogs" /stypes="app*4044*20161116*" /stext=" 16:.+((SYSTEM_STATE.+slice.+state.+changed )|(ment ac)|(system.+state.+changed )|(\[timeout)|(PRM\|1\|D)|(kpr)|(kdp)|(\|lc)|(penalty))" /e /r /s</v>
      </c>
      <c r="AG49" s="1" t="str">
        <f t="shared" si="28"/>
        <v>EC</v>
      </c>
      <c r="AH49" s="92" t="str">
        <f t="shared" si="14"/>
        <v>"%USERPROFILE%\Documents\GitHub\eaglep3\Utilities\RefineRTDCRunTimes.py" --tripid 141-16 --locoid 4044 --swversion DE.1.0.8.0 --startMP 204:462 --initTime 2016-11-16T08:44:28 --startdatetime 2016-11-16T08:46:16 --delay 1 --endMP 204:233322 --enddatetime 2016-11-16T09:23:52 --enforcementcount 0 &gt;&gt;C:\Users\stu\Documents\GitHub\eaglep3-reporting\EC\2016-11-16-refined-times.txt</v>
      </c>
      <c r="AI49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{"issue":{"subject":"","project_id":79,"tracker_id":40,"status_id":1,"priority_id":2,"assigned_to_id":23,"start_date":"2016-11-16","description":"","custom_fields":[{"id":1,"name":"Subdivision","value":"EC"},{"id":4,"name":"Milepost","value":"23.3322"},{"id":17,"name":"Train ID","value":"141-16"},{"id":16,"name":"Locomotive ID","value":"4044"},{"id":130,"name":"Impact","value":""},{"id":150,"name":"Time of Event (Mountain Time)","value":"09:23:52"},{"id":151,"name":"Denver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504</v>
      </c>
      <c r="B50" s="7">
        <v>4043</v>
      </c>
      <c r="C50" s="22" t="s">
        <v>222</v>
      </c>
      <c r="D50" s="22" t="s">
        <v>642</v>
      </c>
      <c r="E50" s="13">
        <v>42690.399097222224</v>
      </c>
      <c r="F50" s="13">
        <v>42690.403622685182</v>
      </c>
      <c r="G50" s="7">
        <v>1</v>
      </c>
      <c r="H50" s="22" t="s">
        <v>367</v>
      </c>
      <c r="I50" s="13">
        <v>42690.429386574076</v>
      </c>
      <c r="J50" s="7">
        <v>0</v>
      </c>
      <c r="K50" s="109" t="str">
        <f t="shared" si="18"/>
        <v>4043/4044</v>
      </c>
      <c r="L50" s="22" t="str">
        <f>VLOOKUP(A50,'Trips&amp;Operators'!$C$1:$E$10000,3,FALSE)</f>
        <v>ROBINSON</v>
      </c>
      <c r="M50" s="6">
        <f t="shared" si="19"/>
        <v>2.5763888894289266E-2</v>
      </c>
      <c r="N50" s="7">
        <f t="shared" si="20"/>
        <v>37.100000007776543</v>
      </c>
      <c r="O50" s="7"/>
      <c r="P50" s="7"/>
      <c r="Q50" s="23"/>
      <c r="R50" s="23"/>
      <c r="S50" s="35">
        <f t="shared" si="21"/>
        <v>1</v>
      </c>
      <c r="T50" s="50" t="str">
        <f t="shared" si="22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08:34:42-700',mode:absolute,to:'2016-11-16 11:18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0" s="52" t="str">
        <f t="shared" si="23"/>
        <v>N</v>
      </c>
      <c r="X50" s="177">
        <f t="shared" si="32"/>
        <v>1</v>
      </c>
      <c r="Y50" s="67">
        <f t="shared" si="24"/>
        <v>23.299600000000002</v>
      </c>
      <c r="Z50" s="67">
        <f t="shared" si="25"/>
        <v>1.4500000000000001E-2</v>
      </c>
      <c r="AA50" s="67">
        <f t="shared" si="26"/>
        <v>23.2851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27"/>
        <v>0142-16</v>
      </c>
      <c r="AE50" s="91" t="str">
        <f t="shared" si="11"/>
        <v>aws s3 cp s3://rtdc.mdm.uploadarchive.raw/RTDC4043/ "%USERPROFILE%\AppData\Local\Temp\OnboardLogs"\RTDC4043\2016-11-16 --exclude "*" --recursive --include "*20161116*" &amp; "%USERPROFILE%\Documents\GitHub\mrs-test-scripts\Headless Mode &amp; Sideloading\WalkAndUnGZ.bat" "%USERPROFILE%\AppData\Local\Temp\OnboardLogs"\RTDC4043\2016-11-16 &amp; aws s3 cp s3://rtdc.mdm.uploadarchive.raw/RTDC4043/ "%USERPROFILE%\AppData\Local\Temp\OnboardLogs"\RTDC4043\2016-11-17 --exclude "*" --recursive --include "*20161117*" &amp; "%USERPROFILE%\Documents\GitHub\mrs-test-scripts\Headless Mode &amp; Sideloading\WalkAndUnGZ.bat" "%USERPROFILE%\AppData\Local\Temp\OnboardLogs"\RTDC4043\2016-11-17</v>
      </c>
      <c r="AF50" s="88" t="str">
        <f t="shared" si="12"/>
        <v>"C:\Program Files (x86)\AstroGrep\AstroGrep.exe" /spath="%USERPROFILE%\AppData\Local\Temp\OnboardLogs" /stypes="app*4043*20161116*" /stext=" 17:.+((SYSTEM_STATE.+slice.+state.+changed )|(ment ac)|(system.+state.+changed )|(\[timeout)|(PRM\|1\|D)|(kpr)|(kdp)|(\|lc)|(penalty))" /e /r /s</v>
      </c>
      <c r="AG50" s="1" t="str">
        <f t="shared" si="28"/>
        <v>EC</v>
      </c>
      <c r="AH50" s="92" t="str">
        <f t="shared" si="14"/>
        <v>"%USERPROFILE%\Documents\GitHub\eaglep3\Utilities\RefineRTDCRunTimes.py" --tripid 142-16 --locoid 4043 --swversion DE.1.0.8.0 --startMP 204:232996 --initTime 2016-11-16T09:34:42 --startdatetime 2016-11-16T09:41:13 --delay 1 --endMP 204:145 --enddatetime 2016-11-16T10:18:19 --enforcementcount 0 &gt;&gt;C:\Users\stu\Documents\GitHub\eaglep3-reporting\EC\2016-11-16-refined-times.txt</v>
      </c>
      <c r="AI50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{"issue":{"subject":"","project_id":79,"tracker_id":40,"status_id":1,"priority_id":2,"assigned_to_id":23,"start_date":"2016-11-16","description":"","custom_fields":[{"id":1,"name":"Subdivision","value":"EC"},{"id":4,"name":"Milepost","value":"0.0145"},{"id":17,"name":"Train ID","value":"142-16"},{"id":16,"name":"Locomotive ID","value":"4043"},{"id":130,"name":"Impact","value":""},{"id":150,"name":"Time of Event (Mountain Time)","value":"10:18:19"},{"id":151,"name":"Denver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500</v>
      </c>
      <c r="B51" s="7">
        <v>4029</v>
      </c>
      <c r="C51" s="22" t="s">
        <v>222</v>
      </c>
      <c r="D51" s="22" t="s">
        <v>658</v>
      </c>
      <c r="E51" s="13">
        <v>42690.373101851852</v>
      </c>
      <c r="F51" s="13">
        <v>42690.375428240739</v>
      </c>
      <c r="G51" s="7">
        <v>1</v>
      </c>
      <c r="H51" s="22" t="s">
        <v>319</v>
      </c>
      <c r="I51" s="13">
        <v>42690.401446759257</v>
      </c>
      <c r="J51" s="7">
        <v>0</v>
      </c>
      <c r="K51" s="109" t="str">
        <f t="shared" si="18"/>
        <v>4029/4030</v>
      </c>
      <c r="L51" s="22" t="str">
        <f>VLOOKUP(A51,'Trips&amp;Operators'!$C$1:$E$10000,3,FALSE)</f>
        <v>MAGEE</v>
      </c>
      <c r="M51" s="6">
        <f t="shared" si="19"/>
        <v>2.6018518517958E-2</v>
      </c>
      <c r="N51" s="7">
        <f t="shared" si="20"/>
        <v>37.46666666585952</v>
      </c>
      <c r="O51" s="7"/>
      <c r="P51" s="7"/>
      <c r="Q51" s="23"/>
      <c r="R51" s="23"/>
      <c r="S51" s="35">
        <f t="shared" si="21"/>
        <v>1</v>
      </c>
      <c r="T51" s="50" t="str">
        <f t="shared" si="22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07:57:16-700',mode:absolute,to:'2016-11-16 10:38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1" s="52" t="str">
        <f t="shared" si="23"/>
        <v>N</v>
      </c>
      <c r="X51" s="177">
        <f t="shared" si="32"/>
        <v>1</v>
      </c>
      <c r="Y51" s="67">
        <f t="shared" si="24"/>
        <v>4.6699999999999998E-2</v>
      </c>
      <c r="Z51" s="67">
        <f t="shared" si="25"/>
        <v>23.3291</v>
      </c>
      <c r="AA51" s="67">
        <f t="shared" si="26"/>
        <v>23.282399999999999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27"/>
        <v>0143-16</v>
      </c>
      <c r="AE51" s="91" t="str">
        <f t="shared" si="11"/>
        <v>aws s3 cp s3://rtdc.mdm.uploadarchive.raw/RTDC4029/ "%USERPROFILE%\AppData\Local\Temp\OnboardLogs"\RTDC4029\2016-11-16 --exclude "*" --recursive --include "*20161116*" &amp; "%USERPROFILE%\Documents\GitHub\mrs-test-scripts\Headless Mode &amp; Sideloading\WalkAndUnGZ.bat" "%USERPROFILE%\AppData\Local\Temp\OnboardLogs"\RTDC4029\2016-11-16 &amp; aws s3 cp s3://rtdc.mdm.uploadarchive.raw/RTDC4029/ "%USERPROFILE%\AppData\Local\Temp\OnboardLogs"\RTDC4029\2016-11-17 --exclude "*" --recursive --include "*20161117*" &amp; "%USERPROFILE%\Documents\GitHub\mrs-test-scripts\Headless Mode &amp; Sideloading\WalkAndUnGZ.bat" "%USERPROFILE%\AppData\Local\Temp\OnboardLogs"\RTDC4029\2016-11-17</v>
      </c>
      <c r="AF51" s="88" t="str">
        <f t="shared" si="12"/>
        <v>"C:\Program Files (x86)\AstroGrep\AstroGrep.exe" /spath="%USERPROFILE%\AppData\Local\Temp\OnboardLogs" /stypes="app*4029*20161116*" /stext=" 16:.+((SYSTEM_STATE.+slice.+state.+changed )|(ment ac)|(system.+state.+changed )|(\[timeout)|(PRM\|1\|D)|(kpr)|(kdp)|(\|lc)|(penalty))" /e /r /s</v>
      </c>
      <c r="AG51" s="1" t="str">
        <f t="shared" si="28"/>
        <v>EC</v>
      </c>
      <c r="AH51" s="92" t="str">
        <f t="shared" si="14"/>
        <v>"%USERPROFILE%\Documents\GitHub\eaglep3\Utilities\RefineRTDCRunTimes.py" --tripid 143-16 --locoid 4029 --swversion DE.1.0.8.0 --startMP 204:467 --initTime 2016-11-16T08:57:16 --startdatetime 2016-11-16T09:00:37 --delay 1 --endMP 204:233291 --enddatetime 2016-11-16T09:38:05 --enforcementcount 0 &gt;&gt;C:\Users\stu\Documents\GitHub\eaglep3-reporting\EC\2016-11-16-refined-times.txt</v>
      </c>
      <c r="AI51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{"issue":{"subject":"","project_id":79,"tracker_id":40,"status_id":1,"priority_id":2,"assigned_to_id":23,"start_date":"2016-11-16","description":"","custom_fields":[{"id":1,"name":"Subdivision","value":"EC"},{"id":4,"name":"Milepost","value":"23.3291"},{"id":17,"name":"Train ID","value":"143-16"},{"id":16,"name":"Locomotive ID","value":"4029"},{"id":130,"name":"Impact","value":""},{"id":150,"name":"Time of Event (Mountain Time)","value":"09:38:05"},{"id":151,"name":"Denver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507</v>
      </c>
      <c r="B52" s="7">
        <v>4030</v>
      </c>
      <c r="C52" s="22" t="s">
        <v>222</v>
      </c>
      <c r="D52" s="22" t="s">
        <v>287</v>
      </c>
      <c r="E52" s="13">
        <v>42690.407083333332</v>
      </c>
      <c r="F52" s="13">
        <v>42690.414166666669</v>
      </c>
      <c r="G52" s="7">
        <v>1</v>
      </c>
      <c r="H52" s="22" t="s">
        <v>659</v>
      </c>
      <c r="I52" s="13">
        <v>42690.440439814818</v>
      </c>
      <c r="J52" s="7">
        <v>0</v>
      </c>
      <c r="K52" s="109" t="str">
        <f t="shared" si="18"/>
        <v>4029/4030</v>
      </c>
      <c r="L52" s="22" t="str">
        <f>VLOOKUP(A52,'Trips&amp;Operators'!$C$1:$E$10000,3,FALSE)</f>
        <v>MAGEE</v>
      </c>
      <c r="M52" s="6">
        <f t="shared" si="19"/>
        <v>2.6273148148902692E-2</v>
      </c>
      <c r="N52" s="7">
        <f t="shared" si="20"/>
        <v>37.833333334419876</v>
      </c>
      <c r="O52" s="7"/>
      <c r="P52" s="7"/>
      <c r="Q52" s="23"/>
      <c r="R52" s="23"/>
      <c r="S52" s="35">
        <f t="shared" si="21"/>
        <v>1</v>
      </c>
      <c r="T52" s="50" t="str">
        <f t="shared" si="22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08:46:12-700',mode:absolute,to:'2016-11-16 11:34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2" s="52" t="str">
        <f t="shared" si="23"/>
        <v>N</v>
      </c>
      <c r="X52" s="177">
        <f t="shared" si="32"/>
        <v>1</v>
      </c>
      <c r="Y52" s="67">
        <f t="shared" si="24"/>
        <v>23.2987</v>
      </c>
      <c r="Z52" s="67">
        <f t="shared" si="25"/>
        <v>1.6500000000000001E-2</v>
      </c>
      <c r="AA52" s="67">
        <f t="shared" si="26"/>
        <v>23.2822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27"/>
        <v>0144-16</v>
      </c>
      <c r="AE52" s="91" t="str">
        <f t="shared" si="11"/>
        <v>aws s3 cp s3://rtdc.mdm.uploadarchive.raw/RTDC4030/ "%USERPROFILE%\AppData\Local\Temp\OnboardLogs"\RTDC4030\2016-11-16 --exclude "*" --recursive --include "*20161116*" &amp; "%USERPROFILE%\Documents\GitHub\mrs-test-scripts\Headless Mode &amp; Sideloading\WalkAndUnGZ.bat" "%USERPROFILE%\AppData\Local\Temp\OnboardLogs"\RTDC4030\2016-11-16 &amp; aws s3 cp s3://rtdc.mdm.uploadarchive.raw/RTDC4030/ "%USERPROFILE%\AppData\Local\Temp\OnboardLogs"\RTDC4030\2016-11-17 --exclude "*" --recursive --include "*20161117*" &amp; "%USERPROFILE%\Documents\GitHub\mrs-test-scripts\Headless Mode &amp; Sideloading\WalkAndUnGZ.bat" "%USERPROFILE%\AppData\Local\Temp\OnboardLogs"\RTDC4030\2016-11-17</v>
      </c>
      <c r="AF52" s="88" t="str">
        <f t="shared" si="12"/>
        <v>"C:\Program Files (x86)\AstroGrep\AstroGrep.exe" /spath="%USERPROFILE%\AppData\Local\Temp\OnboardLogs" /stypes="app*4030*20161116*" /stext=" 17:.+((SYSTEM_STATE.+slice.+state.+changed )|(ment ac)|(system.+state.+changed )|(\[timeout)|(PRM\|1\|D)|(kpr)|(kdp)|(\|lc)|(penalty))" /e /r /s</v>
      </c>
      <c r="AG52" s="1" t="str">
        <f t="shared" si="28"/>
        <v>EC</v>
      </c>
      <c r="AH52" s="92" t="str">
        <f t="shared" si="14"/>
        <v>"%USERPROFILE%\Documents\GitHub\eaglep3\Utilities\RefineRTDCRunTimes.py" --tripid 144-16 --locoid 4030 --swversion DE.1.0.8.0 --startMP 204:232987 --initTime 2016-11-16T09:46:12 --startdatetime 2016-11-16T09:56:24 --delay 1 --endMP 204:165 --enddatetime 2016-11-16T10:34:14 --enforcementcount 0 &gt;&gt;C:\Users\stu\Documents\GitHub\eaglep3-reporting\EC\2016-11-16-refined-times.txt</v>
      </c>
      <c r="AI52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{"issue":{"subject":"","project_id":79,"tracker_id":40,"status_id":1,"priority_id":2,"assigned_to_id":23,"start_date":"2016-11-16","description":"","custom_fields":[{"id":1,"name":"Subdivision","value":"EC"},{"id":4,"name":"Milepost","value":"0.0165"},{"id":17,"name":"Train ID","value":"144-16"},{"id":16,"name":"Locomotive ID","value":"4030"},{"id":130,"name":"Impact","value":""},{"id":150,"name":"Time of Event (Mountain Time)","value":"10:34:14"},{"id":151,"name":"Denver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415</v>
      </c>
      <c r="B53" s="7">
        <v>4038</v>
      </c>
      <c r="C53" s="22" t="s">
        <v>222</v>
      </c>
      <c r="D53" s="22" t="s">
        <v>198</v>
      </c>
      <c r="E53" s="13">
        <v>42690.384780092594</v>
      </c>
      <c r="F53" s="13">
        <v>42690.386388888888</v>
      </c>
      <c r="G53" s="7">
        <v>1</v>
      </c>
      <c r="H53" s="22" t="s">
        <v>229</v>
      </c>
      <c r="I53" s="13">
        <v>42690.410949074074</v>
      </c>
      <c r="J53" s="7">
        <v>0</v>
      </c>
      <c r="K53" s="109" t="str">
        <f t="shared" si="18"/>
        <v>4037/4038</v>
      </c>
      <c r="L53" s="22" t="str">
        <f>VLOOKUP(A53,'Trips&amp;Operators'!$C$1:$E$10000,3,FALSE)</f>
        <v>MAELZER</v>
      </c>
      <c r="M53" s="6">
        <f t="shared" si="19"/>
        <v>2.4560185185691807E-2</v>
      </c>
      <c r="N53" s="7">
        <f t="shared" si="20"/>
        <v>35.366666667396203</v>
      </c>
      <c r="O53" s="7"/>
      <c r="P53" s="7"/>
      <c r="Q53" s="23"/>
      <c r="R53" s="23"/>
      <c r="S53" s="35">
        <f t="shared" si="21"/>
        <v>1</v>
      </c>
      <c r="T53" s="50" t="str">
        <f t="shared" si="22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08:14:05-700',mode:absolute,to:'2016-11-16 10:51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3" s="52" t="str">
        <f t="shared" si="23"/>
        <v>N</v>
      </c>
      <c r="X53" s="177">
        <f t="shared" si="32"/>
        <v>1</v>
      </c>
      <c r="Y53" s="67">
        <f t="shared" si="24"/>
        <v>4.4699999999999997E-2</v>
      </c>
      <c r="Z53" s="67">
        <f t="shared" si="25"/>
        <v>23.331199999999999</v>
      </c>
      <c r="AA53" s="67">
        <f t="shared" si="26"/>
        <v>23.2865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27"/>
        <v>0145-16</v>
      </c>
      <c r="AE53" s="91" t="str">
        <f t="shared" si="11"/>
        <v>aws s3 cp s3://rtdc.mdm.uploadarchive.raw/RTDC4038/ "%USERPROFILE%\AppData\Local\Temp\OnboardLogs"\RTDC4038\2016-11-16 --exclude "*" --recursive --include "*20161116*" &amp; "%USERPROFILE%\Documents\GitHub\mrs-test-scripts\Headless Mode &amp; Sideloading\WalkAndUnGZ.bat" "%USERPROFILE%\AppData\Local\Temp\OnboardLogs"\RTDC4038\2016-11-16 &amp; 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</v>
      </c>
      <c r="AF53" s="88" t="str">
        <f t="shared" si="12"/>
        <v>"C:\Program Files (x86)\AstroGrep\AstroGrep.exe" /spath="%USERPROFILE%\AppData\Local\Temp\OnboardLogs" /stypes="app*4038*20161116*" /stext=" 16:.+((SYSTEM_STATE.+slice.+state.+changed )|(ment ac)|(system.+state.+changed )|(\[timeout)|(PRM\|1\|D)|(kpr)|(kdp)|(\|lc)|(penalty))" /e /r /s</v>
      </c>
      <c r="AG53" s="1" t="str">
        <f t="shared" si="28"/>
        <v>EC</v>
      </c>
      <c r="AH53" s="92" t="str">
        <f t="shared" si="14"/>
        <v>"%USERPROFILE%\Documents\GitHub\eaglep3\Utilities\RefineRTDCRunTimes.py" --tripid 145-16 --locoid 4038 --swversion DE.1.0.8.0 --startMP 204:447 --initTime 2016-11-16T09:14:05 --startdatetime 2016-11-16T09:16:24 --delay 1 --endMP 204:233312 --enddatetime 2016-11-16T09:51:46 --enforcementcount 0 &gt;&gt;C:\Users\stu\Documents\GitHub\eaglep3-reporting\EC\2016-11-16-refined-times.txt</v>
      </c>
      <c r="AI53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{"issue":{"subject":"","project_id":79,"tracker_id":40,"status_id":1,"priority_id":2,"assigned_to_id":23,"start_date":"2016-11-16","description":"","custom_fields":[{"id":1,"name":"Subdivision","value":"EC"},{"id":4,"name":"Milepost","value":"23.3312"},{"id":17,"name":"Train ID","value":"145-16"},{"id":16,"name":"Locomotive ID","value":"4038"},{"id":130,"name":"Impact","value":""},{"id":150,"name":"Time of Event (Mountain Time)","value":"09:51:46"},{"id":151,"name":"Denver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509</v>
      </c>
      <c r="B54" s="7">
        <v>4037</v>
      </c>
      <c r="C54" s="22" t="s">
        <v>222</v>
      </c>
      <c r="D54" s="22" t="s">
        <v>660</v>
      </c>
      <c r="E54" s="13">
        <v>42690.416967592595</v>
      </c>
      <c r="F54" s="13">
        <v>42690.42460648148</v>
      </c>
      <c r="G54" s="7">
        <v>0</v>
      </c>
      <c r="H54" s="22" t="s">
        <v>197</v>
      </c>
      <c r="I54" s="13">
        <v>42690.45040509259</v>
      </c>
      <c r="J54" s="7">
        <v>0</v>
      </c>
      <c r="K54" s="109" t="str">
        <f t="shared" si="18"/>
        <v>4037/4038</v>
      </c>
      <c r="L54" s="22" t="str">
        <f>VLOOKUP(A54,'Trips&amp;Operators'!$C$1:$E$10000,3,FALSE)</f>
        <v>MAELZER</v>
      </c>
      <c r="M54" s="6">
        <f t="shared" si="19"/>
        <v>2.5798611110076308E-2</v>
      </c>
      <c r="N54" s="7">
        <f t="shared" si="20"/>
        <v>37.149999998509884</v>
      </c>
      <c r="O54" s="7"/>
      <c r="P54" s="7"/>
      <c r="Q54" s="23"/>
      <c r="R54" s="23"/>
      <c r="S54" s="35">
        <f t="shared" si="21"/>
        <v>1</v>
      </c>
      <c r="T54" s="50" t="str">
        <f t="shared" si="22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09:00:26-700',mode:absolute,to:'2016-11-16 11:48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4" s="52" t="str">
        <f t="shared" si="23"/>
        <v>N</v>
      </c>
      <c r="X54" s="177">
        <f t="shared" si="32"/>
        <v>1</v>
      </c>
      <c r="Y54" s="67">
        <f t="shared" si="24"/>
        <v>23.298200000000001</v>
      </c>
      <c r="Z54" s="67">
        <f t="shared" si="25"/>
        <v>1.43E-2</v>
      </c>
      <c r="AA54" s="67">
        <f t="shared" si="26"/>
        <v>23.283900000000003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27"/>
        <v>0146-16</v>
      </c>
      <c r="AE54" s="91" t="str">
        <f t="shared" si="11"/>
        <v>aws s3 cp s3://rtdc.mdm.uploadarchive.raw/RTDC4037/ "%USERPROFILE%\AppData\Local\Temp\OnboardLogs"\RTDC4037\2016-11-16 --exclude "*" --recursive --include "*20161116*" &amp; "%USERPROFILE%\Documents\GitHub\mrs-test-scripts\Headless Mode &amp; Sideloading\WalkAndUnGZ.bat" "%USERPROFILE%\AppData\Local\Temp\OnboardLogs"\RTDC4037\2016-11-16 &amp; 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</v>
      </c>
      <c r="AF54" s="88" t="str">
        <f t="shared" si="12"/>
        <v>"C:\Program Files (x86)\AstroGrep\AstroGrep.exe" /spath="%USERPROFILE%\AppData\Local\Temp\OnboardLogs" /stypes="app*4037*20161116*" /stext=" 17:.+((SYSTEM_STATE.+slice.+state.+changed )|(ment ac)|(system.+state.+changed )|(\[timeout)|(PRM\|1\|D)|(kpr)|(kdp)|(\|lc)|(penalty))" /e /r /s</v>
      </c>
      <c r="AG54" s="1" t="str">
        <f t="shared" si="28"/>
        <v>EC</v>
      </c>
      <c r="AH54" s="92" t="str">
        <f t="shared" si="14"/>
        <v>"%USERPROFILE%\Documents\GitHub\eaglep3\Utilities\RefineRTDCRunTimes.py" --tripid 146-16 --locoid 4037 --swversion DE.1.0.8.0 --startMP 204:232982 --initTime 2016-11-16T10:00:26 --startdatetime 2016-11-16T10:11:26 --delay 0 --endMP 204:143 --enddatetime 2016-11-16T10:48:35 --enforcementcount 0 &gt;&gt;C:\Users\stu\Documents\GitHub\eaglep3-reporting\EC\2016-11-16-refined-times.txt</v>
      </c>
      <c r="AI54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{"issue":{"subject":"","project_id":79,"tracker_id":40,"status_id":1,"priority_id":2,"assigned_to_id":23,"start_date":"2016-11-16","description":"","custom_fields":[{"id":1,"name":"Subdivision","value":"EC"},{"id":4,"name":"Milepost","value":"0.0143"},{"id":17,"name":"Train ID","value":"146-16"},{"id":16,"name":"Locomotive ID","value":"4037"},{"id":130,"name":"Impact","value":""},{"id":150,"name":"Time of Event (Mountain Time)","value":"10:48:35"},{"id":151,"name":"Denver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503</v>
      </c>
      <c r="B55" s="7">
        <v>4009</v>
      </c>
      <c r="C55" s="22" t="s">
        <v>222</v>
      </c>
      <c r="D55" s="22" t="s">
        <v>202</v>
      </c>
      <c r="E55" s="13">
        <v>42690.393657407411</v>
      </c>
      <c r="F55" s="13">
        <v>42690.395960648151</v>
      </c>
      <c r="G55" s="7">
        <v>1</v>
      </c>
      <c r="H55" s="22" t="s">
        <v>288</v>
      </c>
      <c r="I55" s="13">
        <v>42690.420104166667</v>
      </c>
      <c r="J55" s="7">
        <v>0</v>
      </c>
      <c r="K55" s="109" t="str">
        <f t="shared" si="18"/>
        <v>4009/4010</v>
      </c>
      <c r="L55" s="22" t="str">
        <f>VLOOKUP(A55,'Trips&amp;Operators'!$C$1:$E$10000,3,FALSE)</f>
        <v>RICHARDSON</v>
      </c>
      <c r="M55" s="6">
        <f t="shared" si="19"/>
        <v>2.414351851621177E-2</v>
      </c>
      <c r="N55" s="7">
        <f t="shared" ref="N55:N86" si="33">24*60*SUM($M55:$M55)</f>
        <v>34.766666663344949</v>
      </c>
      <c r="O55" s="7"/>
      <c r="P55" s="7"/>
      <c r="Q55" s="23"/>
      <c r="R55" s="23"/>
      <c r="S55" s="35">
        <f t="shared" ref="S55:S86" si="34">SUM(U55:U55)/IF(AG55="EC",12,1)</f>
        <v>1</v>
      </c>
      <c r="T55" s="50" t="str">
        <f t="shared" si="22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08:26:52-700',mode:absolute,to:'2016-11-16 11:04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5" s="52" t="str">
        <f t="shared" si="23"/>
        <v>N</v>
      </c>
      <c r="X55" s="177">
        <f t="shared" si="32"/>
        <v>1</v>
      </c>
      <c r="Y55" s="67">
        <f t="shared" si="24"/>
        <v>4.5100000000000001E-2</v>
      </c>
      <c r="Z55" s="67">
        <f t="shared" si="25"/>
        <v>23.331499999999998</v>
      </c>
      <c r="AA55" s="67">
        <f t="shared" si="26"/>
        <v>23.286399999999997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27"/>
        <v>0147-16</v>
      </c>
      <c r="AE55" s="91" t="str">
        <f t="shared" si="11"/>
        <v>aws s3 cp s3://rtdc.mdm.uploadarchive.raw/RTDC4009/ "%USERPROFILE%\AppData\Local\Temp\OnboardLogs"\RTDC4009\2016-11-16 --exclude "*" --recursive --include "*20161116*" &amp; "%USERPROFILE%\Documents\GitHub\mrs-test-scripts\Headless Mode &amp; Sideloading\WalkAndUnGZ.bat" "%USERPROFILE%\AppData\Local\Temp\OnboardLogs"\RTDC4009\2016-11-16 &amp; aws s3 cp s3://rtdc.mdm.uploadarchive.raw/RTDC4009/ "%USERPROFILE%\AppData\Local\Temp\OnboardLogs"\RTDC4009\2016-11-17 --exclude "*" --recursive --include "*20161117*" &amp; "%USERPROFILE%\Documents\GitHub\mrs-test-scripts\Headless Mode &amp; Sideloading\WalkAndUnGZ.bat" "%USERPROFILE%\AppData\Local\Temp\OnboardLogs"\RTDC4009\2016-11-17</v>
      </c>
      <c r="AF55" s="88" t="str">
        <f t="shared" si="12"/>
        <v>"C:\Program Files (x86)\AstroGrep\AstroGrep.exe" /spath="%USERPROFILE%\AppData\Local\Temp\OnboardLogs" /stypes="app*4009*20161116*" /stext=" 17:.+((SYSTEM_STATE.+slice.+state.+changed )|(ment ac)|(system.+state.+changed )|(\[timeout)|(PRM\|1\|D)|(kpr)|(kdp)|(\|lc)|(penalty))" /e /r /s</v>
      </c>
      <c r="AG55" s="1" t="str">
        <f t="shared" si="28"/>
        <v>EC</v>
      </c>
      <c r="AH55" s="92" t="str">
        <f t="shared" si="14"/>
        <v>"%USERPROFILE%\Documents\GitHub\eaglep3\Utilities\RefineRTDCRunTimes.py" --tripid 147-16 --locoid 4009 --swversion DE.1.0.8.0 --startMP 204:451 --initTime 2016-11-16T09:26:52 --startdatetime 2016-11-16T09:30:11 --delay 1 --endMP 204:233315 --enddatetime 2016-11-16T10:04:57 --enforcementcount 0 &gt;&gt;C:\Users\stu\Documents\GitHub\eaglep3-reporting\EC\2016-11-16-refined-times.txt</v>
      </c>
      <c r="AI55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{"issue":{"subject":"","project_id":79,"tracker_id":40,"status_id":1,"priority_id":2,"assigned_to_id":23,"start_date":"2016-11-16","description":"","custom_fields":[{"id":1,"name":"Subdivision","value":"EC"},{"id":4,"name":"Milepost","value":"23.3315"},{"id":17,"name":"Train ID","value":"147-16"},{"id":16,"name":"Locomotive ID","value":"4009"},{"id":130,"name":"Impact","value":""},{"id":150,"name":"Time of Event (Mountain Time)","value":"10:04:57"},{"id":151,"name":"Denver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29" customFormat="1" x14ac:dyDescent="0.25">
      <c r="A56" s="37" t="s">
        <v>512</v>
      </c>
      <c r="B56" s="7">
        <v>4010</v>
      </c>
      <c r="C56" s="22" t="s">
        <v>222</v>
      </c>
      <c r="D56" s="22" t="s">
        <v>378</v>
      </c>
      <c r="E56" s="13">
        <v>42690.429120370369</v>
      </c>
      <c r="F56" s="13">
        <v>42690.434930555559</v>
      </c>
      <c r="G56" s="7">
        <v>2</v>
      </c>
      <c r="H56" s="22" t="s">
        <v>283</v>
      </c>
      <c r="I56" s="13">
        <v>42690.461863425924</v>
      </c>
      <c r="J56" s="7">
        <v>0</v>
      </c>
      <c r="K56" s="109" t="str">
        <f t="shared" si="18"/>
        <v>4009/4010</v>
      </c>
      <c r="L56" s="22" t="str">
        <f>VLOOKUP(A56,'Trips&amp;Operators'!$C$1:$E$10000,3,FALSE)</f>
        <v>RICHARDSON</v>
      </c>
      <c r="M56" s="6">
        <f t="shared" si="19"/>
        <v>2.693287036527181E-2</v>
      </c>
      <c r="N56" s="7">
        <f t="shared" si="33"/>
        <v>38.783333325991407</v>
      </c>
      <c r="O56" s="7"/>
      <c r="P56" s="7"/>
      <c r="Q56" s="23"/>
      <c r="R56" s="23"/>
      <c r="S56" s="35">
        <f t="shared" si="34"/>
        <v>1</v>
      </c>
      <c r="T56" s="50" t="str">
        <f t="shared" si="22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09:17:56-700',mode:absolute,to:'2016-11-16 12:05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6" s="52" t="str">
        <f t="shared" si="23"/>
        <v>N</v>
      </c>
      <c r="X56" s="177">
        <f t="shared" si="32"/>
        <v>1</v>
      </c>
      <c r="Y56" s="67">
        <f t="shared" si="24"/>
        <v>23.299800000000001</v>
      </c>
      <c r="Z56" s="67">
        <f t="shared" si="25"/>
        <v>1.41E-2</v>
      </c>
      <c r="AA56" s="67">
        <f t="shared" si="26"/>
        <v>23.285700000000002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27"/>
        <v>0148-16</v>
      </c>
      <c r="AE56" s="91" t="str">
        <f t="shared" si="11"/>
        <v>aws s3 cp s3://rtdc.mdm.uploadarchive.raw/RTDC4010/ "%USERPROFILE%\AppData\Local\Temp\OnboardLogs"\RTDC4010\2016-11-16 --exclude "*" --recursive --include "*20161116*" &amp; "%USERPROFILE%\Documents\GitHub\mrs-test-scripts\Headless Mode &amp; Sideloading\WalkAndUnGZ.bat" "%USERPROFILE%\AppData\Local\Temp\OnboardLogs"\RTDC4010\2016-11-16 &amp; aws s3 cp s3://rtdc.mdm.uploadarchive.raw/RTDC4010/ "%USERPROFILE%\AppData\Local\Temp\OnboardLogs"\RTDC4010\2016-11-17 --exclude "*" --recursive --include "*20161117*" &amp; "%USERPROFILE%\Documents\GitHub\mrs-test-scripts\Headless Mode &amp; Sideloading\WalkAndUnGZ.bat" "%USERPROFILE%\AppData\Local\Temp\OnboardLogs"\RTDC4010\2016-11-17</v>
      </c>
      <c r="AF56" s="88" t="str">
        <f t="shared" si="12"/>
        <v>"C:\Program Files (x86)\AstroGrep\AstroGrep.exe" /spath="%USERPROFILE%\AppData\Local\Temp\OnboardLogs" /stypes="app*4010*20161116*" /stext=" 18:.+((SYSTEM_STATE.+slice.+state.+changed )|(ment ac)|(system.+state.+changed )|(\[timeout)|(PRM\|1\|D)|(kpr)|(kdp)|(\|lc)|(penalty))" /e /r /s</v>
      </c>
      <c r="AG56" s="1" t="str">
        <f t="shared" si="28"/>
        <v>EC</v>
      </c>
      <c r="AH56" s="92" t="str">
        <f t="shared" si="14"/>
        <v>"%USERPROFILE%\Documents\GitHub\eaglep3\Utilities\RefineRTDCRunTimes.py" --tripid 148-16 --locoid 4010 --swversion DE.1.0.8.0 --startMP 204:232998 --initTime 2016-11-16T10:17:56 --startdatetime 2016-11-16T10:26:18 --delay 2 --endMP 204:141 --enddatetime 2016-11-16T11:05:05 --enforcementcount 0 &gt;&gt;C:\Users\stu\Documents\GitHub\eaglep3-reporting\EC\2016-11-16-refined-times.txt</v>
      </c>
      <c r="AI56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{"issue":{"subject":"","project_id":79,"tracker_id":40,"status_id":1,"priority_id":2,"assigned_to_id":23,"start_date":"2016-11-16","description":"","custom_fields":[{"id":1,"name":"Subdivision","value":"EC"},{"id":4,"name":"Milepost","value":"0.0141"},{"id":17,"name":"Train ID","value":"148-16"},{"id":16,"name":"Locomotive ID","value":"4010"},{"id":130,"name":"Impact","value":""},{"id":150,"name":"Time of Event (Mountain Time)","value":"11:05:05"},{"id":151,"name":"Denver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29" customFormat="1" x14ac:dyDescent="0.25">
      <c r="A57" s="37" t="s">
        <v>506</v>
      </c>
      <c r="B57" s="7">
        <v>4007</v>
      </c>
      <c r="C57" s="22" t="s">
        <v>222</v>
      </c>
      <c r="D57" s="22" t="s">
        <v>377</v>
      </c>
      <c r="E57" s="13">
        <v>42690.401712962965</v>
      </c>
      <c r="F57" s="13">
        <v>42690.406435185185</v>
      </c>
      <c r="G57" s="7">
        <v>1</v>
      </c>
      <c r="H57" s="22" t="s">
        <v>374</v>
      </c>
      <c r="I57" s="13">
        <v>42690.430706018517</v>
      </c>
      <c r="J57" s="7">
        <v>0</v>
      </c>
      <c r="K57" s="109" t="str">
        <f t="shared" si="18"/>
        <v>4007/4008</v>
      </c>
      <c r="L57" s="22" t="str">
        <f>VLOOKUP(A57,'Trips&amp;Operators'!$C$1:$E$10000,3,FALSE)</f>
        <v>SAFIEF</v>
      </c>
      <c r="M57" s="6">
        <f t="shared" si="19"/>
        <v>2.4270833331684116E-2</v>
      </c>
      <c r="N57" s="7">
        <f t="shared" si="33"/>
        <v>34.949999997625127</v>
      </c>
      <c r="O57" s="7"/>
      <c r="P57" s="7"/>
      <c r="Q57" s="23"/>
      <c r="R57" s="23"/>
      <c r="S57" s="35">
        <f t="shared" si="34"/>
        <v>1</v>
      </c>
      <c r="T57" s="50" t="str">
        <f t="shared" si="22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08:38:28-700',mode:absolute,to:'2016-11-16 11:20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7" s="52" t="str">
        <f t="shared" si="23"/>
        <v>N</v>
      </c>
      <c r="X57" s="177">
        <f t="shared" si="32"/>
        <v>1</v>
      </c>
      <c r="Y57" s="67">
        <f t="shared" si="24"/>
        <v>4.2900000000000001E-2</v>
      </c>
      <c r="Z57" s="67">
        <f t="shared" si="25"/>
        <v>23.3307</v>
      </c>
      <c r="AA57" s="67">
        <f t="shared" si="26"/>
        <v>23.287800000000001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27"/>
        <v>0149-16</v>
      </c>
      <c r="AE57" s="91" t="str">
        <f t="shared" si="11"/>
        <v>aws s3 cp s3://rtdc.mdm.uploadarchive.raw/RTDC4007/ "%USERPROFILE%\AppData\Local\Temp\OnboardLogs"\RTDC4007\2016-11-16 --exclude "*" --recursive --include "*20161116*" &amp; "%USERPROFILE%\Documents\GitHub\mrs-test-scripts\Headless Mode &amp; Sideloading\WalkAndUnGZ.bat" "%USERPROFILE%\AppData\Local\Temp\OnboardLogs"\RTDC4007\2016-11-16 &amp; aws s3 cp s3://rtdc.mdm.uploadarchive.raw/RTDC4007/ "%USERPROFILE%\AppData\Local\Temp\OnboardLogs"\RTDC4007\2016-11-17 --exclude "*" --recursive --include "*20161117*" &amp; "%USERPROFILE%\Documents\GitHub\mrs-test-scripts\Headless Mode &amp; Sideloading\WalkAndUnGZ.bat" "%USERPROFILE%\AppData\Local\Temp\OnboardLogs"\RTDC4007\2016-11-17</v>
      </c>
      <c r="AF57" s="88" t="str">
        <f t="shared" si="12"/>
        <v>"C:\Program Files (x86)\AstroGrep\AstroGrep.exe" /spath="%USERPROFILE%\AppData\Local\Temp\OnboardLogs" /stypes="app*4007*20161116*" /stext=" 17:.+((SYSTEM_STATE.+slice.+state.+changed )|(ment ac)|(system.+state.+changed )|(\[timeout)|(PRM\|1\|D)|(kpr)|(kdp)|(\|lc)|(penalty))" /e /r /s</v>
      </c>
      <c r="AG57" s="1" t="str">
        <f t="shared" si="28"/>
        <v>EC</v>
      </c>
      <c r="AH57" s="92" t="str">
        <f t="shared" si="14"/>
        <v>"%USERPROFILE%\Documents\GitHub\eaglep3\Utilities\RefineRTDCRunTimes.py" --tripid 149-16 --locoid 4007 --swversion DE.1.0.8.0 --startMP 204:429 --initTime 2016-11-16T09:38:28 --startdatetime 2016-11-16T09:45:16 --delay 1 --endMP 204:233307 --enddatetime 2016-11-16T10:20:13 --enforcementcount 0 &gt;&gt;C:\Users\stu\Documents\GitHub\eaglep3-reporting\EC\2016-11-16-refined-times.txt</v>
      </c>
      <c r="AI57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{"issue":{"subject":"","project_id":79,"tracker_id":40,"status_id":1,"priority_id":2,"assigned_to_id":23,"start_date":"2016-11-16","description":"","custom_fields":[{"id":1,"name":"Subdivision","value":"EC"},{"id":4,"name":"Milepost","value":"23.3307"},{"id":17,"name":"Train ID","value":"149-16"},{"id":16,"name":"Locomotive ID","value":"4007"},{"id":130,"name":"Impact","value":""},{"id":150,"name":"Time of Event (Mountain Time)","value":"10:20:13"},{"id":151,"name":"Denver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514</v>
      </c>
      <c r="B58" s="7">
        <v>4008</v>
      </c>
      <c r="C58" s="22" t="s">
        <v>222</v>
      </c>
      <c r="D58" s="22" t="s">
        <v>293</v>
      </c>
      <c r="E58" s="13">
        <v>42690.438171296293</v>
      </c>
      <c r="F58" s="13">
        <v>42690.445416666669</v>
      </c>
      <c r="G58" s="7">
        <v>1</v>
      </c>
      <c r="H58" s="22" t="s">
        <v>316</v>
      </c>
      <c r="I58" s="13">
        <v>42690.477175925924</v>
      </c>
      <c r="J58" s="7">
        <v>0</v>
      </c>
      <c r="K58" s="109" t="str">
        <f t="shared" si="18"/>
        <v>4007/4008</v>
      </c>
      <c r="L58" s="22" t="str">
        <f>VLOOKUP(A58,'Trips&amp;Operators'!$C$1:$E$10000,3,FALSE)</f>
        <v>SAFIEF</v>
      </c>
      <c r="M58" s="6">
        <f t="shared" si="19"/>
        <v>3.1759259254613426E-2</v>
      </c>
      <c r="N58" s="7">
        <f t="shared" si="33"/>
        <v>45.733333326643333</v>
      </c>
      <c r="O58" s="7"/>
      <c r="P58" s="7"/>
      <c r="Q58" s="23"/>
      <c r="R58" s="23"/>
      <c r="S58" s="35">
        <f t="shared" si="34"/>
        <v>1</v>
      </c>
      <c r="T58" s="50" t="str">
        <f t="shared" si="22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09:30:58-700',mode:absolute,to:'2016-11-16 12:27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8" s="52" t="str">
        <f t="shared" si="23"/>
        <v>N</v>
      </c>
      <c r="X58" s="177">
        <f t="shared" si="32"/>
        <v>1</v>
      </c>
      <c r="Y58" s="67">
        <f t="shared" si="24"/>
        <v>23.297499999999999</v>
      </c>
      <c r="Z58" s="67">
        <f t="shared" si="25"/>
        <v>1.3599999999999999E-2</v>
      </c>
      <c r="AA58" s="67">
        <f t="shared" si="26"/>
        <v>23.283899999999999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27"/>
        <v>0150-16</v>
      </c>
      <c r="AE58" s="91" t="str">
        <f t="shared" si="11"/>
        <v>aws s3 cp s3://rtdc.mdm.uploadarchive.raw/RTDC4008/ "%USERPROFILE%\AppData\Local\Temp\OnboardLogs"\RTDC4008\2016-11-16 --exclude "*" --recursive --include "*20161116*" &amp; "%USERPROFILE%\Documents\GitHub\mrs-test-scripts\Headless Mode &amp; Sideloading\WalkAndUnGZ.bat" "%USERPROFILE%\AppData\Local\Temp\OnboardLogs"\RTDC4008\2016-11-16 &amp; aws s3 cp s3://rtdc.mdm.uploadarchive.raw/RTDC4008/ "%USERPROFILE%\AppData\Local\Temp\OnboardLogs"\RTDC4008\2016-11-17 --exclude "*" --recursive --include "*20161117*" &amp; "%USERPROFILE%\Documents\GitHub\mrs-test-scripts\Headless Mode &amp; Sideloading\WalkAndUnGZ.bat" "%USERPROFILE%\AppData\Local\Temp\OnboardLogs"\RTDC4008\2016-11-17</v>
      </c>
      <c r="AF58" s="88" t="str">
        <f t="shared" si="12"/>
        <v>"C:\Program Files (x86)\AstroGrep\AstroGrep.exe" /spath="%USERPROFILE%\AppData\Local\Temp\OnboardLogs" /stypes="app*4008*20161116*" /stext=" 18:.+((SYSTEM_STATE.+slice.+state.+changed )|(ment ac)|(system.+state.+changed )|(\[timeout)|(PRM\|1\|D)|(kpr)|(kdp)|(\|lc)|(penalty))" /e /r /s</v>
      </c>
      <c r="AG58" s="1" t="str">
        <f t="shared" si="28"/>
        <v>EC</v>
      </c>
      <c r="AH58" s="92" t="str">
        <f t="shared" si="14"/>
        <v>"%USERPROFILE%\Documents\GitHub\eaglep3\Utilities\RefineRTDCRunTimes.py" --tripid 150-16 --locoid 4008 --swversion DE.1.0.8.0 --startMP 204:232975 --initTime 2016-11-16T10:30:58 --startdatetime 2016-11-16T10:41:24 --delay 1 --endMP 204:136 --enddatetime 2016-11-16T11:27:08 --enforcementcount 0 &gt;&gt;C:\Users\stu\Documents\GitHub\eaglep3-reporting\EC\2016-11-16-refined-times.txt</v>
      </c>
      <c r="AI58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{"issue":{"subject":"","project_id":79,"tracker_id":40,"status_id":1,"priority_id":2,"assigned_to_id":23,"start_date":"2016-11-16","description":"","custom_fields":[{"id":1,"name":"Subdivision","value":"EC"},{"id":4,"name":"Milepost","value":"0.0136"},{"id":17,"name":"Train ID","value":"150-16"},{"id":16,"name":"Locomotive ID","value":"4008"},{"id":130,"name":"Impact","value":""},{"id":150,"name":"Time of Event (Mountain Time)","value":"11:27:08"},{"id":151,"name":"Denver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508</v>
      </c>
      <c r="B59" s="7">
        <v>4022</v>
      </c>
      <c r="C59" s="22" t="s">
        <v>222</v>
      </c>
      <c r="D59" s="22" t="s">
        <v>661</v>
      </c>
      <c r="E59" s="13">
        <v>42690.412291666667</v>
      </c>
      <c r="F59" s="13">
        <v>42690.41710648148</v>
      </c>
      <c r="G59" s="7">
        <v>1</v>
      </c>
      <c r="H59" s="22" t="s">
        <v>319</v>
      </c>
      <c r="I59" s="13">
        <v>42690.443344907406</v>
      </c>
      <c r="J59" s="7">
        <v>0</v>
      </c>
      <c r="K59" s="109" t="str">
        <f t="shared" si="18"/>
        <v>4021/4022</v>
      </c>
      <c r="L59" s="22" t="str">
        <f>VLOOKUP(A59,'Trips&amp;Operators'!$C$1:$E$10000,3,FALSE)</f>
        <v>STRICKLAND</v>
      </c>
      <c r="M59" s="6">
        <f t="shared" si="19"/>
        <v>2.6238425925839692E-2</v>
      </c>
      <c r="N59" s="7">
        <f t="shared" si="33"/>
        <v>37.783333333209157</v>
      </c>
      <c r="O59" s="7"/>
      <c r="P59" s="7"/>
      <c r="Q59" s="23"/>
      <c r="R59" s="23"/>
      <c r="S59" s="35">
        <f t="shared" si="34"/>
        <v>1</v>
      </c>
      <c r="T59" s="50" t="str">
        <f t="shared" si="22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08:53:42-700',mode:absolute,to:'2016-11-16 11:38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59" s="52" t="str">
        <f t="shared" si="23"/>
        <v>N</v>
      </c>
      <c r="X59" s="177">
        <f t="shared" si="32"/>
        <v>1</v>
      </c>
      <c r="Y59" s="67">
        <f t="shared" si="24"/>
        <v>4.9299999999999997E-2</v>
      </c>
      <c r="Z59" s="67">
        <f t="shared" si="25"/>
        <v>23.3291</v>
      </c>
      <c r="AA59" s="67">
        <f t="shared" si="26"/>
        <v>23.279800000000002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27"/>
        <v>0151-16</v>
      </c>
      <c r="AE59" s="91" t="str">
        <f t="shared" si="11"/>
        <v>aws s3 cp s3://rtdc.mdm.uploadarchive.raw/RTDC4022/ "%USERPROFILE%\AppData\Local\Temp\OnboardLogs"\RTDC4022\2016-11-16 --exclude "*" --recursive --include "*20161116*" &amp; "%USERPROFILE%\Documents\GitHub\mrs-test-scripts\Headless Mode &amp; Sideloading\WalkAndUnGZ.bat" "%USERPROFILE%\AppData\Local\Temp\OnboardLogs"\RTDC4022\2016-11-16 &amp; aws s3 cp s3://rtdc.mdm.uploadarchive.raw/RTDC4022/ "%USERPROFILE%\AppData\Local\Temp\OnboardLogs"\RTDC4022\2016-11-17 --exclude "*" --recursive --include "*20161117*" &amp; "%USERPROFILE%\Documents\GitHub\mrs-test-scripts\Headless Mode &amp; Sideloading\WalkAndUnGZ.bat" "%USERPROFILE%\AppData\Local\Temp\OnboardLogs"\RTDC4022\2016-11-17</v>
      </c>
      <c r="AF59" s="88" t="str">
        <f t="shared" si="12"/>
        <v>"C:\Program Files (x86)\AstroGrep\AstroGrep.exe" /spath="%USERPROFILE%\AppData\Local\Temp\OnboardLogs" /stypes="app*4022*20161116*" /stext=" 17:.+((SYSTEM_STATE.+slice.+state.+changed )|(ment ac)|(system.+state.+changed )|(\[timeout)|(PRM\|1\|D)|(kpr)|(kdp)|(\|lc)|(penalty))" /e /r /s</v>
      </c>
      <c r="AG59" s="1" t="str">
        <f t="shared" si="28"/>
        <v>EC</v>
      </c>
      <c r="AH59" s="92" t="str">
        <f t="shared" si="14"/>
        <v>"%USERPROFILE%\Documents\GitHub\eaglep3\Utilities\RefineRTDCRunTimes.py" --tripid 151-16 --locoid 4022 --swversion DE.1.0.8.0 --startMP 204:493 --initTime 2016-11-16T09:53:42 --startdatetime 2016-11-16T10:00:38 --delay 1 --endMP 204:233291 --enddatetime 2016-11-16T10:38:25 --enforcementcount 0 &gt;&gt;C:\Users\stu\Documents\GitHub\eaglep3-reporting\EC\2016-11-16-refined-times.txt</v>
      </c>
      <c r="AI59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{"issue":{"subject":"","project_id":79,"tracker_id":40,"status_id":1,"priority_id":2,"assigned_to_id":23,"start_date":"2016-11-16","description":"","custom_fields":[{"id":1,"name":"Subdivision","value":"EC"},{"id":4,"name":"Milepost","value":"23.3291"},{"id":17,"name":"Train ID","value":"151-16"},{"id":16,"name":"Locomotive ID","value":"4022"},{"id":130,"name":"Impact","value":""},{"id":150,"name":"Time of Event (Mountain Time)","value":"10:38:25"},{"id":151,"name":"Denver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516</v>
      </c>
      <c r="B60" s="7">
        <v>4021</v>
      </c>
      <c r="C60" s="22" t="s">
        <v>222</v>
      </c>
      <c r="D60" s="22" t="s">
        <v>217</v>
      </c>
      <c r="E60" s="13">
        <v>42690.447384259256</v>
      </c>
      <c r="F60" s="13">
        <v>42690.45579861111</v>
      </c>
      <c r="G60" s="7">
        <v>5</v>
      </c>
      <c r="H60" s="22" t="s">
        <v>278</v>
      </c>
      <c r="I60" s="13">
        <v>42690.485092592593</v>
      </c>
      <c r="J60" s="7">
        <v>0</v>
      </c>
      <c r="K60" s="109" t="str">
        <f t="shared" si="18"/>
        <v>4021/4022</v>
      </c>
      <c r="L60" s="22" t="str">
        <f>VLOOKUP(A60,'Trips&amp;Operators'!$C$1:$E$10000,3,FALSE)</f>
        <v>STRICKLAND</v>
      </c>
      <c r="M60" s="6">
        <f t="shared" si="19"/>
        <v>2.9293981482624076E-2</v>
      </c>
      <c r="N60" s="7">
        <f t="shared" si="33"/>
        <v>42.18333333497867</v>
      </c>
      <c r="O60" s="7"/>
      <c r="P60" s="7"/>
      <c r="Q60" s="23"/>
      <c r="R60" s="23"/>
      <c r="S60" s="35">
        <f t="shared" si="34"/>
        <v>1</v>
      </c>
      <c r="T60" s="50" t="str">
        <f t="shared" si="22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09:44:14-700',mode:absolute,to:'2016-11-16 12:38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0" s="52" t="str">
        <f t="shared" si="23"/>
        <v>N</v>
      </c>
      <c r="X60" s="177">
        <f t="shared" si="32"/>
        <v>1</v>
      </c>
      <c r="Y60" s="67">
        <f t="shared" si="24"/>
        <v>23.298500000000001</v>
      </c>
      <c r="Z60" s="67">
        <f t="shared" si="25"/>
        <v>1.54E-2</v>
      </c>
      <c r="AA60" s="67">
        <f t="shared" si="26"/>
        <v>23.283100000000001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27"/>
        <v>0152-16</v>
      </c>
      <c r="AE60" s="91" t="str">
        <f t="shared" si="11"/>
        <v>aws s3 cp s3://rtdc.mdm.uploadarchive.raw/RTDC4021/ "%USERPROFILE%\AppData\Local\Temp\OnboardLogs"\RTDC4021\2016-11-16 --exclude "*" --recursive --include "*20161116*" &amp; "%USERPROFILE%\Documents\GitHub\mrs-test-scripts\Headless Mode &amp; Sideloading\WalkAndUnGZ.bat" "%USERPROFILE%\AppData\Local\Temp\OnboardLogs"\RTDC4021\2016-11-16 &amp; aws s3 cp s3://rtdc.mdm.uploadarchive.raw/RTDC4021/ "%USERPROFILE%\AppData\Local\Temp\OnboardLogs"\RTDC4021\2016-11-17 --exclude "*" --recursive --include "*20161117*" &amp; "%USERPROFILE%\Documents\GitHub\mrs-test-scripts\Headless Mode &amp; Sideloading\WalkAndUnGZ.bat" "%USERPROFILE%\AppData\Local\Temp\OnboardLogs"\RTDC4021\2016-11-17</v>
      </c>
      <c r="AF60" s="88" t="str">
        <f t="shared" si="12"/>
        <v>"C:\Program Files (x86)\AstroGrep\AstroGrep.exe" /spath="%USERPROFILE%\AppData\Local\Temp\OnboardLogs" /stypes="app*4021*20161116*" /stext=" 18:.+((SYSTEM_STATE.+slice.+state.+changed )|(ment ac)|(system.+state.+changed )|(\[timeout)|(PRM\|1\|D)|(kpr)|(kdp)|(\|lc)|(penalty))" /e /r /s</v>
      </c>
      <c r="AG60" s="1" t="str">
        <f t="shared" si="28"/>
        <v>EC</v>
      </c>
      <c r="AH60" s="92" t="str">
        <f t="shared" si="14"/>
        <v>"%USERPROFILE%\Documents\GitHub\eaglep3\Utilities\RefineRTDCRunTimes.py" --tripid 152-16 --locoid 4021 --swversion DE.1.0.8.0 --startMP 204:232985 --initTime 2016-11-16T10:44:14 --startdatetime 2016-11-16T10:56:21 --delay 5 --endMP 204:154 --enddatetime 2016-11-16T11:38:32 --enforcementcount 0 &gt;&gt;C:\Users\stu\Documents\GitHub\eaglep3-reporting\EC\2016-11-16-refined-times.txt</v>
      </c>
      <c r="AI60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{"issue":{"subject":"","project_id":79,"tracker_id":40,"status_id":1,"priority_id":2,"assigned_to_id":23,"start_date":"2016-11-16","description":"","custom_fields":[{"id":1,"name":"Subdivision","value":"EC"},{"id":4,"name":"Milepost","value":"0.0154"},{"id":17,"name":"Train ID","value":"152-16"},{"id":16,"name":"Locomotive ID","value":"4021"},{"id":130,"name":"Impact","value":""},{"id":150,"name":"Time of Event (Mountain Time)","value":"11:38:32"},{"id":151,"name":"Denver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511</v>
      </c>
      <c r="B61" s="7">
        <v>4016</v>
      </c>
      <c r="C61" s="22" t="s">
        <v>222</v>
      </c>
      <c r="D61" s="22" t="s">
        <v>280</v>
      </c>
      <c r="E61" s="13">
        <v>42690.422997685186</v>
      </c>
      <c r="F61" s="13">
        <v>42690.427314814813</v>
      </c>
      <c r="G61" s="7">
        <v>1</v>
      </c>
      <c r="H61" s="22" t="s">
        <v>229</v>
      </c>
      <c r="I61" s="13">
        <v>42690.451493055552</v>
      </c>
      <c r="J61" s="7">
        <v>0</v>
      </c>
      <c r="K61" s="109" t="str">
        <f t="shared" si="18"/>
        <v>4015/4016</v>
      </c>
      <c r="L61" s="22" t="str">
        <f>VLOOKUP(A61,'Trips&amp;Operators'!$C$1:$E$10000,3,FALSE)</f>
        <v>SPECTOR</v>
      </c>
      <c r="M61" s="6">
        <f t="shared" si="19"/>
        <v>2.417824073927477E-2</v>
      </c>
      <c r="N61" s="7">
        <f t="shared" si="33"/>
        <v>34.816666664555669</v>
      </c>
      <c r="O61" s="7"/>
      <c r="P61" s="7"/>
      <c r="Q61" s="23"/>
      <c r="R61" s="23"/>
      <c r="S61" s="35">
        <f t="shared" si="34"/>
        <v>1</v>
      </c>
      <c r="T61" s="50" t="str">
        <f t="shared" si="22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09:09:07-700',mode:absolute,to:'2016-11-16 11:50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1" s="52" t="str">
        <f t="shared" si="23"/>
        <v>N</v>
      </c>
      <c r="X61" s="177">
        <f t="shared" si="32"/>
        <v>1</v>
      </c>
      <c r="Y61" s="67">
        <f t="shared" si="24"/>
        <v>4.6600000000000003E-2</v>
      </c>
      <c r="Z61" s="67">
        <f t="shared" si="25"/>
        <v>23.331199999999999</v>
      </c>
      <c r="AA61" s="67">
        <f t="shared" si="26"/>
        <v>23.284599999999998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27"/>
        <v>0153-16</v>
      </c>
      <c r="AE61" s="91" t="str">
        <f t="shared" si="11"/>
        <v>aws s3 cp s3://rtdc.mdm.uploadarchive.raw/RTDC4016/ "%USERPROFILE%\AppData\Local\Temp\OnboardLogs"\RTDC4016\2016-11-16 --exclude "*" --recursive --include "*20161116*" &amp; "%USERPROFILE%\Documents\GitHub\mrs-test-scripts\Headless Mode &amp; Sideloading\WalkAndUnGZ.bat" "%USERPROFILE%\AppData\Local\Temp\OnboardLogs"\RTDC4016\2016-11-16 &amp; aws s3 cp s3://rtdc.mdm.uploadarchive.raw/RTDC4016/ "%USERPROFILE%\AppData\Local\Temp\OnboardLogs"\RTDC4016\2016-11-17 --exclude "*" --recursive --include "*20161117*" &amp; "%USERPROFILE%\Documents\GitHub\mrs-test-scripts\Headless Mode &amp; Sideloading\WalkAndUnGZ.bat" "%USERPROFILE%\AppData\Local\Temp\OnboardLogs"\RTDC4016\2016-11-17</v>
      </c>
      <c r="AF61" s="88" t="str">
        <f t="shared" si="12"/>
        <v>"C:\Program Files (x86)\AstroGrep\AstroGrep.exe" /spath="%USERPROFILE%\AppData\Local\Temp\OnboardLogs" /stypes="app*4016*20161116*" /stext=" 17:.+((SYSTEM_STATE.+slice.+state.+changed )|(ment ac)|(system.+state.+changed )|(\[timeout)|(PRM\|1\|D)|(kpr)|(kdp)|(\|lc)|(penalty))" /e /r /s</v>
      </c>
      <c r="AG61" s="1" t="str">
        <f t="shared" si="28"/>
        <v>EC</v>
      </c>
      <c r="AH61" s="92" t="str">
        <f t="shared" si="14"/>
        <v>"%USERPROFILE%\Documents\GitHub\eaglep3\Utilities\RefineRTDCRunTimes.py" --tripid 153-16 --locoid 4016 --swversion DE.1.0.8.0 --startMP 204:466 --initTime 2016-11-16T10:09:07 --startdatetime 2016-11-16T10:15:20 --delay 1 --endMP 204:233312 --enddatetime 2016-11-16T10:50:09 --enforcementcount 0 &gt;&gt;C:\Users\stu\Documents\GitHub\eaglep3-reporting\EC\2016-11-16-refined-times.txt</v>
      </c>
      <c r="AI61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{"issue":{"subject":"","project_id":79,"tracker_id":40,"status_id":1,"priority_id":2,"assigned_to_id":23,"start_date":"2016-11-16","description":"","custom_fields":[{"id":1,"name":"Subdivision","value":"EC"},{"id":4,"name":"Milepost","value":"23.3312"},{"id":17,"name":"Train ID","value":"153-16"},{"id":16,"name":"Locomotive ID","value":"4016"},{"id":130,"name":"Impact","value":""},{"id":150,"name":"Time of Event (Mountain Time)","value":"10:50:09"},{"id":151,"name":"Denver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423</v>
      </c>
      <c r="B62" s="7">
        <v>4015</v>
      </c>
      <c r="C62" s="22" t="s">
        <v>222</v>
      </c>
      <c r="D62" s="22" t="s">
        <v>281</v>
      </c>
      <c r="E62" s="13">
        <v>42690.461655092593</v>
      </c>
      <c r="F62" s="13">
        <v>42690.466203703705</v>
      </c>
      <c r="G62" s="7">
        <v>1</v>
      </c>
      <c r="H62" s="22" t="s">
        <v>175</v>
      </c>
      <c r="I62" s="13">
        <v>42690.495162037034</v>
      </c>
      <c r="J62" s="7">
        <v>0</v>
      </c>
      <c r="K62" s="109" t="str">
        <f t="shared" si="18"/>
        <v>4015/4016</v>
      </c>
      <c r="L62" s="22" t="str">
        <f>VLOOKUP(A62,'Trips&amp;Operators'!$C$1:$E$10000,3,FALSE)</f>
        <v>SPECTOR</v>
      </c>
      <c r="M62" s="6">
        <f t="shared" si="19"/>
        <v>2.8958333328773733E-2</v>
      </c>
      <c r="N62" s="7">
        <f t="shared" si="33"/>
        <v>41.699999993434176</v>
      </c>
      <c r="O62" s="7"/>
      <c r="P62" s="7"/>
      <c r="Q62" s="23"/>
      <c r="R62" s="23"/>
      <c r="S62" s="35">
        <f t="shared" si="34"/>
        <v>1</v>
      </c>
      <c r="T62" s="50" t="str">
        <f t="shared" si="22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10:04:47-700',mode:absolute,to:'2016-11-16 12:53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2" s="52" t="str">
        <f t="shared" si="23"/>
        <v>N</v>
      </c>
      <c r="X62" s="177">
        <f t="shared" si="32"/>
        <v>1</v>
      </c>
      <c r="Y62" s="67">
        <f t="shared" si="24"/>
        <v>23.297999999999998</v>
      </c>
      <c r="Z62" s="67">
        <f t="shared" si="25"/>
        <v>1.52E-2</v>
      </c>
      <c r="AA62" s="67">
        <f t="shared" si="26"/>
        <v>23.282799999999998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27"/>
        <v>0154-16</v>
      </c>
      <c r="AE62" s="91" t="str">
        <f t="shared" si="11"/>
        <v>aws s3 cp s3://rtdc.mdm.uploadarchive.raw/RTDC4015/ "%USERPROFILE%\AppData\Local\Temp\OnboardLogs"\RTDC4015\2016-11-16 --exclude "*" --recursive --include "*20161116*" &amp; "%USERPROFILE%\Documents\GitHub\mrs-test-scripts\Headless Mode &amp; Sideloading\WalkAndUnGZ.bat" "%USERPROFILE%\AppData\Local\Temp\OnboardLogs"\RTDC4015\2016-11-16 &amp; aws s3 cp s3://rtdc.mdm.uploadarchive.raw/RTDC4015/ "%USERPROFILE%\AppData\Local\Temp\OnboardLogs"\RTDC4015\2016-11-17 --exclude "*" --recursive --include "*20161117*" &amp; "%USERPROFILE%\Documents\GitHub\mrs-test-scripts\Headless Mode &amp; Sideloading\WalkAndUnGZ.bat" "%USERPROFILE%\AppData\Local\Temp\OnboardLogs"\RTDC4015\2016-11-17</v>
      </c>
      <c r="AF62" s="88" t="str">
        <f t="shared" si="12"/>
        <v>"C:\Program Files (x86)\AstroGrep\AstroGrep.exe" /spath="%USERPROFILE%\AppData\Local\Temp\OnboardLogs" /stypes="app*4015*20161116*" /stext=" 18:.+((SYSTEM_STATE.+slice.+state.+changed )|(ment ac)|(system.+state.+changed )|(\[timeout)|(PRM\|1\|D)|(kpr)|(kdp)|(\|lc)|(penalty))" /e /r /s</v>
      </c>
      <c r="AG62" s="1" t="str">
        <f t="shared" si="28"/>
        <v>EC</v>
      </c>
      <c r="AH62" s="92" t="str">
        <f t="shared" si="14"/>
        <v>"%USERPROFILE%\Documents\GitHub\eaglep3\Utilities\RefineRTDCRunTimes.py" --tripid 154-16 --locoid 4015 --swversion DE.1.0.8.0 --startMP 204:232980 --initTime 2016-11-16T11:04:47 --startdatetime 2016-11-16T11:11:20 --delay 1 --endMP 204:152 --enddatetime 2016-11-16T11:53:02 --enforcementcount 0 &gt;&gt;C:\Users\stu\Documents\GitHub\eaglep3-reporting\EC\2016-11-16-refined-times.txt</v>
      </c>
      <c r="AI62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{"issue":{"subject":"","project_id":79,"tracker_id":40,"status_id":1,"priority_id":2,"assigned_to_id":23,"start_date":"2016-11-16","description":"","custom_fields":[{"id":1,"name":"Subdivision","value":"EC"},{"id":4,"name":"Milepost","value":"0.0152"},{"id":17,"name":"Train ID","value":"154-16"},{"id":16,"name":"Locomotive ID","value":"4015"},{"id":130,"name":"Impact","value":""},{"id":150,"name":"Time of Event (Mountain Time)","value":"11:53:02"},{"id":151,"name":"Denver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420</v>
      </c>
      <c r="B63" s="7">
        <v>4044</v>
      </c>
      <c r="C63" s="22" t="s">
        <v>222</v>
      </c>
      <c r="D63" s="22" t="s">
        <v>224</v>
      </c>
      <c r="E63" s="13">
        <v>42690.431319444448</v>
      </c>
      <c r="F63" s="13">
        <v>42690.437685185185</v>
      </c>
      <c r="G63" s="7">
        <v>1</v>
      </c>
      <c r="H63" s="22" t="s">
        <v>662</v>
      </c>
      <c r="I63" s="13">
        <v>42690.462268518517</v>
      </c>
      <c r="J63" s="7">
        <v>0</v>
      </c>
      <c r="K63" s="109" t="str">
        <f t="shared" si="18"/>
        <v>4043/4044</v>
      </c>
      <c r="L63" s="22" t="str">
        <f>VLOOKUP(A63,'Trips&amp;Operators'!$C$1:$E$10000,3,FALSE)</f>
        <v>STARKS</v>
      </c>
      <c r="M63" s="6">
        <f t="shared" si="19"/>
        <v>2.4583333331975155E-2</v>
      </c>
      <c r="N63" s="7">
        <f t="shared" si="33"/>
        <v>35.399999998044223</v>
      </c>
      <c r="O63" s="7"/>
      <c r="P63" s="7"/>
      <c r="Q63" s="23"/>
      <c r="R63" s="23"/>
      <c r="S63" s="35">
        <f t="shared" si="34"/>
        <v>1</v>
      </c>
      <c r="T63" s="50" t="str">
        <f t="shared" si="22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09:21:06-700',mode:absolute,to:'2016-11-16 12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3" s="52" t="str">
        <f t="shared" si="23"/>
        <v>N</v>
      </c>
      <c r="X63" s="177">
        <f t="shared" si="32"/>
        <v>1</v>
      </c>
      <c r="Y63" s="67">
        <f t="shared" si="24"/>
        <v>4.58E-2</v>
      </c>
      <c r="Z63" s="67">
        <f t="shared" si="25"/>
        <v>23.322299999999998</v>
      </c>
      <c r="AA63" s="67">
        <f t="shared" si="26"/>
        <v>23.276499999999999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27"/>
        <v>0155-16</v>
      </c>
      <c r="AE63" s="91" t="str">
        <f t="shared" si="11"/>
        <v>aws s3 cp s3://rtdc.mdm.uploadarchive.raw/RTDC4044/ "%USERPROFILE%\AppData\Local\Temp\OnboardLogs"\RTDC4044\2016-11-16 --exclude "*" --recursive --include "*20161116*" &amp; "%USERPROFILE%\Documents\GitHub\mrs-test-scripts\Headless Mode &amp; Sideloading\WalkAndUnGZ.bat" "%USERPROFILE%\AppData\Local\Temp\OnboardLogs"\RTDC4044\2016-11-16 &amp; aws s3 cp s3://rtdc.mdm.uploadarchive.raw/RTDC4044/ "%USERPROFILE%\AppData\Local\Temp\OnboardLogs"\RTDC4044\2016-11-17 --exclude "*" --recursive --include "*20161117*" &amp; "%USERPROFILE%\Documents\GitHub\mrs-test-scripts\Headless Mode &amp; Sideloading\WalkAndUnGZ.bat" "%USERPROFILE%\AppData\Local\Temp\OnboardLogs"\RTDC4044\2016-11-17</v>
      </c>
      <c r="AF63" s="88" t="str">
        <f t="shared" si="12"/>
        <v>"C:\Program Files (x86)\AstroGrep\AstroGrep.exe" /spath="%USERPROFILE%\AppData\Local\Temp\OnboardLogs" /stypes="app*4044*20161116*" /stext=" 18:.+((SYSTEM_STATE.+slice.+state.+changed )|(ment ac)|(system.+state.+changed )|(\[timeout)|(PRM\|1\|D)|(kpr)|(kdp)|(\|lc)|(penalty))" /e /r /s</v>
      </c>
      <c r="AG63" s="1" t="str">
        <f t="shared" si="28"/>
        <v>EC</v>
      </c>
      <c r="AH63" s="92" t="str">
        <f t="shared" si="14"/>
        <v>"%USERPROFILE%\Documents\GitHub\eaglep3\Utilities\RefineRTDCRunTimes.py" --tripid 155-16 --locoid 4044 --swversion DE.1.0.8.0 --startMP 204:458 --initTime 2016-11-16T10:21:06 --startdatetime 2016-11-16T10:30:16 --delay 1 --endMP 204:233223 --enddatetime 2016-11-16T11:05:40 --enforcementcount 0 &gt;&gt;C:\Users\stu\Documents\GitHub\eaglep3-reporting\EC\2016-11-16-refined-times.txt</v>
      </c>
      <c r="AI63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{"issue":{"subject":"","project_id":79,"tracker_id":40,"status_id":1,"priority_id":2,"assigned_to_id":23,"start_date":"2016-11-16","description":"","custom_fields":[{"id":1,"name":"Subdivision","value":"EC"},{"id":4,"name":"Milepost","value":"23.3223"},{"id":17,"name":"Train ID","value":"155-16"},{"id":16,"name":"Locomotive ID","value":"4044"},{"id":130,"name":"Impact","value":""},{"id":150,"name":"Time of Event (Mountain Time)","value":"11:05:40"},{"id":151,"name":"Denver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524</v>
      </c>
      <c r="B64" s="7">
        <v>4043</v>
      </c>
      <c r="C64" s="22" t="s">
        <v>222</v>
      </c>
      <c r="D64" s="22" t="s">
        <v>663</v>
      </c>
      <c r="E64" s="13">
        <v>42690.473402777781</v>
      </c>
      <c r="F64" s="13">
        <v>42690.476585648146</v>
      </c>
      <c r="G64" s="7">
        <v>1</v>
      </c>
      <c r="H64" s="22" t="s">
        <v>197</v>
      </c>
      <c r="I64" s="13">
        <v>42690.502974537034</v>
      </c>
      <c r="J64" s="7">
        <v>0</v>
      </c>
      <c r="K64" s="109" t="str">
        <f t="shared" si="18"/>
        <v>4043/4044</v>
      </c>
      <c r="L64" s="22" t="str">
        <f>VLOOKUP(A64,'Trips&amp;Operators'!$C$1:$E$10000,3,FALSE)</f>
        <v>STARKS</v>
      </c>
      <c r="M64" s="6">
        <f t="shared" si="19"/>
        <v>2.6388888887595385E-2</v>
      </c>
      <c r="N64" s="7">
        <f t="shared" si="33"/>
        <v>37.999999998137355</v>
      </c>
      <c r="O64" s="7"/>
      <c r="P64" s="7"/>
      <c r="Q64" s="23"/>
      <c r="R64" s="23"/>
      <c r="S64" s="35">
        <f t="shared" si="34"/>
        <v>1</v>
      </c>
      <c r="T64" s="50" t="str">
        <f t="shared" si="22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10:21:42-700',mode:absolute,to:'2016-11-16 13:04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4" s="52" t="str">
        <f t="shared" si="23"/>
        <v>N</v>
      </c>
      <c r="X64" s="177">
        <f t="shared" si="32"/>
        <v>1</v>
      </c>
      <c r="Y64" s="67">
        <f t="shared" si="24"/>
        <v>23.293399999999998</v>
      </c>
      <c r="Z64" s="67">
        <f t="shared" si="25"/>
        <v>1.43E-2</v>
      </c>
      <c r="AA64" s="67">
        <f t="shared" si="26"/>
        <v>23.2791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27"/>
        <v>0156-16</v>
      </c>
      <c r="AE64" s="91" t="str">
        <f t="shared" si="11"/>
        <v>aws s3 cp s3://rtdc.mdm.uploadarchive.raw/RTDC4043/ "%USERPROFILE%\AppData\Local\Temp\OnboardLogs"\RTDC4043\2016-11-16 --exclude "*" --recursive --include "*20161116*" &amp; "%USERPROFILE%\Documents\GitHub\mrs-test-scripts\Headless Mode &amp; Sideloading\WalkAndUnGZ.bat" "%USERPROFILE%\AppData\Local\Temp\OnboardLogs"\RTDC4043\2016-11-16 &amp; aws s3 cp s3://rtdc.mdm.uploadarchive.raw/RTDC4043/ "%USERPROFILE%\AppData\Local\Temp\OnboardLogs"\RTDC4043\2016-11-17 --exclude "*" --recursive --include "*20161117*" &amp; "%USERPROFILE%\Documents\GitHub\mrs-test-scripts\Headless Mode &amp; Sideloading\WalkAndUnGZ.bat" "%USERPROFILE%\AppData\Local\Temp\OnboardLogs"\RTDC4043\2016-11-17</v>
      </c>
      <c r="AF64" s="88" t="str">
        <f t="shared" si="12"/>
        <v>"C:\Program Files (x86)\AstroGrep\AstroGrep.exe" /spath="%USERPROFILE%\AppData\Local\Temp\OnboardLogs" /stypes="app*4043*20161116*" /stext=" 19:.+((SYSTEM_STATE.+slice.+state.+changed )|(ment ac)|(system.+state.+changed )|(\[timeout)|(PRM\|1\|D)|(kpr)|(kdp)|(\|lc)|(penalty))" /e /r /s</v>
      </c>
      <c r="AG64" s="1" t="str">
        <f t="shared" si="28"/>
        <v>EC</v>
      </c>
      <c r="AH64" s="92" t="str">
        <f t="shared" si="14"/>
        <v>"%USERPROFILE%\Documents\GitHub\eaglep3\Utilities\RefineRTDCRunTimes.py" --tripid 156-16 --locoid 4043 --swversion DE.1.0.8.0 --startMP 204:232934 --initTime 2016-11-16T11:21:42 --startdatetime 2016-11-16T11:26:17 --delay 1 --endMP 204:143 --enddatetime 2016-11-16T12:04:17 --enforcementcount 0 &gt;&gt;C:\Users\stu\Documents\GitHub\eaglep3-reporting\EC\2016-11-16-refined-times.txt</v>
      </c>
      <c r="AI64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{"issue":{"subject":"","project_id":79,"tracker_id":40,"status_id":1,"priority_id":2,"assigned_to_id":23,"start_date":"2016-11-16","description":"","custom_fields":[{"id":1,"name":"Subdivision","value":"EC"},{"id":4,"name":"Milepost","value":"0.0143"},{"id":17,"name":"Train ID","value":"156-16"},{"id":16,"name":"Locomotive ID","value":"4043"},{"id":130,"name":"Impact","value":""},{"id":150,"name":"Time of Event (Mountain Time)","value":"12:04:17"},{"id":151,"name":"Denver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515</v>
      </c>
      <c r="B65" s="7">
        <v>4029</v>
      </c>
      <c r="C65" s="22" t="s">
        <v>222</v>
      </c>
      <c r="D65" s="22" t="s">
        <v>198</v>
      </c>
      <c r="E65" s="13">
        <v>42690.448252314818</v>
      </c>
      <c r="F65" s="13">
        <v>42690.449606481481</v>
      </c>
      <c r="G65" s="7">
        <v>1</v>
      </c>
      <c r="H65" s="22" t="s">
        <v>664</v>
      </c>
      <c r="I65" s="13">
        <v>42690.474618055552</v>
      </c>
      <c r="J65" s="7">
        <v>0</v>
      </c>
      <c r="K65" s="109" t="str">
        <f t="shared" si="18"/>
        <v>4029/4030</v>
      </c>
      <c r="L65" s="22" t="str">
        <f>VLOOKUP(A65,'Trips&amp;Operators'!$C$1:$E$10000,3,FALSE)</f>
        <v>MAGEE</v>
      </c>
      <c r="M65" s="6">
        <f t="shared" si="19"/>
        <v>2.5011574070958886E-2</v>
      </c>
      <c r="N65" s="7">
        <f t="shared" si="33"/>
        <v>36.016666662180796</v>
      </c>
      <c r="O65" s="7"/>
      <c r="P65" s="7"/>
      <c r="Q65" s="23"/>
      <c r="R65" s="23"/>
      <c r="S65" s="35">
        <f t="shared" si="34"/>
        <v>1</v>
      </c>
      <c r="T65" s="50" t="str">
        <f t="shared" si="22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09:45:29-700',mode:absolute,to:'2016-11-16 12:23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5" s="52" t="str">
        <f t="shared" si="23"/>
        <v>N</v>
      </c>
      <c r="X65" s="177">
        <f t="shared" si="32"/>
        <v>1</v>
      </c>
      <c r="Y65" s="67">
        <f t="shared" si="24"/>
        <v>4.4699999999999997E-2</v>
      </c>
      <c r="Z65" s="67">
        <f t="shared" si="25"/>
        <v>23.3293</v>
      </c>
      <c r="AA65" s="67">
        <f t="shared" si="26"/>
        <v>23.284600000000001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27"/>
        <v>0157-16</v>
      </c>
      <c r="AE65" s="91" t="str">
        <f t="shared" si="11"/>
        <v>aws s3 cp s3://rtdc.mdm.uploadarchive.raw/RTDC4029/ "%USERPROFILE%\AppData\Local\Temp\OnboardLogs"\RTDC4029\2016-11-16 --exclude "*" --recursive --include "*20161116*" &amp; "%USERPROFILE%\Documents\GitHub\mrs-test-scripts\Headless Mode &amp; Sideloading\WalkAndUnGZ.bat" "%USERPROFILE%\AppData\Local\Temp\OnboardLogs"\RTDC4029\2016-11-16 &amp; aws s3 cp s3://rtdc.mdm.uploadarchive.raw/RTDC4029/ "%USERPROFILE%\AppData\Local\Temp\OnboardLogs"\RTDC4029\2016-11-17 --exclude "*" --recursive --include "*20161117*" &amp; "%USERPROFILE%\Documents\GitHub\mrs-test-scripts\Headless Mode &amp; Sideloading\WalkAndUnGZ.bat" "%USERPROFILE%\AppData\Local\Temp\OnboardLogs"\RTDC4029\2016-11-17</v>
      </c>
      <c r="AF65" s="88" t="str">
        <f t="shared" si="12"/>
        <v>"C:\Program Files (x86)\AstroGrep\AstroGrep.exe" /spath="%USERPROFILE%\AppData\Local\Temp\OnboardLogs" /stypes="app*4029*20161116*" /stext=" 18:.+((SYSTEM_STATE.+slice.+state.+changed )|(ment ac)|(system.+state.+changed )|(\[timeout)|(PRM\|1\|D)|(kpr)|(kdp)|(\|lc)|(penalty))" /e /r /s</v>
      </c>
      <c r="AG65" s="1" t="str">
        <f t="shared" si="28"/>
        <v>EC</v>
      </c>
      <c r="AH65" s="92" t="str">
        <f t="shared" si="14"/>
        <v>"%USERPROFILE%\Documents\GitHub\eaglep3\Utilities\RefineRTDCRunTimes.py" --tripid 157-16 --locoid 4029 --swversion DE.1.0.8.0 --startMP 204:447 --initTime 2016-11-16T10:45:29 --startdatetime 2016-11-16T10:47:26 --delay 1 --endMP 204:233293 --enddatetime 2016-11-16T11:23:27 --enforcementcount 0 &gt;&gt;C:\Users\stu\Documents\GitHub\eaglep3-reporting\EC\2016-11-16-refined-times.txt</v>
      </c>
      <c r="AI65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{"issue":{"subject":"","project_id":79,"tracker_id":40,"status_id":1,"priority_id":2,"assigned_to_id":23,"start_date":"2016-11-16","description":"","custom_fields":[{"id":1,"name":"Subdivision","value":"EC"},{"id":4,"name":"Milepost","value":"23.3293"},{"id":17,"name":"Train ID","value":"157-16"},{"id":16,"name":"Locomotive ID","value":"4029"},{"id":130,"name":"Impact","value":""},{"id":150,"name":"Time of Event (Mountain Time)","value":"11:23:27"},{"id":151,"name":"Denver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526</v>
      </c>
      <c r="B66" s="7">
        <v>4030</v>
      </c>
      <c r="C66" s="22" t="s">
        <v>222</v>
      </c>
      <c r="D66" s="22" t="s">
        <v>660</v>
      </c>
      <c r="E66" s="13">
        <v>42690.483229166668</v>
      </c>
      <c r="F66" s="13">
        <v>42690.486979166664</v>
      </c>
      <c r="G66" s="7">
        <v>1</v>
      </c>
      <c r="H66" s="22" t="s">
        <v>213</v>
      </c>
      <c r="I66" s="13">
        <v>42690.514953703707</v>
      </c>
      <c r="J66" s="7">
        <v>0</v>
      </c>
      <c r="K66" s="109" t="str">
        <f t="shared" si="18"/>
        <v>4029/4030</v>
      </c>
      <c r="L66" s="22" t="str">
        <f>VLOOKUP(A66,'Trips&amp;Operators'!$C$1:$E$10000,3,FALSE)</f>
        <v>MAGEE</v>
      </c>
      <c r="M66" s="6">
        <f t="shared" si="19"/>
        <v>2.7974537042609882E-2</v>
      </c>
      <c r="N66" s="7">
        <f t="shared" si="33"/>
        <v>40.28333334135823</v>
      </c>
      <c r="O66" s="7"/>
      <c r="P66" s="7"/>
      <c r="Q66" s="23"/>
      <c r="R66" s="23"/>
      <c r="S66" s="35">
        <f t="shared" si="34"/>
        <v>1</v>
      </c>
      <c r="T66" s="50" t="str">
        <f t="shared" si="22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10:35:51-700',mode:absolute,to:'2016-11-16 13:21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6" s="52" t="str">
        <f t="shared" si="23"/>
        <v>N</v>
      </c>
      <c r="X66" s="177">
        <f t="shared" si="32"/>
        <v>1</v>
      </c>
      <c r="Y66" s="67">
        <f t="shared" si="24"/>
        <v>23.298200000000001</v>
      </c>
      <c r="Z66" s="67">
        <f t="shared" si="25"/>
        <v>1.5599999999999999E-2</v>
      </c>
      <c r="AA66" s="67">
        <f t="shared" si="26"/>
        <v>23.282600000000002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27"/>
        <v>0158-16</v>
      </c>
      <c r="AE66" s="91" t="str">
        <f t="shared" si="11"/>
        <v>aws s3 cp s3://rtdc.mdm.uploadarchive.raw/RTDC4030/ "%USERPROFILE%\AppData\Local\Temp\OnboardLogs"\RTDC4030\2016-11-16 --exclude "*" --recursive --include "*20161116*" &amp; "%USERPROFILE%\Documents\GitHub\mrs-test-scripts\Headless Mode &amp; Sideloading\WalkAndUnGZ.bat" "%USERPROFILE%\AppData\Local\Temp\OnboardLogs"\RTDC4030\2016-11-16 &amp; aws s3 cp s3://rtdc.mdm.uploadarchive.raw/RTDC4030/ "%USERPROFILE%\AppData\Local\Temp\OnboardLogs"\RTDC4030\2016-11-17 --exclude "*" --recursive --include "*20161117*" &amp; "%USERPROFILE%\Documents\GitHub\mrs-test-scripts\Headless Mode &amp; Sideloading\WalkAndUnGZ.bat" "%USERPROFILE%\AppData\Local\Temp\OnboardLogs"\RTDC4030\2016-11-17</v>
      </c>
      <c r="AF66" s="88" t="str">
        <f t="shared" si="12"/>
        <v>"C:\Program Files (x86)\AstroGrep\AstroGrep.exe" /spath="%USERPROFILE%\AppData\Local\Temp\OnboardLogs" /stypes="app*4030*20161116*" /stext=" 19:.+((SYSTEM_STATE.+slice.+state.+changed )|(ment ac)|(system.+state.+changed )|(\[timeout)|(PRM\|1\|D)|(kpr)|(kdp)|(\|lc)|(penalty))" /e /r /s</v>
      </c>
      <c r="AG66" s="1" t="str">
        <f t="shared" si="28"/>
        <v>EC</v>
      </c>
      <c r="AH66" s="92" t="str">
        <f t="shared" si="14"/>
        <v>"%USERPROFILE%\Documents\GitHub\eaglep3\Utilities\RefineRTDCRunTimes.py" --tripid 158-16 --locoid 4030 --swversion DE.1.0.8.0 --startMP 204:232982 --initTime 2016-11-16T11:35:51 --startdatetime 2016-11-16T11:41:15 --delay 1 --endMP 204:156 --enddatetime 2016-11-16T12:21:32 --enforcementcount 0 &gt;&gt;C:\Users\stu\Documents\GitHub\eaglep3-reporting\EC\2016-11-16-refined-times.txt</v>
      </c>
      <c r="AI66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{"issue":{"subject":"","project_id":79,"tracker_id":40,"status_id":1,"priority_id":2,"assigned_to_id":23,"start_date":"2016-11-16","description":"","custom_fields":[{"id":1,"name":"Subdivision","value":"EC"},{"id":4,"name":"Milepost","value":"0.0156"},{"id":17,"name":"Train ID","value":"158-16"},{"id":16,"name":"Locomotive ID","value":"4030"},{"id":130,"name":"Impact","value":""},{"id":150,"name":"Time of Event (Mountain Time)","value":"12:21:32"},{"id":151,"name":"Denver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517</v>
      </c>
      <c r="B67" s="7">
        <v>4038</v>
      </c>
      <c r="C67" s="22" t="s">
        <v>222</v>
      </c>
      <c r="D67" s="22" t="s">
        <v>221</v>
      </c>
      <c r="E67" s="13">
        <v>42690.452557870369</v>
      </c>
      <c r="F67" s="13">
        <v>42690.458472222221</v>
      </c>
      <c r="G67" s="7">
        <v>1</v>
      </c>
      <c r="H67" s="22" t="s">
        <v>288</v>
      </c>
      <c r="I67" s="13">
        <v>42690.48946759259</v>
      </c>
      <c r="J67" s="7">
        <v>0</v>
      </c>
      <c r="K67" s="109" t="str">
        <f t="shared" si="18"/>
        <v>4037/4038</v>
      </c>
      <c r="L67" s="22" t="str">
        <f>VLOOKUP(A67,'Trips&amp;Operators'!$C$1:$E$10000,3,FALSE)</f>
        <v>MACDONALD</v>
      </c>
      <c r="M67" s="6">
        <f t="shared" si="19"/>
        <v>3.0995370369055308E-2</v>
      </c>
      <c r="N67" s="7">
        <f t="shared" si="33"/>
        <v>44.633333331439644</v>
      </c>
      <c r="O67" s="7"/>
      <c r="P67" s="7"/>
      <c r="Q67" s="23"/>
      <c r="R67" s="23"/>
      <c r="S67" s="35">
        <f t="shared" si="34"/>
        <v>1</v>
      </c>
      <c r="T67" s="50" t="str">
        <f t="shared" si="22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09:51:41-700',mode:absolute,to:'2016-11-16 12:44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7" s="52" t="str">
        <f t="shared" si="23"/>
        <v>N</v>
      </c>
      <c r="X67" s="177">
        <f t="shared" si="32"/>
        <v>1</v>
      </c>
      <c r="Y67" s="67">
        <f t="shared" si="24"/>
        <v>4.6399999999999997E-2</v>
      </c>
      <c r="Z67" s="67">
        <f t="shared" si="25"/>
        <v>23.331499999999998</v>
      </c>
      <c r="AA67" s="67">
        <f t="shared" si="26"/>
        <v>23.2851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27"/>
        <v>0159-16</v>
      </c>
      <c r="AE67" s="91" t="str">
        <f t="shared" si="11"/>
        <v>aws s3 cp s3://rtdc.mdm.uploadarchive.raw/RTDC4038/ "%USERPROFILE%\AppData\Local\Temp\OnboardLogs"\RTDC4038\2016-11-16 --exclude "*" --recursive --include "*20161116*" &amp; "%USERPROFILE%\Documents\GitHub\mrs-test-scripts\Headless Mode &amp; Sideloading\WalkAndUnGZ.bat" "%USERPROFILE%\AppData\Local\Temp\OnboardLogs"\RTDC4038\2016-11-16 &amp; 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</v>
      </c>
      <c r="AF67" s="88" t="str">
        <f t="shared" si="12"/>
        <v>"C:\Program Files (x86)\AstroGrep\AstroGrep.exe" /spath="%USERPROFILE%\AppData\Local\Temp\OnboardLogs" /stypes="app*4038*20161116*" /stext=" 18:.+((SYSTEM_STATE.+slice.+state.+changed )|(ment ac)|(system.+state.+changed )|(\[timeout)|(PRM\|1\|D)|(kpr)|(kdp)|(\|lc)|(penalty))" /e /r /s</v>
      </c>
      <c r="AG67" s="1" t="str">
        <f t="shared" si="28"/>
        <v>EC</v>
      </c>
      <c r="AH67" s="92" t="str">
        <f t="shared" si="14"/>
        <v>"%USERPROFILE%\Documents\GitHub\eaglep3\Utilities\RefineRTDCRunTimes.py" --tripid 159-16 --locoid 4038 --swversion DE.1.0.8.0 --startMP 204:464 --initTime 2016-11-16T10:51:41 --startdatetime 2016-11-16T11:00:12 --delay 1 --endMP 204:233315 --enddatetime 2016-11-16T11:44:50 --enforcementcount 0 &gt;&gt;C:\Users\stu\Documents\GitHub\eaglep3-reporting\EC\2016-11-16-refined-times.txt</v>
      </c>
      <c r="AI67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{"issue":{"subject":"","project_id":79,"tracker_id":40,"status_id":1,"priority_id":2,"assigned_to_id":23,"start_date":"2016-11-16","description":"","custom_fields":[{"id":1,"name":"Subdivision","value":"EC"},{"id":4,"name":"Milepost","value":"23.3315"},{"id":17,"name":"Train ID","value":"159-16"},{"id":16,"name":"Locomotive ID","value":"4038"},{"id":130,"name":"Impact","value":""},{"id":150,"name":"Time of Event (Mountain Time)","value":"11:44:50"},{"id":151,"name":"Denver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530</v>
      </c>
      <c r="B68" s="7">
        <v>4037</v>
      </c>
      <c r="C68" s="22" t="s">
        <v>222</v>
      </c>
      <c r="D68" s="22" t="s">
        <v>318</v>
      </c>
      <c r="E68" s="13">
        <v>42690.494270833333</v>
      </c>
      <c r="F68" s="13">
        <v>42690.498055555552</v>
      </c>
      <c r="G68" s="7">
        <v>2</v>
      </c>
      <c r="H68" s="22" t="s">
        <v>175</v>
      </c>
      <c r="I68" s="13">
        <v>42690.525358796294</v>
      </c>
      <c r="J68" s="7">
        <v>0</v>
      </c>
      <c r="K68" s="109" t="str">
        <f t="shared" si="18"/>
        <v>4037/4038</v>
      </c>
      <c r="L68" s="22" t="str">
        <f>VLOOKUP(A68,'Trips&amp;Operators'!$C$1:$E$10000,3,FALSE)</f>
        <v>MACDONALD</v>
      </c>
      <c r="M68" s="6">
        <f t="shared" si="19"/>
        <v>2.7303240742185153E-2</v>
      </c>
      <c r="N68" s="7">
        <f t="shared" si="33"/>
        <v>39.31666666874662</v>
      </c>
      <c r="O68" s="7"/>
      <c r="P68" s="7"/>
      <c r="Q68" s="23"/>
      <c r="R68" s="23"/>
      <c r="S68" s="35">
        <f t="shared" si="34"/>
        <v>1</v>
      </c>
      <c r="T68" s="50" t="str">
        <f t="shared" si="22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10:51:45-700',mode:absolute,to:'2016-11-16 13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8" s="52" t="str">
        <f t="shared" si="23"/>
        <v>N</v>
      </c>
      <c r="X68" s="177">
        <f t="shared" si="32"/>
        <v>1</v>
      </c>
      <c r="Y68" s="67">
        <f t="shared" si="24"/>
        <v>23.300599999999999</v>
      </c>
      <c r="Z68" s="67">
        <f t="shared" si="25"/>
        <v>1.52E-2</v>
      </c>
      <c r="AA68" s="67">
        <f t="shared" si="26"/>
        <v>23.285399999999999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27"/>
        <v>0160-16</v>
      </c>
      <c r="AE68" s="91" t="str">
        <f t="shared" si="11"/>
        <v>aws s3 cp s3://rtdc.mdm.uploadarchive.raw/RTDC4037/ "%USERPROFILE%\AppData\Local\Temp\OnboardLogs"\RTDC4037\2016-11-16 --exclude "*" --recursive --include "*20161116*" &amp; "%USERPROFILE%\Documents\GitHub\mrs-test-scripts\Headless Mode &amp; Sideloading\WalkAndUnGZ.bat" "%USERPROFILE%\AppData\Local\Temp\OnboardLogs"\RTDC4037\2016-11-16 &amp; 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</v>
      </c>
      <c r="AF68" s="88" t="str">
        <f t="shared" si="12"/>
        <v>"C:\Program Files (x86)\AstroGrep\AstroGrep.exe" /spath="%USERPROFILE%\AppData\Local\Temp\OnboardLogs" /stypes="app*4037*20161116*" /stext=" 19:.+((SYSTEM_STATE.+slice.+state.+changed )|(ment ac)|(system.+state.+changed )|(\[timeout)|(PRM\|1\|D)|(kpr)|(kdp)|(\|lc)|(penalty))" /e /r /s</v>
      </c>
      <c r="AG68" s="1" t="str">
        <f t="shared" si="28"/>
        <v>EC</v>
      </c>
      <c r="AH68" s="92" t="str">
        <f t="shared" si="14"/>
        <v>"%USERPROFILE%\Documents\GitHub\eaglep3\Utilities\RefineRTDCRunTimes.py" --tripid 160-16 --locoid 4037 --swversion DE.1.0.8.0 --startMP 204:233006 --initTime 2016-11-16T11:51:45 --startdatetime 2016-11-16T11:57:12 --delay 2 --endMP 204:152 --enddatetime 2016-11-16T12:36:31 --enforcementcount 0 &gt;&gt;C:\Users\stu\Documents\GitHub\eaglep3-reporting\EC\2016-11-16-refined-times.txt</v>
      </c>
      <c r="AI68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{"issue":{"subject":"","project_id":79,"tracker_id":40,"status_id":1,"priority_id":2,"assigned_to_id":23,"start_date":"2016-11-16","description":"","custom_fields":[{"id":1,"name":"Subdivision","value":"EC"},{"id":4,"name":"Milepost","value":"0.0152"},{"id":17,"name":"Train ID","value":"160-16"},{"id":16,"name":"Locomotive ID","value":"4037"},{"id":130,"name":"Impact","value":""},{"id":150,"name":"Time of Event (Mountain Time)","value":"12:36:31"},{"id":151,"name":"Denver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421</v>
      </c>
      <c r="B69" s="7">
        <v>4009</v>
      </c>
      <c r="C69" s="22" t="s">
        <v>222</v>
      </c>
      <c r="D69" s="22" t="s">
        <v>224</v>
      </c>
      <c r="E69" s="13">
        <v>42690.463807870372</v>
      </c>
      <c r="F69" s="13">
        <v>42690.469050925924</v>
      </c>
      <c r="G69" s="7">
        <v>1</v>
      </c>
      <c r="H69" s="22" t="s">
        <v>253</v>
      </c>
      <c r="I69" s="13">
        <v>42690.495162037034</v>
      </c>
      <c r="J69" s="7">
        <v>0</v>
      </c>
      <c r="K69" s="109" t="str">
        <f t="shared" si="18"/>
        <v>4009/4010</v>
      </c>
      <c r="L69" s="22" t="str">
        <f>VLOOKUP(A69,'Trips&amp;Operators'!$C$1:$E$10000,3,FALSE)</f>
        <v>BARTLETT</v>
      </c>
      <c r="M69" s="6">
        <f t="shared" si="19"/>
        <v>2.6111111110367347E-2</v>
      </c>
      <c r="N69" s="7">
        <f t="shared" si="33"/>
        <v>37.599999998928979</v>
      </c>
      <c r="O69" s="7"/>
      <c r="P69" s="7"/>
      <c r="Q69" s="23"/>
      <c r="R69" s="23"/>
      <c r="S69" s="35">
        <f t="shared" si="34"/>
        <v>1</v>
      </c>
      <c r="T69" s="50" t="str">
        <f t="shared" si="22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10:07:53-700',mode:absolute,to:'2016-11-16 12:53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9" s="52" t="str">
        <f t="shared" si="23"/>
        <v>N</v>
      </c>
      <c r="X69" s="177">
        <f t="shared" si="32"/>
        <v>1</v>
      </c>
      <c r="Y69" s="67">
        <f t="shared" si="24"/>
        <v>4.58E-2</v>
      </c>
      <c r="Z69" s="67">
        <f t="shared" si="25"/>
        <v>23.330300000000001</v>
      </c>
      <c r="AA69" s="67">
        <f t="shared" si="26"/>
        <v>23.284500000000001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27"/>
        <v>0161-16</v>
      </c>
      <c r="AE69" s="91" t="str">
        <f t="shared" si="11"/>
        <v>aws s3 cp s3://rtdc.mdm.uploadarchive.raw/RTDC4009/ "%USERPROFILE%\AppData\Local\Temp\OnboardLogs"\RTDC4009\2016-11-16 --exclude "*" --recursive --include "*20161116*" &amp; "%USERPROFILE%\Documents\GitHub\mrs-test-scripts\Headless Mode &amp; Sideloading\WalkAndUnGZ.bat" "%USERPROFILE%\AppData\Local\Temp\OnboardLogs"\RTDC4009\2016-11-16 &amp; aws s3 cp s3://rtdc.mdm.uploadarchive.raw/RTDC4009/ "%USERPROFILE%\AppData\Local\Temp\OnboardLogs"\RTDC4009\2016-11-17 --exclude "*" --recursive --include "*20161117*" &amp; "%USERPROFILE%\Documents\GitHub\mrs-test-scripts\Headless Mode &amp; Sideloading\WalkAndUnGZ.bat" "%USERPROFILE%\AppData\Local\Temp\OnboardLogs"\RTDC4009\2016-11-17</v>
      </c>
      <c r="AF69" s="88" t="str">
        <f t="shared" si="12"/>
        <v>"C:\Program Files (x86)\AstroGrep\AstroGrep.exe" /spath="%USERPROFILE%\AppData\Local\Temp\OnboardLogs" /stypes="app*4009*20161116*" /stext=" 18:.+((SYSTEM_STATE.+slice.+state.+changed )|(ment ac)|(system.+state.+changed )|(\[timeout)|(PRM\|1\|D)|(kpr)|(kdp)|(\|lc)|(penalty))" /e /r /s</v>
      </c>
      <c r="AG69" s="1" t="str">
        <f t="shared" si="28"/>
        <v>EC</v>
      </c>
      <c r="AH69" s="92" t="str">
        <f t="shared" si="14"/>
        <v>"%USERPROFILE%\Documents\GitHub\eaglep3\Utilities\RefineRTDCRunTimes.py" --tripid 161-16 --locoid 4009 --swversion DE.1.0.8.0 --startMP 204:458 --initTime 2016-11-16T11:07:53 --startdatetime 2016-11-16T11:15:26 --delay 1 --endMP 204:233303 --enddatetime 2016-11-16T11:53:02 --enforcementcount 0 &gt;&gt;C:\Users\stu\Documents\GitHub\eaglep3-reporting\EC\2016-11-16-refined-times.txt</v>
      </c>
      <c r="AI69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{"issue":{"subject":"","project_id":79,"tracker_id":40,"status_id":1,"priority_id":2,"assigned_to_id":23,"start_date":"2016-11-16","description":"","custom_fields":[{"id":1,"name":"Subdivision","value":"EC"},{"id":4,"name":"Milepost","value":"23.3303"},{"id":17,"name":"Train ID","value":"161-16"},{"id":16,"name":"Locomotive ID","value":"4009"},{"id":130,"name":"Impact","value":""},{"id":150,"name":"Time of Event (Mountain Time)","value":"11:53:02"},{"id":151,"name":"Denver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533</v>
      </c>
      <c r="B70" s="7">
        <v>4010</v>
      </c>
      <c r="C70" s="22" t="s">
        <v>222</v>
      </c>
      <c r="D70" s="22" t="s">
        <v>655</v>
      </c>
      <c r="E70" s="13">
        <v>42690.49832175926</v>
      </c>
      <c r="F70" s="13">
        <v>42690.508553240739</v>
      </c>
      <c r="G70" s="7">
        <v>1</v>
      </c>
      <c r="H70" s="22" t="s">
        <v>648</v>
      </c>
      <c r="I70" s="13">
        <v>42690.534421296295</v>
      </c>
      <c r="J70" s="7">
        <v>0</v>
      </c>
      <c r="K70" s="109" t="str">
        <f t="shared" si="18"/>
        <v>4009/4010</v>
      </c>
      <c r="L70" s="22" t="str">
        <f>VLOOKUP(A70,'Trips&amp;Operators'!$C$1:$E$10000,3,FALSE)</f>
        <v>BARTLETT</v>
      </c>
      <c r="M70" s="6">
        <f t="shared" si="19"/>
        <v>2.5868055556202307E-2</v>
      </c>
      <c r="N70" s="7">
        <f t="shared" si="33"/>
        <v>37.250000000931323</v>
      </c>
      <c r="O70" s="7"/>
      <c r="P70" s="7"/>
      <c r="Q70" s="23"/>
      <c r="R70" s="23"/>
      <c r="S70" s="35">
        <f t="shared" si="34"/>
        <v>1</v>
      </c>
      <c r="T70" s="50" t="str">
        <f t="shared" si="22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10:57:35-700',mode:absolute,to:'2016-11-16 13:49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0" s="52" t="str">
        <f t="shared" si="23"/>
        <v>N</v>
      </c>
      <c r="X70" s="177">
        <f t="shared" si="32"/>
        <v>1</v>
      </c>
      <c r="Y70" s="67">
        <f t="shared" si="24"/>
        <v>23.297799999999999</v>
      </c>
      <c r="Z70" s="67">
        <f t="shared" si="25"/>
        <v>1.47E-2</v>
      </c>
      <c r="AA70" s="67">
        <f t="shared" si="26"/>
        <v>23.283099999999997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27"/>
        <v>0162-16</v>
      </c>
      <c r="AE70" s="91" t="str">
        <f t="shared" si="11"/>
        <v>aws s3 cp s3://rtdc.mdm.uploadarchive.raw/RTDC4010/ "%USERPROFILE%\AppData\Local\Temp\OnboardLogs"\RTDC4010\2016-11-16 --exclude "*" --recursive --include "*20161116*" &amp; "%USERPROFILE%\Documents\GitHub\mrs-test-scripts\Headless Mode &amp; Sideloading\WalkAndUnGZ.bat" "%USERPROFILE%\AppData\Local\Temp\OnboardLogs"\RTDC4010\2016-11-16 &amp; aws s3 cp s3://rtdc.mdm.uploadarchive.raw/RTDC4010/ "%USERPROFILE%\AppData\Local\Temp\OnboardLogs"\RTDC4010\2016-11-17 --exclude "*" --recursive --include "*20161117*" &amp; "%USERPROFILE%\Documents\GitHub\mrs-test-scripts\Headless Mode &amp; Sideloading\WalkAndUnGZ.bat" "%USERPROFILE%\AppData\Local\Temp\OnboardLogs"\RTDC4010\2016-11-17</v>
      </c>
      <c r="AF70" s="88" t="str">
        <f t="shared" si="12"/>
        <v>"C:\Program Files (x86)\AstroGrep\AstroGrep.exe" /spath="%USERPROFILE%\AppData\Local\Temp\OnboardLogs" /stypes="app*4010*20161116*" /stext=" 19:.+((SYSTEM_STATE.+slice.+state.+changed )|(ment ac)|(system.+state.+changed )|(\[timeout)|(PRM\|1\|D)|(kpr)|(kdp)|(\|lc)|(penalty))" /e /r /s</v>
      </c>
      <c r="AG70" s="1" t="str">
        <f t="shared" si="28"/>
        <v>EC</v>
      </c>
      <c r="AH70" s="92" t="str">
        <f t="shared" si="14"/>
        <v>"%USERPROFILE%\Documents\GitHub\eaglep3\Utilities\RefineRTDCRunTimes.py" --tripid 162-16 --locoid 4010 --swversion DE.1.0.8.0 --startMP 204:232978 --initTime 2016-11-16T11:57:35 --startdatetime 2016-11-16T12:12:19 --delay 1 --endMP 204:147 --enddatetime 2016-11-16T12:49:34 --enforcementcount 0 &gt;&gt;C:\Users\stu\Documents\GitHub\eaglep3-reporting\EC\2016-11-16-refined-times.txt</v>
      </c>
      <c r="AI70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{"issue":{"subject":"","project_id":79,"tracker_id":40,"status_id":1,"priority_id":2,"assigned_to_id":23,"start_date":"2016-11-16","description":"","custom_fields":[{"id":1,"name":"Subdivision","value":"EC"},{"id":4,"name":"Milepost","value":"0.0147"},{"id":17,"name":"Train ID","value":"162-16"},{"id":16,"name":"Locomotive ID","value":"4010"},{"id":130,"name":"Impact","value":""},{"id":150,"name":"Time of Event (Mountain Time)","value":"12:49:34"},{"id":151,"name":"Denver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525</v>
      </c>
      <c r="B71" s="7">
        <v>4007</v>
      </c>
      <c r="C71" s="22" t="s">
        <v>222</v>
      </c>
      <c r="D71" s="22" t="s">
        <v>282</v>
      </c>
      <c r="E71" s="13">
        <v>42690.478831018518</v>
      </c>
      <c r="F71" s="13">
        <v>42690.481504629628</v>
      </c>
      <c r="G71" s="7">
        <v>1</v>
      </c>
      <c r="H71" s="22" t="s">
        <v>665</v>
      </c>
      <c r="I71" s="13">
        <v>42690.506562499999</v>
      </c>
      <c r="J71" s="7">
        <v>0</v>
      </c>
      <c r="K71" s="109" t="str">
        <f t="shared" si="18"/>
        <v>4007/4008</v>
      </c>
      <c r="L71" s="22" t="str">
        <f>VLOOKUP(A71,'Trips&amp;Operators'!$C$1:$E$10000,3,FALSE)</f>
        <v>BROWN</v>
      </c>
      <c r="M71" s="6">
        <f t="shared" si="19"/>
        <v>2.5057870370801538E-2</v>
      </c>
      <c r="N71" s="7">
        <f t="shared" si="33"/>
        <v>36.083333333954215</v>
      </c>
      <c r="O71" s="7"/>
      <c r="P71" s="7"/>
      <c r="Q71" s="23"/>
      <c r="R71" s="23"/>
      <c r="S71" s="35">
        <f t="shared" si="34"/>
        <v>1</v>
      </c>
      <c r="T71" s="50" t="str">
        <f t="shared" si="22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10:29:31-700',mode:absolute,to:'2016-11-16 13:09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1" s="52" t="str">
        <f t="shared" si="23"/>
        <v>N</v>
      </c>
      <c r="X71" s="177">
        <f t="shared" si="32"/>
        <v>1</v>
      </c>
      <c r="Y71" s="67">
        <f t="shared" si="24"/>
        <v>4.4900000000000002E-2</v>
      </c>
      <c r="Z71" s="67">
        <f t="shared" si="25"/>
        <v>23.331399999999999</v>
      </c>
      <c r="AA71" s="67">
        <f t="shared" si="26"/>
        <v>23.2865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27"/>
        <v>0163-16</v>
      </c>
      <c r="AE71" s="91" t="str">
        <f t="shared" si="11"/>
        <v>aws s3 cp s3://rtdc.mdm.uploadarchive.raw/RTDC4007/ "%USERPROFILE%\AppData\Local\Temp\OnboardLogs"\RTDC4007\2016-11-16 --exclude "*" --recursive --include "*20161116*" &amp; "%USERPROFILE%\Documents\GitHub\mrs-test-scripts\Headless Mode &amp; Sideloading\WalkAndUnGZ.bat" "%USERPROFILE%\AppData\Local\Temp\OnboardLogs"\RTDC4007\2016-11-16 &amp; aws s3 cp s3://rtdc.mdm.uploadarchive.raw/RTDC4007/ "%USERPROFILE%\AppData\Local\Temp\OnboardLogs"\RTDC4007\2016-11-17 --exclude "*" --recursive --include "*20161117*" &amp; "%USERPROFILE%\Documents\GitHub\mrs-test-scripts\Headless Mode &amp; Sideloading\WalkAndUnGZ.bat" "%USERPROFILE%\AppData\Local\Temp\OnboardLogs"\RTDC4007\2016-11-17</v>
      </c>
      <c r="AF71" s="88" t="str">
        <f t="shared" si="12"/>
        <v>"C:\Program Files (x86)\AstroGrep\AstroGrep.exe" /spath="%USERPROFILE%\AppData\Local\Temp\OnboardLogs" /stypes="app*4007*20161116*" /stext=" 19:.+((SYSTEM_STATE.+slice.+state.+changed )|(ment ac)|(system.+state.+changed )|(\[timeout)|(PRM\|1\|D)|(kpr)|(kdp)|(\|lc)|(penalty))" /e /r /s</v>
      </c>
      <c r="AG71" s="1" t="str">
        <f t="shared" si="28"/>
        <v>EC</v>
      </c>
      <c r="AH71" s="92" t="str">
        <f t="shared" si="14"/>
        <v>"%USERPROFILE%\Documents\GitHub\eaglep3\Utilities\RefineRTDCRunTimes.py" --tripid 163-16 --locoid 4007 --swversion DE.1.0.8.0 --startMP 204:449 --initTime 2016-11-16T11:29:31 --startdatetime 2016-11-16T11:33:22 --delay 1 --endMP 204:233314 --enddatetime 2016-11-16T12:09:27 --enforcementcount 0 &gt;&gt;C:\Users\stu\Documents\GitHub\eaglep3-reporting\EC\2016-11-16-refined-times.txt</v>
      </c>
      <c r="AI71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{"issue":{"subject":"","project_id":79,"tracker_id":40,"status_id":1,"priority_id":2,"assigned_to_id":23,"start_date":"2016-11-16","description":"","custom_fields":[{"id":1,"name":"Subdivision","value":"EC"},{"id":4,"name":"Milepost","value":"23.3314"},{"id":17,"name":"Train ID","value":"163-16"},{"id":16,"name":"Locomotive ID","value":"4007"},{"id":130,"name":"Impact","value":""},{"id":150,"name":"Time of Event (Mountain Time)","value":"12:09:27"},{"id":151,"name":"Denver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537</v>
      </c>
      <c r="B72" s="7">
        <v>4008</v>
      </c>
      <c r="C72" s="22" t="s">
        <v>222</v>
      </c>
      <c r="D72" s="22" t="s">
        <v>666</v>
      </c>
      <c r="E72" s="13">
        <v>42690.510416666664</v>
      </c>
      <c r="F72" s="13">
        <v>42690.518252314818</v>
      </c>
      <c r="G72" s="7">
        <v>3</v>
      </c>
      <c r="H72" s="22" t="s">
        <v>283</v>
      </c>
      <c r="I72" s="13">
        <v>42690.544293981482</v>
      </c>
      <c r="J72" s="7">
        <v>0</v>
      </c>
      <c r="K72" s="109" t="str">
        <f t="shared" si="18"/>
        <v>4007/4008</v>
      </c>
      <c r="L72" s="22" t="str">
        <f>VLOOKUP(A72,'Trips&amp;Operators'!$C$1:$E$10000,3,FALSE)</f>
        <v>COOLAHAN</v>
      </c>
      <c r="M72" s="6">
        <f t="shared" si="19"/>
        <v>2.6041666664241347E-2</v>
      </c>
      <c r="N72" s="7">
        <f t="shared" si="33"/>
        <v>37.49999999650754</v>
      </c>
      <c r="O72" s="7"/>
      <c r="P72" s="7"/>
      <c r="Q72" s="23"/>
      <c r="R72" s="23"/>
      <c r="S72" s="35">
        <f t="shared" si="34"/>
        <v>1</v>
      </c>
      <c r="T72" s="50" t="str">
        <f t="shared" si="22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https://search-rtdc-monitor-bjffxe2xuh6vdkpspy63sjmuny.us-east-1.es.amazonaws.com/_plugin/kibana/#/discover/Steve-Slow-Train-Analysis-(2080s-and-2083s)?_g=(refreshInterval:(display:Off,section:0,value:0),time:(from:'2016-11-16 11:15:00-700',mode:absolute,to:'2016-11-16 14:03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2" s="52" t="str">
        <f t="shared" si="23"/>
        <v>N</v>
      </c>
      <c r="X72" s="177">
        <f t="shared" ref="X72:X103" si="35">VALUE(LEFT(AD72,4))-VALUE(LEFT(AD71,4))</f>
        <v>1</v>
      </c>
      <c r="Y72" s="67">
        <f t="shared" si="24"/>
        <v>23.301500000000001</v>
      </c>
      <c r="Z72" s="67">
        <f t="shared" si="25"/>
        <v>1.41E-2</v>
      </c>
      <c r="AA72" s="67">
        <f t="shared" si="26"/>
        <v>23.287400000000002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27"/>
        <v>0164-16</v>
      </c>
      <c r="AE72" s="91" t="str">
        <f t="shared" si="11"/>
        <v>aws s3 cp s3://rtdc.mdm.uploadarchive.raw/RTDC4008/ "%USERPROFILE%\AppData\Local\Temp\OnboardLogs"\RTDC4008\2016-11-16 --exclude "*" --recursive --include "*20161116*" &amp; "%USERPROFILE%\Documents\GitHub\mrs-test-scripts\Headless Mode &amp; Sideloading\WalkAndUnGZ.bat" "%USERPROFILE%\AppData\Local\Temp\OnboardLogs"\RTDC4008\2016-11-16 &amp; aws s3 cp s3://rtdc.mdm.uploadarchive.raw/RTDC4008/ "%USERPROFILE%\AppData\Local\Temp\OnboardLogs"\RTDC4008\2016-11-17 --exclude "*" --recursive --include "*20161117*" &amp; "%USERPROFILE%\Documents\GitHub\mrs-test-scripts\Headless Mode &amp; Sideloading\WalkAndUnGZ.bat" "%USERPROFILE%\AppData\Local\Temp\OnboardLogs"\RTDC4008\2016-11-17</v>
      </c>
      <c r="AF72" s="88" t="str">
        <f t="shared" si="12"/>
        <v>"C:\Program Files (x86)\AstroGrep\AstroGrep.exe" /spath="%USERPROFILE%\AppData\Local\Temp\OnboardLogs" /stypes="app*4008*20161116*" /stext=" 20:.+((SYSTEM_STATE.+slice.+state.+changed )|(ment ac)|(system.+state.+changed )|(\[timeout)|(PRM\|1\|D)|(kpr)|(kdp)|(\|lc)|(penalty))" /e /r /s</v>
      </c>
      <c r="AG72" s="1" t="str">
        <f t="shared" si="28"/>
        <v>EC</v>
      </c>
      <c r="AH72" s="92" t="str">
        <f t="shared" si="14"/>
        <v>"%USERPROFILE%\Documents\GitHub\eaglep3\Utilities\RefineRTDCRunTimes.py" --tripid 164-16 --locoid 4008 --swversion DE.1.0.8.0 --startMP 204:233015 --initTime 2016-11-16T12:15:00 --startdatetime 2016-11-16T12:26:17 --delay 3 --endMP 204:141 --enddatetime 2016-11-16T13:03:47 --enforcementcount 0 &gt;&gt;C:\Users\stu\Documents\GitHub\eaglep3-reporting\EC\2016-11-16-refined-times.txt</v>
      </c>
      <c r="AI72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{"issue":{"subject":"","project_id":79,"tracker_id":40,"status_id":1,"priority_id":2,"assigned_to_id":23,"start_date":"2016-11-16","description":"","custom_fields":[{"id":1,"name":"Subdivision","value":"EC"},{"id":4,"name":"Milepost","value":"0.0141"},{"id":17,"name":"Train ID","value":"164-16"},{"id":16,"name":"Locomotive ID","value":"4008"},{"id":130,"name":"Impact","value":""},{"id":150,"name":"Time of Event (Mountain Time)","value":"13:03:47"},{"id":151,"name":"Denver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528</v>
      </c>
      <c r="B73" s="7">
        <v>4022</v>
      </c>
      <c r="C73" s="22" t="s">
        <v>222</v>
      </c>
      <c r="D73" s="22" t="s">
        <v>198</v>
      </c>
      <c r="E73" s="13">
        <v>42690.487523148149</v>
      </c>
      <c r="F73" s="13">
        <v>42690.489988425928</v>
      </c>
      <c r="G73" s="7">
        <v>2</v>
      </c>
      <c r="H73" s="22" t="s">
        <v>667</v>
      </c>
      <c r="I73" s="13">
        <v>42690.514537037037</v>
      </c>
      <c r="J73" s="7">
        <v>0</v>
      </c>
      <c r="K73" s="109" t="str">
        <f t="shared" si="18"/>
        <v>4021/4022</v>
      </c>
      <c r="L73" s="22" t="str">
        <f>VLOOKUP(A73,'Trips&amp;Operators'!$C$1:$E$10000,3,FALSE)</f>
        <v>ADANE</v>
      </c>
      <c r="M73" s="6">
        <f t="shared" si="19"/>
        <v>2.4548611108912155E-2</v>
      </c>
      <c r="N73" s="7">
        <f t="shared" si="33"/>
        <v>35.349999996833503</v>
      </c>
      <c r="O73" s="7"/>
      <c r="P73" s="7"/>
      <c r="Q73" s="23"/>
      <c r="R73" s="23"/>
      <c r="S73" s="35">
        <f t="shared" si="34"/>
        <v>1</v>
      </c>
      <c r="T73" s="50" t="str">
        <f t="shared" si="22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ref="V73:V135" si="36">"https://search-rtdc-monitor-bjffxe2xuh6vdkpspy63sjmuny.us-east-1.es.amazonaws.com/_plugin/kibana/#/discover/Steve-Slow-Train-Analysis-(2080s-and-2083s)?_g=(refreshInterval:(display:Off,section:0,value:0),time:(from:'"&amp;TEXT(E73-1/24,"yyyy-MM-DD hh:mm:ss")&amp;utc_offset&amp;"00',mode:absolute,to:'"&amp;TEXT(I73+1/24,"yyyy-MM-DD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https://search-rtdc-monitor-bjffxe2xuh6vdkpspy63sjmuny.us-east-1.es.amazonaws.com/_plugin/kibana/#/discover/Steve-Slow-Train-Analysis-(2080s-and-2083s)?_g=(refreshInterval:(display:Off,section:0,value:0),time:(from:'2016-11-16 10:42:02-700',mode:absolute,to:'2016-11-16 13:20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73" s="52" t="str">
        <f t="shared" si="23"/>
        <v>N</v>
      </c>
      <c r="X73" s="177">
        <f t="shared" si="35"/>
        <v>1</v>
      </c>
      <c r="Y73" s="67">
        <f t="shared" si="24"/>
        <v>4.4699999999999997E-2</v>
      </c>
      <c r="Z73" s="67">
        <f t="shared" si="25"/>
        <v>23.326599999999999</v>
      </c>
      <c r="AA73" s="67">
        <f t="shared" si="26"/>
        <v>23.2819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27"/>
        <v>0165-16</v>
      </c>
      <c r="AE73" s="91" t="str">
        <f t="shared" ref="AE73:AE135" si="37"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s3://rtdc.mdm.uploadarchive.raw/RTDC4022/ "%USERPROFILE%\AppData\Local\Temp\OnboardLogs"\RTDC4022\2016-11-16 --exclude "*" --recursive --include "*20161116*" &amp; "%USERPROFILE%\Documents\GitHub\mrs-test-scripts\Headless Mode &amp; Sideloading\WalkAndUnGZ.bat" "%USERPROFILE%\AppData\Local\Temp\OnboardLogs"\RTDC4022\2016-11-16 &amp; aws s3 cp s3://rtdc.mdm.uploadarchive.raw/RTDC4022/ "%USERPROFILE%\AppData\Local\Temp\OnboardLogs"\RTDC4022\2016-11-17 --exclude "*" --recursive --include "*20161117*" &amp; "%USERPROFILE%\Documents\GitHub\mrs-test-scripts\Headless Mode &amp; Sideloading\WalkAndUnGZ.bat" "%USERPROFILE%\AppData\Local\Temp\OnboardLogs"\RTDC4022\2016-11-17</v>
      </c>
      <c r="AF73" s="88" t="str">
        <f t="shared" ref="AF73:AF135" si="38"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/stypes="app*4022*20161116*" /stext=" 19:.+((SYSTEM_STATE.+slice.+state.+changed )|(ment ac)|(system.+state.+changed )|(\[timeout)|(PRM\|1\|D)|(kpr)|(kdp)|(\|lc)|(penalty))" /e /r /s</v>
      </c>
      <c r="AG73" s="1" t="str">
        <f t="shared" si="28"/>
        <v>EC</v>
      </c>
      <c r="AH73" s="92" t="str">
        <f t="shared" si="14"/>
        <v>"%USERPROFILE%\Documents\GitHub\eaglep3\Utilities\RefineRTDCRunTimes.py" --tripid 165-16 --locoid 4022 --swversion DE.1.0.8.0 --startMP 204:447 --initTime 2016-11-16T11:42:02 --startdatetime 2016-11-16T11:45:35 --delay 2 --endMP 204:233266 --enddatetime 2016-11-16T12:20:56 --enforcementcount 0 &gt;&gt;C:\Users\stu\Documents\GitHub\eaglep3-reporting\EC\2016-11-16-refined-times.txt</v>
      </c>
      <c r="AI73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{"issue":{"subject":"","project_id":79,"tracker_id":40,"status_id":1,"priority_id":2,"assigned_to_id":23,"start_date":"2016-11-16","description":"","custom_fields":[{"id":1,"name":"Subdivision","value":"EC"},{"id":4,"name":"Milepost","value":"23.3266"},{"id":17,"name":"Train ID","value":"165-16"},{"id":16,"name":"Locomotive ID","value":"4022"},{"id":130,"name":"Impact","value":""},{"id":150,"name":"Time of Event (Mountain Time)","value":"12:20:56"},{"id":151,"name":"Denver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539</v>
      </c>
      <c r="B74" s="7">
        <v>4021</v>
      </c>
      <c r="C74" s="22" t="s">
        <v>222</v>
      </c>
      <c r="D74" s="22" t="s">
        <v>668</v>
      </c>
      <c r="E74" s="13">
        <v>42690.517766203702</v>
      </c>
      <c r="F74" s="13">
        <v>42690.528912037036</v>
      </c>
      <c r="G74" s="7">
        <v>1</v>
      </c>
      <c r="H74" s="22" t="s">
        <v>235</v>
      </c>
      <c r="I74" s="13">
        <v>42690.557523148149</v>
      </c>
      <c r="J74" s="7">
        <v>0</v>
      </c>
      <c r="K74" s="109" t="str">
        <f t="shared" si="18"/>
        <v>4021/4022</v>
      </c>
      <c r="L74" s="22" t="str">
        <f>VLOOKUP(A74,'Trips&amp;Operators'!$C$1:$E$10000,3,FALSE)</f>
        <v>ADANE</v>
      </c>
      <c r="M74" s="6">
        <f t="shared" si="19"/>
        <v>2.8611111112695653E-2</v>
      </c>
      <c r="N74" s="7">
        <f t="shared" si="33"/>
        <v>41.20000000228174</v>
      </c>
      <c r="O74" s="7"/>
      <c r="P74" s="7"/>
      <c r="Q74" s="23"/>
      <c r="R74" s="23"/>
      <c r="S74" s="35">
        <f t="shared" si="34"/>
        <v>1</v>
      </c>
      <c r="T74" s="50" t="str">
        <f t="shared" si="22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11:25:35-700',mode:absolute,to:'2016-11-16 14:22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74" s="52" t="str">
        <f t="shared" si="23"/>
        <v>N</v>
      </c>
      <c r="X74" s="177">
        <f t="shared" si="35"/>
        <v>1</v>
      </c>
      <c r="Y74" s="67">
        <f t="shared" si="24"/>
        <v>23.299199999999999</v>
      </c>
      <c r="Z74" s="67">
        <f t="shared" si="25"/>
        <v>1.6E-2</v>
      </c>
      <c r="AA74" s="67">
        <f t="shared" si="26"/>
        <v>23.283200000000001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27"/>
        <v>0166-16</v>
      </c>
      <c r="AE74" s="91" t="str">
        <f t="shared" si="37"/>
        <v>aws s3 cp s3://rtdc.mdm.uploadarchive.raw/RTDC4021/ "%USERPROFILE%\AppData\Local\Temp\OnboardLogs"\RTDC4021\2016-11-16 --exclude "*" --recursive --include "*20161116*" &amp; "%USERPROFILE%\Documents\GitHub\mrs-test-scripts\Headless Mode &amp; Sideloading\WalkAndUnGZ.bat" "%USERPROFILE%\AppData\Local\Temp\OnboardLogs"\RTDC4021\2016-11-16 &amp; aws s3 cp s3://rtdc.mdm.uploadarchive.raw/RTDC4021/ "%USERPROFILE%\AppData\Local\Temp\OnboardLogs"\RTDC4021\2016-11-17 --exclude "*" --recursive --include "*20161117*" &amp; "%USERPROFILE%\Documents\GitHub\mrs-test-scripts\Headless Mode &amp; Sideloading\WalkAndUnGZ.bat" "%USERPROFILE%\AppData\Local\Temp\OnboardLogs"\RTDC4021\2016-11-17</v>
      </c>
      <c r="AF74" s="88" t="str">
        <f t="shared" si="38"/>
        <v>"C:\Program Files (x86)\AstroGrep\AstroGrep.exe" /spath="%USERPROFILE%\AppData\Local\Temp\OnboardLogs" /stypes="app*4021*20161116*" /stext=" 20:.+((SYSTEM_STATE.+slice.+state.+changed )|(ment ac)|(system.+state.+changed )|(\[timeout)|(PRM\|1\|D)|(kpr)|(kdp)|(\|lc)|(penalty))" /e /r /s</v>
      </c>
      <c r="AG74" s="1" t="str">
        <f t="shared" si="28"/>
        <v>EC</v>
      </c>
      <c r="AH74" s="92" t="str">
        <f t="shared" si="14"/>
        <v>"%USERPROFILE%\Documents\GitHub\eaglep3\Utilities\RefineRTDCRunTimes.py" --tripid 166-16 --locoid 4021 --swversion DE.1.0.8.0 --startMP 204:232992 --initTime 2016-11-16T12:25:35 --startdatetime 2016-11-16T12:41:38 --delay 1 --endMP 204:160 --enddatetime 2016-11-16T13:22:50 --enforcementcount 0 &gt;&gt;C:\Users\stu\Documents\GitHub\eaglep3-reporting\EC\2016-11-16-refined-times.txt</v>
      </c>
      <c r="AI74" s="119" t="str">
        <f t="shared" si="15"/>
        <v>echo {"issue":{"subject":"","project_id":79,"tracker_id":40,"status_id":1,"priority_id":2,"assigned_to_id":23,"start_date":"2016-11-16","description":"","custom_fields":[{"id":1,"name":"Subdivision","value":"EC"},{"id":4,"name":"Milepost","value":"0.016"},{"id":17,"name":"Train ID","value":"166-16"},{"id":16,"name":"Locomotive ID","value":"4021"},{"id":130,"name":"Impact","value":""},{"id":150,"name":"Time of Event (Mountain Time)","value":"13:22:50"},{"id":151,"name":"Denver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531</v>
      </c>
      <c r="B75" s="7">
        <v>4016</v>
      </c>
      <c r="C75" s="22" t="s">
        <v>222</v>
      </c>
      <c r="D75" s="22" t="s">
        <v>221</v>
      </c>
      <c r="E75" s="13">
        <v>42690.496712962966</v>
      </c>
      <c r="F75" s="13">
        <v>42690.5002662037</v>
      </c>
      <c r="G75" s="7">
        <v>1</v>
      </c>
      <c r="H75" s="22" t="s">
        <v>650</v>
      </c>
      <c r="I75" s="13">
        <v>42690.52579861111</v>
      </c>
      <c r="J75" s="7">
        <v>0</v>
      </c>
      <c r="K75" s="109" t="str">
        <f t="shared" si="18"/>
        <v>4015/4016</v>
      </c>
      <c r="L75" s="22" t="str">
        <f>VLOOKUP(A75,'Trips&amp;Operators'!$C$1:$E$10000,3,FALSE)</f>
        <v>BERLING</v>
      </c>
      <c r="M75" s="6">
        <f t="shared" si="19"/>
        <v>2.5532407409627922E-2</v>
      </c>
      <c r="N75" s="7">
        <f t="shared" si="33"/>
        <v>36.766666669864208</v>
      </c>
      <c r="O75" s="7"/>
      <c r="P75" s="7"/>
      <c r="Q75" s="23"/>
      <c r="R75" s="23"/>
      <c r="S75" s="35">
        <f t="shared" si="34"/>
        <v>1</v>
      </c>
      <c r="T75" s="50" t="str">
        <f t="shared" si="22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10:55:16-700',mode:absolute,to:'2016-11-16 13:37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5" s="52" t="str">
        <f t="shared" si="23"/>
        <v>N</v>
      </c>
      <c r="X75" s="177">
        <f t="shared" si="35"/>
        <v>1</v>
      </c>
      <c r="Y75" s="67">
        <f t="shared" si="24"/>
        <v>4.6399999999999997E-2</v>
      </c>
      <c r="Z75" s="67">
        <f t="shared" si="25"/>
        <v>23.330400000000001</v>
      </c>
      <c r="AA75" s="67">
        <f t="shared" si="26"/>
        <v>23.284000000000002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27"/>
        <v>0167-16</v>
      </c>
      <c r="AE75" s="91" t="str">
        <f t="shared" si="37"/>
        <v>aws s3 cp s3://rtdc.mdm.uploadarchive.raw/RTDC4016/ "%USERPROFILE%\AppData\Local\Temp\OnboardLogs"\RTDC4016\2016-11-16 --exclude "*" --recursive --include "*20161116*" &amp; "%USERPROFILE%\Documents\GitHub\mrs-test-scripts\Headless Mode &amp; Sideloading\WalkAndUnGZ.bat" "%USERPROFILE%\AppData\Local\Temp\OnboardLogs"\RTDC4016\2016-11-16 &amp; aws s3 cp s3://rtdc.mdm.uploadarchive.raw/RTDC4016/ "%USERPROFILE%\AppData\Local\Temp\OnboardLogs"\RTDC4016\2016-11-17 --exclude "*" --recursive --include "*20161117*" &amp; "%USERPROFILE%\Documents\GitHub\mrs-test-scripts\Headless Mode &amp; Sideloading\WalkAndUnGZ.bat" "%USERPROFILE%\AppData\Local\Temp\OnboardLogs"\RTDC4016\2016-11-17</v>
      </c>
      <c r="AF75" s="88" t="str">
        <f t="shared" si="38"/>
        <v>"C:\Program Files (x86)\AstroGrep\AstroGrep.exe" /spath="%USERPROFILE%\AppData\Local\Temp\OnboardLogs" /stypes="app*4016*20161116*" /stext=" 19:.+((SYSTEM_STATE.+slice.+state.+changed )|(ment ac)|(system.+state.+changed )|(\[timeout)|(PRM\|1\|D)|(kpr)|(kdp)|(\|lc)|(penalty))" /e /r /s</v>
      </c>
      <c r="AG75" s="1" t="str">
        <f t="shared" si="28"/>
        <v>EC</v>
      </c>
      <c r="AH75" s="92" t="str">
        <f t="shared" ref="AH75:AH138" si="39">refinertdcruntimes&amp;" --tripid "&amp;A75&amp;" --locoid "&amp;B75&amp;" --swversion "&amp;C75&amp;" --startMP "&amp;D75&amp;" --initTime "&amp;TEXT(E75,"yyyy-mm-ddTHH:MM:SS")&amp;" --startdatetime "&amp;TEXT(F75,"yyyy-mm-ddTHH:MM:SS")&amp;" --delay "&amp;G75&amp;" --endMP "&amp;H75&amp;" --enddatetime "&amp;TEXT(I75,"yyyy-mm-ddTHH:MM:SS")&amp;" --enforcementcount "&amp;J75&amp;IF(outputrefinedruntimes," &gt;&gt;"&amp;RefinedRTDCRunTimesOutputFile,"")</f>
        <v>"%USERPROFILE%\Documents\GitHub\eaglep3\Utilities\RefineRTDCRunTimes.py" --tripid 167-16 --locoid 4016 --swversion DE.1.0.8.0 --startMP 204:464 --initTime 2016-11-16T11:55:16 --startdatetime 2016-11-16T12:00:23 --delay 1 --endMP 204:233304 --enddatetime 2016-11-16T12:37:09 --enforcementcount 0 &gt;&gt;C:\Users\stu\Documents\GitHub\eaglep3-reporting\EC\2016-11-16-refined-times.txt</v>
      </c>
      <c r="AI75" s="119" t="str">
        <f t="shared" ref="AI75:AI138" si="40">"echo {""issue"":{""subject"":"""&amp;R75&amp;""",""project_id"":79,""tracker_id"":40,""status_id"":"&amp;redmine_status&amp;",""priority_id"":"&amp;redmine_priority&amp;",""assigned_to_id"":"&amp;redmine_assignee&amp;",""start_date"":"""&amp;TEXT(I75,"YYYY-mm-dd")&amp;""",""description"":"""&amp;AJ75&amp;""",""custom_fields"":[{""id"":1,""name"":""Subdivision"",""value"":"""&amp;AG75&amp;"""},{""id"":4,""name"":""Milepost"",""value"":"""&amp;Z75&amp;"""},{""id"":17,""name"":""Train ID"",""value"":"""&amp;A75&amp;"""},{""id"":16,""name"":""Locomotive ID"",""value"":"""&amp;B75&amp;"""},{""id"":130,""name"":""Impact"",""value"":"""&amp;AK75&amp;"""},{""id"":150,""name"":""Time of Event (Mountain Time)"",""value"":"""&amp;TEXT(I75,"hh:mm:ss")&amp;"""},{""id"":151,""name"":""Denver Issue ID"",""value"":"""&amp;"""},{""id"":178,""name"":""Operational Impact"",""value"":"""&amp;redmine_op_impact&amp;"""},{""id"":179,""name"":""Denver Segment Assigned"",""value"":"""&amp;AL75&amp;"""}]}}"&amp;"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{"issue":{"subject":"","project_id":79,"tracker_id":40,"status_id":1,"priority_id":2,"assigned_to_id":23,"start_date":"2016-11-16","description":"","custom_fields":[{"id":1,"name":"Subdivision","value":"EC"},{"id":4,"name":"Milepost","value":"23.3304"},{"id":17,"name":"Train ID","value":"167-16"},{"id":16,"name":"Locomotive ID","value":"4016"},{"id":130,"name":"Impact","value":""},{"id":150,"name":"Time of Event (Mountain Time)","value":"12:37:09"},{"id":151,"name":"Denver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542</v>
      </c>
      <c r="B76" s="7">
        <v>4015</v>
      </c>
      <c r="C76" s="22" t="s">
        <v>222</v>
      </c>
      <c r="D76" s="22" t="s">
        <v>651</v>
      </c>
      <c r="E76" s="13">
        <v>42690.531099537038</v>
      </c>
      <c r="F76" s="13">
        <v>42690.539178240739</v>
      </c>
      <c r="G76" s="7">
        <v>1</v>
      </c>
      <c r="H76" s="22" t="s">
        <v>196</v>
      </c>
      <c r="I76" s="13">
        <v>42690.565775462965</v>
      </c>
      <c r="J76" s="7">
        <v>0</v>
      </c>
      <c r="K76" s="109" t="str">
        <f t="shared" si="18"/>
        <v>4015/4016</v>
      </c>
      <c r="L76" s="22" t="str">
        <f>VLOOKUP(A76,'Trips&amp;Operators'!$C$1:$E$10000,3,FALSE)</f>
        <v>BERLING</v>
      </c>
      <c r="M76" s="6">
        <f t="shared" si="19"/>
        <v>2.6597222225973383E-2</v>
      </c>
      <c r="N76" s="7">
        <f t="shared" si="33"/>
        <v>38.300000005401671</v>
      </c>
      <c r="O76" s="7"/>
      <c r="P76" s="7"/>
      <c r="Q76" s="23"/>
      <c r="R76" s="23"/>
      <c r="S76" s="35">
        <f t="shared" si="34"/>
        <v>1</v>
      </c>
      <c r="T76" s="50" t="str">
        <f t="shared" si="22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11:44:47-700',mode:absolute,to:'2016-11-16 14:34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6" s="52" t="str">
        <f t="shared" si="23"/>
        <v>N</v>
      </c>
      <c r="X76" s="177">
        <f t="shared" si="35"/>
        <v>1</v>
      </c>
      <c r="Y76" s="67">
        <f t="shared" si="24"/>
        <v>23.299299999999999</v>
      </c>
      <c r="Z76" s="67">
        <f t="shared" si="25"/>
        <v>1.49E-2</v>
      </c>
      <c r="AA76" s="67">
        <f t="shared" si="26"/>
        <v>23.284399999999998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27"/>
        <v>0168-16</v>
      </c>
      <c r="AE76" s="91" t="str">
        <f t="shared" si="37"/>
        <v>aws s3 cp s3://rtdc.mdm.uploadarchive.raw/RTDC4015/ "%USERPROFILE%\AppData\Local\Temp\OnboardLogs"\RTDC4015\2016-11-16 --exclude "*" --recursive --include "*20161116*" &amp; "%USERPROFILE%\Documents\GitHub\mrs-test-scripts\Headless Mode &amp; Sideloading\WalkAndUnGZ.bat" "%USERPROFILE%\AppData\Local\Temp\OnboardLogs"\RTDC4015\2016-11-16 &amp; aws s3 cp s3://rtdc.mdm.uploadarchive.raw/RTDC4015/ "%USERPROFILE%\AppData\Local\Temp\OnboardLogs"\RTDC4015\2016-11-17 --exclude "*" --recursive --include "*20161117*" &amp; "%USERPROFILE%\Documents\GitHub\mrs-test-scripts\Headless Mode &amp; Sideloading\WalkAndUnGZ.bat" "%USERPROFILE%\AppData\Local\Temp\OnboardLogs"\RTDC4015\2016-11-17</v>
      </c>
      <c r="AF76" s="88" t="str">
        <f t="shared" si="38"/>
        <v>"C:\Program Files (x86)\AstroGrep\AstroGrep.exe" /spath="%USERPROFILE%\AppData\Local\Temp\OnboardLogs" /stypes="app*4015*20161116*" /stext=" 20:.+((SYSTEM_STATE.+slice.+state.+changed )|(ment ac)|(system.+state.+changed )|(\[timeout)|(PRM\|1\|D)|(kpr)|(kdp)|(\|lc)|(penalty))" /e /r /s</v>
      </c>
      <c r="AG76" s="1" t="str">
        <f t="shared" si="28"/>
        <v>EC</v>
      </c>
      <c r="AH76" s="92" t="str">
        <f t="shared" si="39"/>
        <v>"%USERPROFILE%\Documents\GitHub\eaglep3\Utilities\RefineRTDCRunTimes.py" --tripid 168-16 --locoid 4015 --swversion DE.1.0.8.0 --startMP 204:232993 --initTime 2016-11-16T12:44:47 --startdatetime 2016-11-16T12:56:25 --delay 1 --endMP 204:149 --enddatetime 2016-11-16T13:34:43 --enforcementcount 0 &gt;&gt;C:\Users\stu\Documents\GitHub\eaglep3-reporting\EC\2016-11-16-refined-times.txt</v>
      </c>
      <c r="AI76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{"issue":{"subject":"","project_id":79,"tracker_id":40,"status_id":1,"priority_id":2,"assigned_to_id":23,"start_date":"2016-11-16","description":"","custom_fields":[{"id":1,"name":"Subdivision","value":"EC"},{"id":4,"name":"Milepost","value":"0.0149"},{"id":17,"name":"Train ID","value":"168-16"},{"id":16,"name":"Locomotive ID","value":"4015"},{"id":130,"name":"Impact","value":""},{"id":150,"name":"Time of Event (Mountain Time)","value":"13:34:43"},{"id":151,"name":"Denver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535</v>
      </c>
      <c r="B77" s="7">
        <v>4044</v>
      </c>
      <c r="C77" s="22" t="s">
        <v>222</v>
      </c>
      <c r="D77" s="22" t="s">
        <v>232</v>
      </c>
      <c r="E77" s="13">
        <v>42690.508101851854</v>
      </c>
      <c r="F77" s="13">
        <v>42690.510844907411</v>
      </c>
      <c r="G77" s="7">
        <v>1</v>
      </c>
      <c r="H77" s="22" t="s">
        <v>635</v>
      </c>
      <c r="I77" s="13">
        <v>42690.535601851851</v>
      </c>
      <c r="J77" s="7">
        <v>0</v>
      </c>
      <c r="K77" s="109" t="str">
        <f t="shared" si="18"/>
        <v>4043/4044</v>
      </c>
      <c r="L77" s="22" t="str">
        <f>VLOOKUP(A77,'Trips&amp;Operators'!$C$1:$E$10000,3,FALSE)</f>
        <v>HILLS</v>
      </c>
      <c r="M77" s="6">
        <f t="shared" si="19"/>
        <v>2.4756944440014195E-2</v>
      </c>
      <c r="N77" s="7">
        <f t="shared" si="33"/>
        <v>35.64999999362044</v>
      </c>
      <c r="O77" s="7"/>
      <c r="P77" s="7"/>
      <c r="Q77" s="23"/>
      <c r="R77" s="23"/>
      <c r="S77" s="35">
        <f t="shared" si="34"/>
        <v>1</v>
      </c>
      <c r="T77" s="50" t="str">
        <f t="shared" si="22"/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11:11:40-700',mode:absolute,to:'2016-11-16 13:51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7" s="52" t="str">
        <f t="shared" si="23"/>
        <v>N</v>
      </c>
      <c r="X77" s="177">
        <f t="shared" si="35"/>
        <v>1</v>
      </c>
      <c r="Y77" s="67">
        <f t="shared" si="24"/>
        <v>4.6899999999999997E-2</v>
      </c>
      <c r="Z77" s="67">
        <f t="shared" si="25"/>
        <v>23.332000000000001</v>
      </c>
      <c r="AA77" s="67">
        <f t="shared" si="26"/>
        <v>23.2851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si="27"/>
        <v>0169-16</v>
      </c>
      <c r="AE77" s="91" t="str">
        <f t="shared" si="37"/>
        <v>aws s3 cp s3://rtdc.mdm.uploadarchive.raw/RTDC4044/ "%USERPROFILE%\AppData\Local\Temp\OnboardLogs"\RTDC4044\2016-11-16 --exclude "*" --recursive --include "*20161116*" &amp; "%USERPROFILE%\Documents\GitHub\mrs-test-scripts\Headless Mode &amp; Sideloading\WalkAndUnGZ.bat" "%USERPROFILE%\AppData\Local\Temp\OnboardLogs"\RTDC4044\2016-11-16 &amp; aws s3 cp s3://rtdc.mdm.uploadarchive.raw/RTDC4044/ "%USERPROFILE%\AppData\Local\Temp\OnboardLogs"\RTDC4044\2016-11-17 --exclude "*" --recursive --include "*20161117*" &amp; "%USERPROFILE%\Documents\GitHub\mrs-test-scripts\Headless Mode &amp; Sideloading\WalkAndUnGZ.bat" "%USERPROFILE%\AppData\Local\Temp\OnboardLogs"\RTDC4044\2016-11-17</v>
      </c>
      <c r="AF77" s="88" t="str">
        <f t="shared" si="38"/>
        <v>"C:\Program Files (x86)\AstroGrep\AstroGrep.exe" /spath="%USERPROFILE%\AppData\Local\Temp\OnboardLogs" /stypes="app*4044*20161116*" /stext=" 19:.+((SYSTEM_STATE.+slice.+state.+changed )|(ment ac)|(system.+state.+changed )|(\[timeout)|(PRM\|1\|D)|(kpr)|(kdp)|(\|lc)|(penalty))" /e /r /s</v>
      </c>
      <c r="AG77" s="1" t="str">
        <f t="shared" si="28"/>
        <v>EC</v>
      </c>
      <c r="AH77" s="92" t="str">
        <f t="shared" si="39"/>
        <v>"%USERPROFILE%\Documents\GitHub\eaglep3\Utilities\RefineRTDCRunTimes.py" --tripid 169-16 --locoid 4044 --swversion DE.1.0.8.0 --startMP 204:469 --initTime 2016-11-16T12:11:40 --startdatetime 2016-11-16T12:15:37 --delay 1 --endMP 204:233320 --enddatetime 2016-11-16T12:51:16 --enforcementcount 0 &gt;&gt;C:\Users\stu\Documents\GitHub\eaglep3-reporting\EC\2016-11-16-refined-times.txt</v>
      </c>
      <c r="AI77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{"issue":{"subject":"","project_id":79,"tracker_id":40,"status_id":1,"priority_id":2,"assigned_to_id":23,"start_date":"2016-11-16","description":"","custom_fields":[{"id":1,"name":"Subdivision","value":"EC"},{"id":4,"name":"Milepost","value":"23.332"},{"id":17,"name":"Train ID","value":"169-16"},{"id":16,"name":"Locomotive ID","value":"4044"},{"id":130,"name":"Impact","value":""},{"id":150,"name":"Time of Event (Mountain Time)","value":"12:51:16"},{"id":151,"name":"Denver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544</v>
      </c>
      <c r="B78" s="7">
        <v>4043</v>
      </c>
      <c r="C78" s="22" t="s">
        <v>222</v>
      </c>
      <c r="D78" s="22" t="s">
        <v>372</v>
      </c>
      <c r="E78" s="13">
        <v>42690.537245370368</v>
      </c>
      <c r="F78" s="13">
        <v>42690.549537037034</v>
      </c>
      <c r="G78" s="7">
        <v>1</v>
      </c>
      <c r="H78" s="22" t="s">
        <v>669</v>
      </c>
      <c r="I78" s="13">
        <v>42690.575185185182</v>
      </c>
      <c r="J78" s="7">
        <v>0</v>
      </c>
      <c r="K78" s="109" t="str">
        <f t="shared" si="18"/>
        <v>4043/4044</v>
      </c>
      <c r="L78" s="22" t="str">
        <f>VLOOKUP(A78,'Trips&amp;Operators'!$C$1:$E$10000,3,FALSE)</f>
        <v>HILLS</v>
      </c>
      <c r="M78" s="6">
        <f t="shared" si="19"/>
        <v>2.5648148148320615E-2</v>
      </c>
      <c r="N78" s="7">
        <f t="shared" si="33"/>
        <v>36.933333333581686</v>
      </c>
      <c r="O78" s="7"/>
      <c r="P78" s="7"/>
      <c r="Q78" s="23"/>
      <c r="R78" s="23"/>
      <c r="S78" s="35">
        <f t="shared" si="34"/>
        <v>1</v>
      </c>
      <c r="T78" s="50" t="str">
        <f t="shared" si="22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11:53:38-700',mode:absolute,to:'2016-11-16 14:48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8" s="52" t="str">
        <f t="shared" si="23"/>
        <v>N</v>
      </c>
      <c r="X78" s="177">
        <f t="shared" si="35"/>
        <v>1</v>
      </c>
      <c r="Y78" s="67">
        <f t="shared" si="24"/>
        <v>23.3017</v>
      </c>
      <c r="Z78" s="67">
        <f t="shared" si="25"/>
        <v>9.1999999999999998E-3</v>
      </c>
      <c r="AA78" s="67">
        <f t="shared" si="26"/>
        <v>23.2925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27"/>
        <v>0170-16</v>
      </c>
      <c r="AE78" s="91" t="str">
        <f t="shared" si="37"/>
        <v>aws s3 cp s3://rtdc.mdm.uploadarchive.raw/RTDC4043/ "%USERPROFILE%\AppData\Local\Temp\OnboardLogs"\RTDC4043\2016-11-16 --exclude "*" --recursive --include "*20161116*" &amp; "%USERPROFILE%\Documents\GitHub\mrs-test-scripts\Headless Mode &amp; Sideloading\WalkAndUnGZ.bat" "%USERPROFILE%\AppData\Local\Temp\OnboardLogs"\RTDC4043\2016-11-16 &amp; aws s3 cp s3://rtdc.mdm.uploadarchive.raw/RTDC4043/ "%USERPROFILE%\AppData\Local\Temp\OnboardLogs"\RTDC4043\2016-11-17 --exclude "*" --recursive --include "*20161117*" &amp; "%USERPROFILE%\Documents\GitHub\mrs-test-scripts\Headless Mode &amp; Sideloading\WalkAndUnGZ.bat" "%USERPROFILE%\AppData\Local\Temp\OnboardLogs"\RTDC4043\2016-11-17</v>
      </c>
      <c r="AF78" s="88" t="str">
        <f t="shared" si="38"/>
        <v>"C:\Program Files (x86)\AstroGrep\AstroGrep.exe" /spath="%USERPROFILE%\AppData\Local\Temp\OnboardLogs" /stypes="app*4043*20161116*" /stext=" 20:.+((SYSTEM_STATE.+slice.+state.+changed )|(ment ac)|(system.+state.+changed )|(\[timeout)|(PRM\|1\|D)|(kpr)|(kdp)|(\|lc)|(penalty))" /e /r /s</v>
      </c>
      <c r="AG78" s="1" t="str">
        <f t="shared" si="28"/>
        <v>EC</v>
      </c>
      <c r="AH78" s="92" t="str">
        <f t="shared" si="39"/>
        <v>"%USERPROFILE%\Documents\GitHub\eaglep3\Utilities\RefineRTDCRunTimes.py" --tripid 170-16 --locoid 4043 --swversion DE.1.0.8.0 --startMP 204:233017 --initTime 2016-11-16T12:53:38 --startdatetime 2016-11-16T13:11:20 --delay 1 --endMP 204:92 --enddatetime 2016-11-16T13:48:16 --enforcementcount 0 &gt;&gt;C:\Users\stu\Documents\GitHub\eaglep3-reporting\EC\2016-11-16-refined-times.txt</v>
      </c>
      <c r="AI78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{"issue":{"subject":"","project_id":79,"tracker_id":40,"status_id":1,"priority_id":2,"assigned_to_id":23,"start_date":"2016-11-16","description":"","custom_fields":[{"id":1,"name":"Subdivision","value":"EC"},{"id":4,"name":"Milepost","value":"0.0092"},{"id":17,"name":"Train ID","value":"170-16"},{"id":16,"name":"Locomotive ID","value":"4043"},{"id":130,"name":"Impact","value":""},{"id":150,"name":"Time of Event (Mountain Time)","value":"13:48:16"},{"id":151,"name":"Denver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540</v>
      </c>
      <c r="B79" s="7">
        <v>4029</v>
      </c>
      <c r="C79" s="22" t="s">
        <v>222</v>
      </c>
      <c r="D79" s="22" t="s">
        <v>280</v>
      </c>
      <c r="E79" s="13">
        <v>42690.519062500003</v>
      </c>
      <c r="F79" s="13">
        <v>42690.521458333336</v>
      </c>
      <c r="G79" s="7">
        <v>1</v>
      </c>
      <c r="H79" s="22" t="s">
        <v>670</v>
      </c>
      <c r="I79" s="13">
        <v>42690.547766203701</v>
      </c>
      <c r="J79" s="7">
        <v>0</v>
      </c>
      <c r="K79" s="109" t="str">
        <f t="shared" si="18"/>
        <v>4029/4030</v>
      </c>
      <c r="L79" s="22" t="str">
        <f>VLOOKUP(A79,'Trips&amp;Operators'!$C$1:$E$10000,3,FALSE)</f>
        <v>NICHOLSON</v>
      </c>
      <c r="M79" s="6">
        <f t="shared" si="19"/>
        <v>2.6307870364689734E-2</v>
      </c>
      <c r="N79" s="7">
        <f t="shared" si="33"/>
        <v>37.883333325153217</v>
      </c>
      <c r="O79" s="7"/>
      <c r="P79" s="7"/>
      <c r="Q79" s="23"/>
      <c r="R79" s="23"/>
      <c r="S79" s="35">
        <f t="shared" si="34"/>
        <v>1</v>
      </c>
      <c r="T79" s="50" t="str">
        <f t="shared" si="22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11:27:27-700',mode:absolute,to:'2016-11-16 14:08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9" s="52" t="str">
        <f t="shared" si="23"/>
        <v>N</v>
      </c>
      <c r="X79" s="177">
        <f t="shared" si="35"/>
        <v>1</v>
      </c>
      <c r="Y79" s="67">
        <f t="shared" si="24"/>
        <v>4.6600000000000003E-2</v>
      </c>
      <c r="Z79" s="67">
        <f t="shared" si="25"/>
        <v>23.334900000000001</v>
      </c>
      <c r="AA79" s="67">
        <f t="shared" si="26"/>
        <v>23.2883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27"/>
        <v>0171-16</v>
      </c>
      <c r="AE79" s="91" t="str">
        <f t="shared" si="37"/>
        <v>aws s3 cp s3://rtdc.mdm.uploadarchive.raw/RTDC4029/ "%USERPROFILE%\AppData\Local\Temp\OnboardLogs"\RTDC4029\2016-11-16 --exclude "*" --recursive --include "*20161116*" &amp; "%USERPROFILE%\Documents\GitHub\mrs-test-scripts\Headless Mode &amp; Sideloading\WalkAndUnGZ.bat" "%USERPROFILE%\AppData\Local\Temp\OnboardLogs"\RTDC4029\2016-11-16 &amp; aws s3 cp s3://rtdc.mdm.uploadarchive.raw/RTDC4029/ "%USERPROFILE%\AppData\Local\Temp\OnboardLogs"\RTDC4029\2016-11-17 --exclude "*" --recursive --include "*20161117*" &amp; "%USERPROFILE%\Documents\GitHub\mrs-test-scripts\Headless Mode &amp; Sideloading\WalkAndUnGZ.bat" "%USERPROFILE%\AppData\Local\Temp\OnboardLogs"\RTDC4029\2016-11-17</v>
      </c>
      <c r="AF79" s="88" t="str">
        <f t="shared" si="38"/>
        <v>"C:\Program Files (x86)\AstroGrep\AstroGrep.exe" /spath="%USERPROFILE%\AppData\Local\Temp\OnboardLogs" /stypes="app*4029*20161116*" /stext=" 20:.+((SYSTEM_STATE.+slice.+state.+changed )|(ment ac)|(system.+state.+changed )|(\[timeout)|(PRM\|1\|D)|(kpr)|(kdp)|(\|lc)|(penalty))" /e /r /s</v>
      </c>
      <c r="AG79" s="1" t="str">
        <f t="shared" si="28"/>
        <v>EC</v>
      </c>
      <c r="AH79" s="92" t="str">
        <f t="shared" si="39"/>
        <v>"%USERPROFILE%\Documents\GitHub\eaglep3\Utilities\RefineRTDCRunTimes.py" --tripid 171-16 --locoid 4029 --swversion DE.1.0.8.0 --startMP 204:466 --initTime 2016-11-16T12:27:27 --startdatetime 2016-11-16T12:30:54 --delay 1 --endMP 204:233349 --enddatetime 2016-11-16T13:08:47 --enforcementcount 0 &gt;&gt;C:\Users\stu\Documents\GitHub\eaglep3-reporting\EC\2016-11-16-refined-times.txt</v>
      </c>
      <c r="AI79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{"issue":{"subject":"","project_id":79,"tracker_id":40,"status_id":1,"priority_id":2,"assigned_to_id":23,"start_date":"2016-11-16","description":"","custom_fields":[{"id":1,"name":"Subdivision","value":"EC"},{"id":4,"name":"Milepost","value":"23.3349"},{"id":17,"name":"Train ID","value":"171-16"},{"id":16,"name":"Locomotive ID","value":"4029"},{"id":130,"name":"Impact","value":""},{"id":150,"name":"Time of Event (Mountain Time)","value":"13:08:47"},{"id":151,"name":"Denver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547</v>
      </c>
      <c r="B80" s="7">
        <v>4030</v>
      </c>
      <c r="C80" s="22" t="s">
        <v>222</v>
      </c>
      <c r="D80" s="22" t="s">
        <v>671</v>
      </c>
      <c r="E80" s="13">
        <v>42690.553749999999</v>
      </c>
      <c r="F80" s="13">
        <v>42690.56009259259</v>
      </c>
      <c r="G80" s="7">
        <v>1</v>
      </c>
      <c r="H80" s="22" t="s">
        <v>283</v>
      </c>
      <c r="I80" s="13">
        <v>42690.587442129632</v>
      </c>
      <c r="J80" s="7">
        <v>0</v>
      </c>
      <c r="K80" s="109" t="str">
        <f t="shared" si="18"/>
        <v>4029/4030</v>
      </c>
      <c r="L80" s="22" t="str">
        <f>VLOOKUP(A80,'Trips&amp;Operators'!$C$1:$E$10000,3,FALSE)</f>
        <v>NICHOLSON</v>
      </c>
      <c r="M80" s="6">
        <f t="shared" si="19"/>
        <v>2.7349537042027805E-2</v>
      </c>
      <c r="N80" s="7">
        <f t="shared" si="33"/>
        <v>39.383333340520039</v>
      </c>
      <c r="O80" s="7"/>
      <c r="P80" s="7"/>
      <c r="Q80" s="23"/>
      <c r="R80" s="23"/>
      <c r="S80" s="35">
        <f t="shared" si="34"/>
        <v>1</v>
      </c>
      <c r="T80" s="50" t="str">
        <f t="shared" si="22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12:17:24-700',mode:absolute,to:'2016-11-16 15:05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0" s="52" t="str">
        <f t="shared" si="23"/>
        <v>N</v>
      </c>
      <c r="X80" s="177">
        <f t="shared" si="35"/>
        <v>1</v>
      </c>
      <c r="Y80" s="67">
        <f t="shared" si="24"/>
        <v>23.3032</v>
      </c>
      <c r="Z80" s="67">
        <f t="shared" si="25"/>
        <v>1.41E-2</v>
      </c>
      <c r="AA80" s="67">
        <f t="shared" si="26"/>
        <v>23.289100000000001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27"/>
        <v>0172-16</v>
      </c>
      <c r="AE80" s="91" t="str">
        <f t="shared" si="37"/>
        <v>aws s3 cp s3://rtdc.mdm.uploadarchive.raw/RTDC4030/ "%USERPROFILE%\AppData\Local\Temp\OnboardLogs"\RTDC4030\2016-11-16 --exclude "*" --recursive --include "*20161116*" &amp; "%USERPROFILE%\Documents\GitHub\mrs-test-scripts\Headless Mode &amp; Sideloading\WalkAndUnGZ.bat" "%USERPROFILE%\AppData\Local\Temp\OnboardLogs"\RTDC4030\2016-11-16 &amp; aws s3 cp s3://rtdc.mdm.uploadarchive.raw/RTDC4030/ "%USERPROFILE%\AppData\Local\Temp\OnboardLogs"\RTDC4030\2016-11-17 --exclude "*" --recursive --include "*20161117*" &amp; "%USERPROFILE%\Documents\GitHub\mrs-test-scripts\Headless Mode &amp; Sideloading\WalkAndUnGZ.bat" "%USERPROFILE%\AppData\Local\Temp\OnboardLogs"\RTDC4030\2016-11-17</v>
      </c>
      <c r="AF80" s="88" t="str">
        <f t="shared" si="38"/>
        <v>"C:\Program Files (x86)\AstroGrep\AstroGrep.exe" /spath="%USERPROFILE%\AppData\Local\Temp\OnboardLogs" /stypes="app*4030*20161116*" /stext=" 21:.+((SYSTEM_STATE.+slice.+state.+changed )|(ment ac)|(system.+state.+changed )|(\[timeout)|(PRM\|1\|D)|(kpr)|(kdp)|(\|lc)|(penalty))" /e /r /s</v>
      </c>
      <c r="AG80" s="1" t="str">
        <f t="shared" si="28"/>
        <v>EC</v>
      </c>
      <c r="AH80" s="92" t="str">
        <f t="shared" si="39"/>
        <v>"%USERPROFILE%\Documents\GitHub\eaglep3\Utilities\RefineRTDCRunTimes.py" --tripid 172-16 --locoid 4030 --swversion DE.1.0.8.0 --startMP 204:233032 --initTime 2016-11-16T13:17:24 --startdatetime 2016-11-16T13:26:32 --delay 1 --endMP 204:141 --enddatetime 2016-11-16T14:05:55 --enforcementcount 0 &gt;&gt;C:\Users\stu\Documents\GitHub\eaglep3-reporting\EC\2016-11-16-refined-times.txt</v>
      </c>
      <c r="AI80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{"issue":{"subject":"","project_id":79,"tracker_id":40,"status_id":1,"priority_id":2,"assigned_to_id":23,"start_date":"2016-11-16","description":"","custom_fields":[{"id":1,"name":"Subdivision","value":"EC"},{"id":4,"name":"Milepost","value":"0.0141"},{"id":17,"name":"Train ID","value":"172-16"},{"id":16,"name":"Locomotive ID","value":"4030"},{"id":130,"name":"Impact","value":""},{"id":150,"name":"Time of Event (Mountain Time)","value":"14:05:55"},{"id":151,"name":"Denver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541</v>
      </c>
      <c r="B81" s="7">
        <v>4038</v>
      </c>
      <c r="C81" s="22" t="s">
        <v>222</v>
      </c>
      <c r="D81" s="22" t="s">
        <v>672</v>
      </c>
      <c r="E81" s="13">
        <v>42690.526736111111</v>
      </c>
      <c r="F81" s="13">
        <v>42690.531724537039</v>
      </c>
      <c r="G81" s="7">
        <v>1</v>
      </c>
      <c r="H81" s="22" t="s">
        <v>319</v>
      </c>
      <c r="I81" s="13">
        <v>42690.556516203702</v>
      </c>
      <c r="J81" s="7">
        <v>0</v>
      </c>
      <c r="K81" s="109" t="str">
        <f t="shared" si="18"/>
        <v>4037/4038</v>
      </c>
      <c r="L81" s="22" t="str">
        <f>VLOOKUP(A81,'Trips&amp;Operators'!$C$1:$E$10000,3,FALSE)</f>
        <v>MACDONALD</v>
      </c>
      <c r="M81" s="6">
        <f t="shared" si="19"/>
        <v>2.4791666663077194E-2</v>
      </c>
      <c r="N81" s="7">
        <f t="shared" si="33"/>
        <v>35.69999999483116</v>
      </c>
      <c r="O81" s="7"/>
      <c r="P81" s="7"/>
      <c r="Q81" s="23"/>
      <c r="R81" s="23"/>
      <c r="S81" s="35">
        <f t="shared" si="34"/>
        <v>1</v>
      </c>
      <c r="T81" s="50" t="str">
        <f t="shared" si="22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11:38:30-700',mode:absolute,to:'2016-11-16 14:21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1" s="52" t="str">
        <f t="shared" si="23"/>
        <v>N</v>
      </c>
      <c r="X81" s="177">
        <f t="shared" si="35"/>
        <v>1</v>
      </c>
      <c r="Y81" s="67">
        <f t="shared" si="24"/>
        <v>4.5499999999999999E-2</v>
      </c>
      <c r="Z81" s="67">
        <f t="shared" si="25"/>
        <v>23.3291</v>
      </c>
      <c r="AA81" s="67">
        <f t="shared" si="26"/>
        <v>23.2836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27"/>
        <v>0173-16</v>
      </c>
      <c r="AE81" s="91" t="str">
        <f t="shared" si="37"/>
        <v>aws s3 cp s3://rtdc.mdm.uploadarchive.raw/RTDC4038/ "%USERPROFILE%\AppData\Local\Temp\OnboardLogs"\RTDC4038\2016-11-16 --exclude "*" --recursive --include "*20161116*" &amp; "%USERPROFILE%\Documents\GitHub\mrs-test-scripts\Headless Mode &amp; Sideloading\WalkAndUnGZ.bat" "%USERPROFILE%\AppData\Local\Temp\OnboardLogs"\RTDC4038\2016-11-16 &amp; 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</v>
      </c>
      <c r="AF81" s="88" t="str">
        <f t="shared" si="38"/>
        <v>"C:\Program Files (x86)\AstroGrep\AstroGrep.exe" /spath="%USERPROFILE%\AppData\Local\Temp\OnboardLogs" /stypes="app*4038*20161116*" /stext=" 20:.+((SYSTEM_STATE.+slice.+state.+changed )|(ment ac)|(system.+state.+changed )|(\[timeout)|(PRM\|1\|D)|(kpr)|(kdp)|(\|lc)|(penalty))" /e /r /s</v>
      </c>
      <c r="AG81" s="1" t="str">
        <f t="shared" si="28"/>
        <v>EC</v>
      </c>
      <c r="AH81" s="92" t="str">
        <f t="shared" si="39"/>
        <v>"%USERPROFILE%\Documents\GitHub\eaglep3\Utilities\RefineRTDCRunTimes.py" --tripid 173-16 --locoid 4038 --swversion DE.1.0.8.0 --startMP 204:455 --initTime 2016-11-16T12:38:30 --startdatetime 2016-11-16T12:45:41 --delay 1 --endMP 204:233291 --enddatetime 2016-11-16T13:21:23 --enforcementcount 0 &gt;&gt;C:\Users\stu\Documents\GitHub\eaglep3-reporting\EC\2016-11-16-refined-times.txt</v>
      </c>
      <c r="AI81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{"issue":{"subject":"","project_id":79,"tracker_id":40,"status_id":1,"priority_id":2,"assigned_to_id":23,"start_date":"2016-11-16","description":"","custom_fields":[{"id":1,"name":"Subdivision","value":"EC"},{"id":4,"name":"Milepost","value":"23.3291"},{"id":17,"name":"Train ID","value":"173-16"},{"id":16,"name":"Locomotive ID","value":"4038"},{"id":130,"name":"Impact","value":""},{"id":150,"name":"Time of Event (Mountain Time)","value":"13:21:23"},{"id":151,"name":"Denver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549</v>
      </c>
      <c r="B82" s="7">
        <v>4037</v>
      </c>
      <c r="C82" s="22" t="s">
        <v>222</v>
      </c>
      <c r="D82" s="22" t="s">
        <v>673</v>
      </c>
      <c r="E82" s="13">
        <v>42690.560486111113</v>
      </c>
      <c r="F82" s="13">
        <v>42690.570509259262</v>
      </c>
      <c r="G82" s="7">
        <v>1</v>
      </c>
      <c r="H82" s="22" t="s">
        <v>213</v>
      </c>
      <c r="I82" s="13">
        <v>42690.596909722219</v>
      </c>
      <c r="J82" s="7">
        <v>0</v>
      </c>
      <c r="K82" s="109" t="str">
        <f t="shared" si="18"/>
        <v>4037/4038</v>
      </c>
      <c r="L82" s="22" t="str">
        <f>VLOOKUP(A82,'Trips&amp;Operators'!$C$1:$E$10000,3,FALSE)</f>
        <v>MACDONALD</v>
      </c>
      <c r="M82" s="6">
        <f t="shared" si="19"/>
        <v>2.640046295709908E-2</v>
      </c>
      <c r="N82" s="7">
        <f t="shared" si="33"/>
        <v>38.016666658222675</v>
      </c>
      <c r="O82" s="7"/>
      <c r="P82" s="7"/>
      <c r="Q82" s="23"/>
      <c r="R82" s="23"/>
      <c r="S82" s="35">
        <f t="shared" si="34"/>
        <v>1</v>
      </c>
      <c r="T82" s="50" t="str">
        <f t="shared" si="22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12:27:06-700',mode:absolute,to:'2016-11-16 15:19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2" s="52" t="str">
        <f t="shared" si="23"/>
        <v>N</v>
      </c>
      <c r="X82" s="177">
        <f t="shared" si="35"/>
        <v>1</v>
      </c>
      <c r="Y82" s="67">
        <f t="shared" si="24"/>
        <v>23.2971</v>
      </c>
      <c r="Z82" s="67">
        <f t="shared" si="25"/>
        <v>1.5599999999999999E-2</v>
      </c>
      <c r="AA82" s="67">
        <f t="shared" si="26"/>
        <v>23.281500000000001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27"/>
        <v>0174-16</v>
      </c>
      <c r="AE82" s="91" t="str">
        <f t="shared" si="37"/>
        <v>aws s3 cp s3://rtdc.mdm.uploadarchive.raw/RTDC4037/ "%USERPROFILE%\AppData\Local\Temp\OnboardLogs"\RTDC4037\2016-11-16 --exclude "*" --recursive --include "*20161116*" &amp; "%USERPROFILE%\Documents\GitHub\mrs-test-scripts\Headless Mode &amp; Sideloading\WalkAndUnGZ.bat" "%USERPROFILE%\AppData\Local\Temp\OnboardLogs"\RTDC4037\2016-11-16 &amp; 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</v>
      </c>
      <c r="AF82" s="88" t="str">
        <f t="shared" si="38"/>
        <v>"C:\Program Files (x86)\AstroGrep\AstroGrep.exe" /spath="%USERPROFILE%\AppData\Local\Temp\OnboardLogs" /stypes="app*4037*20161116*" /stext=" 21:.+((SYSTEM_STATE.+slice.+state.+changed )|(ment ac)|(system.+state.+changed )|(\[timeout)|(PRM\|1\|D)|(kpr)|(kdp)|(\|lc)|(penalty))" /e /r /s</v>
      </c>
      <c r="AG82" s="1" t="str">
        <f t="shared" si="28"/>
        <v>EC</v>
      </c>
      <c r="AH82" s="92" t="str">
        <f t="shared" si="39"/>
        <v>"%USERPROFILE%\Documents\GitHub\eaglep3\Utilities\RefineRTDCRunTimes.py" --tripid 174-16 --locoid 4037 --swversion DE.1.0.8.0 --startMP 204:232971 --initTime 2016-11-16T13:27:06 --startdatetime 2016-11-16T13:41:32 --delay 1 --endMP 204:156 --enddatetime 2016-11-16T14:19:33 --enforcementcount 0 &gt;&gt;C:\Users\stu\Documents\GitHub\eaglep3-reporting\EC\2016-11-16-refined-times.txt</v>
      </c>
      <c r="AI82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{"issue":{"subject":"","project_id":79,"tracker_id":40,"status_id":1,"priority_id":2,"assigned_to_id":23,"start_date":"2016-11-16","description":"","custom_fields":[{"id":1,"name":"Subdivision","value":"EC"},{"id":4,"name":"Milepost","value":"0.0156"},{"id":17,"name":"Train ID","value":"174-16"},{"id":16,"name":"Locomotive ID","value":"4037"},{"id":130,"name":"Impact","value":""},{"id":150,"name":"Time of Event (Mountain Time)","value":"14:19:33"},{"id":151,"name":"Denver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543</v>
      </c>
      <c r="B83" s="7">
        <v>4009</v>
      </c>
      <c r="C83" s="22" t="s">
        <v>222</v>
      </c>
      <c r="D83" s="22" t="s">
        <v>219</v>
      </c>
      <c r="E83" s="13">
        <v>42690.537222222221</v>
      </c>
      <c r="F83" s="13">
        <v>42690.54184027778</v>
      </c>
      <c r="G83" s="7">
        <v>1</v>
      </c>
      <c r="H83" s="22" t="s">
        <v>361</v>
      </c>
      <c r="I83" s="13">
        <v>42690.566805555558</v>
      </c>
      <c r="J83" s="7">
        <v>0</v>
      </c>
      <c r="K83" s="109" t="str">
        <f t="shared" si="18"/>
        <v>4009/4010</v>
      </c>
      <c r="L83" s="22" t="str">
        <f>VLOOKUP(A83,'Trips&amp;Operators'!$C$1:$E$10000,3,FALSE)</f>
        <v>BARTLETT</v>
      </c>
      <c r="M83" s="6">
        <f t="shared" si="19"/>
        <v>2.4965277778392192E-2</v>
      </c>
      <c r="N83" s="7">
        <f t="shared" si="33"/>
        <v>35.950000000884756</v>
      </c>
      <c r="O83" s="7"/>
      <c r="P83" s="7"/>
      <c r="Q83" s="23"/>
      <c r="R83" s="23"/>
      <c r="S83" s="35">
        <f t="shared" si="34"/>
        <v>1</v>
      </c>
      <c r="T83" s="50" t="str">
        <f t="shared" si="22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11:53:36-700',mode:absolute,to:'2016-11-16 14:36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3" s="52" t="str">
        <f t="shared" si="23"/>
        <v>N</v>
      </c>
      <c r="X83" s="177">
        <f t="shared" si="35"/>
        <v>1</v>
      </c>
      <c r="Y83" s="67">
        <f t="shared" si="24"/>
        <v>4.5699999999999998E-2</v>
      </c>
      <c r="Z83" s="67">
        <f t="shared" si="25"/>
        <v>23.331700000000001</v>
      </c>
      <c r="AA83" s="67">
        <f t="shared" si="26"/>
        <v>23.286000000000001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27"/>
        <v>0175-16</v>
      </c>
      <c r="AE83" s="91" t="str">
        <f t="shared" si="37"/>
        <v>aws s3 cp s3://rtdc.mdm.uploadarchive.raw/RTDC4009/ "%USERPROFILE%\AppData\Local\Temp\OnboardLogs"\RTDC4009\2016-11-16 --exclude "*" --recursive --include "*20161116*" &amp; "%USERPROFILE%\Documents\GitHub\mrs-test-scripts\Headless Mode &amp; Sideloading\WalkAndUnGZ.bat" "%USERPROFILE%\AppData\Local\Temp\OnboardLogs"\RTDC4009\2016-11-16 &amp; aws s3 cp s3://rtdc.mdm.uploadarchive.raw/RTDC4009/ "%USERPROFILE%\AppData\Local\Temp\OnboardLogs"\RTDC4009\2016-11-17 --exclude "*" --recursive --include "*20161117*" &amp; "%USERPROFILE%\Documents\GitHub\mrs-test-scripts\Headless Mode &amp; Sideloading\WalkAndUnGZ.bat" "%USERPROFILE%\AppData\Local\Temp\OnboardLogs"\RTDC4009\2016-11-17</v>
      </c>
      <c r="AF83" s="88" t="str">
        <f t="shared" si="38"/>
        <v>"C:\Program Files (x86)\AstroGrep\AstroGrep.exe" /spath="%USERPROFILE%\AppData\Local\Temp\OnboardLogs" /stypes="app*4009*20161116*" /stext=" 20:.+((SYSTEM_STATE.+slice.+state.+changed )|(ment ac)|(system.+state.+changed )|(\[timeout)|(PRM\|1\|D)|(kpr)|(kdp)|(\|lc)|(penalty))" /e /r /s</v>
      </c>
      <c r="AG83" s="1" t="str">
        <f t="shared" si="28"/>
        <v>EC</v>
      </c>
      <c r="AH83" s="92" t="str">
        <f t="shared" si="39"/>
        <v>"%USERPROFILE%\Documents\GitHub\eaglep3\Utilities\RefineRTDCRunTimes.py" --tripid 175-16 --locoid 4009 --swversion DE.1.0.8.0 --startMP 204:457 --initTime 2016-11-16T12:53:36 --startdatetime 2016-11-16T13:00:15 --delay 1 --endMP 204:233317 --enddatetime 2016-11-16T13:36:12 --enforcementcount 0 &gt;&gt;C:\Users\stu\Documents\GitHub\eaglep3-reporting\EC\2016-11-16-refined-times.txt</v>
      </c>
      <c r="AI83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{"issue":{"subject":"","project_id":79,"tracker_id":40,"status_id":1,"priority_id":2,"assigned_to_id":23,"start_date":"2016-11-16","description":"","custom_fields":[{"id":1,"name":"Subdivision","value":"EC"},{"id":4,"name":"Milepost","value":"23.3317"},{"id":17,"name":"Train ID","value":"175-16"},{"id":16,"name":"Locomotive ID","value":"4009"},{"id":130,"name":"Impact","value":""},{"id":150,"name":"Time of Event (Mountain Time)","value":"13:36:12"},{"id":151,"name":"Denver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551</v>
      </c>
      <c r="B84" s="7">
        <v>4010</v>
      </c>
      <c r="C84" s="22" t="s">
        <v>222</v>
      </c>
      <c r="D84" s="22" t="s">
        <v>318</v>
      </c>
      <c r="E84" s="13">
        <v>42690.569178240738</v>
      </c>
      <c r="F84" s="13">
        <v>42690.580879629626</v>
      </c>
      <c r="G84" s="7">
        <v>1</v>
      </c>
      <c r="H84" s="22" t="s">
        <v>235</v>
      </c>
      <c r="I84" s="13">
        <v>42690.606828703705</v>
      </c>
      <c r="J84" s="7">
        <v>0</v>
      </c>
      <c r="K84" s="109" t="str">
        <f t="shared" si="18"/>
        <v>4009/4010</v>
      </c>
      <c r="L84" s="22" t="str">
        <f>VLOOKUP(A84,'Trips&amp;Operators'!$C$1:$E$10000,3,FALSE)</f>
        <v>BARTLETT</v>
      </c>
      <c r="M84" s="6">
        <f t="shared" si="19"/>
        <v>2.5949074079107959E-2</v>
      </c>
      <c r="N84" s="7">
        <f t="shared" si="33"/>
        <v>37.366666673915461</v>
      </c>
      <c r="O84" s="7"/>
      <c r="P84" s="7"/>
      <c r="Q84" s="23"/>
      <c r="R84" s="23"/>
      <c r="S84" s="35">
        <f t="shared" si="34"/>
        <v>1</v>
      </c>
      <c r="T84" s="50" t="str">
        <f t="shared" si="22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12:39:37-700',mode:absolute,to:'2016-11-16 15:33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4" s="52" t="str">
        <f t="shared" si="23"/>
        <v>N</v>
      </c>
      <c r="X84" s="177">
        <f t="shared" si="35"/>
        <v>1</v>
      </c>
      <c r="Y84" s="67">
        <f t="shared" si="24"/>
        <v>23.300599999999999</v>
      </c>
      <c r="Z84" s="67">
        <f t="shared" si="25"/>
        <v>1.6E-2</v>
      </c>
      <c r="AA84" s="67">
        <f t="shared" si="26"/>
        <v>23.284600000000001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27"/>
        <v>0176-16</v>
      </c>
      <c r="AE84" s="91" t="str">
        <f t="shared" si="37"/>
        <v>aws s3 cp s3://rtdc.mdm.uploadarchive.raw/RTDC4010/ "%USERPROFILE%\AppData\Local\Temp\OnboardLogs"\RTDC4010\2016-11-16 --exclude "*" --recursive --include "*20161116*" &amp; "%USERPROFILE%\Documents\GitHub\mrs-test-scripts\Headless Mode &amp; Sideloading\WalkAndUnGZ.bat" "%USERPROFILE%\AppData\Local\Temp\OnboardLogs"\RTDC4010\2016-11-16 &amp; aws s3 cp s3://rtdc.mdm.uploadarchive.raw/RTDC4010/ "%USERPROFILE%\AppData\Local\Temp\OnboardLogs"\RTDC4010\2016-11-17 --exclude "*" --recursive --include "*20161117*" &amp; "%USERPROFILE%\Documents\GitHub\mrs-test-scripts\Headless Mode &amp; Sideloading\WalkAndUnGZ.bat" "%USERPROFILE%\AppData\Local\Temp\OnboardLogs"\RTDC4010\2016-11-17</v>
      </c>
      <c r="AF84" s="88" t="str">
        <f t="shared" si="38"/>
        <v>"C:\Program Files (x86)\AstroGrep\AstroGrep.exe" /spath="%USERPROFILE%\AppData\Local\Temp\OnboardLogs" /stypes="app*4010*20161116*" /stext=" 21:.+((SYSTEM_STATE.+slice.+state.+changed )|(ment ac)|(system.+state.+changed )|(\[timeout)|(PRM\|1\|D)|(kpr)|(kdp)|(\|lc)|(penalty))" /e /r /s</v>
      </c>
      <c r="AG84" s="1" t="str">
        <f t="shared" si="28"/>
        <v>EC</v>
      </c>
      <c r="AH84" s="92" t="str">
        <f t="shared" si="39"/>
        <v>"%USERPROFILE%\Documents\GitHub\eaglep3\Utilities\RefineRTDCRunTimes.py" --tripid 176-16 --locoid 4010 --swversion DE.1.0.8.0 --startMP 204:233006 --initTime 2016-11-16T13:39:37 --startdatetime 2016-11-16T13:56:28 --delay 1 --endMP 204:160 --enddatetime 2016-11-16T14:33:50 --enforcementcount 0 &gt;&gt;C:\Users\stu\Documents\GitHub\eaglep3-reporting\EC\2016-11-16-refined-times.txt</v>
      </c>
      <c r="AI84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{"issue":{"subject":"","project_id":79,"tracker_id":40,"status_id":1,"priority_id":2,"assigned_to_id":23,"start_date":"2016-11-16","description":"","custom_fields":[{"id":1,"name":"Subdivision","value":"EC"},{"id":4,"name":"Milepost","value":"0.016"},{"id":17,"name":"Train ID","value":"176-16"},{"id":16,"name":"Locomotive ID","value":"4010"},{"id":130,"name":"Impact","value":""},{"id":150,"name":"Time of Event (Mountain Time)","value":"14:33:50"},{"id":151,"name":"Denver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545</v>
      </c>
      <c r="B85" s="7">
        <v>4007</v>
      </c>
      <c r="C85" s="22" t="s">
        <v>222</v>
      </c>
      <c r="D85" s="22" t="s">
        <v>246</v>
      </c>
      <c r="E85" s="13">
        <v>42690.54755787037</v>
      </c>
      <c r="F85" s="13">
        <v>42690.552546296298</v>
      </c>
      <c r="G85" s="7">
        <v>3</v>
      </c>
      <c r="H85" s="22" t="s">
        <v>360</v>
      </c>
      <c r="I85" s="13">
        <v>42690.578645833331</v>
      </c>
      <c r="J85" s="7">
        <v>0</v>
      </c>
      <c r="K85" s="109" t="str">
        <f t="shared" si="18"/>
        <v>4007/4008</v>
      </c>
      <c r="L85" s="22" t="str">
        <f>VLOOKUP(A85,'Trips&amp;Operators'!$C$1:$E$10000,3,FALSE)</f>
        <v>COOLAHAN</v>
      </c>
      <c r="M85" s="6">
        <f t="shared" si="19"/>
        <v>2.6099537033587694E-2</v>
      </c>
      <c r="N85" s="7">
        <f t="shared" si="33"/>
        <v>37.58333332836628</v>
      </c>
      <c r="O85" s="7"/>
      <c r="P85" s="7"/>
      <c r="Q85" s="23"/>
      <c r="R85" s="23"/>
      <c r="S85" s="35">
        <f t="shared" si="34"/>
        <v>1</v>
      </c>
      <c r="T85" s="50" t="str">
        <f t="shared" si="22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12:08:29-700',mode:absolute,to:'2016-11-16 14:53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5" s="52" t="str">
        <f t="shared" si="23"/>
        <v>N</v>
      </c>
      <c r="X85" s="177">
        <f t="shared" si="35"/>
        <v>1</v>
      </c>
      <c r="Y85" s="67">
        <f t="shared" si="24"/>
        <v>4.3799999999999999E-2</v>
      </c>
      <c r="Z85" s="67">
        <f t="shared" si="25"/>
        <v>23.3309</v>
      </c>
      <c r="AA85" s="67">
        <f t="shared" si="26"/>
        <v>23.287099999999999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27"/>
        <v>0177-16</v>
      </c>
      <c r="AE85" s="91" t="str">
        <f t="shared" si="37"/>
        <v>aws s3 cp s3://rtdc.mdm.uploadarchive.raw/RTDC4007/ "%USERPROFILE%\AppData\Local\Temp\OnboardLogs"\RTDC4007\2016-11-16 --exclude "*" --recursive --include "*20161116*" &amp; "%USERPROFILE%\Documents\GitHub\mrs-test-scripts\Headless Mode &amp; Sideloading\WalkAndUnGZ.bat" "%USERPROFILE%\AppData\Local\Temp\OnboardLogs"\RTDC4007\2016-11-16 &amp; aws s3 cp s3://rtdc.mdm.uploadarchive.raw/RTDC4007/ "%USERPROFILE%\AppData\Local\Temp\OnboardLogs"\RTDC4007\2016-11-17 --exclude "*" --recursive --include "*20161117*" &amp; "%USERPROFILE%\Documents\GitHub\mrs-test-scripts\Headless Mode &amp; Sideloading\WalkAndUnGZ.bat" "%USERPROFILE%\AppData\Local\Temp\OnboardLogs"\RTDC4007\2016-11-17</v>
      </c>
      <c r="AF85" s="88" t="str">
        <f t="shared" si="38"/>
        <v>"C:\Program Files (x86)\AstroGrep\AstroGrep.exe" /spath="%USERPROFILE%\AppData\Local\Temp\OnboardLogs" /stypes="app*4007*20161116*" /stext=" 20:.+((SYSTEM_STATE.+slice.+state.+changed )|(ment ac)|(system.+state.+changed )|(\[timeout)|(PRM\|1\|D)|(kpr)|(kdp)|(\|lc)|(penalty))" /e /r /s</v>
      </c>
      <c r="AG85" s="1" t="str">
        <f t="shared" si="28"/>
        <v>EC</v>
      </c>
      <c r="AH85" s="92" t="str">
        <f t="shared" si="39"/>
        <v>"%USERPROFILE%\Documents\GitHub\eaglep3\Utilities\RefineRTDCRunTimes.py" --tripid 177-16 --locoid 4007 --swversion DE.1.0.8.0 --startMP 204:438 --initTime 2016-11-16T13:08:29 --startdatetime 2016-11-16T13:15:40 --delay 3 --endMP 204:233309 --enddatetime 2016-11-16T13:53:15 --enforcementcount 0 &gt;&gt;C:\Users\stu\Documents\GitHub\eaglep3-reporting\EC\2016-11-16-refined-times.txt</v>
      </c>
      <c r="AI85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{"issue":{"subject":"","project_id":79,"tracker_id":40,"status_id":1,"priority_id":2,"assigned_to_id":23,"start_date":"2016-11-16","description":"","custom_fields":[{"id":1,"name":"Subdivision","value":"EC"},{"id":4,"name":"Milepost","value":"23.3309"},{"id":17,"name":"Train ID","value":"177-16"},{"id":16,"name":"Locomotive ID","value":"4007"},{"id":130,"name":"Impact","value":""},{"id":150,"name":"Time of Event (Mountain Time)","value":"13:53:15"},{"id":151,"name":"Denver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554</v>
      </c>
      <c r="B86" s="7">
        <v>4008</v>
      </c>
      <c r="C86" s="22" t="s">
        <v>222</v>
      </c>
      <c r="D86" s="22" t="s">
        <v>298</v>
      </c>
      <c r="E86" s="13">
        <v>42690.585659722223</v>
      </c>
      <c r="F86" s="13">
        <v>42690.591238425928</v>
      </c>
      <c r="G86" s="7">
        <v>1</v>
      </c>
      <c r="H86" s="22" t="s">
        <v>278</v>
      </c>
      <c r="I86" s="13">
        <v>42690.617430555554</v>
      </c>
      <c r="J86" s="7">
        <v>0</v>
      </c>
      <c r="K86" s="109" t="str">
        <f t="shared" si="18"/>
        <v>4007/4008</v>
      </c>
      <c r="L86" s="22" t="str">
        <f>VLOOKUP(A86,'Trips&amp;Operators'!$C$1:$E$10000,3,FALSE)</f>
        <v>COOLAHAN</v>
      </c>
      <c r="M86" s="6">
        <f t="shared" si="19"/>
        <v>2.619212962599704E-2</v>
      </c>
      <c r="N86" s="7">
        <f t="shared" si="33"/>
        <v>37.716666661435738</v>
      </c>
      <c r="O86" s="7"/>
      <c r="P86" s="7"/>
      <c r="Q86" s="23"/>
      <c r="R86" s="23"/>
      <c r="S86" s="35">
        <f t="shared" si="34"/>
        <v>1</v>
      </c>
      <c r="T86" s="50" t="str">
        <f t="shared" si="22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13:03:21-700',mode:absolute,to:'2016-11-16 15:49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6" s="52" t="str">
        <f t="shared" si="23"/>
        <v>N</v>
      </c>
      <c r="X86" s="177">
        <f t="shared" si="35"/>
        <v>1</v>
      </c>
      <c r="Y86" s="67">
        <f t="shared" si="24"/>
        <v>23.3</v>
      </c>
      <c r="Z86" s="67">
        <f t="shared" si="25"/>
        <v>1.54E-2</v>
      </c>
      <c r="AA86" s="67">
        <f t="shared" si="26"/>
        <v>23.284600000000001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27"/>
        <v>0178-16</v>
      </c>
      <c r="AE86" s="91" t="str">
        <f t="shared" si="37"/>
        <v>aws s3 cp s3://rtdc.mdm.uploadarchive.raw/RTDC4008/ "%USERPROFILE%\AppData\Local\Temp\OnboardLogs"\RTDC4008\2016-11-16 --exclude "*" --recursive --include "*20161116*" &amp; "%USERPROFILE%\Documents\GitHub\mrs-test-scripts\Headless Mode &amp; Sideloading\WalkAndUnGZ.bat" "%USERPROFILE%\AppData\Local\Temp\OnboardLogs"\RTDC4008\2016-11-16 &amp; aws s3 cp s3://rtdc.mdm.uploadarchive.raw/RTDC4008/ "%USERPROFILE%\AppData\Local\Temp\OnboardLogs"\RTDC4008\2016-11-17 --exclude "*" --recursive --include "*20161117*" &amp; "%USERPROFILE%\Documents\GitHub\mrs-test-scripts\Headless Mode &amp; Sideloading\WalkAndUnGZ.bat" "%USERPROFILE%\AppData\Local\Temp\OnboardLogs"\RTDC4008\2016-11-17</v>
      </c>
      <c r="AF86" s="88" t="str">
        <f t="shared" si="38"/>
        <v>"C:\Program Files (x86)\AstroGrep\AstroGrep.exe" /spath="%USERPROFILE%\AppData\Local\Temp\OnboardLogs" /stypes="app*4008*20161116*" /stext=" 21:.+((SYSTEM_STATE.+slice.+state.+changed )|(ment ac)|(system.+state.+changed )|(\[timeout)|(PRM\|1\|D)|(kpr)|(kdp)|(\|lc)|(penalty))" /e /r /s</v>
      </c>
      <c r="AG86" s="1" t="str">
        <f t="shared" si="28"/>
        <v>EC</v>
      </c>
      <c r="AH86" s="92" t="str">
        <f t="shared" si="39"/>
        <v>"%USERPROFILE%\Documents\GitHub\eaglep3\Utilities\RefineRTDCRunTimes.py" --tripid 178-16 --locoid 4008 --swversion DE.1.0.8.0 --startMP 204:233000 --initTime 2016-11-16T14:03:21 --startdatetime 2016-11-16T14:11:23 --delay 1 --endMP 204:154 --enddatetime 2016-11-16T14:49:06 --enforcementcount 0 &gt;&gt;C:\Users\stu\Documents\GitHub\eaglep3-reporting\EC\2016-11-16-refined-times.txt</v>
      </c>
      <c r="AI86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{"issue":{"subject":"","project_id":79,"tracker_id":40,"status_id":1,"priority_id":2,"assigned_to_id":23,"start_date":"2016-11-16","description":"","custom_fields":[{"id":1,"name":"Subdivision","value":"EC"},{"id":4,"name":"Milepost","value":"0.0154"},{"id":17,"name":"Train ID","value":"178-16"},{"id":16,"name":"Locomotive ID","value":"4008"},{"id":130,"name":"Impact","value":""},{"id":150,"name":"Time of Event (Mountain Time)","value":"14:49:06"},{"id":151,"name":"Denver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548</v>
      </c>
      <c r="B87" s="7">
        <v>4022</v>
      </c>
      <c r="C87" s="22" t="s">
        <v>222</v>
      </c>
      <c r="D87" s="22" t="s">
        <v>219</v>
      </c>
      <c r="E87" s="13">
        <v>42690.559814814813</v>
      </c>
      <c r="F87" s="13">
        <v>42690.562800925924</v>
      </c>
      <c r="G87" s="7">
        <v>1</v>
      </c>
      <c r="H87" s="22" t="s">
        <v>233</v>
      </c>
      <c r="I87" s="13">
        <v>42690.587314814817</v>
      </c>
      <c r="J87" s="7">
        <v>0</v>
      </c>
      <c r="K87" s="109" t="str">
        <f t="shared" ref="K87:K149" si="41">IF(ISEVEN(B87),(B87-1)&amp;"/"&amp;B87,B87&amp;"/"&amp;(B87+1))</f>
        <v>4021/4022</v>
      </c>
      <c r="L87" s="22" t="str">
        <f>VLOOKUP(A87,'Trips&amp;Operators'!$C$1:$E$10000,3,FALSE)</f>
        <v>ADANE</v>
      </c>
      <c r="M87" s="6">
        <f t="shared" ref="M87:M149" si="42">I87-F87</f>
        <v>2.4513888893125113E-2</v>
      </c>
      <c r="N87" s="7">
        <f t="shared" ref="N87:N113" si="43">24*60*SUM($M87:$M87)</f>
        <v>35.300000006100163</v>
      </c>
      <c r="O87" s="7"/>
      <c r="P87" s="7"/>
      <c r="Q87" s="23"/>
      <c r="R87" s="23"/>
      <c r="S87" s="35">
        <f t="shared" ref="S87:S117" si="44">SUM(U87:U87)/IF(AG87="EC",12,1)</f>
        <v>1</v>
      </c>
      <c r="T87" s="50" t="str">
        <f t="shared" ref="T87:T149" si="45">IF(ISEVEN(LEFT(AD87,4)),"Southbound","NorthBound")</f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12:26:08-700',mode:absolute,to:'2016-11-16 15:05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87" s="52" t="str">
        <f t="shared" ref="W87:W149" si="46">IF(AA87&lt;IF(AG87="EC",23,5.65),"Y","N")</f>
        <v>N</v>
      </c>
      <c r="X87" s="177">
        <f t="shared" si="35"/>
        <v>1</v>
      </c>
      <c r="Y87" s="67">
        <f t="shared" ref="Y87:Y149" si="47">RIGHT(D87,LEN(D87)-4)/10000</f>
        <v>4.5699999999999998E-2</v>
      </c>
      <c r="Z87" s="67">
        <f t="shared" ref="Z87:Z149" si="48">RIGHT(H87,LEN(H87)-4)/10000</f>
        <v>23.3306</v>
      </c>
      <c r="AA87" s="67">
        <f t="shared" ref="AA87:AA149" si="49">ABS(Z87-Y87)</f>
        <v>23.2849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ref="AD87:AD149" si="50">IF(LEN(A87)=6,"0"&amp;A87,A87)</f>
        <v>0179-16</v>
      </c>
      <c r="AE87" s="91" t="str">
        <f t="shared" si="37"/>
        <v>aws s3 cp s3://rtdc.mdm.uploadarchive.raw/RTDC4022/ "%USERPROFILE%\AppData\Local\Temp\OnboardLogs"\RTDC4022\2016-11-16 --exclude "*" --recursive --include "*20161116*" &amp; "%USERPROFILE%\Documents\GitHub\mrs-test-scripts\Headless Mode &amp; Sideloading\WalkAndUnGZ.bat" "%USERPROFILE%\AppData\Local\Temp\OnboardLogs"\RTDC4022\2016-11-16 &amp; aws s3 cp s3://rtdc.mdm.uploadarchive.raw/RTDC4022/ "%USERPROFILE%\AppData\Local\Temp\OnboardLogs"\RTDC4022\2016-11-17 --exclude "*" --recursive --include "*20161117*" &amp; "%USERPROFILE%\Documents\GitHub\mrs-test-scripts\Headless Mode &amp; Sideloading\WalkAndUnGZ.bat" "%USERPROFILE%\AppData\Local\Temp\OnboardLogs"\RTDC4022\2016-11-17</v>
      </c>
      <c r="AF87" s="88" t="str">
        <f t="shared" si="38"/>
        <v>"C:\Program Files (x86)\AstroGrep\AstroGrep.exe" /spath="%USERPROFILE%\AppData\Local\Temp\OnboardLogs" /stypes="app*4022*20161116*" /stext=" 21:.+((SYSTEM_STATE.+slice.+state.+changed )|(ment ac)|(system.+state.+changed )|(\[timeout)|(PRM\|1\|D)|(kpr)|(kdp)|(\|lc)|(penalty))" /e /r /s</v>
      </c>
      <c r="AG87" s="1" t="str">
        <f t="shared" ref="AG87:AG149" si="51">IFERROR(IF(VALUE(LEFT(AD87,2))&lt;=2,"EC",IF(OR(VALUE(LEFT(AD87,2))=8,VALUE(LEFT(AD87,2))=18),"NW","Other")),"Other")</f>
        <v>EC</v>
      </c>
      <c r="AH87" s="92" t="str">
        <f t="shared" si="39"/>
        <v>"%USERPROFILE%\Documents\GitHub\eaglep3\Utilities\RefineRTDCRunTimes.py" --tripid 179-16 --locoid 4022 --swversion DE.1.0.8.0 --startMP 204:457 --initTime 2016-11-16T13:26:08 --startdatetime 2016-11-16T13:30:26 --delay 1 --endMP 204:233306 --enddatetime 2016-11-16T14:05:44 --enforcementcount 0 &gt;&gt;C:\Users\stu\Documents\GitHub\eaglep3-reporting\EC\2016-11-16-refined-times.txt</v>
      </c>
      <c r="AI87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{"issue":{"subject":"","project_id":79,"tracker_id":40,"status_id":1,"priority_id":2,"assigned_to_id":23,"start_date":"2016-11-16","description":"","custom_fields":[{"id":1,"name":"Subdivision","value":"EC"},{"id":4,"name":"Milepost","value":"23.3306"},{"id":17,"name":"Train ID","value":"179-16"},{"id":16,"name":"Locomotive ID","value":"4022"},{"id":130,"name":"Impact","value":""},{"id":150,"name":"Time of Event (Mountain Time)","value":"14:05:44"},{"id":151,"name":"Denver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428</v>
      </c>
      <c r="B88" s="7">
        <v>4021</v>
      </c>
      <c r="C88" s="22" t="s">
        <v>222</v>
      </c>
      <c r="D88" s="22" t="s">
        <v>292</v>
      </c>
      <c r="E88" s="13">
        <v>42690.588518518518</v>
      </c>
      <c r="F88" s="13">
        <v>42690.602233796293</v>
      </c>
      <c r="G88" s="7">
        <v>1</v>
      </c>
      <c r="H88" s="22" t="s">
        <v>235</v>
      </c>
      <c r="I88" s="13">
        <v>42690.627268518518</v>
      </c>
      <c r="J88" s="7">
        <v>0</v>
      </c>
      <c r="K88" s="109" t="str">
        <f t="shared" si="41"/>
        <v>4021/4022</v>
      </c>
      <c r="L88" s="22" t="str">
        <f>VLOOKUP(A88,'Trips&amp;Operators'!$C$1:$E$10000,3,FALSE)</f>
        <v>ADANE</v>
      </c>
      <c r="M88" s="6">
        <f t="shared" si="42"/>
        <v>2.5034722224518191E-2</v>
      </c>
      <c r="N88" s="7">
        <f t="shared" si="43"/>
        <v>36.050000003306195</v>
      </c>
      <c r="O88" s="7"/>
      <c r="P88" s="7"/>
      <c r="Q88" s="23"/>
      <c r="R88" s="23"/>
      <c r="S88" s="35">
        <f t="shared" si="44"/>
        <v>1</v>
      </c>
      <c r="T88" s="50" t="str">
        <f t="shared" si="45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13:07:28-700',mode:absolute,to:'2016-11-16 16:03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88" s="52" t="str">
        <f t="shared" si="46"/>
        <v>N</v>
      </c>
      <c r="X88" s="177">
        <f t="shared" si="35"/>
        <v>1</v>
      </c>
      <c r="Y88" s="67">
        <f t="shared" si="47"/>
        <v>23.2989</v>
      </c>
      <c r="Z88" s="67">
        <f t="shared" si="48"/>
        <v>1.6E-2</v>
      </c>
      <c r="AA88" s="67">
        <f t="shared" si="49"/>
        <v>23.282900000000001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50"/>
        <v>0180-16</v>
      </c>
      <c r="AE88" s="91" t="str">
        <f t="shared" si="37"/>
        <v>aws s3 cp s3://rtdc.mdm.uploadarchive.raw/RTDC4021/ "%USERPROFILE%\AppData\Local\Temp\OnboardLogs"\RTDC4021\2016-11-16 --exclude "*" --recursive --include "*20161116*" &amp; "%USERPROFILE%\Documents\GitHub\mrs-test-scripts\Headless Mode &amp; Sideloading\WalkAndUnGZ.bat" "%USERPROFILE%\AppData\Local\Temp\OnboardLogs"\RTDC4021\2016-11-16 &amp; aws s3 cp s3://rtdc.mdm.uploadarchive.raw/RTDC4021/ "%USERPROFILE%\AppData\Local\Temp\OnboardLogs"\RTDC4021\2016-11-17 --exclude "*" --recursive --include "*20161117*" &amp; "%USERPROFILE%\Documents\GitHub\mrs-test-scripts\Headless Mode &amp; Sideloading\WalkAndUnGZ.bat" "%USERPROFILE%\AppData\Local\Temp\OnboardLogs"\RTDC4021\2016-11-17</v>
      </c>
      <c r="AF88" s="88" t="str">
        <f t="shared" si="38"/>
        <v>"C:\Program Files (x86)\AstroGrep\AstroGrep.exe" /spath="%USERPROFILE%\AppData\Local\Temp\OnboardLogs" /stypes="app*4021*20161116*" /stext=" 22:.+((SYSTEM_STATE.+slice.+state.+changed )|(ment ac)|(system.+state.+changed )|(\[timeout)|(PRM\|1\|D)|(kpr)|(kdp)|(\|lc)|(penalty))" /e /r /s</v>
      </c>
      <c r="AG88" s="1" t="str">
        <f t="shared" si="51"/>
        <v>EC</v>
      </c>
      <c r="AH88" s="92" t="str">
        <f t="shared" si="39"/>
        <v>"%USERPROFILE%\Documents\GitHub\eaglep3\Utilities\RefineRTDCRunTimes.py" --tripid 180-16 --locoid 4021 --swversion DE.1.0.8.0 --startMP 204:232989 --initTime 2016-11-16T14:07:28 --startdatetime 2016-11-16T14:27:13 --delay 1 --endMP 204:160 --enddatetime 2016-11-16T15:03:16 --enforcementcount 0 &gt;&gt;C:\Users\stu\Documents\GitHub\eaglep3-reporting\EC\2016-11-16-refined-times.txt</v>
      </c>
      <c r="AI88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{"issue":{"subject":"","project_id":79,"tracker_id":40,"status_id":1,"priority_id":2,"assigned_to_id":23,"start_date":"2016-11-16","description":"","custom_fields":[{"id":1,"name":"Subdivision","value":"EC"},{"id":4,"name":"Milepost","value":"0.016"},{"id":17,"name":"Train ID","value":"180-16"},{"id":16,"name":"Locomotive ID","value":"4021"},{"id":130,"name":"Impact","value":""},{"id":150,"name":"Time of Event (Mountain Time)","value":"15:03:16"},{"id":151,"name":"Denver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550</v>
      </c>
      <c r="B89" s="7">
        <v>4016</v>
      </c>
      <c r="C89" s="22" t="s">
        <v>222</v>
      </c>
      <c r="D89" s="22" t="s">
        <v>654</v>
      </c>
      <c r="E89" s="13">
        <v>42690.567233796297</v>
      </c>
      <c r="F89" s="13">
        <v>42690.573078703703</v>
      </c>
      <c r="G89" s="7">
        <v>1</v>
      </c>
      <c r="H89" s="22" t="s">
        <v>674</v>
      </c>
      <c r="I89" s="13">
        <v>42690.598020833335</v>
      </c>
      <c r="J89" s="7">
        <v>0</v>
      </c>
      <c r="K89" s="109" t="str">
        <f t="shared" si="41"/>
        <v>4015/4016</v>
      </c>
      <c r="L89" s="22" t="str">
        <f>VLOOKUP(A89,'Trips&amp;Operators'!$C$1:$E$10000,3,FALSE)</f>
        <v>BERLING</v>
      </c>
      <c r="M89" s="6">
        <f t="shared" si="42"/>
        <v>2.4942129632108845E-2</v>
      </c>
      <c r="N89" s="7">
        <f t="shared" si="43"/>
        <v>35.916666670236737</v>
      </c>
      <c r="O89" s="7"/>
      <c r="P89" s="7"/>
      <c r="Q89" s="23"/>
      <c r="R89" s="23"/>
      <c r="S89" s="35">
        <f t="shared" si="44"/>
        <v>1</v>
      </c>
      <c r="T89" s="50" t="str">
        <f t="shared" si="45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12:36:49-700',mode:absolute,to:'2016-11-16 15:21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9" s="52" t="str">
        <f t="shared" si="46"/>
        <v>N</v>
      </c>
      <c r="X89" s="177">
        <f t="shared" si="35"/>
        <v>1</v>
      </c>
      <c r="Y89" s="67">
        <f t="shared" si="47"/>
        <v>4.3700000000000003E-2</v>
      </c>
      <c r="Z89" s="67">
        <f t="shared" si="48"/>
        <v>23.334499999999998</v>
      </c>
      <c r="AA89" s="67">
        <f t="shared" si="49"/>
        <v>23.290799999999997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50"/>
        <v>0181-16</v>
      </c>
      <c r="AE89" s="91" t="str">
        <f t="shared" si="37"/>
        <v>aws s3 cp s3://rtdc.mdm.uploadarchive.raw/RTDC4016/ "%USERPROFILE%\AppData\Local\Temp\OnboardLogs"\RTDC4016\2016-11-16 --exclude "*" --recursive --include "*20161116*" &amp; "%USERPROFILE%\Documents\GitHub\mrs-test-scripts\Headless Mode &amp; Sideloading\WalkAndUnGZ.bat" "%USERPROFILE%\AppData\Local\Temp\OnboardLogs"\RTDC4016\2016-11-16 &amp; aws s3 cp s3://rtdc.mdm.uploadarchive.raw/RTDC4016/ "%USERPROFILE%\AppData\Local\Temp\OnboardLogs"\RTDC4016\2016-11-17 --exclude "*" --recursive --include "*20161117*" &amp; "%USERPROFILE%\Documents\GitHub\mrs-test-scripts\Headless Mode &amp; Sideloading\WalkAndUnGZ.bat" "%USERPROFILE%\AppData\Local\Temp\OnboardLogs"\RTDC4016\2016-11-17</v>
      </c>
      <c r="AF89" s="88" t="str">
        <f t="shared" si="38"/>
        <v>"C:\Program Files (x86)\AstroGrep\AstroGrep.exe" /spath="%USERPROFILE%\AppData\Local\Temp\OnboardLogs" /stypes="app*4016*20161116*" /stext=" 21:.+((SYSTEM_STATE.+slice.+state.+changed )|(ment ac)|(system.+state.+changed )|(\[timeout)|(PRM\|1\|D)|(kpr)|(kdp)|(\|lc)|(penalty))" /e /r /s</v>
      </c>
      <c r="AG89" s="1" t="str">
        <f t="shared" si="51"/>
        <v>EC</v>
      </c>
      <c r="AH89" s="92" t="str">
        <f t="shared" si="39"/>
        <v>"%USERPROFILE%\Documents\GitHub\eaglep3\Utilities\RefineRTDCRunTimes.py" --tripid 181-16 --locoid 4016 --swversion DE.1.0.8.0 --startMP 204:437 --initTime 2016-11-16T13:36:49 --startdatetime 2016-11-16T13:45:14 --delay 1 --endMP 204:233345 --enddatetime 2016-11-16T14:21:09 --enforcementcount 0 &gt;&gt;C:\Users\stu\Documents\GitHub\eaglep3-reporting\EC\2016-11-16-refined-times.txt</v>
      </c>
      <c r="AI89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{"issue":{"subject":"","project_id":79,"tracker_id":40,"status_id":1,"priority_id":2,"assigned_to_id":23,"start_date":"2016-11-16","description":"","custom_fields":[{"id":1,"name":"Subdivision","value":"EC"},{"id":4,"name":"Milepost","value":"23.3345"},{"id":17,"name":"Train ID","value":"181-16"},{"id":16,"name":"Locomotive ID","value":"4016"},{"id":130,"name":"Impact","value":""},{"id":150,"name":"Time of Event (Mountain Time)","value":"14:21:09"},{"id":151,"name":"Denver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557</v>
      </c>
      <c r="B90" s="7">
        <v>4015</v>
      </c>
      <c r="C90" s="22" t="s">
        <v>222</v>
      </c>
      <c r="D90" s="22" t="s">
        <v>675</v>
      </c>
      <c r="E90" s="13">
        <v>42690.604027777779</v>
      </c>
      <c r="F90" s="13">
        <v>42690.612118055556</v>
      </c>
      <c r="G90" s="7">
        <v>1</v>
      </c>
      <c r="H90" s="22" t="s">
        <v>283</v>
      </c>
      <c r="I90" s="13">
        <v>42690.63894675926</v>
      </c>
      <c r="J90" s="7">
        <v>0</v>
      </c>
      <c r="K90" s="109" t="str">
        <f t="shared" si="41"/>
        <v>4015/4016</v>
      </c>
      <c r="L90" s="22" t="str">
        <f>VLOOKUP(A90,'Trips&amp;Operators'!$C$1:$E$10000,3,FALSE)</f>
        <v>BERLING</v>
      </c>
      <c r="M90" s="6">
        <f t="shared" si="42"/>
        <v>2.6828703703358769E-2</v>
      </c>
      <c r="N90" s="7">
        <f t="shared" si="43"/>
        <v>38.633333332836628</v>
      </c>
      <c r="O90" s="7"/>
      <c r="P90" s="7"/>
      <c r="Q90" s="23"/>
      <c r="R90" s="23"/>
      <c r="S90" s="35">
        <f t="shared" si="44"/>
        <v>1</v>
      </c>
      <c r="T90" s="50" t="str">
        <f t="shared" si="45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13:29:48-700',mode:absolute,to:'2016-11-16 16:20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0" s="52" t="str">
        <f t="shared" si="46"/>
        <v>N</v>
      </c>
      <c r="X90" s="177">
        <f t="shared" si="35"/>
        <v>1</v>
      </c>
      <c r="Y90" s="67">
        <f t="shared" si="47"/>
        <v>23.302800000000001</v>
      </c>
      <c r="Z90" s="67">
        <f t="shared" si="48"/>
        <v>1.41E-2</v>
      </c>
      <c r="AA90" s="67">
        <f t="shared" si="49"/>
        <v>23.288700000000002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50"/>
        <v>0182-16</v>
      </c>
      <c r="AE90" s="91" t="str">
        <f t="shared" si="37"/>
        <v>aws s3 cp s3://rtdc.mdm.uploadarchive.raw/RTDC4015/ "%USERPROFILE%\AppData\Local\Temp\OnboardLogs"\RTDC4015\2016-11-16 --exclude "*" --recursive --include "*20161116*" &amp; "%USERPROFILE%\Documents\GitHub\mrs-test-scripts\Headless Mode &amp; Sideloading\WalkAndUnGZ.bat" "%USERPROFILE%\AppData\Local\Temp\OnboardLogs"\RTDC4015\2016-11-16 &amp; aws s3 cp s3://rtdc.mdm.uploadarchive.raw/RTDC4015/ "%USERPROFILE%\AppData\Local\Temp\OnboardLogs"\RTDC4015\2016-11-17 --exclude "*" --recursive --include "*20161117*" &amp; "%USERPROFILE%\Documents\GitHub\mrs-test-scripts\Headless Mode &amp; Sideloading\WalkAndUnGZ.bat" "%USERPROFILE%\AppData\Local\Temp\OnboardLogs"\RTDC4015\2016-11-17</v>
      </c>
      <c r="AF90" s="88" t="str">
        <f t="shared" si="38"/>
        <v>"C:\Program Files (x86)\AstroGrep\AstroGrep.exe" /spath="%USERPROFILE%\AppData\Local\Temp\OnboardLogs" /stypes="app*4015*20161116*" /stext=" 22:.+((SYSTEM_STATE.+slice.+state.+changed )|(ment ac)|(system.+state.+changed )|(\[timeout)|(PRM\|1\|D)|(kpr)|(kdp)|(\|lc)|(penalty))" /e /r /s</v>
      </c>
      <c r="AG90" s="1" t="str">
        <f t="shared" si="51"/>
        <v>EC</v>
      </c>
      <c r="AH90" s="92" t="str">
        <f t="shared" si="39"/>
        <v>"%USERPROFILE%\Documents\GitHub\eaglep3\Utilities\RefineRTDCRunTimes.py" --tripid 182-16 --locoid 4015 --swversion DE.1.0.8.0 --startMP 204:233028 --initTime 2016-11-16T14:29:48 --startdatetime 2016-11-16T14:41:27 --delay 1 --endMP 204:141 --enddatetime 2016-11-16T15:20:05 --enforcementcount 0 &gt;&gt;C:\Users\stu\Documents\GitHub\eaglep3-reporting\EC\2016-11-16-refined-times.txt</v>
      </c>
      <c r="AI90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{"issue":{"subject":"","project_id":79,"tracker_id":40,"status_id":1,"priority_id":2,"assigned_to_id":23,"start_date":"2016-11-16","description":"","custom_fields":[{"id":1,"name":"Subdivision","value":"EC"},{"id":4,"name":"Milepost","value":"0.0141"},{"id":17,"name":"Train ID","value":"182-16"},{"id":16,"name":"Locomotive ID","value":"4015"},{"id":130,"name":"Impact","value":""},{"id":150,"name":"Time of Event (Mountain Time)","value":"15:20:05"},{"id":151,"name":"Denver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552</v>
      </c>
      <c r="B91" s="7">
        <v>4044</v>
      </c>
      <c r="C91" s="22" t="s">
        <v>222</v>
      </c>
      <c r="D91" s="22" t="s">
        <v>676</v>
      </c>
      <c r="E91" s="13">
        <v>42690.57707175926</v>
      </c>
      <c r="F91" s="13">
        <v>42690.584004629629</v>
      </c>
      <c r="G91" s="7">
        <v>2</v>
      </c>
      <c r="H91" s="22" t="s">
        <v>677</v>
      </c>
      <c r="I91" s="13">
        <v>42690.608437499999</v>
      </c>
      <c r="J91" s="7">
        <v>0</v>
      </c>
      <c r="K91" s="109" t="str">
        <f t="shared" si="41"/>
        <v>4043/4044</v>
      </c>
      <c r="L91" s="22" t="str">
        <f>VLOOKUP(A91,'Trips&amp;Operators'!$C$1:$E$10000,3,FALSE)</f>
        <v>HILLS</v>
      </c>
      <c r="M91" s="6">
        <f t="shared" si="42"/>
        <v>2.4432870370219462E-2</v>
      </c>
      <c r="N91" s="7">
        <f t="shared" si="43"/>
        <v>35.183333333116025</v>
      </c>
      <c r="O91" s="7"/>
      <c r="P91" s="7"/>
      <c r="Q91" s="23"/>
      <c r="R91" s="23"/>
      <c r="S91" s="35">
        <f t="shared" si="44"/>
        <v>1</v>
      </c>
      <c r="T91" s="50" t="str">
        <f t="shared" si="45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12:50:59-700',mode:absolute,to:'2016-11-16 15:36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1" s="52" t="str">
        <f t="shared" si="46"/>
        <v>N</v>
      </c>
      <c r="X91" s="177">
        <f t="shared" si="35"/>
        <v>1</v>
      </c>
      <c r="Y91" s="67">
        <f t="shared" si="47"/>
        <v>4.02E-2</v>
      </c>
      <c r="Z91" s="67">
        <f t="shared" si="48"/>
        <v>23.34</v>
      </c>
      <c r="AA91" s="67">
        <f t="shared" si="49"/>
        <v>23.299800000000001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50"/>
        <v>0183-16</v>
      </c>
      <c r="AE91" s="91" t="str">
        <f t="shared" si="37"/>
        <v>aws s3 cp s3://rtdc.mdm.uploadarchive.raw/RTDC4044/ "%USERPROFILE%\AppData\Local\Temp\OnboardLogs"\RTDC4044\2016-11-16 --exclude "*" --recursive --include "*20161116*" &amp; "%USERPROFILE%\Documents\GitHub\mrs-test-scripts\Headless Mode &amp; Sideloading\WalkAndUnGZ.bat" "%USERPROFILE%\AppData\Local\Temp\OnboardLogs"\RTDC4044\2016-11-16 &amp; aws s3 cp s3://rtdc.mdm.uploadarchive.raw/RTDC4044/ "%USERPROFILE%\AppData\Local\Temp\OnboardLogs"\RTDC4044\2016-11-17 --exclude "*" --recursive --include "*20161117*" &amp; "%USERPROFILE%\Documents\GitHub\mrs-test-scripts\Headless Mode &amp; Sideloading\WalkAndUnGZ.bat" "%USERPROFILE%\AppData\Local\Temp\OnboardLogs"\RTDC4044\2016-11-17</v>
      </c>
      <c r="AF91" s="88" t="str">
        <f t="shared" si="38"/>
        <v>"C:\Program Files (x86)\AstroGrep\AstroGrep.exe" /spath="%USERPROFILE%\AppData\Local\Temp\OnboardLogs" /stypes="app*4044*20161116*" /stext=" 21:.+((SYSTEM_STATE.+slice.+state.+changed )|(ment ac)|(system.+state.+changed )|(\[timeout)|(PRM\|1\|D)|(kpr)|(kdp)|(\|lc)|(penalty))" /e /r /s</v>
      </c>
      <c r="AG91" s="1" t="str">
        <f t="shared" si="51"/>
        <v>EC</v>
      </c>
      <c r="AH91" s="92" t="str">
        <f t="shared" si="39"/>
        <v>"%USERPROFILE%\Documents\GitHub\eaglep3\Utilities\RefineRTDCRunTimes.py" --tripid 183-16 --locoid 4044 --swversion DE.1.0.8.0 --startMP 204:402 --initTime 2016-11-16T13:50:59 --startdatetime 2016-11-16T14:00:58 --delay 2 --endMP 204:233400 --enddatetime 2016-11-16T14:36:09 --enforcementcount 0 &gt;&gt;C:\Users\stu\Documents\GitHub\eaglep3-reporting\EC\2016-11-16-refined-times.txt</v>
      </c>
      <c r="AI91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{"issue":{"subject":"","project_id":79,"tracker_id":40,"status_id":1,"priority_id":2,"assigned_to_id":23,"start_date":"2016-11-16","description":"","custom_fields":[{"id":1,"name":"Subdivision","value":"EC"},{"id":4,"name":"Milepost","value":"23.34"},{"id":17,"name":"Train ID","value":"183-16"},{"id":16,"name":"Locomotive ID","value":"4044"},{"id":130,"name":"Impact","value":""},{"id":150,"name":"Time of Event (Mountain Time)","value":"14:36:09"},{"id":151,"name":"Denver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433</v>
      </c>
      <c r="B92" s="7">
        <v>4043</v>
      </c>
      <c r="C92" s="22" t="s">
        <v>222</v>
      </c>
      <c r="D92" s="22" t="s">
        <v>678</v>
      </c>
      <c r="E92" s="13">
        <v>42690.609756944446</v>
      </c>
      <c r="F92" s="13">
        <v>42690.622418981482</v>
      </c>
      <c r="G92" s="7">
        <v>1</v>
      </c>
      <c r="H92" s="22">
        <v>8.5409722222222211</v>
      </c>
      <c r="I92" s="13">
        <v>42690.648912037039</v>
      </c>
      <c r="J92" s="7">
        <v>0</v>
      </c>
      <c r="K92" s="109" t="str">
        <f t="shared" si="41"/>
        <v>4043/4044</v>
      </c>
      <c r="L92" s="22" t="str">
        <f>VLOOKUP(A92,'Trips&amp;Operators'!$C$1:$E$10000,3,FALSE)</f>
        <v>HILLS</v>
      </c>
      <c r="M92" s="6">
        <f t="shared" si="42"/>
        <v>2.6493055556784384E-2</v>
      </c>
      <c r="N92" s="7">
        <f t="shared" si="43"/>
        <v>38.150000001769513</v>
      </c>
      <c r="O92" s="7"/>
      <c r="P92" s="7"/>
      <c r="Q92" s="23"/>
      <c r="R92" s="23"/>
      <c r="S92" s="35">
        <f t="shared" si="44"/>
        <v>0</v>
      </c>
      <c r="T92" s="50" t="str">
        <f t="shared" si="45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0</v>
      </c>
      <c r="V92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13:38:03-700',mode:absolute,to:'2016-11-16 16:34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2" s="52" t="str">
        <f t="shared" si="46"/>
        <v>N</v>
      </c>
      <c r="X92" s="177">
        <f t="shared" si="35"/>
        <v>1</v>
      </c>
      <c r="Y92" s="67">
        <f t="shared" si="47"/>
        <v>23.3093</v>
      </c>
      <c r="Z92" s="67">
        <f t="shared" si="48"/>
        <v>9722222.2222000007</v>
      </c>
      <c r="AA92" s="67">
        <f t="shared" si="49"/>
        <v>9722198.9129000008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50"/>
        <v>0184-16</v>
      </c>
      <c r="AE92" s="91" t="str">
        <f t="shared" si="37"/>
        <v>aws s3 cp s3://rtdc.mdm.uploadarchive.raw/RTDC4043/ "%USERPROFILE%\AppData\Local\Temp\OnboardLogs"\RTDC4043\2016-11-16 --exclude "*" --recursive --include "*20161116*" &amp; "%USERPROFILE%\Documents\GitHub\mrs-test-scripts\Headless Mode &amp; Sideloading\WalkAndUnGZ.bat" "%USERPROFILE%\AppData\Local\Temp\OnboardLogs"\RTDC4043\2016-11-16 &amp; aws s3 cp s3://rtdc.mdm.uploadarchive.raw/RTDC4043/ "%USERPROFILE%\AppData\Local\Temp\OnboardLogs"\RTDC4043\2016-11-17 --exclude "*" --recursive --include "*20161117*" &amp; "%USERPROFILE%\Documents\GitHub\mrs-test-scripts\Headless Mode &amp; Sideloading\WalkAndUnGZ.bat" "%USERPROFILE%\AppData\Local\Temp\OnboardLogs"\RTDC4043\2016-11-17</v>
      </c>
      <c r="AF92" s="88" t="str">
        <f t="shared" si="38"/>
        <v>"C:\Program Files (x86)\AstroGrep\AstroGrep.exe" /spath="%USERPROFILE%\AppData\Local\Temp\OnboardLogs" /stypes="app*4043*20161116*" /stext=" 22:.+((SYSTEM_STATE.+slice.+state.+changed )|(ment ac)|(system.+state.+changed )|(\[timeout)|(PRM\|1\|D)|(kpr)|(kdp)|(\|lc)|(penalty))" /e /r /s</v>
      </c>
      <c r="AG92" s="1" t="str">
        <f t="shared" si="51"/>
        <v>EC</v>
      </c>
      <c r="AH92" s="92" t="str">
        <f t="shared" si="39"/>
        <v>"%USERPROFILE%\Documents\GitHub\eaglep3\Utilities\RefineRTDCRunTimes.py" --tripid 184-16 --locoid 4043 --swversion DE.1.0.8.0 --startMP 204:233093 --initTime 2016-11-16T14:38:03 --startdatetime 2016-11-16T14:56:17 --delay 1 --endMP 8.54097222222222 --enddatetime 2016-11-16T15:34:26 --enforcementcount 0 &gt;&gt;C:\Users\stu\Documents\GitHub\eaglep3-reporting\EC\2016-11-16-refined-times.txt</v>
      </c>
      <c r="AI92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9722222.2222"},{"id":17,"name":"Train ID","value":"184-16"},{"id":16,"name":"Locomotive ID","value":"4043"},{"id":130,"name":"Impact","value":""},{"id":150,"name":"Time of Event (Mountain Time)","value":"15:34:26"},{"id":151,"name":"Denver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555</v>
      </c>
      <c r="B93" s="7">
        <v>4029</v>
      </c>
      <c r="C93" s="22" t="s">
        <v>222</v>
      </c>
      <c r="D93" s="22" t="s">
        <v>320</v>
      </c>
      <c r="E93" s="13">
        <v>42690.588773148149</v>
      </c>
      <c r="F93" s="13">
        <v>42690.593946759262</v>
      </c>
      <c r="G93" s="7">
        <v>1</v>
      </c>
      <c r="H93" s="22" t="s">
        <v>291</v>
      </c>
      <c r="I93" s="13">
        <v>42690.619988425926</v>
      </c>
      <c r="J93" s="7">
        <v>0</v>
      </c>
      <c r="K93" s="109" t="str">
        <f t="shared" si="41"/>
        <v>4029/4030</v>
      </c>
      <c r="L93" s="22" t="str">
        <f>VLOOKUP(A93,'Trips&amp;Operators'!$C$1:$E$10000,3,FALSE)</f>
        <v>NICHOLSON</v>
      </c>
      <c r="M93" s="6">
        <f t="shared" si="42"/>
        <v>2.6041666664241347E-2</v>
      </c>
      <c r="N93" s="7">
        <f t="shared" si="43"/>
        <v>37.49999999650754</v>
      </c>
      <c r="O93" s="7"/>
      <c r="P93" s="7"/>
      <c r="Q93" s="23"/>
      <c r="R93" s="23"/>
      <c r="S93" s="35">
        <f t="shared" si="44"/>
        <v>1</v>
      </c>
      <c r="T93" s="50" t="str">
        <f t="shared" si="45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13:07:50-700',mode:absolute,to:'2016-11-16 15:52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3" s="52" t="str">
        <f t="shared" si="46"/>
        <v>N</v>
      </c>
      <c r="X93" s="177">
        <f t="shared" si="35"/>
        <v>1</v>
      </c>
      <c r="Y93" s="67">
        <f t="shared" si="47"/>
        <v>4.3999999999999997E-2</v>
      </c>
      <c r="Z93" s="67">
        <f t="shared" si="48"/>
        <v>23.330100000000002</v>
      </c>
      <c r="AA93" s="67">
        <f t="shared" si="49"/>
        <v>23.286100000000001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50"/>
        <v>0185-16</v>
      </c>
      <c r="AE93" s="91" t="str">
        <f t="shared" si="37"/>
        <v>aws s3 cp s3://rtdc.mdm.uploadarchive.raw/RTDC4029/ "%USERPROFILE%\AppData\Local\Temp\OnboardLogs"\RTDC4029\2016-11-16 --exclude "*" --recursive --include "*20161116*" &amp; "%USERPROFILE%\Documents\GitHub\mrs-test-scripts\Headless Mode &amp; Sideloading\WalkAndUnGZ.bat" "%USERPROFILE%\AppData\Local\Temp\OnboardLogs"\RTDC4029\2016-11-16 &amp; aws s3 cp s3://rtdc.mdm.uploadarchive.raw/RTDC4029/ "%USERPROFILE%\AppData\Local\Temp\OnboardLogs"\RTDC4029\2016-11-17 --exclude "*" --recursive --include "*20161117*" &amp; "%USERPROFILE%\Documents\GitHub\mrs-test-scripts\Headless Mode &amp; Sideloading\WalkAndUnGZ.bat" "%USERPROFILE%\AppData\Local\Temp\OnboardLogs"\RTDC4029\2016-11-17</v>
      </c>
      <c r="AF93" s="88" t="str">
        <f t="shared" si="38"/>
        <v>"C:\Program Files (x86)\AstroGrep\AstroGrep.exe" /spath="%USERPROFILE%\AppData\Local\Temp\OnboardLogs" /stypes="app*4029*20161116*" /stext=" 21:.+((SYSTEM_STATE.+slice.+state.+changed )|(ment ac)|(system.+state.+changed )|(\[timeout)|(PRM\|1\|D)|(kpr)|(kdp)|(\|lc)|(penalty))" /e /r /s</v>
      </c>
      <c r="AG93" s="1" t="str">
        <f t="shared" si="51"/>
        <v>EC</v>
      </c>
      <c r="AH93" s="92" t="str">
        <f t="shared" si="39"/>
        <v>"%USERPROFILE%\Documents\GitHub\eaglep3\Utilities\RefineRTDCRunTimes.py" --tripid 185-16 --locoid 4029 --swversion DE.1.0.8.0 --startMP 204:440 --initTime 2016-11-16T14:07:50 --startdatetime 2016-11-16T14:15:17 --delay 1 --endMP 204:233301 --enddatetime 2016-11-16T14:52:47 --enforcementcount 0 &gt;&gt;C:\Users\stu\Documents\GitHub\eaglep3-reporting\EC\2016-11-16-refined-times.txt</v>
      </c>
      <c r="AI93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{"issue":{"subject":"","project_id":79,"tracker_id":40,"status_id":1,"priority_id":2,"assigned_to_id":23,"start_date":"2016-11-16","description":"","custom_fields":[{"id":1,"name":"Subdivision","value":"EC"},{"id":4,"name":"Milepost","value":"23.3301"},{"id":17,"name":"Train ID","value":"185-16"},{"id":16,"name":"Locomotive ID","value":"4029"},{"id":130,"name":"Impact","value":""},{"id":150,"name":"Time of Event (Mountain Time)","value":"14:52:47"},{"id":151,"name":"Denver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560</v>
      </c>
      <c r="B94" s="7">
        <v>4030</v>
      </c>
      <c r="C94" s="22" t="s">
        <v>222</v>
      </c>
      <c r="D94" s="22" t="s">
        <v>322</v>
      </c>
      <c r="E94" s="13">
        <v>42690.621840277781</v>
      </c>
      <c r="F94" s="13">
        <v>42690.632962962962</v>
      </c>
      <c r="G94" s="7">
        <v>1</v>
      </c>
      <c r="H94" s="22" t="s">
        <v>213</v>
      </c>
      <c r="I94" s="13">
        <v>42690.660509259258</v>
      </c>
      <c r="J94" s="7">
        <v>0</v>
      </c>
      <c r="K94" s="109" t="str">
        <f t="shared" si="41"/>
        <v>4029/4030</v>
      </c>
      <c r="L94" s="22" t="str">
        <f>VLOOKUP(A94,'Trips&amp;Operators'!$C$1:$E$10000,3,FALSE)</f>
        <v>NICHOLSON</v>
      </c>
      <c r="M94" s="6">
        <f t="shared" si="42"/>
        <v>2.7546296296350192E-2</v>
      </c>
      <c r="N94" s="7">
        <f t="shared" si="43"/>
        <v>39.666666666744277</v>
      </c>
      <c r="O94" s="7"/>
      <c r="P94" s="7"/>
      <c r="Q94" s="23"/>
      <c r="R94" s="23"/>
      <c r="S94" s="35">
        <f t="shared" si="44"/>
        <v>1</v>
      </c>
      <c r="T94" s="50" t="str">
        <f t="shared" si="45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13:55:27-700',mode:absolute,to:'2016-11-16 16:51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4" s="52" t="str">
        <f t="shared" si="46"/>
        <v>N</v>
      </c>
      <c r="X94" s="177">
        <f t="shared" si="35"/>
        <v>1</v>
      </c>
      <c r="Y94" s="67">
        <f t="shared" si="47"/>
        <v>23.298400000000001</v>
      </c>
      <c r="Z94" s="67">
        <f t="shared" si="48"/>
        <v>1.5599999999999999E-2</v>
      </c>
      <c r="AA94" s="67">
        <f t="shared" si="49"/>
        <v>23.282800000000002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50"/>
        <v>0186-16</v>
      </c>
      <c r="AE94" s="91" t="str">
        <f t="shared" si="37"/>
        <v>aws s3 cp s3://rtdc.mdm.uploadarchive.raw/RTDC4030/ "%USERPROFILE%\AppData\Local\Temp\OnboardLogs"\RTDC4030\2016-11-16 --exclude "*" --recursive --include "*20161116*" &amp; "%USERPROFILE%\Documents\GitHub\mrs-test-scripts\Headless Mode &amp; Sideloading\WalkAndUnGZ.bat" "%USERPROFILE%\AppData\Local\Temp\OnboardLogs"\RTDC4030\2016-11-16 &amp; aws s3 cp s3://rtdc.mdm.uploadarchive.raw/RTDC4030/ "%USERPROFILE%\AppData\Local\Temp\OnboardLogs"\RTDC4030\2016-11-17 --exclude "*" --recursive --include "*20161117*" &amp; "%USERPROFILE%\Documents\GitHub\mrs-test-scripts\Headless Mode &amp; Sideloading\WalkAndUnGZ.bat" "%USERPROFILE%\AppData\Local\Temp\OnboardLogs"\RTDC4030\2016-11-17</v>
      </c>
      <c r="AF94" s="88" t="str">
        <f t="shared" si="38"/>
        <v>"C:\Program Files (x86)\AstroGrep\AstroGrep.exe" /spath="%USERPROFILE%\AppData\Local\Temp\OnboardLogs" /stypes="app*4030*20161116*" /stext=" 22:.+((SYSTEM_STATE.+slice.+state.+changed )|(ment ac)|(system.+state.+changed )|(\[timeout)|(PRM\|1\|D)|(kpr)|(kdp)|(\|lc)|(penalty))" /e /r /s</v>
      </c>
      <c r="AG94" s="1" t="str">
        <f t="shared" si="51"/>
        <v>EC</v>
      </c>
      <c r="AH94" s="92" t="str">
        <f t="shared" si="39"/>
        <v>"%USERPROFILE%\Documents\GitHub\eaglep3\Utilities\RefineRTDCRunTimes.py" --tripid 186-16 --locoid 4030 --swversion DE.1.0.8.0 --startMP 204:232984 --initTime 2016-11-16T14:55:27 --startdatetime 2016-11-16T15:11:28 --delay 1 --endMP 204:156 --enddatetime 2016-11-16T15:51:08 --enforcementcount 0 &gt;&gt;C:\Users\stu\Documents\GitHub\eaglep3-reporting\EC\2016-11-16-refined-times.txt</v>
      </c>
      <c r="AI94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{"issue":{"subject":"","project_id":79,"tracker_id":40,"status_id":1,"priority_id":2,"assigned_to_id":23,"start_date":"2016-11-16","description":"","custom_fields":[{"id":1,"name":"Subdivision","value":"EC"},{"id":4,"name":"Milepost","value":"0.0156"},{"id":17,"name":"Train ID","value":"186-16"},{"id":16,"name":"Locomotive ID","value":"4030"},{"id":130,"name":"Impact","value":""},{"id":150,"name":"Time of Event (Mountain Time)","value":"15:51:08"},{"id":151,"name":"Denver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556</v>
      </c>
      <c r="B95" s="7">
        <v>4038</v>
      </c>
      <c r="C95" s="22" t="s">
        <v>222</v>
      </c>
      <c r="D95" s="22" t="s">
        <v>305</v>
      </c>
      <c r="E95" s="13">
        <v>42690.598263888889</v>
      </c>
      <c r="F95" s="13">
        <v>42690.604641203703</v>
      </c>
      <c r="G95" s="7">
        <v>1</v>
      </c>
      <c r="H95" s="22" t="s">
        <v>300</v>
      </c>
      <c r="I95" s="13">
        <v>42690.629016203704</v>
      </c>
      <c r="J95" s="7">
        <v>0</v>
      </c>
      <c r="K95" s="109" t="str">
        <f t="shared" si="41"/>
        <v>4037/4038</v>
      </c>
      <c r="L95" s="22" t="str">
        <f>VLOOKUP(A95,'Trips&amp;Operators'!$C$1:$E$10000,3,FALSE)</f>
        <v>MACDONALD</v>
      </c>
      <c r="M95" s="6">
        <f t="shared" si="42"/>
        <v>2.4375000000873115E-2</v>
      </c>
      <c r="N95" s="7">
        <f t="shared" si="43"/>
        <v>35.100000001257285</v>
      </c>
      <c r="O95" s="7"/>
      <c r="P95" s="7"/>
      <c r="Q95" s="23"/>
      <c r="R95" s="23"/>
      <c r="S95" s="35">
        <f t="shared" si="44"/>
        <v>1</v>
      </c>
      <c r="T95" s="50" t="str">
        <f t="shared" si="45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13:21:30-700',mode:absolute,to:'2016-11-16 16:05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5" s="52" t="str">
        <f t="shared" si="46"/>
        <v>N</v>
      </c>
      <c r="X95" s="177">
        <f t="shared" si="35"/>
        <v>1</v>
      </c>
      <c r="Y95" s="67">
        <f t="shared" si="47"/>
        <v>4.7800000000000002E-2</v>
      </c>
      <c r="Z95" s="67">
        <f t="shared" si="48"/>
        <v>23.328900000000001</v>
      </c>
      <c r="AA95" s="67">
        <f t="shared" si="49"/>
        <v>23.281100000000002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50"/>
        <v>0187-16</v>
      </c>
      <c r="AE95" s="91" t="str">
        <f t="shared" si="37"/>
        <v>aws s3 cp s3://rtdc.mdm.uploadarchive.raw/RTDC4038/ "%USERPROFILE%\AppData\Local\Temp\OnboardLogs"\RTDC4038\2016-11-16 --exclude "*" --recursive --include "*20161116*" &amp; "%USERPROFILE%\Documents\GitHub\mrs-test-scripts\Headless Mode &amp; Sideloading\WalkAndUnGZ.bat" "%USERPROFILE%\AppData\Local\Temp\OnboardLogs"\RTDC4038\2016-11-16 &amp; 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</v>
      </c>
      <c r="AF95" s="88" t="str">
        <f t="shared" si="38"/>
        <v>"C:\Program Files (x86)\AstroGrep\AstroGrep.exe" /spath="%USERPROFILE%\AppData\Local\Temp\OnboardLogs" /stypes="app*4038*20161116*" /stext=" 22:.+((SYSTEM_STATE.+slice.+state.+changed )|(ment ac)|(system.+state.+changed )|(\[timeout)|(PRM\|1\|D)|(kpr)|(kdp)|(\|lc)|(penalty))" /e /r /s</v>
      </c>
      <c r="AG95" s="1" t="str">
        <f t="shared" si="51"/>
        <v>EC</v>
      </c>
      <c r="AH95" s="92" t="str">
        <f t="shared" si="39"/>
        <v>"%USERPROFILE%\Documents\GitHub\eaglep3\Utilities\RefineRTDCRunTimes.py" --tripid 187-16 --locoid 4038 --swversion DE.1.0.8.0 --startMP 204:478 --initTime 2016-11-16T14:21:30 --startdatetime 2016-11-16T14:30:41 --delay 1 --endMP 204:233289 --enddatetime 2016-11-16T15:05:47 --enforcementcount 0 &gt;&gt;C:\Users\stu\Documents\GitHub\eaglep3-reporting\EC\2016-11-16-refined-times.txt</v>
      </c>
      <c r="AI95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{"issue":{"subject":"","project_id":79,"tracker_id":40,"status_id":1,"priority_id":2,"assigned_to_id":23,"start_date":"2016-11-16","description":"","custom_fields":[{"id":1,"name":"Subdivision","value":"EC"},{"id":4,"name":"Milepost","value":"23.3289"},{"id":17,"name":"Train ID","value":"187-16"},{"id":16,"name":"Locomotive ID","value":"4038"},{"id":130,"name":"Impact","value":""},{"id":150,"name":"Time of Event (Mountain Time)","value":"15:05:47"},{"id":151,"name":"Denver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435</v>
      </c>
      <c r="B96" s="7">
        <v>4037</v>
      </c>
      <c r="C96" s="22" t="s">
        <v>222</v>
      </c>
      <c r="D96" s="22" t="s">
        <v>362</v>
      </c>
      <c r="E96" s="13">
        <v>42690.633287037039</v>
      </c>
      <c r="F96" s="13">
        <v>42690.643229166664</v>
      </c>
      <c r="G96" s="7">
        <v>1</v>
      </c>
      <c r="H96" s="22" t="s">
        <v>283</v>
      </c>
      <c r="I96" s="13">
        <v>42690.67019675926</v>
      </c>
      <c r="J96" s="7">
        <v>0</v>
      </c>
      <c r="K96" s="109" t="str">
        <f t="shared" si="41"/>
        <v>4037/4038</v>
      </c>
      <c r="L96" s="22" t="str">
        <f>VLOOKUP(A96,'Trips&amp;Operators'!$C$1:$E$10000,3,FALSE)</f>
        <v>MACDONALD</v>
      </c>
      <c r="M96" s="6">
        <f t="shared" si="42"/>
        <v>2.6967592595610768E-2</v>
      </c>
      <c r="N96" s="7">
        <f t="shared" si="43"/>
        <v>38.833333337679505</v>
      </c>
      <c r="O96" s="7"/>
      <c r="P96" s="7"/>
      <c r="Q96" s="23"/>
      <c r="R96" s="23"/>
      <c r="S96" s="35">
        <f t="shared" si="44"/>
        <v>1</v>
      </c>
      <c r="T96" s="50" t="str">
        <f t="shared" si="45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14:11:56-700',mode:absolute,to:'2016-11-16 17:05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6" s="52" t="str">
        <f t="shared" si="46"/>
        <v>N</v>
      </c>
      <c r="X96" s="177">
        <f t="shared" si="35"/>
        <v>1</v>
      </c>
      <c r="Y96" s="67">
        <f t="shared" si="47"/>
        <v>23.297899999999998</v>
      </c>
      <c r="Z96" s="67">
        <f t="shared" si="48"/>
        <v>1.41E-2</v>
      </c>
      <c r="AA96" s="67">
        <f t="shared" si="49"/>
        <v>23.283799999999999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50"/>
        <v>0188-16</v>
      </c>
      <c r="AE96" s="91" t="str">
        <f t="shared" si="37"/>
        <v>aws s3 cp s3://rtdc.mdm.uploadarchive.raw/RTDC4037/ "%USERPROFILE%\AppData\Local\Temp\OnboardLogs"\RTDC4037\2016-11-16 --exclude "*" --recursive --include "*20161116*" &amp; "%USERPROFILE%\Documents\GitHub\mrs-test-scripts\Headless Mode &amp; Sideloading\WalkAndUnGZ.bat" "%USERPROFILE%\AppData\Local\Temp\OnboardLogs"\RTDC4037\2016-11-16 &amp; 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</v>
      </c>
      <c r="AF96" s="88" t="str">
        <f t="shared" si="38"/>
        <v>"C:\Program Files (x86)\AstroGrep\AstroGrep.exe" /spath="%USERPROFILE%\AppData\Local\Temp\OnboardLogs" /stypes="app*4037*20161116*" /stext=" 23:.+((SYSTEM_STATE.+slice.+state.+changed )|(ment ac)|(system.+state.+changed )|(\[timeout)|(PRM\|1\|D)|(kpr)|(kdp)|(\|lc)|(penalty))" /e /r /s</v>
      </c>
      <c r="AG96" s="1" t="str">
        <f t="shared" si="51"/>
        <v>EC</v>
      </c>
      <c r="AH96" s="92" t="str">
        <f t="shared" si="39"/>
        <v>"%USERPROFILE%\Documents\GitHub\eaglep3\Utilities\RefineRTDCRunTimes.py" --tripid 188-16 --locoid 4037 --swversion DE.1.0.8.0 --startMP 204:232979 --initTime 2016-11-16T15:11:56 --startdatetime 2016-11-16T15:26:15 --delay 1 --endMP 204:141 --enddatetime 2016-11-16T16:05:05 --enforcementcount 0 &gt;&gt;C:\Users\stu\Documents\GitHub\eaglep3-reporting\EC\2016-11-16-refined-times.txt</v>
      </c>
      <c r="AI96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{"issue":{"subject":"","project_id":79,"tracker_id":40,"status_id":1,"priority_id":2,"assigned_to_id":23,"start_date":"2016-11-16","description":"","custom_fields":[{"id":1,"name":"Subdivision","value":"EC"},{"id":4,"name":"Milepost","value":"0.0141"},{"id":17,"name":"Train ID","value":"188-16"},{"id":16,"name":"Locomotive ID","value":"4037"},{"id":130,"name":"Impact","value":""},{"id":150,"name":"Time of Event (Mountain Time)","value":"16:05:05"},{"id":151,"name":"Denver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558</v>
      </c>
      <c r="B97" s="7">
        <v>4009</v>
      </c>
      <c r="C97" s="22" t="s">
        <v>222</v>
      </c>
      <c r="D97" s="22" t="s">
        <v>658</v>
      </c>
      <c r="E97" s="13">
        <v>42690.608807870369</v>
      </c>
      <c r="F97" s="13">
        <v>42690.614930555559</v>
      </c>
      <c r="G97" s="7">
        <v>2</v>
      </c>
      <c r="H97" s="22" t="s">
        <v>369</v>
      </c>
      <c r="I97" s="13">
        <v>42690.639861111114</v>
      </c>
      <c r="J97" s="7">
        <v>0</v>
      </c>
      <c r="K97" s="109" t="str">
        <f t="shared" si="41"/>
        <v>4009/4010</v>
      </c>
      <c r="L97" s="22" t="str">
        <f>VLOOKUP(A97,'Trips&amp;Operators'!$C$1:$E$10000,3,FALSE)</f>
        <v>BARTLETT</v>
      </c>
      <c r="M97" s="6">
        <f t="shared" si="42"/>
        <v>2.4930555555329192E-2</v>
      </c>
      <c r="N97" s="7">
        <f t="shared" si="43"/>
        <v>35.899999999674037</v>
      </c>
      <c r="O97" s="7"/>
      <c r="P97" s="7"/>
      <c r="Q97" s="23"/>
      <c r="R97" s="23"/>
      <c r="S97" s="35">
        <f t="shared" si="44"/>
        <v>1</v>
      </c>
      <c r="T97" s="50" t="str">
        <f t="shared" si="45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13:36:41-700',mode:absolute,to:'2016-11-16 16:21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7" s="52" t="str">
        <f t="shared" si="46"/>
        <v>N</v>
      </c>
      <c r="X97" s="177">
        <f t="shared" si="35"/>
        <v>1</v>
      </c>
      <c r="Y97" s="67">
        <f t="shared" si="47"/>
        <v>4.6699999999999998E-2</v>
      </c>
      <c r="Z97" s="67">
        <f t="shared" si="48"/>
        <v>23.3353</v>
      </c>
      <c r="AA97" s="67">
        <f t="shared" si="49"/>
        <v>23.288599999999999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50"/>
        <v>0189-16</v>
      </c>
      <c r="AE97" s="91" t="str">
        <f t="shared" si="37"/>
        <v>aws s3 cp s3://rtdc.mdm.uploadarchive.raw/RTDC4009/ "%USERPROFILE%\AppData\Local\Temp\OnboardLogs"\RTDC4009\2016-11-16 --exclude "*" --recursive --include "*20161116*" &amp; "%USERPROFILE%\Documents\GitHub\mrs-test-scripts\Headless Mode &amp; Sideloading\WalkAndUnGZ.bat" "%USERPROFILE%\AppData\Local\Temp\OnboardLogs"\RTDC4009\2016-11-16 &amp; aws s3 cp s3://rtdc.mdm.uploadarchive.raw/RTDC4009/ "%USERPROFILE%\AppData\Local\Temp\OnboardLogs"\RTDC4009\2016-11-17 --exclude "*" --recursive --include "*20161117*" &amp; "%USERPROFILE%\Documents\GitHub\mrs-test-scripts\Headless Mode &amp; Sideloading\WalkAndUnGZ.bat" "%USERPROFILE%\AppData\Local\Temp\OnboardLogs"\RTDC4009\2016-11-17</v>
      </c>
      <c r="AF97" s="88" t="str">
        <f t="shared" si="38"/>
        <v>"C:\Program Files (x86)\AstroGrep\AstroGrep.exe" /spath="%USERPROFILE%\AppData\Local\Temp\OnboardLogs" /stypes="app*4009*20161116*" /stext=" 22:.+((SYSTEM_STATE.+slice.+state.+changed )|(ment ac)|(system.+state.+changed )|(\[timeout)|(PRM\|1\|D)|(kpr)|(kdp)|(\|lc)|(penalty))" /e /r /s</v>
      </c>
      <c r="AG97" s="1" t="str">
        <f t="shared" si="51"/>
        <v>EC</v>
      </c>
      <c r="AH97" s="92" t="str">
        <f t="shared" si="39"/>
        <v>"%USERPROFILE%\Documents\GitHub\eaglep3\Utilities\RefineRTDCRunTimes.py" --tripid 189-16 --locoid 4009 --swversion DE.1.0.8.0 --startMP 204:467 --initTime 2016-11-16T14:36:41 --startdatetime 2016-11-16T14:45:30 --delay 2 --endMP 204:233353 --enddatetime 2016-11-16T15:21:24 --enforcementcount 0 &gt;&gt;C:\Users\stu\Documents\GitHub\eaglep3-reporting\EC\2016-11-16-refined-times.txt</v>
      </c>
      <c r="AI97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{"issue":{"subject":"","project_id":79,"tracker_id":40,"status_id":1,"priority_id":2,"assigned_to_id":23,"start_date":"2016-11-16","description":"","custom_fields":[{"id":1,"name":"Subdivision","value":"EC"},{"id":4,"name":"Milepost","value":"23.3353"},{"id":17,"name":"Train ID","value":"189-16"},{"id":16,"name":"Locomotive ID","value":"4009"},{"id":130,"name":"Impact","value":""},{"id":150,"name":"Time of Event (Mountain Time)","value":"15:21:24"},{"id":151,"name":"Denver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563</v>
      </c>
      <c r="B98" s="7">
        <v>4010</v>
      </c>
      <c r="C98" s="22" t="s">
        <v>222</v>
      </c>
      <c r="D98" s="22" t="s">
        <v>679</v>
      </c>
      <c r="E98" s="13">
        <v>42690.648761574077</v>
      </c>
      <c r="F98" s="13">
        <v>42690.653703703705</v>
      </c>
      <c r="G98" s="7">
        <v>1</v>
      </c>
      <c r="H98" s="22" t="s">
        <v>235</v>
      </c>
      <c r="I98" s="13">
        <v>42690.68072916667</v>
      </c>
      <c r="J98" s="7">
        <v>0</v>
      </c>
      <c r="K98" s="109" t="str">
        <f t="shared" si="41"/>
        <v>4009/4010</v>
      </c>
      <c r="L98" s="22" t="str">
        <f>VLOOKUP(A98,'Trips&amp;Operators'!$C$1:$E$10000,3,FALSE)</f>
        <v>BARTLETT</v>
      </c>
      <c r="M98" s="6">
        <f t="shared" si="42"/>
        <v>2.7025462964957114E-2</v>
      </c>
      <c r="N98" s="7">
        <f t="shared" si="43"/>
        <v>38.916666669538245</v>
      </c>
      <c r="O98" s="7"/>
      <c r="P98" s="7"/>
      <c r="Q98" s="23"/>
      <c r="R98" s="23"/>
      <c r="S98" s="35">
        <f t="shared" si="44"/>
        <v>1</v>
      </c>
      <c r="T98" s="50" t="str">
        <f t="shared" si="45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14:34:13-700',mode:absolute,to:'2016-11-16 17:20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8" s="52" t="str">
        <f t="shared" si="46"/>
        <v>N</v>
      </c>
      <c r="X98" s="177">
        <f t="shared" si="35"/>
        <v>1</v>
      </c>
      <c r="Y98" s="67">
        <f t="shared" si="47"/>
        <v>23.303599999999999</v>
      </c>
      <c r="Z98" s="67">
        <f t="shared" si="48"/>
        <v>1.6E-2</v>
      </c>
      <c r="AA98" s="67">
        <f t="shared" si="49"/>
        <v>23.287600000000001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50"/>
        <v>0190-16</v>
      </c>
      <c r="AE98" s="91" t="str">
        <f t="shared" si="37"/>
        <v>aws s3 cp s3://rtdc.mdm.uploadarchive.raw/RTDC4010/ "%USERPROFILE%\AppData\Local\Temp\OnboardLogs"\RTDC4010\2016-11-16 --exclude "*" --recursive --include "*20161116*" &amp; "%USERPROFILE%\Documents\GitHub\mrs-test-scripts\Headless Mode &amp; Sideloading\WalkAndUnGZ.bat" "%USERPROFILE%\AppData\Local\Temp\OnboardLogs"\RTDC4010\2016-11-16 &amp; aws s3 cp s3://rtdc.mdm.uploadarchive.raw/RTDC4010/ "%USERPROFILE%\AppData\Local\Temp\OnboardLogs"\RTDC4010\2016-11-17 --exclude "*" --recursive --include "*20161117*" &amp; "%USERPROFILE%\Documents\GitHub\mrs-test-scripts\Headless Mode &amp; Sideloading\WalkAndUnGZ.bat" "%USERPROFILE%\AppData\Local\Temp\OnboardLogs"\RTDC4010\2016-11-17</v>
      </c>
      <c r="AF98" s="88" t="str">
        <f t="shared" si="38"/>
        <v>"C:\Program Files (x86)\AstroGrep\AstroGrep.exe" /spath="%USERPROFILE%\AppData\Local\Temp\OnboardLogs" /stypes="app*4010*20161116*" /stext=" 23:.+((SYSTEM_STATE.+slice.+state.+changed )|(ment ac)|(system.+state.+changed )|(\[timeout)|(PRM\|1\|D)|(kpr)|(kdp)|(\|lc)|(penalty))" /e /r /s</v>
      </c>
      <c r="AG98" s="1" t="str">
        <f t="shared" si="51"/>
        <v>EC</v>
      </c>
      <c r="AH98" s="92" t="str">
        <f t="shared" si="39"/>
        <v>"%USERPROFILE%\Documents\GitHub\eaglep3\Utilities\RefineRTDCRunTimes.py" --tripid 190-16 --locoid 4010 --swversion DE.1.0.8.0 --startMP 204:233036 --initTime 2016-11-16T15:34:13 --startdatetime 2016-11-16T15:41:20 --delay 1 --endMP 204:160 --enddatetime 2016-11-16T16:20:15 --enforcementcount 0 &gt;&gt;C:\Users\stu\Documents\GitHub\eaglep3-reporting\EC\2016-11-16-refined-times.txt</v>
      </c>
      <c r="AI98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{"issue":{"subject":"","project_id":79,"tracker_id":40,"status_id":1,"priority_id":2,"assigned_to_id":23,"start_date":"2016-11-16","description":"","custom_fields":[{"id":1,"name":"Subdivision","value":"EC"},{"id":4,"name":"Milepost","value":"0.016"},{"id":17,"name":"Train ID","value":"190-16"},{"id":16,"name":"Locomotive ID","value":"4010"},{"id":130,"name":"Impact","value":""},{"id":150,"name":"Time of Event (Mountain Time)","value":"16:20:15"},{"id":151,"name":"Denver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431</v>
      </c>
      <c r="B99" s="7">
        <v>4007</v>
      </c>
      <c r="C99" s="22" t="s">
        <v>222</v>
      </c>
      <c r="D99" s="22" t="s">
        <v>201</v>
      </c>
      <c r="E99" s="13">
        <v>42690.621099537035</v>
      </c>
      <c r="F99" s="13">
        <v>42690.624155092592</v>
      </c>
      <c r="G99" s="7">
        <v>3</v>
      </c>
      <c r="H99" s="22" t="s">
        <v>288</v>
      </c>
      <c r="I99" s="13">
        <v>42690.650254629632</v>
      </c>
      <c r="J99" s="7">
        <v>0</v>
      </c>
      <c r="K99" s="109" t="str">
        <f t="shared" si="41"/>
        <v>4007/4008</v>
      </c>
      <c r="L99" s="22" t="str">
        <f>VLOOKUP(A99,'Trips&amp;Operators'!$C$1:$E$10000,3,FALSE)</f>
        <v>BROWN</v>
      </c>
      <c r="M99" s="6">
        <f t="shared" si="42"/>
        <v>2.6099537040863652E-2</v>
      </c>
      <c r="N99" s="7">
        <f t="shared" si="43"/>
        <v>37.583333338843659</v>
      </c>
      <c r="O99" s="7"/>
      <c r="P99" s="7"/>
      <c r="Q99" s="23"/>
      <c r="R99" s="23"/>
      <c r="S99" s="35">
        <f t="shared" si="44"/>
        <v>1</v>
      </c>
      <c r="T99" s="50" t="str">
        <f t="shared" si="45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13:54:23-700',mode:absolute,to:'2016-11-16 16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9" s="52" t="str">
        <f t="shared" si="46"/>
        <v>N</v>
      </c>
      <c r="X99" s="177">
        <f t="shared" si="35"/>
        <v>1</v>
      </c>
      <c r="Y99" s="67">
        <f t="shared" si="47"/>
        <v>4.5999999999999999E-2</v>
      </c>
      <c r="Z99" s="67">
        <f t="shared" si="48"/>
        <v>23.331499999999998</v>
      </c>
      <c r="AA99" s="67">
        <f t="shared" si="49"/>
        <v>23.285499999999999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50"/>
        <v>0191-16</v>
      </c>
      <c r="AE99" s="91" t="str">
        <f t="shared" si="37"/>
        <v>aws s3 cp s3://rtdc.mdm.uploadarchive.raw/RTDC4007/ "%USERPROFILE%\AppData\Local\Temp\OnboardLogs"\RTDC4007\2016-11-16 --exclude "*" --recursive --include "*20161116*" &amp; "%USERPROFILE%\Documents\GitHub\mrs-test-scripts\Headless Mode &amp; Sideloading\WalkAndUnGZ.bat" "%USERPROFILE%\AppData\Local\Temp\OnboardLogs"\RTDC4007\2016-11-16 &amp; aws s3 cp s3://rtdc.mdm.uploadarchive.raw/RTDC4007/ "%USERPROFILE%\AppData\Local\Temp\OnboardLogs"\RTDC4007\2016-11-17 --exclude "*" --recursive --include "*20161117*" &amp; "%USERPROFILE%\Documents\GitHub\mrs-test-scripts\Headless Mode &amp; Sideloading\WalkAndUnGZ.bat" "%USERPROFILE%\AppData\Local\Temp\OnboardLogs"\RTDC4007\2016-11-17</v>
      </c>
      <c r="AF99" s="88" t="str">
        <f t="shared" si="38"/>
        <v>"C:\Program Files (x86)\AstroGrep\AstroGrep.exe" /spath="%USERPROFILE%\AppData\Local\Temp\OnboardLogs" /stypes="app*4007*20161116*" /stext=" 22:.+((SYSTEM_STATE.+slice.+state.+changed )|(ment ac)|(system.+state.+changed )|(\[timeout)|(PRM\|1\|D)|(kpr)|(kdp)|(\|lc)|(penalty))" /e /r /s</v>
      </c>
      <c r="AG99" s="1" t="str">
        <f t="shared" si="51"/>
        <v>EC</v>
      </c>
      <c r="AH99" s="92" t="str">
        <f t="shared" si="39"/>
        <v>"%USERPROFILE%\Documents\GitHub\eaglep3\Utilities\RefineRTDCRunTimes.py" --tripid 191-16 --locoid 4007 --swversion DE.1.0.8.0 --startMP 204:460 --initTime 2016-11-16T14:54:23 --startdatetime 2016-11-16T14:58:47 --delay 3 --endMP 204:233315 --enddatetime 2016-11-16T15:36:22 --enforcementcount 0 &gt;&gt;C:\Users\stu\Documents\GitHub\eaglep3-reporting\EC\2016-11-16-refined-times.txt</v>
      </c>
      <c r="AI99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{"issue":{"subject":"","project_id":79,"tracker_id":40,"status_id":1,"priority_id":2,"assigned_to_id":23,"start_date":"2016-11-16","description":"","custom_fields":[{"id":1,"name":"Subdivision","value":"EC"},{"id":4,"name":"Milepost","value":"23.3315"},{"id":17,"name":"Train ID","value":"191-16"},{"id":16,"name":"Locomotive ID","value":"4007"},{"id":130,"name":"Impact","value":""},{"id":150,"name":"Time of Event (Mountain Time)","value":"15:36:22"},{"id":151,"name":"Denver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7" t="s">
        <v>565</v>
      </c>
      <c r="B100" s="7">
        <v>4008</v>
      </c>
      <c r="C100" s="22" t="s">
        <v>222</v>
      </c>
      <c r="D100" s="22" t="s">
        <v>298</v>
      </c>
      <c r="E100" s="13">
        <v>42690.657083333332</v>
      </c>
      <c r="F100" s="13">
        <v>42690.664155092592</v>
      </c>
      <c r="G100" s="7">
        <v>1</v>
      </c>
      <c r="H100" s="22" t="s">
        <v>680</v>
      </c>
      <c r="I100" s="13">
        <v>42690.691550925927</v>
      </c>
      <c r="J100" s="7">
        <v>0</v>
      </c>
      <c r="K100" s="109" t="str">
        <f t="shared" si="41"/>
        <v>4007/4008</v>
      </c>
      <c r="L100" s="22" t="str">
        <f>VLOOKUP(A100,'Trips&amp;Operators'!$C$1:$E$10000,3,FALSE)</f>
        <v>BROWN</v>
      </c>
      <c r="M100" s="6">
        <f t="shared" si="42"/>
        <v>2.7395833334594499E-2</v>
      </c>
      <c r="N100" s="7">
        <f t="shared" si="43"/>
        <v>39.450000001816079</v>
      </c>
      <c r="O100" s="7"/>
      <c r="P100" s="7"/>
      <c r="Q100" s="23"/>
      <c r="R100" s="23"/>
      <c r="S100" s="35">
        <f t="shared" si="44"/>
        <v>1</v>
      </c>
      <c r="T100" s="50" t="str">
        <f t="shared" si="45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14:46:12-700',mode:absolute,to:'2016-11-16 17:35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0" s="52" t="str">
        <f t="shared" si="46"/>
        <v>N</v>
      </c>
      <c r="X100" s="177">
        <f t="shared" si="35"/>
        <v>1</v>
      </c>
      <c r="Y100" s="67">
        <f t="shared" si="47"/>
        <v>23.3</v>
      </c>
      <c r="Z100" s="67">
        <f t="shared" si="48"/>
        <v>0.1179</v>
      </c>
      <c r="AA100" s="67">
        <f t="shared" si="49"/>
        <v>23.182100000000002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50"/>
        <v>0192-16</v>
      </c>
      <c r="AE100" s="91" t="str">
        <f t="shared" si="37"/>
        <v>aws s3 cp s3://rtdc.mdm.uploadarchive.raw/RTDC4008/ "%USERPROFILE%\AppData\Local\Temp\OnboardLogs"\RTDC4008\2016-11-16 --exclude "*" --recursive --include "*20161116*" &amp; "%USERPROFILE%\Documents\GitHub\mrs-test-scripts\Headless Mode &amp; Sideloading\WalkAndUnGZ.bat" "%USERPROFILE%\AppData\Local\Temp\OnboardLogs"\RTDC4008\2016-11-16 &amp; aws s3 cp s3://rtdc.mdm.uploadarchive.raw/RTDC4008/ "%USERPROFILE%\AppData\Local\Temp\OnboardLogs"\RTDC4008\2016-11-17 --exclude "*" --recursive --include "*20161117*" &amp; "%USERPROFILE%\Documents\GitHub\mrs-test-scripts\Headless Mode &amp; Sideloading\WalkAndUnGZ.bat" "%USERPROFILE%\AppData\Local\Temp\OnboardLogs"\RTDC4008\2016-11-17</v>
      </c>
      <c r="AF100" s="88" t="str">
        <f t="shared" si="38"/>
        <v>"C:\Program Files (x86)\AstroGrep\AstroGrep.exe" /spath="%USERPROFILE%\AppData\Local\Temp\OnboardLogs" /stypes="app*4008*20161116*" /stext=" 23:.+((SYSTEM_STATE.+slice.+state.+changed )|(ment ac)|(system.+state.+changed )|(\[timeout)|(PRM\|1\|D)|(kpr)|(kdp)|(\|lc)|(penalty))" /e /r /s</v>
      </c>
      <c r="AG100" s="1" t="str">
        <f t="shared" si="51"/>
        <v>EC</v>
      </c>
      <c r="AH100" s="92" t="str">
        <f t="shared" si="39"/>
        <v>"%USERPROFILE%\Documents\GitHub\eaglep3\Utilities\RefineRTDCRunTimes.py" --tripid 192-16 --locoid 4008 --swversion DE.1.0.8.0 --startMP 204:233000 --initTime 2016-11-16T15:46:12 --startdatetime 2016-11-16T15:56:23 --delay 1 --endMP 204:1179 --enddatetime 2016-11-16T16:35:50 --enforcementcount 0 &gt;&gt;C:\Users\stu\Documents\GitHub\eaglep3-reporting\EC\2016-11-16-refined-times.txt</v>
      </c>
      <c r="AI100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{"issue":{"subject":"","project_id":79,"tracker_id":40,"status_id":1,"priority_id":2,"assigned_to_id":23,"start_date":"2016-11-16","description":"","custom_fields":[{"id":1,"name":"Subdivision","value":"EC"},{"id":4,"name":"Milepost","value":"0.1179"},{"id":17,"name":"Train ID","value":"192-16"},{"id":16,"name":"Locomotive ID","value":"4008"},{"id":130,"name":"Impact","value":""},{"id":150,"name":"Time of Event (Mountain Time)","value":"16:35:50"},{"id":151,"name":"Denver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x14ac:dyDescent="0.25">
      <c r="A101" s="37" t="s">
        <v>561</v>
      </c>
      <c r="B101" s="7">
        <v>4022</v>
      </c>
      <c r="C101" s="22" t="s">
        <v>222</v>
      </c>
      <c r="D101" s="22" t="s">
        <v>199</v>
      </c>
      <c r="E101" s="13">
        <v>42690.631956018522</v>
      </c>
      <c r="F101" s="13">
        <v>42690.635995370372</v>
      </c>
      <c r="G101" s="7">
        <v>1</v>
      </c>
      <c r="H101" s="22" t="s">
        <v>325</v>
      </c>
      <c r="I101" s="13">
        <v>42690.66028935185</v>
      </c>
      <c r="J101" s="7">
        <v>0</v>
      </c>
      <c r="K101" s="109" t="str">
        <f t="shared" si="41"/>
        <v>4021/4022</v>
      </c>
      <c r="L101" s="22" t="str">
        <f>VLOOKUP(A101,'Trips&amp;Operators'!$C$1:$E$10000,3,FALSE)</f>
        <v>ADANE</v>
      </c>
      <c r="M101" s="6">
        <f t="shared" si="42"/>
        <v>2.4293981477967463E-2</v>
      </c>
      <c r="N101" s="7">
        <f t="shared" si="43"/>
        <v>34.983333328273147</v>
      </c>
      <c r="O101" s="7"/>
      <c r="P101" s="7"/>
      <c r="Q101" s="23"/>
      <c r="R101" s="23"/>
      <c r="S101" s="35">
        <f t="shared" si="44"/>
        <v>1</v>
      </c>
      <c r="T101" s="50" t="str">
        <f t="shared" si="45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14:10:01-700',mode:absolute,to:'2016-11-16 16:50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1" s="52" t="str">
        <f t="shared" si="46"/>
        <v>N</v>
      </c>
      <c r="X101" s="177">
        <f t="shared" si="35"/>
        <v>1</v>
      </c>
      <c r="Y101" s="67">
        <f t="shared" si="47"/>
        <v>4.53E-2</v>
      </c>
      <c r="Z101" s="67">
        <f t="shared" si="48"/>
        <v>23.328800000000001</v>
      </c>
      <c r="AA101" s="67">
        <f t="shared" si="49"/>
        <v>23.2835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50"/>
        <v>0193-16</v>
      </c>
      <c r="AE101" s="91" t="str">
        <f t="shared" si="37"/>
        <v>aws s3 cp s3://rtdc.mdm.uploadarchive.raw/RTDC4022/ "%USERPROFILE%\AppData\Local\Temp\OnboardLogs"\RTDC4022\2016-11-16 --exclude "*" --recursive --include "*20161116*" &amp; "%USERPROFILE%\Documents\GitHub\mrs-test-scripts\Headless Mode &amp; Sideloading\WalkAndUnGZ.bat" "%USERPROFILE%\AppData\Local\Temp\OnboardLogs"\RTDC4022\2016-11-16 &amp; aws s3 cp s3://rtdc.mdm.uploadarchive.raw/RTDC4022/ "%USERPROFILE%\AppData\Local\Temp\OnboardLogs"\RTDC4022\2016-11-17 --exclude "*" --recursive --include "*20161117*" &amp; "%USERPROFILE%\Documents\GitHub\mrs-test-scripts\Headless Mode &amp; Sideloading\WalkAndUnGZ.bat" "%USERPROFILE%\AppData\Local\Temp\OnboardLogs"\RTDC4022\2016-11-17</v>
      </c>
      <c r="AF101" s="88" t="str">
        <f t="shared" si="38"/>
        <v>"C:\Program Files (x86)\AstroGrep\AstroGrep.exe" /spath="%USERPROFILE%\AppData\Local\Temp\OnboardLogs" /stypes="app*4022*20161116*" /stext=" 22:.+((SYSTEM_STATE.+slice.+state.+changed )|(ment ac)|(system.+state.+changed )|(\[timeout)|(PRM\|1\|D)|(kpr)|(kdp)|(\|lc)|(penalty))" /e /r /s</v>
      </c>
      <c r="AG101" s="1" t="str">
        <f t="shared" si="51"/>
        <v>EC</v>
      </c>
      <c r="AH101" s="92" t="str">
        <f t="shared" si="39"/>
        <v>"%USERPROFILE%\Documents\GitHub\eaglep3\Utilities\RefineRTDCRunTimes.py" --tripid 193-16 --locoid 4022 --swversion DE.1.0.8.0 --startMP 204:453 --initTime 2016-11-16T15:10:01 --startdatetime 2016-11-16T15:15:50 --delay 1 --endMP 204:233288 --enddatetime 2016-11-16T15:50:49 --enforcementcount 0 &gt;&gt;C:\Users\stu\Documents\GitHub\eaglep3-reporting\EC\2016-11-16-refined-times.txt</v>
      </c>
      <c r="AI101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{"issue":{"subject":"","project_id":79,"tracker_id":40,"status_id":1,"priority_id":2,"assigned_to_id":23,"start_date":"2016-11-16","description":"","custom_fields":[{"id":1,"name":"Subdivision","value":"EC"},{"id":4,"name":"Milepost","value":"23.3288"},{"id":17,"name":"Train ID","value":"193-16"},{"id":16,"name":"Locomotive ID","value":"4022"},{"id":130,"name":"Impact","value":""},{"id":150,"name":"Time of Event (Mountain Time)","value":"15:50:49"},{"id":151,"name":"Denver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x14ac:dyDescent="0.25">
      <c r="A102" s="37" t="s">
        <v>438</v>
      </c>
      <c r="B102" s="7">
        <v>4021</v>
      </c>
      <c r="C102" s="22" t="s">
        <v>222</v>
      </c>
      <c r="D102" s="22" t="s">
        <v>281</v>
      </c>
      <c r="E102" s="13">
        <v>42690.661851851852</v>
      </c>
      <c r="F102" s="13">
        <v>42690.674710648149</v>
      </c>
      <c r="G102" s="7">
        <v>1</v>
      </c>
      <c r="H102" s="22" t="s">
        <v>278</v>
      </c>
      <c r="I102" s="13">
        <v>42690.703368055554</v>
      </c>
      <c r="J102" s="7">
        <v>0</v>
      </c>
      <c r="K102" s="109" t="str">
        <f t="shared" si="41"/>
        <v>4021/4022</v>
      </c>
      <c r="L102" s="22" t="str">
        <f>VLOOKUP(A102,'Trips&amp;Operators'!$C$1:$E$10000,3,FALSE)</f>
        <v>ADANE</v>
      </c>
      <c r="M102" s="6">
        <f t="shared" si="42"/>
        <v>2.8657407405262347E-2</v>
      </c>
      <c r="N102" s="7">
        <f t="shared" si="43"/>
        <v>41.26666666357778</v>
      </c>
      <c r="O102" s="7"/>
      <c r="P102" s="7"/>
      <c r="Q102" s="23"/>
      <c r="R102" s="23"/>
      <c r="S102" s="35">
        <f t="shared" si="44"/>
        <v>1</v>
      </c>
      <c r="T102" s="50" t="str">
        <f t="shared" si="45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14:53:04-700',mode:absolute,to:'2016-11-16 17:52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02" s="52" t="str">
        <f t="shared" si="46"/>
        <v>N</v>
      </c>
      <c r="X102" s="177">
        <f t="shared" si="35"/>
        <v>1</v>
      </c>
      <c r="Y102" s="67">
        <f t="shared" si="47"/>
        <v>23.297999999999998</v>
      </c>
      <c r="Z102" s="67">
        <f t="shared" si="48"/>
        <v>1.54E-2</v>
      </c>
      <c r="AA102" s="67">
        <f t="shared" si="49"/>
        <v>23.282599999999999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50"/>
        <v>0194-16</v>
      </c>
      <c r="AE102" s="91" t="str">
        <f t="shared" si="37"/>
        <v>aws s3 cp s3://rtdc.mdm.uploadarchive.raw/RTDC4021/ "%USERPROFILE%\AppData\Local\Temp\OnboardLogs"\RTDC4021\2016-11-16 --exclude "*" --recursive --include "*20161116*" &amp; "%USERPROFILE%\Documents\GitHub\mrs-test-scripts\Headless Mode &amp; Sideloading\WalkAndUnGZ.bat" "%USERPROFILE%\AppData\Local\Temp\OnboardLogs"\RTDC4021\2016-11-16 &amp; aws s3 cp s3://rtdc.mdm.uploadarchive.raw/RTDC4021/ "%USERPROFILE%\AppData\Local\Temp\OnboardLogs"\RTDC4021\2016-11-17 --exclude "*" --recursive --include "*20161117*" &amp; "%USERPROFILE%\Documents\GitHub\mrs-test-scripts\Headless Mode &amp; Sideloading\WalkAndUnGZ.bat" "%USERPROFILE%\AppData\Local\Temp\OnboardLogs"\RTDC4021\2016-11-17</v>
      </c>
      <c r="AF102" s="88" t="str">
        <f t="shared" si="38"/>
        <v>"C:\Program Files (x86)\AstroGrep\AstroGrep.exe" /spath="%USERPROFILE%\AppData\Local\Temp\OnboardLogs" /stypes="app*4021*20161116*" /stext=" 23:.+((SYSTEM_STATE.+slice.+state.+changed )|(ment ac)|(system.+state.+changed )|(\[timeout)|(PRM\|1\|D)|(kpr)|(kdp)|(\|lc)|(penalty))" /e /r /s</v>
      </c>
      <c r="AG102" s="1" t="str">
        <f t="shared" si="51"/>
        <v>EC</v>
      </c>
      <c r="AH102" s="92" t="str">
        <f t="shared" si="39"/>
        <v>"%USERPROFILE%\Documents\GitHub\eaglep3\Utilities\RefineRTDCRunTimes.py" --tripid 194-16 --locoid 4021 --swversion DE.1.0.8.0 --startMP 204:232980 --initTime 2016-11-16T15:53:04 --startdatetime 2016-11-16T16:11:35 --delay 1 --endMP 204:154 --enddatetime 2016-11-16T16:52:51 --enforcementcount 0 &gt;&gt;C:\Users\stu\Documents\GitHub\eaglep3-reporting\EC\2016-11-16-refined-times.txt</v>
      </c>
      <c r="AI102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{"issue":{"subject":"","project_id":79,"tracker_id":40,"status_id":1,"priority_id":2,"assigned_to_id":23,"start_date":"2016-11-16","description":"","custom_fields":[{"id":1,"name":"Subdivision","value":"EC"},{"id":4,"name":"Milepost","value":"0.0154"},{"id":17,"name":"Train ID","value":"194-16"},{"id":16,"name":"Locomotive ID","value":"4021"},{"id":130,"name":"Impact","value":""},{"id":150,"name":"Time of Event (Mountain Time)","value":"16:52:51"},{"id":151,"name":"Denver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</row>
    <row r="103" spans="1:91" s="21" customFormat="1" x14ac:dyDescent="0.25">
      <c r="A103" s="37" t="s">
        <v>562</v>
      </c>
      <c r="B103" s="7">
        <v>4016</v>
      </c>
      <c r="C103" s="22" t="s">
        <v>222</v>
      </c>
      <c r="D103" s="22" t="s">
        <v>681</v>
      </c>
      <c r="E103" s="13">
        <v>42690.640497685185</v>
      </c>
      <c r="F103" s="13">
        <v>42690.646157407406</v>
      </c>
      <c r="G103" s="7">
        <v>1</v>
      </c>
      <c r="H103" s="22" t="s">
        <v>682</v>
      </c>
      <c r="I103" s="13">
        <v>42690.670486111114</v>
      </c>
      <c r="J103" s="7">
        <v>0</v>
      </c>
      <c r="K103" s="109" t="str">
        <f t="shared" si="41"/>
        <v>4015/4016</v>
      </c>
      <c r="L103" s="22" t="str">
        <f>VLOOKUP(A103,'Trips&amp;Operators'!$C$1:$E$10000,3,FALSE)</f>
        <v>BERLING</v>
      </c>
      <c r="M103" s="6">
        <f t="shared" si="42"/>
        <v>2.4328703708306421E-2</v>
      </c>
      <c r="N103" s="7">
        <f t="shared" si="43"/>
        <v>35.033333339961246</v>
      </c>
      <c r="O103" s="7"/>
      <c r="P103" s="7"/>
      <c r="Q103" s="23"/>
      <c r="R103" s="23"/>
      <c r="S103" s="35">
        <f t="shared" si="44"/>
        <v>1</v>
      </c>
      <c r="T103" s="50" t="str">
        <f t="shared" si="45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14:22:19-700',mode:absolute,to:'2016-11-16 17:05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3" s="52" t="str">
        <f t="shared" si="46"/>
        <v>N</v>
      </c>
      <c r="X103" s="177">
        <f t="shared" si="35"/>
        <v>1</v>
      </c>
      <c r="Y103" s="67">
        <f t="shared" si="47"/>
        <v>4.2700000000000002E-2</v>
      </c>
      <c r="Z103" s="67">
        <f t="shared" si="48"/>
        <v>23.332699999999999</v>
      </c>
      <c r="AA103" s="67">
        <f t="shared" si="49"/>
        <v>23.29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50"/>
        <v>0195-16</v>
      </c>
      <c r="AE103" s="91" t="str">
        <f t="shared" si="37"/>
        <v>aws s3 cp s3://rtdc.mdm.uploadarchive.raw/RTDC4016/ "%USERPROFILE%\AppData\Local\Temp\OnboardLogs"\RTDC4016\2016-11-16 --exclude "*" --recursive --include "*20161116*" &amp; "%USERPROFILE%\Documents\GitHub\mrs-test-scripts\Headless Mode &amp; Sideloading\WalkAndUnGZ.bat" "%USERPROFILE%\AppData\Local\Temp\OnboardLogs"\RTDC4016\2016-11-16 &amp; aws s3 cp s3://rtdc.mdm.uploadarchive.raw/RTDC4016/ "%USERPROFILE%\AppData\Local\Temp\OnboardLogs"\RTDC4016\2016-11-17 --exclude "*" --recursive --include "*20161117*" &amp; "%USERPROFILE%\Documents\GitHub\mrs-test-scripts\Headless Mode &amp; Sideloading\WalkAndUnGZ.bat" "%USERPROFILE%\AppData\Local\Temp\OnboardLogs"\RTDC4016\2016-11-17</v>
      </c>
      <c r="AF103" s="88" t="str">
        <f t="shared" si="38"/>
        <v>"C:\Program Files (x86)\AstroGrep\AstroGrep.exe" /spath="%USERPROFILE%\AppData\Local\Temp\OnboardLogs" /stypes="app*4016*20161116*" /stext=" 23:.+((SYSTEM_STATE.+slice.+state.+changed )|(ment ac)|(system.+state.+changed )|(\[timeout)|(PRM\|1\|D)|(kpr)|(kdp)|(\|lc)|(penalty))" /e /r /s</v>
      </c>
      <c r="AG103" s="1" t="str">
        <f t="shared" si="51"/>
        <v>EC</v>
      </c>
      <c r="AH103" s="92" t="str">
        <f t="shared" si="39"/>
        <v>"%USERPROFILE%\Documents\GitHub\eaglep3\Utilities\RefineRTDCRunTimes.py" --tripid 195-16 --locoid 4016 --swversion DE.1.0.8.0 --startMP 204:427 --initTime 2016-11-16T15:22:19 --startdatetime 2016-11-16T15:30:28 --delay 1 --endMP 204:233327 --enddatetime 2016-11-16T16:05:30 --enforcementcount 0 &gt;&gt;C:\Users\stu\Documents\GitHub\eaglep3-reporting\EC\2016-11-16-refined-times.txt</v>
      </c>
      <c r="AI103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{"issue":{"subject":"","project_id":79,"tracker_id":40,"status_id":1,"priority_id":2,"assigned_to_id":23,"start_date":"2016-11-16","description":"","custom_fields":[{"id":1,"name":"Subdivision","value":"EC"},{"id":4,"name":"Milepost","value":"23.3327"},{"id":17,"name":"Train ID","value":"195-16"},{"id":16,"name":"Locomotive ID","value":"4016"},{"id":130,"name":"Impact","value":""},{"id":150,"name":"Time of Event (Mountain Time)","value":"16:05:30"},{"id":151,"name":"Denver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569</v>
      </c>
      <c r="B104" s="7">
        <v>4015</v>
      </c>
      <c r="C104" s="22" t="s">
        <v>222</v>
      </c>
      <c r="D104" s="22" t="s">
        <v>372</v>
      </c>
      <c r="E104" s="13">
        <v>42690.678680555553</v>
      </c>
      <c r="F104" s="13">
        <v>42690.684907407405</v>
      </c>
      <c r="G104" s="7">
        <v>1</v>
      </c>
      <c r="H104" s="22" t="s">
        <v>370</v>
      </c>
      <c r="I104" s="13">
        <v>42690.712372685186</v>
      </c>
      <c r="J104" s="7">
        <v>0</v>
      </c>
      <c r="K104" s="109" t="str">
        <f t="shared" si="41"/>
        <v>4015/4016</v>
      </c>
      <c r="L104" s="22" t="str">
        <f>VLOOKUP(A104,'Trips&amp;Operators'!$C$1:$E$10000,3,FALSE)</f>
        <v>BERLING</v>
      </c>
      <c r="M104" s="6">
        <f t="shared" si="42"/>
        <v>2.7465277780720498E-2</v>
      </c>
      <c r="N104" s="7">
        <f t="shared" si="43"/>
        <v>39.550000004237518</v>
      </c>
      <c r="O104" s="7"/>
      <c r="P104" s="7"/>
      <c r="Q104" s="23"/>
      <c r="R104" s="23"/>
      <c r="S104" s="35">
        <f t="shared" si="44"/>
        <v>1</v>
      </c>
      <c r="T104" s="50" t="str">
        <f t="shared" si="45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15:17:18-700',mode:absolute,to:'2016-11-16 18:05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4" s="52" t="str">
        <f t="shared" si="46"/>
        <v>N</v>
      </c>
      <c r="X104" s="177">
        <f t="shared" ref="X104:X113" si="52">VALUE(LEFT(AD104,4))-VALUE(LEFT(AD103,4))</f>
        <v>1</v>
      </c>
      <c r="Y104" s="67">
        <f t="shared" si="47"/>
        <v>23.3017</v>
      </c>
      <c r="Z104" s="67">
        <f t="shared" si="48"/>
        <v>1.2699999999999999E-2</v>
      </c>
      <c r="AA104" s="67">
        <f t="shared" si="49"/>
        <v>23.289000000000001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50"/>
        <v>0196-16</v>
      </c>
      <c r="AE104" s="91" t="str">
        <f t="shared" si="37"/>
        <v>aws s3 cp s3://rtdc.mdm.uploadarchive.raw/RTDC4015/ "%USERPROFILE%\AppData\Local\Temp\OnboardLogs"\RTDC4015\2016-11-16 --exclude "*" --recursive --include "*20161116*" &amp; "%USERPROFILE%\Documents\GitHub\mrs-test-scripts\Headless Mode &amp; Sideloading\WalkAndUnGZ.bat" "%USERPROFILE%\AppData\Local\Temp\OnboardLogs"\RTDC4015\2016-11-16 &amp; aws s3 cp s3://rtdc.mdm.uploadarchive.raw/RTDC4015/ "%USERPROFILE%\AppData\Local\Temp\OnboardLogs"\RTDC4015\2016-11-17 --exclude "*" --recursive --include "*20161117*" &amp; "%USERPROFILE%\Documents\GitHub\mrs-test-scripts\Headless Mode &amp; Sideloading\WalkAndUnGZ.bat" "%USERPROFILE%\AppData\Local\Temp\OnboardLogs"\RTDC4015\2016-11-17</v>
      </c>
      <c r="AF104" s="88" t="str">
        <f t="shared" si="38"/>
        <v>"C:\Program Files (x86)\AstroGrep\AstroGrep.exe" /spath="%USERPROFILE%\AppData\Local\Temp\OnboardLogs" /stypes="app*4015*20161117*" /stext=" 00:.+((SYSTEM_STATE.+slice.+state.+changed )|(ment ac)|(system.+state.+changed )|(\[timeout)|(PRM\|1\|D)|(kpr)|(kdp)|(\|lc)|(penalty))" /e /r /s</v>
      </c>
      <c r="AG104" s="1" t="str">
        <f t="shared" si="51"/>
        <v>EC</v>
      </c>
      <c r="AH104" s="92" t="str">
        <f t="shared" si="39"/>
        <v>"%USERPROFILE%\Documents\GitHub\eaglep3\Utilities\RefineRTDCRunTimes.py" --tripid 196-16 --locoid 4015 --swversion DE.1.0.8.0 --startMP 204:233017 --initTime 2016-11-16T16:17:18 --startdatetime 2016-11-16T16:26:16 --delay 1 --endMP 204:127 --enddatetime 2016-11-16T17:05:49 --enforcementcount 0 &gt;&gt;C:\Users\stu\Documents\GitHub\eaglep3-reporting\EC\2016-11-16-refined-times.txt</v>
      </c>
      <c r="AI104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{"issue":{"subject":"","project_id":79,"tracker_id":40,"status_id":1,"priority_id":2,"assigned_to_id":23,"start_date":"2016-11-16","description":"","custom_fields":[{"id":1,"name":"Subdivision","value":"EC"},{"id":4,"name":"Milepost","value":"0.0127"},{"id":17,"name":"Train ID","value":"196-16"},{"id":16,"name":"Locomotive ID","value":"4015"},{"id":130,"name":"Impact","value":""},{"id":150,"name":"Time of Event (Mountain Time)","value":"17:05:49"},{"id":151,"name":"Denver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434</v>
      </c>
      <c r="B105" s="7">
        <v>4044</v>
      </c>
      <c r="C105" s="22" t="s">
        <v>222</v>
      </c>
      <c r="D105" s="22" t="s">
        <v>683</v>
      </c>
      <c r="E105" s="13">
        <v>42690.651423611111</v>
      </c>
      <c r="F105" s="13">
        <v>42690.656412037039</v>
      </c>
      <c r="G105" s="7">
        <v>0</v>
      </c>
      <c r="H105" s="22" t="s">
        <v>652</v>
      </c>
      <c r="I105" s="13">
        <v>42690.683240740742</v>
      </c>
      <c r="J105" s="7">
        <v>0</v>
      </c>
      <c r="K105" s="109" t="str">
        <f t="shared" si="41"/>
        <v>4043/4044</v>
      </c>
      <c r="L105" s="22" t="str">
        <f>VLOOKUP(A105,'Trips&amp;Operators'!$C$1:$E$10000,3,FALSE)</f>
        <v>HILLS</v>
      </c>
      <c r="M105" s="6">
        <f t="shared" si="42"/>
        <v>2.6828703703358769E-2</v>
      </c>
      <c r="N105" s="7">
        <f t="shared" si="43"/>
        <v>38.633333332836628</v>
      </c>
      <c r="O105" s="7"/>
      <c r="P105" s="7"/>
      <c r="Q105" s="23"/>
      <c r="R105" s="23"/>
      <c r="S105" s="35">
        <f t="shared" si="44"/>
        <v>1</v>
      </c>
      <c r="T105" s="50" t="str">
        <f t="shared" si="45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14:38:03-700',mode:absolute,to:'2016-11-16 17:23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5" s="52" t="str">
        <f t="shared" si="46"/>
        <v>N</v>
      </c>
      <c r="X105" s="177">
        <f t="shared" si="52"/>
        <v>1</v>
      </c>
      <c r="Y105" s="67">
        <f t="shared" si="47"/>
        <v>3.6700000000000003E-2</v>
      </c>
      <c r="Z105" s="67">
        <f t="shared" si="48"/>
        <v>23.331800000000001</v>
      </c>
      <c r="AA105" s="67">
        <f t="shared" si="49"/>
        <v>23.295100000000001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50"/>
        <v>0197-16</v>
      </c>
      <c r="AE105" s="91" t="str">
        <f t="shared" si="37"/>
        <v>aws s3 cp s3://rtdc.mdm.uploadarchive.raw/RTDC4044/ "%USERPROFILE%\AppData\Local\Temp\OnboardLogs"\RTDC4044\2016-11-16 --exclude "*" --recursive --include "*20161116*" &amp; "%USERPROFILE%\Documents\GitHub\mrs-test-scripts\Headless Mode &amp; Sideloading\WalkAndUnGZ.bat" "%USERPROFILE%\AppData\Local\Temp\OnboardLogs"\RTDC4044\2016-11-16 &amp; aws s3 cp s3://rtdc.mdm.uploadarchive.raw/RTDC4044/ "%USERPROFILE%\AppData\Local\Temp\OnboardLogs"\RTDC4044\2016-11-17 --exclude "*" --recursive --include "*20161117*" &amp; "%USERPROFILE%\Documents\GitHub\mrs-test-scripts\Headless Mode &amp; Sideloading\WalkAndUnGZ.bat" "%USERPROFILE%\AppData\Local\Temp\OnboardLogs"\RTDC4044\2016-11-17</v>
      </c>
      <c r="AF105" s="88" t="str">
        <f t="shared" si="38"/>
        <v>"C:\Program Files (x86)\AstroGrep\AstroGrep.exe" /spath="%USERPROFILE%\AppData\Local\Temp\OnboardLogs" /stypes="app*4044*20161116*" /stext=" 23:.+((SYSTEM_STATE.+slice.+state.+changed )|(ment ac)|(system.+state.+changed )|(\[timeout)|(PRM\|1\|D)|(kpr)|(kdp)|(\|lc)|(penalty))" /e /r /s</v>
      </c>
      <c r="AG105" s="1" t="str">
        <f t="shared" si="51"/>
        <v>EC</v>
      </c>
      <c r="AH105" s="92" t="str">
        <f t="shared" si="39"/>
        <v>"%USERPROFILE%\Documents\GitHub\eaglep3\Utilities\RefineRTDCRunTimes.py" --tripid 197-16 --locoid 4044 --swversion DE.1.0.8.0 --startMP 204:367 --initTime 2016-11-16T15:38:03 --startdatetime 2016-11-16T15:45:14 --delay 0 --endMP 204:233318 --enddatetime 2016-11-16T16:23:52 --enforcementcount 0 &gt;&gt;C:\Users\stu\Documents\GitHub\eaglep3-reporting\EC\2016-11-16-refined-times.txt</v>
      </c>
      <c r="AI105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{"issue":{"subject":"","project_id":79,"tracker_id":40,"status_id":1,"priority_id":2,"assigned_to_id":23,"start_date":"2016-11-16","description":"","custom_fields":[{"id":1,"name":"Subdivision","value":"EC"},{"id":4,"name":"Milepost","value":"23.3318"},{"id":17,"name":"Train ID","value":"197-16"},{"id":16,"name":"Locomotive ID","value":"4044"},{"id":130,"name":"Impact","value":""},{"id":150,"name":"Time of Event (Mountain Time)","value":"16:23:52"},{"id":151,"name":"Denver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571</v>
      </c>
      <c r="B106" s="7">
        <v>4043</v>
      </c>
      <c r="C106" s="22" t="s">
        <v>222</v>
      </c>
      <c r="D106" s="22" t="s">
        <v>684</v>
      </c>
      <c r="E106" s="13">
        <v>42690.684363425928</v>
      </c>
      <c r="F106" s="13">
        <v>42690.695648148147</v>
      </c>
      <c r="G106" s="7">
        <v>12</v>
      </c>
      <c r="H106" s="22" t="s">
        <v>685</v>
      </c>
      <c r="I106" s="13">
        <v>42690.726446759261</v>
      </c>
      <c r="J106" s="7">
        <v>0</v>
      </c>
      <c r="K106" s="109" t="str">
        <f t="shared" si="41"/>
        <v>4043/4044</v>
      </c>
      <c r="L106" s="22" t="str">
        <f>VLOOKUP(A106,'Trips&amp;Operators'!$C$1:$E$10000,3,FALSE)</f>
        <v>HILLS</v>
      </c>
      <c r="M106" s="6">
        <f t="shared" si="42"/>
        <v>3.0798611114732921E-2</v>
      </c>
      <c r="N106" s="7">
        <f t="shared" si="43"/>
        <v>44.350000005215406</v>
      </c>
      <c r="O106" s="7"/>
      <c r="P106" s="7"/>
      <c r="Q106" s="23"/>
      <c r="R106" s="23"/>
      <c r="S106" s="35">
        <f t="shared" si="44"/>
        <v>1</v>
      </c>
      <c r="T106" s="50" t="str">
        <f t="shared" si="45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15:25:29-700',mode:absolute,to:'2016-11-16 18:26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6" s="52" t="str">
        <f t="shared" si="46"/>
        <v>N</v>
      </c>
      <c r="X106" s="177">
        <f t="shared" si="52"/>
        <v>1</v>
      </c>
      <c r="Y106" s="67">
        <f t="shared" si="47"/>
        <v>23.300899999999999</v>
      </c>
      <c r="Z106" s="67">
        <f t="shared" si="48"/>
        <v>1.0999999999999999E-2</v>
      </c>
      <c r="AA106" s="67">
        <f t="shared" si="49"/>
        <v>23.289899999999999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50"/>
        <v>0198-16</v>
      </c>
      <c r="AE106" s="91" t="str">
        <f t="shared" si="37"/>
        <v>aws s3 cp s3://rtdc.mdm.uploadarchive.raw/RTDC4043/ "%USERPROFILE%\AppData\Local\Temp\OnboardLogs"\RTDC4043\2016-11-16 --exclude "*" --recursive --include "*20161116*" &amp; "%USERPROFILE%\Documents\GitHub\mrs-test-scripts\Headless Mode &amp; Sideloading\WalkAndUnGZ.bat" "%USERPROFILE%\AppData\Local\Temp\OnboardLogs"\RTDC4043\2016-11-16 &amp; aws s3 cp s3://rtdc.mdm.uploadarchive.raw/RTDC4043/ "%USERPROFILE%\AppData\Local\Temp\OnboardLogs"\RTDC4043\2016-11-17 --exclude "*" --recursive --include "*20161117*" &amp; "%USERPROFILE%\Documents\GitHub\mrs-test-scripts\Headless Mode &amp; Sideloading\WalkAndUnGZ.bat" "%USERPROFILE%\AppData\Local\Temp\OnboardLogs"\RTDC4043\2016-11-17</v>
      </c>
      <c r="AF106" s="88" t="str">
        <f t="shared" si="38"/>
        <v>"C:\Program Files (x86)\AstroGrep\AstroGrep.exe" /spath="%USERPROFILE%\AppData\Local\Temp\OnboardLogs" /stypes="app*4043*20161117*" /stext=" 00:.+((SYSTEM_STATE.+slice.+state.+changed )|(ment ac)|(system.+state.+changed )|(\[timeout)|(PRM\|1\|D)|(kpr)|(kdp)|(\|lc)|(penalty))" /e /r /s</v>
      </c>
      <c r="AG106" s="1" t="str">
        <f t="shared" si="51"/>
        <v>EC</v>
      </c>
      <c r="AH106" s="92" t="str">
        <f t="shared" si="39"/>
        <v>"%USERPROFILE%\Documents\GitHub\eaglep3\Utilities\RefineRTDCRunTimes.py" --tripid 198-16 --locoid 4043 --swversion DE.1.0.8.0 --startMP 204:233009 --initTime 2016-11-16T16:25:29 --startdatetime 2016-11-16T16:41:44 --delay 12 --endMP 204:110 --enddatetime 2016-11-16T17:26:05 --enforcementcount 0 &gt;&gt;C:\Users\stu\Documents\GitHub\eaglep3-reporting\EC\2016-11-16-refined-times.txt</v>
      </c>
      <c r="AI106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{"issue":{"subject":"","project_id":79,"tracker_id":40,"status_id":1,"priority_id":2,"assigned_to_id":23,"start_date":"2016-11-16","description":"","custom_fields":[{"id":1,"name":"Subdivision","value":"EC"},{"id":4,"name":"Milepost","value":"0.011"},{"id":17,"name":"Train ID","value":"198-16"},{"id":16,"name":"Locomotive ID","value":"4043"},{"id":130,"name":"Impact","value":""},{"id":150,"name":"Time of Event (Mountain Time)","value":"17:26:05"},{"id":151,"name":"Denver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566</v>
      </c>
      <c r="B107" s="7">
        <v>4029</v>
      </c>
      <c r="C107" s="22" t="s">
        <v>222</v>
      </c>
      <c r="D107" s="22" t="s">
        <v>219</v>
      </c>
      <c r="E107" s="13">
        <v>42690.662615740737</v>
      </c>
      <c r="F107" s="13">
        <v>42690.666898148149</v>
      </c>
      <c r="G107" s="7">
        <v>1</v>
      </c>
      <c r="H107" s="22" t="s">
        <v>241</v>
      </c>
      <c r="I107" s="13">
        <v>42690.692893518521</v>
      </c>
      <c r="J107" s="7">
        <v>0</v>
      </c>
      <c r="K107" s="109" t="str">
        <f t="shared" si="41"/>
        <v>4029/4030</v>
      </c>
      <c r="L107" s="22" t="str">
        <f>VLOOKUP(A107,'Trips&amp;Operators'!$C$1:$E$10000,3,FALSE)</f>
        <v>NICHOLSON</v>
      </c>
      <c r="M107" s="6">
        <f t="shared" si="42"/>
        <v>2.5995370371674653E-2</v>
      </c>
      <c r="N107" s="7">
        <f t="shared" si="43"/>
        <v>37.433333335211501</v>
      </c>
      <c r="O107" s="7"/>
      <c r="P107" s="7"/>
      <c r="Q107" s="23"/>
      <c r="R107" s="23"/>
      <c r="S107" s="35">
        <f t="shared" si="44"/>
        <v>1</v>
      </c>
      <c r="T107" s="50" t="str">
        <f t="shared" si="45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14:54:10-700',mode:absolute,to:'2016-11-16 17:37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7" s="52" t="str">
        <f t="shared" si="46"/>
        <v>N</v>
      </c>
      <c r="X107" s="177">
        <f t="shared" si="52"/>
        <v>1</v>
      </c>
      <c r="Y107" s="67">
        <f t="shared" si="47"/>
        <v>4.5699999999999998E-2</v>
      </c>
      <c r="Z107" s="67">
        <f t="shared" si="48"/>
        <v>23.331900000000001</v>
      </c>
      <c r="AA107" s="67">
        <f t="shared" si="49"/>
        <v>23.286200000000001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50"/>
        <v>0199-16</v>
      </c>
      <c r="AE107" s="91" t="str">
        <f t="shared" si="37"/>
        <v>aws s3 cp s3://rtdc.mdm.uploadarchive.raw/RTDC4029/ "%USERPROFILE%\AppData\Local\Temp\OnboardLogs"\RTDC4029\2016-11-16 --exclude "*" --recursive --include "*20161116*" &amp; "%USERPROFILE%\Documents\GitHub\mrs-test-scripts\Headless Mode &amp; Sideloading\WalkAndUnGZ.bat" "%USERPROFILE%\AppData\Local\Temp\OnboardLogs"\RTDC4029\2016-11-16 &amp; aws s3 cp s3://rtdc.mdm.uploadarchive.raw/RTDC4029/ "%USERPROFILE%\AppData\Local\Temp\OnboardLogs"\RTDC4029\2016-11-17 --exclude "*" --recursive --include "*20161117*" &amp; "%USERPROFILE%\Documents\GitHub\mrs-test-scripts\Headless Mode &amp; Sideloading\WalkAndUnGZ.bat" "%USERPROFILE%\AppData\Local\Temp\OnboardLogs"\RTDC4029\2016-11-17</v>
      </c>
      <c r="AF107" s="88" t="str">
        <f t="shared" si="38"/>
        <v>"C:\Program Files (x86)\AstroGrep\AstroGrep.exe" /spath="%USERPROFILE%\AppData\Local\Temp\OnboardLogs" /stypes="app*4029*20161116*" /stext=" 23:.+((SYSTEM_STATE.+slice.+state.+changed )|(ment ac)|(system.+state.+changed )|(\[timeout)|(PRM\|1\|D)|(kpr)|(kdp)|(\|lc)|(penalty))" /e /r /s</v>
      </c>
      <c r="AG107" s="1" t="str">
        <f t="shared" si="51"/>
        <v>EC</v>
      </c>
      <c r="AH107" s="92" t="str">
        <f t="shared" si="39"/>
        <v>"%USERPROFILE%\Documents\GitHub\eaglep3\Utilities\RefineRTDCRunTimes.py" --tripid 199-16 --locoid 4029 --swversion DE.1.0.8.0 --startMP 204:457 --initTime 2016-11-16T15:54:10 --startdatetime 2016-11-16T16:00:20 --delay 1 --endMP 204:233319 --enddatetime 2016-11-16T16:37:46 --enforcementcount 0 &gt;&gt;C:\Users\stu\Documents\GitHub\eaglep3-reporting\EC\2016-11-16-refined-times.txt</v>
      </c>
      <c r="AI107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{"issue":{"subject":"","project_id":79,"tracker_id":40,"status_id":1,"priority_id":2,"assigned_to_id":23,"start_date":"2016-11-16","description":"","custom_fields":[{"id":1,"name":"Subdivision","value":"EC"},{"id":4,"name":"Milepost","value":"23.3319"},{"id":17,"name":"Train ID","value":"199-16"},{"id":16,"name":"Locomotive ID","value":"4029"},{"id":130,"name":"Impact","value":""},{"id":150,"name":"Time of Event (Mountain Time)","value":"16:37:46"},{"id":151,"name":"Denver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575</v>
      </c>
      <c r="B108" s="7">
        <v>4030</v>
      </c>
      <c r="C108" s="22" t="s">
        <v>222</v>
      </c>
      <c r="D108" s="22" t="s">
        <v>378</v>
      </c>
      <c r="E108" s="13">
        <v>42690.700520833336</v>
      </c>
      <c r="F108" s="13">
        <v>42690.705821759257</v>
      </c>
      <c r="G108" s="7">
        <v>1</v>
      </c>
      <c r="H108" s="22" t="s">
        <v>175</v>
      </c>
      <c r="I108" s="13">
        <v>42690.737372685187</v>
      </c>
      <c r="J108" s="7">
        <v>0</v>
      </c>
      <c r="K108" s="109" t="str">
        <f t="shared" si="41"/>
        <v>4029/4030</v>
      </c>
      <c r="L108" s="22" t="str">
        <f>VLOOKUP(A108,'Trips&amp;Operators'!$C$1:$E$10000,3,FALSE)</f>
        <v>NICHOLSON</v>
      </c>
      <c r="M108" s="6">
        <f t="shared" si="42"/>
        <v>3.1550925930787344E-2</v>
      </c>
      <c r="N108" s="7">
        <f t="shared" si="43"/>
        <v>45.433333340333775</v>
      </c>
      <c r="O108" s="7"/>
      <c r="P108" s="7"/>
      <c r="Q108" s="23"/>
      <c r="R108" s="23"/>
      <c r="S108" s="35">
        <f t="shared" si="44"/>
        <v>1</v>
      </c>
      <c r="T108" s="50" t="str">
        <f t="shared" si="45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15:48:45-700',mode:absolute,to:'2016-11-16 18:41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8" s="52" t="str">
        <f t="shared" si="46"/>
        <v>N</v>
      </c>
      <c r="X108" s="177">
        <f t="shared" si="52"/>
        <v>1</v>
      </c>
      <c r="Y108" s="67">
        <f t="shared" si="47"/>
        <v>23.299800000000001</v>
      </c>
      <c r="Z108" s="67">
        <f t="shared" si="48"/>
        <v>1.52E-2</v>
      </c>
      <c r="AA108" s="67">
        <f t="shared" si="49"/>
        <v>23.284600000000001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50"/>
        <v>0200-16</v>
      </c>
      <c r="AE108" s="91" t="str">
        <f t="shared" si="37"/>
        <v>aws s3 cp s3://rtdc.mdm.uploadarchive.raw/RTDC4030/ "%USERPROFILE%\AppData\Local\Temp\OnboardLogs"\RTDC4030\2016-11-16 --exclude "*" --recursive --include "*20161116*" &amp; "%USERPROFILE%\Documents\GitHub\mrs-test-scripts\Headless Mode &amp; Sideloading\WalkAndUnGZ.bat" "%USERPROFILE%\AppData\Local\Temp\OnboardLogs"\RTDC4030\2016-11-16 &amp; aws s3 cp s3://rtdc.mdm.uploadarchive.raw/RTDC4030/ "%USERPROFILE%\AppData\Local\Temp\OnboardLogs"\RTDC4030\2016-11-17 --exclude "*" --recursive --include "*20161117*" &amp; "%USERPROFILE%\Documents\GitHub\mrs-test-scripts\Headless Mode &amp; Sideloading\WalkAndUnGZ.bat" "%USERPROFILE%\AppData\Local\Temp\OnboardLogs"\RTDC4030\2016-11-17</v>
      </c>
      <c r="AF108" s="88" t="str">
        <f t="shared" si="38"/>
        <v>"C:\Program Files (x86)\AstroGrep\AstroGrep.exe" /spath="%USERPROFILE%\AppData\Local\Temp\OnboardLogs" /stypes="app*4030*20161117*" /stext=" 00:.+((SYSTEM_STATE.+slice.+state.+changed )|(ment ac)|(system.+state.+changed )|(\[timeout)|(PRM\|1\|D)|(kpr)|(kdp)|(\|lc)|(penalty))" /e /r /s</v>
      </c>
      <c r="AG108" s="1" t="str">
        <f t="shared" si="51"/>
        <v>EC</v>
      </c>
      <c r="AH108" s="92" t="str">
        <f t="shared" si="39"/>
        <v>"%USERPROFILE%\Documents\GitHub\eaglep3\Utilities\RefineRTDCRunTimes.py" --tripid 200-16 --locoid 4030 --swversion DE.1.0.8.0 --startMP 204:232998 --initTime 2016-11-16T16:48:45 --startdatetime 2016-11-16T16:56:23 --delay 1 --endMP 204:152 --enddatetime 2016-11-16T17:41:49 --enforcementcount 0 &gt;&gt;C:\Users\stu\Documents\GitHub\eaglep3-reporting\EC\2016-11-16-refined-times.txt</v>
      </c>
      <c r="AI108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{"issue":{"subject":"","project_id":79,"tracker_id":40,"status_id":1,"priority_id":2,"assigned_to_id":23,"start_date":"2016-11-16","description":"","custom_fields":[{"id":1,"name":"Subdivision","value":"EC"},{"id":4,"name":"Milepost","value":"0.0152"},{"id":17,"name":"Train ID","value":"200-16"},{"id":16,"name":"Locomotive ID","value":"4030"},{"id":130,"name":"Impact","value":""},{"id":150,"name":"Time of Event (Mountain Time)","value":"17:41:49"},{"id":151,"name":"Denver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567</v>
      </c>
      <c r="B109" s="7">
        <v>4038</v>
      </c>
      <c r="C109" s="22" t="s">
        <v>222</v>
      </c>
      <c r="D109" s="22" t="s">
        <v>252</v>
      </c>
      <c r="E109" s="13">
        <v>42690.671574074076</v>
      </c>
      <c r="F109" s="13">
        <v>42690.677546296298</v>
      </c>
      <c r="G109" s="7">
        <v>1</v>
      </c>
      <c r="H109" s="22" t="s">
        <v>686</v>
      </c>
      <c r="I109" s="13">
        <v>42690.704004629632</v>
      </c>
      <c r="J109" s="7">
        <v>0</v>
      </c>
      <c r="K109" s="109" t="str">
        <f t="shared" si="41"/>
        <v>4037/4038</v>
      </c>
      <c r="L109" s="22" t="str">
        <f>VLOOKUP(A109,'Trips&amp;Operators'!$C$1:$E$10000,3,FALSE)</f>
        <v>MACDONALD</v>
      </c>
      <c r="M109" s="6">
        <f t="shared" si="42"/>
        <v>2.6458333333721384E-2</v>
      </c>
      <c r="N109" s="7">
        <f t="shared" si="43"/>
        <v>38.100000000558794</v>
      </c>
      <c r="O109" s="7"/>
      <c r="P109" s="7"/>
      <c r="Q109" s="23"/>
      <c r="R109" s="23"/>
      <c r="S109" s="35">
        <f t="shared" si="44"/>
        <v>1</v>
      </c>
      <c r="T109" s="50" t="str">
        <f t="shared" si="45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15:07:04-700',mode:absolute,to:'2016-11-16 17:53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9" s="52" t="str">
        <f t="shared" si="46"/>
        <v>N</v>
      </c>
      <c r="X109" s="177">
        <f t="shared" si="52"/>
        <v>1</v>
      </c>
      <c r="Y109" s="67">
        <f t="shared" si="47"/>
        <v>4.7300000000000002E-2</v>
      </c>
      <c r="Z109" s="67">
        <f t="shared" si="48"/>
        <v>23.327000000000002</v>
      </c>
      <c r="AA109" s="67">
        <f t="shared" si="49"/>
        <v>23.279700000000002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50"/>
        <v>0201-16</v>
      </c>
      <c r="AE109" s="91" t="str">
        <f t="shared" si="37"/>
        <v>aws s3 cp s3://rtdc.mdm.uploadarchive.raw/RTDC4038/ "%USERPROFILE%\AppData\Local\Temp\OnboardLogs"\RTDC4038\2016-11-16 --exclude "*" --recursive --include "*20161116*" &amp; "%USERPROFILE%\Documents\GitHub\mrs-test-scripts\Headless Mode &amp; Sideloading\WalkAndUnGZ.bat" "%USERPROFILE%\AppData\Local\Temp\OnboardLogs"\RTDC4038\2016-11-16 &amp; 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</v>
      </c>
      <c r="AF109" s="88" t="str">
        <f t="shared" si="38"/>
        <v>"C:\Program Files (x86)\AstroGrep\AstroGrep.exe" /spath="%USERPROFILE%\AppData\Local\Temp\OnboardLogs" /stypes="app*4038*20161116*" /stext=" 23:.+((SYSTEM_STATE.+slice.+state.+changed )|(ment ac)|(system.+state.+changed )|(\[timeout)|(PRM\|1\|D)|(kpr)|(kdp)|(\|lc)|(penalty))" /e /r /s</v>
      </c>
      <c r="AG109" s="1" t="str">
        <f t="shared" si="51"/>
        <v>EC</v>
      </c>
      <c r="AH109" s="92" t="str">
        <f t="shared" si="39"/>
        <v>"%USERPROFILE%\Documents\GitHub\eaglep3\Utilities\RefineRTDCRunTimes.py" --tripid 201-16 --locoid 4038 --swversion DE.1.0.8.0 --startMP 204:473 --initTime 2016-11-16T16:07:04 --startdatetime 2016-11-16T16:15:40 --delay 1 --endMP 204:233270 --enddatetime 2016-11-16T16:53:46 --enforcementcount 0 &gt;&gt;C:\Users\stu\Documents\GitHub\eaglep3-reporting\EC\2016-11-16-refined-times.txt</v>
      </c>
      <c r="AI109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{"issue":{"subject":"","project_id":79,"tracker_id":40,"status_id":1,"priority_id":2,"assigned_to_id":23,"start_date":"2016-11-16","description":"","custom_fields":[{"id":1,"name":"Subdivision","value":"EC"},{"id":4,"name":"Milepost","value":"23.327"},{"id":17,"name":"Train ID","value":"201-16"},{"id":16,"name":"Locomotive ID","value":"4038"},{"id":130,"name":"Impact","value":""},{"id":150,"name":"Time of Event (Mountain Time)","value":"16:53:46"},{"id":151,"name":"Denver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7" t="s">
        <v>577</v>
      </c>
      <c r="B110" s="7">
        <v>4037</v>
      </c>
      <c r="C110" s="22" t="s">
        <v>222</v>
      </c>
      <c r="D110" s="22" t="s">
        <v>373</v>
      </c>
      <c r="E110" s="13">
        <v>42690.70989583333</v>
      </c>
      <c r="F110" s="13">
        <v>42690.716770833336</v>
      </c>
      <c r="G110" s="7">
        <v>0</v>
      </c>
      <c r="H110" s="22" t="s">
        <v>278</v>
      </c>
      <c r="I110" s="13">
        <v>42690.746157407404</v>
      </c>
      <c r="J110" s="7">
        <v>0</v>
      </c>
      <c r="K110" s="109" t="str">
        <f t="shared" si="41"/>
        <v>4037/4038</v>
      </c>
      <c r="L110" s="22" t="str">
        <f>VLOOKUP(A110,'Trips&amp;Operators'!$C$1:$E$10000,3,FALSE)</f>
        <v>MACDONALD</v>
      </c>
      <c r="M110" s="6">
        <f t="shared" si="42"/>
        <v>2.9386574067757465E-2</v>
      </c>
      <c r="N110" s="7">
        <f t="shared" si="43"/>
        <v>42.31666665757075</v>
      </c>
      <c r="O110" s="7"/>
      <c r="P110" s="7"/>
      <c r="Q110" s="23"/>
      <c r="R110" s="23"/>
      <c r="S110" s="35">
        <f t="shared" si="44"/>
        <v>1</v>
      </c>
      <c r="T110" s="50" t="str">
        <f t="shared" si="45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16:02:15-700',mode:absolute,to:'2016-11-16 18:54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0" s="52" t="str">
        <f t="shared" si="46"/>
        <v>N</v>
      </c>
      <c r="X110" s="177">
        <f t="shared" si="52"/>
        <v>1</v>
      </c>
      <c r="Y110" s="67">
        <f t="shared" si="47"/>
        <v>23.2959</v>
      </c>
      <c r="Z110" s="67">
        <f t="shared" si="48"/>
        <v>1.54E-2</v>
      </c>
      <c r="AA110" s="67">
        <f t="shared" si="49"/>
        <v>23.2805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50"/>
        <v>0202-16</v>
      </c>
      <c r="AE110" s="91" t="str">
        <f t="shared" si="37"/>
        <v>aws s3 cp s3://rtdc.mdm.uploadarchive.raw/RTDC4037/ "%USERPROFILE%\AppData\Local\Temp\OnboardLogs"\RTDC4037\2016-11-16 --exclude "*" --recursive --include "*20161116*" &amp; "%USERPROFILE%\Documents\GitHub\mrs-test-scripts\Headless Mode &amp; Sideloading\WalkAndUnGZ.bat" "%USERPROFILE%\AppData\Local\Temp\OnboardLogs"\RTDC4037\2016-11-16 &amp; 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</v>
      </c>
      <c r="AF110" s="88" t="str">
        <f t="shared" si="38"/>
        <v>"C:\Program Files (x86)\AstroGrep\AstroGrep.exe" /spath="%USERPROFILE%\AppData\Local\Temp\OnboardLogs" /stypes="app*4037*20161117*" /stext=" 00:.+((SYSTEM_STATE.+slice.+state.+changed )|(ment ac)|(system.+state.+changed )|(\[timeout)|(PRM\|1\|D)|(kpr)|(kdp)|(\|lc)|(penalty))" /e /r /s</v>
      </c>
      <c r="AG110" s="1" t="str">
        <f t="shared" si="51"/>
        <v>EC</v>
      </c>
      <c r="AH110" s="92" t="str">
        <f t="shared" si="39"/>
        <v>"%USERPROFILE%\Documents\GitHub\eaglep3\Utilities\RefineRTDCRunTimes.py" --tripid 202-16 --locoid 4037 --swversion DE.1.0.8.0 --startMP 204:232959 --initTime 2016-11-16T17:02:15 --startdatetime 2016-11-16T17:12:09 --delay 0 --endMP 204:154 --enddatetime 2016-11-16T17:54:28 --enforcementcount 0 &gt;&gt;C:\Users\stu\Documents\GitHub\eaglep3-reporting\EC\2016-11-16-refined-times.txt</v>
      </c>
      <c r="AI110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{"issue":{"subject":"","project_id":79,"tracker_id":40,"status_id":1,"priority_id":2,"assigned_to_id":23,"start_date":"2016-11-16","description":"","custom_fields":[{"id":1,"name":"Subdivision","value":"EC"},{"id":4,"name":"Milepost","value":"0.0154"},{"id":17,"name":"Train ID","value":"202-16"},{"id":16,"name":"Locomotive ID","value":"4037"},{"id":130,"name":"Impact","value":""},{"id":150,"name":"Time of Event (Mountain Time)","value":"17:54:28"},{"id":151,"name":"Denver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s="21" customFormat="1" x14ac:dyDescent="0.25">
      <c r="A111" s="37" t="s">
        <v>570</v>
      </c>
      <c r="B111" s="7">
        <v>4009</v>
      </c>
      <c r="C111" s="22" t="s">
        <v>222</v>
      </c>
      <c r="D111" s="22" t="s">
        <v>687</v>
      </c>
      <c r="E111" s="13">
        <v>42690.682581018518</v>
      </c>
      <c r="F111" s="13">
        <v>42690.687673611108</v>
      </c>
      <c r="G111" s="7">
        <v>1</v>
      </c>
      <c r="H111" s="22" t="s">
        <v>200</v>
      </c>
      <c r="I111" s="13">
        <v>42690.712696759256</v>
      </c>
      <c r="J111" s="7">
        <v>0</v>
      </c>
      <c r="K111" s="109" t="str">
        <f t="shared" si="41"/>
        <v>4009/4010</v>
      </c>
      <c r="L111" s="22" t="str">
        <f>VLOOKUP(A111,'Trips&amp;Operators'!$C$1:$E$10000,3,FALSE)</f>
        <v>BARTLETT</v>
      </c>
      <c r="M111" s="6">
        <f t="shared" si="42"/>
        <v>2.5023148147738539E-2</v>
      </c>
      <c r="N111" s="7">
        <f t="shared" si="43"/>
        <v>36.033333332743496</v>
      </c>
      <c r="O111" s="7"/>
      <c r="P111" s="7"/>
      <c r="Q111" s="23"/>
      <c r="R111" s="23"/>
      <c r="S111" s="35">
        <f t="shared" si="44"/>
        <v>1</v>
      </c>
      <c r="T111" s="50" t="str">
        <f t="shared" si="45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15:22:55-700',mode:absolute,to:'2016-11-16 18:06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1" s="52" t="str">
        <f t="shared" si="46"/>
        <v>N</v>
      </c>
      <c r="X111" s="177">
        <f t="shared" si="52"/>
        <v>1</v>
      </c>
      <c r="Y111" s="67">
        <f t="shared" si="47"/>
        <v>4.0899999999999999E-2</v>
      </c>
      <c r="Z111" s="67">
        <f t="shared" si="48"/>
        <v>23.329499999999999</v>
      </c>
      <c r="AA111" s="67">
        <f t="shared" si="49"/>
        <v>23.288599999999999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50"/>
        <v>0203-16</v>
      </c>
      <c r="AE111" s="91" t="str">
        <f t="shared" si="37"/>
        <v>aws s3 cp s3://rtdc.mdm.uploadarchive.raw/RTDC4009/ "%USERPROFILE%\AppData\Local\Temp\OnboardLogs"\RTDC4009\2016-11-16 --exclude "*" --recursive --include "*20161116*" &amp; "%USERPROFILE%\Documents\GitHub\mrs-test-scripts\Headless Mode &amp; Sideloading\WalkAndUnGZ.bat" "%USERPROFILE%\AppData\Local\Temp\OnboardLogs"\RTDC4009\2016-11-16 &amp; aws s3 cp s3://rtdc.mdm.uploadarchive.raw/RTDC4009/ "%USERPROFILE%\AppData\Local\Temp\OnboardLogs"\RTDC4009\2016-11-17 --exclude "*" --recursive --include "*20161117*" &amp; "%USERPROFILE%\Documents\GitHub\mrs-test-scripts\Headless Mode &amp; Sideloading\WalkAndUnGZ.bat" "%USERPROFILE%\AppData\Local\Temp\OnboardLogs"\RTDC4009\2016-11-17</v>
      </c>
      <c r="AF111" s="88" t="str">
        <f t="shared" si="38"/>
        <v>"C:\Program Files (x86)\AstroGrep\AstroGrep.exe" /spath="%USERPROFILE%\AppData\Local\Temp\OnboardLogs" /stypes="app*4009*20161117*" /stext=" 00:.+((SYSTEM_STATE.+slice.+state.+changed )|(ment ac)|(system.+state.+changed )|(\[timeout)|(PRM\|1\|D)|(kpr)|(kdp)|(\|lc)|(penalty))" /e /r /s</v>
      </c>
      <c r="AG111" s="1" t="str">
        <f t="shared" si="51"/>
        <v>EC</v>
      </c>
      <c r="AH111" s="92" t="str">
        <f t="shared" si="39"/>
        <v>"%USERPROFILE%\Documents\GitHub\eaglep3\Utilities\RefineRTDCRunTimes.py" --tripid 203-16 --locoid 4009 --swversion DE.1.0.8.0 --startMP 204:409 --initTime 2016-11-16T16:22:55 --startdatetime 2016-11-16T16:30:15 --delay 1 --endMP 204:233295 --enddatetime 2016-11-16T17:06:17 --enforcementcount 0 &gt;&gt;C:\Users\stu\Documents\GitHub\eaglep3-reporting\EC\2016-11-16-refined-times.txt</v>
      </c>
      <c r="AI111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{"issue":{"subject":"","project_id":79,"tracker_id":40,"status_id":1,"priority_id":2,"assigned_to_id":23,"start_date":"2016-11-16","description":"","custom_fields":[{"id":1,"name":"Subdivision","value":"EC"},{"id":4,"name":"Milepost","value":"23.3295"},{"id":17,"name":"Train ID","value":"203-16"},{"id":16,"name":"Locomotive ID","value":"4009"},{"id":130,"name":"Impact","value":""},{"id":150,"name":"Time of Event (Mountain Time)","value":"17:06:17"},{"id":151,"name":"Denver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584</v>
      </c>
      <c r="B112" s="7">
        <v>4010</v>
      </c>
      <c r="C112" s="22" t="s">
        <v>222</v>
      </c>
      <c r="D112" s="22" t="s">
        <v>287</v>
      </c>
      <c r="E112" s="13">
        <v>42690.738136574073</v>
      </c>
      <c r="F112" s="13">
        <v>42690.741030092591</v>
      </c>
      <c r="G112" s="7">
        <v>1</v>
      </c>
      <c r="H112" s="22" t="s">
        <v>659</v>
      </c>
      <c r="I112" s="13">
        <v>42690.768946759257</v>
      </c>
      <c r="J112" s="7">
        <v>0</v>
      </c>
      <c r="K112" s="109" t="str">
        <f t="shared" si="41"/>
        <v>4009/4010</v>
      </c>
      <c r="L112" s="22" t="str">
        <f>VLOOKUP(A112,'Trips&amp;Operators'!$C$1:$E$10000,3,FALSE)</f>
        <v>BARTLETT</v>
      </c>
      <c r="M112" s="6">
        <f t="shared" si="42"/>
        <v>2.7916666665987577E-2</v>
      </c>
      <c r="N112" s="7">
        <f t="shared" si="43"/>
        <v>40.199999999022111</v>
      </c>
      <c r="O112" s="7"/>
      <c r="P112" s="7"/>
      <c r="Q112" s="23"/>
      <c r="R112" s="23"/>
      <c r="S112" s="35">
        <f t="shared" si="44"/>
        <v>1</v>
      </c>
      <c r="T112" s="50" t="str">
        <f t="shared" si="45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16:42:55-700',mode:absolute,to:'2016-11-16 19:27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2" s="52" t="str">
        <f t="shared" si="46"/>
        <v>N</v>
      </c>
      <c r="X112" s="177">
        <f t="shared" si="52"/>
        <v>1</v>
      </c>
      <c r="Y112" s="67">
        <f t="shared" si="47"/>
        <v>23.2987</v>
      </c>
      <c r="Z112" s="67">
        <f t="shared" si="48"/>
        <v>1.6500000000000001E-2</v>
      </c>
      <c r="AA112" s="67">
        <f t="shared" si="49"/>
        <v>23.2822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50"/>
        <v>0204-16</v>
      </c>
      <c r="AE112" s="91" t="str">
        <f t="shared" si="37"/>
        <v>aws s3 cp s3://rtdc.mdm.uploadarchive.raw/RTDC4010/ "%USERPROFILE%\AppData\Local\Temp\OnboardLogs"\RTDC4010\2016-11-16 --exclude "*" --recursive --include "*20161116*" &amp; "%USERPROFILE%\Documents\GitHub\mrs-test-scripts\Headless Mode &amp; Sideloading\WalkAndUnGZ.bat" "%USERPROFILE%\AppData\Local\Temp\OnboardLogs"\RTDC4010\2016-11-16 &amp; aws s3 cp s3://rtdc.mdm.uploadarchive.raw/RTDC4010/ "%USERPROFILE%\AppData\Local\Temp\OnboardLogs"\RTDC4010\2016-11-17 --exclude "*" --recursive --include "*20161117*" &amp; "%USERPROFILE%\Documents\GitHub\mrs-test-scripts\Headless Mode &amp; Sideloading\WalkAndUnGZ.bat" "%USERPROFILE%\AppData\Local\Temp\OnboardLogs"\RTDC4010\2016-11-17</v>
      </c>
      <c r="AF112" s="88" t="str">
        <f t="shared" si="38"/>
        <v>"C:\Program Files (x86)\AstroGrep\AstroGrep.exe" /spath="%USERPROFILE%\AppData\Local\Temp\OnboardLogs" /stypes="app*4010*20161117*" /stext=" 01:.+((SYSTEM_STATE.+slice.+state.+changed )|(ment ac)|(system.+state.+changed )|(\[timeout)|(PRM\|1\|D)|(kpr)|(kdp)|(\|lc)|(penalty))" /e /r /s</v>
      </c>
      <c r="AG112" s="1" t="str">
        <f t="shared" si="51"/>
        <v>EC</v>
      </c>
      <c r="AH112" s="92" t="str">
        <f t="shared" si="39"/>
        <v>"%USERPROFILE%\Documents\GitHub\eaglep3\Utilities\RefineRTDCRunTimes.py" --tripid 204-16 --locoid 4010 --swversion DE.1.0.8.0 --startMP 204:232987 --initTime 2016-11-16T17:42:55 --startdatetime 2016-11-16T17:47:05 --delay 1 --endMP 204:165 --enddatetime 2016-11-16T18:27:17 --enforcementcount 0 &gt;&gt;C:\Users\stu\Documents\GitHub\eaglep3-reporting\EC\2016-11-16-refined-times.txt</v>
      </c>
      <c r="AI112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{"issue":{"subject":"","project_id":79,"tracker_id":40,"status_id":1,"priority_id":2,"assigned_to_id":23,"start_date":"2016-11-16","description":"","custom_fields":[{"id":1,"name":"Subdivision","value":"EC"},{"id":4,"name":"Milepost","value":"0.0165"},{"id":17,"name":"Train ID","value":"204-16"},{"id":16,"name":"Locomotive ID","value":"4010"},{"id":130,"name":"Impact","value":""},{"id":150,"name":"Time of Event (Mountain Time)","value":"18:27:17"},{"id":151,"name":"Denver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573</v>
      </c>
      <c r="B113" s="7">
        <v>4014</v>
      </c>
      <c r="C113" s="22" t="s">
        <v>222</v>
      </c>
      <c r="D113" s="22" t="s">
        <v>280</v>
      </c>
      <c r="E113" s="13">
        <v>42690.696064814816</v>
      </c>
      <c r="F113" s="13">
        <v>42690.706006944441</v>
      </c>
      <c r="G113" s="7">
        <v>12</v>
      </c>
      <c r="H113" s="22" t="s">
        <v>688</v>
      </c>
      <c r="I113" s="13">
        <v>42690.737083333333</v>
      </c>
      <c r="J113" s="7">
        <v>0</v>
      </c>
      <c r="K113" s="109" t="str">
        <f t="shared" si="41"/>
        <v>4013/4014</v>
      </c>
      <c r="L113" s="22" t="str">
        <f>VLOOKUP(A113,'Trips&amp;Operators'!$C$1:$E$10000,3,FALSE)</f>
        <v>BROWN</v>
      </c>
      <c r="M113" s="6">
        <f t="shared" si="42"/>
        <v>3.107638889196096E-2</v>
      </c>
      <c r="N113" s="7">
        <f t="shared" si="43"/>
        <v>44.750000004423782</v>
      </c>
      <c r="O113" s="7"/>
      <c r="P113" s="7"/>
      <c r="Q113" s="23"/>
      <c r="R113" s="23"/>
      <c r="S113" s="35">
        <f t="shared" si="44"/>
        <v>1</v>
      </c>
      <c r="T113" s="50" t="str">
        <f t="shared" si="45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15:42:20-700',mode:absolute,to:'2016-11-16 18:41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3" s="52" t="str">
        <f t="shared" si="46"/>
        <v>N</v>
      </c>
      <c r="X113" s="177">
        <f t="shared" si="52"/>
        <v>1</v>
      </c>
      <c r="Y113" s="67">
        <f t="shared" si="47"/>
        <v>4.6600000000000003E-2</v>
      </c>
      <c r="Z113" s="67">
        <f t="shared" si="48"/>
        <v>23.3324</v>
      </c>
      <c r="AA113" s="67">
        <f t="shared" si="49"/>
        <v>23.285799999999998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50"/>
        <v>0205-16</v>
      </c>
      <c r="AE113" s="91" t="str">
        <f t="shared" si="37"/>
        <v>aws s3 cp s3://rtdc.mdm.uploadarchive.raw/RTDC4014/ "%USERPROFILE%\AppData\Local\Temp\OnboardLogs"\RTDC4014\2016-11-16 --exclude "*" --recursive --include "*20161116*" &amp; "%USERPROFILE%\Documents\GitHub\mrs-test-scripts\Headless Mode &amp; Sideloading\WalkAndUnGZ.bat" "%USERPROFILE%\AppData\Local\Temp\OnboardLogs"\RTDC4014\2016-11-16 &amp; aws s3 cp s3://rtdc.mdm.uploadarchive.raw/RTDC4014/ "%USERPROFILE%\AppData\Local\Temp\OnboardLogs"\RTDC4014\2016-11-17 --exclude "*" --recursive --include "*20161117*" &amp; "%USERPROFILE%\Documents\GitHub\mrs-test-scripts\Headless Mode &amp; Sideloading\WalkAndUnGZ.bat" "%USERPROFILE%\AppData\Local\Temp\OnboardLogs"\RTDC4014\2016-11-17</v>
      </c>
      <c r="AF113" s="88" t="str">
        <f t="shared" si="38"/>
        <v>"C:\Program Files (x86)\AstroGrep\AstroGrep.exe" /spath="%USERPROFILE%\AppData\Local\Temp\OnboardLogs" /stypes="app*4014*20161117*" /stext=" 00:.+((SYSTEM_STATE.+slice.+state.+changed )|(ment ac)|(system.+state.+changed )|(\[timeout)|(PRM\|1\|D)|(kpr)|(kdp)|(\|lc)|(penalty))" /e /r /s</v>
      </c>
      <c r="AG113" s="1" t="str">
        <f t="shared" si="51"/>
        <v>EC</v>
      </c>
      <c r="AH113" s="92" t="str">
        <f t="shared" si="39"/>
        <v>"%USERPROFILE%\Documents\GitHub\eaglep3\Utilities\RefineRTDCRunTimes.py" --tripid 205-16 --locoid 4014 --swversion DE.1.0.8.0 --startMP 204:466 --initTime 2016-11-16T16:42:20 --startdatetime 2016-11-16T16:56:39 --delay 12 --endMP 204:233324 --enddatetime 2016-11-16T17:41:24 --enforcementcount 0 &gt;&gt;C:\Users\stu\Documents\GitHub\eaglep3-reporting\EC\2016-11-16-refined-times.txt</v>
      </c>
      <c r="AI113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{"issue":{"subject":"","project_id":79,"tracker_id":40,"status_id":1,"priority_id":2,"assigned_to_id":23,"start_date":"2016-11-16","description":"","custom_fields":[{"id":1,"name":"Subdivision","value":"EC"},{"id":4,"name":"Milepost","value":"23.3324"},{"id":17,"name":"Train ID","value":"205-16"},{"id":16,"name":"Locomotive ID","value":"4014"},{"id":130,"name":"Impact","value":""},{"id":150,"name":"Time of Event (Mountain Time)","value":"17:41:24"},{"id":151,"name":"Denver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576</v>
      </c>
      <c r="B114" s="7">
        <v>4022</v>
      </c>
      <c r="C114" s="22" t="s">
        <v>222</v>
      </c>
      <c r="D114" s="22" t="s">
        <v>216</v>
      </c>
      <c r="E114" s="13">
        <v>42690.705648148149</v>
      </c>
      <c r="F114" s="13">
        <v>42690.708703703705</v>
      </c>
      <c r="G114" s="7">
        <v>1</v>
      </c>
      <c r="H114" s="22" t="s">
        <v>689</v>
      </c>
      <c r="I114" s="13">
        <v>42690.743854166663</v>
      </c>
      <c r="J114" s="7">
        <v>0</v>
      </c>
      <c r="K114" s="109" t="str">
        <f t="shared" si="41"/>
        <v>4021/4022</v>
      </c>
      <c r="L114" s="22" t="str">
        <f>VLOOKUP(A114,'Trips&amp;Operators'!$C$1:$E$10000,3,FALSE)</f>
        <v>ADANE</v>
      </c>
      <c r="M114" s="6">
        <f t="shared" si="42"/>
        <v>3.5150462957972195E-2</v>
      </c>
      <c r="N114" s="7">
        <f t="shared" ref="N114:N143" si="53">24*60*SUM($M114:$M114)</f>
        <v>50.616666659479961</v>
      </c>
      <c r="O114" s="7"/>
      <c r="P114" s="7"/>
      <c r="Q114" s="23"/>
      <c r="R114" s="23"/>
      <c r="S114" s="35">
        <f t="shared" si="44"/>
        <v>1</v>
      </c>
      <c r="T114" s="50" t="str">
        <f t="shared" si="45"/>
        <v>NorthBound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15:56:08-700',mode:absolute,to:'2016-11-16 18:51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4" s="52" t="str">
        <f t="shared" si="46"/>
        <v>N</v>
      </c>
      <c r="X114" s="177" t="e">
        <f>VALUE(LEFT(AD114,4))-VALUE(LEFT(#REF!,4))</f>
        <v>#REF!</v>
      </c>
      <c r="Y114" s="67">
        <f t="shared" si="47"/>
        <v>4.6199999999999998E-2</v>
      </c>
      <c r="Z114" s="67">
        <f t="shared" si="48"/>
        <v>23.33</v>
      </c>
      <c r="AA114" s="67">
        <f t="shared" si="49"/>
        <v>23.283799999999999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50"/>
        <v>0207-16</v>
      </c>
      <c r="AE114" s="91" t="str">
        <f t="shared" si="37"/>
        <v>aws s3 cp s3://rtdc.mdm.uploadarchive.raw/RTDC4022/ "%USERPROFILE%\AppData\Local\Temp\OnboardLogs"\RTDC4022\2016-11-16 --exclude "*" --recursive --include "*20161116*" &amp; "%USERPROFILE%\Documents\GitHub\mrs-test-scripts\Headless Mode &amp; Sideloading\WalkAndUnGZ.bat" "%USERPROFILE%\AppData\Local\Temp\OnboardLogs"\RTDC4022\2016-11-16 &amp; aws s3 cp s3://rtdc.mdm.uploadarchive.raw/RTDC4022/ "%USERPROFILE%\AppData\Local\Temp\OnboardLogs"\RTDC4022\2016-11-17 --exclude "*" --recursive --include "*20161117*" &amp; "%USERPROFILE%\Documents\GitHub\mrs-test-scripts\Headless Mode &amp; Sideloading\WalkAndUnGZ.bat" "%USERPROFILE%\AppData\Local\Temp\OnboardLogs"\RTDC4022\2016-11-17</v>
      </c>
      <c r="AF114" s="88" t="str">
        <f t="shared" si="38"/>
        <v>"C:\Program Files (x86)\AstroGrep\AstroGrep.exe" /spath="%USERPROFILE%\AppData\Local\Temp\OnboardLogs" /stypes="app*4022*20161117*" /stext=" 00:.+((SYSTEM_STATE.+slice.+state.+changed )|(ment ac)|(system.+state.+changed )|(\[timeout)|(PRM\|1\|D)|(kpr)|(kdp)|(\|lc)|(penalty))" /e /r /s</v>
      </c>
      <c r="AG114" s="1" t="str">
        <f t="shared" si="51"/>
        <v>EC</v>
      </c>
      <c r="AH114" s="92" t="str">
        <f t="shared" si="39"/>
        <v>"%USERPROFILE%\Documents\GitHub\eaglep3\Utilities\RefineRTDCRunTimes.py" --tripid 207-16 --locoid 4022 --swversion DE.1.0.8.0 --startMP 204:462 --initTime 2016-11-16T16:56:08 --startdatetime 2016-11-16T17:00:32 --delay 1 --endMP 204:233300 --enddatetime 2016-11-16T17:51:09 --enforcementcount 0 &gt;&gt;C:\Users\stu\Documents\GitHub\eaglep3-reporting\EC\2016-11-16-refined-times.txt</v>
      </c>
      <c r="AI114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{"issue":{"subject":"","project_id":79,"tracker_id":40,"status_id":1,"priority_id":2,"assigned_to_id":23,"start_date":"2016-11-16","description":"","custom_fields":[{"id":1,"name":"Subdivision","value":"EC"},{"id":4,"name":"Milepost","value":"23.33"},{"id":17,"name":"Train ID","value":"207-16"},{"id":16,"name":"Locomotive ID","value":"4022"},{"id":130,"name":"Impact","value":""},{"id":150,"name":"Time of Event (Mountain Time)","value":"17:51:09"},{"id":151,"name":"Denver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443</v>
      </c>
      <c r="B115" s="7">
        <v>4013</v>
      </c>
      <c r="C115" s="22" t="s">
        <v>222</v>
      </c>
      <c r="D115" s="22" t="s">
        <v>642</v>
      </c>
      <c r="E115" s="13">
        <v>42690.747743055559</v>
      </c>
      <c r="F115" s="13">
        <v>42690.74895833333</v>
      </c>
      <c r="G115" s="7">
        <v>1</v>
      </c>
      <c r="H115" s="22" t="s">
        <v>220</v>
      </c>
      <c r="I115" s="13">
        <v>42690.777870370373</v>
      </c>
      <c r="J115" s="7">
        <v>0</v>
      </c>
      <c r="K115" s="109" t="str">
        <f t="shared" si="41"/>
        <v>4013/4014</v>
      </c>
      <c r="L115" s="22" t="str">
        <f>VLOOKUP(A115,'Trips&amp;Operators'!$C$1:$E$10000,3,FALSE)</f>
        <v>BROWN</v>
      </c>
      <c r="M115" s="6">
        <f t="shared" si="42"/>
        <v>2.8912037043482997E-2</v>
      </c>
      <c r="N115" s="7">
        <f t="shared" si="53"/>
        <v>41.633333342615515</v>
      </c>
      <c r="O115" s="7"/>
      <c r="P115" s="7"/>
      <c r="Q115" s="23"/>
      <c r="R115" s="23"/>
      <c r="S115" s="35">
        <f t="shared" si="44"/>
        <v>1</v>
      </c>
      <c r="T115" s="50" t="str">
        <f t="shared" si="45"/>
        <v>Southbound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16:56:45-700',mode:absolute,to:'2016-11-16 19:40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5" s="52" t="str">
        <f t="shared" si="46"/>
        <v>N</v>
      </c>
      <c r="X115" s="177">
        <f t="shared" ref="X115" si="54">VALUE(LEFT(AD115,4))-VALUE(LEFT(AD114,4))</f>
        <v>1</v>
      </c>
      <c r="Y115" s="67">
        <f t="shared" si="47"/>
        <v>23.299600000000002</v>
      </c>
      <c r="Z115" s="67">
        <f t="shared" si="48"/>
        <v>1.61E-2</v>
      </c>
      <c r="AA115" s="67">
        <f t="shared" si="49"/>
        <v>23.2835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50"/>
        <v>0208-16</v>
      </c>
      <c r="AE115" s="91" t="str">
        <f t="shared" si="37"/>
        <v>aws s3 cp s3://rtdc.mdm.uploadarchive.raw/RTDC4013/ "%USERPROFILE%\AppData\Local\Temp\OnboardLogs"\RTDC4013\2016-11-16 --exclude "*" --recursive --include "*20161116*" &amp; "%USERPROFILE%\Documents\GitHub\mrs-test-scripts\Headless Mode &amp; Sideloading\WalkAndUnGZ.bat" "%USERPROFILE%\AppData\Local\Temp\OnboardLogs"\RTDC4013\2016-11-16 &amp; 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</v>
      </c>
      <c r="AF115" s="88" t="str">
        <f t="shared" si="38"/>
        <v>"C:\Program Files (x86)\AstroGrep\AstroGrep.exe" /spath="%USERPROFILE%\AppData\Local\Temp\OnboardLogs" /stypes="app*4013*20161117*" /stext=" 01:.+((SYSTEM_STATE.+slice.+state.+changed )|(ment ac)|(system.+state.+changed )|(\[timeout)|(PRM\|1\|D)|(kpr)|(kdp)|(\|lc)|(penalty))" /e /r /s</v>
      </c>
      <c r="AG115" s="1" t="str">
        <f t="shared" si="51"/>
        <v>EC</v>
      </c>
      <c r="AH115" s="92" t="str">
        <f t="shared" si="39"/>
        <v>"%USERPROFILE%\Documents\GitHub\eaglep3\Utilities\RefineRTDCRunTimes.py" --tripid 208-16 --locoid 4013 --swversion DE.1.0.8.0 --startMP 204:232996 --initTime 2016-11-16T17:56:45 --startdatetime 2016-11-16T17:58:30 --delay 1 --endMP 204:161 --enddatetime 2016-11-16T18:40:08 --enforcementcount 0 &gt;&gt;C:\Users\stu\Documents\GitHub\eaglep3-reporting\EC\2016-11-16-refined-times.txt</v>
      </c>
      <c r="AI115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{"issue":{"subject":"","project_id":79,"tracker_id":40,"status_id":1,"priority_id":2,"assigned_to_id":23,"start_date":"2016-11-16","description":"","custom_fields":[{"id":1,"name":"Subdivision","value":"EC"},{"id":4,"name":"Milepost","value":"0.0161"},{"id":17,"name":"Train ID","value":"208-16"},{"id":16,"name":"Locomotive ID","value":"4013"},{"id":130,"name":"Impact","value":""},{"id":150,"name":"Time of Event (Mountain Time)","value":"18:40:08"},{"id":151,"name":"Denver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579</v>
      </c>
      <c r="B116" s="7">
        <v>4016</v>
      </c>
      <c r="C116" s="22" t="s">
        <v>222</v>
      </c>
      <c r="D116" s="22" t="s">
        <v>358</v>
      </c>
      <c r="E116" s="13">
        <v>42690.716203703705</v>
      </c>
      <c r="F116" s="13">
        <v>42690.719444444447</v>
      </c>
      <c r="G116" s="7">
        <v>1</v>
      </c>
      <c r="H116" s="22" t="s">
        <v>652</v>
      </c>
      <c r="I116" s="13">
        <v>42690.752025462964</v>
      </c>
      <c r="J116" s="7">
        <v>0</v>
      </c>
      <c r="K116" s="109" t="str">
        <f t="shared" si="41"/>
        <v>4015/4016</v>
      </c>
      <c r="L116" s="22" t="str">
        <f>VLOOKUP(A116,'Trips&amp;Operators'!$C$1:$E$10000,3,FALSE)</f>
        <v>MCREYNOLDS</v>
      </c>
      <c r="M116" s="6">
        <f t="shared" si="42"/>
        <v>3.2581018516793847E-2</v>
      </c>
      <c r="N116" s="7">
        <f t="shared" si="53"/>
        <v>46.91666666418314</v>
      </c>
      <c r="O116" s="7"/>
      <c r="P116" s="7"/>
      <c r="Q116" s="23"/>
      <c r="R116" s="23"/>
      <c r="S116" s="35">
        <f t="shared" si="44"/>
        <v>1</v>
      </c>
      <c r="T116" s="50" t="str">
        <f t="shared" si="45"/>
        <v>NorthBound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16:11:20-700',mode:absolute,to:'2016-11-16 19:02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6" s="52" t="str">
        <f t="shared" si="46"/>
        <v>N</v>
      </c>
      <c r="X116" s="177">
        <f t="shared" ref="X116:X147" si="55">VALUE(LEFT(AD116,4))-VALUE(LEFT(AD115,4))</f>
        <v>1</v>
      </c>
      <c r="Y116" s="67">
        <f t="shared" si="47"/>
        <v>4.3499999999999997E-2</v>
      </c>
      <c r="Z116" s="67">
        <f t="shared" si="48"/>
        <v>23.331800000000001</v>
      </c>
      <c r="AA116" s="67">
        <f t="shared" si="49"/>
        <v>23.2883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50"/>
        <v>0209-16</v>
      </c>
      <c r="AE116" s="91" t="str">
        <f t="shared" si="37"/>
        <v>aws s3 cp s3://rtdc.mdm.uploadarchive.raw/RTDC4016/ "%USERPROFILE%\AppData\Local\Temp\OnboardLogs"\RTDC4016\2016-11-16 --exclude "*" --recursive --include "*20161116*" &amp; "%USERPROFILE%\Documents\GitHub\mrs-test-scripts\Headless Mode &amp; Sideloading\WalkAndUnGZ.bat" "%USERPROFILE%\AppData\Local\Temp\OnboardLogs"\RTDC4016\2016-11-16 &amp; aws s3 cp s3://rtdc.mdm.uploadarchive.raw/RTDC4016/ "%USERPROFILE%\AppData\Local\Temp\OnboardLogs"\RTDC4016\2016-11-17 --exclude "*" --recursive --include "*20161117*" &amp; "%USERPROFILE%\Documents\GitHub\mrs-test-scripts\Headless Mode &amp; Sideloading\WalkAndUnGZ.bat" "%USERPROFILE%\AppData\Local\Temp\OnboardLogs"\RTDC4016\2016-11-17</v>
      </c>
      <c r="AF116" s="88" t="str">
        <f t="shared" si="38"/>
        <v>"C:\Program Files (x86)\AstroGrep\AstroGrep.exe" /spath="%USERPROFILE%\AppData\Local\Temp\OnboardLogs" /stypes="app*4016*20161117*" /stext=" 01:.+((SYSTEM_STATE.+slice.+state.+changed )|(ment ac)|(system.+state.+changed )|(\[timeout)|(PRM\|1\|D)|(kpr)|(kdp)|(\|lc)|(penalty))" /e /r /s</v>
      </c>
      <c r="AG116" s="1" t="str">
        <f t="shared" si="51"/>
        <v>EC</v>
      </c>
      <c r="AH116" s="92" t="str">
        <f t="shared" si="39"/>
        <v>"%USERPROFILE%\Documents\GitHub\eaglep3\Utilities\RefineRTDCRunTimes.py" --tripid 209-16 --locoid 4016 --swversion DE.1.0.8.0 --startMP 204:435 --initTime 2016-11-16T17:11:20 --startdatetime 2016-11-16T17:16:00 --delay 1 --endMP 204:233318 --enddatetime 2016-11-16T18:02:55 --enforcementcount 0 &gt;&gt;C:\Users\stu\Documents\GitHub\eaglep3-reporting\EC\2016-11-16-refined-times.txt</v>
      </c>
      <c r="AI116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{"issue":{"subject":"","project_id":79,"tracker_id":40,"status_id":1,"priority_id":2,"assigned_to_id":23,"start_date":"2016-11-16","description":"","custom_fields":[{"id":1,"name":"Subdivision","value":"EC"},{"id":4,"name":"Milepost","value":"23.3318"},{"id":17,"name":"Train ID","value":"209-16"},{"id":16,"name":"Locomotive ID","value":"4016"},{"id":130,"name":"Impact","value":""},{"id":150,"name":"Time of Event (Mountain Time)","value":"18:02:55"},{"id":151,"name":"Denver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444</v>
      </c>
      <c r="B117" s="7">
        <v>4015</v>
      </c>
      <c r="C117" s="22" t="s">
        <v>222</v>
      </c>
      <c r="D117" s="22" t="s">
        <v>363</v>
      </c>
      <c r="E117" s="13">
        <v>42690.756412037037</v>
      </c>
      <c r="F117" s="13">
        <v>42690.758310185185</v>
      </c>
      <c r="G117" s="7">
        <v>1</v>
      </c>
      <c r="H117" s="22" t="s">
        <v>226</v>
      </c>
      <c r="I117" s="13">
        <v>42690.785601851851</v>
      </c>
      <c r="J117" s="7">
        <v>0</v>
      </c>
      <c r="K117" s="109" t="str">
        <f t="shared" si="41"/>
        <v>4015/4016</v>
      </c>
      <c r="L117" s="22" t="str">
        <f>VLOOKUP(A117,'Trips&amp;Operators'!$C$1:$E$10000,3,FALSE)</f>
        <v>MCREYNOLDS</v>
      </c>
      <c r="M117" s="6">
        <f t="shared" si="42"/>
        <v>2.7291666665405501E-2</v>
      </c>
      <c r="N117" s="7">
        <f t="shared" si="53"/>
        <v>39.299999998183921</v>
      </c>
      <c r="O117" s="7"/>
      <c r="P117" s="7"/>
      <c r="Q117" s="23"/>
      <c r="R117" s="23"/>
      <c r="S117" s="35">
        <f t="shared" si="44"/>
        <v>1</v>
      </c>
      <c r="T117" s="50" t="str">
        <f t="shared" si="45"/>
        <v>Southbound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17:09:14-700',mode:absolute,to:'2016-11-16 19:51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7" s="52" t="str">
        <f t="shared" si="46"/>
        <v>N</v>
      </c>
      <c r="X117" s="177">
        <f t="shared" si="55"/>
        <v>1</v>
      </c>
      <c r="Y117" s="67">
        <f t="shared" si="47"/>
        <v>23.2986</v>
      </c>
      <c r="Z117" s="67">
        <f t="shared" si="48"/>
        <v>1.5800000000000002E-2</v>
      </c>
      <c r="AA117" s="67">
        <f t="shared" si="49"/>
        <v>23.282800000000002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50"/>
        <v>0210-16</v>
      </c>
      <c r="AE117" s="91" t="str">
        <f t="shared" si="37"/>
        <v>aws s3 cp s3://rtdc.mdm.uploadarchive.raw/RTDC4015/ "%USERPROFILE%\AppData\Local\Temp\OnboardLogs"\RTDC4015\2016-11-16 --exclude "*" --recursive --include "*20161116*" &amp; "%USERPROFILE%\Documents\GitHub\mrs-test-scripts\Headless Mode &amp; Sideloading\WalkAndUnGZ.bat" "%USERPROFILE%\AppData\Local\Temp\OnboardLogs"\RTDC4015\2016-11-16 &amp; aws s3 cp s3://rtdc.mdm.uploadarchive.raw/RTDC4015/ "%USERPROFILE%\AppData\Local\Temp\OnboardLogs"\RTDC4015\2016-11-17 --exclude "*" --recursive --include "*20161117*" &amp; "%USERPROFILE%\Documents\GitHub\mrs-test-scripts\Headless Mode &amp; Sideloading\WalkAndUnGZ.bat" "%USERPROFILE%\AppData\Local\Temp\OnboardLogs"\RTDC4015\2016-11-17</v>
      </c>
      <c r="AF117" s="88" t="str">
        <f t="shared" si="38"/>
        <v>"C:\Program Files (x86)\AstroGrep\AstroGrep.exe" /spath="%USERPROFILE%\AppData\Local\Temp\OnboardLogs" /stypes="app*4015*20161117*" /stext=" 01:.+((SYSTEM_STATE.+slice.+state.+changed )|(ment ac)|(system.+state.+changed )|(\[timeout)|(PRM\|1\|D)|(kpr)|(kdp)|(\|lc)|(penalty))" /e /r /s</v>
      </c>
      <c r="AG117" s="1" t="str">
        <f t="shared" si="51"/>
        <v>EC</v>
      </c>
      <c r="AH117" s="92" t="str">
        <f t="shared" si="39"/>
        <v>"%USERPROFILE%\Documents\GitHub\eaglep3\Utilities\RefineRTDCRunTimes.py" --tripid 210-16 --locoid 4015 --swversion DE.1.0.8.0 --startMP 204:232986 --initTime 2016-11-16T18:09:14 --startdatetime 2016-11-16T18:11:58 --delay 1 --endMP 204:158 --enddatetime 2016-11-16T18:51:16 --enforcementcount 0 &gt;&gt;C:\Users\stu\Documents\GitHub\eaglep3-reporting\EC\2016-11-16-refined-times.txt</v>
      </c>
      <c r="AI117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{"issue":{"subject":"","project_id":79,"tracker_id":40,"status_id":1,"priority_id":2,"assigned_to_id":23,"start_date":"2016-11-16","description":"","custom_fields":[{"id":1,"name":"Subdivision","value":"EC"},{"id":4,"name":"Milepost","value":"0.0158"},{"id":17,"name":"Train ID","value":"210-16"},{"id":16,"name":"Locomotive ID","value":"4015"},{"id":130,"name":"Impact","value":""},{"id":150,"name":"Time of Event (Mountain Time)","value":"18:51:16"},{"id":151,"name":"Denver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581</v>
      </c>
      <c r="B118" s="7">
        <v>4044</v>
      </c>
      <c r="C118" s="22" t="s">
        <v>222</v>
      </c>
      <c r="D118" s="22" t="s">
        <v>690</v>
      </c>
      <c r="E118" s="13">
        <v>42690.72861111111</v>
      </c>
      <c r="F118" s="13">
        <v>42690.731435185182</v>
      </c>
      <c r="G118" s="7">
        <v>3</v>
      </c>
      <c r="H118" s="22" t="s">
        <v>245</v>
      </c>
      <c r="I118" s="13">
        <v>42690.762766203705</v>
      </c>
      <c r="J118" s="7">
        <v>0</v>
      </c>
      <c r="K118" s="109" t="str">
        <f t="shared" si="41"/>
        <v>4043/4044</v>
      </c>
      <c r="L118" s="22" t="str">
        <f>VLOOKUP(A118,'Trips&amp;Operators'!$C$1:$E$10000,3,FALSE)</f>
        <v>BERLING</v>
      </c>
      <c r="M118" s="6">
        <f t="shared" si="42"/>
        <v>3.1331018522905651E-2</v>
      </c>
      <c r="N118" s="7">
        <f t="shared" si="53"/>
        <v>45.116666672984138</v>
      </c>
      <c r="O118" s="7"/>
      <c r="P118" s="7"/>
      <c r="Q118" s="23"/>
      <c r="R118" s="23"/>
      <c r="S118" s="35">
        <f t="shared" ref="S118:S143" si="56">SUM(U118:U118)/IF(AG118="EC",12,1)</f>
        <v>1</v>
      </c>
      <c r="T118" s="50" t="str">
        <f t="shared" si="45"/>
        <v>NorthBound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16:29:12-700',mode:absolute,to:'2016-11-16 19:18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8" s="52" t="str">
        <f t="shared" si="46"/>
        <v>N</v>
      </c>
      <c r="X118" s="177">
        <f t="shared" si="55"/>
        <v>1</v>
      </c>
      <c r="Y118" s="67">
        <f t="shared" si="47"/>
        <v>4.1300000000000003E-2</v>
      </c>
      <c r="Z118" s="67">
        <f t="shared" si="48"/>
        <v>23.329899999999999</v>
      </c>
      <c r="AA118" s="67">
        <f t="shared" si="49"/>
        <v>23.288599999999999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50"/>
        <v>0211-16</v>
      </c>
      <c r="AE118" s="91" t="str">
        <f t="shared" si="37"/>
        <v>aws s3 cp s3://rtdc.mdm.uploadarchive.raw/RTDC4044/ "%USERPROFILE%\AppData\Local\Temp\OnboardLogs"\RTDC4044\2016-11-16 --exclude "*" --recursive --include "*20161116*" &amp; "%USERPROFILE%\Documents\GitHub\mrs-test-scripts\Headless Mode &amp; Sideloading\WalkAndUnGZ.bat" "%USERPROFILE%\AppData\Local\Temp\OnboardLogs"\RTDC4044\2016-11-16 &amp; aws s3 cp s3://rtdc.mdm.uploadarchive.raw/RTDC4044/ "%USERPROFILE%\AppData\Local\Temp\OnboardLogs"\RTDC4044\2016-11-17 --exclude "*" --recursive --include "*20161117*" &amp; "%USERPROFILE%\Documents\GitHub\mrs-test-scripts\Headless Mode &amp; Sideloading\WalkAndUnGZ.bat" "%USERPROFILE%\AppData\Local\Temp\OnboardLogs"\RTDC4044\2016-11-17</v>
      </c>
      <c r="AF118" s="88" t="str">
        <f t="shared" si="38"/>
        <v>"C:\Program Files (x86)\AstroGrep\AstroGrep.exe" /spath="%USERPROFILE%\AppData\Local\Temp\OnboardLogs" /stypes="app*4044*20161117*" /stext=" 01:.+((SYSTEM_STATE.+slice.+state.+changed )|(ment ac)|(system.+state.+changed )|(\[timeout)|(PRM\|1\|D)|(kpr)|(kdp)|(\|lc)|(penalty))" /e /r /s</v>
      </c>
      <c r="AG118" s="1" t="str">
        <f t="shared" si="51"/>
        <v>EC</v>
      </c>
      <c r="AH118" s="92" t="str">
        <f t="shared" si="39"/>
        <v>"%USERPROFILE%\Documents\GitHub\eaglep3\Utilities\RefineRTDCRunTimes.py" --tripid 211-16 --locoid 4044 --swversion DE.1.0.8.0 --startMP 204:413 --initTime 2016-11-16T17:29:12 --startdatetime 2016-11-16T17:33:16 --delay 3 --endMP 204:233299 --enddatetime 2016-11-16T18:18:23 --enforcementcount 0 &gt;&gt;C:\Users\stu\Documents\GitHub\eaglep3-reporting\EC\2016-11-16-refined-times.txt</v>
      </c>
      <c r="AI118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{"issue":{"subject":"","project_id":79,"tracker_id":40,"status_id":1,"priority_id":2,"assigned_to_id":23,"start_date":"2016-11-16","description":"","custom_fields":[{"id":1,"name":"Subdivision","value":"EC"},{"id":4,"name":"Milepost","value":"23.3299"},{"id":17,"name":"Train ID","value":"211-16"},{"id":16,"name":"Locomotive ID","value":"4044"},{"id":130,"name":"Impact","value":""},{"id":150,"name":"Time of Event (Mountain Time)","value":"18:18:23"},{"id":151,"name":"Denver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589</v>
      </c>
      <c r="B119" s="7">
        <v>4021</v>
      </c>
      <c r="C119" s="22" t="s">
        <v>222</v>
      </c>
      <c r="D119" s="22" t="s">
        <v>366</v>
      </c>
      <c r="E119" s="13">
        <v>42690.763020833336</v>
      </c>
      <c r="F119" s="13">
        <v>42690.76835648148</v>
      </c>
      <c r="G119" s="7">
        <v>4</v>
      </c>
      <c r="H119" s="22" t="s">
        <v>226</v>
      </c>
      <c r="I119" s="13">
        <v>42690.795810185184</v>
      </c>
      <c r="J119" s="7">
        <v>0</v>
      </c>
      <c r="K119" s="109" t="str">
        <f t="shared" si="41"/>
        <v>4021/4022</v>
      </c>
      <c r="L119" s="22" t="str">
        <f>VLOOKUP(A119,'Trips&amp;Operators'!$C$1:$E$10000,3,FALSE)</f>
        <v>ADANE</v>
      </c>
      <c r="M119" s="6">
        <f t="shared" si="42"/>
        <v>2.7453703703940846E-2</v>
      </c>
      <c r="N119" s="7">
        <f t="shared" si="53"/>
        <v>39.533333333674818</v>
      </c>
      <c r="O119" s="7"/>
      <c r="P119" s="7"/>
      <c r="Q119" s="23"/>
      <c r="R119" s="23"/>
      <c r="S119" s="35">
        <f t="shared" si="56"/>
        <v>1</v>
      </c>
      <c r="T119" s="50" t="str">
        <f t="shared" si="45"/>
        <v>Southbound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17:18:45-700',mode:absolute,to:'2016-11-16 20:05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9" s="52" t="str">
        <f t="shared" si="46"/>
        <v>N</v>
      </c>
      <c r="X119" s="177">
        <f t="shared" si="55"/>
        <v>1</v>
      </c>
      <c r="Y119" s="67">
        <f t="shared" si="47"/>
        <v>23.2974</v>
      </c>
      <c r="Z119" s="67">
        <f t="shared" si="48"/>
        <v>1.5800000000000002E-2</v>
      </c>
      <c r="AA119" s="67">
        <f t="shared" si="49"/>
        <v>23.281600000000001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50"/>
        <v>0212-16</v>
      </c>
      <c r="AE119" s="91" t="str">
        <f t="shared" si="37"/>
        <v>aws s3 cp s3://rtdc.mdm.uploadarchive.raw/RTDC4021/ "%USERPROFILE%\AppData\Local\Temp\OnboardLogs"\RTDC4021\2016-11-16 --exclude "*" --recursive --include "*20161116*" &amp; "%USERPROFILE%\Documents\GitHub\mrs-test-scripts\Headless Mode &amp; Sideloading\WalkAndUnGZ.bat" "%USERPROFILE%\AppData\Local\Temp\OnboardLogs"\RTDC4021\2016-11-16 &amp; aws s3 cp s3://rtdc.mdm.uploadarchive.raw/RTDC4021/ "%USERPROFILE%\AppData\Local\Temp\OnboardLogs"\RTDC4021\2016-11-17 --exclude "*" --recursive --include "*20161117*" &amp; "%USERPROFILE%\Documents\GitHub\mrs-test-scripts\Headless Mode &amp; Sideloading\WalkAndUnGZ.bat" "%USERPROFILE%\AppData\Local\Temp\OnboardLogs"\RTDC4021\2016-11-17</v>
      </c>
      <c r="AF119" s="88" t="str">
        <f t="shared" si="38"/>
        <v>"C:\Program Files (x86)\AstroGrep\AstroGrep.exe" /spath="%USERPROFILE%\AppData\Local\Temp\OnboardLogs" /stypes="app*4021*20161117*" /stext=" 02:.+((SYSTEM_STATE.+slice.+state.+changed )|(ment ac)|(system.+state.+changed )|(\[timeout)|(PRM\|1\|D)|(kpr)|(kdp)|(\|lc)|(penalty))" /e /r /s</v>
      </c>
      <c r="AG119" s="1" t="str">
        <f t="shared" si="51"/>
        <v>EC</v>
      </c>
      <c r="AH119" s="92" t="str">
        <f t="shared" si="39"/>
        <v>"%USERPROFILE%\Documents\GitHub\eaglep3\Utilities\RefineRTDCRunTimes.py" --tripid 212-16 --locoid 4021 --swversion DE.1.0.8.0 --startMP 204:232974 --initTime 2016-11-16T18:18:45 --startdatetime 2016-11-16T18:26:26 --delay 4 --endMP 204:158 --enddatetime 2016-11-16T19:05:58 --enforcementcount 0 &gt;&gt;C:\Users\stu\Documents\GitHub\eaglep3-reporting\EC\2016-11-16-refined-times.txt</v>
      </c>
      <c r="AI119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{"issue":{"subject":"","project_id":79,"tracker_id":40,"status_id":1,"priority_id":2,"assigned_to_id":23,"start_date":"2016-11-16","description":"","custom_fields":[{"id":1,"name":"Subdivision","value":"EC"},{"id":4,"name":"Milepost","value":"0.0158"},{"id":17,"name":"Train ID","value":"212-16"},{"id":16,"name":"Locomotive ID","value":"4021"},{"id":130,"name":"Impact","value":""},{"id":150,"name":"Time of Event (Mountain Time)","value":"19:05:58"},{"id":151,"name":"Denver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439</v>
      </c>
      <c r="B120" s="7">
        <v>4029</v>
      </c>
      <c r="C120" s="22" t="s">
        <v>222</v>
      </c>
      <c r="D120" s="22" t="s">
        <v>198</v>
      </c>
      <c r="E120" s="13">
        <v>42690.738576388889</v>
      </c>
      <c r="F120" s="13">
        <v>42690.741215277776</v>
      </c>
      <c r="G120" s="7">
        <v>1</v>
      </c>
      <c r="H120" s="22" t="s">
        <v>254</v>
      </c>
      <c r="I120" s="13">
        <v>42690.773159722223</v>
      </c>
      <c r="J120" s="7">
        <v>0</v>
      </c>
      <c r="K120" s="109" t="str">
        <f t="shared" si="41"/>
        <v>4029/4030</v>
      </c>
      <c r="L120" s="22" t="str">
        <f>VLOOKUP(A120,'Trips&amp;Operators'!$C$1:$E$10000,3,FALSE)</f>
        <v>PERKINS</v>
      </c>
      <c r="M120" s="6">
        <f t="shared" si="42"/>
        <v>3.1944444446708076E-2</v>
      </c>
      <c r="N120" s="7">
        <f t="shared" si="53"/>
        <v>46.000000003259629</v>
      </c>
      <c r="O120" s="7"/>
      <c r="P120" s="7"/>
      <c r="Q120" s="23"/>
      <c r="R120" s="23"/>
      <c r="S120" s="35">
        <f t="shared" si="56"/>
        <v>1</v>
      </c>
      <c r="T120" s="50" t="str">
        <f t="shared" si="45"/>
        <v>NorthBound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16:43:33-700',mode:absolute,to:'2016-11-16 19:33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0" s="52" t="str">
        <f t="shared" si="46"/>
        <v>N</v>
      </c>
      <c r="X120" s="177">
        <f t="shared" si="55"/>
        <v>1</v>
      </c>
      <c r="Y120" s="67">
        <f t="shared" si="47"/>
        <v>4.4699999999999997E-2</v>
      </c>
      <c r="Z120" s="67">
        <f t="shared" si="48"/>
        <v>23.331</v>
      </c>
      <c r="AA120" s="67">
        <f t="shared" si="49"/>
        <v>23.286300000000001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50"/>
        <v>0213-16</v>
      </c>
      <c r="AE120" s="91" t="str">
        <f t="shared" si="37"/>
        <v>aws s3 cp s3://rtdc.mdm.uploadarchive.raw/RTDC4029/ "%USERPROFILE%\AppData\Local\Temp\OnboardLogs"\RTDC4029\2016-11-16 --exclude "*" --recursive --include "*20161116*" &amp; "%USERPROFILE%\Documents\GitHub\mrs-test-scripts\Headless Mode &amp; Sideloading\WalkAndUnGZ.bat" "%USERPROFILE%\AppData\Local\Temp\OnboardLogs"\RTDC4029\2016-11-16 &amp; aws s3 cp s3://rtdc.mdm.uploadarchive.raw/RTDC4029/ "%USERPROFILE%\AppData\Local\Temp\OnboardLogs"\RTDC4029\2016-11-17 --exclude "*" --recursive --include "*20161117*" &amp; "%USERPROFILE%\Documents\GitHub\mrs-test-scripts\Headless Mode &amp; Sideloading\WalkAndUnGZ.bat" "%USERPROFILE%\AppData\Local\Temp\OnboardLogs"\RTDC4029\2016-11-17</v>
      </c>
      <c r="AF120" s="88" t="str">
        <f t="shared" si="38"/>
        <v>"C:\Program Files (x86)\AstroGrep\AstroGrep.exe" /spath="%USERPROFILE%\AppData\Local\Temp\OnboardLogs" /stypes="app*4029*20161117*" /stext=" 01:.+((SYSTEM_STATE.+slice.+state.+changed )|(ment ac)|(system.+state.+changed )|(\[timeout)|(PRM\|1\|D)|(kpr)|(kdp)|(\|lc)|(penalty))" /e /r /s</v>
      </c>
      <c r="AG120" s="1" t="str">
        <f t="shared" si="51"/>
        <v>EC</v>
      </c>
      <c r="AH120" s="92" t="str">
        <f t="shared" si="39"/>
        <v>"%USERPROFILE%\Documents\GitHub\eaglep3\Utilities\RefineRTDCRunTimes.py" --tripid 213-16 --locoid 4029 --swversion DE.1.0.8.0 --startMP 204:447 --initTime 2016-11-16T17:43:33 --startdatetime 2016-11-16T17:47:21 --delay 1 --endMP 204:233310 --enddatetime 2016-11-16T18:33:21 --enforcementcount 0 &gt;&gt;C:\Users\stu\Documents\GitHub\eaglep3-reporting\EC\2016-11-16-refined-times.txt</v>
      </c>
      <c r="AI120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{"issue":{"subject":"","project_id":79,"tracker_id":40,"status_id":1,"priority_id":2,"assigned_to_id":23,"start_date":"2016-11-16","description":"","custom_fields":[{"id":1,"name":"Subdivision","value":"EC"},{"id":4,"name":"Milepost","value":"23.331"},{"id":17,"name":"Train ID","value":"213-16"},{"id":16,"name":"Locomotive ID","value":"4029"},{"id":130,"name":"Impact","value":""},{"id":150,"name":"Time of Event (Mountain Time)","value":"18:33:21"},{"id":151,"name":"Denver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591</v>
      </c>
      <c r="B121" s="7">
        <v>4030</v>
      </c>
      <c r="C121" s="22" t="s">
        <v>222</v>
      </c>
      <c r="D121" s="22" t="s">
        <v>691</v>
      </c>
      <c r="E121" s="13">
        <v>42690.777777777781</v>
      </c>
      <c r="F121" s="13">
        <v>42690.779224537036</v>
      </c>
      <c r="G121" s="7">
        <v>1</v>
      </c>
      <c r="H121" s="22" t="s">
        <v>648</v>
      </c>
      <c r="I121" s="13">
        <v>42690.807187500002</v>
      </c>
      <c r="J121" s="7">
        <v>0</v>
      </c>
      <c r="K121" s="109" t="str">
        <f t="shared" si="41"/>
        <v>4029/4030</v>
      </c>
      <c r="L121" s="22" t="str">
        <f>VLOOKUP(A121,'Trips&amp;Operators'!$C$1:$E$10000,3,FALSE)</f>
        <v>PERKINS</v>
      </c>
      <c r="M121" s="6">
        <f t="shared" si="42"/>
        <v>2.7962962965830229E-2</v>
      </c>
      <c r="N121" s="7">
        <f t="shared" si="53"/>
        <v>40.26666667079553</v>
      </c>
      <c r="O121" s="7"/>
      <c r="P121" s="7"/>
      <c r="Q121" s="23"/>
      <c r="R121" s="23"/>
      <c r="S121" s="35">
        <f t="shared" si="56"/>
        <v>1</v>
      </c>
      <c r="T121" s="50" t="str">
        <f t="shared" si="45"/>
        <v>Southbound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17:40:00-700',mode:absolute,to:'2016-11-16 20:22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1" s="52" t="str">
        <f t="shared" si="46"/>
        <v>N</v>
      </c>
      <c r="X121" s="177">
        <f t="shared" si="55"/>
        <v>1</v>
      </c>
      <c r="Y121" s="67">
        <f t="shared" si="47"/>
        <v>23.298300000000001</v>
      </c>
      <c r="Z121" s="67">
        <f t="shared" si="48"/>
        <v>1.47E-2</v>
      </c>
      <c r="AA121" s="67">
        <f t="shared" si="49"/>
        <v>23.2836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50"/>
        <v>0214-16</v>
      </c>
      <c r="AE121" s="91" t="str">
        <f t="shared" si="37"/>
        <v>aws s3 cp s3://rtdc.mdm.uploadarchive.raw/RTDC4030/ "%USERPROFILE%\AppData\Local\Temp\OnboardLogs"\RTDC4030\2016-11-16 --exclude "*" --recursive --include "*20161116*" &amp; "%USERPROFILE%\Documents\GitHub\mrs-test-scripts\Headless Mode &amp; Sideloading\WalkAndUnGZ.bat" "%USERPROFILE%\AppData\Local\Temp\OnboardLogs"\RTDC4030\2016-11-16 &amp; aws s3 cp s3://rtdc.mdm.uploadarchive.raw/RTDC4030/ "%USERPROFILE%\AppData\Local\Temp\OnboardLogs"\RTDC4030\2016-11-17 --exclude "*" --recursive --include "*20161117*" &amp; "%USERPROFILE%\Documents\GitHub\mrs-test-scripts\Headless Mode &amp; Sideloading\WalkAndUnGZ.bat" "%USERPROFILE%\AppData\Local\Temp\OnboardLogs"\RTDC4030\2016-11-17</v>
      </c>
      <c r="AF121" s="88" t="str">
        <f t="shared" si="38"/>
        <v>"C:\Program Files (x86)\AstroGrep\AstroGrep.exe" /spath="%USERPROFILE%\AppData\Local\Temp\OnboardLogs" /stypes="app*4030*20161117*" /stext=" 02:.+((SYSTEM_STATE.+slice.+state.+changed )|(ment ac)|(system.+state.+changed )|(\[timeout)|(PRM\|1\|D)|(kpr)|(kdp)|(\|lc)|(penalty))" /e /r /s</v>
      </c>
      <c r="AG121" s="1" t="str">
        <f t="shared" si="51"/>
        <v>EC</v>
      </c>
      <c r="AH121" s="92" t="str">
        <f t="shared" si="39"/>
        <v>"%USERPROFILE%\Documents\GitHub\eaglep3\Utilities\RefineRTDCRunTimes.py" --tripid 214-16 --locoid 4030 --swversion DE.1.0.8.0 --startMP 204:232983 --initTime 2016-11-16T18:40:00 --startdatetime 2016-11-16T18:42:05 --delay 1 --endMP 204:147 --enddatetime 2016-11-16T19:22:21 --enforcementcount 0 &gt;&gt;C:\Users\stu\Documents\GitHub\eaglep3-reporting\EC\2016-11-16-refined-times.txt</v>
      </c>
      <c r="AI121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{"issue":{"subject":"","project_id":79,"tracker_id":40,"status_id":1,"priority_id":2,"assigned_to_id":23,"start_date":"2016-11-16","description":"","custom_fields":[{"id":1,"name":"Subdivision","value":"EC"},{"id":4,"name":"Milepost","value":"0.0147"},{"id":17,"name":"Train ID","value":"214-16"},{"id":16,"name":"Locomotive ID","value":"4030"},{"id":130,"name":"Impact","value":""},{"id":150,"name":"Time of Event (Mountain Time)","value":"19:22:21"},{"id":151,"name":"Denver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586</v>
      </c>
      <c r="B122" s="7">
        <v>4038</v>
      </c>
      <c r="C122" s="22" t="s">
        <v>222</v>
      </c>
      <c r="D122" s="22" t="s">
        <v>216</v>
      </c>
      <c r="E122" s="13">
        <v>42690.751782407409</v>
      </c>
      <c r="F122" s="13">
        <v>42690.754756944443</v>
      </c>
      <c r="G122" s="7">
        <v>2</v>
      </c>
      <c r="H122" s="22" t="s">
        <v>187</v>
      </c>
      <c r="I122" s="13">
        <v>42690.784756944442</v>
      </c>
      <c r="J122" s="7">
        <v>0</v>
      </c>
      <c r="K122" s="109" t="str">
        <f t="shared" si="41"/>
        <v>4037/4038</v>
      </c>
      <c r="L122" s="22" t="str">
        <f>VLOOKUP(A122,'Trips&amp;Operators'!$C$1:$E$10000,3,FALSE)</f>
        <v>NICHOLSON</v>
      </c>
      <c r="M122" s="6">
        <f t="shared" si="42"/>
        <v>2.9999999998835847E-2</v>
      </c>
      <c r="N122" s="7">
        <f t="shared" si="53"/>
        <v>43.199999998323619</v>
      </c>
      <c r="O122" s="7"/>
      <c r="P122" s="7"/>
      <c r="Q122" s="23"/>
      <c r="R122" s="23"/>
      <c r="S122" s="35">
        <f t="shared" si="56"/>
        <v>1</v>
      </c>
      <c r="T122" s="50" t="str">
        <f t="shared" si="45"/>
        <v>NorthBound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17:02:34-700',mode:absolute,to:'2016-11-16 19:50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2" s="52" t="str">
        <f t="shared" si="46"/>
        <v>N</v>
      </c>
      <c r="X122" s="177">
        <f t="shared" si="55"/>
        <v>1</v>
      </c>
      <c r="Y122" s="67">
        <f t="shared" si="47"/>
        <v>4.6199999999999998E-2</v>
      </c>
      <c r="Z122" s="67">
        <f t="shared" si="48"/>
        <v>23.329699999999999</v>
      </c>
      <c r="AA122" s="67">
        <f t="shared" si="49"/>
        <v>23.2835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50"/>
        <v>0215-16</v>
      </c>
      <c r="AE122" s="91" t="str">
        <f t="shared" si="37"/>
        <v>aws s3 cp s3://rtdc.mdm.uploadarchive.raw/RTDC4038/ "%USERPROFILE%\AppData\Local\Temp\OnboardLogs"\RTDC4038\2016-11-16 --exclude "*" --recursive --include "*20161116*" &amp; "%USERPROFILE%\Documents\GitHub\mrs-test-scripts\Headless Mode &amp; Sideloading\WalkAndUnGZ.bat" "%USERPROFILE%\AppData\Local\Temp\OnboardLogs"\RTDC4038\2016-11-16 &amp; 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</v>
      </c>
      <c r="AF122" s="88" t="str">
        <f t="shared" si="38"/>
        <v>"C:\Program Files (x86)\AstroGrep\AstroGrep.exe" /spath="%USERPROFILE%\AppData\Local\Temp\OnboardLogs" /stypes="app*4038*20161117*" /stext=" 01:.+((SYSTEM_STATE.+slice.+state.+changed )|(ment ac)|(system.+state.+changed )|(\[timeout)|(PRM\|1\|D)|(kpr)|(kdp)|(\|lc)|(penalty))" /e /r /s</v>
      </c>
      <c r="AG122" s="1" t="str">
        <f t="shared" si="51"/>
        <v>EC</v>
      </c>
      <c r="AH122" s="92" t="str">
        <f t="shared" si="39"/>
        <v>"%USERPROFILE%\Documents\GitHub\eaglep3\Utilities\RefineRTDCRunTimes.py" --tripid 215-16 --locoid 4038 --swversion DE.1.0.8.0 --startMP 204:462 --initTime 2016-11-16T18:02:34 --startdatetime 2016-11-16T18:06:51 --delay 2 --endMP 204:233297 --enddatetime 2016-11-16T18:50:03 --enforcementcount 0 &gt;&gt;C:\Users\stu\Documents\GitHub\eaglep3-reporting\EC\2016-11-16-refined-times.txt</v>
      </c>
      <c r="AI122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{"issue":{"subject":"","project_id":79,"tracker_id":40,"status_id":1,"priority_id":2,"assigned_to_id":23,"start_date":"2016-11-16","description":"","custom_fields":[{"id":1,"name":"Subdivision","value":"EC"},{"id":4,"name":"Milepost","value":"23.3297"},{"id":17,"name":"Train ID","value":"215-16"},{"id":16,"name":"Locomotive ID","value":"4038"},{"id":130,"name":"Impact","value":""},{"id":150,"name":"Time of Event (Mountain Time)","value":"18:50:03"},{"id":151,"name":"Denver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597</v>
      </c>
      <c r="B123" s="7">
        <v>4037</v>
      </c>
      <c r="C123" s="22" t="s">
        <v>222</v>
      </c>
      <c r="D123" s="22" t="s">
        <v>692</v>
      </c>
      <c r="E123" s="13">
        <v>42690.786134259259</v>
      </c>
      <c r="F123" s="13">
        <v>42690.789131944446</v>
      </c>
      <c r="G123" s="7">
        <v>1</v>
      </c>
      <c r="H123" s="22" t="s">
        <v>367</v>
      </c>
      <c r="I123" s="13">
        <v>42690.820590277777</v>
      </c>
      <c r="J123" s="7">
        <v>0</v>
      </c>
      <c r="K123" s="109" t="str">
        <f t="shared" si="41"/>
        <v>4037/4038</v>
      </c>
      <c r="L123" s="22" t="str">
        <f>VLOOKUP(A123,'Trips&amp;Operators'!$C$1:$E$10000,3,FALSE)</f>
        <v>NICHOLSON</v>
      </c>
      <c r="M123" s="6">
        <f t="shared" si="42"/>
        <v>3.145833333110204E-2</v>
      </c>
      <c r="N123" s="7">
        <f t="shared" si="53"/>
        <v>45.299999996786937</v>
      </c>
      <c r="O123" s="7"/>
      <c r="P123" s="7"/>
      <c r="Q123" s="23"/>
      <c r="R123" s="23"/>
      <c r="S123" s="35">
        <f t="shared" si="56"/>
        <v>1</v>
      </c>
      <c r="T123" s="50" t="str">
        <f t="shared" si="45"/>
        <v>Southbound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17:52:02-700',mode:absolute,to:'2016-11-16 20:41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3" s="52" t="str">
        <f t="shared" si="46"/>
        <v>N</v>
      </c>
      <c r="X123" s="177">
        <f t="shared" si="55"/>
        <v>1</v>
      </c>
      <c r="Y123" s="67">
        <f t="shared" si="47"/>
        <v>23.3002</v>
      </c>
      <c r="Z123" s="67">
        <f t="shared" si="48"/>
        <v>1.4500000000000001E-2</v>
      </c>
      <c r="AA123" s="67">
        <f t="shared" si="49"/>
        <v>23.285699999999999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50"/>
        <v>0216-16</v>
      </c>
      <c r="AE123" s="91" t="str">
        <f t="shared" si="37"/>
        <v>aws s3 cp s3://rtdc.mdm.uploadarchive.raw/RTDC4037/ "%USERPROFILE%\AppData\Local\Temp\OnboardLogs"\RTDC4037\2016-11-16 --exclude "*" --recursive --include "*20161116*" &amp; "%USERPROFILE%\Documents\GitHub\mrs-test-scripts\Headless Mode &amp; Sideloading\WalkAndUnGZ.bat" "%USERPROFILE%\AppData\Local\Temp\OnboardLogs"\RTDC4037\2016-11-16 &amp; 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</v>
      </c>
      <c r="AF123" s="88" t="str">
        <f t="shared" si="38"/>
        <v>"C:\Program Files (x86)\AstroGrep\AstroGrep.exe" /spath="%USERPROFILE%\AppData\Local\Temp\OnboardLogs" /stypes="app*4037*20161117*" /stext=" 02:.+((SYSTEM_STATE.+slice.+state.+changed )|(ment ac)|(system.+state.+changed )|(\[timeout)|(PRM\|1\|D)|(kpr)|(kdp)|(\|lc)|(penalty))" /e /r /s</v>
      </c>
      <c r="AG123" s="1" t="str">
        <f t="shared" si="51"/>
        <v>EC</v>
      </c>
      <c r="AH123" s="92" t="str">
        <f t="shared" si="39"/>
        <v>"%USERPROFILE%\Documents\GitHub\eaglep3\Utilities\RefineRTDCRunTimes.py" --tripid 216-16 --locoid 4037 --swversion DE.1.0.8.0 --startMP 204:233002 --initTime 2016-11-16T18:52:02 --startdatetime 2016-11-16T18:56:21 --delay 1 --endMP 204:145 --enddatetime 2016-11-16T19:41:39 --enforcementcount 0 &gt;&gt;C:\Users\stu\Documents\GitHub\eaglep3-reporting\EC\2016-11-16-refined-times.txt</v>
      </c>
      <c r="AI123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{"issue":{"subject":"","project_id":79,"tracker_id":40,"status_id":1,"priority_id":2,"assigned_to_id":23,"start_date":"2016-11-16","description":"","custom_fields":[{"id":1,"name":"Subdivision","value":"EC"},{"id":4,"name":"Milepost","value":"0.0145"},{"id":17,"name":"Train ID","value":"216-16"},{"id":16,"name":"Locomotive ID","value":"4037"},{"id":130,"name":"Impact","value":""},{"id":150,"name":"Time of Event (Mountain Time)","value":"19:41:39"},{"id":151,"name":"Denver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588</v>
      </c>
      <c r="B124" s="7">
        <v>4011</v>
      </c>
      <c r="C124" s="22" t="s">
        <v>222</v>
      </c>
      <c r="D124" s="22" t="s">
        <v>693</v>
      </c>
      <c r="E124" s="13">
        <v>42690.757870370369</v>
      </c>
      <c r="F124" s="13">
        <v>42690.761458333334</v>
      </c>
      <c r="G124" s="7">
        <v>4</v>
      </c>
      <c r="H124" s="22" t="s">
        <v>371</v>
      </c>
      <c r="I124" s="13">
        <v>42690.788263888891</v>
      </c>
      <c r="J124" s="7">
        <v>0</v>
      </c>
      <c r="K124" s="109" t="str">
        <f t="shared" si="41"/>
        <v>4011/4012</v>
      </c>
      <c r="L124" s="22" t="str">
        <f>VLOOKUP(A124,'Trips&amp;Operators'!$C$1:$E$10000,3,FALSE)</f>
        <v>LEVIN</v>
      </c>
      <c r="M124" s="6">
        <f t="shared" si="42"/>
        <v>2.6805555557075422E-2</v>
      </c>
      <c r="N124" s="7">
        <f t="shared" si="53"/>
        <v>38.600000002188608</v>
      </c>
      <c r="O124" s="7"/>
      <c r="P124" s="7"/>
      <c r="Q124" s="23"/>
      <c r="R124" s="23"/>
      <c r="S124" s="35">
        <f t="shared" si="56"/>
        <v>1</v>
      </c>
      <c r="T124" s="50" t="str">
        <f t="shared" si="45"/>
        <v>NorthBound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17:11:20-700',mode:absolute,to:'2016-11-16 19:55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4" s="52" t="str">
        <f t="shared" si="46"/>
        <v>N</v>
      </c>
      <c r="X124" s="177">
        <f t="shared" si="55"/>
        <v>1</v>
      </c>
      <c r="Y124" s="67">
        <f t="shared" si="47"/>
        <v>0.12230000000000001</v>
      </c>
      <c r="Z124" s="67">
        <f t="shared" si="48"/>
        <v>23.328399999999998</v>
      </c>
      <c r="AA124" s="67">
        <f t="shared" si="49"/>
        <v>23.206099999999999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50"/>
        <v>0217-16</v>
      </c>
      <c r="AE124" s="91" t="str">
        <f t="shared" si="37"/>
        <v>aws s3 cp s3://rtdc.mdm.uploadarchive.raw/RTDC4011/ "%USERPROFILE%\AppData\Local\Temp\OnboardLogs"\RTDC4011\2016-11-16 --exclude "*" --recursive --include "*20161116*" &amp; "%USERPROFILE%\Documents\GitHub\mrs-test-scripts\Headless Mode &amp; Sideloading\WalkAndUnGZ.bat" "%USERPROFILE%\AppData\Local\Temp\OnboardLogs"\RTDC4011\2016-11-16 &amp; 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</v>
      </c>
      <c r="AF124" s="88" t="str">
        <f t="shared" si="38"/>
        <v>"C:\Program Files (x86)\AstroGrep\AstroGrep.exe" /spath="%USERPROFILE%\AppData\Local\Temp\OnboardLogs" /stypes="app*4011*20161117*" /stext=" 01:.+((SYSTEM_STATE.+slice.+state.+changed )|(ment ac)|(system.+state.+changed )|(\[timeout)|(PRM\|1\|D)|(kpr)|(kdp)|(\|lc)|(penalty))" /e /r /s</v>
      </c>
      <c r="AG124" s="1" t="str">
        <f t="shared" si="51"/>
        <v>EC</v>
      </c>
      <c r="AH124" s="92" t="str">
        <f t="shared" si="39"/>
        <v>"%USERPROFILE%\Documents\GitHub\eaglep3\Utilities\RefineRTDCRunTimes.py" --tripid 217-16 --locoid 4011 --swversion DE.1.0.8.0 --startMP 204:1223 --initTime 2016-11-16T18:11:20 --startdatetime 2016-11-16T18:16:30 --delay 4 --endMP 204:233284 --enddatetime 2016-11-16T18:55:06 --enforcementcount 0 &gt;&gt;C:\Users\stu\Documents\GitHub\eaglep3-reporting\EC\2016-11-16-refined-times.txt</v>
      </c>
      <c r="AI124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{"issue":{"subject":"","project_id":79,"tracker_id":40,"status_id":1,"priority_id":2,"assigned_to_id":23,"start_date":"2016-11-16","description":"","custom_fields":[{"id":1,"name":"Subdivision","value":"EC"},{"id":4,"name":"Milepost","value":"23.3284"},{"id":17,"name":"Train ID","value":"217-16"},{"id":16,"name":"Locomotive ID","value":"4011"},{"id":130,"name":"Impact","value":""},{"id":150,"name":"Time of Event (Mountain Time)","value":"18:55:06"},{"id":151,"name":"Denver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599</v>
      </c>
      <c r="B125" s="7">
        <v>4012</v>
      </c>
      <c r="C125" s="22" t="s">
        <v>222</v>
      </c>
      <c r="D125" s="22" t="s">
        <v>299</v>
      </c>
      <c r="E125" s="13">
        <v>42690.798368055555</v>
      </c>
      <c r="F125" s="13">
        <v>42690.799664351849</v>
      </c>
      <c r="G125" s="7">
        <v>1</v>
      </c>
      <c r="H125" s="22" t="s">
        <v>367</v>
      </c>
      <c r="I125" s="13">
        <v>42690.826122685183</v>
      </c>
      <c r="J125" s="7">
        <v>0</v>
      </c>
      <c r="K125" s="109" t="str">
        <f t="shared" si="41"/>
        <v>4011/4012</v>
      </c>
      <c r="L125" s="22" t="str">
        <f>VLOOKUP(A125,'Trips&amp;Operators'!$C$1:$E$10000,3,FALSE)</f>
        <v>LEVIN</v>
      </c>
      <c r="M125" s="6">
        <f t="shared" si="42"/>
        <v>2.6458333333721384E-2</v>
      </c>
      <c r="N125" s="7">
        <f t="shared" si="53"/>
        <v>38.100000000558794</v>
      </c>
      <c r="O125" s="7"/>
      <c r="P125" s="7"/>
      <c r="Q125" s="23"/>
      <c r="R125" s="23"/>
      <c r="S125" s="35">
        <f t="shared" si="56"/>
        <v>1</v>
      </c>
      <c r="T125" s="50" t="str">
        <f t="shared" si="45"/>
        <v>Southbound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18:09:39-700',mode:absolute,to:'2016-11-16 20:49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5" s="52" t="str">
        <f t="shared" si="46"/>
        <v>N</v>
      </c>
      <c r="X125" s="177">
        <f t="shared" si="55"/>
        <v>1</v>
      </c>
      <c r="Y125" s="67">
        <f t="shared" si="47"/>
        <v>23.299399999999999</v>
      </c>
      <c r="Z125" s="67">
        <f t="shared" si="48"/>
        <v>1.4500000000000001E-2</v>
      </c>
      <c r="AA125" s="67">
        <f t="shared" si="49"/>
        <v>23.284899999999997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50"/>
        <v>0218-16</v>
      </c>
      <c r="AE125" s="91" t="str">
        <f t="shared" si="37"/>
        <v>aws s3 cp s3://rtdc.mdm.uploadarchive.raw/RTDC4012/ "%USERPROFILE%\AppData\Local\Temp\OnboardLogs"\RTDC4012\2016-11-16 --exclude "*" --recursive --include "*20161116*" &amp; "%USERPROFILE%\Documents\GitHub\mrs-test-scripts\Headless Mode &amp; Sideloading\WalkAndUnGZ.bat" "%USERPROFILE%\AppData\Local\Temp\OnboardLogs"\RTDC4012\2016-11-16 &amp; 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</v>
      </c>
      <c r="AF125" s="88" t="str">
        <f t="shared" si="38"/>
        <v>"C:\Program Files (x86)\AstroGrep\AstroGrep.exe" /spath="%USERPROFILE%\AppData\Local\Temp\OnboardLogs" /stypes="app*4012*20161117*" /stext=" 02:.+((SYSTEM_STATE.+slice.+state.+changed )|(ment ac)|(system.+state.+changed )|(\[timeout)|(PRM\|1\|D)|(kpr)|(kdp)|(\|lc)|(penalty))" /e /r /s</v>
      </c>
      <c r="AG125" s="1" t="str">
        <f t="shared" si="51"/>
        <v>EC</v>
      </c>
      <c r="AH125" s="92" t="str">
        <f t="shared" si="39"/>
        <v>"%USERPROFILE%\Documents\GitHub\eaglep3\Utilities\RefineRTDCRunTimes.py" --tripid 218-16 --locoid 4012 --swversion DE.1.0.8.0 --startMP 204:232994 --initTime 2016-11-16T19:09:39 --startdatetime 2016-11-16T19:11:31 --delay 1 --endMP 204:145 --enddatetime 2016-11-16T19:49:37 --enforcementcount 0 &gt;&gt;C:\Users\stu\Documents\GitHub\eaglep3-reporting\EC\2016-11-16-refined-times.txt</v>
      </c>
      <c r="AI125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{"issue":{"subject":"","project_id":79,"tracker_id":40,"status_id":1,"priority_id":2,"assigned_to_id":23,"start_date":"2016-11-16","description":"","custom_fields":[{"id":1,"name":"Subdivision","value":"EC"},{"id":4,"name":"Milepost","value":"0.0145"},{"id":17,"name":"Train ID","value":"218-16"},{"id":16,"name":"Locomotive ID","value":"4012"},{"id":130,"name":"Impact","value":""},{"id":150,"name":"Time of Event (Mountain Time)","value":"19:49:37"},{"id":151,"name":"Denver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590</v>
      </c>
      <c r="B126" s="7">
        <v>4009</v>
      </c>
      <c r="C126" s="22" t="s">
        <v>222</v>
      </c>
      <c r="D126" s="22" t="s">
        <v>255</v>
      </c>
      <c r="E126" s="13">
        <v>42690.770520833335</v>
      </c>
      <c r="F126" s="13">
        <v>42690.810254629629</v>
      </c>
      <c r="G126" s="7">
        <v>1</v>
      </c>
      <c r="H126" s="22" t="s">
        <v>229</v>
      </c>
      <c r="I126" s="13">
        <v>42690.837337962963</v>
      </c>
      <c r="J126" s="7">
        <v>0</v>
      </c>
      <c r="K126" s="109" t="str">
        <f t="shared" si="41"/>
        <v>4009/4010</v>
      </c>
      <c r="L126" s="22" t="str">
        <f>VLOOKUP(A126,'Trips&amp;Operators'!$C$1:$E$10000,3,FALSE)</f>
        <v>CRAYTON</v>
      </c>
      <c r="M126" s="6">
        <f t="shared" si="42"/>
        <v>2.7083333334303461E-2</v>
      </c>
      <c r="N126" s="7">
        <f t="shared" si="53"/>
        <v>39.000000001396984</v>
      </c>
      <c r="O126" s="7"/>
      <c r="P126" s="7"/>
      <c r="Q126" s="23"/>
      <c r="R126" s="23"/>
      <c r="S126" s="35">
        <f t="shared" si="56"/>
        <v>1</v>
      </c>
      <c r="T126" s="50" t="str">
        <f t="shared" si="45"/>
        <v>NorthBound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17:29:33-700',mode:absolute,to:'2016-11-16 21:05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6" s="52" t="str">
        <f t="shared" si="46"/>
        <v>N</v>
      </c>
      <c r="X126" s="177">
        <f t="shared" si="55"/>
        <v>1</v>
      </c>
      <c r="Y126" s="67">
        <f t="shared" si="47"/>
        <v>4.7100000000000003E-2</v>
      </c>
      <c r="Z126" s="67">
        <f t="shared" si="48"/>
        <v>23.331199999999999</v>
      </c>
      <c r="AA126" s="67">
        <f t="shared" si="49"/>
        <v>23.284099999999999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50"/>
        <v>0219-16</v>
      </c>
      <c r="AE126" s="91" t="str">
        <f t="shared" si="37"/>
        <v>aws s3 cp s3://rtdc.mdm.uploadarchive.raw/RTDC4009/ "%USERPROFILE%\AppData\Local\Temp\OnboardLogs"\RTDC4009\2016-11-16 --exclude "*" --recursive --include "*20161116*" &amp; "%USERPROFILE%\Documents\GitHub\mrs-test-scripts\Headless Mode &amp; Sideloading\WalkAndUnGZ.bat" "%USERPROFILE%\AppData\Local\Temp\OnboardLogs"\RTDC4009\2016-11-16 &amp; aws s3 cp s3://rtdc.mdm.uploadarchive.raw/RTDC4009/ "%USERPROFILE%\AppData\Local\Temp\OnboardLogs"\RTDC4009\2016-11-17 --exclude "*" --recursive --include "*20161117*" &amp; "%USERPROFILE%\Documents\GitHub\mrs-test-scripts\Headless Mode &amp; Sideloading\WalkAndUnGZ.bat" "%USERPROFILE%\AppData\Local\Temp\OnboardLogs"\RTDC4009\2016-11-17</v>
      </c>
      <c r="AF126" s="88" t="str">
        <f t="shared" si="38"/>
        <v>"C:\Program Files (x86)\AstroGrep\AstroGrep.exe" /spath="%USERPROFILE%\AppData\Local\Temp\OnboardLogs" /stypes="app*4009*20161117*" /stext=" 03:.+((SYSTEM_STATE.+slice.+state.+changed )|(ment ac)|(system.+state.+changed )|(\[timeout)|(PRM\|1\|D)|(kpr)|(kdp)|(\|lc)|(penalty))" /e /r /s</v>
      </c>
      <c r="AG126" s="1" t="str">
        <f t="shared" si="51"/>
        <v>EC</v>
      </c>
      <c r="AH126" s="92" t="str">
        <f t="shared" si="39"/>
        <v>"%USERPROFILE%\Documents\GitHub\eaglep3\Utilities\RefineRTDCRunTimes.py" --tripid 219-16 --locoid 4009 --swversion DE.1.0.8.0 --startMP 204:471 --initTime 2016-11-16T18:29:33 --startdatetime 2016-11-16T19:26:46 --delay 1 --endMP 204:233312 --enddatetime 2016-11-16T20:05:46 --enforcementcount 0 &gt;&gt;C:\Users\stu\Documents\GitHub\eaglep3-reporting\EC\2016-11-16-refined-times.txt</v>
      </c>
      <c r="AI126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{"issue":{"subject":"","project_id":79,"tracker_id":40,"status_id":1,"priority_id":2,"assigned_to_id":23,"start_date":"2016-11-16","description":"","custom_fields":[{"id":1,"name":"Subdivision","value":"EC"},{"id":4,"name":"Milepost","value":"23.3312"},{"id":17,"name":"Train ID","value":"219-16"},{"id":16,"name":"Locomotive ID","value":"4009"},{"id":130,"name":"Impact","value":""},{"id":150,"name":"Time of Event (Mountain Time)","value":"20:05:46"},{"id":151,"name":"Denver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601</v>
      </c>
      <c r="B127" s="7">
        <v>4010</v>
      </c>
      <c r="C127" s="22" t="s">
        <v>222</v>
      </c>
      <c r="D127" s="22" t="s">
        <v>651</v>
      </c>
      <c r="E127" s="13">
        <v>42690.806481481479</v>
      </c>
      <c r="F127" s="13">
        <v>42690.810254629629</v>
      </c>
      <c r="G127" s="7">
        <v>1</v>
      </c>
      <c r="H127" s="22" t="s">
        <v>648</v>
      </c>
      <c r="I127" s="13">
        <v>42690.837337962963</v>
      </c>
      <c r="J127" s="7">
        <v>0</v>
      </c>
      <c r="K127" s="109" t="str">
        <f t="shared" si="41"/>
        <v>4009/4010</v>
      </c>
      <c r="L127" s="22" t="str">
        <f>VLOOKUP(A127,'Trips&amp;Operators'!$C$1:$E$10000,3,FALSE)</f>
        <v>CRAYTON</v>
      </c>
      <c r="M127" s="6">
        <f t="shared" si="42"/>
        <v>2.7083333334303461E-2</v>
      </c>
      <c r="N127" s="7">
        <f t="shared" si="53"/>
        <v>39.000000001396984</v>
      </c>
      <c r="O127" s="7"/>
      <c r="P127" s="7"/>
      <c r="Q127" s="23"/>
      <c r="R127" s="23"/>
      <c r="S127" s="35">
        <f t="shared" si="56"/>
        <v>1</v>
      </c>
      <c r="T127" s="50" t="str">
        <f t="shared" si="45"/>
        <v>Southbound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18:21:20-700',mode:absolute,to:'2016-11-16 21:05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7" s="52" t="str">
        <f t="shared" si="46"/>
        <v>N</v>
      </c>
      <c r="X127" s="177">
        <f t="shared" si="55"/>
        <v>1</v>
      </c>
      <c r="Y127" s="67">
        <f t="shared" si="47"/>
        <v>23.299299999999999</v>
      </c>
      <c r="Z127" s="67">
        <f t="shared" si="48"/>
        <v>1.47E-2</v>
      </c>
      <c r="AA127" s="67">
        <f t="shared" si="49"/>
        <v>23.284599999999998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50"/>
        <v>0220-16</v>
      </c>
      <c r="AE127" s="91" t="str">
        <f t="shared" si="37"/>
        <v>aws s3 cp s3://rtdc.mdm.uploadarchive.raw/RTDC4010/ "%USERPROFILE%\AppData\Local\Temp\OnboardLogs"\RTDC4010\2016-11-16 --exclude "*" --recursive --include "*20161116*" &amp; "%USERPROFILE%\Documents\GitHub\mrs-test-scripts\Headless Mode &amp; Sideloading\WalkAndUnGZ.bat" "%USERPROFILE%\AppData\Local\Temp\OnboardLogs"\RTDC4010\2016-11-16 &amp; aws s3 cp s3://rtdc.mdm.uploadarchive.raw/RTDC4010/ "%USERPROFILE%\AppData\Local\Temp\OnboardLogs"\RTDC4010\2016-11-17 --exclude "*" --recursive --include "*20161117*" &amp; "%USERPROFILE%\Documents\GitHub\mrs-test-scripts\Headless Mode &amp; Sideloading\WalkAndUnGZ.bat" "%USERPROFILE%\AppData\Local\Temp\OnboardLogs"\RTDC4010\2016-11-17</v>
      </c>
      <c r="AF127" s="88" t="str">
        <f t="shared" si="38"/>
        <v>"C:\Program Files (x86)\AstroGrep\AstroGrep.exe" /spath="%USERPROFILE%\AppData\Local\Temp\OnboardLogs" /stypes="app*4010*20161117*" /stext=" 03:.+((SYSTEM_STATE.+slice.+state.+changed )|(ment ac)|(system.+state.+changed )|(\[timeout)|(PRM\|1\|D)|(kpr)|(kdp)|(\|lc)|(penalty))" /e /r /s</v>
      </c>
      <c r="AG127" s="1" t="str">
        <f t="shared" si="51"/>
        <v>EC</v>
      </c>
      <c r="AH127" s="92" t="str">
        <f t="shared" si="39"/>
        <v>"%USERPROFILE%\Documents\GitHub\eaglep3\Utilities\RefineRTDCRunTimes.py" --tripid 220-16 --locoid 4010 --swversion DE.1.0.8.0 --startMP 204:232993 --initTime 2016-11-16T19:21:20 --startdatetime 2016-11-16T19:26:46 --delay 1 --endMP 204:147 --enddatetime 2016-11-16T20:05:46 --enforcementcount 0 &gt;&gt;C:\Users\stu\Documents\GitHub\eaglep3-reporting\EC\2016-11-16-refined-times.txt</v>
      </c>
      <c r="AI127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{"issue":{"subject":"","project_id":79,"tracker_id":40,"status_id":1,"priority_id":2,"assigned_to_id":23,"start_date":"2016-11-16","description":"","custom_fields":[{"id":1,"name":"Subdivision","value":"EC"},{"id":4,"name":"Milepost","value":"0.0147"},{"id":17,"name":"Train ID","value":"220-16"},{"id":16,"name":"Locomotive ID","value":"4010"},{"id":130,"name":"Impact","value":""},{"id":150,"name":"Time of Event (Mountain Time)","value":"20:05:46"},{"id":151,"name":"Denver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x14ac:dyDescent="0.25">
      <c r="A128" s="37" t="s">
        <v>598</v>
      </c>
      <c r="B128" s="7">
        <v>4016</v>
      </c>
      <c r="C128" s="22" t="s">
        <v>222</v>
      </c>
      <c r="D128" s="22" t="s">
        <v>672</v>
      </c>
      <c r="E128" s="13">
        <v>42690.786736111113</v>
      </c>
      <c r="F128" s="13">
        <v>42690.792002314818</v>
      </c>
      <c r="G128" s="7">
        <v>2</v>
      </c>
      <c r="H128" s="22" t="s">
        <v>233</v>
      </c>
      <c r="I128" s="13">
        <v>42690.817314814813</v>
      </c>
      <c r="J128" s="7">
        <v>0</v>
      </c>
      <c r="K128" s="109" t="str">
        <f t="shared" si="41"/>
        <v>4015/4016</v>
      </c>
      <c r="L128" s="22" t="str">
        <f>VLOOKUP(A128,'Trips&amp;Operators'!$C$1:$E$10000,3,FALSE)</f>
        <v>MCREYNOLDS</v>
      </c>
      <c r="M128" s="6">
        <f t="shared" si="42"/>
        <v>2.5312499994470272E-2</v>
      </c>
      <c r="N128" s="7">
        <f t="shared" si="53"/>
        <v>36.449999992037192</v>
      </c>
      <c r="O128" s="7"/>
      <c r="P128" s="7"/>
      <c r="Q128" s="23"/>
      <c r="R128" s="23"/>
      <c r="S128" s="35">
        <f t="shared" si="56"/>
        <v>1</v>
      </c>
      <c r="T128" s="50" t="str">
        <f t="shared" si="45"/>
        <v>NorthBound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17:52:54-700',mode:absolute,to:'2016-11-16 20:36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8" s="52" t="str">
        <f t="shared" si="46"/>
        <v>N</v>
      </c>
      <c r="X128" s="177">
        <f t="shared" si="55"/>
        <v>1</v>
      </c>
      <c r="Y128" s="67">
        <f t="shared" si="47"/>
        <v>4.5499999999999999E-2</v>
      </c>
      <c r="Z128" s="67">
        <f t="shared" si="48"/>
        <v>23.3306</v>
      </c>
      <c r="AA128" s="67">
        <f t="shared" si="49"/>
        <v>23.2851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50"/>
        <v>0221-16</v>
      </c>
      <c r="AE128" s="91" t="str">
        <f t="shared" si="37"/>
        <v>aws s3 cp s3://rtdc.mdm.uploadarchive.raw/RTDC4016/ "%USERPROFILE%\AppData\Local\Temp\OnboardLogs"\RTDC4016\2016-11-16 --exclude "*" --recursive --include "*20161116*" &amp; "%USERPROFILE%\Documents\GitHub\mrs-test-scripts\Headless Mode &amp; Sideloading\WalkAndUnGZ.bat" "%USERPROFILE%\AppData\Local\Temp\OnboardLogs"\RTDC4016\2016-11-16 &amp; aws s3 cp s3://rtdc.mdm.uploadarchive.raw/RTDC4016/ "%USERPROFILE%\AppData\Local\Temp\OnboardLogs"\RTDC4016\2016-11-17 --exclude "*" --recursive --include "*20161117*" &amp; "%USERPROFILE%\Documents\GitHub\mrs-test-scripts\Headless Mode &amp; Sideloading\WalkAndUnGZ.bat" "%USERPROFILE%\AppData\Local\Temp\OnboardLogs"\RTDC4016\2016-11-17</v>
      </c>
      <c r="AF128" s="88" t="str">
        <f t="shared" si="38"/>
        <v>"C:\Program Files (x86)\AstroGrep\AstroGrep.exe" /spath="%USERPROFILE%\AppData\Local\Temp\OnboardLogs" /stypes="app*4016*20161117*" /stext=" 02:.+((SYSTEM_STATE.+slice.+state.+changed )|(ment ac)|(system.+state.+changed )|(\[timeout)|(PRM\|1\|D)|(kpr)|(kdp)|(\|lc)|(penalty))" /e /r /s</v>
      </c>
      <c r="AG128" s="1" t="str">
        <f t="shared" si="51"/>
        <v>EC</v>
      </c>
      <c r="AH128" s="92" t="str">
        <f t="shared" si="39"/>
        <v>"%USERPROFILE%\Documents\GitHub\eaglep3\Utilities\RefineRTDCRunTimes.py" --tripid 221-16 --locoid 4016 --swversion DE.1.0.8.0 --startMP 204:455 --initTime 2016-11-16T18:52:54 --startdatetime 2016-11-16T19:00:29 --delay 2 --endMP 204:233306 --enddatetime 2016-11-16T19:36:56 --enforcementcount 0 &gt;&gt;C:\Users\stu\Documents\GitHub\eaglep3-reporting\EC\2016-11-16-refined-times.txt</v>
      </c>
      <c r="AI128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{"issue":{"subject":"","project_id":79,"tracker_id":40,"status_id":1,"priority_id":2,"assigned_to_id":23,"start_date":"2016-11-16","description":"","custom_fields":[{"id":1,"name":"Subdivision","value":"EC"},{"id":4,"name":"Milepost","value":"23.3306"},{"id":17,"name":"Train ID","value":"221-16"},{"id":16,"name":"Locomotive ID","value":"4016"},{"id":130,"name":"Impact","value":""},{"id":150,"name":"Time of Event (Mountain Time)","value":"19:36:56"},{"id":151,"name":"Denver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</row>
    <row r="129" spans="1:91" s="21" customFormat="1" x14ac:dyDescent="0.25">
      <c r="A129" s="37" t="s">
        <v>605</v>
      </c>
      <c r="B129" s="7">
        <v>4015</v>
      </c>
      <c r="C129" s="22" t="s">
        <v>222</v>
      </c>
      <c r="D129" s="22" t="s">
        <v>651</v>
      </c>
      <c r="E129" s="13">
        <v>42690.826770833337</v>
      </c>
      <c r="F129" s="13">
        <v>42690.831203703703</v>
      </c>
      <c r="G129" s="7">
        <v>1</v>
      </c>
      <c r="H129" s="22" t="s">
        <v>278</v>
      </c>
      <c r="I129" s="13">
        <v>42690.859780092593</v>
      </c>
      <c r="J129" s="7">
        <v>0</v>
      </c>
      <c r="K129" s="109" t="str">
        <f t="shared" si="41"/>
        <v>4015/4016</v>
      </c>
      <c r="L129" s="22" t="str">
        <f>VLOOKUP(A129,'Trips&amp;Operators'!$C$1:$E$10000,3,FALSE)</f>
        <v>MCREYNOLDS</v>
      </c>
      <c r="M129" s="6">
        <f t="shared" si="42"/>
        <v>2.8576388889632653E-2</v>
      </c>
      <c r="N129" s="7">
        <f t="shared" si="53"/>
        <v>41.150000001071021</v>
      </c>
      <c r="O129" s="7"/>
      <c r="P129" s="7"/>
      <c r="Q129" s="23"/>
      <c r="R129" s="23"/>
      <c r="S129" s="35">
        <f t="shared" si="56"/>
        <v>1</v>
      </c>
      <c r="T129" s="50" t="str">
        <f t="shared" si="45"/>
        <v>Southbound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18:50:33-700',mode:absolute,to:'2016-11-16 21:38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9" s="52" t="str">
        <f t="shared" si="46"/>
        <v>N</v>
      </c>
      <c r="X129" s="177">
        <f t="shared" si="55"/>
        <v>1</v>
      </c>
      <c r="Y129" s="67">
        <f t="shared" si="47"/>
        <v>23.299299999999999</v>
      </c>
      <c r="Z129" s="67">
        <f t="shared" si="48"/>
        <v>1.54E-2</v>
      </c>
      <c r="AA129" s="67">
        <f t="shared" si="49"/>
        <v>23.283899999999999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50"/>
        <v>0222-16</v>
      </c>
      <c r="AE129" s="91" t="str">
        <f t="shared" si="37"/>
        <v>aws s3 cp s3://rtdc.mdm.uploadarchive.raw/RTDC4015/ "%USERPROFILE%\AppData\Local\Temp\OnboardLogs"\RTDC4015\2016-11-16 --exclude "*" --recursive --include "*20161116*" &amp; "%USERPROFILE%\Documents\GitHub\mrs-test-scripts\Headless Mode &amp; Sideloading\WalkAndUnGZ.bat" "%USERPROFILE%\AppData\Local\Temp\OnboardLogs"\RTDC4015\2016-11-16 &amp; aws s3 cp s3://rtdc.mdm.uploadarchive.raw/RTDC4015/ "%USERPROFILE%\AppData\Local\Temp\OnboardLogs"\RTDC4015\2016-11-17 --exclude "*" --recursive --include "*20161117*" &amp; "%USERPROFILE%\Documents\GitHub\mrs-test-scripts\Headless Mode &amp; Sideloading\WalkAndUnGZ.bat" "%USERPROFILE%\AppData\Local\Temp\OnboardLogs"\RTDC4015\2016-11-17</v>
      </c>
      <c r="AF129" s="88" t="str">
        <f t="shared" si="38"/>
        <v>"C:\Program Files (x86)\AstroGrep\AstroGrep.exe" /spath="%USERPROFILE%\AppData\Local\Temp\OnboardLogs" /stypes="app*4015*20161117*" /stext=" 03:.+((SYSTEM_STATE.+slice.+state.+changed )|(ment ac)|(system.+state.+changed )|(\[timeout)|(PRM\|1\|D)|(kpr)|(kdp)|(\|lc)|(penalty))" /e /r /s</v>
      </c>
      <c r="AG129" s="1" t="str">
        <f t="shared" si="51"/>
        <v>EC</v>
      </c>
      <c r="AH129" s="92" t="str">
        <f t="shared" si="39"/>
        <v>"%USERPROFILE%\Documents\GitHub\eaglep3\Utilities\RefineRTDCRunTimes.py" --tripid 222-16 --locoid 4015 --swversion DE.1.0.8.0 --startMP 204:232993 --initTime 2016-11-16T19:50:33 --startdatetime 2016-11-16T19:56:56 --delay 1 --endMP 204:154 --enddatetime 2016-11-16T20:38:05 --enforcementcount 0 &gt;&gt;C:\Users\stu\Documents\GitHub\eaglep3-reporting\EC\2016-11-16-refined-times.txt</v>
      </c>
      <c r="AI129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{"issue":{"subject":"","project_id":79,"tracker_id":40,"status_id":1,"priority_id":2,"assigned_to_id":23,"start_date":"2016-11-16","description":"","custom_fields":[{"id":1,"name":"Subdivision","value":"EC"},{"id":4,"name":"Milepost","value":"0.0154"},{"id":17,"name":"Train ID","value":"222-16"},{"id":16,"name":"Locomotive ID","value":"4015"},{"id":130,"name":"Impact","value":""},{"id":150,"name":"Time of Event (Mountain Time)","value":"20:38:05"},{"id":151,"name":"Denver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602</v>
      </c>
      <c r="B130" s="7">
        <v>4029</v>
      </c>
      <c r="C130" s="22" t="s">
        <v>222</v>
      </c>
      <c r="D130" s="22" t="s">
        <v>672</v>
      </c>
      <c r="E130" s="13">
        <v>42690.808622685188</v>
      </c>
      <c r="F130" s="13">
        <v>42690.812696759262</v>
      </c>
      <c r="G130" s="7">
        <v>1</v>
      </c>
      <c r="H130" s="22" t="s">
        <v>229</v>
      </c>
      <c r="I130" s="13">
        <v>42690.838807870372</v>
      </c>
      <c r="J130" s="7">
        <v>0</v>
      </c>
      <c r="K130" s="109" t="str">
        <f t="shared" si="41"/>
        <v>4029/4030</v>
      </c>
      <c r="L130" s="22" t="str">
        <f>VLOOKUP(A130,'Trips&amp;Operators'!$C$1:$E$10000,3,FALSE)</f>
        <v>PERKINS</v>
      </c>
      <c r="M130" s="6">
        <f t="shared" si="42"/>
        <v>2.6111111110367347E-2</v>
      </c>
      <c r="N130" s="7">
        <f t="shared" si="53"/>
        <v>37.599999998928979</v>
      </c>
      <c r="O130" s="7"/>
      <c r="P130" s="7"/>
      <c r="Q130" s="23"/>
      <c r="R130" s="23"/>
      <c r="S130" s="35">
        <f t="shared" si="56"/>
        <v>1</v>
      </c>
      <c r="T130" s="50" t="str">
        <f t="shared" si="45"/>
        <v>NorthBound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18:24:25-700',mode:absolute,to:'2016-11-16 21:07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0" s="52" t="str">
        <f t="shared" si="46"/>
        <v>N</v>
      </c>
      <c r="X130" s="177">
        <f t="shared" si="55"/>
        <v>1</v>
      </c>
      <c r="Y130" s="67">
        <f t="shared" si="47"/>
        <v>4.5499999999999999E-2</v>
      </c>
      <c r="Z130" s="67">
        <f t="shared" si="48"/>
        <v>23.331199999999999</v>
      </c>
      <c r="AA130" s="67">
        <f t="shared" si="49"/>
        <v>23.285699999999999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50"/>
        <v>0223-16</v>
      </c>
      <c r="AE130" s="91" t="str">
        <f t="shared" si="37"/>
        <v>aws s3 cp s3://rtdc.mdm.uploadarchive.raw/RTDC4029/ "%USERPROFILE%\AppData\Local\Temp\OnboardLogs"\RTDC4029\2016-11-16 --exclude "*" --recursive --include "*20161116*" &amp; "%USERPROFILE%\Documents\GitHub\mrs-test-scripts\Headless Mode &amp; Sideloading\WalkAndUnGZ.bat" "%USERPROFILE%\AppData\Local\Temp\OnboardLogs"\RTDC4029\2016-11-16 &amp; aws s3 cp s3://rtdc.mdm.uploadarchive.raw/RTDC4029/ "%USERPROFILE%\AppData\Local\Temp\OnboardLogs"\RTDC4029\2016-11-17 --exclude "*" --recursive --include "*20161117*" &amp; "%USERPROFILE%\Documents\GitHub\mrs-test-scripts\Headless Mode &amp; Sideloading\WalkAndUnGZ.bat" "%USERPROFILE%\AppData\Local\Temp\OnboardLogs"\RTDC4029\2016-11-17</v>
      </c>
      <c r="AF130" s="88" t="str">
        <f t="shared" si="38"/>
        <v>"C:\Program Files (x86)\AstroGrep\AstroGrep.exe" /spath="%USERPROFILE%\AppData\Local\Temp\OnboardLogs" /stypes="app*4029*20161117*" /stext=" 03:.+((SYSTEM_STATE.+slice.+state.+changed )|(ment ac)|(system.+state.+changed )|(\[timeout)|(PRM\|1\|D)|(kpr)|(kdp)|(\|lc)|(penalty))" /e /r /s</v>
      </c>
      <c r="AG130" s="1" t="str">
        <f t="shared" si="51"/>
        <v>EC</v>
      </c>
      <c r="AH130" s="92" t="str">
        <f t="shared" si="39"/>
        <v>"%USERPROFILE%\Documents\GitHub\eaglep3\Utilities\RefineRTDCRunTimes.py" --tripid 223-16 --locoid 4029 --swversion DE.1.0.8.0 --startMP 204:455 --initTime 2016-11-16T19:24:25 --startdatetime 2016-11-16T19:30:17 --delay 1 --endMP 204:233312 --enddatetime 2016-11-16T20:07:53 --enforcementcount 0 &gt;&gt;C:\Users\stu\Documents\GitHub\eaglep3-reporting\EC\2016-11-16-refined-times.txt</v>
      </c>
      <c r="AI130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{"issue":{"subject":"","project_id":79,"tracker_id":40,"status_id":1,"priority_id":2,"assigned_to_id":23,"start_date":"2016-11-16","description":"","custom_fields":[{"id":1,"name":"Subdivision","value":"EC"},{"id":4,"name":"Milepost","value":"23.3312"},{"id":17,"name":"Train ID","value":"223-16"},{"id":16,"name":"Locomotive ID","value":"4029"},{"id":130,"name":"Impact","value":""},{"id":150,"name":"Time of Event (Mountain Time)","value":"20:07:53"},{"id":151,"name":"Denver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608</v>
      </c>
      <c r="B131" s="7">
        <v>4030</v>
      </c>
      <c r="C131" s="22" t="s">
        <v>222</v>
      </c>
      <c r="D131" s="22" t="s">
        <v>651</v>
      </c>
      <c r="E131" s="13">
        <v>42690.846354166664</v>
      </c>
      <c r="F131" s="13">
        <v>42690.851701388892</v>
      </c>
      <c r="G131" s="7">
        <v>1</v>
      </c>
      <c r="H131" s="22" t="s">
        <v>220</v>
      </c>
      <c r="I131" s="13">
        <v>42690.879236111112</v>
      </c>
      <c r="J131" s="7">
        <v>0</v>
      </c>
      <c r="K131" s="109" t="str">
        <f t="shared" si="41"/>
        <v>4029/4030</v>
      </c>
      <c r="L131" s="22" t="str">
        <f>VLOOKUP(A131,'Trips&amp;Operators'!$C$1:$E$10000,3,FALSE)</f>
        <v>PERKINS</v>
      </c>
      <c r="M131" s="6">
        <f t="shared" si="42"/>
        <v>2.753472221957054E-2</v>
      </c>
      <c r="N131" s="7">
        <f t="shared" si="53"/>
        <v>39.649999996181577</v>
      </c>
      <c r="O131" s="7"/>
      <c r="P131" s="7"/>
      <c r="Q131" s="23"/>
      <c r="R131" s="23"/>
      <c r="S131" s="35">
        <f t="shared" si="56"/>
        <v>1</v>
      </c>
      <c r="T131" s="50" t="str">
        <f t="shared" si="45"/>
        <v>Southbound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19:18:45-700',mode:absolute,to:'2016-11-16 22:06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1" s="52" t="str">
        <f t="shared" si="46"/>
        <v>N</v>
      </c>
      <c r="X131" s="177">
        <f t="shared" si="55"/>
        <v>1</v>
      </c>
      <c r="Y131" s="67">
        <f t="shared" si="47"/>
        <v>23.299299999999999</v>
      </c>
      <c r="Z131" s="67">
        <f t="shared" si="48"/>
        <v>1.61E-2</v>
      </c>
      <c r="AA131" s="67">
        <f t="shared" si="49"/>
        <v>23.283199999999997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50"/>
        <v>0224-16</v>
      </c>
      <c r="AE131" s="91" t="str">
        <f t="shared" si="37"/>
        <v>aws s3 cp s3://rtdc.mdm.uploadarchive.raw/RTDC4030/ "%USERPROFILE%\AppData\Local\Temp\OnboardLogs"\RTDC4030\2016-11-16 --exclude "*" --recursive --include "*20161116*" &amp; "%USERPROFILE%\Documents\GitHub\mrs-test-scripts\Headless Mode &amp; Sideloading\WalkAndUnGZ.bat" "%USERPROFILE%\AppData\Local\Temp\OnboardLogs"\RTDC4030\2016-11-16 &amp; aws s3 cp s3://rtdc.mdm.uploadarchive.raw/RTDC4030/ "%USERPROFILE%\AppData\Local\Temp\OnboardLogs"\RTDC4030\2016-11-17 --exclude "*" --recursive --include "*20161117*" &amp; "%USERPROFILE%\Documents\GitHub\mrs-test-scripts\Headless Mode &amp; Sideloading\WalkAndUnGZ.bat" "%USERPROFILE%\AppData\Local\Temp\OnboardLogs"\RTDC4030\2016-11-17</v>
      </c>
      <c r="AF131" s="88" t="str">
        <f t="shared" si="38"/>
        <v>"C:\Program Files (x86)\AstroGrep\AstroGrep.exe" /spath="%USERPROFILE%\AppData\Local\Temp\OnboardLogs" /stypes="app*4030*20161117*" /stext=" 04:.+((SYSTEM_STATE.+slice.+state.+changed )|(ment ac)|(system.+state.+changed )|(\[timeout)|(PRM\|1\|D)|(kpr)|(kdp)|(\|lc)|(penalty))" /e /r /s</v>
      </c>
      <c r="AG131" s="1" t="str">
        <f t="shared" si="51"/>
        <v>EC</v>
      </c>
      <c r="AH131" s="92" t="str">
        <f t="shared" si="39"/>
        <v>"%USERPROFILE%\Documents\GitHub\eaglep3\Utilities\RefineRTDCRunTimes.py" --tripid 224-16 --locoid 4030 --swversion DE.1.0.8.0 --startMP 204:232993 --initTime 2016-11-16T20:18:45 --startdatetime 2016-11-16T20:26:27 --delay 1 --endMP 204:161 --enddatetime 2016-11-16T21:06:06 --enforcementcount 0 &gt;&gt;C:\Users\stu\Documents\GitHub\eaglep3-reporting\EC\2016-11-16-refined-times.txt</v>
      </c>
      <c r="AI131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{"issue":{"subject":"","project_id":79,"tracker_id":40,"status_id":1,"priority_id":2,"assigned_to_id":23,"start_date":"2016-11-16","description":"","custom_fields":[{"id":1,"name":"Subdivision","value":"EC"},{"id":4,"name":"Milepost","value":"0.0161"},{"id":17,"name":"Train ID","value":"224-16"},{"id":16,"name":"Locomotive ID","value":"4030"},{"id":130,"name":"Impact","value":""},{"id":150,"name":"Time of Event (Mountain Time)","value":"21:06:06"},{"id":151,"name":"Denver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606</v>
      </c>
      <c r="B132" s="7">
        <v>4011</v>
      </c>
      <c r="C132" s="22" t="s">
        <v>222</v>
      </c>
      <c r="D132" s="22" t="s">
        <v>202</v>
      </c>
      <c r="E132" s="13">
        <v>42690.829444444447</v>
      </c>
      <c r="F132" s="13">
        <v>42690.833634259259</v>
      </c>
      <c r="G132" s="7">
        <v>1</v>
      </c>
      <c r="H132" s="22" t="s">
        <v>682</v>
      </c>
      <c r="I132" s="13">
        <v>42690.857951388891</v>
      </c>
      <c r="J132" s="7">
        <v>0</v>
      </c>
      <c r="K132" s="109" t="str">
        <f t="shared" si="41"/>
        <v>4011/4012</v>
      </c>
      <c r="L132" s="22" t="str">
        <f>VLOOKUP(A132,'Trips&amp;Operators'!$C$1:$E$10000,3,FALSE)</f>
        <v>LEVIN</v>
      </c>
      <c r="M132" s="6">
        <f t="shared" si="42"/>
        <v>2.4317129631526768E-2</v>
      </c>
      <c r="N132" s="7">
        <f t="shared" si="53"/>
        <v>35.016666669398546</v>
      </c>
      <c r="O132" s="7"/>
      <c r="P132" s="7"/>
      <c r="Q132" s="23"/>
      <c r="R132" s="23"/>
      <c r="S132" s="35">
        <f t="shared" si="56"/>
        <v>1</v>
      </c>
      <c r="T132" s="50" t="str">
        <f t="shared" si="45"/>
        <v>NorthBound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18:54:24-700',mode:absolute,to:'2016-11-16 21:35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2" s="52" t="str">
        <f t="shared" si="46"/>
        <v>N</v>
      </c>
      <c r="X132" s="177">
        <f t="shared" si="55"/>
        <v>1</v>
      </c>
      <c r="Y132" s="67">
        <f t="shared" si="47"/>
        <v>4.5100000000000001E-2</v>
      </c>
      <c r="Z132" s="67">
        <f t="shared" si="48"/>
        <v>23.332699999999999</v>
      </c>
      <c r="AA132" s="67">
        <f t="shared" si="49"/>
        <v>23.287599999999998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50"/>
        <v>0225-16</v>
      </c>
      <c r="AE132" s="91" t="str">
        <f t="shared" si="37"/>
        <v>aws s3 cp s3://rtdc.mdm.uploadarchive.raw/RTDC4011/ "%USERPROFILE%\AppData\Local\Temp\OnboardLogs"\RTDC4011\2016-11-16 --exclude "*" --recursive --include "*20161116*" &amp; "%USERPROFILE%\Documents\GitHub\mrs-test-scripts\Headless Mode &amp; Sideloading\WalkAndUnGZ.bat" "%USERPROFILE%\AppData\Local\Temp\OnboardLogs"\RTDC4011\2016-11-16 &amp; 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</v>
      </c>
      <c r="AF132" s="88" t="str">
        <f t="shared" si="38"/>
        <v>"C:\Program Files (x86)\AstroGrep\AstroGrep.exe" /spath="%USERPROFILE%\AppData\Local\Temp\OnboardLogs" /stypes="app*4011*20161117*" /stext=" 03:.+((SYSTEM_STATE.+slice.+state.+changed )|(ment ac)|(system.+state.+changed )|(\[timeout)|(PRM\|1\|D)|(kpr)|(kdp)|(\|lc)|(penalty))" /e /r /s</v>
      </c>
      <c r="AG132" s="1" t="str">
        <f t="shared" si="51"/>
        <v>EC</v>
      </c>
      <c r="AH132" s="92" t="str">
        <f t="shared" si="39"/>
        <v>"%USERPROFILE%\Documents\GitHub\eaglep3\Utilities\RefineRTDCRunTimes.py" --tripid 225-16 --locoid 4011 --swversion DE.1.0.8.0 --startMP 204:451 --initTime 2016-11-16T19:54:24 --startdatetime 2016-11-16T20:00:26 --delay 1 --endMP 204:233327 --enddatetime 2016-11-16T20:35:27 --enforcementcount 0 &gt;&gt;C:\Users\stu\Documents\GitHub\eaglep3-reporting\EC\2016-11-16-refined-times.txt</v>
      </c>
      <c r="AI132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{"issue":{"subject":"","project_id":79,"tracker_id":40,"status_id":1,"priority_id":2,"assigned_to_id":23,"start_date":"2016-11-16","description":"","custom_fields":[{"id":1,"name":"Subdivision","value":"EC"},{"id":4,"name":"Milepost","value":"23.3327"},{"id":17,"name":"Train ID","value":"225-16"},{"id":16,"name":"Locomotive ID","value":"4011"},{"id":130,"name":"Impact","value":""},{"id":150,"name":"Time of Event (Mountain Time)","value":"20:35:27"},{"id":151,"name":"Denver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611</v>
      </c>
      <c r="B133" s="7">
        <v>4012</v>
      </c>
      <c r="C133" s="22" t="s">
        <v>222</v>
      </c>
      <c r="D133" s="22" t="s">
        <v>321</v>
      </c>
      <c r="E133" s="13">
        <v>42690.86991898148</v>
      </c>
      <c r="F133" s="13">
        <v>42690.872407407405</v>
      </c>
      <c r="G133" s="7">
        <v>1</v>
      </c>
      <c r="H133" s="22" t="s">
        <v>196</v>
      </c>
      <c r="I133" s="13">
        <v>42690.900231481479</v>
      </c>
      <c r="J133" s="7">
        <v>0</v>
      </c>
      <c r="K133" s="109" t="str">
        <f t="shared" si="41"/>
        <v>4011/4012</v>
      </c>
      <c r="L133" s="22" t="str">
        <f>VLOOKUP(A133,'Trips&amp;Operators'!$C$1:$E$10000,3,FALSE)</f>
        <v>LEVIN</v>
      </c>
      <c r="M133" s="6">
        <f t="shared" si="42"/>
        <v>2.7824074073578231E-2</v>
      </c>
      <c r="N133" s="7">
        <f t="shared" si="53"/>
        <v>40.066666665952653</v>
      </c>
      <c r="O133" s="7"/>
      <c r="P133" s="7"/>
      <c r="Q133" s="23"/>
      <c r="R133" s="23"/>
      <c r="S133" s="35">
        <f t="shared" si="56"/>
        <v>1</v>
      </c>
      <c r="T133" s="50" t="str">
        <f t="shared" si="45"/>
        <v>Southbound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19:52:41-700',mode:absolute,to:'2016-11-16 22:36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3" s="52" t="str">
        <f t="shared" si="46"/>
        <v>N</v>
      </c>
      <c r="X133" s="177">
        <f t="shared" si="55"/>
        <v>1</v>
      </c>
      <c r="Y133" s="67">
        <f t="shared" si="47"/>
        <v>23.3004</v>
      </c>
      <c r="Z133" s="67">
        <f t="shared" si="48"/>
        <v>1.49E-2</v>
      </c>
      <c r="AA133" s="67">
        <f t="shared" si="49"/>
        <v>23.285499999999999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50"/>
        <v>0226-16</v>
      </c>
      <c r="AE133" s="91" t="str">
        <f t="shared" si="37"/>
        <v>aws s3 cp s3://rtdc.mdm.uploadarchive.raw/RTDC4012/ "%USERPROFILE%\AppData\Local\Temp\OnboardLogs"\RTDC4012\2016-11-16 --exclude "*" --recursive --include "*20161116*" &amp; "%USERPROFILE%\Documents\GitHub\mrs-test-scripts\Headless Mode &amp; Sideloading\WalkAndUnGZ.bat" "%USERPROFILE%\AppData\Local\Temp\OnboardLogs"\RTDC4012\2016-11-16 &amp; 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</v>
      </c>
      <c r="AF133" s="88" t="str">
        <f t="shared" si="38"/>
        <v>"C:\Program Files (x86)\AstroGrep\AstroGrep.exe" /spath="%USERPROFILE%\AppData\Local\Temp\OnboardLogs" /stypes="app*4012*20161117*" /stext=" 04:.+((SYSTEM_STATE.+slice.+state.+changed )|(ment ac)|(system.+state.+changed )|(\[timeout)|(PRM\|1\|D)|(kpr)|(kdp)|(\|lc)|(penalty))" /e /r /s</v>
      </c>
      <c r="AG133" s="1" t="str">
        <f t="shared" si="51"/>
        <v>EC</v>
      </c>
      <c r="AH133" s="92" t="str">
        <f t="shared" si="39"/>
        <v>"%USERPROFILE%\Documents\GitHub\eaglep3\Utilities\RefineRTDCRunTimes.py" --tripid 226-16 --locoid 4012 --swversion DE.1.0.8.0 --startMP 204:233004 --initTime 2016-11-16T20:52:41 --startdatetime 2016-11-16T20:56:16 --delay 1 --endMP 204:149 --enddatetime 2016-11-16T21:36:20 --enforcementcount 0 &gt;&gt;C:\Users\stu\Documents\GitHub\eaglep3-reporting\EC\2016-11-16-refined-times.txt</v>
      </c>
      <c r="AI133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{"issue":{"subject":"","project_id":79,"tracker_id":40,"status_id":1,"priority_id":2,"assigned_to_id":23,"start_date":"2016-11-16","description":"","custom_fields":[{"id":1,"name":"Subdivision","value":"EC"},{"id":4,"name":"Milepost","value":"0.0149"},{"id":17,"name":"Train ID","value":"226-16"},{"id":16,"name":"Locomotive ID","value":"4012"},{"id":130,"name":"Impact","value":""},{"id":150,"name":"Time of Event (Mountain Time)","value":"21:36:20"},{"id":151,"name":"Denver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607</v>
      </c>
      <c r="B134" s="7">
        <v>4009</v>
      </c>
      <c r="C134" s="22" t="s">
        <v>222</v>
      </c>
      <c r="D134" s="22" t="s">
        <v>282</v>
      </c>
      <c r="E134" s="13">
        <v>42690.842604166668</v>
      </c>
      <c r="F134" s="13">
        <v>42690.85460648148</v>
      </c>
      <c r="G134" s="7">
        <v>1</v>
      </c>
      <c r="H134" s="22" t="s">
        <v>375</v>
      </c>
      <c r="I134" s="13">
        <v>42690.881666666668</v>
      </c>
      <c r="J134" s="7">
        <v>0</v>
      </c>
      <c r="K134" s="109" t="str">
        <f t="shared" si="41"/>
        <v>4009/4010</v>
      </c>
      <c r="L134" s="22" t="str">
        <f>VLOOKUP(A134,'Trips&amp;Operators'!$C$1:$E$10000,3,FALSE)</f>
        <v>CRAYTON</v>
      </c>
      <c r="M134" s="6">
        <f t="shared" si="42"/>
        <v>2.7060185188020114E-2</v>
      </c>
      <c r="N134" s="7">
        <f t="shared" si="53"/>
        <v>38.966666670748964</v>
      </c>
      <c r="O134" s="7"/>
      <c r="P134" s="7"/>
      <c r="Q134" s="23"/>
      <c r="R134" s="23"/>
      <c r="S134" s="35">
        <f t="shared" si="56"/>
        <v>1</v>
      </c>
      <c r="T134" s="50" t="str">
        <f t="shared" si="45"/>
        <v>NorthBound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19:13:21-700',mode:absolute,to:'2016-11-16 22:09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4" s="52" t="str">
        <f t="shared" si="46"/>
        <v>N</v>
      </c>
      <c r="X134" s="177">
        <f t="shared" si="55"/>
        <v>1</v>
      </c>
      <c r="Y134" s="67">
        <f t="shared" si="47"/>
        <v>4.4900000000000002E-2</v>
      </c>
      <c r="Z134" s="67">
        <f t="shared" si="48"/>
        <v>23.327999999999999</v>
      </c>
      <c r="AA134" s="67">
        <f t="shared" si="49"/>
        <v>23.283100000000001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50"/>
        <v>0227-16</v>
      </c>
      <c r="AE134" s="91" t="str">
        <f t="shared" si="37"/>
        <v>aws s3 cp s3://rtdc.mdm.uploadarchive.raw/RTDC4009/ "%USERPROFILE%\AppData\Local\Temp\OnboardLogs"\RTDC4009\2016-11-16 --exclude "*" --recursive --include "*20161116*" &amp; "%USERPROFILE%\Documents\GitHub\mrs-test-scripts\Headless Mode &amp; Sideloading\WalkAndUnGZ.bat" "%USERPROFILE%\AppData\Local\Temp\OnboardLogs"\RTDC4009\2016-11-16 &amp; aws s3 cp s3://rtdc.mdm.uploadarchive.raw/RTDC4009/ "%USERPROFILE%\AppData\Local\Temp\OnboardLogs"\RTDC4009\2016-11-17 --exclude "*" --recursive --include "*20161117*" &amp; "%USERPROFILE%\Documents\GitHub\mrs-test-scripts\Headless Mode &amp; Sideloading\WalkAndUnGZ.bat" "%USERPROFILE%\AppData\Local\Temp\OnboardLogs"\RTDC4009\2016-11-17</v>
      </c>
      <c r="AF134" s="88" t="str">
        <f t="shared" si="38"/>
        <v>"C:\Program Files (x86)\AstroGrep\AstroGrep.exe" /spath="%USERPROFILE%\AppData\Local\Temp\OnboardLogs" /stypes="app*4009*20161117*" /stext=" 04:.+((SYSTEM_STATE.+slice.+state.+changed )|(ment ac)|(system.+state.+changed )|(\[timeout)|(PRM\|1\|D)|(kpr)|(kdp)|(\|lc)|(penalty))" /e /r /s</v>
      </c>
      <c r="AG134" s="1" t="str">
        <f t="shared" si="51"/>
        <v>EC</v>
      </c>
      <c r="AH134" s="92" t="str">
        <f t="shared" si="39"/>
        <v>"%USERPROFILE%\Documents\GitHub\eaglep3\Utilities\RefineRTDCRunTimes.py" --tripid 227-16 --locoid 4009 --swversion DE.1.0.8.0 --startMP 204:449 --initTime 2016-11-16T20:13:21 --startdatetime 2016-11-16T20:30:38 --delay 1 --endMP 204:233280 --enddatetime 2016-11-16T21:09:36 --enforcementcount 0 &gt;&gt;C:\Users\stu\Documents\GitHub\eaglep3-reporting\EC\2016-11-16-refined-times.txt</v>
      </c>
      <c r="AI134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{"issue":{"subject":"","project_id":79,"tracker_id":40,"status_id":1,"priority_id":2,"assigned_to_id":23,"start_date":"2016-11-16","description":"","custom_fields":[{"id":1,"name":"Subdivision","value":"EC"},{"id":4,"name":"Milepost","value":"23.328"},{"id":17,"name":"Train ID","value":"227-16"},{"id":16,"name":"Locomotive ID","value":"4009"},{"id":130,"name":"Impact","value":""},{"id":150,"name":"Time of Event (Mountain Time)","value":"21:09:36"},{"id":151,"name":"Denver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613</v>
      </c>
      <c r="B135" s="7">
        <v>4010</v>
      </c>
      <c r="C135" s="22" t="s">
        <v>222</v>
      </c>
      <c r="D135" s="22" t="s">
        <v>292</v>
      </c>
      <c r="E135" s="13">
        <v>42690.888240740744</v>
      </c>
      <c r="F135" s="13">
        <v>42690.893472222226</v>
      </c>
      <c r="G135" s="7">
        <v>0</v>
      </c>
      <c r="H135" s="22" t="s">
        <v>376</v>
      </c>
      <c r="I135" s="13">
        <v>42690.919976851852</v>
      </c>
      <c r="J135" s="7">
        <v>0</v>
      </c>
      <c r="K135" s="109" t="str">
        <f t="shared" si="41"/>
        <v>4009/4010</v>
      </c>
      <c r="L135" s="22" t="str">
        <f>VLOOKUP(A135,'Trips&amp;Operators'!$C$1:$E$10000,3,FALSE)</f>
        <v>CRAYTON</v>
      </c>
      <c r="M135" s="6">
        <f t="shared" si="42"/>
        <v>2.6504629626288079E-2</v>
      </c>
      <c r="N135" s="7">
        <f t="shared" si="53"/>
        <v>38.166666661854833</v>
      </c>
      <c r="O135" s="7"/>
      <c r="P135" s="7"/>
      <c r="Q135" s="23"/>
      <c r="R135" s="23"/>
      <c r="S135" s="35">
        <f t="shared" si="56"/>
        <v>1</v>
      </c>
      <c r="T135" s="50" t="str">
        <f t="shared" si="45"/>
        <v>Southbound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36"/>
        <v>https://search-rtdc-monitor-bjffxe2xuh6vdkpspy63sjmuny.us-east-1.es.amazonaws.com/_plugin/kibana/#/discover/Steve-Slow-Train-Analysis-(2080s-and-2083s)?_g=(refreshInterval:(display:Off,section:0,value:0),time:(from:'2016-11-16 20:19:04-700',mode:absolute,to:'2016-11-16 23:04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5" s="52" t="str">
        <f t="shared" si="46"/>
        <v>N</v>
      </c>
      <c r="X135" s="177">
        <f t="shared" si="55"/>
        <v>1</v>
      </c>
      <c r="Y135" s="67">
        <f t="shared" si="47"/>
        <v>23.2989</v>
      </c>
      <c r="Z135" s="67">
        <f t="shared" si="48"/>
        <v>1.29E-2</v>
      </c>
      <c r="AA135" s="67">
        <f t="shared" si="49"/>
        <v>23.286000000000001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50"/>
        <v>0228-16</v>
      </c>
      <c r="AE135" s="91" t="str">
        <f t="shared" si="37"/>
        <v>aws s3 cp s3://rtdc.mdm.uploadarchive.raw/RTDC4010/ "%USERPROFILE%\AppData\Local\Temp\OnboardLogs"\RTDC4010\2016-11-16 --exclude "*" --recursive --include "*20161116*" &amp; "%USERPROFILE%\Documents\GitHub\mrs-test-scripts\Headless Mode &amp; Sideloading\WalkAndUnGZ.bat" "%USERPROFILE%\AppData\Local\Temp\OnboardLogs"\RTDC4010\2016-11-16 &amp; aws s3 cp s3://rtdc.mdm.uploadarchive.raw/RTDC4010/ "%USERPROFILE%\AppData\Local\Temp\OnboardLogs"\RTDC4010\2016-11-17 --exclude "*" --recursive --include "*20161117*" &amp; "%USERPROFILE%\Documents\GitHub\mrs-test-scripts\Headless Mode &amp; Sideloading\WalkAndUnGZ.bat" "%USERPROFILE%\AppData\Local\Temp\OnboardLogs"\RTDC4010\2016-11-17</v>
      </c>
      <c r="AF135" s="88" t="str">
        <f t="shared" si="38"/>
        <v>"C:\Program Files (x86)\AstroGrep\AstroGrep.exe" /spath="%USERPROFILE%\AppData\Local\Temp\OnboardLogs" /stypes="app*4010*20161117*" /stext=" 05:.+((SYSTEM_STATE.+slice.+state.+changed )|(ment ac)|(system.+state.+changed )|(\[timeout)|(PRM\|1\|D)|(kpr)|(kdp)|(\|lc)|(penalty))" /e /r /s</v>
      </c>
      <c r="AG135" s="1" t="str">
        <f t="shared" si="51"/>
        <v>EC</v>
      </c>
      <c r="AH135" s="92" t="str">
        <f t="shared" si="39"/>
        <v>"%USERPROFILE%\Documents\GitHub\eaglep3\Utilities\RefineRTDCRunTimes.py" --tripid 228-16 --locoid 4010 --swversion DE.1.0.8.0 --startMP 204:232989 --initTime 2016-11-16T21:19:04 --startdatetime 2016-11-16T21:26:36 --delay 0 --endMP 204:129 --enddatetime 2016-11-16T22:04:46 --enforcementcount 0 &gt;&gt;C:\Users\stu\Documents\GitHub\eaglep3-reporting\EC\2016-11-16-refined-times.txt</v>
      </c>
      <c r="AI135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{"issue":{"subject":"","project_id":79,"tracker_id":40,"status_id":1,"priority_id":2,"assigned_to_id":23,"start_date":"2016-11-16","description":"","custom_fields":[{"id":1,"name":"Subdivision","value":"EC"},{"id":4,"name":"Milepost","value":"0.0129"},{"id":17,"name":"Train ID","value":"228-16"},{"id":16,"name":"Locomotive ID","value":"4010"},{"id":130,"name":"Impact","value":""},{"id":150,"name":"Time of Event (Mountain Time)","value":"22:04:46"},{"id":151,"name":"Denver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609</v>
      </c>
      <c r="B136" s="7">
        <v>4016</v>
      </c>
      <c r="C136" s="22" t="s">
        <v>222</v>
      </c>
      <c r="D136" s="22" t="s">
        <v>252</v>
      </c>
      <c r="E136" s="13">
        <v>42690.861550925925</v>
      </c>
      <c r="F136" s="13">
        <v>42690.875451388885</v>
      </c>
      <c r="G136" s="7">
        <v>1</v>
      </c>
      <c r="H136" s="22" t="s">
        <v>319</v>
      </c>
      <c r="I136" s="13">
        <v>42690.899537037039</v>
      </c>
      <c r="J136" s="7">
        <v>0</v>
      </c>
      <c r="K136" s="109" t="str">
        <f t="shared" si="41"/>
        <v>4015/4016</v>
      </c>
      <c r="L136" s="22" t="str">
        <f>VLOOKUP(A136,'Trips&amp;Operators'!$C$1:$E$10000,3,FALSE)</f>
        <v>MCREYNOLDS</v>
      </c>
      <c r="M136" s="6">
        <f t="shared" si="42"/>
        <v>2.4085648154141381E-2</v>
      </c>
      <c r="N136" s="7">
        <f t="shared" si="53"/>
        <v>34.683333341963589</v>
      </c>
      <c r="O136" s="7"/>
      <c r="P136" s="7"/>
      <c r="Q136" s="23"/>
      <c r="R136" s="23"/>
      <c r="S136" s="35">
        <f t="shared" si="56"/>
        <v>1</v>
      </c>
      <c r="T136" s="50" t="str">
        <f t="shared" si="45"/>
        <v>NorthBound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ref="V136:V199" si="57">"https://search-rtdc-monitor-bjffxe2xuh6vdkpspy63sjmuny.us-east-1.es.amazonaws.com/_plugin/kibana/#/discover/Steve-Slow-Train-Analysis-(2080s-and-2083s)?_g=(refreshInterval:(display:Off,section:0,value:0),time:(from:'"&amp;TEXT(E136-1/24,"yyyy-MM-DD hh:mm:ss")&amp;utc_offset&amp;"00',mode:absolute,to:'"&amp;TEXT(I136+1/24,"yyyy-MM-DD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https://search-rtdc-monitor-bjffxe2xuh6vdkpspy63sjmuny.us-east-1.es.amazonaws.com/_plugin/kibana/#/discover/Steve-Slow-Train-Analysis-(2080s-and-2083s)?_g=(refreshInterval:(display:Off,section:0,value:0),time:(from:'2016-11-16 19:40:38-700',mode:absolute,to:'2016-11-16 22:35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6" s="52" t="str">
        <f t="shared" si="46"/>
        <v>N</v>
      </c>
      <c r="X136" s="177">
        <f t="shared" si="55"/>
        <v>1</v>
      </c>
      <c r="Y136" s="67">
        <f t="shared" si="47"/>
        <v>4.7300000000000002E-2</v>
      </c>
      <c r="Z136" s="67">
        <f t="shared" si="48"/>
        <v>23.3291</v>
      </c>
      <c r="AA136" s="67">
        <f t="shared" si="49"/>
        <v>23.2818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50"/>
        <v>0229-16</v>
      </c>
      <c r="AE136" s="91" t="str">
        <f t="shared" ref="AE136:AE199" si="58"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s3://rtdc.mdm.uploadarchive.raw/RTDC4016/ "%USERPROFILE%\AppData\Local\Temp\OnboardLogs"\RTDC4016\2016-11-16 --exclude "*" --recursive --include "*20161116*" &amp; "%USERPROFILE%\Documents\GitHub\mrs-test-scripts\Headless Mode &amp; Sideloading\WalkAndUnGZ.bat" "%USERPROFILE%\AppData\Local\Temp\OnboardLogs"\RTDC4016\2016-11-16 &amp; aws s3 cp s3://rtdc.mdm.uploadarchive.raw/RTDC4016/ "%USERPROFILE%\AppData\Local\Temp\OnboardLogs"\RTDC4016\2016-11-17 --exclude "*" --recursive --include "*20161117*" &amp; "%USERPROFILE%\Documents\GitHub\mrs-test-scripts\Headless Mode &amp; Sideloading\WalkAndUnGZ.bat" "%USERPROFILE%\AppData\Local\Temp\OnboardLogs"\RTDC4016\2016-11-17</v>
      </c>
      <c r="AF136" s="88" t="str">
        <f t="shared" ref="AF136:AF199" si="59"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/stypes="app*4016*20161117*" /stext=" 04:.+((SYSTEM_STATE.+slice.+state.+changed )|(ment ac)|(system.+state.+changed )|(\[timeout)|(PRM\|1\|D)|(kpr)|(kdp)|(\|lc)|(penalty))" /e /r /s</v>
      </c>
      <c r="AG136" s="1" t="str">
        <f t="shared" si="51"/>
        <v>EC</v>
      </c>
      <c r="AH136" s="92" t="str">
        <f t="shared" si="39"/>
        <v>"%USERPROFILE%\Documents\GitHub\eaglep3\Utilities\RefineRTDCRunTimes.py" --tripid 229-16 --locoid 4016 --swversion DE.1.0.8.0 --startMP 204:473 --initTime 2016-11-16T20:40:38 --startdatetime 2016-11-16T21:00:39 --delay 1 --endMP 204:233291 --enddatetime 2016-11-16T21:35:20 --enforcementcount 0 &gt;&gt;C:\Users\stu\Documents\GitHub\eaglep3-reporting\EC\2016-11-16-refined-times.txt</v>
      </c>
      <c r="AI136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{"issue":{"subject":"","project_id":79,"tracker_id":40,"status_id":1,"priority_id":2,"assigned_to_id":23,"start_date":"2016-11-16","description":"","custom_fields":[{"id":1,"name":"Subdivision","value":"EC"},{"id":4,"name":"Milepost","value":"23.3291"},{"id":17,"name":"Train ID","value":"229-16"},{"id":16,"name":"Locomotive ID","value":"4016"},{"id":130,"name":"Impact","value":""},{"id":150,"name":"Time of Event (Mountain Time)","value":"21:35:20"},{"id":151,"name":"Denver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614</v>
      </c>
      <c r="B137" s="7">
        <v>4015</v>
      </c>
      <c r="C137" s="22" t="s">
        <v>222</v>
      </c>
      <c r="D137" s="22" t="s">
        <v>321</v>
      </c>
      <c r="E137" s="13">
        <v>42690.910763888889</v>
      </c>
      <c r="F137" s="13">
        <v>42690.9141087963</v>
      </c>
      <c r="G137" s="7">
        <v>4</v>
      </c>
      <c r="H137" s="22" t="s">
        <v>236</v>
      </c>
      <c r="I137" s="13">
        <v>42690.941805555558</v>
      </c>
      <c r="J137" s="7">
        <v>0</v>
      </c>
      <c r="K137" s="109" t="str">
        <f t="shared" si="41"/>
        <v>4015/4016</v>
      </c>
      <c r="L137" s="22" t="str">
        <f>VLOOKUP(A137,'Trips&amp;Operators'!$C$1:$E$10000,3,FALSE)</f>
        <v>MCREYNOLDS</v>
      </c>
      <c r="M137" s="6">
        <f t="shared" si="42"/>
        <v>2.7696759258105885E-2</v>
      </c>
      <c r="N137" s="7">
        <f t="shared" si="53"/>
        <v>39.883333331672475</v>
      </c>
      <c r="O137" s="7"/>
      <c r="P137" s="7"/>
      <c r="Q137" s="23"/>
      <c r="R137" s="23"/>
      <c r="S137" s="35">
        <f t="shared" si="56"/>
        <v>1</v>
      </c>
      <c r="T137" s="50" t="str">
        <f t="shared" si="45"/>
        <v>Southbound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20:51:30-700',mode:absolute,to:'2016-11-16 23:36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7" s="52" t="str">
        <f t="shared" si="46"/>
        <v>N</v>
      </c>
      <c r="X137" s="177">
        <f t="shared" si="55"/>
        <v>1</v>
      </c>
      <c r="Y137" s="67">
        <f t="shared" si="47"/>
        <v>23.3004</v>
      </c>
      <c r="Z137" s="67">
        <f t="shared" si="48"/>
        <v>1.4999999999999999E-2</v>
      </c>
      <c r="AA137" s="67">
        <f t="shared" si="49"/>
        <v>23.285399999999999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50"/>
        <v>0230-16</v>
      </c>
      <c r="AE137" s="91" t="str">
        <f t="shared" si="58"/>
        <v>aws s3 cp s3://rtdc.mdm.uploadarchive.raw/RTDC4015/ "%USERPROFILE%\AppData\Local\Temp\OnboardLogs"\RTDC4015\2016-11-16 --exclude "*" --recursive --include "*20161116*" &amp; "%USERPROFILE%\Documents\GitHub\mrs-test-scripts\Headless Mode &amp; Sideloading\WalkAndUnGZ.bat" "%USERPROFILE%\AppData\Local\Temp\OnboardLogs"\RTDC4015\2016-11-16 &amp; aws s3 cp s3://rtdc.mdm.uploadarchive.raw/RTDC4015/ "%USERPROFILE%\AppData\Local\Temp\OnboardLogs"\RTDC4015\2016-11-17 --exclude "*" --recursive --include "*20161117*" &amp; "%USERPROFILE%\Documents\GitHub\mrs-test-scripts\Headless Mode &amp; Sideloading\WalkAndUnGZ.bat" "%USERPROFILE%\AppData\Local\Temp\OnboardLogs"\RTDC4015\2016-11-17</v>
      </c>
      <c r="AF137" s="88" t="str">
        <f t="shared" si="59"/>
        <v>"C:\Program Files (x86)\AstroGrep\AstroGrep.exe" /spath="%USERPROFILE%\AppData\Local\Temp\OnboardLogs" /stypes="app*4015*20161117*" /stext=" 05:.+((SYSTEM_STATE.+slice.+state.+changed )|(ment ac)|(system.+state.+changed )|(\[timeout)|(PRM\|1\|D)|(kpr)|(kdp)|(\|lc)|(penalty))" /e /r /s</v>
      </c>
      <c r="AG137" s="1" t="str">
        <f t="shared" si="51"/>
        <v>EC</v>
      </c>
      <c r="AH137" s="92" t="str">
        <f t="shared" si="39"/>
        <v>"%USERPROFILE%\Documents\GitHub\eaglep3\Utilities\RefineRTDCRunTimes.py" --tripid 230-16 --locoid 4015 --swversion DE.1.0.8.0 --startMP 204:233004 --initTime 2016-11-16T21:51:30 --startdatetime 2016-11-16T21:56:19 --delay 4 --endMP 204:150 --enddatetime 2016-11-16T22:36:12 --enforcementcount 0 &gt;&gt;C:\Users\stu\Documents\GitHub\eaglep3-reporting\EC\2016-11-16-refined-times.txt</v>
      </c>
      <c r="AI137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{"issue":{"subject":"","project_id":79,"tracker_id":40,"status_id":1,"priority_id":2,"assigned_to_id":23,"start_date":"2016-11-16","description":"","custom_fields":[{"id":1,"name":"Subdivision","value":"EC"},{"id":4,"name":"Milepost","value":"0.015"},{"id":17,"name":"Train ID","value":"230-16"},{"id":16,"name":"Locomotive ID","value":"4015"},{"id":130,"name":"Impact","value":""},{"id":150,"name":"Time of Event (Mountain Time)","value":"22:36:12"},{"id":151,"name":"Denver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x14ac:dyDescent="0.25">
      <c r="A138" s="37" t="s">
        <v>612</v>
      </c>
      <c r="B138" s="7">
        <v>4029</v>
      </c>
      <c r="C138" s="22" t="s">
        <v>222</v>
      </c>
      <c r="D138" s="22" t="s">
        <v>658</v>
      </c>
      <c r="E138" s="13">
        <v>42690.882141203707</v>
      </c>
      <c r="F138" s="13">
        <v>42690.895983796298</v>
      </c>
      <c r="G138" s="7">
        <v>1</v>
      </c>
      <c r="H138" s="22" t="s">
        <v>682</v>
      </c>
      <c r="I138" s="13">
        <v>42690.920324074075</v>
      </c>
      <c r="J138" s="7">
        <v>0</v>
      </c>
      <c r="K138" s="109" t="str">
        <f t="shared" si="41"/>
        <v>4029/4030</v>
      </c>
      <c r="L138" s="22" t="str">
        <f>VLOOKUP(A138,'Trips&amp;Operators'!$C$1:$E$10000,3,FALSE)</f>
        <v>PERKINS</v>
      </c>
      <c r="M138" s="6">
        <f t="shared" si="42"/>
        <v>2.4340277777810115E-2</v>
      </c>
      <c r="N138" s="7">
        <f t="shared" si="53"/>
        <v>35.050000000046566</v>
      </c>
      <c r="O138" s="7"/>
      <c r="P138" s="7"/>
      <c r="Q138" s="23"/>
      <c r="R138" s="23"/>
      <c r="S138" s="35">
        <f t="shared" si="56"/>
        <v>1</v>
      </c>
      <c r="T138" s="50" t="str">
        <f t="shared" si="45"/>
        <v>NorthBound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20:10:17-700',mode:absolute,to:'2016-11-16 23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8" s="52" t="str">
        <f t="shared" si="46"/>
        <v>N</v>
      </c>
      <c r="X138" s="177">
        <f t="shared" si="55"/>
        <v>1</v>
      </c>
      <c r="Y138" s="67">
        <f t="shared" si="47"/>
        <v>4.6699999999999998E-2</v>
      </c>
      <c r="Z138" s="67">
        <f t="shared" si="48"/>
        <v>23.332699999999999</v>
      </c>
      <c r="AA138" s="67">
        <f t="shared" si="49"/>
        <v>23.285999999999998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50"/>
        <v>0231-16</v>
      </c>
      <c r="AE138" s="91" t="str">
        <f t="shared" si="58"/>
        <v>aws s3 cp s3://rtdc.mdm.uploadarchive.raw/RTDC4029/ "%USERPROFILE%\AppData\Local\Temp\OnboardLogs"\RTDC4029\2016-11-16 --exclude "*" --recursive --include "*20161116*" &amp; "%USERPROFILE%\Documents\GitHub\mrs-test-scripts\Headless Mode &amp; Sideloading\WalkAndUnGZ.bat" "%USERPROFILE%\AppData\Local\Temp\OnboardLogs"\RTDC4029\2016-11-16 &amp; aws s3 cp s3://rtdc.mdm.uploadarchive.raw/RTDC4029/ "%USERPROFILE%\AppData\Local\Temp\OnboardLogs"\RTDC4029\2016-11-17 --exclude "*" --recursive --include "*20161117*" &amp; "%USERPROFILE%\Documents\GitHub\mrs-test-scripts\Headless Mode &amp; Sideloading\WalkAndUnGZ.bat" "%USERPROFILE%\AppData\Local\Temp\OnboardLogs"\RTDC4029\2016-11-17</v>
      </c>
      <c r="AF138" s="88" t="str">
        <f t="shared" si="59"/>
        <v>"C:\Program Files (x86)\AstroGrep\AstroGrep.exe" /spath="%USERPROFILE%\AppData\Local\Temp\OnboardLogs" /stypes="app*4029*20161117*" /stext=" 05:.+((SYSTEM_STATE.+slice.+state.+changed )|(ment ac)|(system.+state.+changed )|(\[timeout)|(PRM\|1\|D)|(kpr)|(kdp)|(\|lc)|(penalty))" /e /r /s</v>
      </c>
      <c r="AG138" s="1" t="str">
        <f t="shared" si="51"/>
        <v>EC</v>
      </c>
      <c r="AH138" s="92" t="str">
        <f t="shared" si="39"/>
        <v>"%USERPROFILE%\Documents\GitHub\eaglep3\Utilities\RefineRTDCRunTimes.py" --tripid 231-16 --locoid 4029 --swversion DE.1.0.8.0 --startMP 204:467 --initTime 2016-11-16T21:10:17 --startdatetime 2016-11-16T21:30:13 --delay 1 --endMP 204:233327 --enddatetime 2016-11-16T22:05:16 --enforcementcount 0 &gt;&gt;C:\Users\stu\Documents\GitHub\eaglep3-reporting\EC\2016-11-16-refined-times.txt</v>
      </c>
      <c r="AI138" s="119" t="str">
        <f t="shared" si="40"/>
        <v>echo {"issue":{"subject":"","project_id":79,"tracker_id":40,"status_id":1,"priority_id":2,"assigned_to_id":23,"start_date":"2016-11-16","description":"","custom_fields":[{"id":1,"name":"Subdivision","value":"EC"},{"id":4,"name":"Milepost","value":"23.3327"},{"id":17,"name":"Train ID","value":"231-16"},{"id":16,"name":"Locomotive ID","value":"4029"},{"id":130,"name":"Impact","value":""},{"id":150,"name":"Time of Event (Mountain Time)","value":"22:05:16"},{"id":151,"name":"Denver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</row>
    <row r="139" spans="1:91" x14ac:dyDescent="0.25">
      <c r="A139" s="37" t="s">
        <v>453</v>
      </c>
      <c r="B139" s="7">
        <v>4030</v>
      </c>
      <c r="C139" s="22" t="s">
        <v>222</v>
      </c>
      <c r="D139" s="22" t="s">
        <v>298</v>
      </c>
      <c r="E139" s="13">
        <v>42690.921909722223</v>
      </c>
      <c r="F139" s="13">
        <v>42690.934884259259</v>
      </c>
      <c r="G139" s="7">
        <v>0</v>
      </c>
      <c r="H139" s="22" t="s">
        <v>694</v>
      </c>
      <c r="I139" s="13">
        <v>42690.960532407407</v>
      </c>
      <c r="J139" s="7">
        <v>0</v>
      </c>
      <c r="K139" s="109" t="str">
        <f t="shared" si="41"/>
        <v>4029/4030</v>
      </c>
      <c r="L139" s="22" t="str">
        <f>VLOOKUP(A139,'Trips&amp;Operators'!$C$1:$E$10000,3,FALSE)</f>
        <v>PERKINS</v>
      </c>
      <c r="M139" s="6">
        <f t="shared" si="42"/>
        <v>2.5648148148320615E-2</v>
      </c>
      <c r="N139" s="7">
        <f t="shared" si="53"/>
        <v>36.933333333581686</v>
      </c>
      <c r="O139" s="7"/>
      <c r="P139" s="7"/>
      <c r="Q139" s="23"/>
      <c r="R139" s="23"/>
      <c r="S139" s="35">
        <f t="shared" si="56"/>
        <v>1</v>
      </c>
      <c r="T139" s="50" t="str">
        <f t="shared" si="45"/>
        <v>Southbound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21:07:33-700',mode:absolute,to:'2016-11-17 00:03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9" s="52" t="str">
        <f t="shared" si="46"/>
        <v>N</v>
      </c>
      <c r="X139" s="177">
        <f t="shared" si="55"/>
        <v>1</v>
      </c>
      <c r="Y139" s="67">
        <f t="shared" si="47"/>
        <v>23.3</v>
      </c>
      <c r="Z139" s="67">
        <f t="shared" si="48"/>
        <v>2.4899999999999999E-2</v>
      </c>
      <c r="AA139" s="67">
        <f t="shared" si="49"/>
        <v>23.275100000000002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50"/>
        <v>0232-16</v>
      </c>
      <c r="AE139" s="91" t="str">
        <f t="shared" si="58"/>
        <v>aws s3 cp s3://rtdc.mdm.uploadarchive.raw/RTDC4030/ "%USERPROFILE%\AppData\Local\Temp\OnboardLogs"\RTDC4030\2016-11-16 --exclude "*" --recursive --include "*20161116*" &amp; "%USERPROFILE%\Documents\GitHub\mrs-test-scripts\Headless Mode &amp; Sideloading\WalkAndUnGZ.bat" "%USERPROFILE%\AppData\Local\Temp\OnboardLogs"\RTDC4030\2016-11-16 &amp; aws s3 cp s3://rtdc.mdm.uploadarchive.raw/RTDC4030/ "%USERPROFILE%\AppData\Local\Temp\OnboardLogs"\RTDC4030\2016-11-17 --exclude "*" --recursive --include "*20161117*" &amp; "%USERPROFILE%\Documents\GitHub\mrs-test-scripts\Headless Mode &amp; Sideloading\WalkAndUnGZ.bat" "%USERPROFILE%\AppData\Local\Temp\OnboardLogs"\RTDC4030\2016-11-17</v>
      </c>
      <c r="AF139" s="88" t="str">
        <f t="shared" si="59"/>
        <v>"C:\Program Files (x86)\AstroGrep\AstroGrep.exe" /spath="%USERPROFILE%\AppData\Local\Temp\OnboardLogs" /stypes="app*4030*20161117*" /stext=" 06:.+((SYSTEM_STATE.+slice.+state.+changed )|(ment ac)|(system.+state.+changed )|(\[timeout)|(PRM\|1\|D)|(kpr)|(kdp)|(\|lc)|(penalty))" /e /r /s</v>
      </c>
      <c r="AG139" s="1" t="str">
        <f t="shared" si="51"/>
        <v>EC</v>
      </c>
      <c r="AH139" s="92" t="str">
        <f t="shared" ref="AH139:AH201" si="60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232-16 --locoid 4030 --swversion DE.1.0.8.0 --startMP 204:233000 --initTime 2016-11-16T22:07:33 --startdatetime 2016-11-16T22:26:14 --delay 0 --endMP 204:249 --enddatetime 2016-11-16T23:03:10 --enforcementcount 0 &gt;&gt;C:\Users\stu\Documents\GitHub\eaglep3-reporting\EC\2016-11-16-refined-times.txt</v>
      </c>
      <c r="AI139" s="119" t="str">
        <f t="shared" ref="AI139:AI201" si="61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{"issue":{"subject":"","project_id":79,"tracker_id":40,"status_id":1,"priority_id":2,"assigned_to_id":23,"start_date":"2016-11-16","description":"","custom_fields":[{"id":1,"name":"Subdivision","value":"EC"},{"id":4,"name":"Milepost","value":"0.0249"},{"id":17,"name":"Train ID","value":"232-16"},{"id":16,"name":"Locomotive ID","value":"4030"},{"id":130,"name":"Impact","value":""},{"id":150,"name":"Time of Event (Mountain Time)","value":"23:03:10"},{"id":151,"name":"Denver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x14ac:dyDescent="0.25">
      <c r="A140" s="37" t="s">
        <v>451</v>
      </c>
      <c r="B140" s="7">
        <v>4011</v>
      </c>
      <c r="C140" s="22" t="s">
        <v>222</v>
      </c>
      <c r="D140" s="22" t="s">
        <v>199</v>
      </c>
      <c r="E140" s="13">
        <v>42690.913078703707</v>
      </c>
      <c r="F140" s="13">
        <v>42690.916909722226</v>
      </c>
      <c r="G140" s="7">
        <v>1</v>
      </c>
      <c r="H140" s="22" t="s">
        <v>695</v>
      </c>
      <c r="I140" s="13">
        <v>42690.941446759258</v>
      </c>
      <c r="J140" s="7">
        <v>0</v>
      </c>
      <c r="K140" s="109" t="str">
        <f t="shared" si="41"/>
        <v>4011/4012</v>
      </c>
      <c r="L140" s="22" t="str">
        <f>VLOOKUP(A140,'Trips&amp;Operators'!$C$1:$E$10000,3,FALSE)</f>
        <v>LEVIN</v>
      </c>
      <c r="M140" s="6">
        <f t="shared" si="42"/>
        <v>2.4537037032132503E-2</v>
      </c>
      <c r="N140" s="7">
        <f t="shared" si="53"/>
        <v>35.333333326270804</v>
      </c>
      <c r="O140" s="7"/>
      <c r="P140" s="7"/>
      <c r="Q140" s="23"/>
      <c r="R140" s="23"/>
      <c r="S140" s="35">
        <f t="shared" si="56"/>
        <v>1</v>
      </c>
      <c r="T140" s="50" t="str">
        <f t="shared" si="45"/>
        <v>NorthBound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20:54:50-700',mode:absolute,to:'2016-11-16 23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0" s="52" t="str">
        <f t="shared" si="46"/>
        <v>N</v>
      </c>
      <c r="X140" s="177">
        <f t="shared" si="55"/>
        <v>1</v>
      </c>
      <c r="Y140" s="67">
        <f t="shared" si="47"/>
        <v>4.53E-2</v>
      </c>
      <c r="Z140" s="67">
        <f t="shared" si="48"/>
        <v>23.3323</v>
      </c>
      <c r="AA140" s="67">
        <f t="shared" si="49"/>
        <v>23.286999999999999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50"/>
        <v>0233-16</v>
      </c>
      <c r="AE140" s="91" t="str">
        <f t="shared" si="58"/>
        <v>aws s3 cp s3://rtdc.mdm.uploadarchive.raw/RTDC4011/ "%USERPROFILE%\AppData\Local\Temp\OnboardLogs"\RTDC4011\2016-11-16 --exclude "*" --recursive --include "*20161116*" &amp; "%USERPROFILE%\Documents\GitHub\mrs-test-scripts\Headless Mode &amp; Sideloading\WalkAndUnGZ.bat" "%USERPROFILE%\AppData\Local\Temp\OnboardLogs"\RTDC4011\2016-11-16 &amp; 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</v>
      </c>
      <c r="AF140" s="88" t="str">
        <f t="shared" si="59"/>
        <v>"C:\Program Files (x86)\AstroGrep\AstroGrep.exe" /spath="%USERPROFILE%\AppData\Local\Temp\OnboardLogs" /stypes="app*4011*20161117*" /stext=" 05:.+((SYSTEM_STATE.+slice.+state.+changed )|(ment ac)|(system.+state.+changed )|(\[timeout)|(PRM\|1\|D)|(kpr)|(kdp)|(\|lc)|(penalty))" /e /r /s</v>
      </c>
      <c r="AG140" s="1" t="str">
        <f t="shared" si="51"/>
        <v>EC</v>
      </c>
      <c r="AH140" s="92" t="str">
        <f t="shared" si="60"/>
        <v>"%USERPROFILE%\Documents\GitHub\eaglep3\Utilities\RefineRTDCRunTimes.py" --tripid 233-16 --locoid 4011 --swversion DE.1.0.8.0 --startMP 204:453 --initTime 2016-11-16T21:54:50 --startdatetime 2016-11-16T22:00:21 --delay 1 --endMP 204:233323 --enddatetime 2016-11-16T22:35:41 --enforcementcount 0 &gt;&gt;C:\Users\stu\Documents\GitHub\eaglep3-reporting\EC\2016-11-16-refined-times.txt</v>
      </c>
      <c r="AI140" s="119" t="str">
        <f t="shared" si="61"/>
        <v>echo {"issue":{"subject":"","project_id":79,"tracker_id":40,"status_id":1,"priority_id":2,"assigned_to_id":23,"start_date":"2016-11-16","description":"","custom_fields":[{"id":1,"name":"Subdivision","value":"EC"},{"id":4,"name":"Milepost","value":"23.3323"},{"id":17,"name":"Train ID","value":"233-16"},{"id":16,"name":"Locomotive ID","value":"4011"},{"id":130,"name":"Impact","value":""},{"id":150,"name":"Time of Event (Mountain Time)","value":"22:35:41"},{"id":151,"name":"Denver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</row>
    <row r="141" spans="1:91" s="21" customFormat="1" x14ac:dyDescent="0.25">
      <c r="A141" s="37" t="s">
        <v>618</v>
      </c>
      <c r="B141" s="7">
        <v>4012</v>
      </c>
      <c r="C141" s="22" t="s">
        <v>222</v>
      </c>
      <c r="D141" s="22" t="s">
        <v>372</v>
      </c>
      <c r="E141" s="13">
        <v>42690.951817129629</v>
      </c>
      <c r="F141" s="13">
        <v>42690.956192129626</v>
      </c>
      <c r="G141" s="7">
        <v>1</v>
      </c>
      <c r="H141" s="22" t="s">
        <v>196</v>
      </c>
      <c r="I141" s="13">
        <v>42690.982453703706</v>
      </c>
      <c r="J141" s="7">
        <v>0</v>
      </c>
      <c r="K141" s="109" t="str">
        <f t="shared" si="41"/>
        <v>4011/4012</v>
      </c>
      <c r="L141" s="22" t="str">
        <f>VLOOKUP(A141,'Trips&amp;Operators'!$C$1:$E$10000,3,FALSE)</f>
        <v>LEVIN</v>
      </c>
      <c r="M141" s="6">
        <f t="shared" si="42"/>
        <v>2.6261574079398997E-2</v>
      </c>
      <c r="N141" s="7">
        <f t="shared" si="53"/>
        <v>37.816666674334556</v>
      </c>
      <c r="O141" s="7"/>
      <c r="P141" s="7"/>
      <c r="Q141" s="23"/>
      <c r="R141" s="23"/>
      <c r="S141" s="35">
        <f t="shared" si="56"/>
        <v>1</v>
      </c>
      <c r="T141" s="50" t="str">
        <f t="shared" si="45"/>
        <v>Southbound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21:50:37-700',mode:absolute,to:'2016-11-17 00:34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1" s="52" t="str">
        <f t="shared" si="46"/>
        <v>N</v>
      </c>
      <c r="X141" s="177">
        <f t="shared" si="55"/>
        <v>1</v>
      </c>
      <c r="Y141" s="67">
        <f t="shared" si="47"/>
        <v>23.3017</v>
      </c>
      <c r="Z141" s="67">
        <f t="shared" si="48"/>
        <v>1.49E-2</v>
      </c>
      <c r="AA141" s="67">
        <f t="shared" si="49"/>
        <v>23.286799999999999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si="50"/>
        <v>0234-16</v>
      </c>
      <c r="AE141" s="91" t="str">
        <f t="shared" si="58"/>
        <v>aws s3 cp s3://rtdc.mdm.uploadarchive.raw/RTDC4012/ "%USERPROFILE%\AppData\Local\Temp\OnboardLogs"\RTDC4012\2016-11-16 --exclude "*" --recursive --include "*20161116*" &amp; "%USERPROFILE%\Documents\GitHub\mrs-test-scripts\Headless Mode &amp; Sideloading\WalkAndUnGZ.bat" "%USERPROFILE%\AppData\Local\Temp\OnboardLogs"\RTDC4012\2016-11-16 &amp; 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</v>
      </c>
      <c r="AF141" s="88" t="str">
        <f t="shared" si="59"/>
        <v>"C:\Program Files (x86)\AstroGrep\AstroGrep.exe" /spath="%USERPROFILE%\AppData\Local\Temp\OnboardLogs" /stypes="app*4012*20161117*" /stext=" 06:.+((SYSTEM_STATE.+slice.+state.+changed )|(ment ac)|(system.+state.+changed )|(\[timeout)|(PRM\|1\|D)|(kpr)|(kdp)|(\|lc)|(penalty))" /e /r /s</v>
      </c>
      <c r="AG141" s="1" t="str">
        <f t="shared" si="51"/>
        <v>EC</v>
      </c>
      <c r="AH141" s="92" t="str">
        <f t="shared" si="60"/>
        <v>"%USERPROFILE%\Documents\GitHub\eaglep3\Utilities\RefineRTDCRunTimes.py" --tripid 234-16 --locoid 4012 --swversion DE.1.0.8.0 --startMP 204:233017 --initTime 2016-11-16T22:50:37 --startdatetime 2016-11-16T22:56:55 --delay 1 --endMP 204:149 --enddatetime 2016-11-16T23:34:44 --enforcementcount 0 &gt;&gt;C:\Users\stu\Documents\GitHub\eaglep3-reporting\EC\2016-11-16-refined-times.txt</v>
      </c>
      <c r="AI141" s="119" t="str">
        <f t="shared" si="61"/>
        <v>echo {"issue":{"subject":"","project_id":79,"tracker_id":40,"status_id":1,"priority_id":2,"assigned_to_id":23,"start_date":"2016-11-16","description":"","custom_fields":[{"id":1,"name":"Subdivision","value":"EC"},{"id":4,"name":"Milepost","value":"0.0149"},{"id":17,"name":"Train ID","value":"234-16"},{"id":16,"name":"Locomotive ID","value":"4012"},{"id":130,"name":"Impact","value":""},{"id":150,"name":"Time of Event (Mountain Time)","value":"23:34:44"},{"id":151,"name":"Denver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452</v>
      </c>
      <c r="B142" s="7">
        <v>4009</v>
      </c>
      <c r="C142" s="22" t="s">
        <v>222</v>
      </c>
      <c r="D142" s="22" t="s">
        <v>246</v>
      </c>
      <c r="E142" s="13">
        <v>42690.925335648149</v>
      </c>
      <c r="F142" s="13">
        <v>42690.93787037037</v>
      </c>
      <c r="G142" s="7">
        <v>3</v>
      </c>
      <c r="H142" s="22" t="s">
        <v>361</v>
      </c>
      <c r="I142" s="13">
        <v>42690.964930555558</v>
      </c>
      <c r="J142" s="7">
        <v>0</v>
      </c>
      <c r="K142" s="109" t="str">
        <f t="shared" si="41"/>
        <v>4009/4010</v>
      </c>
      <c r="L142" s="22" t="str">
        <f>VLOOKUP(A142,'Trips&amp;Operators'!$C$1:$E$10000,3,FALSE)</f>
        <v>CRAYTON</v>
      </c>
      <c r="M142" s="6">
        <f t="shared" si="42"/>
        <v>2.7060185188020114E-2</v>
      </c>
      <c r="N142" s="7">
        <f t="shared" si="53"/>
        <v>38.966666670748964</v>
      </c>
      <c r="O142" s="7"/>
      <c r="P142" s="7"/>
      <c r="Q142" s="23"/>
      <c r="R142" s="23"/>
      <c r="S142" s="35">
        <f t="shared" si="56"/>
        <v>1</v>
      </c>
      <c r="T142" s="50" t="str">
        <f t="shared" si="45"/>
        <v>NorthBound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21:12:29-700',mode:absolute,to:'2016-11-17 00:09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2" s="52" t="str">
        <f t="shared" si="46"/>
        <v>N</v>
      </c>
      <c r="X142" s="177">
        <f t="shared" si="55"/>
        <v>1</v>
      </c>
      <c r="Y142" s="67">
        <f t="shared" si="47"/>
        <v>4.3799999999999999E-2</v>
      </c>
      <c r="Z142" s="67">
        <f t="shared" si="48"/>
        <v>23.331700000000001</v>
      </c>
      <c r="AA142" s="67">
        <f t="shared" si="49"/>
        <v>23.2879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50"/>
        <v>0235-16</v>
      </c>
      <c r="AE142" s="91" t="str">
        <f t="shared" si="58"/>
        <v>aws s3 cp s3://rtdc.mdm.uploadarchive.raw/RTDC4009/ "%USERPROFILE%\AppData\Local\Temp\OnboardLogs"\RTDC4009\2016-11-16 --exclude "*" --recursive --include "*20161116*" &amp; "%USERPROFILE%\Documents\GitHub\mrs-test-scripts\Headless Mode &amp; Sideloading\WalkAndUnGZ.bat" "%USERPROFILE%\AppData\Local\Temp\OnboardLogs"\RTDC4009\2016-11-16 &amp; aws s3 cp s3://rtdc.mdm.uploadarchive.raw/RTDC4009/ "%USERPROFILE%\AppData\Local\Temp\OnboardLogs"\RTDC4009\2016-11-17 --exclude "*" --recursive --include "*20161117*" &amp; "%USERPROFILE%\Documents\GitHub\mrs-test-scripts\Headless Mode &amp; Sideloading\WalkAndUnGZ.bat" "%USERPROFILE%\AppData\Local\Temp\OnboardLogs"\RTDC4009\2016-11-17</v>
      </c>
      <c r="AF142" s="88" t="str">
        <f t="shared" si="59"/>
        <v>"C:\Program Files (x86)\AstroGrep\AstroGrep.exe" /spath="%USERPROFILE%\AppData\Local\Temp\OnboardLogs" /stypes="app*4009*20161117*" /stext=" 06:.+((SYSTEM_STATE.+slice.+state.+changed )|(ment ac)|(system.+state.+changed )|(\[timeout)|(PRM\|1\|D)|(kpr)|(kdp)|(\|lc)|(penalty))" /e /r /s</v>
      </c>
      <c r="AG142" s="1" t="str">
        <f t="shared" si="51"/>
        <v>EC</v>
      </c>
      <c r="AH142" s="92" t="str">
        <f t="shared" si="60"/>
        <v>"%USERPROFILE%\Documents\GitHub\eaglep3\Utilities\RefineRTDCRunTimes.py" --tripid 235-16 --locoid 4009 --swversion DE.1.0.8.0 --startMP 204:438 --initTime 2016-11-16T22:12:29 --startdatetime 2016-11-16T22:30:32 --delay 3 --endMP 204:233317 --enddatetime 2016-11-16T23:09:30 --enforcementcount 0 &gt;&gt;C:\Users\stu\Documents\GitHub\eaglep3-reporting\EC\2016-11-16-refined-times.txt</v>
      </c>
      <c r="AI142" s="119" t="str">
        <f t="shared" si="61"/>
        <v>echo {"issue":{"subject":"","project_id":79,"tracker_id":40,"status_id":1,"priority_id":2,"assigned_to_id":23,"start_date":"2016-11-16","description":"","custom_fields":[{"id":1,"name":"Subdivision","value":"EC"},{"id":4,"name":"Milepost","value":"23.3317"},{"id":17,"name":"Train ID","value":"235-16"},{"id":16,"name":"Locomotive ID","value":"4009"},{"id":130,"name":"Impact","value":""},{"id":150,"name":"Time of Event (Mountain Time)","value":"23:09:30"},{"id":151,"name":"Denver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620</v>
      </c>
      <c r="B143" s="7">
        <v>4010</v>
      </c>
      <c r="C143" s="22" t="s">
        <v>222</v>
      </c>
      <c r="D143" s="22" t="s">
        <v>321</v>
      </c>
      <c r="E143" s="13">
        <v>42690.967986111114</v>
      </c>
      <c r="F143" s="13">
        <v>42690.977060185185</v>
      </c>
      <c r="G143" s="7">
        <v>1</v>
      </c>
      <c r="H143" s="22" t="s">
        <v>226</v>
      </c>
      <c r="I143" s="13">
        <v>42691.003599537034</v>
      </c>
      <c r="J143" s="7">
        <v>0</v>
      </c>
      <c r="K143" s="109" t="str">
        <f t="shared" si="41"/>
        <v>4009/4010</v>
      </c>
      <c r="L143" s="22" t="str">
        <f>VLOOKUP(A143,'Trips&amp;Operators'!$C$1:$E$10000,3,FALSE)</f>
        <v>CRAYTON</v>
      </c>
      <c r="M143" s="6">
        <f t="shared" si="42"/>
        <v>2.6539351849351078E-2</v>
      </c>
      <c r="N143" s="7">
        <f t="shared" si="53"/>
        <v>38.216666663065553</v>
      </c>
      <c r="O143" s="7"/>
      <c r="P143" s="7"/>
      <c r="Q143" s="23"/>
      <c r="R143" s="23"/>
      <c r="S143" s="35">
        <f t="shared" si="56"/>
        <v>1</v>
      </c>
      <c r="T143" s="50" t="str">
        <f t="shared" si="45"/>
        <v>Southbound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22:13:54-700',mode:absolute,to:'2016-11-17 01:05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3" s="52" t="str">
        <f t="shared" si="46"/>
        <v>N</v>
      </c>
      <c r="X143" s="177">
        <f t="shared" si="55"/>
        <v>1</v>
      </c>
      <c r="Y143" s="67">
        <f t="shared" si="47"/>
        <v>23.3004</v>
      </c>
      <c r="Z143" s="67">
        <f t="shared" si="48"/>
        <v>1.5800000000000002E-2</v>
      </c>
      <c r="AA143" s="67">
        <f t="shared" si="49"/>
        <v>23.284600000000001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50"/>
        <v>0236-16</v>
      </c>
      <c r="AE143" s="91" t="str">
        <f t="shared" si="58"/>
        <v>aws s3 cp s3://rtdc.mdm.uploadarchive.raw/RTDC4010/ "%USERPROFILE%\AppData\Local\Temp\OnboardLogs"\RTDC4010\2016-11-16 --exclude "*" --recursive --include "*20161116*" &amp; "%USERPROFILE%\Documents\GitHub\mrs-test-scripts\Headless Mode &amp; Sideloading\WalkAndUnGZ.bat" "%USERPROFILE%\AppData\Local\Temp\OnboardLogs"\RTDC4010\2016-11-16 &amp; aws s3 cp s3://rtdc.mdm.uploadarchive.raw/RTDC4010/ "%USERPROFILE%\AppData\Local\Temp\OnboardLogs"\RTDC4010\2016-11-17 --exclude "*" --recursive --include "*20161117*" &amp; "%USERPROFILE%\Documents\GitHub\mrs-test-scripts\Headless Mode &amp; Sideloading\WalkAndUnGZ.bat" "%USERPROFILE%\AppData\Local\Temp\OnboardLogs"\RTDC4010\2016-11-17</v>
      </c>
      <c r="AF143" s="88" t="str">
        <f t="shared" si="59"/>
        <v>"C:\Program Files (x86)\AstroGrep\AstroGrep.exe" /spath="%USERPROFILE%\AppData\Local\Temp\OnboardLogs" /stypes="app*4010*20161117*" /stext=" 07:.+((SYSTEM_STATE.+slice.+state.+changed )|(ment ac)|(system.+state.+changed )|(\[timeout)|(PRM\|1\|D)|(kpr)|(kdp)|(\|lc)|(penalty))" /e /r /s</v>
      </c>
      <c r="AG143" s="1" t="str">
        <f t="shared" si="51"/>
        <v>EC</v>
      </c>
      <c r="AH143" s="92" t="str">
        <f t="shared" si="60"/>
        <v>"%USERPROFILE%\Documents\GitHub\eaglep3\Utilities\RefineRTDCRunTimes.py" --tripid 236-16 --locoid 4010 --swversion DE.1.0.8.0 --startMP 204:233004 --initTime 2016-11-16T23:13:54 --startdatetime 2016-11-16T23:26:58 --delay 1 --endMP 204:158 --enddatetime 2016-11-17T00:05:11 --enforcementcount 0 &gt;&gt;C:\Users\stu\Documents\GitHub\eaglep3-reporting\EC\2016-11-16-refined-times.txt</v>
      </c>
      <c r="AI143" s="119" t="str">
        <f t="shared" si="61"/>
        <v>echo {"issue":{"subject":"","project_id":79,"tracker_id":40,"status_id":1,"priority_id":2,"assigned_to_id":23,"start_date":"2016-11-17","description":"","custom_fields":[{"id":1,"name":"Subdivision","value":"EC"},{"id":4,"name":"Milepost","value":"0.0158"},{"id":17,"name":"Train ID","value":"236-16"},{"id":16,"name":"Locomotive ID","value":"4010"},{"id":130,"name":"Impact","value":""},{"id":150,"name":"Time of Event (Mountain Time)","value":"00:05:11"},{"id":151,"name":"Denver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617</v>
      </c>
      <c r="B144" s="7">
        <v>4016</v>
      </c>
      <c r="C144" s="22" t="s">
        <v>222</v>
      </c>
      <c r="D144" s="22" t="s">
        <v>696</v>
      </c>
      <c r="E144" s="13">
        <v>42690.984930555554</v>
      </c>
      <c r="F144" s="13">
        <v>42690.985497685186</v>
      </c>
      <c r="G144" s="7">
        <v>0</v>
      </c>
      <c r="H144" s="22" t="s">
        <v>323</v>
      </c>
      <c r="I144" s="13">
        <v>42690.993379629632</v>
      </c>
      <c r="J144" s="7">
        <v>0</v>
      </c>
      <c r="K144" s="109" t="str">
        <f t="shared" si="41"/>
        <v>4015/4016</v>
      </c>
      <c r="L144" s="22" t="str">
        <f>VLOOKUP(A144,'Trips&amp;Operators'!$C$1:$E$10000,3,FALSE)</f>
        <v>MCREYNOLDS</v>
      </c>
      <c r="M144" s="6">
        <f t="shared" si="42"/>
        <v>7.8819444461259991E-3</v>
      </c>
      <c r="N144" s="7"/>
      <c r="O144" s="7"/>
      <c r="P144" s="7">
        <f>24*60*SUM($M144:$M145)</f>
        <v>51.733333335723728</v>
      </c>
      <c r="Q144" s="23"/>
      <c r="R144" s="23" t="s">
        <v>808</v>
      </c>
      <c r="S144" s="35">
        <f>SUM(U144:U145)/IF(AG144="EC",12,1)</f>
        <v>1</v>
      </c>
      <c r="T144" s="50" t="str">
        <f t="shared" si="45"/>
        <v>NorthBound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22:38:18-700',mode:absolute,to:'2016-11-17 00:50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4" s="52" t="str">
        <f t="shared" si="46"/>
        <v>Y</v>
      </c>
      <c r="X144" s="177">
        <f t="shared" si="55"/>
        <v>1</v>
      </c>
      <c r="Y144" s="67">
        <f t="shared" si="47"/>
        <v>15.4422</v>
      </c>
      <c r="Z144" s="67">
        <f t="shared" si="48"/>
        <v>23.328299999999999</v>
      </c>
      <c r="AA144" s="67">
        <f t="shared" si="49"/>
        <v>7.886099999999999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50"/>
        <v>0237-16</v>
      </c>
      <c r="AE144" s="91" t="str">
        <f t="shared" si="58"/>
        <v>aws s3 cp s3://rtdc.mdm.uploadarchive.raw/RTDC4016/ "%USERPROFILE%\AppData\Local\Temp\OnboardLogs"\RTDC4016\2016-11-16 --exclude "*" --recursive --include "*20161116*" &amp; "%USERPROFILE%\Documents\GitHub\mrs-test-scripts\Headless Mode &amp; Sideloading\WalkAndUnGZ.bat" "%USERPROFILE%\AppData\Local\Temp\OnboardLogs"\RTDC4016\2016-11-16 &amp; aws s3 cp s3://rtdc.mdm.uploadarchive.raw/RTDC4016/ "%USERPROFILE%\AppData\Local\Temp\OnboardLogs"\RTDC4016\2016-11-17 --exclude "*" --recursive --include "*20161117*" &amp; "%USERPROFILE%\Documents\GitHub\mrs-test-scripts\Headless Mode &amp; Sideloading\WalkAndUnGZ.bat" "%USERPROFILE%\AppData\Local\Temp\OnboardLogs"\RTDC4016\2016-11-17</v>
      </c>
      <c r="AF144" s="88" t="str">
        <f t="shared" si="59"/>
        <v>"C:\Program Files (x86)\AstroGrep\AstroGrep.exe" /spath="%USERPROFILE%\AppData\Local\Temp\OnboardLogs" /stypes="app*4016*20161117*" /stext=" 06:.+((SYSTEM_STATE.+slice.+state.+changed )|(ment ac)|(system.+state.+changed )|(\[timeout)|(PRM\|1\|D)|(kpr)|(kdp)|(\|lc)|(penalty))" /e /r /s</v>
      </c>
      <c r="AG144" s="1" t="str">
        <f t="shared" si="51"/>
        <v>EC</v>
      </c>
      <c r="AH144" s="92" t="str">
        <f t="shared" si="60"/>
        <v>"%USERPROFILE%\Documents\GitHub\eaglep3\Utilities\RefineRTDCRunTimes.py" --tripid 237-16 --locoid 4016 --swversion DE.1.0.8.0 --startMP 204:154422 --initTime 2016-11-16T23:38:18 --startdatetime 2016-11-16T23:39:07 --delay 0 --endMP 204:233283 --enddatetime 2016-11-16T23:50:28 --enforcementcount 0 &gt;&gt;C:\Users\stu\Documents\GitHub\eaglep3-reporting\EC\2016-11-16-refined-times.txt</v>
      </c>
      <c r="AI144" s="119" t="str">
        <f t="shared" si="61"/>
        <v>echo {"issue":{"subject":"40th 2N downgraded to STOP - 61st reset?","project_id":79,"tracker_id":40,"status_id":1,"priority_id":2,"assigned_to_id":23,"start_date":"2016-11-16","description":"At 23:18:33, 40th 2N downgraded to STOP and stayed that way. A few minutes later (23:21:17), CP Pena dropped offline. Was there an ELXS reset?","custom_fields":[{"id":1,"name":"Subdivision","value":"EC"},{"id":4,"name":"Milepost","value":"23.3283"},{"id":17,"name":"Train ID","value":"237-16"},{"id":16,"name":"Locomotive ID","value":"4016"},{"id":130,"name":"Impact","value":"Unexpected Cut-Out or Disengaged"},{"id":150,"name":"Time of Event (Mountain Time)","value":"23:50:28"},{"id":151,"name":"Denver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44" s="53" t="s">
        <v>809</v>
      </c>
      <c r="AK144" s="53" t="s">
        <v>131</v>
      </c>
      <c r="AL144" s="53" t="s">
        <v>130</v>
      </c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x14ac:dyDescent="0.25">
      <c r="A145" s="37" t="s">
        <v>617</v>
      </c>
      <c r="B145" s="7">
        <v>4016</v>
      </c>
      <c r="C145" s="22" t="s">
        <v>222</v>
      </c>
      <c r="D145" s="22" t="s">
        <v>224</v>
      </c>
      <c r="E145" s="13">
        <v>42690.944490740738</v>
      </c>
      <c r="F145" s="13">
        <v>42690.945613425924</v>
      </c>
      <c r="G145" s="7">
        <v>1</v>
      </c>
      <c r="H145" s="22" t="s">
        <v>697</v>
      </c>
      <c r="I145" s="13">
        <v>42690.973657407405</v>
      </c>
      <c r="J145" s="7">
        <v>0</v>
      </c>
      <c r="K145" s="109" t="str">
        <f t="shared" si="41"/>
        <v>4015/4016</v>
      </c>
      <c r="L145" s="22" t="str">
        <f>VLOOKUP(A145,'Trips&amp;Operators'!$C$1:$E$10000,3,FALSE)</f>
        <v>MCREYNOLDS</v>
      </c>
      <c r="M145" s="6">
        <f t="shared" si="42"/>
        <v>2.8043981481459923E-2</v>
      </c>
      <c r="N145" s="7"/>
      <c r="O145" s="7"/>
      <c r="P145" s="7"/>
      <c r="Q145" s="23"/>
      <c r="R145" s="23"/>
      <c r="S145" s="35"/>
      <c r="T145" s="50" t="str">
        <f t="shared" si="45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21:40:04-700',mode:absolute,to:'2016-11-17 00:22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5" s="52" t="str">
        <f t="shared" si="46"/>
        <v>Y</v>
      </c>
      <c r="X145" s="177">
        <f t="shared" si="55"/>
        <v>0</v>
      </c>
      <c r="Y145" s="67">
        <f t="shared" si="47"/>
        <v>4.58E-2</v>
      </c>
      <c r="Z145" s="67">
        <f t="shared" si="48"/>
        <v>12.037699999999999</v>
      </c>
      <c r="AA145" s="67">
        <f t="shared" si="49"/>
        <v>11.991899999999999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50"/>
        <v>0237-16</v>
      </c>
      <c r="AE145" s="91" t="str">
        <f t="shared" si="58"/>
        <v>aws s3 cp s3://rtdc.mdm.uploadarchive.raw/RTDC4016/ "%USERPROFILE%\AppData\Local\Temp\OnboardLogs"\RTDC4016\2016-11-16 --exclude "*" --recursive --include "*20161116*" &amp; "%USERPROFILE%\Documents\GitHub\mrs-test-scripts\Headless Mode &amp; Sideloading\WalkAndUnGZ.bat" "%USERPROFILE%\AppData\Local\Temp\OnboardLogs"\RTDC4016\2016-11-16 &amp; aws s3 cp s3://rtdc.mdm.uploadarchive.raw/RTDC4016/ "%USERPROFILE%\AppData\Local\Temp\OnboardLogs"\RTDC4016\2016-11-17 --exclude "*" --recursive --include "*20161117*" &amp; "%USERPROFILE%\Documents\GitHub\mrs-test-scripts\Headless Mode &amp; Sideloading\WalkAndUnGZ.bat" "%USERPROFILE%\AppData\Local\Temp\OnboardLogs"\RTDC4016\2016-11-17</v>
      </c>
      <c r="AF145" s="88" t="str">
        <f t="shared" si="59"/>
        <v>"C:\Program Files (x86)\AstroGrep\AstroGrep.exe" /spath="%USERPROFILE%\AppData\Local\Temp\OnboardLogs" /stypes="app*4016*20161117*" /stext=" 06:.+((SYSTEM_STATE.+slice.+state.+changed )|(ment ac)|(system.+state.+changed )|(\[timeout)|(PRM\|1\|D)|(kpr)|(kdp)|(\|lc)|(penalty))" /e /r /s</v>
      </c>
      <c r="AG145" s="1" t="str">
        <f t="shared" si="51"/>
        <v>EC</v>
      </c>
      <c r="AH145" s="92" t="str">
        <f t="shared" si="60"/>
        <v>"%USERPROFILE%\Documents\GitHub\eaglep3\Utilities\RefineRTDCRunTimes.py" --tripid 237-16 --locoid 4016 --swversion DE.1.0.8.0 --startMP 204:458 --initTime 2016-11-16T22:40:04 --startdatetime 2016-11-16T22:41:41 --delay 1 --endMP 204:120377 --enddatetime 2016-11-16T23:22:04 --enforcementcount 0 &gt;&gt;C:\Users\stu\Documents\GitHub\eaglep3-reporting\EC\2016-11-16-refined-times.txt</v>
      </c>
      <c r="AI145" s="119" t="str">
        <f t="shared" si="61"/>
        <v>echo {"issue":{"subject":"","project_id":79,"tracker_id":40,"status_id":1,"priority_id":2,"assigned_to_id":23,"start_date":"2016-11-16","description":"","custom_fields":[{"id":1,"name":"Subdivision","value":"EC"},{"id":4,"name":"Milepost","value":"12.0377"},{"id":17,"name":"Train ID","value":"237-16"},{"id":16,"name":"Locomotive ID","value":"4016"},{"id":130,"name":"Impact","value":""},{"id":150,"name":"Time of Event (Mountain Time)","value":"23:22:04"},{"id":151,"name":"Denver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91" s="21" customFormat="1" x14ac:dyDescent="0.25">
      <c r="A146" s="37" t="s">
        <v>622</v>
      </c>
      <c r="B146" s="7">
        <v>4015</v>
      </c>
      <c r="C146" s="22" t="s">
        <v>222</v>
      </c>
      <c r="D146" s="22" t="s">
        <v>211</v>
      </c>
      <c r="E146" s="13">
        <v>42690.995636574073</v>
      </c>
      <c r="F146" s="13">
        <v>42691.00677083333</v>
      </c>
      <c r="G146" s="7">
        <v>1</v>
      </c>
      <c r="H146" s="22" t="s">
        <v>220</v>
      </c>
      <c r="I146" s="13">
        <v>42691.040578703702</v>
      </c>
      <c r="J146" s="7">
        <v>0</v>
      </c>
      <c r="K146" s="109" t="str">
        <f t="shared" si="41"/>
        <v>4015/4016</v>
      </c>
      <c r="L146" s="22" t="str">
        <f>VLOOKUP(A146,'Trips&amp;Operators'!$C$1:$E$10000,3,FALSE)</f>
        <v>MCREYNOLDS</v>
      </c>
      <c r="M146" s="6">
        <f t="shared" si="42"/>
        <v>3.3807870371674653E-2</v>
      </c>
      <c r="N146" s="7">
        <f t="shared" ref="N146:N177" si="62">24*60*SUM($M146:$M146)</f>
        <v>48.683333335211501</v>
      </c>
      <c r="O146" s="7"/>
      <c r="P146" s="7"/>
      <c r="Q146" s="23"/>
      <c r="R146" s="23"/>
      <c r="S146" s="35">
        <f t="shared" ref="S146:S177" si="63">SUM(U146:U146)/IF(AG146="EC",12,1)</f>
        <v>1</v>
      </c>
      <c r="T146" s="50" t="str">
        <f t="shared" si="45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22:53:43-700',mode:absolute,to:'2016-11-17 01:58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6" s="52" t="str">
        <f t="shared" si="46"/>
        <v>N</v>
      </c>
      <c r="X146" s="177">
        <f t="shared" si="55"/>
        <v>1</v>
      </c>
      <c r="Y146" s="67">
        <f t="shared" si="47"/>
        <v>23.297699999999999</v>
      </c>
      <c r="Z146" s="67">
        <f t="shared" si="48"/>
        <v>1.61E-2</v>
      </c>
      <c r="AA146" s="67">
        <f t="shared" si="49"/>
        <v>23.281599999999997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50"/>
        <v>0238-16</v>
      </c>
      <c r="AE146" s="91" t="str">
        <f t="shared" si="58"/>
        <v>aws s3 cp s3://rtdc.mdm.uploadarchive.raw/RTDC4015/ "%USERPROFILE%\AppData\Local\Temp\OnboardLogs"\RTDC4015\2016-11-17 --exclude "*" --recursive --include "*20161117*" &amp; "%USERPROFILE%\Documents\GitHub\mrs-test-scripts\Headless Mode &amp; Sideloading\WalkAndUnGZ.bat" "%USERPROFILE%\AppData\Local\Temp\OnboardLogs"\RTDC4015\2016-11-17 &amp; aws s3 cp s3://rtdc.mdm.uploadarchive.raw/RTDC4015/ "%USERPROFILE%\AppData\Local\Temp\OnboardLogs"\RTDC4015\2016-11-18 --exclude "*" --recursive --include "*20161118*" &amp; "%USERPROFILE%\Documents\GitHub\mrs-test-scripts\Headless Mode &amp; Sideloading\WalkAndUnGZ.bat" "%USERPROFILE%\AppData\Local\Temp\OnboardLogs"\RTDC4015\2016-11-18</v>
      </c>
      <c r="AF146" s="88" t="str">
        <f t="shared" si="59"/>
        <v>"C:\Program Files (x86)\AstroGrep\AstroGrep.exe" /spath="%USERPROFILE%\AppData\Local\Temp\OnboardLogs" /stypes="app*4015*20161117*" /stext=" 07:.+((SYSTEM_STATE.+slice.+state.+changed )|(ment ac)|(system.+state.+changed )|(\[timeout)|(PRM\|1\|D)|(kpr)|(kdp)|(\|lc)|(penalty))" /e /r /s</v>
      </c>
      <c r="AG146" s="1" t="str">
        <f t="shared" si="51"/>
        <v>EC</v>
      </c>
      <c r="AH146" s="92" t="str">
        <f t="shared" si="60"/>
        <v>"%USERPROFILE%\Documents\GitHub\eaglep3\Utilities\RefineRTDCRunTimes.py" --tripid 238-16 --locoid 4015 --swversion DE.1.0.8.0 --startMP 204:232977 --initTime 2016-11-16T23:53:43 --startdatetime 2016-11-17T00:09:45 --delay 1 --endMP 204:161 --enddatetime 2016-11-17T00:58:26 --enforcementcount 0 &gt;&gt;C:\Users\stu\Documents\GitHub\eaglep3-reporting\EC\2016-11-16-refined-times.txt</v>
      </c>
      <c r="AI146" s="119" t="str">
        <f t="shared" si="61"/>
        <v>echo {"issue":{"subject":"","project_id":79,"tracker_id":40,"status_id":1,"priority_id":2,"assigned_to_id":23,"start_date":"2016-11-17","description":"","custom_fields":[{"id":1,"name":"Subdivision","value":"EC"},{"id":4,"name":"Milepost","value":"0.0161"},{"id":17,"name":"Train ID","value":"238-16"},{"id":16,"name":"Locomotive ID","value":"4015"},{"id":130,"name":"Impact","value":""},{"id":150,"name":"Time of Event (Mountain Time)","value":"00:58:26"},{"id":151,"name":"Denver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619</v>
      </c>
      <c r="B147" s="7">
        <v>4029</v>
      </c>
      <c r="C147" s="22" t="s">
        <v>222</v>
      </c>
      <c r="D147" s="22" t="s">
        <v>698</v>
      </c>
      <c r="E147" s="13">
        <v>42690.961875000001</v>
      </c>
      <c r="F147" s="13">
        <v>42690.979479166665</v>
      </c>
      <c r="G147" s="7">
        <v>1</v>
      </c>
      <c r="H147" s="22" t="s">
        <v>364</v>
      </c>
      <c r="I147" s="13">
        <v>42691.003449074073</v>
      </c>
      <c r="J147" s="7">
        <v>0</v>
      </c>
      <c r="K147" s="109" t="str">
        <f t="shared" si="41"/>
        <v>4029/4030</v>
      </c>
      <c r="L147" s="22" t="str">
        <f>VLOOKUP(A147,'Trips&amp;Operators'!$C$1:$E$10000,3,FALSE)</f>
        <v>PERKINS</v>
      </c>
      <c r="M147" s="6">
        <f t="shared" si="42"/>
        <v>2.396990740817273E-2</v>
      </c>
      <c r="N147" s="7">
        <f t="shared" si="62"/>
        <v>34.516666667768732</v>
      </c>
      <c r="O147" s="7"/>
      <c r="P147" s="7"/>
      <c r="Q147" s="23"/>
      <c r="R147" s="23"/>
      <c r="S147" s="35">
        <f t="shared" si="63"/>
        <v>1</v>
      </c>
      <c r="T147" s="50" t="str">
        <f t="shared" si="45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22:05:06-700',mode:absolute,to:'2016-11-17 01:04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7" s="52" t="str">
        <f t="shared" si="46"/>
        <v>N</v>
      </c>
      <c r="X147" s="177">
        <f t="shared" si="55"/>
        <v>1</v>
      </c>
      <c r="Y147" s="67">
        <f t="shared" si="47"/>
        <v>5.5500000000000001E-2</v>
      </c>
      <c r="Z147" s="67">
        <f t="shared" si="48"/>
        <v>23.3278</v>
      </c>
      <c r="AA147" s="67">
        <f t="shared" si="49"/>
        <v>23.272300000000001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50"/>
        <v>0239-16</v>
      </c>
      <c r="AE147" s="91" t="str">
        <f t="shared" si="58"/>
        <v>aws s3 cp s3://rtdc.mdm.uploadarchive.raw/RTDC4029/ "%USERPROFILE%\AppData\Local\Temp\OnboardLogs"\RTDC4029\2016-11-16 --exclude "*" --recursive --include "*20161116*" &amp; "%USERPROFILE%\Documents\GitHub\mrs-test-scripts\Headless Mode &amp; Sideloading\WalkAndUnGZ.bat" "%USERPROFILE%\AppData\Local\Temp\OnboardLogs"\RTDC4029\2016-11-16 &amp; aws s3 cp s3://rtdc.mdm.uploadarchive.raw/RTDC4029/ "%USERPROFILE%\AppData\Local\Temp\OnboardLogs"\RTDC4029\2016-11-17 --exclude "*" --recursive --include "*20161117*" &amp; "%USERPROFILE%\Documents\GitHub\mrs-test-scripts\Headless Mode &amp; Sideloading\WalkAndUnGZ.bat" "%USERPROFILE%\AppData\Local\Temp\OnboardLogs"\RTDC4029\2016-11-17</v>
      </c>
      <c r="AF147" s="88" t="str">
        <f t="shared" si="59"/>
        <v>"C:\Program Files (x86)\AstroGrep\AstroGrep.exe" /spath="%USERPROFILE%\AppData\Local\Temp\OnboardLogs" /stypes="app*4029*20161117*" /stext=" 07:.+((SYSTEM_STATE.+slice.+state.+changed )|(ment ac)|(system.+state.+changed )|(\[timeout)|(PRM\|1\|D)|(kpr)|(kdp)|(\|lc)|(penalty))" /e /r /s</v>
      </c>
      <c r="AG147" s="1" t="str">
        <f t="shared" si="51"/>
        <v>EC</v>
      </c>
      <c r="AH147" s="92" t="str">
        <f t="shared" si="60"/>
        <v>"%USERPROFILE%\Documents\GitHub\eaglep3\Utilities\RefineRTDCRunTimes.py" --tripid 239-16 --locoid 4029 --swversion DE.1.0.8.0 --startMP 204:555 --initTime 2016-11-16T23:05:06 --startdatetime 2016-11-16T23:30:27 --delay 1 --endMP 204:233278 --enddatetime 2016-11-17T00:04:58 --enforcementcount 0 &gt;&gt;C:\Users\stu\Documents\GitHub\eaglep3-reporting\EC\2016-11-16-refined-times.txt</v>
      </c>
      <c r="AI147" s="119" t="str">
        <f t="shared" si="61"/>
        <v>echo {"issue":{"subject":"","project_id":79,"tracker_id":40,"status_id":1,"priority_id":2,"assigned_to_id":23,"start_date":"2016-11-17","description":"","custom_fields":[{"id":1,"name":"Subdivision","value":"EC"},{"id":4,"name":"Milepost","value":"23.3278"},{"id":17,"name":"Train ID","value":"239-16"},{"id":16,"name":"Locomotive ID","value":"4029"},{"id":130,"name":"Impact","value":""},{"id":150,"name":"Time of Event (Mountain Time)","value":"00:04:58"},{"id":151,"name":"Denver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623</v>
      </c>
      <c r="B148" s="7">
        <v>4030</v>
      </c>
      <c r="C148" s="22" t="s">
        <v>222</v>
      </c>
      <c r="D148" s="22" t="s">
        <v>368</v>
      </c>
      <c r="E148" s="13">
        <v>42691.005173611113</v>
      </c>
      <c r="F148" s="13">
        <v>42691.018854166665</v>
      </c>
      <c r="G148" s="7">
        <v>6</v>
      </c>
      <c r="H148" s="22" t="s">
        <v>197</v>
      </c>
      <c r="I148" s="13">
        <v>42691.062881944446</v>
      </c>
      <c r="J148" s="7">
        <v>0</v>
      </c>
      <c r="K148" s="109" t="str">
        <f t="shared" si="41"/>
        <v>4029/4030</v>
      </c>
      <c r="L148" s="22" t="str">
        <f>VLOOKUP(A148,'Trips&amp;Operators'!$C$1:$E$10000,3,FALSE)</f>
        <v>PERKINS</v>
      </c>
      <c r="M148" s="6">
        <f t="shared" si="42"/>
        <v>4.4027777781593613E-2</v>
      </c>
      <c r="N148" s="7">
        <f t="shared" si="62"/>
        <v>63.400000005494803</v>
      </c>
      <c r="O148" s="7"/>
      <c r="P148" s="7"/>
      <c r="Q148" s="23"/>
      <c r="R148" s="23" t="s">
        <v>810</v>
      </c>
      <c r="S148" s="35">
        <f t="shared" si="63"/>
        <v>1</v>
      </c>
      <c r="T148" s="50" t="str">
        <f t="shared" si="45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23:07:27-700',mode:absolute,to:'2016-11-17 02:30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8" s="52" t="str">
        <f t="shared" si="46"/>
        <v>N</v>
      </c>
      <c r="X148" s="177">
        <f t="shared" ref="X148:X177" si="64">VALUE(LEFT(AD148,4))-VALUE(LEFT(AD147,4))</f>
        <v>1</v>
      </c>
      <c r="Y148" s="67">
        <f t="shared" si="47"/>
        <v>23.294799999999999</v>
      </c>
      <c r="Z148" s="67">
        <f t="shared" si="48"/>
        <v>1.43E-2</v>
      </c>
      <c r="AA148" s="67">
        <f t="shared" si="49"/>
        <v>23.2805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50"/>
        <v>0240-16</v>
      </c>
      <c r="AE148" s="91" t="str">
        <f t="shared" si="58"/>
        <v>aws s3 cp s3://rtdc.mdm.uploadarchive.raw/RTDC4030/ "%USERPROFILE%\AppData\Local\Temp\OnboardLogs"\RTDC4030\2016-11-17 --exclude "*" --recursive --include "*20161117*" &amp; "%USERPROFILE%\Documents\GitHub\mrs-test-scripts\Headless Mode &amp; Sideloading\WalkAndUnGZ.bat" "%USERPROFILE%\AppData\Local\Temp\OnboardLogs"\RTDC4030\2016-11-17 &amp; aws s3 cp s3://rtdc.mdm.uploadarchive.raw/RTDC4030/ "%USERPROFILE%\AppData\Local\Temp\OnboardLogs"\RTDC4030\2016-11-18 --exclude "*" --recursive --include "*20161118*" &amp; "%USERPROFILE%\Documents\GitHub\mrs-test-scripts\Headless Mode &amp; Sideloading\WalkAndUnGZ.bat" "%USERPROFILE%\AppData\Local\Temp\OnboardLogs"\RTDC4030\2016-11-18</v>
      </c>
      <c r="AF148" s="88" t="str">
        <f t="shared" si="59"/>
        <v>"C:\Program Files (x86)\AstroGrep\AstroGrep.exe" /spath="%USERPROFILE%\AppData\Local\Temp\OnboardLogs" /stypes="app*4030*20161117*" /stext=" 08:.+((SYSTEM_STATE.+slice.+state.+changed )|(ment ac)|(system.+state.+changed )|(\[timeout)|(PRM\|1\|D)|(kpr)|(kdp)|(\|lc)|(penalty))" /e /r /s</v>
      </c>
      <c r="AG148" s="1" t="str">
        <f t="shared" si="51"/>
        <v>EC</v>
      </c>
      <c r="AH148" s="92" t="str">
        <f t="shared" si="60"/>
        <v>"%USERPROFILE%\Documents\GitHub\eaglep3\Utilities\RefineRTDCRunTimes.py" --tripid 240-16 --locoid 4030 --swversion DE.1.0.8.0 --startMP 204:232948 --initTime 2016-11-17T00:07:27 --startdatetime 2016-11-17T00:27:09 --delay 6 --endMP 204:143 --enddatetime 2016-11-17T01:30:33 --enforcementcount 0 &gt;&gt;C:\Users\stu\Documents\GitHub\eaglep3-reporting\EC\2016-11-16-refined-times.txt</v>
      </c>
      <c r="AI148" s="119" t="str">
        <f t="shared" si="61"/>
        <v>echo {"issue":{"subject":"Delayed at CP Pena","project_id":79,"tracker_id":40,"status_id":1,"priority_id":2,"assigned_to_id":23,"start_date":"2016-11-17","description":"","custom_fields":[{"id":1,"name":"Subdivision","value":"EC"},{"id":4,"name":"Milepost","value":"0.0143"},{"id":17,"name":"Train ID","value":"240-16"},{"id":16,"name":"Locomotive ID","value":"4030"},{"id":130,"name":"Impact","value":""},{"id":150,"name":"Time of Event (Mountain Time)","value":"01:30:33"},{"id":151,"name":"Denver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621</v>
      </c>
      <c r="B149" s="7">
        <v>4011</v>
      </c>
      <c r="C149" s="22" t="s">
        <v>222</v>
      </c>
      <c r="D149" s="22" t="s">
        <v>219</v>
      </c>
      <c r="E149" s="13">
        <v>42690.994560185187</v>
      </c>
      <c r="F149" s="13">
        <v>42691.000162037039</v>
      </c>
      <c r="G149" s="7">
        <v>1</v>
      </c>
      <c r="H149" s="22" t="s">
        <v>254</v>
      </c>
      <c r="I149" s="13">
        <v>42691.04347222222</v>
      </c>
      <c r="J149" s="7">
        <v>0</v>
      </c>
      <c r="K149" s="109" t="str">
        <f t="shared" si="41"/>
        <v>4011/4012</v>
      </c>
      <c r="L149" s="22" t="str">
        <f>VLOOKUP(A149,'Trips&amp;Operators'!$C$1:$E$10000,3,FALSE)</f>
        <v>LEVIN</v>
      </c>
      <c r="M149" s="6">
        <f t="shared" si="42"/>
        <v>4.3310185181326233E-2</v>
      </c>
      <c r="N149" s="7">
        <f t="shared" si="62"/>
        <v>62.366666661109775</v>
      </c>
      <c r="O149" s="7"/>
      <c r="P149" s="7"/>
      <c r="Q149" s="23"/>
      <c r="R149" s="23" t="s">
        <v>810</v>
      </c>
      <c r="S149" s="35">
        <f t="shared" si="63"/>
        <v>1</v>
      </c>
      <c r="T149" s="50" t="str">
        <f t="shared" si="45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22:52:10-700',mode:absolute,to:'2016-11-17 02:02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9" s="52" t="str">
        <f t="shared" si="46"/>
        <v>N</v>
      </c>
      <c r="X149" s="177">
        <f t="shared" si="64"/>
        <v>1</v>
      </c>
      <c r="Y149" s="67">
        <f t="shared" si="47"/>
        <v>4.5699999999999998E-2</v>
      </c>
      <c r="Z149" s="67">
        <f t="shared" si="48"/>
        <v>23.331</v>
      </c>
      <c r="AA149" s="67">
        <f t="shared" si="49"/>
        <v>23.285299999999999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50"/>
        <v>0241-16</v>
      </c>
      <c r="AE149" s="91" t="str">
        <f t="shared" si="58"/>
        <v>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 &amp; 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</v>
      </c>
      <c r="AF149" s="88" t="str">
        <f t="shared" si="59"/>
        <v>"C:\Program Files (x86)\AstroGrep\AstroGrep.exe" /spath="%USERPROFILE%\AppData\Local\Temp\OnboardLogs" /stypes="app*4011*20161117*" /stext=" 08:.+((SYSTEM_STATE.+slice.+state.+changed )|(ment ac)|(system.+state.+changed )|(\[timeout)|(PRM\|1\|D)|(kpr)|(kdp)|(\|lc)|(penalty))" /e /r /s</v>
      </c>
      <c r="AG149" s="1" t="str">
        <f t="shared" si="51"/>
        <v>EC</v>
      </c>
      <c r="AH149" s="92" t="str">
        <f t="shared" si="60"/>
        <v>"%USERPROFILE%\Documents\GitHub\eaglep3\Utilities\RefineRTDCRunTimes.py" --tripid 241-16 --locoid 4011 --swversion DE.1.0.8.0 --startMP 204:457 --initTime 2016-11-16T23:52:10 --startdatetime 2016-11-17T00:00:14 --delay 1 --endMP 204:233310 --enddatetime 2016-11-17T01:02:36 --enforcementcount 0 &gt;&gt;C:\Users\stu\Documents\GitHub\eaglep3-reporting\EC\2016-11-16-refined-times.txt</v>
      </c>
      <c r="AI149" s="119" t="str">
        <f t="shared" si="61"/>
        <v>echo {"issue":{"subject":"Delayed at CP Pena","project_id":79,"tracker_id":40,"status_id":1,"priority_id":2,"assigned_to_id":23,"start_date":"2016-11-17","description":"","custom_fields":[{"id":1,"name":"Subdivision","value":"EC"},{"id":4,"name":"Milepost","value":"23.331"},{"id":17,"name":"Train ID","value":"241-16"},{"id":16,"name":"Locomotive ID","value":"4011"},{"id":130,"name":"Impact","value":""},{"id":150,"name":"Time of Event (Mountain Time)","value":"01:02:36"},{"id":151,"name":"Denver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7" t="s">
        <v>626</v>
      </c>
      <c r="B150" s="7">
        <v>4012</v>
      </c>
      <c r="C150" s="22" t="s">
        <v>222</v>
      </c>
      <c r="D150" s="22" t="s">
        <v>318</v>
      </c>
      <c r="E150" s="13">
        <v>42691.048842592594</v>
      </c>
      <c r="F150" s="13">
        <v>42691.050659722219</v>
      </c>
      <c r="G150" s="7">
        <v>1</v>
      </c>
      <c r="H150" s="22" t="s">
        <v>175</v>
      </c>
      <c r="I150" s="13">
        <v>42691.081655092596</v>
      </c>
      <c r="J150" s="7">
        <v>0</v>
      </c>
      <c r="K150" s="109" t="str">
        <f t="shared" ref="K150:K213" si="65">IF(ISEVEN(B150),(B150-1)&amp;"/"&amp;B150,B150&amp;"/"&amp;(B150+1))</f>
        <v>4011/4012</v>
      </c>
      <c r="L150" s="22" t="str">
        <f>VLOOKUP(A150,'Trips&amp;Operators'!$C$1:$E$10000,3,FALSE)</f>
        <v>LEVIN</v>
      </c>
      <c r="M150" s="6">
        <f t="shared" ref="M150:M213" si="66">I150-F150</f>
        <v>3.0995370376331266E-2</v>
      </c>
      <c r="N150" s="7">
        <f t="shared" si="62"/>
        <v>44.633333341917023</v>
      </c>
      <c r="O150" s="7"/>
      <c r="P150" s="7"/>
      <c r="Q150" s="23"/>
      <c r="R150" s="23"/>
      <c r="S150" s="35">
        <f t="shared" si="63"/>
        <v>1</v>
      </c>
      <c r="T150" s="50" t="str">
        <f t="shared" ref="T150:T213" si="67">IF(ISEVEN(LEFT(AD150,4)),"Southbound","NorthBound")</f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https://search-rtdc-monitor-bjffxe2xuh6vdkpspy63sjmuny.us-east-1.es.amazonaws.com/_plugin/kibana/#/discover/Steve-Slow-Train-Analysis-(2080s-and-2083s)?_g=(refreshInterval:(display:Off,section:0,value:0),time:(from:'2016-11-17 00:10:20-700',mode:absolute,to:'2016-11-17 02:57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0" s="52" t="str">
        <f t="shared" ref="W150:W213" si="68">IF(AA150&lt;IF(AG150="EC",23,5.65),"Y","N")</f>
        <v>N</v>
      </c>
      <c r="X150" s="177">
        <f t="shared" si="64"/>
        <v>1</v>
      </c>
      <c r="Y150" s="67">
        <f t="shared" ref="Y150:Y213" si="69">RIGHT(D150,LEN(D150)-4)/10000</f>
        <v>23.300599999999999</v>
      </c>
      <c r="Z150" s="67">
        <f t="shared" ref="Z150:Z213" si="70">RIGHT(H150,LEN(H150)-4)/10000</f>
        <v>1.52E-2</v>
      </c>
      <c r="AA150" s="67">
        <f t="shared" ref="AA150:AA213" si="71">ABS(Z150-Y150)</f>
        <v>23.285399999999999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ref="AD150:AD213" si="72">IF(LEN(A150)=6,"0"&amp;A150,A150)</f>
        <v>0242-16</v>
      </c>
      <c r="AE150" s="91" t="str">
        <f t="shared" si="58"/>
        <v>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 &amp; 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</v>
      </c>
      <c r="AF150" s="88" t="str">
        <f t="shared" si="59"/>
        <v>"C:\Program Files (x86)\AstroGrep\AstroGrep.exe" /spath="%USERPROFILE%\AppData\Local\Temp\OnboardLogs" /stypes="app*4012*20161117*" /stext=" 08:.+((SYSTEM_STATE.+slice.+state.+changed )|(ment ac)|(system.+state.+changed )|(\[timeout)|(PRM\|1\|D)|(kpr)|(kdp)|(\|lc)|(penalty))" /e /r /s</v>
      </c>
      <c r="AG150" s="1" t="str">
        <f t="shared" ref="AG150:AG213" si="73">IFERROR(IF(VALUE(LEFT(AD150,2))&lt;=2,"EC",IF(OR(VALUE(LEFT(AD150,2))=8,VALUE(LEFT(AD150,2))=18),"NW","Other")),"Other")</f>
        <v>EC</v>
      </c>
      <c r="AH150" s="92" t="str">
        <f t="shared" si="60"/>
        <v>"%USERPROFILE%\Documents\GitHub\eaglep3\Utilities\RefineRTDCRunTimes.py" --tripid 242-16 --locoid 4012 --swversion DE.1.0.8.0 --startMP 204:233006 --initTime 2016-11-17T01:10:20 --startdatetime 2016-11-17T01:12:57 --delay 1 --endMP 204:152 --enddatetime 2016-11-17T01:57:35 --enforcementcount 0 &gt;&gt;C:\Users\stu\Documents\GitHub\eaglep3-reporting\EC\2016-11-16-refined-times.txt</v>
      </c>
      <c r="AI150" s="119" t="str">
        <f t="shared" si="61"/>
        <v>echo {"issue":{"subject":"","project_id":79,"tracker_id":40,"status_id":1,"priority_id":2,"assigned_to_id":23,"start_date":"2016-11-17","description":"","custom_fields":[{"id":1,"name":"Subdivision","value":"EC"},{"id":4,"name":"Milepost","value":"0.0152"},{"id":17,"name":"Train ID","value":"242-16"},{"id":16,"name":"Locomotive ID","value":"4012"},{"id":130,"name":"Impact","value":""},{"id":150,"name":"Time of Event (Mountain Time)","value":"01:57:35"},{"id":151,"name":"Denver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s="21" customFormat="1" x14ac:dyDescent="0.25">
      <c r="A151" s="37" t="s">
        <v>624</v>
      </c>
      <c r="B151" s="7">
        <v>4009</v>
      </c>
      <c r="C151" s="22" t="s">
        <v>222</v>
      </c>
      <c r="D151" s="22" t="s">
        <v>658</v>
      </c>
      <c r="E151" s="13">
        <v>42691.009120370371</v>
      </c>
      <c r="F151" s="13">
        <v>42691.020995370367</v>
      </c>
      <c r="G151" s="7">
        <v>2</v>
      </c>
      <c r="H151" s="22" t="s">
        <v>254</v>
      </c>
      <c r="I151" s="13">
        <v>42691.062743055554</v>
      </c>
      <c r="J151" s="7">
        <v>0</v>
      </c>
      <c r="K151" s="109" t="str">
        <f t="shared" si="65"/>
        <v>4009/4010</v>
      </c>
      <c r="L151" s="22" t="str">
        <f>VLOOKUP(A151,'Trips&amp;Operators'!$C$1:$E$10000,3,FALSE)</f>
        <v>CRAYTON</v>
      </c>
      <c r="M151" s="6">
        <f t="shared" si="66"/>
        <v>4.1747685187146999E-2</v>
      </c>
      <c r="N151" s="7">
        <f t="shared" si="62"/>
        <v>60.116666669491678</v>
      </c>
      <c r="O151" s="7"/>
      <c r="P151" s="7"/>
      <c r="Q151" s="23"/>
      <c r="R151" s="23" t="s">
        <v>810</v>
      </c>
      <c r="S151" s="35">
        <f t="shared" si="63"/>
        <v>1</v>
      </c>
      <c r="T151" s="50" t="str">
        <f t="shared" si="67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23:13:08-700',mode:absolute,to:'2016-11-17 02:30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1" s="52" t="str">
        <f t="shared" si="68"/>
        <v>N</v>
      </c>
      <c r="X151" s="177">
        <f t="shared" si="64"/>
        <v>1</v>
      </c>
      <c r="Y151" s="67">
        <f t="shared" si="69"/>
        <v>4.6699999999999998E-2</v>
      </c>
      <c r="Z151" s="67">
        <f t="shared" si="70"/>
        <v>23.331</v>
      </c>
      <c r="AA151" s="67">
        <f t="shared" si="71"/>
        <v>23.284299999999998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72"/>
        <v>0243-16</v>
      </c>
      <c r="AE151" s="91" t="str">
        <f t="shared" si="58"/>
        <v>aws s3 cp s3://rtdc.mdm.uploadarchive.raw/RTDC4009/ "%USERPROFILE%\AppData\Local\Temp\OnboardLogs"\RTDC4009\2016-11-17 --exclude "*" --recursive --include "*20161117*" &amp; "%USERPROFILE%\Documents\GitHub\mrs-test-scripts\Headless Mode &amp; Sideloading\WalkAndUnGZ.bat" "%USERPROFILE%\AppData\Local\Temp\OnboardLogs"\RTDC4009\2016-11-17 &amp; aws s3 cp s3://rtdc.mdm.uploadarchive.raw/RTDC4009/ "%USERPROFILE%\AppData\Local\Temp\OnboardLogs"\RTDC4009\2016-11-18 --exclude "*" --recursive --include "*20161118*" &amp; "%USERPROFILE%\Documents\GitHub\mrs-test-scripts\Headless Mode &amp; Sideloading\WalkAndUnGZ.bat" "%USERPROFILE%\AppData\Local\Temp\OnboardLogs"\RTDC4009\2016-11-18</v>
      </c>
      <c r="AF151" s="88" t="str">
        <f t="shared" si="59"/>
        <v>"C:\Program Files (x86)\AstroGrep\AstroGrep.exe" /spath="%USERPROFILE%\AppData\Local\Temp\OnboardLogs" /stypes="app*4009*20161117*" /stext=" 08:.+((SYSTEM_STATE.+slice.+state.+changed )|(ment ac)|(system.+state.+changed )|(\[timeout)|(PRM\|1\|D)|(kpr)|(kdp)|(\|lc)|(penalty))" /e /r /s</v>
      </c>
      <c r="AG151" s="1" t="str">
        <f t="shared" si="73"/>
        <v>EC</v>
      </c>
      <c r="AH151" s="92" t="str">
        <f t="shared" si="60"/>
        <v>"%USERPROFILE%\Documents\GitHub\eaglep3\Utilities\RefineRTDCRunTimes.py" --tripid 243-16 --locoid 4009 --swversion DE.1.0.8.0 --startMP 204:467 --initTime 2016-11-17T00:13:08 --startdatetime 2016-11-17T00:30:14 --delay 2 --endMP 204:233310 --enddatetime 2016-11-17T01:30:21 --enforcementcount 0 &gt;&gt;C:\Users\stu\Documents\GitHub\eaglep3-reporting\EC\2016-11-16-refined-times.txt</v>
      </c>
      <c r="AI151" s="119" t="str">
        <f t="shared" si="61"/>
        <v>echo {"issue":{"subject":"Delayed at CP Pena","project_id":79,"tracker_id":40,"status_id":1,"priority_id":2,"assigned_to_id":23,"start_date":"2016-11-17","description":"","custom_fields":[{"id":1,"name":"Subdivision","value":"EC"},{"id":4,"name":"Milepost","value":"23.331"},{"id":17,"name":"Train ID","value":"243-16"},{"id":16,"name":"Locomotive ID","value":"4009"},{"id":130,"name":"Impact","value":""},{"id":150,"name":"Time of Event (Mountain Time)","value":"01:30:21"},{"id":151,"name":"Denver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7" t="s">
        <v>627</v>
      </c>
      <c r="B152" s="7">
        <v>4010</v>
      </c>
      <c r="C152" s="22" t="s">
        <v>222</v>
      </c>
      <c r="D152" s="22" t="s">
        <v>217</v>
      </c>
      <c r="E152" s="13">
        <v>42691.063993055555</v>
      </c>
      <c r="F152" s="13">
        <v>42691.065381944441</v>
      </c>
      <c r="G152" s="7">
        <v>1</v>
      </c>
      <c r="H152" s="22" t="s">
        <v>699</v>
      </c>
      <c r="I152" s="13">
        <v>42691.091446759259</v>
      </c>
      <c r="J152" s="7">
        <v>0</v>
      </c>
      <c r="K152" s="109" t="str">
        <f t="shared" si="65"/>
        <v>4009/4010</v>
      </c>
      <c r="L152" s="22" t="str">
        <f>VLOOKUP(A152,'Trips&amp;Operators'!$C$1:$E$10000,3,FALSE)</f>
        <v>CRAYTON</v>
      </c>
      <c r="M152" s="6">
        <f t="shared" si="66"/>
        <v>2.6064814817800652E-2</v>
      </c>
      <c r="N152" s="7">
        <f t="shared" si="62"/>
        <v>37.533333337632939</v>
      </c>
      <c r="O152" s="7"/>
      <c r="P152" s="7"/>
      <c r="Q152" s="23"/>
      <c r="R152" s="23"/>
      <c r="S152" s="35">
        <f t="shared" si="63"/>
        <v>1</v>
      </c>
      <c r="T152" s="50" t="str">
        <f t="shared" si="67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https://search-rtdc-monitor-bjffxe2xuh6vdkpspy63sjmuny.us-east-1.es.amazonaws.com/_plugin/kibana/#/discover/Steve-Slow-Train-Analysis-(2080s-and-2083s)?_g=(refreshInterval:(display:Off,section:0,value:0),time:(from:'2016-11-17 00:32:09-700',mode:absolute,to:'2016-11-17 03:11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2" s="52" t="str">
        <f t="shared" si="68"/>
        <v>N</v>
      </c>
      <c r="X152" s="177">
        <f t="shared" si="64"/>
        <v>1</v>
      </c>
      <c r="Y152" s="67">
        <f t="shared" si="69"/>
        <v>23.298500000000001</v>
      </c>
      <c r="Z152" s="67">
        <f t="shared" si="70"/>
        <v>1.5100000000000001E-2</v>
      </c>
      <c r="AA152" s="67">
        <f t="shared" si="71"/>
        <v>23.2834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72"/>
        <v>0244-16</v>
      </c>
      <c r="AE152" s="91" t="str">
        <f t="shared" si="58"/>
        <v>aws s3 cp s3://rtdc.mdm.uploadarchive.raw/RTDC4010/ "%USERPROFILE%\AppData\Local\Temp\OnboardLogs"\RTDC4010\2016-11-17 --exclude "*" --recursive --include "*20161117*" &amp; "%USERPROFILE%\Documents\GitHub\mrs-test-scripts\Headless Mode &amp; Sideloading\WalkAndUnGZ.bat" "%USERPROFILE%\AppData\Local\Temp\OnboardLogs"\RTDC4010\2016-11-17 &amp; aws s3 cp s3://rtdc.mdm.uploadarchive.raw/RTDC4010/ "%USERPROFILE%\AppData\Local\Temp\OnboardLogs"\RTDC4010\2016-11-18 --exclude "*" --recursive --include "*20161118*" &amp; "%USERPROFILE%\Documents\GitHub\mrs-test-scripts\Headless Mode &amp; Sideloading\WalkAndUnGZ.bat" "%USERPROFILE%\AppData\Local\Temp\OnboardLogs"\RTDC4010\2016-11-18</v>
      </c>
      <c r="AF152" s="88" t="str">
        <f t="shared" si="59"/>
        <v>"C:\Program Files (x86)\AstroGrep\AstroGrep.exe" /spath="%USERPROFILE%\AppData\Local\Temp\OnboardLogs" /stypes="app*4010*20161117*" /stext=" 09:.+((SYSTEM_STATE.+slice.+state.+changed )|(ment ac)|(system.+state.+changed )|(\[timeout)|(PRM\|1\|D)|(kpr)|(kdp)|(\|lc)|(penalty))" /e /r /s</v>
      </c>
      <c r="AG152" s="1" t="str">
        <f t="shared" si="73"/>
        <v>EC</v>
      </c>
      <c r="AH152" s="92" t="str">
        <f t="shared" si="60"/>
        <v>"%USERPROFILE%\Documents\GitHub\eaglep3\Utilities\RefineRTDCRunTimes.py" --tripid 244-16 --locoid 4010 --swversion DE.1.0.8.0 --startMP 204:232985 --initTime 2016-11-17T01:32:09 --startdatetime 2016-11-17T01:34:09 --delay 1 --endMP 204:151 --enddatetime 2016-11-17T02:11:41 --enforcementcount 0 &gt;&gt;C:\Users\stu\Documents\GitHub\eaglep3-reporting\EC\2016-11-16-refined-times.txt</v>
      </c>
      <c r="AI152" s="119" t="str">
        <f t="shared" si="61"/>
        <v>echo {"issue":{"subject":"","project_id":79,"tracker_id":40,"status_id":1,"priority_id":2,"assigned_to_id":23,"start_date":"2016-11-17","description":"","custom_fields":[{"id":1,"name":"Subdivision","value":"EC"},{"id":4,"name":"Milepost","value":"0.0151"},{"id":17,"name":"Train ID","value":"244-16"},{"id":16,"name":"Locomotive ID","value":"4010"},{"id":130,"name":"Impact","value":""},{"id":150,"name":"Time of Event (Mountain Time)","value":"02:11:41"},{"id":151,"name":"Denver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x14ac:dyDescent="0.25">
      <c r="A153" s="37" t="s">
        <v>401</v>
      </c>
      <c r="B153" s="7">
        <v>4045</v>
      </c>
      <c r="C153" s="22" t="s">
        <v>222</v>
      </c>
      <c r="D153" s="22" t="s">
        <v>390</v>
      </c>
      <c r="E153" s="13">
        <v>42690.215092592596</v>
      </c>
      <c r="F153" s="13">
        <v>42690.217685185184</v>
      </c>
      <c r="G153" s="7">
        <v>1</v>
      </c>
      <c r="H153" s="22" t="s">
        <v>382</v>
      </c>
      <c r="I153" s="13">
        <v>42690.226689814815</v>
      </c>
      <c r="J153" s="7">
        <v>0</v>
      </c>
      <c r="K153" s="109" t="str">
        <f t="shared" si="65"/>
        <v>4045/4046</v>
      </c>
      <c r="L153" s="22" t="str">
        <f>VLOOKUP(A153,'Trips&amp;Operators'!$C$1:$E$10000,3,FALSE)</f>
        <v>STARKS</v>
      </c>
      <c r="M153" s="6">
        <f t="shared" si="66"/>
        <v>9.0046296318178065E-3</v>
      </c>
      <c r="N153" s="7">
        <f t="shared" si="62"/>
        <v>12.966666669817641</v>
      </c>
      <c r="O153" s="7"/>
      <c r="P153" s="7"/>
      <c r="Q153" s="23"/>
      <c r="R153" s="23"/>
      <c r="S153" s="35">
        <f t="shared" si="63"/>
        <v>1</v>
      </c>
      <c r="T153" s="50" t="str">
        <f t="shared" si="67"/>
        <v>Southbound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</v>
      </c>
      <c r="V15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04:09:44-700',mode:absolute,to:'2016-11-16 06:26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3" s="52" t="str">
        <f t="shared" si="68"/>
        <v>N</v>
      </c>
      <c r="X153" s="177">
        <f t="shared" si="64"/>
        <v>556</v>
      </c>
      <c r="Y153" s="67">
        <f t="shared" si="69"/>
        <v>5.8623000000000003</v>
      </c>
      <c r="Z153" s="67">
        <f t="shared" si="70"/>
        <v>7.8200000000000006E-2</v>
      </c>
      <c r="AA153" s="67">
        <f t="shared" si="71"/>
        <v>5.7841000000000005</v>
      </c>
      <c r="AB153" s="64" t="str">
        <f>VLOOKUP(A153,Enforcements!$C$7:$K$20,8,0)</f>
        <v>Form based authority (4)</v>
      </c>
      <c r="AC153" s="60" t="str">
        <f>VLOOKUP(A153,Enforcements!$C$7:$E$20,3,0)</f>
        <v>TRACK WARRANT AUTHORITY</v>
      </c>
      <c r="AD153" s="61" t="str">
        <f t="shared" si="72"/>
        <v>0800-16</v>
      </c>
      <c r="AE153" s="91" t="str">
        <f t="shared" si="58"/>
        <v>aws s3 cp s3://rtdc.mdm.uploadarchive.raw/RTDC4045/ "%USERPROFILE%\AppData\Local\Temp\OnboardLogs"\RTDC4045\2016-11-16 --exclude "*" --recursive --include "*20161116*" &amp; "%USERPROFILE%\Documents\GitHub\mrs-test-scripts\Headless Mode &amp; Sideloading\WalkAndUnGZ.bat" "%USERPROFILE%\AppData\Local\Temp\OnboardLogs"\RTDC4045\2016-11-16 &amp; aws s3 cp s3://rtdc.mdm.uploadarchive.raw/RTDC4045/ "%USERPROFILE%\AppData\Local\Temp\OnboardLogs"\RTDC4045\2016-11-17 --exclude "*" --recursive --include "*20161117*" &amp; "%USERPROFILE%\Documents\GitHub\mrs-test-scripts\Headless Mode &amp; Sideloading\WalkAndUnGZ.bat" "%USERPROFILE%\AppData\Local\Temp\OnboardLogs"\RTDC4045\2016-11-17</v>
      </c>
      <c r="AF153" s="88" t="str">
        <f t="shared" si="59"/>
        <v>"C:\Program Files (x86)\AstroGrep\AstroGrep.exe" /spath="%USERPROFILE%\AppData\Local\Temp\OnboardLogs" /stypes="app*4045*20161116*" /stext=" 12:.+((SYSTEM_STATE.+slice.+state.+changed )|(ment ac)|(system.+state.+changed )|(\[timeout)|(PRM\|1\|D)|(kpr)|(kdp)|(\|lc)|(penalty))" /e /r /s</v>
      </c>
      <c r="AG153" s="1" t="str">
        <f t="shared" si="73"/>
        <v>NW</v>
      </c>
      <c r="AH153" s="92" t="str">
        <f t="shared" si="60"/>
        <v>"%USERPROFILE%\Documents\GitHub\eaglep3\Utilities\RefineRTDCRunTimes.py" --tripid 800-16 --locoid 4045 --swversion DE.1.0.8.0 --startMP 300:58623 --initTime 2016-11-16T05:09:44 --startdatetime 2016-11-16T05:13:28 --delay 1 --endMP 204:782 --enddatetime 2016-11-16T05:26:26 --enforcementcount 0 &gt;&gt;C:\Users\stu\Documents\GitHub\eaglep3-reporting\EC\2016-11-16-refined-times.txt</v>
      </c>
      <c r="AI153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{"issue":{"subject":"","project_id":79,"tracker_id":40,"status_id":1,"priority_id":2,"assigned_to_id":23,"start_date":"2016-11-16","description":"","custom_fields":[{"id":1,"name":"Subdivision","value":"NW"},{"id":4,"name":"Milepost","value":"0.0782"},{"id":17,"name":"Train ID","value":"800-16"},{"id":16,"name":"Locomotive ID","value":"4045"},{"id":130,"name":"Impact","value":""},{"id":150,"name":"Time of Event (Mountain Time)","value":"05:26:26"},{"id":151,"name":"Denver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x14ac:dyDescent="0.25">
      <c r="A154" s="37" t="s">
        <v>470</v>
      </c>
      <c r="B154" s="7">
        <v>4046</v>
      </c>
      <c r="C154" s="22" t="s">
        <v>222</v>
      </c>
      <c r="D154" s="22" t="s">
        <v>725</v>
      </c>
      <c r="E154" s="13">
        <v>42690.241006944445</v>
      </c>
      <c r="F154" s="13">
        <v>42690.243923611109</v>
      </c>
      <c r="G154" s="7">
        <v>1</v>
      </c>
      <c r="H154" s="22" t="s">
        <v>387</v>
      </c>
      <c r="I154" s="13">
        <v>42690.253379629627</v>
      </c>
      <c r="J154" s="7">
        <v>0</v>
      </c>
      <c r="K154" s="109" t="str">
        <f t="shared" si="65"/>
        <v>4045/4046</v>
      </c>
      <c r="L154" s="22" t="str">
        <f>VLOOKUP(A154,'Trips&amp;Operators'!$C$1:$E$10000,3,FALSE)</f>
        <v>STARKS</v>
      </c>
      <c r="M154" s="6">
        <f t="shared" si="66"/>
        <v>9.4560185170848854E-3</v>
      </c>
      <c r="N154" s="7">
        <f t="shared" si="62"/>
        <v>13.616666664602235</v>
      </c>
      <c r="O154" s="7"/>
      <c r="P154" s="7"/>
      <c r="Q154" s="23"/>
      <c r="R154" s="23"/>
      <c r="S154" s="35">
        <f t="shared" si="63"/>
        <v>1</v>
      </c>
      <c r="T154" s="50" t="str">
        <f t="shared" si="67"/>
        <v>NorthBound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04:47:03-700',mode:absolute,to:'2016-11-16 07:04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4" s="52" t="str">
        <f t="shared" si="68"/>
        <v>N</v>
      </c>
      <c r="X154" s="177">
        <f t="shared" si="64"/>
        <v>1</v>
      </c>
      <c r="Y154" s="67">
        <f t="shared" si="69"/>
        <v>0.1084</v>
      </c>
      <c r="Z154" s="67">
        <f t="shared" si="70"/>
        <v>5.8949999999999996</v>
      </c>
      <c r="AA154" s="67">
        <f t="shared" si="71"/>
        <v>5.7866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72"/>
        <v>0801-16</v>
      </c>
      <c r="AE154" s="91" t="str">
        <f t="shared" si="58"/>
        <v>aws s3 cp s3://rtdc.mdm.uploadarchive.raw/RTDC4046/ "%USERPROFILE%\AppData\Local\Temp\OnboardLogs"\RTDC4046\2016-11-16 --exclude "*" --recursive --include "*20161116*" &amp; "%USERPROFILE%\Documents\GitHub\mrs-test-scripts\Headless Mode &amp; Sideloading\WalkAndUnGZ.bat" "%USERPROFILE%\AppData\Local\Temp\OnboardLogs"\RTDC4046\2016-11-16 &amp; aws s3 cp s3://rtdc.mdm.uploadarchive.raw/RTDC4046/ "%USERPROFILE%\AppData\Local\Temp\OnboardLogs"\RTDC4046\2016-11-17 --exclude "*" --recursive --include "*20161117*" &amp; "%USERPROFILE%\Documents\GitHub\mrs-test-scripts\Headless Mode &amp; Sideloading\WalkAndUnGZ.bat" "%USERPROFILE%\AppData\Local\Temp\OnboardLogs"\RTDC4046\2016-11-17</v>
      </c>
      <c r="AF154" s="88" t="str">
        <f t="shared" si="59"/>
        <v>"C:\Program Files (x86)\AstroGrep\AstroGrep.exe" /spath="%USERPROFILE%\AppData\Local\Temp\OnboardLogs" /stypes="app*4046*20161116*" /stext=" 13:.+((SYSTEM_STATE.+slice.+state.+changed )|(ment ac)|(system.+state.+changed )|(\[timeout)|(PRM\|1\|D)|(kpr)|(kdp)|(\|lc)|(penalty))" /e /r /s</v>
      </c>
      <c r="AG154" s="1" t="str">
        <f t="shared" si="73"/>
        <v>NW</v>
      </c>
      <c r="AH154" s="92" t="str">
        <f t="shared" si="60"/>
        <v>"%USERPROFILE%\Documents\GitHub\eaglep3\Utilities\RefineRTDCRunTimes.py" --tripid 801-16 --locoid 4046 --swversion DE.1.0.8.0 --startMP 204:1084 --initTime 2016-11-16T05:47:03 --startdatetime 2016-11-16T05:51:15 --delay 1 --endMP 300:58950 --enddatetime 2016-11-16T06:04:52 --enforcementcount 0 &gt;&gt;C:\Users\stu\Documents\GitHub\eaglep3-reporting\EC\2016-11-16-refined-times.txt</v>
      </c>
      <c r="AI154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{"issue":{"subject":"","project_id":79,"tracker_id":40,"status_id":1,"priority_id":2,"assigned_to_id":23,"start_date":"2016-11-16","description":"","custom_fields":[{"id":1,"name":"Subdivision","value":"NW"},{"id":4,"name":"Milepost","value":"5.895"},{"id":17,"name":"Train ID","value":"801-16"},{"id":16,"name":"Locomotive ID","value":"4046"},{"id":130,"name":"Impact","value":""},{"id":150,"name":"Time of Event (Mountain Time)","value":"06:04:52"},{"id":151,"name":"Denver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s="21" customFormat="1" x14ac:dyDescent="0.25">
      <c r="A155" s="37" t="s">
        <v>476</v>
      </c>
      <c r="B155" s="7">
        <v>4045</v>
      </c>
      <c r="C155" s="22" t="s">
        <v>222</v>
      </c>
      <c r="D155" s="22" t="s">
        <v>726</v>
      </c>
      <c r="E155" s="13">
        <v>42690.254548611112</v>
      </c>
      <c r="F155" s="13">
        <v>42690.256215277775</v>
      </c>
      <c r="G155" s="7">
        <v>1</v>
      </c>
      <c r="H155" s="22" t="s">
        <v>359</v>
      </c>
      <c r="I155" s="13">
        <v>42690.268136574072</v>
      </c>
      <c r="J155" s="7">
        <v>0</v>
      </c>
      <c r="K155" s="109" t="str">
        <f t="shared" si="65"/>
        <v>4045/4046</v>
      </c>
      <c r="L155" s="22" t="str">
        <f>VLOOKUP(A155,'Trips&amp;Operators'!$C$1:$E$10000,3,FALSE)</f>
        <v>STARKS</v>
      </c>
      <c r="M155" s="6">
        <f t="shared" si="66"/>
        <v>1.1921296296350192E-2</v>
      </c>
      <c r="N155" s="7">
        <f t="shared" si="62"/>
        <v>17.166666666744277</v>
      </c>
      <c r="O155" s="7"/>
      <c r="P155" s="7"/>
      <c r="Q155" s="23"/>
      <c r="R155" s="23"/>
      <c r="S155" s="35">
        <f t="shared" si="63"/>
        <v>1</v>
      </c>
      <c r="T155" s="50" t="str">
        <f t="shared" si="67"/>
        <v>Southbound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05:06:33-700',mode:absolute,to:'2016-11-16 07:26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5" s="52" t="str">
        <f t="shared" si="68"/>
        <v>N</v>
      </c>
      <c r="X155" s="177">
        <f t="shared" si="64"/>
        <v>1</v>
      </c>
      <c r="Y155" s="67">
        <f t="shared" si="69"/>
        <v>5.8628</v>
      </c>
      <c r="Z155" s="67">
        <f t="shared" si="70"/>
        <v>7.85E-2</v>
      </c>
      <c r="AA155" s="67">
        <f t="shared" si="71"/>
        <v>5.7843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72"/>
        <v>0802-16</v>
      </c>
      <c r="AE155" s="91" t="str">
        <f t="shared" si="58"/>
        <v>aws s3 cp s3://rtdc.mdm.uploadarchive.raw/RTDC4045/ "%USERPROFILE%\AppData\Local\Temp\OnboardLogs"\RTDC4045\2016-11-16 --exclude "*" --recursive --include "*20161116*" &amp; "%USERPROFILE%\Documents\GitHub\mrs-test-scripts\Headless Mode &amp; Sideloading\WalkAndUnGZ.bat" "%USERPROFILE%\AppData\Local\Temp\OnboardLogs"\RTDC4045\2016-11-16 &amp; aws s3 cp s3://rtdc.mdm.uploadarchive.raw/RTDC4045/ "%USERPROFILE%\AppData\Local\Temp\OnboardLogs"\RTDC4045\2016-11-17 --exclude "*" --recursive --include "*20161117*" &amp; "%USERPROFILE%\Documents\GitHub\mrs-test-scripts\Headless Mode &amp; Sideloading\WalkAndUnGZ.bat" "%USERPROFILE%\AppData\Local\Temp\OnboardLogs"\RTDC4045\2016-11-17</v>
      </c>
      <c r="AF155" s="88" t="str">
        <f t="shared" si="59"/>
        <v>"C:\Program Files (x86)\AstroGrep\AstroGrep.exe" /spath="%USERPROFILE%\AppData\Local\Temp\OnboardLogs" /stypes="app*4045*20161116*" /stext=" 13:.+((SYSTEM_STATE.+slice.+state.+changed )|(ment ac)|(system.+state.+changed )|(\[timeout)|(PRM\|1\|D)|(kpr)|(kdp)|(\|lc)|(penalty))" /e /r /s</v>
      </c>
      <c r="AG155" s="1" t="str">
        <f t="shared" si="73"/>
        <v>NW</v>
      </c>
      <c r="AH155" s="92" t="str">
        <f t="shared" si="60"/>
        <v>"%USERPROFILE%\Documents\GitHub\eaglep3\Utilities\RefineRTDCRunTimes.py" --tripid 802-16 --locoid 4045 --swversion DE.1.0.8.0 --startMP 300:58628 --initTime 2016-11-16T06:06:33 --startdatetime 2016-11-16T06:08:57 --delay 1 --endMP 204:785 --enddatetime 2016-11-16T06:26:07 --enforcementcount 0 &gt;&gt;C:\Users\stu\Documents\GitHub\eaglep3-reporting\EC\2016-11-16-refined-times.txt</v>
      </c>
      <c r="AI155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{"issue":{"subject":"","project_id":79,"tracker_id":40,"status_id":1,"priority_id":2,"assigned_to_id":23,"start_date":"2016-11-16","description":"","custom_fields":[{"id":1,"name":"Subdivision","value":"NW"},{"id":4,"name":"Milepost","value":"0.0785"},{"id":17,"name":"Train ID","value":"802-16"},{"id":16,"name":"Locomotive ID","value":"4045"},{"id":130,"name":"Impact","value":""},{"id":150,"name":"Time of Event (Mountain Time)","value":"06:26:07"},{"id":151,"name":"Denver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477</v>
      </c>
      <c r="B156" s="7">
        <v>4025</v>
      </c>
      <c r="C156" s="22" t="s">
        <v>222</v>
      </c>
      <c r="D156" s="22" t="s">
        <v>727</v>
      </c>
      <c r="E156" s="13">
        <v>42690.254884259259</v>
      </c>
      <c r="F156" s="13">
        <v>42690.264756944445</v>
      </c>
      <c r="G156" s="7">
        <v>1</v>
      </c>
      <c r="H156" s="22" t="s">
        <v>728</v>
      </c>
      <c r="I156" s="13">
        <v>42690.274027777778</v>
      </c>
      <c r="J156" s="7">
        <v>0</v>
      </c>
      <c r="K156" s="109" t="str">
        <f t="shared" si="65"/>
        <v>4025/4026</v>
      </c>
      <c r="L156" s="22" t="str">
        <f>VLOOKUP(A156,'Trips&amp;Operators'!$C$1:$E$10000,3,FALSE)</f>
        <v>DAVIDSON</v>
      </c>
      <c r="M156" s="6">
        <f t="shared" si="66"/>
        <v>9.2708333322661929E-3</v>
      </c>
      <c r="N156" s="7">
        <f t="shared" si="62"/>
        <v>13.349999998463318</v>
      </c>
      <c r="O156" s="7"/>
      <c r="P156" s="7"/>
      <c r="Q156" s="23"/>
      <c r="R156" s="23"/>
      <c r="S156" s="35">
        <f t="shared" si="63"/>
        <v>1</v>
      </c>
      <c r="T156" s="50" t="str">
        <f t="shared" si="67"/>
        <v>NorthBound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05:07:02-700',mode:absolute,to:'2016-11-16 07:34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6" s="52" t="str">
        <f t="shared" si="68"/>
        <v>N</v>
      </c>
      <c r="X156" s="177">
        <f t="shared" si="64"/>
        <v>1</v>
      </c>
      <c r="Y156" s="67">
        <f t="shared" si="69"/>
        <v>9.7799999999999998E-2</v>
      </c>
      <c r="Z156" s="67">
        <f t="shared" si="70"/>
        <v>5.8994999999999997</v>
      </c>
      <c r="AA156" s="67">
        <f t="shared" si="71"/>
        <v>5.8016999999999994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72"/>
        <v>0803-16</v>
      </c>
      <c r="AE156" s="91" t="str">
        <f t="shared" si="58"/>
        <v>aws s3 cp s3://rtdc.mdm.uploadarchive.raw/RTDC4025/ "%USERPROFILE%\AppData\Local\Temp\OnboardLogs"\RTDC4025\2016-11-16 --exclude "*" --recursive --include "*20161116*" &amp; "%USERPROFILE%\Documents\GitHub\mrs-test-scripts\Headless Mode &amp; Sideloading\WalkAndUnGZ.bat" "%USERPROFILE%\AppData\Local\Temp\OnboardLogs"\RTDC4025\2016-11-16 &amp; aws s3 cp s3://rtdc.mdm.uploadarchive.raw/RTDC4025/ "%USERPROFILE%\AppData\Local\Temp\OnboardLogs"\RTDC4025\2016-11-17 --exclude "*" --recursive --include "*20161117*" &amp; "%USERPROFILE%\Documents\GitHub\mrs-test-scripts\Headless Mode &amp; Sideloading\WalkAndUnGZ.bat" "%USERPROFILE%\AppData\Local\Temp\OnboardLogs"\RTDC4025\2016-11-17</v>
      </c>
      <c r="AF156" s="88" t="str">
        <f t="shared" si="59"/>
        <v>"C:\Program Files (x86)\AstroGrep\AstroGrep.exe" /spath="%USERPROFILE%\AppData\Local\Temp\OnboardLogs" /stypes="app*4025*20161116*" /stext=" 13:.+((SYSTEM_STATE.+slice.+state.+changed )|(ment ac)|(system.+state.+changed )|(\[timeout)|(PRM\|1\|D)|(kpr)|(kdp)|(\|lc)|(penalty))" /e /r /s</v>
      </c>
      <c r="AG156" s="1" t="str">
        <f t="shared" si="73"/>
        <v>NW</v>
      </c>
      <c r="AH156" s="92" t="str">
        <f t="shared" si="60"/>
        <v>"%USERPROFILE%\Documents\GitHub\eaglep3\Utilities\RefineRTDCRunTimes.py" --tripid 803-16 --locoid 4025 --swversion DE.1.0.8.0 --startMP 204:978 --initTime 2016-11-16T06:07:02 --startdatetime 2016-11-16T06:21:15 --delay 1 --endMP 300:58995 --enddatetime 2016-11-16T06:34:36 --enforcementcount 0 &gt;&gt;C:\Users\stu\Documents\GitHub\eaglep3-reporting\EC\2016-11-16-refined-times.txt</v>
      </c>
      <c r="AI156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{"issue":{"subject":"","project_id":79,"tracker_id":40,"status_id":1,"priority_id":2,"assigned_to_id":23,"start_date":"2016-11-16","description":"","custom_fields":[{"id":1,"name":"Subdivision","value":"NW"},{"id":4,"name":"Milepost","value":"5.8995"},{"id":17,"name":"Train ID","value":"803-16"},{"id":16,"name":"Locomotive ID","value":"4025"},{"id":130,"name":"Impact","value":""},{"id":150,"name":"Time of Event (Mountain Time)","value":"06:34:36"},{"id":151,"name":"Denver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481</v>
      </c>
      <c r="B157" s="7">
        <v>4026</v>
      </c>
      <c r="C157" s="22" t="s">
        <v>222</v>
      </c>
      <c r="D157" s="22" t="s">
        <v>729</v>
      </c>
      <c r="E157" s="13">
        <v>42690.275300925925</v>
      </c>
      <c r="F157" s="13">
        <v>42690.276643518519</v>
      </c>
      <c r="G157" s="7">
        <v>1</v>
      </c>
      <c r="H157" s="22" t="s">
        <v>330</v>
      </c>
      <c r="I157" s="13">
        <v>42690.288437499999</v>
      </c>
      <c r="J157" s="7">
        <v>0</v>
      </c>
      <c r="K157" s="109" t="str">
        <f t="shared" si="65"/>
        <v>4025/4026</v>
      </c>
      <c r="L157" s="22" t="str">
        <f>VLOOKUP(A157,'Trips&amp;Operators'!$C$1:$E$10000,3,FALSE)</f>
        <v>DAVIDSON</v>
      </c>
      <c r="M157" s="6">
        <f t="shared" si="66"/>
        <v>1.1793981480877846E-2</v>
      </c>
      <c r="N157" s="7">
        <f t="shared" si="62"/>
        <v>16.983333332464099</v>
      </c>
      <c r="O157" s="7"/>
      <c r="P157" s="7"/>
      <c r="Q157" s="23"/>
      <c r="R157" s="23"/>
      <c r="S157" s="35">
        <f t="shared" si="63"/>
        <v>1</v>
      </c>
      <c r="T157" s="50" t="str">
        <f t="shared" si="67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05:36:26-700',mode:absolute,to:'2016-11-16 07:55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7" s="52" t="str">
        <f t="shared" si="68"/>
        <v>N</v>
      </c>
      <c r="X157" s="177">
        <f t="shared" si="64"/>
        <v>1</v>
      </c>
      <c r="Y157" s="67">
        <f t="shared" si="69"/>
        <v>5.8673000000000002</v>
      </c>
      <c r="Z157" s="67">
        <f t="shared" si="70"/>
        <v>6.9099999999999995E-2</v>
      </c>
      <c r="AA157" s="67">
        <f t="shared" si="71"/>
        <v>5.7982000000000005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72"/>
        <v>0804-16</v>
      </c>
      <c r="AE157" s="91" t="str">
        <f t="shared" si="58"/>
        <v>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 &amp; aws s3 cp s3://rtdc.mdm.uploadarchive.raw/RTDC4026/ "%USERPROFILE%\AppData\Local\Temp\OnboardLogs"\RTDC4026\2016-11-17 --exclude "*" --recursive --include "*20161117*" &amp; "%USERPROFILE%\Documents\GitHub\mrs-test-scripts\Headless Mode &amp; Sideloading\WalkAndUnGZ.bat" "%USERPROFILE%\AppData\Local\Temp\OnboardLogs"\RTDC4026\2016-11-17</v>
      </c>
      <c r="AF157" s="88" t="str">
        <f t="shared" si="59"/>
        <v>"C:\Program Files (x86)\AstroGrep\AstroGrep.exe" /spath="%USERPROFILE%\AppData\Local\Temp\OnboardLogs" /stypes="app*4026*20161116*" /stext=" 13:.+((SYSTEM_STATE.+slice.+state.+changed )|(ment ac)|(system.+state.+changed )|(\[timeout)|(PRM\|1\|D)|(kpr)|(kdp)|(\|lc)|(penalty))" /e /r /s</v>
      </c>
      <c r="AG157" s="1" t="str">
        <f t="shared" si="73"/>
        <v>NW</v>
      </c>
      <c r="AH157" s="92" t="str">
        <f t="shared" si="60"/>
        <v>"%USERPROFILE%\Documents\GitHub\eaglep3\Utilities\RefineRTDCRunTimes.py" --tripid 804-16 --locoid 4026 --swversion DE.1.0.8.0 --startMP 300:58673 --initTime 2016-11-16T06:36:26 --startdatetime 2016-11-16T06:38:22 --delay 1 --endMP 204:691 --enddatetime 2016-11-16T06:55:21 --enforcementcount 0 &gt;&gt;C:\Users\stu\Documents\GitHub\eaglep3-reporting\EC\2016-11-16-refined-times.txt</v>
      </c>
      <c r="AI157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{"issue":{"subject":"","project_id":79,"tracker_id":40,"status_id":1,"priority_id":2,"assigned_to_id":23,"start_date":"2016-11-16","description":"","custom_fields":[{"id":1,"name":"Subdivision","value":"NW"},{"id":4,"name":"Milepost","value":"0.0691"},{"id":17,"name":"Train ID","value":"804-16"},{"id":16,"name":"Locomotive ID","value":"4026"},{"id":130,"name":"Impact","value":""},{"id":150,"name":"Time of Event (Mountain Time)","value":"06:55:21"},{"id":151,"name":"Denver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483</v>
      </c>
      <c r="B158" s="7">
        <v>4046</v>
      </c>
      <c r="C158" s="22" t="s">
        <v>222</v>
      </c>
      <c r="D158" s="22" t="s">
        <v>730</v>
      </c>
      <c r="E158" s="13">
        <v>42690.281168981484</v>
      </c>
      <c r="F158" s="13">
        <v>42690.285590277781</v>
      </c>
      <c r="G158" s="7">
        <v>1</v>
      </c>
      <c r="H158" s="22" t="s">
        <v>731</v>
      </c>
      <c r="I158" s="13">
        <v>42690.295011574075</v>
      </c>
      <c r="J158" s="7">
        <v>0</v>
      </c>
      <c r="K158" s="109" t="str">
        <f t="shared" si="65"/>
        <v>4045/4046</v>
      </c>
      <c r="L158" s="22" t="str">
        <f>VLOOKUP(A158,'Trips&amp;Operators'!$C$1:$E$10000,3,FALSE)</f>
        <v>STARKS</v>
      </c>
      <c r="M158" s="6">
        <f t="shared" si="66"/>
        <v>9.4212962940218858E-3</v>
      </c>
      <c r="N158" s="7">
        <f t="shared" si="62"/>
        <v>13.566666663391516</v>
      </c>
      <c r="O158" s="7"/>
      <c r="P158" s="7"/>
      <c r="Q158" s="23"/>
      <c r="R158" s="23"/>
      <c r="S158" s="35">
        <f t="shared" si="63"/>
        <v>1</v>
      </c>
      <c r="T158" s="50" t="str">
        <f t="shared" si="67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05:44:53-700',mode:absolute,to:'2016-11-16 08:04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8" s="52" t="str">
        <f t="shared" si="68"/>
        <v>N</v>
      </c>
      <c r="X158" s="177">
        <f t="shared" si="64"/>
        <v>1</v>
      </c>
      <c r="Y158" s="67">
        <f t="shared" si="69"/>
        <v>0.1081</v>
      </c>
      <c r="Z158" s="67">
        <f t="shared" si="70"/>
        <v>5.8944000000000001</v>
      </c>
      <c r="AA158" s="67">
        <f t="shared" si="71"/>
        <v>5.7862999999999998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72"/>
        <v>0805-16</v>
      </c>
      <c r="AE158" s="91" t="str">
        <f t="shared" si="58"/>
        <v>aws s3 cp s3://rtdc.mdm.uploadarchive.raw/RTDC4046/ "%USERPROFILE%\AppData\Local\Temp\OnboardLogs"\RTDC4046\2016-11-16 --exclude "*" --recursive --include "*20161116*" &amp; "%USERPROFILE%\Documents\GitHub\mrs-test-scripts\Headless Mode &amp; Sideloading\WalkAndUnGZ.bat" "%USERPROFILE%\AppData\Local\Temp\OnboardLogs"\RTDC4046\2016-11-16 &amp; aws s3 cp s3://rtdc.mdm.uploadarchive.raw/RTDC4046/ "%USERPROFILE%\AppData\Local\Temp\OnboardLogs"\RTDC4046\2016-11-17 --exclude "*" --recursive --include "*20161117*" &amp; "%USERPROFILE%\Documents\GitHub\mrs-test-scripts\Headless Mode &amp; Sideloading\WalkAndUnGZ.bat" "%USERPROFILE%\AppData\Local\Temp\OnboardLogs"\RTDC4046\2016-11-17</v>
      </c>
      <c r="AF158" s="88" t="str">
        <f t="shared" si="59"/>
        <v>"C:\Program Files (x86)\AstroGrep\AstroGrep.exe" /spath="%USERPROFILE%\AppData\Local\Temp\OnboardLogs" /stypes="app*4046*20161116*" /stext=" 14:.+((SYSTEM_STATE.+slice.+state.+changed )|(ment ac)|(system.+state.+changed )|(\[timeout)|(PRM\|1\|D)|(kpr)|(kdp)|(\|lc)|(penalty))" /e /r /s</v>
      </c>
      <c r="AG158" s="1" t="str">
        <f t="shared" si="73"/>
        <v>NW</v>
      </c>
      <c r="AH158" s="92" t="str">
        <f t="shared" si="60"/>
        <v>"%USERPROFILE%\Documents\GitHub\eaglep3\Utilities\RefineRTDCRunTimes.py" --tripid 805-16 --locoid 4046 --swversion DE.1.0.8.0 --startMP 204:1081 --initTime 2016-11-16T06:44:53 --startdatetime 2016-11-16T06:51:15 --delay 1 --endMP 300:58944 --enddatetime 2016-11-16T07:04:49 --enforcementcount 0 &gt;&gt;C:\Users\stu\Documents\GitHub\eaglep3-reporting\EC\2016-11-16-refined-times.txt</v>
      </c>
      <c r="AI158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{"issue":{"subject":"","project_id":79,"tracker_id":40,"status_id":1,"priority_id":2,"assigned_to_id":23,"start_date":"2016-11-16","description":"","custom_fields":[{"id":1,"name":"Subdivision","value":"NW"},{"id":4,"name":"Milepost","value":"5.8944"},{"id":17,"name":"Train ID","value":"805-16"},{"id":16,"name":"Locomotive ID","value":"4046"},{"id":130,"name":"Impact","value":""},{"id":150,"name":"Time of Event (Mountain Time)","value":"07:04:49"},{"id":151,"name":"Denver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407</v>
      </c>
      <c r="B159" s="7">
        <v>4045</v>
      </c>
      <c r="C159" s="22" t="s">
        <v>222</v>
      </c>
      <c r="D159" s="22" t="s">
        <v>732</v>
      </c>
      <c r="E159" s="13">
        <v>42690.296446759261</v>
      </c>
      <c r="F159" s="13">
        <v>42690.297835648147</v>
      </c>
      <c r="G159" s="7">
        <v>1</v>
      </c>
      <c r="H159" s="22" t="s">
        <v>733</v>
      </c>
      <c r="I159" s="13">
        <v>42690.309942129628</v>
      </c>
      <c r="J159" s="7">
        <v>0</v>
      </c>
      <c r="K159" s="109" t="str">
        <f t="shared" si="65"/>
        <v>4045/4046</v>
      </c>
      <c r="L159" s="22" t="str">
        <f>VLOOKUP(A159,'Trips&amp;Operators'!$C$1:$E$10000,3,FALSE)</f>
        <v>STARKS</v>
      </c>
      <c r="M159" s="6">
        <f t="shared" si="66"/>
        <v>1.2106481481168885E-2</v>
      </c>
      <c r="N159" s="7">
        <f t="shared" si="62"/>
        <v>17.433333332883194</v>
      </c>
      <c r="O159" s="7"/>
      <c r="P159" s="7"/>
      <c r="Q159" s="23"/>
      <c r="R159" s="23"/>
      <c r="S159" s="35">
        <f t="shared" si="63"/>
        <v>1</v>
      </c>
      <c r="T159" s="50" t="str">
        <f t="shared" si="67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06:06:53-700',mode:absolute,to:'2016-11-16 08:26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9" s="52" t="str">
        <f t="shared" si="68"/>
        <v>N</v>
      </c>
      <c r="X159" s="177">
        <f t="shared" si="64"/>
        <v>1</v>
      </c>
      <c r="Y159" s="67">
        <f t="shared" si="69"/>
        <v>5.8625999999999996</v>
      </c>
      <c r="Z159" s="67">
        <f t="shared" si="70"/>
        <v>7.5700000000000003E-2</v>
      </c>
      <c r="AA159" s="67">
        <f t="shared" si="71"/>
        <v>5.7868999999999993</v>
      </c>
      <c r="AB159" s="64" t="str">
        <f>VLOOKUP(A159,Enforcements!$C$7:$K$20,8,0)</f>
        <v>Signal based authority (5)</v>
      </c>
      <c r="AC159" s="60" t="str">
        <f>VLOOKUP(A159,Enforcements!$C$7:$E$20,3,0)</f>
        <v>SIGNAL</v>
      </c>
      <c r="AD159" s="61" t="str">
        <f t="shared" si="72"/>
        <v>0806-16</v>
      </c>
      <c r="AE159" s="91" t="str">
        <f t="shared" si="58"/>
        <v>aws s3 cp s3://rtdc.mdm.uploadarchive.raw/RTDC4045/ "%USERPROFILE%\AppData\Local\Temp\OnboardLogs"\RTDC4045\2016-11-16 --exclude "*" --recursive --include "*20161116*" &amp; "%USERPROFILE%\Documents\GitHub\mrs-test-scripts\Headless Mode &amp; Sideloading\WalkAndUnGZ.bat" "%USERPROFILE%\AppData\Local\Temp\OnboardLogs"\RTDC4045\2016-11-16 &amp; aws s3 cp s3://rtdc.mdm.uploadarchive.raw/RTDC4045/ "%USERPROFILE%\AppData\Local\Temp\OnboardLogs"\RTDC4045\2016-11-17 --exclude "*" --recursive --include "*20161117*" &amp; "%USERPROFILE%\Documents\GitHub\mrs-test-scripts\Headless Mode &amp; Sideloading\WalkAndUnGZ.bat" "%USERPROFILE%\AppData\Local\Temp\OnboardLogs"\RTDC4045\2016-11-17</v>
      </c>
      <c r="AF159" s="88" t="str">
        <f t="shared" si="59"/>
        <v>"C:\Program Files (x86)\AstroGrep\AstroGrep.exe" /spath="%USERPROFILE%\AppData\Local\Temp\OnboardLogs" /stypes="app*4045*20161116*" /stext=" 14:.+((SYSTEM_STATE.+slice.+state.+changed )|(ment ac)|(system.+state.+changed )|(\[timeout)|(PRM\|1\|D)|(kpr)|(kdp)|(\|lc)|(penalty))" /e /r /s</v>
      </c>
      <c r="AG159" s="1" t="str">
        <f t="shared" si="73"/>
        <v>NW</v>
      </c>
      <c r="AH159" s="92" t="str">
        <f t="shared" si="60"/>
        <v>"%USERPROFILE%\Documents\GitHub\eaglep3\Utilities\RefineRTDCRunTimes.py" --tripid 806-16 --locoid 4045 --swversion DE.1.0.8.0 --startMP 300:58626 --initTime 2016-11-16T07:06:53 --startdatetime 2016-11-16T07:08:53 --delay 1 --endMP 204:757 --enddatetime 2016-11-16T07:26:19 --enforcementcount 0 &gt;&gt;C:\Users\stu\Documents\GitHub\eaglep3-reporting\EC\2016-11-16-refined-times.txt</v>
      </c>
      <c r="AI159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{"issue":{"subject":"","project_id":79,"tracker_id":40,"status_id":1,"priority_id":2,"assigned_to_id":23,"start_date":"2016-11-16","description":"","custom_fields":[{"id":1,"name":"Subdivision","value":"NW"},{"id":4,"name":"Milepost","value":"0.0757"},{"id":17,"name":"Train ID","value":"806-16"},{"id":16,"name":"Locomotive ID","value":"4045"},{"id":130,"name":"Impact","value":""},{"id":150,"name":"Time of Event (Mountain Time)","value":"07:26:19"},{"id":151,"name":"Denver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486</v>
      </c>
      <c r="B160" s="7">
        <v>4025</v>
      </c>
      <c r="C160" s="22" t="s">
        <v>222</v>
      </c>
      <c r="D160" s="22" t="s">
        <v>734</v>
      </c>
      <c r="E160" s="13">
        <v>42690.291458333333</v>
      </c>
      <c r="F160" s="13">
        <v>42690.306469907409</v>
      </c>
      <c r="G160" s="7">
        <v>1</v>
      </c>
      <c r="H160" s="22" t="s">
        <v>735</v>
      </c>
      <c r="I160" s="13">
        <v>42690.316469907404</v>
      </c>
      <c r="J160" s="7">
        <v>0</v>
      </c>
      <c r="K160" s="109" t="str">
        <f t="shared" si="65"/>
        <v>4025/4026</v>
      </c>
      <c r="L160" s="22" t="str">
        <f>VLOOKUP(A160,'Trips&amp;Operators'!$C$1:$E$10000,3,FALSE)</f>
        <v>DAVIDSON</v>
      </c>
      <c r="M160" s="6">
        <f t="shared" si="66"/>
        <v>9.9999999947613105E-3</v>
      </c>
      <c r="N160" s="7">
        <f t="shared" si="62"/>
        <v>14.399999992456287</v>
      </c>
      <c r="O160" s="7"/>
      <c r="P160" s="7"/>
      <c r="Q160" s="23"/>
      <c r="R160" s="23"/>
      <c r="S160" s="35">
        <f t="shared" si="63"/>
        <v>1</v>
      </c>
      <c r="T160" s="50" t="str">
        <f t="shared" si="67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05:59:42-700',mode:absolute,to:'2016-11-16 08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0" s="52" t="str">
        <f t="shared" si="68"/>
        <v>N</v>
      </c>
      <c r="X160" s="177">
        <f t="shared" si="64"/>
        <v>1</v>
      </c>
      <c r="Y160" s="67">
        <f t="shared" si="69"/>
        <v>9.8599999999999993E-2</v>
      </c>
      <c r="Z160" s="67">
        <f t="shared" si="70"/>
        <v>5.8978000000000002</v>
      </c>
      <c r="AA160" s="67">
        <f t="shared" si="71"/>
        <v>5.7991999999999999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72"/>
        <v>0807-16</v>
      </c>
      <c r="AE160" s="91" t="str">
        <f t="shared" si="58"/>
        <v>aws s3 cp s3://rtdc.mdm.uploadarchive.raw/RTDC4025/ "%USERPROFILE%\AppData\Local\Temp\OnboardLogs"\RTDC4025\2016-11-16 --exclude "*" --recursive --include "*20161116*" &amp; "%USERPROFILE%\Documents\GitHub\mrs-test-scripts\Headless Mode &amp; Sideloading\WalkAndUnGZ.bat" "%USERPROFILE%\AppData\Local\Temp\OnboardLogs"\RTDC4025\2016-11-16 &amp; aws s3 cp s3://rtdc.mdm.uploadarchive.raw/RTDC4025/ "%USERPROFILE%\AppData\Local\Temp\OnboardLogs"\RTDC4025\2016-11-17 --exclude "*" --recursive --include "*20161117*" &amp; "%USERPROFILE%\Documents\GitHub\mrs-test-scripts\Headless Mode &amp; Sideloading\WalkAndUnGZ.bat" "%USERPROFILE%\AppData\Local\Temp\OnboardLogs"\RTDC4025\2016-11-17</v>
      </c>
      <c r="AF160" s="88" t="str">
        <f t="shared" si="59"/>
        <v>"C:\Program Files (x86)\AstroGrep\AstroGrep.exe" /spath="%USERPROFILE%\AppData\Local\Temp\OnboardLogs" /stypes="app*4025*20161116*" /stext=" 14:.+((SYSTEM_STATE.+slice.+state.+changed )|(ment ac)|(system.+state.+changed )|(\[timeout)|(PRM\|1\|D)|(kpr)|(kdp)|(\|lc)|(penalty))" /e /r /s</v>
      </c>
      <c r="AG160" s="1" t="str">
        <f t="shared" si="73"/>
        <v>NW</v>
      </c>
      <c r="AH160" s="92" t="str">
        <f t="shared" si="60"/>
        <v>"%USERPROFILE%\Documents\GitHub\eaglep3\Utilities\RefineRTDCRunTimes.py" --tripid 807-16 --locoid 4025 --swversion DE.1.0.8.0 --startMP 204:986 --initTime 2016-11-16T06:59:42 --startdatetime 2016-11-16T07:21:19 --delay 1 --endMP 300:58978 --enddatetime 2016-11-16T07:35:43 --enforcementcount 0 &gt;&gt;C:\Users\stu\Documents\GitHub\eaglep3-reporting\EC\2016-11-16-refined-times.txt</v>
      </c>
      <c r="AI160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{"issue":{"subject":"","project_id":79,"tracker_id":40,"status_id":1,"priority_id":2,"assigned_to_id":23,"start_date":"2016-11-16","description":"","custom_fields":[{"id":1,"name":"Subdivision","value":"NW"},{"id":4,"name":"Milepost","value":"5.8978"},{"id":17,"name":"Train ID","value":"807-16"},{"id":16,"name":"Locomotive ID","value":"4025"},{"id":130,"name":"Impact","value":""},{"id":150,"name":"Time of Event (Mountain Time)","value":"07:35:43"},{"id":151,"name":"Denver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490</v>
      </c>
      <c r="B161" s="7">
        <v>4026</v>
      </c>
      <c r="C161" s="22" t="s">
        <v>222</v>
      </c>
      <c r="D161" s="22" t="s">
        <v>393</v>
      </c>
      <c r="E161" s="13">
        <v>42690.317893518521</v>
      </c>
      <c r="F161" s="13">
        <v>42690.319386574076</v>
      </c>
      <c r="G161" s="7">
        <v>1</v>
      </c>
      <c r="H161" s="22" t="s">
        <v>392</v>
      </c>
      <c r="I161" s="13">
        <v>42690.330706018518</v>
      </c>
      <c r="J161" s="7">
        <v>0</v>
      </c>
      <c r="K161" s="109" t="str">
        <f t="shared" si="65"/>
        <v>4025/4026</v>
      </c>
      <c r="L161" s="22" t="str">
        <f>VLOOKUP(A161,'Trips&amp;Operators'!$C$1:$E$10000,3,FALSE)</f>
        <v>DAVIDSON</v>
      </c>
      <c r="M161" s="6">
        <f t="shared" si="66"/>
        <v>1.1319444442051463E-2</v>
      </c>
      <c r="N161" s="7">
        <f t="shared" si="62"/>
        <v>16.299999996554106</v>
      </c>
      <c r="O161" s="7"/>
      <c r="P161" s="7"/>
      <c r="Q161" s="23"/>
      <c r="R161" s="23"/>
      <c r="S161" s="35">
        <f t="shared" si="63"/>
        <v>1</v>
      </c>
      <c r="T161" s="50" t="str">
        <f t="shared" si="67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06:37:46-700',mode:absolute,to:'2016-11-16 08:56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1" s="52" t="str">
        <f t="shared" si="68"/>
        <v>N</v>
      </c>
      <c r="X161" s="177">
        <f t="shared" si="64"/>
        <v>1</v>
      </c>
      <c r="Y161" s="67">
        <f t="shared" si="69"/>
        <v>5.8663999999999996</v>
      </c>
      <c r="Z161" s="67">
        <f t="shared" si="70"/>
        <v>6.9900000000000004E-2</v>
      </c>
      <c r="AA161" s="67">
        <f t="shared" si="71"/>
        <v>5.7965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72"/>
        <v>0808-16</v>
      </c>
      <c r="AE161" s="91" t="str">
        <f t="shared" si="58"/>
        <v>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 &amp; aws s3 cp s3://rtdc.mdm.uploadarchive.raw/RTDC4026/ "%USERPROFILE%\AppData\Local\Temp\OnboardLogs"\RTDC4026\2016-11-17 --exclude "*" --recursive --include "*20161117*" &amp; "%USERPROFILE%\Documents\GitHub\mrs-test-scripts\Headless Mode &amp; Sideloading\WalkAndUnGZ.bat" "%USERPROFILE%\AppData\Local\Temp\OnboardLogs"\RTDC4026\2016-11-17</v>
      </c>
      <c r="AF161" s="88" t="str">
        <f t="shared" si="59"/>
        <v>"C:\Program Files (x86)\AstroGrep\AstroGrep.exe" /spath="%USERPROFILE%\AppData\Local\Temp\OnboardLogs" /stypes="app*4026*20161116*" /stext=" 14:.+((SYSTEM_STATE.+slice.+state.+changed )|(ment ac)|(system.+state.+changed )|(\[timeout)|(PRM\|1\|D)|(kpr)|(kdp)|(\|lc)|(penalty))" /e /r /s</v>
      </c>
      <c r="AG161" s="1" t="str">
        <f t="shared" si="73"/>
        <v>NW</v>
      </c>
      <c r="AH161" s="92" t="str">
        <f t="shared" si="60"/>
        <v>"%USERPROFILE%\Documents\GitHub\eaglep3\Utilities\RefineRTDCRunTimes.py" --tripid 808-16 --locoid 4026 --swversion DE.1.0.8.0 --startMP 300:58664 --initTime 2016-11-16T07:37:46 --startdatetime 2016-11-16T07:39:55 --delay 1 --endMP 204:699 --enddatetime 2016-11-16T07:56:13 --enforcementcount 0 &gt;&gt;C:\Users\stu\Documents\GitHub\eaglep3-reporting\EC\2016-11-16-refined-times.txt</v>
      </c>
      <c r="AI161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{"issue":{"subject":"","project_id":79,"tracker_id":40,"status_id":1,"priority_id":2,"assigned_to_id":23,"start_date":"2016-11-16","description":"","custom_fields":[{"id":1,"name":"Subdivision","value":"NW"},{"id":4,"name":"Milepost","value":"0.0699"},{"id":17,"name":"Train ID","value":"808-16"},{"id":16,"name":"Locomotive ID","value":"4026"},{"id":130,"name":"Impact","value":""},{"id":150,"name":"Time of Event (Mountain Time)","value":"07:56:13"},{"id":151,"name":"Denver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409</v>
      </c>
      <c r="B162" s="7">
        <v>4046</v>
      </c>
      <c r="C162" s="22" t="s">
        <v>222</v>
      </c>
      <c r="D162" s="22" t="s">
        <v>736</v>
      </c>
      <c r="E162" s="13">
        <v>42690.320844907408</v>
      </c>
      <c r="F162" s="13">
        <v>42690.327280092592</v>
      </c>
      <c r="G162" s="7">
        <v>3</v>
      </c>
      <c r="H162" s="22" t="s">
        <v>737</v>
      </c>
      <c r="I162" s="13">
        <v>42690.337384259263</v>
      </c>
      <c r="J162" s="7">
        <v>0</v>
      </c>
      <c r="K162" s="109" t="str">
        <f t="shared" si="65"/>
        <v>4045/4046</v>
      </c>
      <c r="L162" s="22" t="str">
        <f>VLOOKUP(A162,'Trips&amp;Operators'!$C$1:$E$10000,3,FALSE)</f>
        <v>STARKS</v>
      </c>
      <c r="M162" s="6">
        <f t="shared" si="66"/>
        <v>1.0104166671226267E-2</v>
      </c>
      <c r="N162" s="7">
        <f t="shared" si="62"/>
        <v>14.550000006565824</v>
      </c>
      <c r="O162" s="7"/>
      <c r="P162" s="7"/>
      <c r="Q162" s="23"/>
      <c r="R162" s="23"/>
      <c r="S162" s="35">
        <f t="shared" si="63"/>
        <v>1</v>
      </c>
      <c r="T162" s="50" t="str">
        <f t="shared" si="67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06:42:01-700',mode:absolute,to:'2016-11-16 09:05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2" s="52" t="str">
        <f t="shared" si="68"/>
        <v>N</v>
      </c>
      <c r="X162" s="177">
        <f t="shared" si="64"/>
        <v>1</v>
      </c>
      <c r="Y162" s="67">
        <f t="shared" si="69"/>
        <v>0.10489999999999999</v>
      </c>
      <c r="Z162" s="67">
        <f t="shared" si="70"/>
        <v>5.8954000000000004</v>
      </c>
      <c r="AA162" s="67">
        <f t="shared" si="71"/>
        <v>5.7905000000000006</v>
      </c>
      <c r="AB162" s="64" t="str">
        <f>VLOOKUP(A162,Enforcements!$C$7:$K$20,8,0)</f>
        <v>Speed (6)</v>
      </c>
      <c r="AC162" s="60" t="str">
        <f>VLOOKUP(A162,Enforcements!$C$7:$E$20,3,0)</f>
        <v>PERMANENT SPEED RESTRICTION</v>
      </c>
      <c r="AD162" s="61" t="str">
        <f t="shared" si="72"/>
        <v>0809-16</v>
      </c>
      <c r="AE162" s="91" t="str">
        <f t="shared" si="58"/>
        <v>aws s3 cp s3://rtdc.mdm.uploadarchive.raw/RTDC4046/ "%USERPROFILE%\AppData\Local\Temp\OnboardLogs"\RTDC4046\2016-11-16 --exclude "*" --recursive --include "*20161116*" &amp; "%USERPROFILE%\Documents\GitHub\mrs-test-scripts\Headless Mode &amp; Sideloading\WalkAndUnGZ.bat" "%USERPROFILE%\AppData\Local\Temp\OnboardLogs"\RTDC4046\2016-11-16 &amp; aws s3 cp s3://rtdc.mdm.uploadarchive.raw/RTDC4046/ "%USERPROFILE%\AppData\Local\Temp\OnboardLogs"\RTDC4046\2016-11-17 --exclude "*" --recursive --include "*20161117*" &amp; "%USERPROFILE%\Documents\GitHub\mrs-test-scripts\Headless Mode &amp; Sideloading\WalkAndUnGZ.bat" "%USERPROFILE%\AppData\Local\Temp\OnboardLogs"\RTDC4046\2016-11-17</v>
      </c>
      <c r="AF162" s="88" t="str">
        <f t="shared" si="59"/>
        <v>"C:\Program Files (x86)\AstroGrep\AstroGrep.exe" /spath="%USERPROFILE%\AppData\Local\Temp\OnboardLogs" /stypes="app*4046*20161116*" /stext=" 15:.+((SYSTEM_STATE.+slice.+state.+changed )|(ment ac)|(system.+state.+changed )|(\[timeout)|(PRM\|1\|D)|(kpr)|(kdp)|(\|lc)|(penalty))" /e /r /s</v>
      </c>
      <c r="AG162" s="1" t="str">
        <f t="shared" si="73"/>
        <v>NW</v>
      </c>
      <c r="AH162" s="92" t="str">
        <f t="shared" si="60"/>
        <v>"%USERPROFILE%\Documents\GitHub\eaglep3\Utilities\RefineRTDCRunTimes.py" --tripid 809-16 --locoid 4046 --swversion DE.1.0.8.0 --startMP 204:1049 --initTime 2016-11-16T07:42:01 --startdatetime 2016-11-16T07:51:17 --delay 3 --endMP 300:58954 --enddatetime 2016-11-16T08:05:50 --enforcementcount 0 &gt;&gt;C:\Users\stu\Documents\GitHub\eaglep3-reporting\EC\2016-11-16-refined-times.txt</v>
      </c>
      <c r="AI162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{"issue":{"subject":"","project_id":79,"tracker_id":40,"status_id":1,"priority_id":2,"assigned_to_id":23,"start_date":"2016-11-16","description":"","custom_fields":[{"id":1,"name":"Subdivision","value":"NW"},{"id":4,"name":"Milepost","value":"5.8954"},{"id":17,"name":"Train ID","value":"809-16"},{"id":16,"name":"Locomotive ID","value":"4046"},{"id":130,"name":"Impact","value":""},{"id":150,"name":"Time of Event (Mountain Time)","value":"08:05:50"},{"id":151,"name":"Denver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494</v>
      </c>
      <c r="B163" s="7">
        <v>4045</v>
      </c>
      <c r="C163" s="22" t="s">
        <v>222</v>
      </c>
      <c r="D163" s="22" t="s">
        <v>738</v>
      </c>
      <c r="E163" s="13">
        <v>42690.338912037034</v>
      </c>
      <c r="F163" s="13">
        <v>42690.340648148151</v>
      </c>
      <c r="G163" s="7">
        <v>1</v>
      </c>
      <c r="H163" s="22" t="s">
        <v>739</v>
      </c>
      <c r="I163" s="13">
        <v>42690.351504629631</v>
      </c>
      <c r="J163" s="7">
        <v>0</v>
      </c>
      <c r="K163" s="109" t="str">
        <f t="shared" si="65"/>
        <v>4045/4046</v>
      </c>
      <c r="L163" s="22" t="str">
        <f>VLOOKUP(A163,'Trips&amp;Operators'!$C$1:$E$10000,3,FALSE)</f>
        <v>STARKS</v>
      </c>
      <c r="M163" s="6">
        <f t="shared" si="66"/>
        <v>1.0856481480004732E-2</v>
      </c>
      <c r="N163" s="7">
        <f t="shared" si="62"/>
        <v>15.633333331206813</v>
      </c>
      <c r="O163" s="7"/>
      <c r="P163" s="7"/>
      <c r="Q163" s="23"/>
      <c r="R163" s="23"/>
      <c r="S163" s="35">
        <f t="shared" si="63"/>
        <v>1</v>
      </c>
      <c r="T163" s="50" t="str">
        <f t="shared" si="67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07:08:02-700',mode:absolute,to:'2016-11-16 09:26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3" s="52" t="str">
        <f t="shared" si="68"/>
        <v>N</v>
      </c>
      <c r="X163" s="177">
        <f t="shared" si="64"/>
        <v>1</v>
      </c>
      <c r="Y163" s="67">
        <f t="shared" si="69"/>
        <v>5.8640999999999996</v>
      </c>
      <c r="Z163" s="67">
        <f t="shared" si="70"/>
        <v>7.8899999999999998E-2</v>
      </c>
      <c r="AA163" s="67">
        <f t="shared" si="71"/>
        <v>5.7851999999999997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72"/>
        <v>0810-16</v>
      </c>
      <c r="AE163" s="91" t="str">
        <f t="shared" si="58"/>
        <v>aws s3 cp s3://rtdc.mdm.uploadarchive.raw/RTDC4045/ "%USERPROFILE%\AppData\Local\Temp\OnboardLogs"\RTDC4045\2016-11-16 --exclude "*" --recursive --include "*20161116*" &amp; "%USERPROFILE%\Documents\GitHub\mrs-test-scripts\Headless Mode &amp; Sideloading\WalkAndUnGZ.bat" "%USERPROFILE%\AppData\Local\Temp\OnboardLogs"\RTDC4045\2016-11-16 &amp; aws s3 cp s3://rtdc.mdm.uploadarchive.raw/RTDC4045/ "%USERPROFILE%\AppData\Local\Temp\OnboardLogs"\RTDC4045\2016-11-17 --exclude "*" --recursive --include "*20161117*" &amp; "%USERPROFILE%\Documents\GitHub\mrs-test-scripts\Headless Mode &amp; Sideloading\WalkAndUnGZ.bat" "%USERPROFILE%\AppData\Local\Temp\OnboardLogs"\RTDC4045\2016-11-17</v>
      </c>
      <c r="AF163" s="88" t="str">
        <f t="shared" si="59"/>
        <v>"C:\Program Files (x86)\AstroGrep\AstroGrep.exe" /spath="%USERPROFILE%\AppData\Local\Temp\OnboardLogs" /stypes="app*4045*20161116*" /stext=" 15:.+((SYSTEM_STATE.+slice.+state.+changed )|(ment ac)|(system.+state.+changed )|(\[timeout)|(PRM\|1\|D)|(kpr)|(kdp)|(\|lc)|(penalty))" /e /r /s</v>
      </c>
      <c r="AG163" s="1" t="str">
        <f t="shared" si="73"/>
        <v>NW</v>
      </c>
      <c r="AH163" s="92" t="str">
        <f t="shared" si="60"/>
        <v>"%USERPROFILE%\Documents\GitHub\eaglep3\Utilities\RefineRTDCRunTimes.py" --tripid 810-16 --locoid 4045 --swversion DE.1.0.8.0 --startMP 300:58641 --initTime 2016-11-16T08:08:02 --startdatetime 2016-11-16T08:10:32 --delay 1 --endMP 204:789 --enddatetime 2016-11-16T08:26:10 --enforcementcount 0 &gt;&gt;C:\Users\stu\Documents\GitHub\eaglep3-reporting\EC\2016-11-16-refined-times.txt</v>
      </c>
      <c r="AI163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{"issue":{"subject":"","project_id":79,"tracker_id":40,"status_id":1,"priority_id":2,"assigned_to_id":23,"start_date":"2016-11-16","description":"","custom_fields":[{"id":1,"name":"Subdivision","value":"NW"},{"id":4,"name":"Milepost","value":"0.0789"},{"id":17,"name":"Train ID","value":"810-16"},{"id":16,"name":"Locomotive ID","value":"4045"},{"id":130,"name":"Impact","value":""},{"id":150,"name":"Time of Event (Mountain Time)","value":"08:26:10"},{"id":151,"name":"Denver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496</v>
      </c>
      <c r="B164" s="7">
        <v>4025</v>
      </c>
      <c r="C164" s="22" t="s">
        <v>222</v>
      </c>
      <c r="D164" s="22" t="s">
        <v>394</v>
      </c>
      <c r="E164" s="13">
        <v>42690.345671296294</v>
      </c>
      <c r="F164" s="13">
        <v>42690.348113425927</v>
      </c>
      <c r="G164" s="7">
        <v>1</v>
      </c>
      <c r="H164" s="22" t="s">
        <v>740</v>
      </c>
      <c r="I164" s="13">
        <v>42690.357465277775</v>
      </c>
      <c r="J164" s="7">
        <v>0</v>
      </c>
      <c r="K164" s="109" t="str">
        <f t="shared" si="65"/>
        <v>4025/4026</v>
      </c>
      <c r="L164" s="22" t="str">
        <f>VLOOKUP(A164,'Trips&amp;Operators'!$C$1:$E$10000,3,FALSE)</f>
        <v>DAVIDSON</v>
      </c>
      <c r="M164" s="6">
        <f t="shared" si="66"/>
        <v>9.3518518478958867E-3</v>
      </c>
      <c r="N164" s="7">
        <f t="shared" si="62"/>
        <v>13.466666660970077</v>
      </c>
      <c r="O164" s="7"/>
      <c r="P164" s="7"/>
      <c r="Q164" s="23"/>
      <c r="R164" s="23"/>
      <c r="S164" s="35">
        <f t="shared" si="63"/>
        <v>1</v>
      </c>
      <c r="T164" s="50" t="str">
        <f t="shared" si="67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07:17:46-700',mode:absolute,to:'2016-11-16 09:34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4" s="52" t="str">
        <f t="shared" si="68"/>
        <v>N</v>
      </c>
      <c r="X164" s="177">
        <f t="shared" si="64"/>
        <v>1</v>
      </c>
      <c r="Y164" s="67">
        <f t="shared" si="69"/>
        <v>9.9199999999999997E-2</v>
      </c>
      <c r="Z164" s="67">
        <f t="shared" si="70"/>
        <v>5.8973000000000004</v>
      </c>
      <c r="AA164" s="67">
        <f t="shared" si="71"/>
        <v>5.7981000000000007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72"/>
        <v>0811-16</v>
      </c>
      <c r="AE164" s="91" t="str">
        <f t="shared" si="58"/>
        <v>aws s3 cp s3://rtdc.mdm.uploadarchive.raw/RTDC4025/ "%USERPROFILE%\AppData\Local\Temp\OnboardLogs"\RTDC4025\2016-11-16 --exclude "*" --recursive --include "*20161116*" &amp; "%USERPROFILE%\Documents\GitHub\mrs-test-scripts\Headless Mode &amp; Sideloading\WalkAndUnGZ.bat" "%USERPROFILE%\AppData\Local\Temp\OnboardLogs"\RTDC4025\2016-11-16 &amp; aws s3 cp s3://rtdc.mdm.uploadarchive.raw/RTDC4025/ "%USERPROFILE%\AppData\Local\Temp\OnboardLogs"\RTDC4025\2016-11-17 --exclude "*" --recursive --include "*20161117*" &amp; "%USERPROFILE%\Documents\GitHub\mrs-test-scripts\Headless Mode &amp; Sideloading\WalkAndUnGZ.bat" "%USERPROFILE%\AppData\Local\Temp\OnboardLogs"\RTDC4025\2016-11-17</v>
      </c>
      <c r="AF164" s="88" t="str">
        <f t="shared" si="59"/>
        <v>"C:\Program Files (x86)\AstroGrep\AstroGrep.exe" /spath="%USERPROFILE%\AppData\Local\Temp\OnboardLogs" /stypes="app*4025*20161116*" /stext=" 15:.+((SYSTEM_STATE.+slice.+state.+changed )|(ment ac)|(system.+state.+changed )|(\[timeout)|(PRM\|1\|D)|(kpr)|(kdp)|(\|lc)|(penalty))" /e /r /s</v>
      </c>
      <c r="AG164" s="1" t="str">
        <f t="shared" si="73"/>
        <v>NW</v>
      </c>
      <c r="AH164" s="92" t="str">
        <f t="shared" si="60"/>
        <v>"%USERPROFILE%\Documents\GitHub\eaglep3\Utilities\RefineRTDCRunTimes.py" --tripid 811-16 --locoid 4025 --swversion DE.1.0.8.0 --startMP 204:992 --initTime 2016-11-16T08:17:46 --startdatetime 2016-11-16T08:21:17 --delay 1 --endMP 300:58973 --enddatetime 2016-11-16T08:34:45 --enforcementcount 0 &gt;&gt;C:\Users\stu\Documents\GitHub\eaglep3-reporting\EC\2016-11-16-refined-times.txt</v>
      </c>
      <c r="AI164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{"issue":{"subject":"","project_id":79,"tracker_id":40,"status_id":1,"priority_id":2,"assigned_to_id":23,"start_date":"2016-11-16","description":"","custom_fields":[{"id":1,"name":"Subdivision","value":"NW"},{"id":4,"name":"Milepost","value":"5.8973"},{"id":17,"name":"Train ID","value":"811-16"},{"id":16,"name":"Locomotive ID","value":"4025"},{"id":130,"name":"Impact","value":""},{"id":150,"name":"Time of Event (Mountain Time)","value":"08:34:45"},{"id":151,"name":"Denver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412</v>
      </c>
      <c r="B165" s="7">
        <v>4026</v>
      </c>
      <c r="C165" s="22" t="s">
        <v>222</v>
      </c>
      <c r="D165" s="22" t="s">
        <v>741</v>
      </c>
      <c r="E165" s="13">
        <v>42690.358449074076</v>
      </c>
      <c r="F165" s="13">
        <v>42690.360115740739</v>
      </c>
      <c r="G165" s="7">
        <v>1</v>
      </c>
      <c r="H165" s="22" t="s">
        <v>380</v>
      </c>
      <c r="I165" s="13">
        <v>42690.372708333336</v>
      </c>
      <c r="J165" s="7">
        <v>0</v>
      </c>
      <c r="K165" s="109" t="str">
        <f t="shared" si="65"/>
        <v>4025/4026</v>
      </c>
      <c r="L165" s="22" t="str">
        <f>VLOOKUP(A165,'Trips&amp;Operators'!$C$1:$E$10000,3,FALSE)</f>
        <v>DAVIDSON</v>
      </c>
      <c r="M165" s="6">
        <f t="shared" si="66"/>
        <v>1.2592592596774921E-2</v>
      </c>
      <c r="N165" s="7">
        <f t="shared" si="62"/>
        <v>18.133333339355886</v>
      </c>
      <c r="O165" s="7"/>
      <c r="P165" s="7"/>
      <c r="Q165" s="23"/>
      <c r="R165" s="23"/>
      <c r="S165" s="35">
        <f t="shared" si="63"/>
        <v>1</v>
      </c>
      <c r="T165" s="50" t="str">
        <f t="shared" si="67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07:36:10-700',mode:absolute,to:'2016-11-16 09:56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5" s="52" t="str">
        <f t="shared" si="68"/>
        <v>N</v>
      </c>
      <c r="X165" s="177">
        <f t="shared" si="64"/>
        <v>1</v>
      </c>
      <c r="Y165" s="67">
        <f t="shared" si="69"/>
        <v>5.867</v>
      </c>
      <c r="Z165" s="67">
        <f t="shared" si="70"/>
        <v>7.0099999999999996E-2</v>
      </c>
      <c r="AA165" s="67">
        <f t="shared" si="71"/>
        <v>5.7968999999999999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72"/>
        <v>0812-16</v>
      </c>
      <c r="AE165" s="91" t="str">
        <f t="shared" si="58"/>
        <v>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 &amp; aws s3 cp s3://rtdc.mdm.uploadarchive.raw/RTDC4026/ "%USERPROFILE%\AppData\Local\Temp\OnboardLogs"\RTDC4026\2016-11-17 --exclude "*" --recursive --include "*20161117*" &amp; "%USERPROFILE%\Documents\GitHub\mrs-test-scripts\Headless Mode &amp; Sideloading\WalkAndUnGZ.bat" "%USERPROFILE%\AppData\Local\Temp\OnboardLogs"\RTDC4026\2016-11-17</v>
      </c>
      <c r="AF165" s="88" t="str">
        <f t="shared" si="59"/>
        <v>"C:\Program Files (x86)\AstroGrep\AstroGrep.exe" /spath="%USERPROFILE%\AppData\Local\Temp\OnboardLogs" /stypes="app*4026*20161116*" /stext=" 15:.+((SYSTEM_STATE.+slice.+state.+changed )|(ment ac)|(system.+state.+changed )|(\[timeout)|(PRM\|1\|D)|(kpr)|(kdp)|(\|lc)|(penalty))" /e /r /s</v>
      </c>
      <c r="AG165" s="1" t="str">
        <f t="shared" si="73"/>
        <v>NW</v>
      </c>
      <c r="AH165" s="92" t="str">
        <f t="shared" si="60"/>
        <v>"%USERPROFILE%\Documents\GitHub\eaglep3\Utilities\RefineRTDCRunTimes.py" --tripid 812-16 --locoid 4026 --swversion DE.1.0.8.0 --startMP 300:58670 --initTime 2016-11-16T08:36:10 --startdatetime 2016-11-16T08:38:34 --delay 1 --endMP 204:701 --enddatetime 2016-11-16T08:56:42 --enforcementcount 0 &gt;&gt;C:\Users\stu\Documents\GitHub\eaglep3-reporting\EC\2016-11-16-refined-times.txt</v>
      </c>
      <c r="AI165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{"issue":{"subject":"","project_id":79,"tracker_id":40,"status_id":1,"priority_id":2,"assigned_to_id":23,"start_date":"2016-11-16","description":"","custom_fields":[{"id":1,"name":"Subdivision","value":"NW"},{"id":4,"name":"Milepost","value":"0.0701"},{"id":17,"name":"Train ID","value":"812-16"},{"id":16,"name":"Locomotive ID","value":"4026"},{"id":130,"name":"Impact","value":""},{"id":150,"name":"Time of Event (Mountain Time)","value":"08:56:42"},{"id":151,"name":"Denver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501</v>
      </c>
      <c r="B166" s="7">
        <v>4025</v>
      </c>
      <c r="C166" s="22" t="s">
        <v>222</v>
      </c>
      <c r="D166" s="22" t="s">
        <v>331</v>
      </c>
      <c r="E166" s="13">
        <v>42690.379814814813</v>
      </c>
      <c r="F166" s="13">
        <v>42690.389780092592</v>
      </c>
      <c r="G166" s="7">
        <v>1</v>
      </c>
      <c r="H166" s="22" t="s">
        <v>742</v>
      </c>
      <c r="I166" s="13">
        <v>42690.39980324074</v>
      </c>
      <c r="J166" s="7">
        <v>0</v>
      </c>
      <c r="K166" s="109" t="str">
        <f t="shared" si="65"/>
        <v>4025/4026</v>
      </c>
      <c r="L166" s="22" t="str">
        <f>VLOOKUP(A166,'Trips&amp;Operators'!$C$1:$E$10000,3,FALSE)</f>
        <v>DAVIDSON</v>
      </c>
      <c r="M166" s="6">
        <f t="shared" si="66"/>
        <v>1.0023148148320615E-2</v>
      </c>
      <c r="N166" s="7">
        <f t="shared" si="62"/>
        <v>14.433333333581686</v>
      </c>
      <c r="O166" s="7"/>
      <c r="P166" s="7"/>
      <c r="Q166" s="23"/>
      <c r="R166" s="23"/>
      <c r="S166" s="35">
        <f t="shared" si="63"/>
        <v>1</v>
      </c>
      <c r="T166" s="50" t="str">
        <f t="shared" si="67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08:06:56-700',mode:absolute,to:'2016-11-16 10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6" s="52" t="str">
        <f t="shared" si="68"/>
        <v>N</v>
      </c>
      <c r="X166" s="177">
        <f t="shared" si="64"/>
        <v>1</v>
      </c>
      <c r="Y166" s="67">
        <f t="shared" si="69"/>
        <v>9.8799999999999999E-2</v>
      </c>
      <c r="Z166" s="67">
        <f t="shared" si="70"/>
        <v>5.8983999999999996</v>
      </c>
      <c r="AA166" s="67">
        <f t="shared" si="71"/>
        <v>5.7995999999999999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72"/>
        <v>0813-16</v>
      </c>
      <c r="AE166" s="91" t="str">
        <f t="shared" si="58"/>
        <v>aws s3 cp s3://rtdc.mdm.uploadarchive.raw/RTDC4025/ "%USERPROFILE%\AppData\Local\Temp\OnboardLogs"\RTDC4025\2016-11-16 --exclude "*" --recursive --include "*20161116*" &amp; "%USERPROFILE%\Documents\GitHub\mrs-test-scripts\Headless Mode &amp; Sideloading\WalkAndUnGZ.bat" "%USERPROFILE%\AppData\Local\Temp\OnboardLogs"\RTDC4025\2016-11-16 &amp; aws s3 cp s3://rtdc.mdm.uploadarchive.raw/RTDC4025/ "%USERPROFILE%\AppData\Local\Temp\OnboardLogs"\RTDC4025\2016-11-17 --exclude "*" --recursive --include "*20161117*" &amp; "%USERPROFILE%\Documents\GitHub\mrs-test-scripts\Headless Mode &amp; Sideloading\WalkAndUnGZ.bat" "%USERPROFILE%\AppData\Local\Temp\OnboardLogs"\RTDC4025\2016-11-17</v>
      </c>
      <c r="AF166" s="88" t="str">
        <f t="shared" si="59"/>
        <v>"C:\Program Files (x86)\AstroGrep\AstroGrep.exe" /spath="%USERPROFILE%\AppData\Local\Temp\OnboardLogs" /stypes="app*4025*20161116*" /stext=" 16:.+((SYSTEM_STATE.+slice.+state.+changed )|(ment ac)|(system.+state.+changed )|(\[timeout)|(PRM\|1\|D)|(kpr)|(kdp)|(\|lc)|(penalty))" /e /r /s</v>
      </c>
      <c r="AG166" s="1" t="str">
        <f t="shared" si="73"/>
        <v>NW</v>
      </c>
      <c r="AH166" s="92" t="str">
        <f t="shared" si="60"/>
        <v>"%USERPROFILE%\Documents\GitHub\eaglep3\Utilities\RefineRTDCRunTimes.py" --tripid 813-16 --locoid 4025 --swversion DE.1.0.8.0 --startMP 204:988 --initTime 2016-11-16T09:06:56 --startdatetime 2016-11-16T09:21:17 --delay 1 --endMP 300:58984 --enddatetime 2016-11-16T09:35:43 --enforcementcount 0 &gt;&gt;C:\Users\stu\Documents\GitHub\eaglep3-reporting\EC\2016-11-16-refined-times.txt</v>
      </c>
      <c r="AI166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{"issue":{"subject":"","project_id":79,"tracker_id":40,"status_id":1,"priority_id":2,"assigned_to_id":23,"start_date":"2016-11-16","description":"","custom_fields":[{"id":1,"name":"Subdivision","value":"NW"},{"id":4,"name":"Milepost","value":"5.8984"},{"id":17,"name":"Train ID","value":"813-16"},{"id":16,"name":"Locomotive ID","value":"4025"},{"id":130,"name":"Impact","value":""},{"id":150,"name":"Time of Event (Mountain Time)","value":"09:35:43"},{"id":151,"name":"Denver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505</v>
      </c>
      <c r="B167" s="7">
        <v>4026</v>
      </c>
      <c r="C167" s="22" t="s">
        <v>222</v>
      </c>
      <c r="D167" s="22" t="s">
        <v>393</v>
      </c>
      <c r="E167" s="13">
        <v>42690.401030092595</v>
      </c>
      <c r="F167" s="13">
        <v>42690.402662037035</v>
      </c>
      <c r="G167" s="7">
        <v>1</v>
      </c>
      <c r="H167" s="22" t="s">
        <v>743</v>
      </c>
      <c r="I167" s="13">
        <v>42690.413391203707</v>
      </c>
      <c r="J167" s="7">
        <v>0</v>
      </c>
      <c r="K167" s="109" t="str">
        <f t="shared" si="65"/>
        <v>4025/4026</v>
      </c>
      <c r="L167" s="22" t="str">
        <f>VLOOKUP(A167,'Trips&amp;Operators'!$C$1:$E$10000,3,FALSE)</f>
        <v>DAVIDSON</v>
      </c>
      <c r="M167" s="6">
        <f t="shared" si="66"/>
        <v>1.0729166671808343E-2</v>
      </c>
      <c r="N167" s="7">
        <f t="shared" si="62"/>
        <v>15.450000007404014</v>
      </c>
      <c r="O167" s="7"/>
      <c r="P167" s="7"/>
      <c r="Q167" s="23"/>
      <c r="R167" s="23"/>
      <c r="S167" s="35">
        <f t="shared" si="63"/>
        <v>1</v>
      </c>
      <c r="T167" s="50" t="str">
        <f t="shared" si="67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08:37:29-700',mode:absolute,to:'2016-11-16 10:55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7" s="52" t="str">
        <f t="shared" si="68"/>
        <v>N</v>
      </c>
      <c r="X167" s="177">
        <f t="shared" si="64"/>
        <v>1</v>
      </c>
      <c r="Y167" s="67">
        <f t="shared" si="69"/>
        <v>5.8663999999999996</v>
      </c>
      <c r="Z167" s="67">
        <f t="shared" si="70"/>
        <v>6.8699999999999997E-2</v>
      </c>
      <c r="AA167" s="67">
        <f t="shared" si="71"/>
        <v>5.7976999999999999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72"/>
        <v>0814-16</v>
      </c>
      <c r="AE167" s="91" t="str">
        <f t="shared" si="58"/>
        <v>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 &amp; aws s3 cp s3://rtdc.mdm.uploadarchive.raw/RTDC4026/ "%USERPROFILE%\AppData\Local\Temp\OnboardLogs"\RTDC4026\2016-11-17 --exclude "*" --recursive --include "*20161117*" &amp; "%USERPROFILE%\Documents\GitHub\mrs-test-scripts\Headless Mode &amp; Sideloading\WalkAndUnGZ.bat" "%USERPROFILE%\AppData\Local\Temp\OnboardLogs"\RTDC4026\2016-11-17</v>
      </c>
      <c r="AF167" s="88" t="str">
        <f t="shared" si="59"/>
        <v>"C:\Program Files (x86)\AstroGrep\AstroGrep.exe" /spath="%USERPROFILE%\AppData\Local\Temp\OnboardLogs" /stypes="app*4026*20161116*" /stext=" 16:.+((SYSTEM_STATE.+slice.+state.+changed )|(ment ac)|(system.+state.+changed )|(\[timeout)|(PRM\|1\|D)|(kpr)|(kdp)|(\|lc)|(penalty))" /e /r /s</v>
      </c>
      <c r="AG167" s="1" t="str">
        <f t="shared" si="73"/>
        <v>NW</v>
      </c>
      <c r="AH167" s="92" t="str">
        <f t="shared" si="60"/>
        <v>"%USERPROFILE%\Documents\GitHub\eaglep3\Utilities\RefineRTDCRunTimes.py" --tripid 814-16 --locoid 4026 --swversion DE.1.0.8.0 --startMP 300:58664 --initTime 2016-11-16T09:37:29 --startdatetime 2016-11-16T09:39:50 --delay 1 --endMP 204:687 --enddatetime 2016-11-16T09:55:17 --enforcementcount 0 &gt;&gt;C:\Users\stu\Documents\GitHub\eaglep3-reporting\EC\2016-11-16-refined-times.txt</v>
      </c>
      <c r="AI167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{"issue":{"subject":"","project_id":79,"tracker_id":40,"status_id":1,"priority_id":2,"assigned_to_id":23,"start_date":"2016-11-16","description":"","custom_fields":[{"id":1,"name":"Subdivision","value":"NW"},{"id":4,"name":"Milepost","value":"0.0687"},{"id":17,"name":"Train ID","value":"814-16"},{"id":16,"name":"Locomotive ID","value":"4026"},{"id":130,"name":"Impact","value":""},{"id":150,"name":"Time of Event (Mountain Time)","value":"09:55:17"},{"id":151,"name":"Denver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510</v>
      </c>
      <c r="B168" s="7">
        <v>4025</v>
      </c>
      <c r="C168" s="22" t="s">
        <v>222</v>
      </c>
      <c r="D168" s="22" t="s">
        <v>331</v>
      </c>
      <c r="E168" s="13">
        <v>42690.420960648145</v>
      </c>
      <c r="F168" s="13">
        <v>42690.431446759256</v>
      </c>
      <c r="G168" s="7">
        <v>1</v>
      </c>
      <c r="H168" s="22" t="s">
        <v>744</v>
      </c>
      <c r="I168" s="13">
        <v>42690.441168981481</v>
      </c>
      <c r="J168" s="7">
        <v>0</v>
      </c>
      <c r="K168" s="109" t="str">
        <f t="shared" si="65"/>
        <v>4025/4026</v>
      </c>
      <c r="L168" s="22" t="str">
        <f>VLOOKUP(A168,'Trips&amp;Operators'!$C$1:$E$10000,3,FALSE)</f>
        <v>DAVIDSON</v>
      </c>
      <c r="M168" s="6">
        <f t="shared" si="66"/>
        <v>9.7222222248092294E-3</v>
      </c>
      <c r="N168" s="7">
        <f t="shared" si="62"/>
        <v>14.00000000372529</v>
      </c>
      <c r="O168" s="7"/>
      <c r="P168" s="7"/>
      <c r="Q168" s="23"/>
      <c r="R168" s="23"/>
      <c r="S168" s="35">
        <f t="shared" si="63"/>
        <v>1</v>
      </c>
      <c r="T168" s="50" t="str">
        <f t="shared" si="67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09:06:11-700',mode:absolute,to:'2016-11-16 11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8" s="52" t="str">
        <f t="shared" si="68"/>
        <v>N</v>
      </c>
      <c r="X168" s="177">
        <f t="shared" si="64"/>
        <v>1</v>
      </c>
      <c r="Y168" s="67">
        <f t="shared" si="69"/>
        <v>9.8799999999999999E-2</v>
      </c>
      <c r="Z168" s="67">
        <f t="shared" si="70"/>
        <v>5.8992000000000004</v>
      </c>
      <c r="AA168" s="67">
        <f t="shared" si="71"/>
        <v>5.8004000000000007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72"/>
        <v>0815-16</v>
      </c>
      <c r="AE168" s="91" t="str">
        <f t="shared" si="58"/>
        <v>aws s3 cp s3://rtdc.mdm.uploadarchive.raw/RTDC4025/ "%USERPROFILE%\AppData\Local\Temp\OnboardLogs"\RTDC4025\2016-11-16 --exclude "*" --recursive --include "*20161116*" &amp; "%USERPROFILE%\Documents\GitHub\mrs-test-scripts\Headless Mode &amp; Sideloading\WalkAndUnGZ.bat" "%USERPROFILE%\AppData\Local\Temp\OnboardLogs"\RTDC4025\2016-11-16 &amp; aws s3 cp s3://rtdc.mdm.uploadarchive.raw/RTDC4025/ "%USERPROFILE%\AppData\Local\Temp\OnboardLogs"\RTDC4025\2016-11-17 --exclude "*" --recursive --include "*20161117*" &amp; "%USERPROFILE%\Documents\GitHub\mrs-test-scripts\Headless Mode &amp; Sideloading\WalkAndUnGZ.bat" "%USERPROFILE%\AppData\Local\Temp\OnboardLogs"\RTDC4025\2016-11-17</v>
      </c>
      <c r="AF168" s="88" t="str">
        <f t="shared" si="59"/>
        <v>"C:\Program Files (x86)\AstroGrep\AstroGrep.exe" /spath="%USERPROFILE%\AppData\Local\Temp\OnboardLogs" /stypes="app*4025*20161116*" /stext=" 17:.+((SYSTEM_STATE.+slice.+state.+changed )|(ment ac)|(system.+state.+changed )|(\[timeout)|(PRM\|1\|D)|(kpr)|(kdp)|(\|lc)|(penalty))" /e /r /s</v>
      </c>
      <c r="AG168" s="1" t="str">
        <f t="shared" si="73"/>
        <v>NW</v>
      </c>
      <c r="AH168" s="92" t="str">
        <f t="shared" si="60"/>
        <v>"%USERPROFILE%\Documents\GitHub\eaglep3\Utilities\RefineRTDCRunTimes.py" --tripid 815-16 --locoid 4025 --swversion DE.1.0.8.0 --startMP 204:988 --initTime 2016-11-16T10:06:11 --startdatetime 2016-11-16T10:21:17 --delay 1 --endMP 300:58992 --enddatetime 2016-11-16T10:35:17 --enforcementcount 0 &gt;&gt;C:\Users\stu\Documents\GitHub\eaglep3-reporting\EC\2016-11-16-refined-times.txt</v>
      </c>
      <c r="AI168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{"issue":{"subject":"","project_id":79,"tracker_id":40,"status_id":1,"priority_id":2,"assigned_to_id":23,"start_date":"2016-11-16","description":"","custom_fields":[{"id":1,"name":"Subdivision","value":"NW"},{"id":4,"name":"Milepost","value":"5.8992"},{"id":17,"name":"Train ID","value":"815-16"},{"id":16,"name":"Locomotive ID","value":"4025"},{"id":130,"name":"Impact","value":""},{"id":150,"name":"Time of Event (Mountain Time)","value":"10:35:17"},{"id":151,"name":"Denver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419</v>
      </c>
      <c r="B169" s="7">
        <v>4026</v>
      </c>
      <c r="C169" s="22" t="s">
        <v>222</v>
      </c>
      <c r="D169" s="22" t="s">
        <v>745</v>
      </c>
      <c r="E169" s="13">
        <v>42690.442442129628</v>
      </c>
      <c r="F169" s="13">
        <v>42690.445069444446</v>
      </c>
      <c r="G169" s="7">
        <v>1</v>
      </c>
      <c r="H169" s="22" t="s">
        <v>746</v>
      </c>
      <c r="I169" s="13">
        <v>42690.455497685187</v>
      </c>
      <c r="J169" s="7">
        <v>0</v>
      </c>
      <c r="K169" s="109" t="str">
        <f t="shared" si="65"/>
        <v>4025/4026</v>
      </c>
      <c r="L169" s="22" t="str">
        <f>VLOOKUP(A169,'Trips&amp;Operators'!$C$1:$E$10000,3,FALSE)</f>
        <v>DAVIDSON</v>
      </c>
      <c r="M169" s="6">
        <f t="shared" si="66"/>
        <v>1.0428240741021E-2</v>
      </c>
      <c r="N169" s="7">
        <f t="shared" si="62"/>
        <v>15.01666666707024</v>
      </c>
      <c r="O169" s="7"/>
      <c r="P169" s="7"/>
      <c r="Q169" s="23"/>
      <c r="R169" s="23"/>
      <c r="S169" s="35">
        <f t="shared" si="63"/>
        <v>1</v>
      </c>
      <c r="T169" s="50" t="str">
        <f t="shared" si="67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09:37:07-700',mode:absolute,to:'2016-11-16 11:55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9" s="52" t="str">
        <f t="shared" si="68"/>
        <v>N</v>
      </c>
      <c r="X169" s="177">
        <f t="shared" si="64"/>
        <v>1</v>
      </c>
      <c r="Y169" s="67">
        <f t="shared" si="69"/>
        <v>5.8655999999999997</v>
      </c>
      <c r="Z169" s="67">
        <f t="shared" si="70"/>
        <v>7.1499999999999994E-2</v>
      </c>
      <c r="AA169" s="67">
        <f t="shared" si="71"/>
        <v>5.7940999999999994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72"/>
        <v>0816-16</v>
      </c>
      <c r="AE169" s="91" t="str">
        <f t="shared" si="58"/>
        <v>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 &amp; aws s3 cp s3://rtdc.mdm.uploadarchive.raw/RTDC4026/ "%USERPROFILE%\AppData\Local\Temp\OnboardLogs"\RTDC4026\2016-11-17 --exclude "*" --recursive --include "*20161117*" &amp; "%USERPROFILE%\Documents\GitHub\mrs-test-scripts\Headless Mode &amp; Sideloading\WalkAndUnGZ.bat" "%USERPROFILE%\AppData\Local\Temp\OnboardLogs"\RTDC4026\2016-11-17</v>
      </c>
      <c r="AF169" s="88" t="str">
        <f t="shared" si="59"/>
        <v>"C:\Program Files (x86)\AstroGrep\AstroGrep.exe" /spath="%USERPROFILE%\AppData\Local\Temp\OnboardLogs" /stypes="app*4026*20161116*" /stext=" 17:.+((SYSTEM_STATE.+slice.+state.+changed )|(ment ac)|(system.+state.+changed )|(\[timeout)|(PRM\|1\|D)|(kpr)|(kdp)|(\|lc)|(penalty))" /e /r /s</v>
      </c>
      <c r="AG169" s="1" t="str">
        <f t="shared" si="73"/>
        <v>NW</v>
      </c>
      <c r="AH169" s="92" t="str">
        <f t="shared" si="60"/>
        <v>"%USERPROFILE%\Documents\GitHub\eaglep3\Utilities\RefineRTDCRunTimes.py" --tripid 816-16 --locoid 4026 --swversion DE.1.0.8.0 --startMP 300:58656 --initTime 2016-11-16T10:37:07 --startdatetime 2016-11-16T10:40:54 --delay 1 --endMP 204:715 --enddatetime 2016-11-16T10:55:55 --enforcementcount 0 &gt;&gt;C:\Users\stu\Documents\GitHub\eaglep3-reporting\EC\2016-11-16-refined-times.txt</v>
      </c>
      <c r="AI169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{"issue":{"subject":"","project_id":79,"tracker_id":40,"status_id":1,"priority_id":2,"assigned_to_id":23,"start_date":"2016-11-16","description":"","custom_fields":[{"id":1,"name":"Subdivision","value":"NW"},{"id":4,"name":"Milepost","value":"0.0715"},{"id":17,"name":"Train ID","value":"816-16"},{"id":16,"name":"Locomotive ID","value":"4026"},{"id":130,"name":"Impact","value":""},{"id":150,"name":"Time of Event (Mountain Time)","value":"10:55:55"},{"id":151,"name":"Denver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521</v>
      </c>
      <c r="B170" s="7">
        <v>4025</v>
      </c>
      <c r="C170" s="22" t="s">
        <v>222</v>
      </c>
      <c r="D170" s="22" t="s">
        <v>383</v>
      </c>
      <c r="E170" s="13">
        <v>42690.469872685186</v>
      </c>
      <c r="F170" s="13">
        <v>42690.473136574074</v>
      </c>
      <c r="G170" s="7">
        <v>1</v>
      </c>
      <c r="H170" s="22" t="s">
        <v>747</v>
      </c>
      <c r="I170" s="13">
        <v>42690.482233796298</v>
      </c>
      <c r="J170" s="7">
        <v>0</v>
      </c>
      <c r="K170" s="109" t="str">
        <f t="shared" si="65"/>
        <v>4025/4026</v>
      </c>
      <c r="L170" s="22" t="str">
        <f>VLOOKUP(A170,'Trips&amp;Operators'!$C$1:$E$10000,3,FALSE)</f>
        <v>DAVIDSON</v>
      </c>
      <c r="M170" s="6">
        <f t="shared" si="66"/>
        <v>9.0972222242271528E-3</v>
      </c>
      <c r="N170" s="7">
        <f t="shared" si="62"/>
        <v>13.1000000028871</v>
      </c>
      <c r="O170" s="7"/>
      <c r="P170" s="7"/>
      <c r="Q170" s="23"/>
      <c r="R170" s="23"/>
      <c r="S170" s="35">
        <f t="shared" si="63"/>
        <v>1</v>
      </c>
      <c r="T170" s="50" t="str">
        <f t="shared" si="67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10:16:37-700',mode:absolute,to:'2016-11-16 12:34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0" s="52" t="str">
        <f t="shared" si="68"/>
        <v>N</v>
      </c>
      <c r="X170" s="177">
        <f t="shared" si="64"/>
        <v>1</v>
      </c>
      <c r="Y170" s="67">
        <f t="shared" si="69"/>
        <v>9.9299999999999999E-2</v>
      </c>
      <c r="Z170" s="67">
        <f t="shared" si="70"/>
        <v>5.8986000000000001</v>
      </c>
      <c r="AA170" s="67">
        <f t="shared" si="71"/>
        <v>5.7992999999999997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72"/>
        <v>0817-16</v>
      </c>
      <c r="AE170" s="91" t="str">
        <f t="shared" si="58"/>
        <v>aws s3 cp s3://rtdc.mdm.uploadarchive.raw/RTDC4025/ "%USERPROFILE%\AppData\Local\Temp\OnboardLogs"\RTDC4025\2016-11-16 --exclude "*" --recursive --include "*20161116*" &amp; "%USERPROFILE%\Documents\GitHub\mrs-test-scripts\Headless Mode &amp; Sideloading\WalkAndUnGZ.bat" "%USERPROFILE%\AppData\Local\Temp\OnboardLogs"\RTDC4025\2016-11-16 &amp; aws s3 cp s3://rtdc.mdm.uploadarchive.raw/RTDC4025/ "%USERPROFILE%\AppData\Local\Temp\OnboardLogs"\RTDC4025\2016-11-17 --exclude "*" --recursive --include "*20161117*" &amp; "%USERPROFILE%\Documents\GitHub\mrs-test-scripts\Headless Mode &amp; Sideloading\WalkAndUnGZ.bat" "%USERPROFILE%\AppData\Local\Temp\OnboardLogs"\RTDC4025\2016-11-17</v>
      </c>
      <c r="AF170" s="88" t="str">
        <f t="shared" si="59"/>
        <v>"C:\Program Files (x86)\AstroGrep\AstroGrep.exe" /spath="%USERPROFILE%\AppData\Local\Temp\OnboardLogs" /stypes="app*4025*20161116*" /stext=" 18:.+((SYSTEM_STATE.+slice.+state.+changed )|(ment ac)|(system.+state.+changed )|(\[timeout)|(PRM\|1\|D)|(kpr)|(kdp)|(\|lc)|(penalty))" /e /r /s</v>
      </c>
      <c r="AG170" s="1" t="str">
        <f t="shared" si="73"/>
        <v>NW</v>
      </c>
      <c r="AH170" s="92" t="str">
        <f t="shared" si="60"/>
        <v>"%USERPROFILE%\Documents\GitHub\eaglep3\Utilities\RefineRTDCRunTimes.py" --tripid 817-16 --locoid 4025 --swversion DE.1.0.8.0 --startMP 204:993 --initTime 2016-11-16T11:16:37 --startdatetime 2016-11-16T11:21:19 --delay 1 --endMP 300:58986 --enddatetime 2016-11-16T11:34:25 --enforcementcount 0 &gt;&gt;C:\Users\stu\Documents\GitHub\eaglep3-reporting\EC\2016-11-16-refined-times.txt</v>
      </c>
      <c r="AI170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{"issue":{"subject":"","project_id":79,"tracker_id":40,"status_id":1,"priority_id":2,"assigned_to_id":23,"start_date":"2016-11-16","description":"","custom_fields":[{"id":1,"name":"Subdivision","value":"NW"},{"id":4,"name":"Milepost","value":"5.8986"},{"id":17,"name":"Train ID","value":"817-16"},{"id":16,"name":"Locomotive ID","value":"4025"},{"id":130,"name":"Impact","value":""},{"id":150,"name":"Time of Event (Mountain Time)","value":"11:34:25"},{"id":151,"name":"Denver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527</v>
      </c>
      <c r="B171" s="7">
        <v>4026</v>
      </c>
      <c r="C171" s="22" t="s">
        <v>222</v>
      </c>
      <c r="D171" s="22" t="s">
        <v>748</v>
      </c>
      <c r="E171" s="13">
        <v>42690.483449074076</v>
      </c>
      <c r="F171" s="13">
        <v>42690.485300925924</v>
      </c>
      <c r="G171" s="7">
        <v>1</v>
      </c>
      <c r="H171" s="22" t="s">
        <v>330</v>
      </c>
      <c r="I171" s="13">
        <v>42690.496412037035</v>
      </c>
      <c r="J171" s="7">
        <v>0</v>
      </c>
      <c r="K171" s="109" t="str">
        <f t="shared" si="65"/>
        <v>4025/4026</v>
      </c>
      <c r="L171" s="22" t="str">
        <f>VLOOKUP(A171,'Trips&amp;Operators'!$C$1:$E$10000,3,FALSE)</f>
        <v>DAVIDSON</v>
      </c>
      <c r="M171" s="6">
        <f t="shared" si="66"/>
        <v>1.1111111110949423E-2</v>
      </c>
      <c r="N171" s="7">
        <f t="shared" si="62"/>
        <v>15.999999999767169</v>
      </c>
      <c r="O171" s="7"/>
      <c r="P171" s="7"/>
      <c r="Q171" s="23"/>
      <c r="R171" s="23"/>
      <c r="S171" s="35">
        <f t="shared" si="63"/>
        <v>1</v>
      </c>
      <c r="T171" s="50" t="str">
        <f t="shared" si="67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10:36:10-700',mode:absolute,to:'2016-11-16 12:54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1" s="52" t="str">
        <f t="shared" si="68"/>
        <v>N</v>
      </c>
      <c r="X171" s="177">
        <f t="shared" si="64"/>
        <v>1</v>
      </c>
      <c r="Y171" s="67">
        <f t="shared" si="69"/>
        <v>5.8678999999999997</v>
      </c>
      <c r="Z171" s="67">
        <f t="shared" si="70"/>
        <v>6.9099999999999995E-2</v>
      </c>
      <c r="AA171" s="67">
        <f t="shared" si="71"/>
        <v>5.7988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72"/>
        <v>0818-16</v>
      </c>
      <c r="AE171" s="91" t="str">
        <f t="shared" si="58"/>
        <v>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 &amp; aws s3 cp s3://rtdc.mdm.uploadarchive.raw/RTDC4026/ "%USERPROFILE%\AppData\Local\Temp\OnboardLogs"\RTDC4026\2016-11-17 --exclude "*" --recursive --include "*20161117*" &amp; "%USERPROFILE%\Documents\GitHub\mrs-test-scripts\Headless Mode &amp; Sideloading\WalkAndUnGZ.bat" "%USERPROFILE%\AppData\Local\Temp\OnboardLogs"\RTDC4026\2016-11-17</v>
      </c>
      <c r="AF171" s="88" t="str">
        <f t="shared" si="59"/>
        <v>"C:\Program Files (x86)\AstroGrep\AstroGrep.exe" /spath="%USERPROFILE%\AppData\Local\Temp\OnboardLogs" /stypes="app*4026*20161116*" /stext=" 18:.+((SYSTEM_STATE.+slice.+state.+changed )|(ment ac)|(system.+state.+changed )|(\[timeout)|(PRM\|1\|D)|(kpr)|(kdp)|(\|lc)|(penalty))" /e /r /s</v>
      </c>
      <c r="AG171" s="1" t="str">
        <f t="shared" si="73"/>
        <v>NW</v>
      </c>
      <c r="AH171" s="92" t="str">
        <f t="shared" si="60"/>
        <v>"%USERPROFILE%\Documents\GitHub\eaglep3\Utilities\RefineRTDCRunTimes.py" --tripid 818-16 --locoid 4026 --swversion DE.1.0.8.0 --startMP 300:58679 --initTime 2016-11-16T11:36:10 --startdatetime 2016-11-16T11:38:50 --delay 1 --endMP 204:691 --enddatetime 2016-11-16T11:54:50 --enforcementcount 0 &gt;&gt;C:\Users\stu\Documents\GitHub\eaglep3-reporting\EC\2016-11-16-refined-times.txt</v>
      </c>
      <c r="AI171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{"issue":{"subject":"","project_id":79,"tracker_id":40,"status_id":1,"priority_id":2,"assigned_to_id":23,"start_date":"2016-11-16","description":"","custom_fields":[{"id":1,"name":"Subdivision","value":"NW"},{"id":4,"name":"Milepost","value":"0.0691"},{"id":17,"name":"Train ID","value":"818-16"},{"id":16,"name":"Locomotive ID","value":"4026"},{"id":130,"name":"Impact","value":""},{"id":150,"name":"Time of Event (Mountain Time)","value":"11:54:50"},{"id":151,"name":"Denver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534</v>
      </c>
      <c r="B172" s="7">
        <v>4025</v>
      </c>
      <c r="C172" s="22" t="s">
        <v>222</v>
      </c>
      <c r="D172" s="22" t="s">
        <v>334</v>
      </c>
      <c r="E172" s="13">
        <v>42690.506585648145</v>
      </c>
      <c r="F172" s="13">
        <v>42690.514756944445</v>
      </c>
      <c r="G172" s="7">
        <v>1</v>
      </c>
      <c r="H172" s="22" t="s">
        <v>749</v>
      </c>
      <c r="I172" s="13">
        <v>42690.524201388886</v>
      </c>
      <c r="J172" s="7">
        <v>0</v>
      </c>
      <c r="K172" s="109" t="str">
        <f t="shared" si="65"/>
        <v>4025/4026</v>
      </c>
      <c r="L172" s="22" t="str">
        <f>VLOOKUP(A172,'Trips&amp;Operators'!$C$1:$E$10000,3,FALSE)</f>
        <v>DAVIDSON</v>
      </c>
      <c r="M172" s="6">
        <f t="shared" si="66"/>
        <v>9.444444440305233E-3</v>
      </c>
      <c r="N172" s="7">
        <f t="shared" si="62"/>
        <v>13.599999994039536</v>
      </c>
      <c r="O172" s="7"/>
      <c r="P172" s="7"/>
      <c r="Q172" s="23"/>
      <c r="R172" s="23"/>
      <c r="S172" s="35">
        <f t="shared" si="63"/>
        <v>1</v>
      </c>
      <c r="T172" s="50" t="str">
        <f t="shared" si="67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11:09:29-700',mode:absolute,to:'2016-11-16 13:34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2" s="52" t="str">
        <f t="shared" si="68"/>
        <v>N</v>
      </c>
      <c r="X172" s="177">
        <f t="shared" si="64"/>
        <v>1</v>
      </c>
      <c r="Y172" s="67">
        <f t="shared" si="69"/>
        <v>9.7199999999999995E-2</v>
      </c>
      <c r="Z172" s="67">
        <f t="shared" si="70"/>
        <v>5.899</v>
      </c>
      <c r="AA172" s="67">
        <f t="shared" si="71"/>
        <v>5.8018000000000001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72"/>
        <v>0819-16</v>
      </c>
      <c r="AE172" s="91" t="str">
        <f t="shared" si="58"/>
        <v>aws s3 cp s3://rtdc.mdm.uploadarchive.raw/RTDC4025/ "%USERPROFILE%\AppData\Local\Temp\OnboardLogs"\RTDC4025\2016-11-16 --exclude "*" --recursive --include "*20161116*" &amp; "%USERPROFILE%\Documents\GitHub\mrs-test-scripts\Headless Mode &amp; Sideloading\WalkAndUnGZ.bat" "%USERPROFILE%\AppData\Local\Temp\OnboardLogs"\RTDC4025\2016-11-16 &amp; aws s3 cp s3://rtdc.mdm.uploadarchive.raw/RTDC4025/ "%USERPROFILE%\AppData\Local\Temp\OnboardLogs"\RTDC4025\2016-11-17 --exclude "*" --recursive --include "*20161117*" &amp; "%USERPROFILE%\Documents\GitHub\mrs-test-scripts\Headless Mode &amp; Sideloading\WalkAndUnGZ.bat" "%USERPROFILE%\AppData\Local\Temp\OnboardLogs"\RTDC4025\2016-11-17</v>
      </c>
      <c r="AF172" s="88" t="str">
        <f t="shared" si="59"/>
        <v>"C:\Program Files (x86)\AstroGrep\AstroGrep.exe" /spath="%USERPROFILE%\AppData\Local\Temp\OnboardLogs" /stypes="app*4025*20161116*" /stext=" 19:.+((SYSTEM_STATE.+slice.+state.+changed )|(ment ac)|(system.+state.+changed )|(\[timeout)|(PRM\|1\|D)|(kpr)|(kdp)|(\|lc)|(penalty))" /e /r /s</v>
      </c>
      <c r="AG172" s="1" t="str">
        <f t="shared" si="73"/>
        <v>NW</v>
      </c>
      <c r="AH172" s="92" t="str">
        <f t="shared" si="60"/>
        <v>"%USERPROFILE%\Documents\GitHub\eaglep3\Utilities\RefineRTDCRunTimes.py" --tripid 819-16 --locoid 4025 --swversion DE.1.0.8.0 --startMP 204:972 --initTime 2016-11-16T12:09:29 --startdatetime 2016-11-16T12:21:15 --delay 1 --endMP 300:58990 --enddatetime 2016-11-16T12:34:51 --enforcementcount 0 &gt;&gt;C:\Users\stu\Documents\GitHub\eaglep3-reporting\EC\2016-11-16-refined-times.txt</v>
      </c>
      <c r="AI172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{"issue":{"subject":"","project_id":79,"tracker_id":40,"status_id":1,"priority_id":2,"assigned_to_id":23,"start_date":"2016-11-16","description":"","custom_fields":[{"id":1,"name":"Subdivision","value":"NW"},{"id":4,"name":"Milepost","value":"5.899"},{"id":17,"name":"Train ID","value":"819-16"},{"id":16,"name":"Locomotive ID","value":"4025"},{"id":130,"name":"Impact","value":""},{"id":150,"name":"Time of Event (Mountain Time)","value":"12:34:51"},{"id":151,"name":"Denver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426</v>
      </c>
      <c r="B173" s="7">
        <v>4026</v>
      </c>
      <c r="C173" s="22" t="s">
        <v>222</v>
      </c>
      <c r="D173" s="22" t="s">
        <v>750</v>
      </c>
      <c r="E173" s="13">
        <v>42690.525451388887</v>
      </c>
      <c r="F173" s="13">
        <v>42690.526875000003</v>
      </c>
      <c r="G173" s="7">
        <v>1</v>
      </c>
      <c r="H173" s="22" t="s">
        <v>751</v>
      </c>
      <c r="I173" s="13">
        <v>42690.538564814815</v>
      </c>
      <c r="J173" s="7">
        <v>0</v>
      </c>
      <c r="K173" s="109" t="str">
        <f t="shared" si="65"/>
        <v>4025/4026</v>
      </c>
      <c r="L173" s="22" t="str">
        <f>VLOOKUP(A173,'Trips&amp;Operators'!$C$1:$E$10000,3,FALSE)</f>
        <v>DAVIDSON</v>
      </c>
      <c r="M173" s="6">
        <f t="shared" si="66"/>
        <v>1.1689814811688848E-2</v>
      </c>
      <c r="N173" s="7">
        <f t="shared" si="62"/>
        <v>16.833333328831941</v>
      </c>
      <c r="O173" s="7"/>
      <c r="P173" s="7"/>
      <c r="Q173" s="23"/>
      <c r="R173" s="23"/>
      <c r="S173" s="35">
        <f t="shared" si="63"/>
        <v>1</v>
      </c>
      <c r="T173" s="50" t="str">
        <f t="shared" si="67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11:36:39-700',mode:absolute,to:'2016-11-16 13:55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3" s="52" t="str">
        <f t="shared" si="68"/>
        <v>N</v>
      </c>
      <c r="X173" s="177">
        <f t="shared" si="64"/>
        <v>1</v>
      </c>
      <c r="Y173" s="67">
        <f t="shared" si="69"/>
        <v>5.8672000000000004</v>
      </c>
      <c r="Z173" s="67">
        <f t="shared" si="70"/>
        <v>7.0499999999999993E-2</v>
      </c>
      <c r="AA173" s="67">
        <f t="shared" si="71"/>
        <v>5.7967000000000004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72"/>
        <v>0820-16</v>
      </c>
      <c r="AE173" s="91" t="str">
        <f t="shared" si="58"/>
        <v>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 &amp; aws s3 cp s3://rtdc.mdm.uploadarchive.raw/RTDC4026/ "%USERPROFILE%\AppData\Local\Temp\OnboardLogs"\RTDC4026\2016-11-17 --exclude "*" --recursive --include "*20161117*" &amp; "%USERPROFILE%\Documents\GitHub\mrs-test-scripts\Headless Mode &amp; Sideloading\WalkAndUnGZ.bat" "%USERPROFILE%\AppData\Local\Temp\OnboardLogs"\RTDC4026\2016-11-17</v>
      </c>
      <c r="AF173" s="88" t="str">
        <f t="shared" si="59"/>
        <v>"C:\Program Files (x86)\AstroGrep\AstroGrep.exe" /spath="%USERPROFILE%\AppData\Local\Temp\OnboardLogs" /stypes="app*4026*20161116*" /stext=" 19:.+((SYSTEM_STATE.+slice.+state.+changed )|(ment ac)|(system.+state.+changed )|(\[timeout)|(PRM\|1\|D)|(kpr)|(kdp)|(\|lc)|(penalty))" /e /r /s</v>
      </c>
      <c r="AG173" s="1" t="str">
        <f t="shared" si="73"/>
        <v>NW</v>
      </c>
      <c r="AH173" s="92" t="str">
        <f t="shared" si="60"/>
        <v>"%USERPROFILE%\Documents\GitHub\eaglep3\Utilities\RefineRTDCRunTimes.py" --tripid 820-16 --locoid 4026 --swversion DE.1.0.8.0 --startMP 300:58672 --initTime 2016-11-16T12:36:39 --startdatetime 2016-11-16T12:38:42 --delay 1 --endMP 204:705 --enddatetime 2016-11-16T12:55:32 --enforcementcount 0 &gt;&gt;C:\Users\stu\Documents\GitHub\eaglep3-reporting\EC\2016-11-16-refined-times.txt</v>
      </c>
      <c r="AI173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{"issue":{"subject":"","project_id":79,"tracker_id":40,"status_id":1,"priority_id":2,"assigned_to_id":23,"start_date":"2016-11-16","description":"","custom_fields":[{"id":1,"name":"Subdivision","value":"NW"},{"id":4,"name":"Milepost","value":"0.0705"},{"id":17,"name":"Train ID","value":"820-16"},{"id":16,"name":"Locomotive ID","value":"4026"},{"id":130,"name":"Impact","value":""},{"id":150,"name":"Time of Event (Mountain Time)","value":"12:55:32"},{"id":151,"name":"Denver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7" t="s">
        <v>546</v>
      </c>
      <c r="B174" s="7">
        <v>4025</v>
      </c>
      <c r="C174" s="22" t="s">
        <v>222</v>
      </c>
      <c r="D174" s="22" t="s">
        <v>391</v>
      </c>
      <c r="E174" s="13">
        <v>42690.55364583333</v>
      </c>
      <c r="F174" s="13">
        <v>42690.556666666664</v>
      </c>
      <c r="G174" s="7">
        <v>1</v>
      </c>
      <c r="H174" s="22" t="s">
        <v>295</v>
      </c>
      <c r="I174" s="13">
        <v>42690.566840277781</v>
      </c>
      <c r="J174" s="7">
        <v>0</v>
      </c>
      <c r="K174" s="109" t="str">
        <f t="shared" si="65"/>
        <v>4025/4026</v>
      </c>
      <c r="L174" s="22" t="str">
        <f>VLOOKUP(A174,'Trips&amp;Operators'!$C$1:$E$10000,3,FALSE)</f>
        <v>JOHNSON</v>
      </c>
      <c r="M174" s="6">
        <f t="shared" si="66"/>
        <v>1.0173611117352266E-2</v>
      </c>
      <c r="N174" s="7">
        <f t="shared" si="62"/>
        <v>14.650000008987263</v>
      </c>
      <c r="O174" s="7"/>
      <c r="P174" s="7"/>
      <c r="Q174" s="23"/>
      <c r="R174" s="23"/>
      <c r="S174" s="35">
        <f t="shared" si="63"/>
        <v>1</v>
      </c>
      <c r="T174" s="50" t="str">
        <f t="shared" si="67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12:17:15-700',mode:absolute,to:'2016-11-16 14:36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4" s="52" t="str">
        <f t="shared" si="68"/>
        <v>N</v>
      </c>
      <c r="X174" s="177">
        <f t="shared" si="64"/>
        <v>1</v>
      </c>
      <c r="Y174" s="67">
        <f t="shared" si="69"/>
        <v>9.8500000000000004E-2</v>
      </c>
      <c r="Z174" s="67">
        <f t="shared" si="70"/>
        <v>5.8925999999999998</v>
      </c>
      <c r="AA174" s="67">
        <f t="shared" si="71"/>
        <v>5.7941000000000003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72"/>
        <v>0821-16</v>
      </c>
      <c r="AE174" s="91" t="str">
        <f t="shared" si="58"/>
        <v>aws s3 cp s3://rtdc.mdm.uploadarchive.raw/RTDC4025/ "%USERPROFILE%\AppData\Local\Temp\OnboardLogs"\RTDC4025\2016-11-16 --exclude "*" --recursive --include "*20161116*" &amp; "%USERPROFILE%\Documents\GitHub\mrs-test-scripts\Headless Mode &amp; Sideloading\WalkAndUnGZ.bat" "%USERPROFILE%\AppData\Local\Temp\OnboardLogs"\RTDC4025\2016-11-16 &amp; aws s3 cp s3://rtdc.mdm.uploadarchive.raw/RTDC4025/ "%USERPROFILE%\AppData\Local\Temp\OnboardLogs"\RTDC4025\2016-11-17 --exclude "*" --recursive --include "*20161117*" &amp; "%USERPROFILE%\Documents\GitHub\mrs-test-scripts\Headless Mode &amp; Sideloading\WalkAndUnGZ.bat" "%USERPROFILE%\AppData\Local\Temp\OnboardLogs"\RTDC4025\2016-11-17</v>
      </c>
      <c r="AF174" s="88" t="str">
        <f t="shared" si="59"/>
        <v>"C:\Program Files (x86)\AstroGrep\AstroGrep.exe" /spath="%USERPROFILE%\AppData\Local\Temp\OnboardLogs" /stypes="app*4025*20161116*" /stext=" 20:.+((SYSTEM_STATE.+slice.+state.+changed )|(ment ac)|(system.+state.+changed )|(\[timeout)|(PRM\|1\|D)|(kpr)|(kdp)|(\|lc)|(penalty))" /e /r /s</v>
      </c>
      <c r="AG174" s="1" t="str">
        <f t="shared" si="73"/>
        <v>NW</v>
      </c>
      <c r="AH174" s="92" t="str">
        <f t="shared" si="60"/>
        <v>"%USERPROFILE%\Documents\GitHub\eaglep3\Utilities\RefineRTDCRunTimes.py" --tripid 821-16 --locoid 4025 --swversion DE.1.0.8.0 --startMP 204:985 --initTime 2016-11-16T13:17:15 --startdatetime 2016-11-16T13:21:36 --delay 1 --endMP 300:58926 --enddatetime 2016-11-16T13:36:15 --enforcementcount 0 &gt;&gt;C:\Users\stu\Documents\GitHub\eaglep3-reporting\EC\2016-11-16-refined-times.txt</v>
      </c>
      <c r="AI174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{"issue":{"subject":"","project_id":79,"tracker_id":40,"status_id":1,"priority_id":2,"assigned_to_id":23,"start_date":"2016-11-16","description":"","custom_fields":[{"id":1,"name":"Subdivision","value":"NW"},{"id":4,"name":"Milepost","value":"5.8926"},{"id":17,"name":"Train ID","value":"821-16"},{"id":16,"name":"Locomotive ID","value":"4025"},{"id":130,"name":"Impact","value":""},{"id":150,"name":"Time of Event (Mountain Time)","value":"13:36:15"},{"id":151,"name":"Denver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s="21" customFormat="1" x14ac:dyDescent="0.25">
      <c r="A175" s="37" t="s">
        <v>427</v>
      </c>
      <c r="B175" s="7">
        <v>4026</v>
      </c>
      <c r="C175" s="22" t="s">
        <v>222</v>
      </c>
      <c r="D175" s="22" t="s">
        <v>328</v>
      </c>
      <c r="E175" s="13">
        <v>42690.567928240744</v>
      </c>
      <c r="F175" s="13">
        <v>42690.569363425922</v>
      </c>
      <c r="G175" s="7">
        <v>1</v>
      </c>
      <c r="H175" s="22" t="s">
        <v>335</v>
      </c>
      <c r="I175" s="13">
        <v>42690.58252314815</v>
      </c>
      <c r="J175" s="7">
        <v>0</v>
      </c>
      <c r="K175" s="109" t="str">
        <f t="shared" si="65"/>
        <v>4025/4026</v>
      </c>
      <c r="L175" s="22" t="str">
        <f>VLOOKUP(A175,'Trips&amp;Operators'!$C$1:$E$10000,3,FALSE)</f>
        <v>JOHNSON</v>
      </c>
      <c r="M175" s="6">
        <f t="shared" si="66"/>
        <v>1.3159722228010651E-2</v>
      </c>
      <c r="N175" s="7">
        <f t="shared" si="62"/>
        <v>18.950000008335337</v>
      </c>
      <c r="O175" s="7"/>
      <c r="P175" s="7"/>
      <c r="Q175" s="23"/>
      <c r="R175" s="23"/>
      <c r="S175" s="35">
        <f t="shared" si="63"/>
        <v>1</v>
      </c>
      <c r="T175" s="50" t="str">
        <f t="shared" si="67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12:37:49-700',mode:absolute,to:'2016-11-16 14:58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5" s="52" t="str">
        <f t="shared" si="68"/>
        <v>N</v>
      </c>
      <c r="X175" s="177">
        <f t="shared" si="64"/>
        <v>1</v>
      </c>
      <c r="Y175" s="67">
        <f t="shared" si="69"/>
        <v>5.8611000000000004</v>
      </c>
      <c r="Z175" s="67">
        <f t="shared" si="70"/>
        <v>7.2400000000000006E-2</v>
      </c>
      <c r="AA175" s="67">
        <f t="shared" si="71"/>
        <v>5.7887000000000004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72"/>
        <v>0822-16</v>
      </c>
      <c r="AE175" s="91" t="str">
        <f t="shared" si="58"/>
        <v>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 &amp; aws s3 cp s3://rtdc.mdm.uploadarchive.raw/RTDC4026/ "%USERPROFILE%\AppData\Local\Temp\OnboardLogs"\RTDC4026\2016-11-17 --exclude "*" --recursive --include "*20161117*" &amp; "%USERPROFILE%\Documents\GitHub\mrs-test-scripts\Headless Mode &amp; Sideloading\WalkAndUnGZ.bat" "%USERPROFILE%\AppData\Local\Temp\OnboardLogs"\RTDC4026\2016-11-17</v>
      </c>
      <c r="AF175" s="88" t="str">
        <f t="shared" si="59"/>
        <v>"C:\Program Files (x86)\AstroGrep\AstroGrep.exe" /spath="%USERPROFILE%\AppData\Local\Temp\OnboardLogs" /stypes="app*4026*20161116*" /stext=" 20:.+((SYSTEM_STATE.+slice.+state.+changed )|(ment ac)|(system.+state.+changed )|(\[timeout)|(PRM\|1\|D)|(kpr)|(kdp)|(\|lc)|(penalty))" /e /r /s</v>
      </c>
      <c r="AG175" s="1" t="str">
        <f t="shared" si="73"/>
        <v>NW</v>
      </c>
      <c r="AH175" s="92" t="str">
        <f t="shared" si="60"/>
        <v>"%USERPROFILE%\Documents\GitHub\eaglep3\Utilities\RefineRTDCRunTimes.py" --tripid 822-16 --locoid 4026 --swversion DE.1.0.8.0 --startMP 300:58611 --initTime 2016-11-16T13:37:49 --startdatetime 2016-11-16T13:39:53 --delay 1 --endMP 204:724 --enddatetime 2016-11-16T13:58:50 --enforcementcount 0 &gt;&gt;C:\Users\stu\Documents\GitHub\eaglep3-reporting\EC\2016-11-16-refined-times.txt</v>
      </c>
      <c r="AI175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{"issue":{"subject":"","project_id":79,"tracker_id":40,"status_id":1,"priority_id":2,"assigned_to_id":23,"start_date":"2016-11-16","description":"","custom_fields":[{"id":1,"name":"Subdivision","value":"NW"},{"id":4,"name":"Milepost","value":"0.0724"},{"id":17,"name":"Train ID","value":"822-16"},{"id":16,"name":"Locomotive ID","value":"4026"},{"id":130,"name":"Impact","value":""},{"id":150,"name":"Time of Event (Mountain Time)","value":"13:58:50"},{"id":151,"name":"Denver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7" t="s">
        <v>553</v>
      </c>
      <c r="B176" s="7">
        <v>4025</v>
      </c>
      <c r="C176" s="22" t="s">
        <v>222</v>
      </c>
      <c r="D176" s="22" t="s">
        <v>384</v>
      </c>
      <c r="E176" s="13">
        <v>42690.584710648145</v>
      </c>
      <c r="F176" s="13">
        <v>42690.598171296297</v>
      </c>
      <c r="G176" s="7">
        <v>1</v>
      </c>
      <c r="H176" s="22" t="s">
        <v>327</v>
      </c>
      <c r="I176" s="13">
        <v>42690.608229166668</v>
      </c>
      <c r="J176" s="7">
        <v>0</v>
      </c>
      <c r="K176" s="109" t="str">
        <f t="shared" si="65"/>
        <v>4025/4026</v>
      </c>
      <c r="L176" s="22" t="str">
        <f>VLOOKUP(A176,'Trips&amp;Operators'!$C$1:$E$10000,3,FALSE)</f>
        <v>JOHNSON</v>
      </c>
      <c r="M176" s="6">
        <f t="shared" si="66"/>
        <v>1.0057870371383615E-2</v>
      </c>
      <c r="N176" s="7">
        <f t="shared" si="62"/>
        <v>14.483333334792405</v>
      </c>
      <c r="O176" s="7"/>
      <c r="P176" s="7"/>
      <c r="Q176" s="23"/>
      <c r="R176" s="23"/>
      <c r="S176" s="35">
        <f t="shared" si="63"/>
        <v>1</v>
      </c>
      <c r="T176" s="50" t="str">
        <f t="shared" si="67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13:01:59-700',mode:absolute,to:'2016-11-16 15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6" s="52" t="str">
        <f t="shared" si="68"/>
        <v>N</v>
      </c>
      <c r="X176" s="177">
        <f t="shared" si="64"/>
        <v>1</v>
      </c>
      <c r="Y176" s="67">
        <f t="shared" si="69"/>
        <v>0.1011</v>
      </c>
      <c r="Z176" s="67">
        <f t="shared" si="70"/>
        <v>5.8920000000000003</v>
      </c>
      <c r="AA176" s="67">
        <f t="shared" si="71"/>
        <v>5.7909000000000006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72"/>
        <v>0823-16</v>
      </c>
      <c r="AE176" s="91" t="str">
        <f t="shared" si="58"/>
        <v>aws s3 cp s3://rtdc.mdm.uploadarchive.raw/RTDC4025/ "%USERPROFILE%\AppData\Local\Temp\OnboardLogs"\RTDC4025\2016-11-16 --exclude "*" --recursive --include "*20161116*" &amp; "%USERPROFILE%\Documents\GitHub\mrs-test-scripts\Headless Mode &amp; Sideloading\WalkAndUnGZ.bat" "%USERPROFILE%\AppData\Local\Temp\OnboardLogs"\RTDC4025\2016-11-16 &amp; aws s3 cp s3://rtdc.mdm.uploadarchive.raw/RTDC4025/ "%USERPROFILE%\AppData\Local\Temp\OnboardLogs"\RTDC4025\2016-11-17 --exclude "*" --recursive --include "*20161117*" &amp; "%USERPROFILE%\Documents\GitHub\mrs-test-scripts\Headless Mode &amp; Sideloading\WalkAndUnGZ.bat" "%USERPROFILE%\AppData\Local\Temp\OnboardLogs"\RTDC4025\2016-11-17</v>
      </c>
      <c r="AF176" s="88" t="str">
        <f t="shared" si="59"/>
        <v>"C:\Program Files (x86)\AstroGrep\AstroGrep.exe" /spath="%USERPROFILE%\AppData\Local\Temp\OnboardLogs" /stypes="app*4025*20161116*" /stext=" 21:.+((SYSTEM_STATE.+slice.+state.+changed )|(ment ac)|(system.+state.+changed )|(\[timeout)|(PRM\|1\|D)|(kpr)|(kdp)|(\|lc)|(penalty))" /e /r /s</v>
      </c>
      <c r="AG176" s="1" t="str">
        <f t="shared" si="73"/>
        <v>NW</v>
      </c>
      <c r="AH176" s="92" t="str">
        <f t="shared" si="60"/>
        <v>"%USERPROFILE%\Documents\GitHub\eaglep3\Utilities\RefineRTDCRunTimes.py" --tripid 823-16 --locoid 4025 --swversion DE.1.0.8.0 --startMP 204:1011 --initTime 2016-11-16T14:01:59 --startdatetime 2016-11-16T14:21:22 --delay 1 --endMP 300:58920 --enddatetime 2016-11-16T14:35:51 --enforcementcount 0 &gt;&gt;C:\Users\stu\Documents\GitHub\eaglep3-reporting\EC\2016-11-16-refined-times.txt</v>
      </c>
      <c r="AI176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{"issue":{"subject":"","project_id":79,"tracker_id":40,"status_id":1,"priority_id":2,"assigned_to_id":23,"start_date":"2016-11-16","description":"","custom_fields":[{"id":1,"name":"Subdivision","value":"NW"},{"id":4,"name":"Milepost","value":"5.892"},{"id":17,"name":"Train ID","value":"823-16"},{"id":16,"name":"Locomotive ID","value":"4025"},{"id":130,"name":"Impact","value":""},{"id":150,"name":"Time of Event (Mountain Time)","value":"14:35:51"},{"id":151,"name":"Denver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559</v>
      </c>
      <c r="B177" s="7">
        <v>4026</v>
      </c>
      <c r="C177" s="22" t="s">
        <v>222</v>
      </c>
      <c r="D177" s="22" t="s">
        <v>336</v>
      </c>
      <c r="E177" s="13">
        <v>42690.609502314815</v>
      </c>
      <c r="F177" s="13">
        <v>42690.611284722225</v>
      </c>
      <c r="G177" s="7">
        <v>1</v>
      </c>
      <c r="H177" s="22" t="s">
        <v>752</v>
      </c>
      <c r="I177" s="13">
        <v>42690.62427083333</v>
      </c>
      <c r="J177" s="7">
        <v>0</v>
      </c>
      <c r="K177" s="109" t="str">
        <f t="shared" si="65"/>
        <v>4025/4026</v>
      </c>
      <c r="L177" s="22" t="str">
        <f>VLOOKUP(A177,'Trips&amp;Operators'!$C$1:$E$10000,3,FALSE)</f>
        <v>JOHNSON</v>
      </c>
      <c r="M177" s="6">
        <f t="shared" si="66"/>
        <v>1.2986111105419695E-2</v>
      </c>
      <c r="N177" s="7">
        <f t="shared" si="62"/>
        <v>18.699999991804361</v>
      </c>
      <c r="O177" s="7"/>
      <c r="P177" s="7"/>
      <c r="Q177" s="23"/>
      <c r="R177" s="23"/>
      <c r="S177" s="35">
        <f t="shared" si="63"/>
        <v>1</v>
      </c>
      <c r="T177" s="50" t="str">
        <f t="shared" si="67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13:37:41-700',mode:absolute,to:'2016-11-16 15:58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7" s="52" t="str">
        <f t="shared" si="68"/>
        <v>N</v>
      </c>
      <c r="X177" s="177">
        <f t="shared" si="64"/>
        <v>1</v>
      </c>
      <c r="Y177" s="67">
        <f t="shared" si="69"/>
        <v>5.8604000000000003</v>
      </c>
      <c r="Z177" s="67">
        <f t="shared" si="70"/>
        <v>7.3599999999999999E-2</v>
      </c>
      <c r="AA177" s="67">
        <f t="shared" si="71"/>
        <v>5.7868000000000004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72"/>
        <v>0824-16</v>
      </c>
      <c r="AE177" s="91" t="str">
        <f t="shared" si="58"/>
        <v>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 &amp; aws s3 cp s3://rtdc.mdm.uploadarchive.raw/RTDC4026/ "%USERPROFILE%\AppData\Local\Temp\OnboardLogs"\RTDC4026\2016-11-17 --exclude "*" --recursive --include "*20161117*" &amp; "%USERPROFILE%\Documents\GitHub\mrs-test-scripts\Headless Mode &amp; Sideloading\WalkAndUnGZ.bat" "%USERPROFILE%\AppData\Local\Temp\OnboardLogs"\RTDC4026\2016-11-17</v>
      </c>
      <c r="AF177" s="88" t="str">
        <f t="shared" si="59"/>
        <v>"C:\Program Files (x86)\AstroGrep\AstroGrep.exe" /spath="%USERPROFILE%\AppData\Local\Temp\OnboardLogs" /stypes="app*4026*20161116*" /stext=" 21:.+((SYSTEM_STATE.+slice.+state.+changed )|(ment ac)|(system.+state.+changed )|(\[timeout)|(PRM\|1\|D)|(kpr)|(kdp)|(\|lc)|(penalty))" /e /r /s</v>
      </c>
      <c r="AG177" s="1" t="str">
        <f t="shared" si="73"/>
        <v>NW</v>
      </c>
      <c r="AH177" s="92" t="str">
        <f t="shared" si="60"/>
        <v>"%USERPROFILE%\Documents\GitHub\eaglep3\Utilities\RefineRTDCRunTimes.py" --tripid 824-16 --locoid 4026 --swversion DE.1.0.8.0 --startMP 300:58604 --initTime 2016-11-16T14:37:41 --startdatetime 2016-11-16T14:40:15 --delay 1 --endMP 204:736 --enddatetime 2016-11-16T14:58:57 --enforcementcount 0 &gt;&gt;C:\Users\stu\Documents\GitHub\eaglep3-reporting\EC\2016-11-16-refined-times.txt</v>
      </c>
      <c r="AI177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{"issue":{"subject":"","project_id":79,"tracker_id":40,"status_id":1,"priority_id":2,"assigned_to_id":23,"start_date":"2016-11-16","description":"","custom_fields":[{"id":1,"name":"Subdivision","value":"NW"},{"id":4,"name":"Milepost","value":"0.0736"},{"id":17,"name":"Train ID","value":"824-16"},{"id":16,"name":"Locomotive ID","value":"4026"},{"id":130,"name":"Impact","value":""},{"id":150,"name":"Time of Event (Mountain Time)","value":"14:58:57"},{"id":151,"name":"Denver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429</v>
      </c>
      <c r="B178" s="7">
        <v>4025</v>
      </c>
      <c r="C178" s="22" t="s">
        <v>222</v>
      </c>
      <c r="D178" s="22" t="s">
        <v>753</v>
      </c>
      <c r="E178" s="13">
        <v>42690.626504629632</v>
      </c>
      <c r="F178" s="13">
        <v>42690.63962962963</v>
      </c>
      <c r="G178" s="7">
        <v>1</v>
      </c>
      <c r="H178" s="22" t="s">
        <v>332</v>
      </c>
      <c r="I178" s="13">
        <v>42690.650289351855</v>
      </c>
      <c r="J178" s="7">
        <v>0</v>
      </c>
      <c r="K178" s="109" t="str">
        <f t="shared" si="65"/>
        <v>4025/4026</v>
      </c>
      <c r="L178" s="22" t="str">
        <f>VLOOKUP(A178,'Trips&amp;Operators'!$C$1:$E$10000,3,FALSE)</f>
        <v>JOHNSON</v>
      </c>
      <c r="M178" s="6">
        <f t="shared" si="66"/>
        <v>1.0659722225682344E-2</v>
      </c>
      <c r="N178" s="7">
        <f t="shared" ref="N178:N195" si="74">24*60*SUM($M178:$M178)</f>
        <v>15.350000004982576</v>
      </c>
      <c r="O178" s="7"/>
      <c r="P178" s="7"/>
      <c r="Q178" s="23"/>
      <c r="R178" s="23"/>
      <c r="S178" s="35">
        <f t="shared" ref="S178:S196" si="75">SUM(U178:U178)/IF(AG178="EC",12,1)</f>
        <v>1</v>
      </c>
      <c r="T178" s="50" t="str">
        <f t="shared" si="67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14:02:10-700',mode:absolute,to:'2016-11-16 16:36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8" s="52" t="str">
        <f t="shared" si="68"/>
        <v>N</v>
      </c>
      <c r="X178" s="177">
        <f t="shared" ref="X178:X183" si="76">VALUE(LEFT(AD178,4))-VALUE(LEFT(AD177,4))</f>
        <v>1</v>
      </c>
      <c r="Y178" s="67">
        <f t="shared" si="69"/>
        <v>0.1023</v>
      </c>
      <c r="Z178" s="67">
        <f t="shared" si="70"/>
        <v>5.8924000000000003</v>
      </c>
      <c r="AA178" s="67">
        <f t="shared" si="71"/>
        <v>5.7901000000000007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72"/>
        <v>0825-16</v>
      </c>
      <c r="AE178" s="91" t="str">
        <f t="shared" si="58"/>
        <v>aws s3 cp s3://rtdc.mdm.uploadarchive.raw/RTDC4025/ "%USERPROFILE%\AppData\Local\Temp\OnboardLogs"\RTDC4025\2016-11-16 --exclude "*" --recursive --include "*20161116*" &amp; "%USERPROFILE%\Documents\GitHub\mrs-test-scripts\Headless Mode &amp; Sideloading\WalkAndUnGZ.bat" "%USERPROFILE%\AppData\Local\Temp\OnboardLogs"\RTDC4025\2016-11-16 &amp; aws s3 cp s3://rtdc.mdm.uploadarchive.raw/RTDC4025/ "%USERPROFILE%\AppData\Local\Temp\OnboardLogs"\RTDC4025\2016-11-17 --exclude "*" --recursive --include "*20161117*" &amp; "%USERPROFILE%\Documents\GitHub\mrs-test-scripts\Headless Mode &amp; Sideloading\WalkAndUnGZ.bat" "%USERPROFILE%\AppData\Local\Temp\OnboardLogs"\RTDC4025\2016-11-17</v>
      </c>
      <c r="AF178" s="88" t="str">
        <f t="shared" si="59"/>
        <v>"C:\Program Files (x86)\AstroGrep\AstroGrep.exe" /spath="%USERPROFILE%\AppData\Local\Temp\OnboardLogs" /stypes="app*4025*20161116*" /stext=" 22:.+((SYSTEM_STATE.+slice.+state.+changed )|(ment ac)|(system.+state.+changed )|(\[timeout)|(PRM\|1\|D)|(kpr)|(kdp)|(\|lc)|(penalty))" /e /r /s</v>
      </c>
      <c r="AG178" s="1" t="str">
        <f t="shared" si="73"/>
        <v>NW</v>
      </c>
      <c r="AH178" s="92" t="str">
        <f t="shared" si="60"/>
        <v>"%USERPROFILE%\Documents\GitHub\eaglep3\Utilities\RefineRTDCRunTimes.py" --tripid 825-16 --locoid 4025 --swversion DE.1.0.8.0 --startMP 204:1023 --initTime 2016-11-16T15:02:10 --startdatetime 2016-11-16T15:21:04 --delay 1 --endMP 300:58924 --enddatetime 2016-11-16T15:36:25 --enforcementcount 0 &gt;&gt;C:\Users\stu\Documents\GitHub\eaglep3-reporting\EC\2016-11-16-refined-times.txt</v>
      </c>
      <c r="AI178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{"issue":{"subject":"","project_id":79,"tracker_id":40,"status_id":1,"priority_id":2,"assigned_to_id":23,"start_date":"2016-11-16","description":"","custom_fields":[{"id":1,"name":"Subdivision","value":"NW"},{"id":4,"name":"Milepost","value":"5.8924"},{"id":17,"name":"Train ID","value":"825-16"},{"id":16,"name":"Locomotive ID","value":"4025"},{"id":130,"name":"Impact","value":""},{"id":150,"name":"Time of Event (Mountain Time)","value":"15:36:25"},{"id":151,"name":"Denver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s="21" customFormat="1" x14ac:dyDescent="0.25">
      <c r="A179" s="37" t="s">
        <v>564</v>
      </c>
      <c r="B179" s="7">
        <v>4026</v>
      </c>
      <c r="C179" s="22" t="s">
        <v>222</v>
      </c>
      <c r="D179" s="22" t="s">
        <v>333</v>
      </c>
      <c r="E179" s="13">
        <v>42690.651423611111</v>
      </c>
      <c r="F179" s="13">
        <v>42690.653379629628</v>
      </c>
      <c r="G179" s="7">
        <v>1</v>
      </c>
      <c r="H179" s="22" t="s">
        <v>754</v>
      </c>
      <c r="I179" s="13">
        <v>42690.664953703701</v>
      </c>
      <c r="J179" s="7">
        <v>0</v>
      </c>
      <c r="K179" s="109" t="str">
        <f t="shared" si="65"/>
        <v>4025/4026</v>
      </c>
      <c r="L179" s="22" t="str">
        <f>VLOOKUP(A179,'Trips&amp;Operators'!$C$1:$E$10000,3,FALSE)</f>
        <v>JOHNSON</v>
      </c>
      <c r="M179" s="6">
        <f t="shared" si="66"/>
        <v>1.1574074072996154E-2</v>
      </c>
      <c r="N179" s="7">
        <f t="shared" si="74"/>
        <v>16.666666665114462</v>
      </c>
      <c r="O179" s="7"/>
      <c r="P179" s="7"/>
      <c r="Q179" s="23"/>
      <c r="R179" s="23"/>
      <c r="S179" s="35">
        <f t="shared" si="75"/>
        <v>1</v>
      </c>
      <c r="T179" s="50" t="str">
        <f t="shared" si="67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14:38:03-700',mode:absolute,to:'2016-11-16 16:57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9" s="52" t="str">
        <f t="shared" si="68"/>
        <v>N</v>
      </c>
      <c r="X179" s="177">
        <f t="shared" si="76"/>
        <v>1</v>
      </c>
      <c r="Y179" s="67">
        <f t="shared" si="69"/>
        <v>5.8605999999999998</v>
      </c>
      <c r="Z179" s="67">
        <f t="shared" si="70"/>
        <v>7.5200000000000003E-2</v>
      </c>
      <c r="AA179" s="67">
        <f t="shared" si="71"/>
        <v>5.7854000000000001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72"/>
        <v>0826-16</v>
      </c>
      <c r="AE179" s="91" t="str">
        <f t="shared" si="58"/>
        <v>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 &amp; aws s3 cp s3://rtdc.mdm.uploadarchive.raw/RTDC4026/ "%USERPROFILE%\AppData\Local\Temp\OnboardLogs"\RTDC4026\2016-11-17 --exclude "*" --recursive --include "*20161117*" &amp; "%USERPROFILE%\Documents\GitHub\mrs-test-scripts\Headless Mode &amp; Sideloading\WalkAndUnGZ.bat" "%USERPROFILE%\AppData\Local\Temp\OnboardLogs"\RTDC4026\2016-11-17</v>
      </c>
      <c r="AF179" s="88" t="str">
        <f t="shared" si="59"/>
        <v>"C:\Program Files (x86)\AstroGrep\AstroGrep.exe" /spath="%USERPROFILE%\AppData\Local\Temp\OnboardLogs" /stypes="app*4026*20161116*" /stext=" 22:.+((SYSTEM_STATE.+slice.+state.+changed )|(ment ac)|(system.+state.+changed )|(\[timeout)|(PRM\|1\|D)|(kpr)|(kdp)|(\|lc)|(penalty))" /e /r /s</v>
      </c>
      <c r="AG179" s="1" t="str">
        <f t="shared" si="73"/>
        <v>NW</v>
      </c>
      <c r="AH179" s="92" t="str">
        <f t="shared" si="60"/>
        <v>"%USERPROFILE%\Documents\GitHub\eaglep3\Utilities\RefineRTDCRunTimes.py" --tripid 826-16 --locoid 4026 --swversion DE.1.0.8.0 --startMP 300:58606 --initTime 2016-11-16T15:38:03 --startdatetime 2016-11-16T15:40:52 --delay 1 --endMP 204:752 --enddatetime 2016-11-16T15:57:32 --enforcementcount 0 &gt;&gt;C:\Users\stu\Documents\GitHub\eaglep3-reporting\EC\2016-11-16-refined-times.txt</v>
      </c>
      <c r="AI179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{"issue":{"subject":"","project_id":79,"tracker_id":40,"status_id":1,"priority_id":2,"assigned_to_id":23,"start_date":"2016-11-16","description":"","custom_fields":[{"id":1,"name":"Subdivision","value":"NW"},{"id":4,"name":"Milepost","value":"0.0752"},{"id":17,"name":"Train ID","value":"826-16"},{"id":16,"name":"Locomotive ID","value":"4026"},{"id":130,"name":"Impact","value":""},{"id":150,"name":"Time of Event (Mountain Time)","value":"15:57:32"},{"id":151,"name":"Denver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436</v>
      </c>
      <c r="B180" s="7">
        <v>4046</v>
      </c>
      <c r="C180" s="22" t="s">
        <v>222</v>
      </c>
      <c r="D180" s="22" t="s">
        <v>755</v>
      </c>
      <c r="E180" s="13">
        <v>42690.654826388891</v>
      </c>
      <c r="F180" s="13">
        <v>42690.660613425927</v>
      </c>
      <c r="G180" s="7">
        <v>1</v>
      </c>
      <c r="H180" s="22" t="s">
        <v>756</v>
      </c>
      <c r="I180" s="13">
        <v>42690.670844907407</v>
      </c>
      <c r="J180" s="7">
        <v>0</v>
      </c>
      <c r="K180" s="109" t="str">
        <f t="shared" si="65"/>
        <v>4045/4046</v>
      </c>
      <c r="L180" s="22" t="str">
        <f>VLOOKUP(A180,'Trips&amp;Operators'!$C$1:$E$10000,3,FALSE)</f>
        <v>NELSON</v>
      </c>
      <c r="M180" s="6">
        <f t="shared" si="66"/>
        <v>1.0231481479422655E-2</v>
      </c>
      <c r="N180" s="7">
        <f t="shared" si="74"/>
        <v>14.733333330368623</v>
      </c>
      <c r="O180" s="7"/>
      <c r="P180" s="7"/>
      <c r="Q180" s="23"/>
      <c r="R180" s="23"/>
      <c r="S180" s="35">
        <f t="shared" si="75"/>
        <v>1</v>
      </c>
      <c r="T180" s="50" t="str">
        <f t="shared" si="67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14:42:57-700',mode:absolute,to:'2016-11-16 17:06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0" s="52" t="str">
        <f t="shared" si="68"/>
        <v>N</v>
      </c>
      <c r="X180" s="177">
        <f t="shared" si="76"/>
        <v>1</v>
      </c>
      <c r="Y180" s="67">
        <f t="shared" si="69"/>
        <v>9.9900000000000003E-2</v>
      </c>
      <c r="Z180" s="67">
        <f t="shared" si="70"/>
        <v>5.8914</v>
      </c>
      <c r="AA180" s="67">
        <f t="shared" si="71"/>
        <v>5.7915000000000001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72"/>
        <v>0827-16</v>
      </c>
      <c r="AE180" s="91" t="str">
        <f t="shared" si="58"/>
        <v>aws s3 cp s3://rtdc.mdm.uploadarchive.raw/RTDC4046/ "%USERPROFILE%\AppData\Local\Temp\OnboardLogs"\RTDC4046\2016-11-16 --exclude "*" --recursive --include "*20161116*" &amp; "%USERPROFILE%\Documents\GitHub\mrs-test-scripts\Headless Mode &amp; Sideloading\WalkAndUnGZ.bat" "%USERPROFILE%\AppData\Local\Temp\OnboardLogs"\RTDC4046\2016-11-16 &amp; aws s3 cp s3://rtdc.mdm.uploadarchive.raw/RTDC4046/ "%USERPROFILE%\AppData\Local\Temp\OnboardLogs"\RTDC4046\2016-11-17 --exclude "*" --recursive --include "*20161117*" &amp; "%USERPROFILE%\Documents\GitHub\mrs-test-scripts\Headless Mode &amp; Sideloading\WalkAndUnGZ.bat" "%USERPROFILE%\AppData\Local\Temp\OnboardLogs"\RTDC4046\2016-11-17</v>
      </c>
      <c r="AF180" s="88" t="str">
        <f t="shared" si="59"/>
        <v>"C:\Program Files (x86)\AstroGrep\AstroGrep.exe" /spath="%USERPROFILE%\AppData\Local\Temp\OnboardLogs" /stypes="app*4046*20161116*" /stext=" 23:.+((SYSTEM_STATE.+slice.+state.+changed )|(ment ac)|(system.+state.+changed )|(\[timeout)|(PRM\|1\|D)|(kpr)|(kdp)|(\|lc)|(penalty))" /e /r /s</v>
      </c>
      <c r="AG180" s="1" t="str">
        <f t="shared" si="73"/>
        <v>NW</v>
      </c>
      <c r="AH180" s="92" t="str">
        <f t="shared" si="60"/>
        <v>"%USERPROFILE%\Documents\GitHub\eaglep3\Utilities\RefineRTDCRunTimes.py" --tripid 827-16 --locoid 4046 --swversion DE.1.0.8.0 --startMP 204:999 --initTime 2016-11-16T15:42:57 --startdatetime 2016-11-16T15:51:17 --delay 1 --endMP 300:58914 --enddatetime 2016-11-16T16:06:01 --enforcementcount 0 &gt;&gt;C:\Users\stu\Documents\GitHub\eaglep3-reporting\EC\2016-11-16-refined-times.txt</v>
      </c>
      <c r="AI180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{"issue":{"subject":"","project_id":79,"tracker_id":40,"status_id":1,"priority_id":2,"assigned_to_id":23,"start_date":"2016-11-16","description":"","custom_fields":[{"id":1,"name":"Subdivision","value":"NW"},{"id":4,"name":"Milepost","value":"5.8914"},{"id":17,"name":"Train ID","value":"827-16"},{"id":16,"name":"Locomotive ID","value":"4046"},{"id":130,"name":"Impact","value":""},{"id":150,"name":"Time of Event (Mountain Time)","value":"16:06:01"},{"id":151,"name":"Denver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437</v>
      </c>
      <c r="B181" s="7">
        <v>4045</v>
      </c>
      <c r="C181" s="22" t="s">
        <v>222</v>
      </c>
      <c r="D181" s="22" t="s">
        <v>303</v>
      </c>
      <c r="E181" s="13">
        <v>42690.672175925924</v>
      </c>
      <c r="F181" s="13">
        <v>42690.673726851855</v>
      </c>
      <c r="G181" s="7">
        <v>1</v>
      </c>
      <c r="H181" s="22" t="s">
        <v>757</v>
      </c>
      <c r="I181" s="13">
        <v>42690.685428240744</v>
      </c>
      <c r="J181" s="7">
        <v>0</v>
      </c>
      <c r="K181" s="109" t="str">
        <f t="shared" si="65"/>
        <v>4045/4046</v>
      </c>
      <c r="L181" s="22" t="str">
        <f>VLOOKUP(A181,'Trips&amp;Operators'!$C$1:$E$10000,3,FALSE)</f>
        <v>NELSON</v>
      </c>
      <c r="M181" s="6">
        <f t="shared" si="66"/>
        <v>1.17013888884685E-2</v>
      </c>
      <c r="N181" s="7">
        <f t="shared" si="74"/>
        <v>16.84999999939464</v>
      </c>
      <c r="O181" s="7"/>
      <c r="P181" s="7"/>
      <c r="Q181" s="23"/>
      <c r="R181" s="23"/>
      <c r="S181" s="35">
        <f t="shared" si="75"/>
        <v>1</v>
      </c>
      <c r="T181" s="50" t="str">
        <f t="shared" si="67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15:07:56-700',mode:absolute,to:'2016-11-16 17:27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1" s="52" t="str">
        <f t="shared" si="68"/>
        <v>N</v>
      </c>
      <c r="X181" s="177">
        <f t="shared" si="76"/>
        <v>1</v>
      </c>
      <c r="Y181" s="67">
        <f t="shared" si="69"/>
        <v>5.8609</v>
      </c>
      <c r="Z181" s="67">
        <f t="shared" si="70"/>
        <v>7.4999999999999997E-2</v>
      </c>
      <c r="AA181" s="67">
        <f t="shared" si="71"/>
        <v>5.7858999999999998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72"/>
        <v>0828-16</v>
      </c>
      <c r="AE181" s="91" t="str">
        <f t="shared" si="58"/>
        <v>aws s3 cp s3://rtdc.mdm.uploadarchive.raw/RTDC4045/ "%USERPROFILE%\AppData\Local\Temp\OnboardLogs"\RTDC4045\2016-11-16 --exclude "*" --recursive --include "*20161116*" &amp; "%USERPROFILE%\Documents\GitHub\mrs-test-scripts\Headless Mode &amp; Sideloading\WalkAndUnGZ.bat" "%USERPROFILE%\AppData\Local\Temp\OnboardLogs"\RTDC4045\2016-11-16 &amp; aws s3 cp s3://rtdc.mdm.uploadarchive.raw/RTDC4045/ "%USERPROFILE%\AppData\Local\Temp\OnboardLogs"\RTDC4045\2016-11-17 --exclude "*" --recursive --include "*20161117*" &amp; "%USERPROFILE%\Documents\GitHub\mrs-test-scripts\Headless Mode &amp; Sideloading\WalkAndUnGZ.bat" "%USERPROFILE%\AppData\Local\Temp\OnboardLogs"\RTDC4045\2016-11-17</v>
      </c>
      <c r="AF181" s="88" t="str">
        <f t="shared" si="59"/>
        <v>"C:\Program Files (x86)\AstroGrep\AstroGrep.exe" /spath="%USERPROFILE%\AppData\Local\Temp\OnboardLogs" /stypes="app*4045*20161116*" /stext=" 23:.+((SYSTEM_STATE.+slice.+state.+changed )|(ment ac)|(system.+state.+changed )|(\[timeout)|(PRM\|1\|D)|(kpr)|(kdp)|(\|lc)|(penalty))" /e /r /s</v>
      </c>
      <c r="AG181" s="1" t="str">
        <f t="shared" si="73"/>
        <v>NW</v>
      </c>
      <c r="AH181" s="92" t="str">
        <f t="shared" si="60"/>
        <v>"%USERPROFILE%\Documents\GitHub\eaglep3\Utilities\RefineRTDCRunTimes.py" --tripid 828-16 --locoid 4045 --swversion DE.1.0.8.0 --startMP 300:58609 --initTime 2016-11-16T16:07:56 --startdatetime 2016-11-16T16:10:10 --delay 1 --endMP 204:750 --enddatetime 2016-11-16T16:27:01 --enforcementcount 0 &gt;&gt;C:\Users\stu\Documents\GitHub\eaglep3-reporting\EC\2016-11-16-refined-times.txt</v>
      </c>
      <c r="AI181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{"issue":{"subject":"","project_id":79,"tracker_id":40,"status_id":1,"priority_id":2,"assigned_to_id":23,"start_date":"2016-11-16","description":"","custom_fields":[{"id":1,"name":"Subdivision","value":"NW"},{"id":4,"name":"Milepost","value":"0.075"},{"id":17,"name":"Train ID","value":"828-16"},{"id":16,"name":"Locomotive ID","value":"4045"},{"id":130,"name":"Impact","value":""},{"id":150,"name":"Time of Event (Mountain Time)","value":"16:27:01"},{"id":151,"name":"Denver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7" t="s">
        <v>568</v>
      </c>
      <c r="B182" s="7">
        <v>4025</v>
      </c>
      <c r="C182" s="22" t="s">
        <v>222</v>
      </c>
      <c r="D182" s="22" t="s">
        <v>758</v>
      </c>
      <c r="E182" s="13">
        <v>42690.676736111112</v>
      </c>
      <c r="F182" s="13">
        <v>42690.681527777779</v>
      </c>
      <c r="G182" s="7">
        <v>1</v>
      </c>
      <c r="H182" s="22" t="s">
        <v>759</v>
      </c>
      <c r="I182" s="13">
        <v>42690.691631944443</v>
      </c>
      <c r="J182" s="7">
        <v>0</v>
      </c>
      <c r="K182" s="109" t="str">
        <f t="shared" si="65"/>
        <v>4025/4026</v>
      </c>
      <c r="L182" s="22" t="str">
        <f>VLOOKUP(A182,'Trips&amp;Operators'!$C$1:$E$10000,3,FALSE)</f>
        <v>JOHNSON</v>
      </c>
      <c r="M182" s="6">
        <f t="shared" si="66"/>
        <v>1.0104166663950309E-2</v>
      </c>
      <c r="N182" s="7">
        <f t="shared" si="74"/>
        <v>14.549999996088445</v>
      </c>
      <c r="O182" s="7"/>
      <c r="P182" s="7"/>
      <c r="Q182" s="23"/>
      <c r="R182" s="23"/>
      <c r="S182" s="35">
        <f t="shared" si="75"/>
        <v>1</v>
      </c>
      <c r="T182" s="50" t="str">
        <f t="shared" si="67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15:14:30-700',mode:absolute,to:'2016-11-16 17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2" s="52" t="str">
        <f t="shared" si="68"/>
        <v>N</v>
      </c>
      <c r="X182" s="177">
        <f t="shared" si="76"/>
        <v>1</v>
      </c>
      <c r="Y182" s="67">
        <f t="shared" si="69"/>
        <v>0.10440000000000001</v>
      </c>
      <c r="Z182" s="67">
        <f t="shared" si="70"/>
        <v>5.8921999999999999</v>
      </c>
      <c r="AA182" s="67">
        <f t="shared" si="71"/>
        <v>5.7877999999999998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72"/>
        <v>0829-16</v>
      </c>
      <c r="AE182" s="91" t="str">
        <f t="shared" si="58"/>
        <v>aws s3 cp s3://rtdc.mdm.uploadarchive.raw/RTDC4025/ "%USERPROFILE%\AppData\Local\Temp\OnboardLogs"\RTDC4025\2016-11-16 --exclude "*" --recursive --include "*20161116*" &amp; "%USERPROFILE%\Documents\GitHub\mrs-test-scripts\Headless Mode &amp; Sideloading\WalkAndUnGZ.bat" "%USERPROFILE%\AppData\Local\Temp\OnboardLogs"\RTDC4025\2016-11-16 &amp; aws s3 cp s3://rtdc.mdm.uploadarchive.raw/RTDC4025/ "%USERPROFILE%\AppData\Local\Temp\OnboardLogs"\RTDC4025\2016-11-17 --exclude "*" --recursive --include "*20161117*" &amp; "%USERPROFILE%\Documents\GitHub\mrs-test-scripts\Headless Mode &amp; Sideloading\WalkAndUnGZ.bat" "%USERPROFILE%\AppData\Local\Temp\OnboardLogs"\RTDC4025\2016-11-17</v>
      </c>
      <c r="AF182" s="88" t="str">
        <f t="shared" si="59"/>
        <v>"C:\Program Files (x86)\AstroGrep\AstroGrep.exe" /spath="%USERPROFILE%\AppData\Local\Temp\OnboardLogs" /stypes="app*4025*20161116*" /stext=" 23:.+((SYSTEM_STATE.+slice.+state.+changed )|(ment ac)|(system.+state.+changed )|(\[timeout)|(PRM\|1\|D)|(kpr)|(kdp)|(\|lc)|(penalty))" /e /r /s</v>
      </c>
      <c r="AG182" s="1" t="str">
        <f t="shared" si="73"/>
        <v>NW</v>
      </c>
      <c r="AH182" s="92" t="str">
        <f t="shared" si="60"/>
        <v>"%USERPROFILE%\Documents\GitHub\eaglep3\Utilities\RefineRTDCRunTimes.py" --tripid 829-16 --locoid 4025 --swversion DE.1.0.8.0 --startMP 204:1044 --initTime 2016-11-16T16:14:30 --startdatetime 2016-11-16T16:21:24 --delay 1 --endMP 300:58922 --enddatetime 2016-11-16T16:35:57 --enforcementcount 0 &gt;&gt;C:\Users\stu\Documents\GitHub\eaglep3-reporting\EC\2016-11-16-refined-times.txt</v>
      </c>
      <c r="AI182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{"issue":{"subject":"","project_id":79,"tracker_id":40,"status_id":1,"priority_id":2,"assigned_to_id":23,"start_date":"2016-11-16","description":"","custom_fields":[{"id":1,"name":"Subdivision","value":"NW"},{"id":4,"name":"Milepost","value":"5.8922"},{"id":17,"name":"Train ID","value":"829-16"},{"id":16,"name":"Locomotive ID","value":"4025"},{"id":130,"name":"Impact","value":""},{"id":150,"name":"Time of Event (Mountain Time)","value":"16:35:57"},{"id":151,"name":"Denver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572</v>
      </c>
      <c r="B183" s="7">
        <v>4026</v>
      </c>
      <c r="C183" s="22" t="s">
        <v>222</v>
      </c>
      <c r="D183" s="22" t="s">
        <v>385</v>
      </c>
      <c r="E183" s="13">
        <v>42690.69321759259</v>
      </c>
      <c r="F183" s="13">
        <v>42690.694456018522</v>
      </c>
      <c r="G183" s="7">
        <v>0</v>
      </c>
      <c r="H183" s="22" t="s">
        <v>760</v>
      </c>
      <c r="I183" s="13">
        <v>42690.707604166666</v>
      </c>
      <c r="J183" s="7">
        <v>0</v>
      </c>
      <c r="K183" s="109" t="str">
        <f t="shared" si="65"/>
        <v>4025/4026</v>
      </c>
      <c r="L183" s="22" t="str">
        <f>VLOOKUP(A183,'Trips&amp;Operators'!$C$1:$E$10000,3,FALSE)</f>
        <v>JOHNSON</v>
      </c>
      <c r="M183" s="6">
        <f t="shared" si="66"/>
        <v>1.3148148143955041E-2</v>
      </c>
      <c r="N183" s="7">
        <f t="shared" si="74"/>
        <v>18.933333327295259</v>
      </c>
      <c r="O183" s="7"/>
      <c r="P183" s="7"/>
      <c r="Q183" s="23"/>
      <c r="R183" s="23"/>
      <c r="S183" s="35">
        <f t="shared" si="75"/>
        <v>1</v>
      </c>
      <c r="T183" s="50" t="str">
        <f t="shared" si="67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15:38:14-700',mode:absolute,to:'2016-11-16 17:58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3" s="52" t="str">
        <f t="shared" si="68"/>
        <v>N</v>
      </c>
      <c r="X183" s="177">
        <f t="shared" si="76"/>
        <v>1</v>
      </c>
      <c r="Y183" s="67">
        <f t="shared" si="69"/>
        <v>5.8601999999999999</v>
      </c>
      <c r="Z183" s="67">
        <f t="shared" si="70"/>
        <v>7.2599999999999998E-2</v>
      </c>
      <c r="AA183" s="67">
        <f t="shared" si="71"/>
        <v>5.7875999999999994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72"/>
        <v>0830-16</v>
      </c>
      <c r="AE183" s="91" t="str">
        <f t="shared" si="58"/>
        <v>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 &amp; aws s3 cp s3://rtdc.mdm.uploadarchive.raw/RTDC4026/ "%USERPROFILE%\AppData\Local\Temp\OnboardLogs"\RTDC4026\2016-11-17 --exclude "*" --recursive --include "*20161117*" &amp; "%USERPROFILE%\Documents\GitHub\mrs-test-scripts\Headless Mode &amp; Sideloading\WalkAndUnGZ.bat" "%USERPROFILE%\AppData\Local\Temp\OnboardLogs"\RTDC4026\2016-11-17</v>
      </c>
      <c r="AF183" s="88" t="str">
        <f t="shared" si="59"/>
        <v>"C:\Program Files (x86)\AstroGrep\AstroGrep.exe" /spath="%USERPROFILE%\AppData\Local\Temp\OnboardLogs" /stypes="app*4026*20161116*" /stext=" 23:.+((SYSTEM_STATE.+slice.+state.+changed )|(ment ac)|(system.+state.+changed )|(\[timeout)|(PRM\|1\|D)|(kpr)|(kdp)|(\|lc)|(penalty))" /e /r /s</v>
      </c>
      <c r="AG183" s="1" t="str">
        <f t="shared" si="73"/>
        <v>NW</v>
      </c>
      <c r="AH183" s="92" t="str">
        <f t="shared" si="60"/>
        <v>"%USERPROFILE%\Documents\GitHub\eaglep3\Utilities\RefineRTDCRunTimes.py" --tripid 830-16 --locoid 4026 --swversion DE.1.0.8.0 --startMP 300:58602 --initTime 2016-11-16T16:38:14 --startdatetime 2016-11-16T16:40:01 --delay 0 --endMP 204:726 --enddatetime 2016-11-16T16:58:57 --enforcementcount 0 &gt;&gt;C:\Users\stu\Documents\GitHub\eaglep3-reporting\EC\2016-11-16-refined-times.txt</v>
      </c>
      <c r="AI183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{"issue":{"subject":"","project_id":79,"tracker_id":40,"status_id":1,"priority_id":2,"assigned_to_id":23,"start_date":"2016-11-16","description":"","custom_fields":[{"id":1,"name":"Subdivision","value":"NW"},{"id":4,"name":"Milepost","value":"0.0726"},{"id":17,"name":"Train ID","value":"830-16"},{"id":16,"name":"Locomotive ID","value":"4026"},{"id":130,"name":"Impact","value":""},{"id":150,"name":"Time of Event (Mountain Time)","value":"16:58:57"},{"id":151,"name":"Denver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s="21" customFormat="1" x14ac:dyDescent="0.25">
      <c r="A184" s="37" t="s">
        <v>574</v>
      </c>
      <c r="B184" s="7">
        <v>4046</v>
      </c>
      <c r="C184" s="22" t="s">
        <v>222</v>
      </c>
      <c r="D184" s="22" t="s">
        <v>736</v>
      </c>
      <c r="E184" s="13">
        <v>42690.698159722226</v>
      </c>
      <c r="F184" s="13">
        <v>42690.702581018515</v>
      </c>
      <c r="G184" s="7">
        <v>1</v>
      </c>
      <c r="H184" s="22" t="s">
        <v>761</v>
      </c>
      <c r="I184" s="13">
        <v>42690.713784722226</v>
      </c>
      <c r="J184" s="7">
        <v>0</v>
      </c>
      <c r="K184" s="109" t="str">
        <f t="shared" si="65"/>
        <v>4045/4046</v>
      </c>
      <c r="L184" s="22" t="str">
        <f>VLOOKUP(A184,'Trips&amp;Operators'!$C$1:$E$10000,3,FALSE)</f>
        <v>NELSON</v>
      </c>
      <c r="M184" s="6">
        <f t="shared" si="66"/>
        <v>1.1203703710634727E-2</v>
      </c>
      <c r="N184" s="7">
        <f t="shared" si="74"/>
        <v>16.133333343314007</v>
      </c>
      <c r="O184" s="7"/>
      <c r="P184" s="7"/>
      <c r="Q184" s="23"/>
      <c r="R184" s="23"/>
      <c r="S184" s="35">
        <f t="shared" si="75"/>
        <v>1</v>
      </c>
      <c r="T184" s="50" t="str">
        <f t="shared" si="67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15:45:21-700',mode:absolute,to:'2016-11-16 18:07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4" s="52" t="str">
        <f t="shared" si="68"/>
        <v>N</v>
      </c>
      <c r="X184" s="177">
        <f t="shared" ref="X184:X225" si="77">VALUE(LEFT(AD184,4))-VALUE(LEFT(AD183,4))</f>
        <v>1</v>
      </c>
      <c r="Y184" s="67">
        <f t="shared" si="69"/>
        <v>0.10489999999999999</v>
      </c>
      <c r="Z184" s="67">
        <f t="shared" si="70"/>
        <v>5.8956</v>
      </c>
      <c r="AA184" s="67">
        <f t="shared" si="71"/>
        <v>5.7907000000000002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72"/>
        <v>0831-16</v>
      </c>
      <c r="AE184" s="91" t="str">
        <f t="shared" si="58"/>
        <v>aws s3 cp s3://rtdc.mdm.uploadarchive.raw/RTDC4046/ "%USERPROFILE%\AppData\Local\Temp\OnboardLogs"\RTDC4046\2016-11-16 --exclude "*" --recursive --include "*20161116*" &amp; "%USERPROFILE%\Documents\GitHub\mrs-test-scripts\Headless Mode &amp; Sideloading\WalkAndUnGZ.bat" "%USERPROFILE%\AppData\Local\Temp\OnboardLogs"\RTDC4046\2016-11-16 &amp; aws s3 cp s3://rtdc.mdm.uploadarchive.raw/RTDC4046/ "%USERPROFILE%\AppData\Local\Temp\OnboardLogs"\RTDC4046\2016-11-17 --exclude "*" --recursive --include "*20161117*" &amp; "%USERPROFILE%\Documents\GitHub\mrs-test-scripts\Headless Mode &amp; Sideloading\WalkAndUnGZ.bat" "%USERPROFILE%\AppData\Local\Temp\OnboardLogs"\RTDC4046\2016-11-17</v>
      </c>
      <c r="AF184" s="88" t="str">
        <f t="shared" si="59"/>
        <v>"C:\Program Files (x86)\AstroGrep\AstroGrep.exe" /spath="%USERPROFILE%\AppData\Local\Temp\OnboardLogs" /stypes="app*4046*20161117*" /stext=" 00:.+((SYSTEM_STATE.+slice.+state.+changed )|(ment ac)|(system.+state.+changed )|(\[timeout)|(PRM\|1\|D)|(kpr)|(kdp)|(\|lc)|(penalty))" /e /r /s</v>
      </c>
      <c r="AG184" s="1" t="str">
        <f t="shared" si="73"/>
        <v>NW</v>
      </c>
      <c r="AH184" s="92" t="str">
        <f t="shared" si="60"/>
        <v>"%USERPROFILE%\Documents\GitHub\eaglep3\Utilities\RefineRTDCRunTimes.py" --tripid 831-16 --locoid 4046 --swversion DE.1.0.8.0 --startMP 204:1049 --initTime 2016-11-16T16:45:21 --startdatetime 2016-11-16T16:51:43 --delay 1 --endMP 300:58956 --enddatetime 2016-11-16T17:07:51 --enforcementcount 0 &gt;&gt;C:\Users\stu\Documents\GitHub\eaglep3-reporting\EC\2016-11-16-refined-times.txt</v>
      </c>
      <c r="AI184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{"issue":{"subject":"","project_id":79,"tracker_id":40,"status_id":1,"priority_id":2,"assigned_to_id":23,"start_date":"2016-11-16","description":"","custom_fields":[{"id":1,"name":"Subdivision","value":"NW"},{"id":4,"name":"Milepost","value":"5.8956"},{"id":17,"name":"Train ID","value":"831-16"},{"id":16,"name":"Locomotive ID","value":"4046"},{"id":130,"name":"Impact","value":""},{"id":150,"name":"Time of Event (Mountain Time)","value":"17:07:51"},{"id":151,"name":"Denver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580</v>
      </c>
      <c r="B185" s="7">
        <v>4045</v>
      </c>
      <c r="C185" s="22" t="s">
        <v>222</v>
      </c>
      <c r="D185" s="22" t="s">
        <v>381</v>
      </c>
      <c r="E185" s="13">
        <v>42690.715115740742</v>
      </c>
      <c r="F185" s="13">
        <v>42690.716678240744</v>
      </c>
      <c r="G185" s="7">
        <v>1</v>
      </c>
      <c r="H185" s="22" t="s">
        <v>743</v>
      </c>
      <c r="I185" s="13">
        <v>42690.728090277778</v>
      </c>
      <c r="J185" s="7">
        <v>0</v>
      </c>
      <c r="K185" s="109" t="str">
        <f t="shared" si="65"/>
        <v>4045/4046</v>
      </c>
      <c r="L185" s="22" t="str">
        <f>VLOOKUP(A185,'Trips&amp;Operators'!$C$1:$E$10000,3,FALSE)</f>
        <v>NELSON</v>
      </c>
      <c r="M185" s="6">
        <f t="shared" si="66"/>
        <v>1.1412037034460809E-2</v>
      </c>
      <c r="N185" s="7">
        <f t="shared" si="74"/>
        <v>16.433333329623565</v>
      </c>
      <c r="O185" s="7"/>
      <c r="P185" s="7"/>
      <c r="Q185" s="23"/>
      <c r="R185" s="23"/>
      <c r="S185" s="35">
        <f t="shared" si="75"/>
        <v>1</v>
      </c>
      <c r="T185" s="50" t="str">
        <f t="shared" si="67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16:09:46-700',mode:absolute,to:'2016-11-16 18:28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5" s="52" t="str">
        <f t="shared" si="68"/>
        <v>N</v>
      </c>
      <c r="X185" s="177">
        <f t="shared" si="77"/>
        <v>1</v>
      </c>
      <c r="Y185" s="67">
        <f t="shared" si="69"/>
        <v>5.8638000000000003</v>
      </c>
      <c r="Z185" s="67">
        <f t="shared" si="70"/>
        <v>6.8699999999999997E-2</v>
      </c>
      <c r="AA185" s="67">
        <f t="shared" si="71"/>
        <v>5.7951000000000006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72"/>
        <v>0832-16</v>
      </c>
      <c r="AE185" s="91" t="str">
        <f t="shared" si="58"/>
        <v>aws s3 cp s3://rtdc.mdm.uploadarchive.raw/RTDC4045/ "%USERPROFILE%\AppData\Local\Temp\OnboardLogs"\RTDC4045\2016-11-16 --exclude "*" --recursive --include "*20161116*" &amp; "%USERPROFILE%\Documents\GitHub\mrs-test-scripts\Headless Mode &amp; Sideloading\WalkAndUnGZ.bat" "%USERPROFILE%\AppData\Local\Temp\OnboardLogs"\RTDC4045\2016-11-16 &amp; aws s3 cp s3://rtdc.mdm.uploadarchive.raw/RTDC4045/ "%USERPROFILE%\AppData\Local\Temp\OnboardLogs"\RTDC4045\2016-11-17 --exclude "*" --recursive --include "*20161117*" &amp; "%USERPROFILE%\Documents\GitHub\mrs-test-scripts\Headless Mode &amp; Sideloading\WalkAndUnGZ.bat" "%USERPROFILE%\AppData\Local\Temp\OnboardLogs"\RTDC4045\2016-11-17</v>
      </c>
      <c r="AF185" s="88" t="str">
        <f t="shared" si="59"/>
        <v>"C:\Program Files (x86)\AstroGrep\AstroGrep.exe" /spath="%USERPROFILE%\AppData\Local\Temp\OnboardLogs" /stypes="app*4045*20161117*" /stext=" 00:.+((SYSTEM_STATE.+slice.+state.+changed )|(ment ac)|(system.+state.+changed )|(\[timeout)|(PRM\|1\|D)|(kpr)|(kdp)|(\|lc)|(penalty))" /e /r /s</v>
      </c>
      <c r="AG185" s="1" t="str">
        <f t="shared" si="73"/>
        <v>NW</v>
      </c>
      <c r="AH185" s="92" t="str">
        <f t="shared" si="60"/>
        <v>"%USERPROFILE%\Documents\GitHub\eaglep3\Utilities\RefineRTDCRunTimes.py" --tripid 832-16 --locoid 4045 --swversion DE.1.0.8.0 --startMP 300:58638 --initTime 2016-11-16T17:09:46 --startdatetime 2016-11-16T17:12:01 --delay 1 --endMP 204:687 --enddatetime 2016-11-16T17:28:27 --enforcementcount 0 &gt;&gt;C:\Users\stu\Documents\GitHub\eaglep3-reporting\EC\2016-11-16-refined-times.txt</v>
      </c>
      <c r="AI185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{"issue":{"subject":"","project_id":79,"tracker_id":40,"status_id":1,"priority_id":2,"assigned_to_id":23,"start_date":"2016-11-16","description":"","custom_fields":[{"id":1,"name":"Subdivision","value":"NW"},{"id":4,"name":"Milepost","value":"0.0687"},{"id":17,"name":"Train ID","value":"832-16"},{"id":16,"name":"Locomotive ID","value":"4045"},{"id":130,"name":"Impact","value":""},{"id":150,"name":"Time of Event (Mountain Time)","value":"17:28:27"},{"id":151,"name":"Denver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578</v>
      </c>
      <c r="B186" s="7">
        <v>4025</v>
      </c>
      <c r="C186" s="22" t="s">
        <v>222</v>
      </c>
      <c r="D186" s="22" t="s">
        <v>762</v>
      </c>
      <c r="E186" s="13">
        <v>42690.711099537039</v>
      </c>
      <c r="F186" s="13">
        <v>42690.723263888889</v>
      </c>
      <c r="G186" s="7">
        <v>1</v>
      </c>
      <c r="H186" s="22" t="s">
        <v>332</v>
      </c>
      <c r="I186" s="13">
        <v>42690.733796296299</v>
      </c>
      <c r="J186" s="7">
        <v>0</v>
      </c>
      <c r="K186" s="109" t="str">
        <f t="shared" si="65"/>
        <v>4025/4026</v>
      </c>
      <c r="L186" s="22" t="str">
        <f>VLOOKUP(A186,'Trips&amp;Operators'!$C$1:$E$10000,3,FALSE)</f>
        <v>JOHNSON</v>
      </c>
      <c r="M186" s="6">
        <f t="shared" si="66"/>
        <v>1.0532407410209998E-2</v>
      </c>
      <c r="N186" s="7">
        <f t="shared" si="74"/>
        <v>15.166666670702398</v>
      </c>
      <c r="O186" s="7"/>
      <c r="P186" s="7"/>
      <c r="Q186" s="23"/>
      <c r="R186" s="23"/>
      <c r="S186" s="35">
        <f t="shared" si="75"/>
        <v>1</v>
      </c>
      <c r="T186" s="50" t="str">
        <f t="shared" si="67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16:03:59-700',mode:absolute,to:'2016-11-16 18:36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6" s="52" t="str">
        <f t="shared" si="68"/>
        <v>N</v>
      </c>
      <c r="X186" s="177">
        <f t="shared" si="77"/>
        <v>1</v>
      </c>
      <c r="Y186" s="67">
        <f t="shared" si="69"/>
        <v>0.1014</v>
      </c>
      <c r="Z186" s="67">
        <f t="shared" si="70"/>
        <v>5.8924000000000003</v>
      </c>
      <c r="AA186" s="67">
        <f t="shared" si="71"/>
        <v>5.7910000000000004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72"/>
        <v>0833-16</v>
      </c>
      <c r="AE186" s="91" t="str">
        <f t="shared" si="58"/>
        <v>aws s3 cp s3://rtdc.mdm.uploadarchive.raw/RTDC4025/ "%USERPROFILE%\AppData\Local\Temp\OnboardLogs"\RTDC4025\2016-11-16 --exclude "*" --recursive --include "*20161116*" &amp; "%USERPROFILE%\Documents\GitHub\mrs-test-scripts\Headless Mode &amp; Sideloading\WalkAndUnGZ.bat" "%USERPROFILE%\AppData\Local\Temp\OnboardLogs"\RTDC4025\2016-11-16 &amp; aws s3 cp s3://rtdc.mdm.uploadarchive.raw/RTDC4025/ "%USERPROFILE%\AppData\Local\Temp\OnboardLogs"\RTDC4025\2016-11-17 --exclude "*" --recursive --include "*20161117*" &amp; "%USERPROFILE%\Documents\GitHub\mrs-test-scripts\Headless Mode &amp; Sideloading\WalkAndUnGZ.bat" "%USERPROFILE%\AppData\Local\Temp\OnboardLogs"\RTDC4025\2016-11-17</v>
      </c>
      <c r="AF186" s="88" t="str">
        <f t="shared" si="59"/>
        <v>"C:\Program Files (x86)\AstroGrep\AstroGrep.exe" /spath="%USERPROFILE%\AppData\Local\Temp\OnboardLogs" /stypes="app*4025*20161117*" /stext=" 00:.+((SYSTEM_STATE.+slice.+state.+changed )|(ment ac)|(system.+state.+changed )|(\[timeout)|(PRM\|1\|D)|(kpr)|(kdp)|(\|lc)|(penalty))" /e /r /s</v>
      </c>
      <c r="AG186" s="1" t="str">
        <f t="shared" si="73"/>
        <v>NW</v>
      </c>
      <c r="AH186" s="92" t="str">
        <f t="shared" si="60"/>
        <v>"%USERPROFILE%\Documents\GitHub\eaglep3\Utilities\RefineRTDCRunTimes.py" --tripid 833-16 --locoid 4025 --swversion DE.1.0.8.0 --startMP 204:1014 --initTime 2016-11-16T17:03:59 --startdatetime 2016-11-16T17:21:30 --delay 1 --endMP 300:58924 --enddatetime 2016-11-16T17:36:40 --enforcementcount 0 &gt;&gt;C:\Users\stu\Documents\GitHub\eaglep3-reporting\EC\2016-11-16-refined-times.txt</v>
      </c>
      <c r="AI186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{"issue":{"subject":"","project_id":79,"tracker_id":40,"status_id":1,"priority_id":2,"assigned_to_id":23,"start_date":"2016-11-16","description":"","custom_fields":[{"id":1,"name":"Subdivision","value":"NW"},{"id":4,"name":"Milepost","value":"5.8924"},{"id":17,"name":"Train ID","value":"833-16"},{"id":16,"name":"Locomotive ID","value":"4025"},{"id":130,"name":"Impact","value":""},{"id":150,"name":"Time of Event (Mountain Time)","value":"17:36:40"},{"id":151,"name":"Denver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7" t="s">
        <v>582</v>
      </c>
      <c r="B187" s="7">
        <v>4026</v>
      </c>
      <c r="C187" s="22" t="s">
        <v>222</v>
      </c>
      <c r="D187" s="22" t="s">
        <v>763</v>
      </c>
      <c r="E187" s="13">
        <v>42690.734861111108</v>
      </c>
      <c r="F187" s="13">
        <v>42690.736226851855</v>
      </c>
      <c r="G187" s="7">
        <v>1</v>
      </c>
      <c r="H187" s="22" t="s">
        <v>633</v>
      </c>
      <c r="I187" s="13">
        <v>42690.74763888889</v>
      </c>
      <c r="J187" s="7">
        <v>0</v>
      </c>
      <c r="K187" s="109" t="str">
        <f t="shared" si="65"/>
        <v>4025/4026</v>
      </c>
      <c r="L187" s="22" t="str">
        <f>VLOOKUP(A187,'Trips&amp;Operators'!$C$1:$E$10000,3,FALSE)</f>
        <v>JOHNSON</v>
      </c>
      <c r="M187" s="6">
        <f t="shared" si="66"/>
        <v>1.1412037034460809E-2</v>
      </c>
      <c r="N187" s="7">
        <f t="shared" si="74"/>
        <v>16.433333329623565</v>
      </c>
      <c r="O187" s="7"/>
      <c r="P187" s="7"/>
      <c r="Q187" s="23"/>
      <c r="R187" s="23"/>
      <c r="S187" s="35">
        <f t="shared" si="75"/>
        <v>1</v>
      </c>
      <c r="T187" s="50" t="str">
        <f t="shared" si="67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16:38:12-700',mode:absolute,to:'2016-11-16 18:56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7" s="52" t="str">
        <f t="shared" si="68"/>
        <v>N</v>
      </c>
      <c r="X187" s="177">
        <f t="shared" si="77"/>
        <v>1</v>
      </c>
      <c r="Y187" s="67">
        <f t="shared" si="69"/>
        <v>5.8613</v>
      </c>
      <c r="Z187" s="67">
        <f t="shared" si="70"/>
        <v>7.3400000000000007E-2</v>
      </c>
      <c r="AA187" s="67">
        <f t="shared" si="71"/>
        <v>5.7878999999999996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72"/>
        <v>0834-16</v>
      </c>
      <c r="AE187" s="91" t="str">
        <f t="shared" si="58"/>
        <v>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 &amp; aws s3 cp s3://rtdc.mdm.uploadarchive.raw/RTDC4026/ "%USERPROFILE%\AppData\Local\Temp\OnboardLogs"\RTDC4026\2016-11-17 --exclude "*" --recursive --include "*20161117*" &amp; "%USERPROFILE%\Documents\GitHub\mrs-test-scripts\Headless Mode &amp; Sideloading\WalkAndUnGZ.bat" "%USERPROFILE%\AppData\Local\Temp\OnboardLogs"\RTDC4026\2016-11-17</v>
      </c>
      <c r="AF187" s="88" t="str">
        <f t="shared" si="59"/>
        <v>"C:\Program Files (x86)\AstroGrep\AstroGrep.exe" /spath="%USERPROFILE%\AppData\Local\Temp\OnboardLogs" /stypes="app*4026*20161117*" /stext=" 00:.+((SYSTEM_STATE.+slice.+state.+changed )|(ment ac)|(system.+state.+changed )|(\[timeout)|(PRM\|1\|D)|(kpr)|(kdp)|(\|lc)|(penalty))" /e /r /s</v>
      </c>
      <c r="AG187" s="1" t="str">
        <f t="shared" si="73"/>
        <v>NW</v>
      </c>
      <c r="AH187" s="92" t="str">
        <f t="shared" si="60"/>
        <v>"%USERPROFILE%\Documents\GitHub\eaglep3\Utilities\RefineRTDCRunTimes.py" --tripid 834-16 --locoid 4026 --swversion DE.1.0.8.0 --startMP 300:58613 --initTime 2016-11-16T17:38:12 --startdatetime 2016-11-16T17:40:10 --delay 1 --endMP 204:734 --enddatetime 2016-11-16T17:56:36 --enforcementcount 0 &gt;&gt;C:\Users\stu\Documents\GitHub\eaglep3-reporting\EC\2016-11-16-refined-times.txt</v>
      </c>
      <c r="AI187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{"issue":{"subject":"","project_id":79,"tracker_id":40,"status_id":1,"priority_id":2,"assigned_to_id":23,"start_date":"2016-11-16","description":"","custom_fields":[{"id":1,"name":"Subdivision","value":"NW"},{"id":4,"name":"Milepost","value":"0.0734"},{"id":17,"name":"Train ID","value":"834-16"},{"id":16,"name":"Locomotive ID","value":"4026"},{"id":130,"name":"Impact","value":""},{"id":150,"name":"Time of Event (Mountain Time)","value":"17:56:36"},{"id":151,"name":"Denver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s="21" customFormat="1" x14ac:dyDescent="0.25">
      <c r="A188" s="37" t="s">
        <v>583</v>
      </c>
      <c r="B188" s="7">
        <v>4046</v>
      </c>
      <c r="C188" s="22" t="s">
        <v>222</v>
      </c>
      <c r="D188" s="22" t="s">
        <v>331</v>
      </c>
      <c r="E188" s="13">
        <v>42690.737129629626</v>
      </c>
      <c r="F188" s="13">
        <v>42690.74391203704</v>
      </c>
      <c r="G188" s="7">
        <v>1</v>
      </c>
      <c r="H188" s="22" t="s">
        <v>764</v>
      </c>
      <c r="I188" s="13">
        <v>42690.755243055559</v>
      </c>
      <c r="J188" s="7">
        <v>0</v>
      </c>
      <c r="K188" s="109" t="str">
        <f t="shared" si="65"/>
        <v>4045/4046</v>
      </c>
      <c r="L188" s="22" t="str">
        <f>VLOOKUP(A188,'Trips&amp;Operators'!$C$1:$E$10000,3,FALSE)</f>
        <v>NELSON</v>
      </c>
      <c r="M188" s="6">
        <f t="shared" si="66"/>
        <v>1.1331018518831115E-2</v>
      </c>
      <c r="N188" s="7">
        <f t="shared" si="74"/>
        <v>16.316666667116806</v>
      </c>
      <c r="O188" s="7"/>
      <c r="P188" s="7"/>
      <c r="Q188" s="23"/>
      <c r="R188" s="23"/>
      <c r="S188" s="35">
        <f t="shared" si="75"/>
        <v>1</v>
      </c>
      <c r="T188" s="50" t="str">
        <f t="shared" si="67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16:41:28-700',mode:absolute,to:'2016-11-16 19:07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8" s="52" t="str">
        <f t="shared" si="68"/>
        <v>N</v>
      </c>
      <c r="X188" s="177">
        <f t="shared" si="77"/>
        <v>1</v>
      </c>
      <c r="Y188" s="67">
        <f t="shared" si="69"/>
        <v>9.8799999999999999E-2</v>
      </c>
      <c r="Z188" s="67">
        <f t="shared" si="70"/>
        <v>5.8948</v>
      </c>
      <c r="AA188" s="67">
        <f t="shared" si="71"/>
        <v>5.7960000000000003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72"/>
        <v>0835-16</v>
      </c>
      <c r="AE188" s="91" t="str">
        <f t="shared" si="58"/>
        <v>aws s3 cp s3://rtdc.mdm.uploadarchive.raw/RTDC4046/ "%USERPROFILE%\AppData\Local\Temp\OnboardLogs"\RTDC4046\2016-11-16 --exclude "*" --recursive --include "*20161116*" &amp; "%USERPROFILE%\Documents\GitHub\mrs-test-scripts\Headless Mode &amp; Sideloading\WalkAndUnGZ.bat" "%USERPROFILE%\AppData\Local\Temp\OnboardLogs"\RTDC4046\2016-11-16 &amp; aws s3 cp s3://rtdc.mdm.uploadarchive.raw/RTDC4046/ "%USERPROFILE%\AppData\Local\Temp\OnboardLogs"\RTDC4046\2016-11-17 --exclude "*" --recursive --include "*20161117*" &amp; "%USERPROFILE%\Documents\GitHub\mrs-test-scripts\Headless Mode &amp; Sideloading\WalkAndUnGZ.bat" "%USERPROFILE%\AppData\Local\Temp\OnboardLogs"\RTDC4046\2016-11-17</v>
      </c>
      <c r="AF188" s="88" t="str">
        <f t="shared" si="59"/>
        <v>"C:\Program Files (x86)\AstroGrep\AstroGrep.exe" /spath="%USERPROFILE%\AppData\Local\Temp\OnboardLogs" /stypes="app*4046*20161117*" /stext=" 01:.+((SYSTEM_STATE.+slice.+state.+changed )|(ment ac)|(system.+state.+changed )|(\[timeout)|(PRM\|1\|D)|(kpr)|(kdp)|(\|lc)|(penalty))" /e /r /s</v>
      </c>
      <c r="AG188" s="1" t="str">
        <f t="shared" si="73"/>
        <v>NW</v>
      </c>
      <c r="AH188" s="92" t="str">
        <f t="shared" si="60"/>
        <v>"%USERPROFILE%\Documents\GitHub\eaglep3\Utilities\RefineRTDCRunTimes.py" --tripid 835-16 --locoid 4046 --swversion DE.1.0.8.0 --startMP 204:988 --initTime 2016-11-16T17:41:28 --startdatetime 2016-11-16T17:51:14 --delay 1 --endMP 300:58948 --enddatetime 2016-11-16T18:07:33 --enforcementcount 0 &gt;&gt;C:\Users\stu\Documents\GitHub\eaglep3-reporting\EC\2016-11-16-refined-times.txt</v>
      </c>
      <c r="AI188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{"issue":{"subject":"","project_id":79,"tracker_id":40,"status_id":1,"priority_id":2,"assigned_to_id":23,"start_date":"2016-11-16","description":"","custom_fields":[{"id":1,"name":"Subdivision","value":"NW"},{"id":4,"name":"Milepost","value":"5.8948"},{"id":17,"name":"Train ID","value":"835-16"},{"id":16,"name":"Locomotive ID","value":"4046"},{"id":130,"name":"Impact","value":""},{"id":150,"name":"Time of Event (Mountain Time)","value":"18:07:33"},{"id":151,"name":"Denver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442</v>
      </c>
      <c r="B189" s="7">
        <v>4045</v>
      </c>
      <c r="C189" s="22" t="s">
        <v>222</v>
      </c>
      <c r="D189" s="22" t="s">
        <v>726</v>
      </c>
      <c r="E189" s="13">
        <v>42690.755995370368</v>
      </c>
      <c r="F189" s="13">
        <v>42690.757453703707</v>
      </c>
      <c r="G189" s="7">
        <v>1</v>
      </c>
      <c r="H189" s="22" t="s">
        <v>389</v>
      </c>
      <c r="I189" s="13">
        <v>42690.769884259258</v>
      </c>
      <c r="J189" s="7">
        <v>0</v>
      </c>
      <c r="K189" s="109" t="str">
        <f t="shared" si="65"/>
        <v>4045/4046</v>
      </c>
      <c r="L189" s="22" t="str">
        <f>VLOOKUP(A189,'Trips&amp;Operators'!$C$1:$E$10000,3,FALSE)</f>
        <v>NELSON</v>
      </c>
      <c r="M189" s="6">
        <f t="shared" si="66"/>
        <v>1.2430555550963618E-2</v>
      </c>
      <c r="N189" s="7">
        <f t="shared" si="74"/>
        <v>17.89999999338761</v>
      </c>
      <c r="O189" s="7"/>
      <c r="P189" s="7"/>
      <c r="Q189" s="23"/>
      <c r="R189" s="23"/>
      <c r="S189" s="35">
        <f t="shared" si="75"/>
        <v>1</v>
      </c>
      <c r="T189" s="50" t="str">
        <f t="shared" si="67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17:08:38-700',mode:absolute,to:'2016-11-16 19:28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9" s="52" t="str">
        <f t="shared" si="68"/>
        <v>N</v>
      </c>
      <c r="X189" s="177">
        <f t="shared" si="77"/>
        <v>1</v>
      </c>
      <c r="Y189" s="67">
        <f t="shared" si="69"/>
        <v>5.8628</v>
      </c>
      <c r="Z189" s="67">
        <f t="shared" si="70"/>
        <v>6.9199999999999998E-2</v>
      </c>
      <c r="AA189" s="67">
        <f t="shared" si="71"/>
        <v>5.7935999999999996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72"/>
        <v>0836-16</v>
      </c>
      <c r="AE189" s="91" t="str">
        <f t="shared" si="58"/>
        <v>aws s3 cp s3://rtdc.mdm.uploadarchive.raw/RTDC4045/ "%USERPROFILE%\AppData\Local\Temp\OnboardLogs"\RTDC4045\2016-11-16 --exclude "*" --recursive --include "*20161116*" &amp; "%USERPROFILE%\Documents\GitHub\mrs-test-scripts\Headless Mode &amp; Sideloading\WalkAndUnGZ.bat" "%USERPROFILE%\AppData\Local\Temp\OnboardLogs"\RTDC4045\2016-11-16 &amp; aws s3 cp s3://rtdc.mdm.uploadarchive.raw/RTDC4045/ "%USERPROFILE%\AppData\Local\Temp\OnboardLogs"\RTDC4045\2016-11-17 --exclude "*" --recursive --include "*20161117*" &amp; "%USERPROFILE%\Documents\GitHub\mrs-test-scripts\Headless Mode &amp; Sideloading\WalkAndUnGZ.bat" "%USERPROFILE%\AppData\Local\Temp\OnboardLogs"\RTDC4045\2016-11-17</v>
      </c>
      <c r="AF189" s="88" t="str">
        <f t="shared" si="59"/>
        <v>"C:\Program Files (x86)\AstroGrep\AstroGrep.exe" /spath="%USERPROFILE%\AppData\Local\Temp\OnboardLogs" /stypes="app*4045*20161117*" /stext=" 01:.+((SYSTEM_STATE.+slice.+state.+changed )|(ment ac)|(system.+state.+changed )|(\[timeout)|(PRM\|1\|D)|(kpr)|(kdp)|(\|lc)|(penalty))" /e /r /s</v>
      </c>
      <c r="AG189" s="1" t="str">
        <f t="shared" si="73"/>
        <v>NW</v>
      </c>
      <c r="AH189" s="92" t="str">
        <f t="shared" si="60"/>
        <v>"%USERPROFILE%\Documents\GitHub\eaglep3\Utilities\RefineRTDCRunTimes.py" --tripid 836-16 --locoid 4045 --swversion DE.1.0.8.0 --startMP 300:58628 --initTime 2016-11-16T18:08:38 --startdatetime 2016-11-16T18:10:44 --delay 1 --endMP 204:692 --enddatetime 2016-11-16T18:28:38 --enforcementcount 0 &gt;&gt;C:\Users\stu\Documents\GitHub\eaglep3-reporting\EC\2016-11-16-refined-times.txt</v>
      </c>
      <c r="AI189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{"issue":{"subject":"","project_id":79,"tracker_id":40,"status_id":1,"priority_id":2,"assigned_to_id":23,"start_date":"2016-11-16","description":"","custom_fields":[{"id":1,"name":"Subdivision","value":"NW"},{"id":4,"name":"Milepost","value":"0.0692"},{"id":17,"name":"Train ID","value":"836-16"},{"id":16,"name":"Locomotive ID","value":"4045"},{"id":130,"name":"Impact","value":""},{"id":150,"name":"Time of Event (Mountain Time)","value":"18:28:38"},{"id":151,"name":"Denver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585</v>
      </c>
      <c r="B190" s="7">
        <v>4025</v>
      </c>
      <c r="C190" s="22" t="s">
        <v>222</v>
      </c>
      <c r="D190" s="22" t="s">
        <v>753</v>
      </c>
      <c r="E190" s="13">
        <v>42690.748715277776</v>
      </c>
      <c r="F190" s="13">
        <v>42690.764872685184</v>
      </c>
      <c r="G190" s="7">
        <v>1</v>
      </c>
      <c r="H190" s="22" t="s">
        <v>295</v>
      </c>
      <c r="I190" s="13">
        <v>42690.775925925926</v>
      </c>
      <c r="J190" s="7">
        <v>0</v>
      </c>
      <c r="K190" s="109" t="str">
        <f t="shared" si="65"/>
        <v>4025/4026</v>
      </c>
      <c r="L190" s="22" t="str">
        <f>VLOOKUP(A190,'Trips&amp;Operators'!$C$1:$E$10000,3,FALSE)</f>
        <v>JOHNSON</v>
      </c>
      <c r="M190" s="6">
        <f t="shared" si="66"/>
        <v>1.1053240741603076E-2</v>
      </c>
      <c r="N190" s="7">
        <f t="shared" si="74"/>
        <v>15.91666666790843</v>
      </c>
      <c r="O190" s="7"/>
      <c r="P190" s="7"/>
      <c r="Q190" s="23"/>
      <c r="R190" s="23"/>
      <c r="S190" s="35">
        <f t="shared" si="75"/>
        <v>1</v>
      </c>
      <c r="T190" s="50" t="str">
        <f t="shared" si="67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16:58:09-700',mode:absolute,to:'2016-11-16 19:37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0" s="52" t="str">
        <f t="shared" si="68"/>
        <v>N</v>
      </c>
      <c r="X190" s="177">
        <f t="shared" si="77"/>
        <v>1</v>
      </c>
      <c r="Y190" s="67">
        <f t="shared" si="69"/>
        <v>0.1023</v>
      </c>
      <c r="Z190" s="67">
        <f t="shared" si="70"/>
        <v>5.8925999999999998</v>
      </c>
      <c r="AA190" s="67">
        <f t="shared" si="71"/>
        <v>5.7903000000000002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72"/>
        <v>0837-16</v>
      </c>
      <c r="AE190" s="91" t="str">
        <f t="shared" si="58"/>
        <v>aws s3 cp s3://rtdc.mdm.uploadarchive.raw/RTDC4025/ "%USERPROFILE%\AppData\Local\Temp\OnboardLogs"\RTDC4025\2016-11-16 --exclude "*" --recursive --include "*20161116*" &amp; "%USERPROFILE%\Documents\GitHub\mrs-test-scripts\Headless Mode &amp; Sideloading\WalkAndUnGZ.bat" "%USERPROFILE%\AppData\Local\Temp\OnboardLogs"\RTDC4025\2016-11-16 &amp; aws s3 cp s3://rtdc.mdm.uploadarchive.raw/RTDC4025/ "%USERPROFILE%\AppData\Local\Temp\OnboardLogs"\RTDC4025\2016-11-17 --exclude "*" --recursive --include "*20161117*" &amp; "%USERPROFILE%\Documents\GitHub\mrs-test-scripts\Headless Mode &amp; Sideloading\WalkAndUnGZ.bat" "%USERPROFILE%\AppData\Local\Temp\OnboardLogs"\RTDC4025\2016-11-17</v>
      </c>
      <c r="AF190" s="88" t="str">
        <f t="shared" si="59"/>
        <v>"C:\Program Files (x86)\AstroGrep\AstroGrep.exe" /spath="%USERPROFILE%\AppData\Local\Temp\OnboardLogs" /stypes="app*4025*20161117*" /stext=" 01:.+((SYSTEM_STATE.+slice.+state.+changed )|(ment ac)|(system.+state.+changed )|(\[timeout)|(PRM\|1\|D)|(kpr)|(kdp)|(\|lc)|(penalty))" /e /r /s</v>
      </c>
      <c r="AG190" s="1" t="str">
        <f t="shared" si="73"/>
        <v>NW</v>
      </c>
      <c r="AH190" s="92" t="str">
        <f t="shared" si="60"/>
        <v>"%USERPROFILE%\Documents\GitHub\eaglep3\Utilities\RefineRTDCRunTimes.py" --tripid 837-16 --locoid 4025 --swversion DE.1.0.8.0 --startMP 204:1023 --initTime 2016-11-16T17:58:09 --startdatetime 2016-11-16T18:21:25 --delay 1 --endMP 300:58926 --enddatetime 2016-11-16T18:37:20 --enforcementcount 0 &gt;&gt;C:\Users\stu\Documents\GitHub\eaglep3-reporting\EC\2016-11-16-refined-times.txt</v>
      </c>
      <c r="AI190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{"issue":{"subject":"","project_id":79,"tracker_id":40,"status_id":1,"priority_id":2,"assigned_to_id":23,"start_date":"2016-11-16","description":"","custom_fields":[{"id":1,"name":"Subdivision","value":"NW"},{"id":4,"name":"Milepost","value":"5.8926"},{"id":17,"name":"Train ID","value":"837-16"},{"id":16,"name":"Locomotive ID","value":"4025"},{"id":130,"name":"Impact","value":""},{"id":150,"name":"Time of Event (Mountain Time)","value":"18:37:20"},{"id":151,"name":"Denver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593</v>
      </c>
      <c r="B191" s="7">
        <v>4026</v>
      </c>
      <c r="C191" s="22" t="s">
        <v>222</v>
      </c>
      <c r="D191" s="22" t="s">
        <v>304</v>
      </c>
      <c r="E191" s="13">
        <v>42690.778333333335</v>
      </c>
      <c r="F191" s="13">
        <v>42690.779814814814</v>
      </c>
      <c r="G191" s="7">
        <v>1</v>
      </c>
      <c r="H191" s="22" t="s">
        <v>765</v>
      </c>
      <c r="I191" s="13">
        <v>42690.790196759262</v>
      </c>
      <c r="J191" s="7">
        <v>0</v>
      </c>
      <c r="K191" s="109" t="str">
        <f t="shared" si="65"/>
        <v>4025/4026</v>
      </c>
      <c r="L191" s="22" t="str">
        <f>VLOOKUP(A191,'Trips&amp;Operators'!$C$1:$E$10000,3,FALSE)</f>
        <v>JOHNSON</v>
      </c>
      <c r="M191" s="6">
        <f t="shared" si="66"/>
        <v>1.0381944448454306E-2</v>
      </c>
      <c r="N191" s="7">
        <f t="shared" si="74"/>
        <v>14.9500000057742</v>
      </c>
      <c r="O191" s="7"/>
      <c r="P191" s="7"/>
      <c r="Q191" s="23"/>
      <c r="R191" s="23"/>
      <c r="S191" s="35">
        <f t="shared" si="75"/>
        <v>1</v>
      </c>
      <c r="T191" s="50" t="str">
        <f t="shared" si="67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17:40:48-700',mode:absolute,to:'2016-11-16 19:57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1" s="52" t="str">
        <f t="shared" si="68"/>
        <v>N</v>
      </c>
      <c r="X191" s="177">
        <f t="shared" si="77"/>
        <v>1</v>
      </c>
      <c r="Y191" s="67">
        <f t="shared" si="69"/>
        <v>5.8608000000000002</v>
      </c>
      <c r="Z191" s="67">
        <f t="shared" si="70"/>
        <v>7.4800000000000005E-2</v>
      </c>
      <c r="AA191" s="67">
        <f t="shared" si="71"/>
        <v>5.7860000000000005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72"/>
        <v>0838-16</v>
      </c>
      <c r="AE191" s="91" t="str">
        <f t="shared" si="58"/>
        <v>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 &amp; aws s3 cp s3://rtdc.mdm.uploadarchive.raw/RTDC4026/ "%USERPROFILE%\AppData\Local\Temp\OnboardLogs"\RTDC4026\2016-11-17 --exclude "*" --recursive --include "*20161117*" &amp; "%USERPROFILE%\Documents\GitHub\mrs-test-scripts\Headless Mode &amp; Sideloading\WalkAndUnGZ.bat" "%USERPROFILE%\AppData\Local\Temp\OnboardLogs"\RTDC4026\2016-11-17</v>
      </c>
      <c r="AF191" s="88" t="str">
        <f t="shared" si="59"/>
        <v>"C:\Program Files (x86)\AstroGrep\AstroGrep.exe" /spath="%USERPROFILE%\AppData\Local\Temp\OnboardLogs" /stypes="app*4026*20161117*" /stext=" 01:.+((SYSTEM_STATE.+slice.+state.+changed )|(ment ac)|(system.+state.+changed )|(\[timeout)|(PRM\|1\|D)|(kpr)|(kdp)|(\|lc)|(penalty))" /e /r /s</v>
      </c>
      <c r="AG191" s="1" t="str">
        <f t="shared" si="73"/>
        <v>NW</v>
      </c>
      <c r="AH191" s="92" t="str">
        <f t="shared" si="60"/>
        <v>"%USERPROFILE%\Documents\GitHub\eaglep3\Utilities\RefineRTDCRunTimes.py" --tripid 838-16 --locoid 4026 --swversion DE.1.0.8.0 --startMP 300:58608 --initTime 2016-11-16T18:40:48 --startdatetime 2016-11-16T18:42:56 --delay 1 --endMP 204:748 --enddatetime 2016-11-16T18:57:53 --enforcementcount 0 &gt;&gt;C:\Users\stu\Documents\GitHub\eaglep3-reporting\EC\2016-11-16-refined-times.txt</v>
      </c>
      <c r="AI191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{"issue":{"subject":"","project_id":79,"tracker_id":40,"status_id":1,"priority_id":2,"assigned_to_id":23,"start_date":"2016-11-16","description":"","custom_fields":[{"id":1,"name":"Subdivision","value":"NW"},{"id":4,"name":"Milepost","value":"0.0748"},{"id":17,"name":"Train ID","value":"838-16"},{"id":16,"name":"Locomotive ID","value":"4026"},{"id":130,"name":"Impact","value":""},{"id":150,"name":"Time of Event (Mountain Time)","value":"18:57:53"},{"id":151,"name":"Denver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595</v>
      </c>
      <c r="B192" s="7">
        <v>4046</v>
      </c>
      <c r="C192" s="22" t="s">
        <v>222</v>
      </c>
      <c r="D192" s="22" t="s">
        <v>766</v>
      </c>
      <c r="E192" s="13">
        <v>42690.782175925924</v>
      </c>
      <c r="F192" s="13">
        <v>42690.785601851851</v>
      </c>
      <c r="G192" s="7">
        <v>1</v>
      </c>
      <c r="H192" s="22" t="s">
        <v>767</v>
      </c>
      <c r="I192" s="13">
        <v>42690.796689814815</v>
      </c>
      <c r="J192" s="7">
        <v>0</v>
      </c>
      <c r="K192" s="109" t="str">
        <f t="shared" si="65"/>
        <v>4045/4046</v>
      </c>
      <c r="L192" s="22" t="str">
        <f>VLOOKUP(A192,'Trips&amp;Operators'!$C$1:$E$10000,3,FALSE)</f>
        <v>NELSON</v>
      </c>
      <c r="M192" s="6">
        <f t="shared" si="66"/>
        <v>1.1087962964666076E-2</v>
      </c>
      <c r="N192" s="7">
        <f t="shared" si="74"/>
        <v>15.966666669119149</v>
      </c>
      <c r="O192" s="7"/>
      <c r="P192" s="7"/>
      <c r="Q192" s="23"/>
      <c r="R192" s="23"/>
      <c r="S192" s="35">
        <f t="shared" si="75"/>
        <v>1</v>
      </c>
      <c r="T192" s="50" t="str">
        <f t="shared" si="67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17:46:20-700',mode:absolute,to:'2016-11-16 20:07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2" s="52" t="str">
        <f t="shared" si="68"/>
        <v>N</v>
      </c>
      <c r="X192" s="177">
        <f t="shared" si="77"/>
        <v>1</v>
      </c>
      <c r="Y192" s="67">
        <f t="shared" si="69"/>
        <v>9.7600000000000006E-2</v>
      </c>
      <c r="Z192" s="67">
        <f t="shared" si="70"/>
        <v>5.8967000000000001</v>
      </c>
      <c r="AA192" s="67">
        <f t="shared" si="71"/>
        <v>5.7991000000000001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72"/>
        <v>0839-16</v>
      </c>
      <c r="AE192" s="91" t="str">
        <f t="shared" si="58"/>
        <v>aws s3 cp s3://rtdc.mdm.uploadarchive.raw/RTDC4046/ "%USERPROFILE%\AppData\Local\Temp\OnboardLogs"\RTDC4046\2016-11-16 --exclude "*" --recursive --include "*20161116*" &amp; "%USERPROFILE%\Documents\GitHub\mrs-test-scripts\Headless Mode &amp; Sideloading\WalkAndUnGZ.bat" "%USERPROFILE%\AppData\Local\Temp\OnboardLogs"\RTDC4046\2016-11-16 &amp; aws s3 cp s3://rtdc.mdm.uploadarchive.raw/RTDC4046/ "%USERPROFILE%\AppData\Local\Temp\OnboardLogs"\RTDC4046\2016-11-17 --exclude "*" --recursive --include "*20161117*" &amp; "%USERPROFILE%\Documents\GitHub\mrs-test-scripts\Headless Mode &amp; Sideloading\WalkAndUnGZ.bat" "%USERPROFILE%\AppData\Local\Temp\OnboardLogs"\RTDC4046\2016-11-17</v>
      </c>
      <c r="AF192" s="88" t="str">
        <f t="shared" si="59"/>
        <v>"C:\Program Files (x86)\AstroGrep\AstroGrep.exe" /spath="%USERPROFILE%\AppData\Local\Temp\OnboardLogs" /stypes="app*4046*20161117*" /stext=" 02:.+((SYSTEM_STATE.+slice.+state.+changed )|(ment ac)|(system.+state.+changed )|(\[timeout)|(PRM\|1\|D)|(kpr)|(kdp)|(\|lc)|(penalty))" /e /r /s</v>
      </c>
      <c r="AG192" s="1" t="str">
        <f t="shared" si="73"/>
        <v>NW</v>
      </c>
      <c r="AH192" s="92" t="str">
        <f t="shared" si="60"/>
        <v>"%USERPROFILE%\Documents\GitHub\eaglep3\Utilities\RefineRTDCRunTimes.py" --tripid 839-16 --locoid 4046 --swversion DE.1.0.8.0 --startMP 204:976 --initTime 2016-11-16T18:46:20 --startdatetime 2016-11-16T18:51:16 --delay 1 --endMP 300:58967 --enddatetime 2016-11-16T19:07:14 --enforcementcount 0 &gt;&gt;C:\Users\stu\Documents\GitHub\eaglep3-reporting\EC\2016-11-16-refined-times.txt</v>
      </c>
      <c r="AI192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{"issue":{"subject":"","project_id":79,"tracker_id":40,"status_id":1,"priority_id":2,"assigned_to_id":23,"start_date":"2016-11-16","description":"","custom_fields":[{"id":1,"name":"Subdivision","value":"NW"},{"id":4,"name":"Milepost","value":"5.8967"},{"id":17,"name":"Train ID","value":"839-16"},{"id":16,"name":"Locomotive ID","value":"4046"},{"id":130,"name":"Impact","value":""},{"id":150,"name":"Time of Event (Mountain Time)","value":"19:07:14"},{"id":151,"name":"Denver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603</v>
      </c>
      <c r="B193" s="7">
        <v>4026</v>
      </c>
      <c r="C193" s="22" t="s">
        <v>222</v>
      </c>
      <c r="D193" s="22" t="s">
        <v>763</v>
      </c>
      <c r="E193" s="13">
        <v>42690.818888888891</v>
      </c>
      <c r="F193" s="13">
        <v>42690.820381944446</v>
      </c>
      <c r="G193" s="7">
        <v>1</v>
      </c>
      <c r="H193" s="22" t="s">
        <v>768</v>
      </c>
      <c r="I193" s="13">
        <v>42690.831006944441</v>
      </c>
      <c r="J193" s="7">
        <v>0</v>
      </c>
      <c r="K193" s="109" t="str">
        <f t="shared" si="65"/>
        <v>4025/4026</v>
      </c>
      <c r="L193" s="22" t="str">
        <f>VLOOKUP(A193,'Trips&amp;Operators'!$C$1:$E$10000,3,FALSE)</f>
        <v>JOHNSON</v>
      </c>
      <c r="M193" s="6">
        <f t="shared" si="66"/>
        <v>1.0624999995343387E-2</v>
      </c>
      <c r="N193" s="7">
        <f t="shared" si="74"/>
        <v>15.299999993294477</v>
      </c>
      <c r="O193" s="7"/>
      <c r="P193" s="7"/>
      <c r="Q193" s="23"/>
      <c r="R193" s="23"/>
      <c r="S193" s="35">
        <f t="shared" si="75"/>
        <v>1</v>
      </c>
      <c r="T193" s="50" t="str">
        <f t="shared" si="67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18:39:12-700',mode:absolute,to:'2016-11-16 20:56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3" s="52" t="str">
        <f t="shared" si="68"/>
        <v>N</v>
      </c>
      <c r="X193" s="177">
        <f t="shared" si="77"/>
        <v>1</v>
      </c>
      <c r="Y193" s="67">
        <f t="shared" si="69"/>
        <v>5.8613</v>
      </c>
      <c r="Z193" s="67">
        <f t="shared" si="70"/>
        <v>7.3999999999999996E-2</v>
      </c>
      <c r="AA193" s="67">
        <f t="shared" si="71"/>
        <v>5.7873000000000001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72"/>
        <v>0840-16</v>
      </c>
      <c r="AE193" s="91" t="str">
        <f t="shared" si="58"/>
        <v>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 &amp; aws s3 cp s3://rtdc.mdm.uploadarchive.raw/RTDC4026/ "%USERPROFILE%\AppData\Local\Temp\OnboardLogs"\RTDC4026\2016-11-17 --exclude "*" --recursive --include "*20161117*" &amp; "%USERPROFILE%\Documents\GitHub\mrs-test-scripts\Headless Mode &amp; Sideloading\WalkAndUnGZ.bat" "%USERPROFILE%\AppData\Local\Temp\OnboardLogs"\RTDC4026\2016-11-17</v>
      </c>
      <c r="AF193" s="88" t="str">
        <f t="shared" si="59"/>
        <v>"C:\Program Files (x86)\AstroGrep\AstroGrep.exe" /spath="%USERPROFILE%\AppData\Local\Temp\OnboardLogs" /stypes="app*4026*20161117*" /stext=" 02:.+((SYSTEM_STATE.+slice.+state.+changed )|(ment ac)|(system.+state.+changed )|(\[timeout)|(PRM\|1\|D)|(kpr)|(kdp)|(\|lc)|(penalty))" /e /r /s</v>
      </c>
      <c r="AG193" s="1" t="str">
        <f t="shared" si="73"/>
        <v>NW</v>
      </c>
      <c r="AH193" s="92" t="str">
        <f t="shared" si="60"/>
        <v>"%USERPROFILE%\Documents\GitHub\eaglep3\Utilities\RefineRTDCRunTimes.py" --tripid 840-16 --locoid 4026 --swversion DE.1.0.8.0 --startMP 300:58613 --initTime 2016-11-16T19:39:12 --startdatetime 2016-11-16T19:41:21 --delay 1 --endMP 204:740 --enddatetime 2016-11-16T19:56:39 --enforcementcount 0 &gt;&gt;C:\Users\stu\Documents\GitHub\eaglep3-reporting\EC\2016-11-16-refined-times.txt</v>
      </c>
      <c r="AI193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{"issue":{"subject":"","project_id":79,"tracker_id":40,"status_id":1,"priority_id":2,"assigned_to_id":23,"start_date":"2016-11-16","description":"","custom_fields":[{"id":1,"name":"Subdivision","value":"NW"},{"id":4,"name":"Milepost","value":"0.074"},{"id":17,"name":"Train ID","value":"840-16"},{"id":16,"name":"Locomotive ID","value":"4026"},{"id":130,"name":"Impact","value":""},{"id":150,"name":"Time of Event (Mountain Time)","value":"19:56:39"},{"id":151,"name":"Denver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592</v>
      </c>
      <c r="B194" s="7">
        <v>4025</v>
      </c>
      <c r="C194" s="22" t="s">
        <v>222</v>
      </c>
      <c r="D194" s="22" t="s">
        <v>769</v>
      </c>
      <c r="E194" s="13">
        <v>42690.803287037037</v>
      </c>
      <c r="F194" s="13">
        <v>42690.806539351855</v>
      </c>
      <c r="G194" s="7">
        <v>2</v>
      </c>
      <c r="H194" s="22" t="s">
        <v>329</v>
      </c>
      <c r="I194" s="13">
        <v>42690.81690972222</v>
      </c>
      <c r="J194" s="7">
        <v>0</v>
      </c>
      <c r="K194" s="109" t="str">
        <f t="shared" si="65"/>
        <v>4025/4026</v>
      </c>
      <c r="L194" s="22" t="str">
        <f>VLOOKUP(A194,'Trips&amp;Operators'!$C$1:$E$10000,3,FALSE)</f>
        <v>JOHNSON</v>
      </c>
      <c r="M194" s="6">
        <f t="shared" si="66"/>
        <v>1.0370370364398696E-2</v>
      </c>
      <c r="N194" s="7">
        <f t="shared" si="74"/>
        <v>14.933333324734122</v>
      </c>
      <c r="O194" s="7"/>
      <c r="P194" s="7"/>
      <c r="Q194" s="23"/>
      <c r="R194" s="23"/>
      <c r="S194" s="35">
        <f t="shared" si="75"/>
        <v>1</v>
      </c>
      <c r="T194" s="50" t="str">
        <f t="shared" si="67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18:16:44-700',mode:absolute,to:'2016-11-16 20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4" s="52" t="str">
        <f t="shared" si="68"/>
        <v>N</v>
      </c>
      <c r="X194" s="177">
        <f t="shared" si="77"/>
        <v>1</v>
      </c>
      <c r="Y194" s="67">
        <f t="shared" si="69"/>
        <v>0.1032</v>
      </c>
      <c r="Z194" s="67">
        <f t="shared" si="70"/>
        <v>5.8917999999999999</v>
      </c>
      <c r="AA194" s="67">
        <f t="shared" si="71"/>
        <v>5.7885999999999997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72"/>
        <v>0841-16</v>
      </c>
      <c r="AE194" s="91" t="str">
        <f t="shared" si="58"/>
        <v>aws s3 cp s3://rtdc.mdm.uploadarchive.raw/RTDC4025/ "%USERPROFILE%\AppData\Local\Temp\OnboardLogs"\RTDC4025\2016-11-16 --exclude "*" --recursive --include "*20161116*" &amp; "%USERPROFILE%\Documents\GitHub\mrs-test-scripts\Headless Mode &amp; Sideloading\WalkAndUnGZ.bat" "%USERPROFILE%\AppData\Local\Temp\OnboardLogs"\RTDC4025\2016-11-16 &amp; aws s3 cp s3://rtdc.mdm.uploadarchive.raw/RTDC4025/ "%USERPROFILE%\AppData\Local\Temp\OnboardLogs"\RTDC4025\2016-11-17 --exclude "*" --recursive --include "*20161117*" &amp; "%USERPROFILE%\Documents\GitHub\mrs-test-scripts\Headless Mode &amp; Sideloading\WalkAndUnGZ.bat" "%USERPROFILE%\AppData\Local\Temp\OnboardLogs"\RTDC4025\2016-11-17</v>
      </c>
      <c r="AF194" s="88" t="str">
        <f t="shared" si="59"/>
        <v>"C:\Program Files (x86)\AstroGrep\AstroGrep.exe" /spath="%USERPROFILE%\AppData\Local\Temp\OnboardLogs" /stypes="app*4025*20161117*" /stext=" 02:.+((SYSTEM_STATE.+slice.+state.+changed )|(ment ac)|(system.+state.+changed )|(\[timeout)|(PRM\|1\|D)|(kpr)|(kdp)|(\|lc)|(penalty))" /e /r /s</v>
      </c>
      <c r="AG194" s="1" t="str">
        <f t="shared" si="73"/>
        <v>NW</v>
      </c>
      <c r="AH194" s="92" t="str">
        <f t="shared" si="60"/>
        <v>"%USERPROFILE%\Documents\GitHub\eaglep3\Utilities\RefineRTDCRunTimes.py" --tripid 841-16 --locoid 4025 --swversion DE.1.0.8.0 --startMP 204:1032 --initTime 2016-11-16T19:16:44 --startdatetime 2016-11-16T19:21:25 --delay 2 --endMP 300:58918 --enddatetime 2016-11-16T19:36:21 --enforcementcount 0 &gt;&gt;C:\Users\stu\Documents\GitHub\eaglep3-reporting\EC\2016-11-16-refined-times.txt</v>
      </c>
      <c r="AI194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{"issue":{"subject":"","project_id":79,"tracker_id":40,"status_id":1,"priority_id":2,"assigned_to_id":23,"start_date":"2016-11-16","description":"","custom_fields":[{"id":1,"name":"Subdivision","value":"NW"},{"id":4,"name":"Milepost","value":"5.8918"},{"id":17,"name":"Train ID","value":"841-16"},{"id":16,"name":"Locomotive ID","value":"4025"},{"id":130,"name":"Impact","value":""},{"id":150,"name":"Time of Event (Mountain Time)","value":"19:36:21"},{"id":151,"name":"Denver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7" t="s">
        <v>610</v>
      </c>
      <c r="B195" s="7">
        <v>4026</v>
      </c>
      <c r="C195" s="22" t="s">
        <v>222</v>
      </c>
      <c r="D195" s="22" t="s">
        <v>336</v>
      </c>
      <c r="E195" s="13">
        <v>42690.863634259258</v>
      </c>
      <c r="F195" s="13">
        <v>42690.864953703705</v>
      </c>
      <c r="G195" s="7">
        <v>1</v>
      </c>
      <c r="H195" s="22" t="s">
        <v>770</v>
      </c>
      <c r="I195" s="13">
        <v>42690.874594907407</v>
      </c>
      <c r="J195" s="7">
        <v>0</v>
      </c>
      <c r="K195" s="109" t="str">
        <f t="shared" si="65"/>
        <v>4025/4026</v>
      </c>
      <c r="L195" s="22" t="str">
        <f>VLOOKUP(A195,'Trips&amp;Operators'!$C$1:$E$10000,3,FALSE)</f>
        <v>JOHNSON</v>
      </c>
      <c r="M195" s="6">
        <f t="shared" si="66"/>
        <v>9.6412037019035779E-3</v>
      </c>
      <c r="N195" s="7">
        <f t="shared" si="74"/>
        <v>13.883333330741152</v>
      </c>
      <c r="O195" s="7"/>
      <c r="P195" s="7"/>
      <c r="Q195" s="23"/>
      <c r="R195" s="23"/>
      <c r="S195" s="35">
        <f t="shared" si="75"/>
        <v>1</v>
      </c>
      <c r="T195" s="50" t="str">
        <f t="shared" si="67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19:43:38-700',mode:absolute,to:'2016-11-16 21:59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5" s="52" t="str">
        <f t="shared" si="68"/>
        <v>N</v>
      </c>
      <c r="X195" s="177">
        <f t="shared" si="77"/>
        <v>1</v>
      </c>
      <c r="Y195" s="67">
        <f t="shared" si="69"/>
        <v>5.8604000000000003</v>
      </c>
      <c r="Z195" s="67">
        <f t="shared" si="70"/>
        <v>7.6399999999999996E-2</v>
      </c>
      <c r="AA195" s="67">
        <f t="shared" si="71"/>
        <v>5.7840000000000007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72"/>
        <v>0842-16</v>
      </c>
      <c r="AE195" s="91" t="str">
        <f t="shared" si="58"/>
        <v>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 &amp; aws s3 cp s3://rtdc.mdm.uploadarchive.raw/RTDC4026/ "%USERPROFILE%\AppData\Local\Temp\OnboardLogs"\RTDC4026\2016-11-17 --exclude "*" --recursive --include "*20161117*" &amp; "%USERPROFILE%\Documents\GitHub\mrs-test-scripts\Headless Mode &amp; Sideloading\WalkAndUnGZ.bat" "%USERPROFILE%\AppData\Local\Temp\OnboardLogs"\RTDC4026\2016-11-17</v>
      </c>
      <c r="AF195" s="88" t="str">
        <f t="shared" si="59"/>
        <v>"C:\Program Files (x86)\AstroGrep\AstroGrep.exe" /spath="%USERPROFILE%\AppData\Local\Temp\OnboardLogs" /stypes="app*4026*20161117*" /stext=" 03:.+((SYSTEM_STATE.+slice.+state.+changed )|(ment ac)|(system.+state.+changed )|(\[timeout)|(PRM\|1\|D)|(kpr)|(kdp)|(\|lc)|(penalty))" /e /r /s</v>
      </c>
      <c r="AG195" s="1" t="str">
        <f t="shared" si="73"/>
        <v>NW</v>
      </c>
      <c r="AH195" s="92" t="str">
        <f t="shared" si="60"/>
        <v>"%USERPROFILE%\Documents\GitHub\eaglep3\Utilities\RefineRTDCRunTimes.py" --tripid 842-16 --locoid 4026 --swversion DE.1.0.8.0 --startMP 300:58604 --initTime 2016-11-16T20:43:38 --startdatetime 2016-11-16T20:45:32 --delay 1 --endMP 204:764 --enddatetime 2016-11-16T20:59:25 --enforcementcount 0 &gt;&gt;C:\Users\stu\Documents\GitHub\eaglep3-reporting\EC\2016-11-16-refined-times.txt</v>
      </c>
      <c r="AI195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{"issue":{"subject":"","project_id":79,"tracker_id":40,"status_id":1,"priority_id":2,"assigned_to_id":23,"start_date":"2016-11-16","description":"","custom_fields":[{"id":1,"name":"Subdivision","value":"NW"},{"id":4,"name":"Milepost","value":"0.0764"},{"id":17,"name":"Train ID","value":"842-16"},{"id":16,"name":"Locomotive ID","value":"4026"},{"id":130,"name":"Impact","value":""},{"id":150,"name":"Time of Event (Mountain Time)","value":"20:59:25"},{"id":151,"name":"Denver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446</v>
      </c>
      <c r="B196" s="7">
        <v>4025</v>
      </c>
      <c r="C196" s="22" t="s">
        <v>222</v>
      </c>
      <c r="D196" s="22" t="s">
        <v>771</v>
      </c>
      <c r="E196" s="13">
        <v>42690.843124999999</v>
      </c>
      <c r="F196" s="13">
        <v>42690.844155092593</v>
      </c>
      <c r="G196" s="7">
        <v>1</v>
      </c>
      <c r="H196" s="22" t="s">
        <v>772</v>
      </c>
      <c r="I196" s="13">
        <v>42690.854131944441</v>
      </c>
      <c r="J196" s="7">
        <v>1</v>
      </c>
      <c r="K196" s="109" t="str">
        <f t="shared" si="65"/>
        <v>4025/4026</v>
      </c>
      <c r="L196" s="22" t="str">
        <f>VLOOKUP(A196,'Trips&amp;Operators'!$C$1:$E$10000,3,FALSE)</f>
        <v>JOHNSON</v>
      </c>
      <c r="M196" s="6">
        <f t="shared" si="66"/>
        <v>9.9768518484779634E-3</v>
      </c>
      <c r="N196" s="7"/>
      <c r="O196" s="7"/>
      <c r="P196" s="7">
        <f>24*60*SUM($M196:$M197)</f>
        <v>24.583333327900618</v>
      </c>
      <c r="Q196" s="23"/>
      <c r="R196" s="23" t="s">
        <v>812</v>
      </c>
      <c r="S196" s="35">
        <f t="shared" si="75"/>
        <v>1</v>
      </c>
      <c r="T196" s="50" t="str">
        <f t="shared" si="67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19:14:06-700',mode:absolute,to:'2016-11-16 21:29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6" s="52" t="str">
        <f t="shared" si="68"/>
        <v>Y</v>
      </c>
      <c r="X196" s="177">
        <f t="shared" si="77"/>
        <v>1</v>
      </c>
      <c r="Y196" s="67">
        <f t="shared" si="69"/>
        <v>0.10299999999999999</v>
      </c>
      <c r="Z196" s="67">
        <f t="shared" si="70"/>
        <v>2.3691</v>
      </c>
      <c r="AA196" s="67">
        <f t="shared" si="71"/>
        <v>2.2660999999999998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72"/>
        <v>0843-16</v>
      </c>
      <c r="AE196" s="91" t="str">
        <f t="shared" si="58"/>
        <v>aws s3 cp s3://rtdc.mdm.uploadarchive.raw/RTDC4025/ "%USERPROFILE%\AppData\Local\Temp\OnboardLogs"\RTDC4025\2016-11-16 --exclude "*" --recursive --include "*20161116*" &amp; "%USERPROFILE%\Documents\GitHub\mrs-test-scripts\Headless Mode &amp; Sideloading\WalkAndUnGZ.bat" "%USERPROFILE%\AppData\Local\Temp\OnboardLogs"\RTDC4025\2016-11-16 &amp; aws s3 cp s3://rtdc.mdm.uploadarchive.raw/RTDC4025/ "%USERPROFILE%\AppData\Local\Temp\OnboardLogs"\RTDC4025\2016-11-17 --exclude "*" --recursive --include "*20161117*" &amp; "%USERPROFILE%\Documents\GitHub\mrs-test-scripts\Headless Mode &amp; Sideloading\WalkAndUnGZ.bat" "%USERPROFILE%\AppData\Local\Temp\OnboardLogs"\RTDC4025\2016-11-17</v>
      </c>
      <c r="AF196" s="88" t="str">
        <f t="shared" si="59"/>
        <v>"C:\Program Files (x86)\AstroGrep\AstroGrep.exe" /spath="%USERPROFILE%\AppData\Local\Temp\OnboardLogs" /stypes="app*4025*20161117*" /stext=" 03:.+((SYSTEM_STATE.+slice.+state.+changed )|(ment ac)|(system.+state.+changed )|(\[timeout)|(PRM\|1\|D)|(kpr)|(kdp)|(\|lc)|(penalty))" /e /r /s</v>
      </c>
      <c r="AG196" s="1" t="str">
        <f t="shared" si="73"/>
        <v>NW</v>
      </c>
      <c r="AH196" s="92" t="str">
        <f t="shared" si="60"/>
        <v>"%USERPROFILE%\Documents\GitHub\eaglep3\Utilities\RefineRTDCRunTimes.py" --tripid 843-16 --locoid 4025 --swversion DE.1.0.8.0 --startMP 204:1030 --initTime 2016-11-16T20:14:06 --startdatetime 2016-11-16T20:15:35 --delay 1 --endMP 300:23691 --enddatetime 2016-11-16T20:29:57 --enforcementcount 1 &gt;&gt;C:\Users\stu\Documents\GitHub\eaglep3-reporting\EC\2016-11-16-refined-times.txt</v>
      </c>
      <c r="AI196" s="119" t="str">
        <f t="shared" si="61"/>
        <v>echo {"issue":{"subject":"Wi-MAX data drop","project_id":79,"tracker_id":40,"status_id":1,"priority_id":2,"assigned_to_id":23,"start_date":"2016-11-16","description":"","custom_fields":[{"id":1,"name":"Subdivision","value":"NW"},{"id":4,"name":"Milepost","value":"2.3691"},{"id":17,"name":"Train ID","value":"843-16"},{"id":16,"name":"Locomotive ID","value":"4025"},{"id":130,"name":"Impact","value":""},{"id":150,"name":"Time of Event (Mountain Time)","value":"20:29:57"},{"id":151,"name":"Denver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446</v>
      </c>
      <c r="B197" s="7">
        <v>4025</v>
      </c>
      <c r="C197" s="22" t="s">
        <v>222</v>
      </c>
      <c r="D197" s="22" t="s">
        <v>773</v>
      </c>
      <c r="E197" s="13">
        <v>42690.854363425926</v>
      </c>
      <c r="F197" s="13">
        <v>42690.855347222219</v>
      </c>
      <c r="G197" s="7">
        <v>1</v>
      </c>
      <c r="H197" s="22" t="s">
        <v>302</v>
      </c>
      <c r="I197" s="13">
        <v>42690.862442129626</v>
      </c>
      <c r="J197" s="7">
        <v>0</v>
      </c>
      <c r="K197" s="109" t="str">
        <f t="shared" si="65"/>
        <v>4025/4026</v>
      </c>
      <c r="L197" s="22" t="str">
        <f>VLOOKUP(A197,'Trips&amp;Operators'!$C$1:$E$10000,3,FALSE)</f>
        <v>JOHNSON</v>
      </c>
      <c r="M197" s="6">
        <f t="shared" si="66"/>
        <v>7.0949074070085771E-3</v>
      </c>
      <c r="N197" s="7"/>
      <c r="O197" s="7"/>
      <c r="P197" s="7"/>
      <c r="Q197" s="23"/>
      <c r="R197" s="23"/>
      <c r="S197" s="35"/>
      <c r="T197" s="50" t="str">
        <f t="shared" si="67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19:30:17-700',mode:absolute,to:'2016-11-16 21:41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7" s="52" t="str">
        <f t="shared" si="68"/>
        <v>Y</v>
      </c>
      <c r="X197" s="177">
        <f t="shared" si="77"/>
        <v>0</v>
      </c>
      <c r="Y197" s="67">
        <f t="shared" si="69"/>
        <v>2.3683999999999998</v>
      </c>
      <c r="Z197" s="67">
        <f t="shared" si="70"/>
        <v>5.8929</v>
      </c>
      <c r="AA197" s="67">
        <f t="shared" si="71"/>
        <v>3.5245000000000002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72"/>
        <v>0843-16</v>
      </c>
      <c r="AE197" s="91" t="str">
        <f t="shared" si="58"/>
        <v>aws s3 cp s3://rtdc.mdm.uploadarchive.raw/RTDC4025/ "%USERPROFILE%\AppData\Local\Temp\OnboardLogs"\RTDC4025\2016-11-16 --exclude "*" --recursive --include "*20161116*" &amp; "%USERPROFILE%\Documents\GitHub\mrs-test-scripts\Headless Mode &amp; Sideloading\WalkAndUnGZ.bat" "%USERPROFILE%\AppData\Local\Temp\OnboardLogs"\RTDC4025\2016-11-16 &amp; aws s3 cp s3://rtdc.mdm.uploadarchive.raw/RTDC4025/ "%USERPROFILE%\AppData\Local\Temp\OnboardLogs"\RTDC4025\2016-11-17 --exclude "*" --recursive --include "*20161117*" &amp; "%USERPROFILE%\Documents\GitHub\mrs-test-scripts\Headless Mode &amp; Sideloading\WalkAndUnGZ.bat" "%USERPROFILE%\AppData\Local\Temp\OnboardLogs"\RTDC4025\2016-11-17</v>
      </c>
      <c r="AF197" s="88" t="str">
        <f t="shared" si="59"/>
        <v>"C:\Program Files (x86)\AstroGrep\AstroGrep.exe" /spath="%USERPROFILE%\AppData\Local\Temp\OnboardLogs" /stypes="app*4025*20161117*" /stext=" 03:.+((SYSTEM_STATE.+slice.+state.+changed )|(ment ac)|(system.+state.+changed )|(\[timeout)|(PRM\|1\|D)|(kpr)|(kdp)|(\|lc)|(penalty))" /e /r /s</v>
      </c>
      <c r="AG197" s="1" t="str">
        <f t="shared" si="73"/>
        <v>NW</v>
      </c>
      <c r="AH197" s="92" t="str">
        <f t="shared" si="60"/>
        <v>"%USERPROFILE%\Documents\GitHub\eaglep3\Utilities\RefineRTDCRunTimes.py" --tripid 843-16 --locoid 4025 --swversion DE.1.0.8.0 --startMP 300:23684 --initTime 2016-11-16T20:30:17 --startdatetime 2016-11-16T20:31:42 --delay 1 --endMP 300:58929 --enddatetime 2016-11-16T20:41:55 --enforcementcount 0 &gt;&gt;C:\Users\stu\Documents\GitHub\eaglep3-reporting\EC\2016-11-16-refined-times.txt</v>
      </c>
      <c r="AI197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{"issue":{"subject":"","project_id":79,"tracker_id":40,"status_id":1,"priority_id":2,"assigned_to_id":23,"start_date":"2016-11-16","description":"","custom_fields":[{"id":1,"name":"Subdivision","value":"NW"},{"id":4,"name":"Milepost","value":"5.8929"},{"id":17,"name":"Train ID","value":"843-16"},{"id":16,"name":"Locomotive ID","value":"4025"},{"id":130,"name":"Impact","value":""},{"id":150,"name":"Time of Event (Mountain Time)","value":"20:41:55"},{"id":151,"name":"Denver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450</v>
      </c>
      <c r="B198" s="7">
        <v>4026</v>
      </c>
      <c r="C198" s="22" t="s">
        <v>222</v>
      </c>
      <c r="D198" s="22" t="s">
        <v>774</v>
      </c>
      <c r="E198" s="13">
        <v>42690.903495370374</v>
      </c>
      <c r="F198" s="13">
        <v>42690.905023148145</v>
      </c>
      <c r="G198" s="7">
        <v>1</v>
      </c>
      <c r="H198" s="22" t="s">
        <v>760</v>
      </c>
      <c r="I198" s="13">
        <v>42690.915416666663</v>
      </c>
      <c r="J198" s="7">
        <v>0</v>
      </c>
      <c r="K198" s="109" t="str">
        <f t="shared" si="65"/>
        <v>4025/4026</v>
      </c>
      <c r="L198" s="22" t="str">
        <f>VLOOKUP(A198,'Trips&amp;Operators'!$C$1:$E$10000,3,FALSE)</f>
        <v>NELSON</v>
      </c>
      <c r="M198" s="6">
        <f t="shared" si="66"/>
        <v>1.0393518517958E-2</v>
      </c>
      <c r="N198" s="7">
        <f t="shared" ref="N198:N225" si="78">24*60*SUM($M198:$M198)</f>
        <v>14.96666666585952</v>
      </c>
      <c r="O198" s="7"/>
      <c r="P198" s="7"/>
      <c r="Q198" s="23"/>
      <c r="R198" s="23"/>
      <c r="S198" s="35">
        <f t="shared" ref="S198:S225" si="79">SUM(U198:U198)/IF(AG198="EC",12,1)</f>
        <v>1</v>
      </c>
      <c r="T198" s="50" t="str">
        <f t="shared" si="67"/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20:41:02-700',mode:absolute,to:'2016-11-16 22:58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8" s="52" t="str">
        <f t="shared" si="68"/>
        <v>N</v>
      </c>
      <c r="X198" s="177">
        <f t="shared" si="77"/>
        <v>1</v>
      </c>
      <c r="Y198" s="67">
        <f t="shared" si="69"/>
        <v>5.8658000000000001</v>
      </c>
      <c r="Z198" s="67">
        <f t="shared" si="70"/>
        <v>7.2599999999999998E-2</v>
      </c>
      <c r="AA198" s="67">
        <f t="shared" si="71"/>
        <v>5.7932000000000006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72"/>
        <v>0844-16</v>
      </c>
      <c r="AE198" s="91" t="str">
        <f t="shared" si="58"/>
        <v>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 &amp; aws s3 cp s3://rtdc.mdm.uploadarchive.raw/RTDC4026/ "%USERPROFILE%\AppData\Local\Temp\OnboardLogs"\RTDC4026\2016-11-17 --exclude "*" --recursive --include "*20161117*" &amp; "%USERPROFILE%\Documents\GitHub\mrs-test-scripts\Headless Mode &amp; Sideloading\WalkAndUnGZ.bat" "%USERPROFILE%\AppData\Local\Temp\OnboardLogs"\RTDC4026\2016-11-17</v>
      </c>
      <c r="AF198" s="88" t="str">
        <f t="shared" si="59"/>
        <v>"C:\Program Files (x86)\AstroGrep\AstroGrep.exe" /spath="%USERPROFILE%\AppData\Local\Temp\OnboardLogs" /stypes="app*4026*20161117*" /stext=" 04:.+((SYSTEM_STATE.+slice.+state.+changed )|(ment ac)|(system.+state.+changed )|(\[timeout)|(PRM\|1\|D)|(kpr)|(kdp)|(\|lc)|(penalty))" /e /r /s</v>
      </c>
      <c r="AG198" s="1" t="str">
        <f t="shared" si="73"/>
        <v>NW</v>
      </c>
      <c r="AH198" s="92" t="str">
        <f t="shared" si="60"/>
        <v>"%USERPROFILE%\Documents\GitHub\eaglep3\Utilities\RefineRTDCRunTimes.py" --tripid 844-16 --locoid 4026 --swversion DE.1.0.8.0 --startMP 300:58658 --initTime 2016-11-16T21:41:02 --startdatetime 2016-11-16T21:43:14 --delay 1 --endMP 204:726 --enddatetime 2016-11-16T21:58:12 --enforcementcount 0 &gt;&gt;C:\Users\stu\Documents\GitHub\eaglep3-reporting\EC\2016-11-16-refined-times.txt</v>
      </c>
      <c r="AI198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{"issue":{"subject":"","project_id":79,"tracker_id":40,"status_id":1,"priority_id":2,"assigned_to_id":23,"start_date":"2016-11-16","description":"","custom_fields":[{"id":1,"name":"Subdivision","value":"NW"},{"id":4,"name":"Milepost","value":"0.0726"},{"id":17,"name":"Train ID","value":"844-16"},{"id":16,"name":"Locomotive ID","value":"4026"},{"id":130,"name":"Impact","value":""},{"id":150,"name":"Time of Event (Mountain Time)","value":"21:58:12"},{"id":151,"name":"Denver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449</v>
      </c>
      <c r="B199" s="7">
        <v>4025</v>
      </c>
      <c r="C199" s="22" t="s">
        <v>222</v>
      </c>
      <c r="D199" s="22" t="s">
        <v>775</v>
      </c>
      <c r="E199" s="13">
        <v>42690.8825</v>
      </c>
      <c r="F199" s="13">
        <v>42690.889803240738</v>
      </c>
      <c r="G199" s="7">
        <v>1</v>
      </c>
      <c r="H199" s="22" t="s">
        <v>749</v>
      </c>
      <c r="I199" s="13">
        <v>42690.902083333334</v>
      </c>
      <c r="J199" s="7">
        <v>0</v>
      </c>
      <c r="K199" s="109" t="str">
        <f t="shared" si="65"/>
        <v>4025/4026</v>
      </c>
      <c r="L199" s="22" t="str">
        <f>VLOOKUP(A199,'Trips&amp;Operators'!$C$1:$E$10000,3,FALSE)</f>
        <v>NELSON</v>
      </c>
      <c r="M199" s="6">
        <f t="shared" si="66"/>
        <v>1.2280092596483883E-2</v>
      </c>
      <c r="N199" s="7">
        <f t="shared" si="78"/>
        <v>17.683333338936791</v>
      </c>
      <c r="O199" s="7"/>
      <c r="P199" s="7"/>
      <c r="Q199" s="23"/>
      <c r="R199" s="23"/>
      <c r="S199" s="35">
        <f t="shared" si="79"/>
        <v>1</v>
      </c>
      <c r="T199" s="50" t="str">
        <f t="shared" si="67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https://search-rtdc-monitor-bjffxe2xuh6vdkpspy63sjmuny.us-east-1.es.amazonaws.com/_plugin/kibana/#/discover/Steve-Slow-Train-Analysis-(2080s-and-2083s)?_g=(refreshInterval:(display:Off,section:0,value:0),time:(from:'2016-11-16 20:10:48-700',mode:absolute,to:'2016-11-16 22:39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9" s="52" t="str">
        <f t="shared" si="68"/>
        <v>N</v>
      </c>
      <c r="X199" s="177">
        <f t="shared" si="77"/>
        <v>1</v>
      </c>
      <c r="Y199" s="67">
        <f t="shared" si="69"/>
        <v>0.1048</v>
      </c>
      <c r="Z199" s="67">
        <f t="shared" si="70"/>
        <v>5.899</v>
      </c>
      <c r="AA199" s="67">
        <f t="shared" si="71"/>
        <v>5.7942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72"/>
        <v>0845-16</v>
      </c>
      <c r="AE199" s="91" t="str">
        <f t="shared" si="58"/>
        <v>aws s3 cp s3://rtdc.mdm.uploadarchive.raw/RTDC4025/ "%USERPROFILE%\AppData\Local\Temp\OnboardLogs"\RTDC4025\2016-11-16 --exclude "*" --recursive --include "*20161116*" &amp; "%USERPROFILE%\Documents\GitHub\mrs-test-scripts\Headless Mode &amp; Sideloading\WalkAndUnGZ.bat" "%USERPROFILE%\AppData\Local\Temp\OnboardLogs"\RTDC4025\2016-11-16 &amp; aws s3 cp s3://rtdc.mdm.uploadarchive.raw/RTDC4025/ "%USERPROFILE%\AppData\Local\Temp\OnboardLogs"\RTDC4025\2016-11-17 --exclude "*" --recursive --include "*20161117*" &amp; "%USERPROFILE%\Documents\GitHub\mrs-test-scripts\Headless Mode &amp; Sideloading\WalkAndUnGZ.bat" "%USERPROFILE%\AppData\Local\Temp\OnboardLogs"\RTDC4025\2016-11-17</v>
      </c>
      <c r="AF199" s="88" t="str">
        <f t="shared" si="59"/>
        <v>"C:\Program Files (x86)\AstroGrep\AstroGrep.exe" /spath="%USERPROFILE%\AppData\Local\Temp\OnboardLogs" /stypes="app*4025*20161117*" /stext=" 04:.+((SYSTEM_STATE.+slice.+state.+changed )|(ment ac)|(system.+state.+changed )|(\[timeout)|(PRM\|1\|D)|(kpr)|(kdp)|(\|lc)|(penalty))" /e /r /s</v>
      </c>
      <c r="AG199" s="1" t="str">
        <f t="shared" si="73"/>
        <v>NW</v>
      </c>
      <c r="AH199" s="92" t="str">
        <f t="shared" si="60"/>
        <v>"%USERPROFILE%\Documents\GitHub\eaglep3\Utilities\RefineRTDCRunTimes.py" --tripid 845-16 --locoid 4025 --swversion DE.1.0.8.0 --startMP 204:1048 --initTime 2016-11-16T21:10:48 --startdatetime 2016-11-16T21:21:19 --delay 1 --endMP 300:58990 --enddatetime 2016-11-16T21:39:00 --enforcementcount 0 &gt;&gt;C:\Users\stu\Documents\GitHub\eaglep3-reporting\EC\2016-11-16-refined-times.txt</v>
      </c>
      <c r="AI199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{"issue":{"subject":"","project_id":79,"tracker_id":40,"status_id":1,"priority_id":2,"assigned_to_id":23,"start_date":"2016-11-16","description":"","custom_fields":[{"id":1,"name":"Subdivision","value":"NW"},{"id":4,"name":"Milepost","value":"5.899"},{"id":17,"name":"Train ID","value":"845-16"},{"id":16,"name":"Locomotive ID","value":"4025"},{"id":130,"name":"Impact","value":""},{"id":150,"name":"Time of Event (Mountain Time)","value":"21:39:00"},{"id":151,"name":"Denver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615</v>
      </c>
      <c r="B200" s="7">
        <v>4025</v>
      </c>
      <c r="C200" s="22" t="s">
        <v>222</v>
      </c>
      <c r="D200" s="22" t="s">
        <v>776</v>
      </c>
      <c r="E200" s="13">
        <v>42690.92827546296</v>
      </c>
      <c r="F200" s="13">
        <v>42690.931400462963</v>
      </c>
      <c r="G200" s="7">
        <v>1</v>
      </c>
      <c r="H200" s="22" t="s">
        <v>294</v>
      </c>
      <c r="I200" s="13">
        <v>42690.94263888889</v>
      </c>
      <c r="J200" s="7">
        <v>0</v>
      </c>
      <c r="K200" s="109" t="str">
        <f t="shared" si="65"/>
        <v>4025/4026</v>
      </c>
      <c r="L200" s="22" t="str">
        <f>VLOOKUP(A200,'Trips&amp;Operators'!$C$1:$E$10000,3,FALSE)</f>
        <v>NELSON</v>
      </c>
      <c r="M200" s="6">
        <f t="shared" si="66"/>
        <v>1.1238425926421769E-2</v>
      </c>
      <c r="N200" s="7">
        <f t="shared" si="78"/>
        <v>16.183333334047347</v>
      </c>
      <c r="O200" s="7"/>
      <c r="P200" s="7"/>
      <c r="Q200" s="23"/>
      <c r="R200" s="23"/>
      <c r="S200" s="35">
        <f t="shared" si="79"/>
        <v>1</v>
      </c>
      <c r="T200" s="50" t="str">
        <f t="shared" si="67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ref="V200:V225" si="80">"https://search-rtdc-monitor-bjffxe2xuh6vdkpspy63sjmuny.us-east-1.es.amazonaws.com/_plugin/kibana/#/discover/Steve-Slow-Train-Analysis-(2080s-and-2083s)?_g=(refreshInterval:(display:Off,section:0,value:0),time:(from:'"&amp;TEXT(E200-1/24,"yyyy-MM-DD hh:mm:ss")&amp;utc_offset&amp;"00',mode:absolute,to:'"&amp;TEXT(I200+1/24,"yyyy-MM-DD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https://search-rtdc-monitor-bjffxe2xuh6vdkpspy63sjmuny.us-east-1.es.amazonaws.com/_plugin/kibana/#/discover/Steve-Slow-Train-Analysis-(2080s-and-2083s)?_g=(refreshInterval:(display:Off,section:0,value:0),time:(from:'2016-11-16 21:16:43-700',mode:absolute,to:'2016-11-16 23:37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0" s="52" t="str">
        <f t="shared" si="68"/>
        <v>N</v>
      </c>
      <c r="X200" s="177">
        <f t="shared" si="77"/>
        <v>2</v>
      </c>
      <c r="Y200" s="67">
        <f t="shared" si="69"/>
        <v>0.1009</v>
      </c>
      <c r="Z200" s="67">
        <f t="shared" si="70"/>
        <v>5.8935000000000004</v>
      </c>
      <c r="AA200" s="67">
        <f t="shared" si="71"/>
        <v>5.7926000000000002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72"/>
        <v>0847-16</v>
      </c>
      <c r="AE200" s="91" t="str">
        <f t="shared" ref="AE200:AE225" si="81"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s3://rtdc.mdm.uploadarchive.raw/RTDC4025/ "%USERPROFILE%\AppData\Local\Temp\OnboardLogs"\RTDC4025\2016-11-16 --exclude "*" --recursive --include "*20161116*" &amp; "%USERPROFILE%\Documents\GitHub\mrs-test-scripts\Headless Mode &amp; Sideloading\WalkAndUnGZ.bat" "%USERPROFILE%\AppData\Local\Temp\OnboardLogs"\RTDC4025\2016-11-16 &amp; aws s3 cp s3://rtdc.mdm.uploadarchive.raw/RTDC4025/ "%USERPROFILE%\AppData\Local\Temp\OnboardLogs"\RTDC4025\2016-11-17 --exclude "*" --recursive --include "*20161117*" &amp; "%USERPROFILE%\Documents\GitHub\mrs-test-scripts\Headless Mode &amp; Sideloading\WalkAndUnGZ.bat" "%USERPROFILE%\AppData\Local\Temp\OnboardLogs"\RTDC4025\2016-11-17</v>
      </c>
      <c r="AF200" s="88" t="str">
        <f t="shared" ref="AF200:AF225" si="82"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/stypes="app*4025*20161117*" /stext=" 05:.+((SYSTEM_STATE.+slice.+state.+changed )|(ment ac)|(system.+state.+changed )|(\[timeout)|(PRM\|1\|D)|(kpr)|(kdp)|(\|lc)|(penalty))" /e /r /s</v>
      </c>
      <c r="AG200" s="1" t="str">
        <f t="shared" si="73"/>
        <v>NW</v>
      </c>
      <c r="AH200" s="92" t="str">
        <f t="shared" si="60"/>
        <v>"%USERPROFILE%\Documents\GitHub\eaglep3\Utilities\RefineRTDCRunTimes.py" --tripid 847-16 --locoid 4025 --swversion DE.1.0.8.0 --startMP 204:1009 --initTime 2016-11-16T22:16:43 --startdatetime 2016-11-16T22:21:13 --delay 1 --endMP 300:58935 --enddatetime 2016-11-16T22:37:24 --enforcementcount 0 &gt;&gt;C:\Users\stu\Documents\GitHub\eaglep3-reporting\EC\2016-11-16-refined-times.txt</v>
      </c>
      <c r="AI200" s="119" t="str">
        <f t="shared" si="61"/>
        <v>echo {"issue":{"subject":"","project_id":79,"tracker_id":40,"status_id":1,"priority_id":2,"assigned_to_id":23,"start_date":"2016-11-16","description":"","custom_fields":[{"id":1,"name":"Subdivision","value":"NW"},{"id":4,"name":"Milepost","value":"5.8935"},{"id":17,"name":"Train ID","value":"847-16"},{"id":16,"name":"Locomotive ID","value":"4025"},{"id":130,"name":"Impact","value":""},{"id":150,"name":"Time of Event (Mountain Time)","value":"22:37:24"},{"id":151,"name":"Denver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596</v>
      </c>
      <c r="B201" s="7">
        <v>4014</v>
      </c>
      <c r="C201" s="22" t="s">
        <v>222</v>
      </c>
      <c r="D201" s="22" t="s">
        <v>201</v>
      </c>
      <c r="E201" s="13">
        <v>42690.782500000001</v>
      </c>
      <c r="F201" s="13">
        <v>25568.708333333332</v>
      </c>
      <c r="G201" s="7">
        <v>1</v>
      </c>
      <c r="H201" s="22" t="s">
        <v>700</v>
      </c>
      <c r="I201" s="13">
        <v>25568.708333333332</v>
      </c>
      <c r="J201" s="7">
        <v>0</v>
      </c>
      <c r="K201" s="109" t="str">
        <f t="shared" si="65"/>
        <v>4013/4014</v>
      </c>
      <c r="L201" s="22" t="str">
        <f>VLOOKUP(A201,'Trips&amp;Operators'!$C$1:$E$10000,3,FALSE)</f>
        <v>BROWN</v>
      </c>
      <c r="M201" s="6">
        <f t="shared" si="66"/>
        <v>0</v>
      </c>
      <c r="N201" s="7">
        <f t="shared" si="78"/>
        <v>0</v>
      </c>
      <c r="O201" s="7"/>
      <c r="P201" s="7"/>
      <c r="Q201" s="23"/>
      <c r="R201" s="23"/>
      <c r="S201" s="35">
        <f t="shared" si="79"/>
        <v>1</v>
      </c>
      <c r="T201" s="50" t="str">
        <f t="shared" si="67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https://search-rtdc-monitor-bjffxe2xuh6vdkpspy63sjmuny.us-east-1.es.amazonaws.com/_plugin/kibana/#/discover/Steve-Slow-Train-Analysis-(2080s-and-2083s)?_g=(refreshInterval:(display:Off,section:0,value:0),time:(from:'2016-11-16 17:46:48-700',mode:absolute,to:'1969-12-31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1" s="52" t="str">
        <f t="shared" si="68"/>
        <v>Y</v>
      </c>
      <c r="X201" s="177">
        <f t="shared" si="77"/>
        <v>-544</v>
      </c>
      <c r="Y201" s="67">
        <f t="shared" si="69"/>
        <v>4.5999999999999999E-2</v>
      </c>
      <c r="Z201" s="67">
        <f t="shared" si="70"/>
        <v>2.3140000000000001</v>
      </c>
      <c r="AA201" s="67">
        <f t="shared" si="71"/>
        <v>2.2680000000000002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72"/>
        <v>0303-16</v>
      </c>
      <c r="AE201" s="91" t="str">
        <f t="shared" si="81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01" s="88" t="str">
        <f t="shared" si="82"/>
        <v>"C:\Program Files (x86)\AstroGrep\AstroGrep.exe" /spath="%USERPROFILE%\AppData\Local\Temp\OnboardLogs" /stypes="app*4014*19700101*" /stext=" 00:.+((SYSTEM_STATE.+slice.+state.+changed )|(ment ac)|(system.+state.+changed )|(\[timeout)|(PRM\|1\|D)|(kpr)|(kdp)|(\|lc)|(penalty))" /e /r /s</v>
      </c>
      <c r="AG201" s="1" t="str">
        <f t="shared" si="73"/>
        <v>Other</v>
      </c>
      <c r="AH201" s="92" t="str">
        <f t="shared" si="60"/>
        <v>"%USERPROFILE%\Documents\GitHub\eaglep3\Utilities\RefineRTDCRunTimes.py" --tripid 303-16 --locoid 4014 --swversion DE.1.0.8.0 --startMP 204:460 --initTime 2016-11-16T18:46:48 --startdatetime 1969-12-31T17:00:00 --delay 1 --endMP 300:23140 --enddatetime 1969-12-31T17:00:00 --enforcementcount 0 &gt;&gt;C:\Users\stu\Documents\GitHub\eaglep3-reporting\EC\2016-11-16-refined-times.txt</v>
      </c>
      <c r="AI201" s="119" t="str">
        <f t="shared" si="61"/>
        <v>echo {"issue":{"subject":"","project_id":79,"tracker_id":40,"status_id":1,"priority_id":2,"assigned_to_id":23,"start_date":"1969-12-31","description":"","custom_fields":[{"id":1,"name":"Subdivision","value":"Other"},{"id":4,"name":"Milepost","value":"2.314"},{"id":17,"name":"Train ID","value":"303-16"},{"id":16,"name":"Locomotive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458</v>
      </c>
      <c r="B202" s="7">
        <v>4008</v>
      </c>
      <c r="C202" s="22" t="s">
        <v>222</v>
      </c>
      <c r="D202" s="22" t="s">
        <v>701</v>
      </c>
      <c r="E202" s="13">
        <v>42690.143414351849</v>
      </c>
      <c r="F202" s="13">
        <v>42690.144687499997</v>
      </c>
      <c r="G202" s="7">
        <v>1</v>
      </c>
      <c r="H202" s="22">
        <v>8.53125</v>
      </c>
      <c r="I202" s="13">
        <v>42690.150960648149</v>
      </c>
      <c r="J202" s="7">
        <v>0</v>
      </c>
      <c r="K202" s="109" t="str">
        <f t="shared" si="65"/>
        <v>4007/4008</v>
      </c>
      <c r="L202" s="22" t="str">
        <f>VLOOKUP(A202,'Trips&amp;Operators'!$C$1:$E$10000,3,FALSE)</f>
        <v>SAFIEF</v>
      </c>
      <c r="M202" s="6">
        <f t="shared" si="66"/>
        <v>6.2731481521041133E-3</v>
      </c>
      <c r="N202" s="7">
        <f t="shared" si="78"/>
        <v>9.0333333390299231</v>
      </c>
      <c r="O202" s="7"/>
      <c r="P202" s="7"/>
      <c r="Q202" s="23"/>
      <c r="R202" s="23"/>
      <c r="S202" s="35">
        <f t="shared" si="79"/>
        <v>1</v>
      </c>
      <c r="T202" s="50" t="str">
        <f t="shared" si="67"/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https://search-rtdc-monitor-bjffxe2xuh6vdkpspy63sjmuny.us-east-1.es.amazonaws.com/_plugin/kibana/#/discover/Steve-Slow-Train-Analysis-(2080s-and-2083s)?_g=(refreshInterval:(display:Off,section:0,value:0),time:(from:'2016-11-16 02:26:31-700',mode:absolute,to:'2016-11-16 04:37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02" s="52" t="str">
        <f t="shared" si="68"/>
        <v>Y</v>
      </c>
      <c r="X202" s="177">
        <f t="shared" si="77"/>
        <v>1</v>
      </c>
      <c r="Y202" s="67">
        <f t="shared" si="69"/>
        <v>2.234</v>
      </c>
      <c r="Z202" s="67">
        <f t="shared" si="70"/>
        <v>1.2500000000000001E-2</v>
      </c>
      <c r="AA202" s="67">
        <f t="shared" si="71"/>
        <v>2.2214999999999998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72"/>
        <v>0304-16</v>
      </c>
      <c r="AE202" s="91" t="str">
        <f t="shared" si="81"/>
        <v>aws s3 cp s3://rtdc.mdm.uploadarchive.raw/RTDC4008/ "%USERPROFILE%\AppData\Local\Temp\OnboardLogs"\RTDC4008\2016-11-16 --exclude "*" --recursive --include "*20161116*" &amp; "%USERPROFILE%\Documents\GitHub\mrs-test-scripts\Headless Mode &amp; Sideloading\WalkAndUnGZ.bat" "%USERPROFILE%\AppData\Local\Temp\OnboardLogs"\RTDC4008\2016-11-16 &amp; aws s3 cp s3://rtdc.mdm.uploadarchive.raw/RTDC4008/ "%USERPROFILE%\AppData\Local\Temp\OnboardLogs"\RTDC4008\2016-11-17 --exclude "*" --recursive --include "*20161117*" &amp; "%USERPROFILE%\Documents\GitHub\mrs-test-scripts\Headless Mode &amp; Sideloading\WalkAndUnGZ.bat" "%USERPROFILE%\AppData\Local\Temp\OnboardLogs"\RTDC4008\2016-11-17</v>
      </c>
      <c r="AF202" s="88" t="str">
        <f t="shared" si="82"/>
        <v>"C:\Program Files (x86)\AstroGrep\AstroGrep.exe" /spath="%USERPROFILE%\AppData\Local\Temp\OnboardLogs" /stypes="app*4008*20161116*" /stext=" 10:.+((SYSTEM_STATE.+slice.+state.+changed )|(ment ac)|(system.+state.+changed )|(\[timeout)|(PRM\|1\|D)|(kpr)|(kdp)|(\|lc)|(penalty))" /e /r /s</v>
      </c>
      <c r="AG202" s="1" t="str">
        <f t="shared" si="73"/>
        <v>Other</v>
      </c>
      <c r="AH202" s="92" t="str">
        <f t="shared" ref="AH202:AH225" si="83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304-16 --locoid 4008 --swversion DE.1.0.8.0 --startMP 300:22340 --initTime 2016-11-16T03:26:31 --startdatetime 2016-11-16T03:28:21 --delay 1 --endMP 8.53125 --enddatetime 2016-11-16T03:37:23 --enforcementcount 0 &gt;&gt;C:\Users\stu\Documents\GitHub\eaglep3-reporting\EC\2016-11-16-refined-times.txt</v>
      </c>
      <c r="AI202" s="119" t="str">
        <f t="shared" ref="AI202:AI225" si="84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{"issue":{"subject":"","project_id":79,"tracker_id":40,"status_id":1,"priority_id":2,"assigned_to_id":23,"start_date":"2016-11-16","description":"","custom_fields":[{"id":1,"name":"Subdivision","value":"Other"},{"id":4,"name":"Milepost","value":"0.0125"},{"id":17,"name":"Train ID","value":"304-16"},{"id":16,"name":"Locomotive ID","value":"4008"},{"id":130,"name":"Impact","value":""},{"id":150,"name":"Time of Event (Mountain Time)","value":"03:37:23"},{"id":151,"name":"Denver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445</v>
      </c>
      <c r="B203" s="7">
        <v>4022</v>
      </c>
      <c r="C203" s="22" t="s">
        <v>222</v>
      </c>
      <c r="D203" s="22" t="s">
        <v>201</v>
      </c>
      <c r="E203" s="13">
        <v>42690.799178240741</v>
      </c>
      <c r="F203" s="13">
        <v>25568.708333333332</v>
      </c>
      <c r="G203" s="7">
        <v>1</v>
      </c>
      <c r="H203" s="22" t="s">
        <v>326</v>
      </c>
      <c r="I203" s="13">
        <v>25568.708333333332</v>
      </c>
      <c r="J203" s="7">
        <v>0</v>
      </c>
      <c r="K203" s="109" t="str">
        <f t="shared" si="65"/>
        <v>4021/4022</v>
      </c>
      <c r="L203" s="22" t="str">
        <f>VLOOKUP(A203,'Trips&amp;Operators'!$C$1:$E$10000,3,FALSE)</f>
        <v>ADANE</v>
      </c>
      <c r="M203" s="6">
        <f t="shared" si="66"/>
        <v>0</v>
      </c>
      <c r="N203" s="7">
        <f t="shared" si="78"/>
        <v>0</v>
      </c>
      <c r="O203" s="7"/>
      <c r="P203" s="7"/>
      <c r="Q203" s="23"/>
      <c r="R203" s="23"/>
      <c r="S203" s="35">
        <f t="shared" si="79"/>
        <v>1</v>
      </c>
      <c r="T203" s="50" t="str">
        <f t="shared" si="67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https://search-rtdc-monitor-bjffxe2xuh6vdkpspy63sjmuny.us-east-1.es.amazonaws.com/_plugin/kibana/#/discover/Steve-Slow-Train-Analysis-(2080s-and-2083s)?_g=(refreshInterval:(display:Off,section:0,value:0),time:(from:'2016-11-16 18:10:49-700',mode:absolute,to:'1969-12-31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3" s="52" t="str">
        <f t="shared" si="68"/>
        <v>Y</v>
      </c>
      <c r="X203" s="177">
        <f t="shared" si="77"/>
        <v>1</v>
      </c>
      <c r="Y203" s="67">
        <f t="shared" si="69"/>
        <v>4.5999999999999999E-2</v>
      </c>
      <c r="Z203" s="67">
        <f t="shared" si="70"/>
        <v>2.3308</v>
      </c>
      <c r="AA203" s="67">
        <f t="shared" si="71"/>
        <v>2.2848000000000002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72"/>
        <v>0305-16</v>
      </c>
      <c r="AE203" s="91" t="str">
        <f t="shared" si="81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03" s="88" t="str">
        <f t="shared" si="82"/>
        <v>"C:\Program Files (x86)\AstroGrep\AstroGrep.exe" /spath="%USERPROFILE%\AppData\Local\Temp\OnboardLogs" /stypes="app*4022*19700101*" /stext=" 00:.+((SYSTEM_STATE.+slice.+state.+changed )|(ment ac)|(system.+state.+changed )|(\[timeout)|(PRM\|1\|D)|(kpr)|(kdp)|(\|lc)|(penalty))" /e /r /s</v>
      </c>
      <c r="AG203" s="1" t="str">
        <f t="shared" si="73"/>
        <v>Other</v>
      </c>
      <c r="AH203" s="92" t="str">
        <f t="shared" si="83"/>
        <v>"%USERPROFILE%\Documents\GitHub\eaglep3\Utilities\RefineRTDCRunTimes.py" --tripid 305-16 --locoid 4022 --swversion DE.1.0.8.0 --startMP 204:460 --initTime 2016-11-16T19:10:49 --startdatetime 1969-12-31T17:00:00 --delay 1 --endMP 300:23308 --enddatetime 1969-12-31T17:00:00 --enforcementcount 0 &gt;&gt;C:\Users\stu\Documents\GitHub\eaglep3-reporting\EC\2016-11-16-refined-times.txt</v>
      </c>
      <c r="AI203" s="119" t="str">
        <f t="shared" si="84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ID","value":"305-16"},{"id":16,"name":"Locomotive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397</v>
      </c>
      <c r="B204" s="7">
        <v>4013</v>
      </c>
      <c r="C204" s="22" t="s">
        <v>222</v>
      </c>
      <c r="D204" s="22" t="s">
        <v>702</v>
      </c>
      <c r="E204" s="13">
        <v>42690.162638888891</v>
      </c>
      <c r="F204" s="13">
        <v>42690.164444444446</v>
      </c>
      <c r="G204" s="7">
        <v>1</v>
      </c>
      <c r="H204" s="22" t="s">
        <v>379</v>
      </c>
      <c r="I204" s="13">
        <v>42690.171469907407</v>
      </c>
      <c r="J204" s="7">
        <v>0</v>
      </c>
      <c r="K204" s="109" t="str">
        <f t="shared" si="65"/>
        <v>4013/4014</v>
      </c>
      <c r="L204" s="22" t="str">
        <f>VLOOKUP(A204,'Trips&amp;Operators'!$C$1:$E$10000,3,FALSE)</f>
        <v>STRICKLAND</v>
      </c>
      <c r="M204" s="6">
        <f t="shared" si="66"/>
        <v>7.025462960882578E-3</v>
      </c>
      <c r="N204" s="7">
        <f t="shared" si="78"/>
        <v>10.116666663670912</v>
      </c>
      <c r="O204" s="7"/>
      <c r="P204" s="7"/>
      <c r="Q204" s="23"/>
      <c r="R204" s="23"/>
      <c r="S204" s="35">
        <f t="shared" si="79"/>
        <v>1</v>
      </c>
      <c r="T204" s="50" t="str">
        <f t="shared" si="67"/>
        <v>Southbound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https://search-rtdc-monitor-bjffxe2xuh6vdkpspy63sjmuny.us-east-1.es.amazonaws.com/_plugin/kibana/#/discover/Steve-Slow-Train-Analysis-(2080s-and-2083s)?_g=(refreshInterval:(display:Off,section:0,value:0),time:(from:'2016-11-16 02:54:12-700',mode:absolute,to:'2016-11-16 05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4" s="52" t="str">
        <f t="shared" si="68"/>
        <v>Y</v>
      </c>
      <c r="X204" s="177">
        <f t="shared" si="77"/>
        <v>1</v>
      </c>
      <c r="Y204" s="67">
        <f t="shared" si="69"/>
        <v>2.1314000000000002</v>
      </c>
      <c r="Z204" s="67">
        <f t="shared" si="70"/>
        <v>8.5000000000000006E-3</v>
      </c>
      <c r="AA204" s="67">
        <f t="shared" si="71"/>
        <v>2.1229</v>
      </c>
      <c r="AB204" s="64" t="str">
        <f>VLOOKUP(A204,Enforcements!$C$7:$K$20,8,0)</f>
        <v>Form based authority (4)</v>
      </c>
      <c r="AC204" s="60" t="str">
        <f>VLOOKUP(A204,Enforcements!$C$7:$E$20,3,0)</f>
        <v>TRACK WARRANT AUTHORITY</v>
      </c>
      <c r="AD204" s="61" t="str">
        <f t="shared" si="72"/>
        <v>0306-16</v>
      </c>
      <c r="AE204" s="91" t="str">
        <f t="shared" si="81"/>
        <v>aws s3 cp s3://rtdc.mdm.uploadarchive.raw/RTDC4013/ "%USERPROFILE%\AppData\Local\Temp\OnboardLogs"\RTDC4013\2016-11-16 --exclude "*" --recursive --include "*20161116*" &amp; "%USERPROFILE%\Documents\GitHub\mrs-test-scripts\Headless Mode &amp; Sideloading\WalkAndUnGZ.bat" "%USERPROFILE%\AppData\Local\Temp\OnboardLogs"\RTDC4013\2016-11-16 &amp; 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</v>
      </c>
      <c r="AF204" s="88" t="str">
        <f t="shared" si="82"/>
        <v>"C:\Program Files (x86)\AstroGrep\AstroGrep.exe" /spath="%USERPROFILE%\AppData\Local\Temp\OnboardLogs" /stypes="app*4013*20161116*" /stext=" 11:.+((SYSTEM_STATE.+slice.+state.+changed )|(ment ac)|(system.+state.+changed )|(\[timeout)|(PRM\|1\|D)|(kpr)|(kdp)|(\|lc)|(penalty))" /e /r /s</v>
      </c>
      <c r="AG204" s="1" t="str">
        <f t="shared" si="73"/>
        <v>Other</v>
      </c>
      <c r="AH204" s="92" t="str">
        <f t="shared" si="83"/>
        <v>"%USERPROFILE%\Documents\GitHub\eaglep3\Utilities\RefineRTDCRunTimes.py" --tripid 306-16 --locoid 4013 --swversion DE.1.0.8.0 --startMP 300:21314 --initTime 2016-11-16T03:54:12 --startdatetime 2016-11-16T03:56:48 --delay 1 --endMP 204:85 --enddatetime 2016-11-16T04:06:55 --enforcementcount 0 &gt;&gt;C:\Users\stu\Documents\GitHub\eaglep3-reporting\EC\2016-11-16-refined-times.txt</v>
      </c>
      <c r="AI204" s="119" t="str">
        <f t="shared" si="84"/>
        <v>echo {"issue":{"subject":"","project_id":79,"tracker_id":40,"status_id":1,"priority_id":2,"assigned_to_id":23,"start_date":"2016-11-16","description":"","custom_fields":[{"id":1,"name":"Subdivision","value":"Other"},{"id":4,"name":"Milepost","value":"0.0085"},{"id":17,"name":"Train ID","value":"306-16"},{"id":16,"name":"Locomotive ID","value":"4013"},{"id":130,"name":"Impact","value":""},{"id":150,"name":"Time of Event (Mountain Time)","value":"04:06:55"},{"id":151,"name":"Denver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s="21" customFormat="1" x14ac:dyDescent="0.25">
      <c r="A205" s="37" t="s">
        <v>604</v>
      </c>
      <c r="B205" s="7">
        <v>4038</v>
      </c>
      <c r="C205" s="22" t="s">
        <v>222</v>
      </c>
      <c r="D205" s="22" t="s">
        <v>216</v>
      </c>
      <c r="E205" s="13">
        <v>42690.822395833333</v>
      </c>
      <c r="F205" s="13">
        <v>25568.708333333332</v>
      </c>
      <c r="G205" s="7">
        <v>3</v>
      </c>
      <c r="H205" s="22" t="s">
        <v>703</v>
      </c>
      <c r="I205" s="13">
        <v>25568.708333333332</v>
      </c>
      <c r="J205" s="7">
        <v>0</v>
      </c>
      <c r="K205" s="109" t="str">
        <f t="shared" si="65"/>
        <v>4037/4038</v>
      </c>
      <c r="L205" s="22" t="str">
        <f>VLOOKUP(A205,'Trips&amp;Operators'!$C$1:$E$10000,3,FALSE)</f>
        <v>NICHOLSON</v>
      </c>
      <c r="M205" s="6">
        <f t="shared" si="66"/>
        <v>0</v>
      </c>
      <c r="N205" s="7">
        <f t="shared" si="78"/>
        <v>0</v>
      </c>
      <c r="O205" s="7"/>
      <c r="P205" s="7"/>
      <c r="Q205" s="23"/>
      <c r="R205" s="23"/>
      <c r="S205" s="35">
        <f t="shared" si="79"/>
        <v>1</v>
      </c>
      <c r="T205" s="50" t="str">
        <f t="shared" si="67"/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https://search-rtdc-monitor-bjffxe2xuh6vdkpspy63sjmuny.us-east-1.es.amazonaws.com/_plugin/kibana/#/discover/Steve-Slow-Train-Analysis-(2080s-and-2083s)?_g=(refreshInterval:(display:Off,section:0,value:0),time:(from:'2016-11-16 18:44:15-700',mode:absolute,to:'1969-12-31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5" s="52" t="str">
        <f t="shared" si="68"/>
        <v>Y</v>
      </c>
      <c r="X205" s="177">
        <f t="shared" si="77"/>
        <v>1</v>
      </c>
      <c r="Y205" s="67">
        <f t="shared" si="69"/>
        <v>4.6199999999999998E-2</v>
      </c>
      <c r="Z205" s="67">
        <f t="shared" si="70"/>
        <v>2.3016999999999999</v>
      </c>
      <c r="AA205" s="67">
        <f t="shared" si="71"/>
        <v>2.2555000000000001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si="72"/>
        <v>0307-16</v>
      </c>
      <c r="AE205" s="91" t="str">
        <f t="shared" si="81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05" s="88" t="str">
        <f t="shared" si="82"/>
        <v>"C:\Program Files (x86)\AstroGrep\AstroGrep.exe" /spath="%USERPROFILE%\AppData\Local\Temp\OnboardLogs" /stypes="app*4038*19700101*" /stext=" 00:.+((SYSTEM_STATE.+slice.+state.+changed )|(ment ac)|(system.+state.+changed )|(\[timeout)|(PRM\|1\|D)|(kpr)|(kdp)|(\|lc)|(penalty))" /e /r /s</v>
      </c>
      <c r="AG205" s="1" t="str">
        <f t="shared" si="73"/>
        <v>Other</v>
      </c>
      <c r="AH205" s="92" t="str">
        <f t="shared" si="83"/>
        <v>"%USERPROFILE%\Documents\GitHub\eaglep3\Utilities\RefineRTDCRunTimes.py" --tripid 307-16 --locoid 4038 --swversion DE.1.0.8.0 --startMP 204:462 --initTime 2016-11-16T19:44:15 --startdatetime 1969-12-31T17:00:00 --delay 3 --endMP 300:23017 --enddatetime 1969-12-31T17:00:00 --enforcementcount 0 &gt;&gt;C:\Users\stu\Documents\GitHub\eaglep3-reporting\EC\2016-11-16-refined-times.txt</v>
      </c>
      <c r="AI205" s="119" t="str">
        <f t="shared" si="84"/>
        <v>echo {"issue":{"subject":"","project_id":79,"tracker_id":40,"status_id":1,"priority_id":2,"assigned_to_id":23,"start_date":"1969-12-31","description":"","custom_fields":[{"id":1,"name":"Subdivision","value":"Other"},{"id":4,"name":"Milepost","value":"2.3017"},{"id":17,"name":"Train ID","value":"307-16"},{"id":16,"name":"Locomotive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462</v>
      </c>
      <c r="B206" s="7">
        <v>4015</v>
      </c>
      <c r="C206" s="22" t="s">
        <v>222</v>
      </c>
      <c r="D206" s="22" t="s">
        <v>704</v>
      </c>
      <c r="E206" s="13">
        <v>42690.173009259262</v>
      </c>
      <c r="F206" s="13">
        <v>42690.176400462966</v>
      </c>
      <c r="G206" s="7">
        <v>3</v>
      </c>
      <c r="H206" s="22" t="s">
        <v>220</v>
      </c>
      <c r="I206" s="13">
        <v>42690.183113425926</v>
      </c>
      <c r="J206" s="7">
        <v>0</v>
      </c>
      <c r="K206" s="109" t="str">
        <f t="shared" si="65"/>
        <v>4015/4016</v>
      </c>
      <c r="L206" s="22" t="str">
        <f>VLOOKUP(A206,'Trips&amp;Operators'!$C$1:$E$10000,3,FALSE)</f>
        <v>SPECTOR</v>
      </c>
      <c r="M206" s="6">
        <f t="shared" si="66"/>
        <v>6.7129629605915397E-3</v>
      </c>
      <c r="N206" s="7">
        <f t="shared" si="78"/>
        <v>9.6666666632518172</v>
      </c>
      <c r="O206" s="7"/>
      <c r="P206" s="7"/>
      <c r="Q206" s="23"/>
      <c r="R206" s="23"/>
      <c r="S206" s="35">
        <f t="shared" si="79"/>
        <v>1</v>
      </c>
      <c r="T206" s="50" t="str">
        <f t="shared" si="67"/>
        <v>Southbound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https://search-rtdc-monitor-bjffxe2xuh6vdkpspy63sjmuny.us-east-1.es.amazonaws.com/_plugin/kibana/#/discover/Steve-Slow-Train-Analysis-(2080s-and-2083s)?_g=(refreshInterval:(display:Off,section:0,value:0),time:(from:'2016-11-16 03:09:08-700',mode:absolute,to:'2016-11-16 05:23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06" s="52" t="str">
        <f t="shared" si="68"/>
        <v>Y</v>
      </c>
      <c r="X206" s="177">
        <f t="shared" si="77"/>
        <v>1</v>
      </c>
      <c r="Y206" s="67">
        <f t="shared" si="69"/>
        <v>2.3249</v>
      </c>
      <c r="Z206" s="67">
        <f t="shared" si="70"/>
        <v>1.61E-2</v>
      </c>
      <c r="AA206" s="67">
        <f t="shared" si="71"/>
        <v>2.3088000000000002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72"/>
        <v>0308-16</v>
      </c>
      <c r="AE206" s="91" t="str">
        <f t="shared" si="81"/>
        <v>aws s3 cp s3://rtdc.mdm.uploadarchive.raw/RTDC4015/ "%USERPROFILE%\AppData\Local\Temp\OnboardLogs"\RTDC4015\2016-11-16 --exclude "*" --recursive --include "*20161116*" &amp; "%USERPROFILE%\Documents\GitHub\mrs-test-scripts\Headless Mode &amp; Sideloading\WalkAndUnGZ.bat" "%USERPROFILE%\AppData\Local\Temp\OnboardLogs"\RTDC4015\2016-11-16 &amp; aws s3 cp s3://rtdc.mdm.uploadarchive.raw/RTDC4015/ "%USERPROFILE%\AppData\Local\Temp\OnboardLogs"\RTDC4015\2016-11-17 --exclude "*" --recursive --include "*20161117*" &amp; "%USERPROFILE%\Documents\GitHub\mrs-test-scripts\Headless Mode &amp; Sideloading\WalkAndUnGZ.bat" "%USERPROFILE%\AppData\Local\Temp\OnboardLogs"\RTDC4015\2016-11-17</v>
      </c>
      <c r="AF206" s="88" t="str">
        <f t="shared" si="82"/>
        <v>"C:\Program Files (x86)\AstroGrep\AstroGrep.exe" /spath="%USERPROFILE%\AppData\Local\Temp\OnboardLogs" /stypes="app*4015*20161116*" /stext=" 11:.+((SYSTEM_STATE.+slice.+state.+changed )|(ment ac)|(system.+state.+changed )|(\[timeout)|(PRM\|1\|D)|(kpr)|(kdp)|(\|lc)|(penalty))" /e /r /s</v>
      </c>
      <c r="AG206" s="1" t="str">
        <f t="shared" si="73"/>
        <v>Other</v>
      </c>
      <c r="AH206" s="92" t="str">
        <f t="shared" si="83"/>
        <v>"%USERPROFILE%\Documents\GitHub\eaglep3\Utilities\RefineRTDCRunTimes.py" --tripid 308-16 --locoid 4015 --swversion DE.1.0.8.0 --startMP 300:23249 --initTime 2016-11-16T04:09:08 --startdatetime 2016-11-16T04:14:01 --delay 3 --endMP 204:161 --enddatetime 2016-11-16T04:23:41 --enforcementcount 0 &gt;&gt;C:\Users\stu\Documents\GitHub\eaglep3-reporting\EC\2016-11-16-refined-times.txt</v>
      </c>
      <c r="AI206" s="119" t="str">
        <f t="shared" si="84"/>
        <v>echo {"issue":{"subject":"","project_id":79,"tracker_id":40,"status_id":1,"priority_id":2,"assigned_to_id":23,"start_date":"2016-11-16","description":"","custom_fields":[{"id":1,"name":"Subdivision","value":"Other"},{"id":4,"name":"Milepost","value":"0.0161"},{"id":17,"name":"Train ID","value":"308-16"},{"id":16,"name":"Locomotive ID","value":"4015"},{"id":130,"name":"Impact","value":""},{"id":150,"name":"Time of Event (Mountain Time)","value":"04:23:41"},{"id":151,"name":"Denver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1" customFormat="1" x14ac:dyDescent="0.25">
      <c r="A207" s="37" t="s">
        <v>625</v>
      </c>
      <c r="B207" s="7">
        <v>4016</v>
      </c>
      <c r="C207" s="22" t="s">
        <v>222</v>
      </c>
      <c r="D207" s="22" t="s">
        <v>221</v>
      </c>
      <c r="E207" s="13">
        <v>42691.043425925927</v>
      </c>
      <c r="F207" s="13">
        <v>42691.047986111109</v>
      </c>
      <c r="G207" s="7">
        <v>1</v>
      </c>
      <c r="H207" s="22" t="s">
        <v>705</v>
      </c>
      <c r="I207" s="13">
        <v>42691.053472222222</v>
      </c>
      <c r="J207" s="7">
        <v>0</v>
      </c>
      <c r="K207" s="109" t="str">
        <f t="shared" si="65"/>
        <v>4015/4016</v>
      </c>
      <c r="L207" s="22" t="str">
        <f>VLOOKUP(A207,'Trips&amp;Operators'!$C$1:$E$10000,3,FALSE)</f>
        <v>MCREYNOLDS</v>
      </c>
      <c r="M207" s="6">
        <f t="shared" si="66"/>
        <v>5.4861111129866913E-3</v>
      </c>
      <c r="N207" s="7">
        <f t="shared" si="78"/>
        <v>7.9000000027008355</v>
      </c>
      <c r="O207" s="7"/>
      <c r="P207" s="7"/>
      <c r="Q207" s="23"/>
      <c r="R207" s="23"/>
      <c r="S207" s="35">
        <f t="shared" si="79"/>
        <v>1</v>
      </c>
      <c r="T207" s="50" t="str">
        <f t="shared" si="67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https://search-rtdc-monitor-bjffxe2xuh6vdkpspy63sjmuny.us-east-1.es.amazonaws.com/_plugin/kibana/#/discover/Steve-Slow-Train-Analysis-(2080s-and-2083s)?_g=(refreshInterval:(display:Off,section:0,value:0),time:(from:'2016-11-17 00:02:32-700',mode:absolute,to:'2016-11-17 02:17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7" s="52" t="str">
        <f t="shared" si="68"/>
        <v>Y</v>
      </c>
      <c r="X207" s="177">
        <f t="shared" si="77"/>
        <v>1</v>
      </c>
      <c r="Y207" s="67">
        <f t="shared" si="69"/>
        <v>4.6399999999999997E-2</v>
      </c>
      <c r="Z207" s="67">
        <f t="shared" si="70"/>
        <v>3.1181999999999999</v>
      </c>
      <c r="AA207" s="67">
        <f t="shared" si="71"/>
        <v>3.0717999999999996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72"/>
        <v>0309-16</v>
      </c>
      <c r="AE207" s="91" t="str">
        <f t="shared" si="81"/>
        <v>aws s3 cp s3://rtdc.mdm.uploadarchive.raw/RTDC4016/ "%USERPROFILE%\AppData\Local\Temp\OnboardLogs"\RTDC4016\2016-11-17 --exclude "*" --recursive --include "*20161117*" &amp; "%USERPROFILE%\Documents\GitHub\mrs-test-scripts\Headless Mode &amp; Sideloading\WalkAndUnGZ.bat" "%USERPROFILE%\AppData\Local\Temp\OnboardLogs"\RTDC4016\2016-11-17 &amp; aws s3 cp s3://rtdc.mdm.uploadarchive.raw/RTDC4016/ "%USERPROFILE%\AppData\Local\Temp\OnboardLogs"\RTDC4016\2016-11-18 --exclude "*" --recursive --include "*20161118*" &amp; "%USERPROFILE%\Documents\GitHub\mrs-test-scripts\Headless Mode &amp; Sideloading\WalkAndUnGZ.bat" "%USERPROFILE%\AppData\Local\Temp\OnboardLogs"\RTDC4016\2016-11-18</v>
      </c>
      <c r="AF207" s="88" t="str">
        <f t="shared" si="82"/>
        <v>"C:\Program Files (x86)\AstroGrep\AstroGrep.exe" /spath="%USERPROFILE%\AppData\Local\Temp\OnboardLogs" /stypes="app*4016*20161117*" /stext=" 08:.+((SYSTEM_STATE.+slice.+state.+changed )|(ment ac)|(system.+state.+changed )|(\[timeout)|(PRM\|1\|D)|(kpr)|(kdp)|(\|lc)|(penalty))" /e /r /s</v>
      </c>
      <c r="AG207" s="1" t="str">
        <f t="shared" si="73"/>
        <v>Other</v>
      </c>
      <c r="AH207" s="92" t="str">
        <f t="shared" si="83"/>
        <v>"%USERPROFILE%\Documents\GitHub\eaglep3\Utilities\RefineRTDCRunTimes.py" --tripid 309-16 --locoid 4016 --swversion DE.1.0.8.0 --startMP 204:464 --initTime 2016-11-17T01:02:32 --startdatetime 2016-11-17T01:09:06 --delay 1 --endMP 300:31182 --enddatetime 2016-11-17T01:17:00 --enforcementcount 0 &gt;&gt;C:\Users\stu\Documents\GitHub\eaglep3-reporting\EC\2016-11-16-refined-times.txt</v>
      </c>
      <c r="AI207" s="119" t="str">
        <f t="shared" si="84"/>
        <v>echo {"issue":{"subject":"","project_id":79,"tracker_id":40,"status_id":1,"priority_id":2,"assigned_to_id":23,"start_date":"2016-11-17","description":"","custom_fields":[{"id":1,"name":"Subdivision","value":"Other"},{"id":4,"name":"Milepost","value":"3.1182"},{"id":17,"name":"Train ID","value":"309-16"},{"id":16,"name":"Locomotive ID","value":"4016"},{"id":130,"name":"Impact","value":""},{"id":150,"name":"Time of Event (Mountain Time)","value":"01:17:00"},{"id":151,"name":"Denver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7" t="s">
        <v>398</v>
      </c>
      <c r="B208" s="7">
        <v>4043</v>
      </c>
      <c r="C208" s="22" t="s">
        <v>222</v>
      </c>
      <c r="D208" s="22" t="s">
        <v>706</v>
      </c>
      <c r="E208" s="13">
        <v>42690.181319444448</v>
      </c>
      <c r="F208" s="13">
        <v>42690.182453703703</v>
      </c>
      <c r="G208" s="7">
        <v>1</v>
      </c>
      <c r="H208" s="22" t="s">
        <v>301</v>
      </c>
      <c r="I208" s="13">
        <v>42690.200682870367</v>
      </c>
      <c r="J208" s="7">
        <v>0</v>
      </c>
      <c r="K208" s="109" t="str">
        <f t="shared" si="65"/>
        <v>4043/4044</v>
      </c>
      <c r="L208" s="22" t="str">
        <f>VLOOKUP(A208,'Trips&amp;Operators'!$C$1:$E$10000,3,FALSE)</f>
        <v>ROBINSON</v>
      </c>
      <c r="M208" s="6">
        <f t="shared" si="66"/>
        <v>1.8229166664241347E-2</v>
      </c>
      <c r="N208" s="7">
        <f t="shared" si="78"/>
        <v>26.24999999650754</v>
      </c>
      <c r="O208" s="7"/>
      <c r="P208" s="7"/>
      <c r="Q208" s="23"/>
      <c r="R208" s="23"/>
      <c r="S208" s="35">
        <f t="shared" si="79"/>
        <v>1</v>
      </c>
      <c r="T208" s="50" t="str">
        <f t="shared" si="67"/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https://search-rtdc-monitor-bjffxe2xuh6vdkpspy63sjmuny.us-east-1.es.amazonaws.com/_plugin/kibana/#/discover/Steve-Slow-Train-Analysis-(2080s-and-2083s)?_g=(refreshInterval:(display:Off,section:0,value:0),time:(from:'2016-11-16 03:21:06-700',mode:absolute,to:'2016-11-16 05:48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8" s="52" t="str">
        <f t="shared" si="68"/>
        <v>Y</v>
      </c>
      <c r="X208" s="177">
        <f t="shared" si="77"/>
        <v>1</v>
      </c>
      <c r="Y208" s="67">
        <f t="shared" si="69"/>
        <v>2.3165</v>
      </c>
      <c r="Z208" s="67">
        <f t="shared" si="70"/>
        <v>1.67E-2</v>
      </c>
      <c r="AA208" s="67">
        <f t="shared" si="71"/>
        <v>2.2997999999999998</v>
      </c>
      <c r="AB208" s="64" t="str">
        <f>VLOOKUP(A208,Enforcements!$C$7:$K$20,8,0)</f>
        <v>Signal based authority (5)</v>
      </c>
      <c r="AC208" s="60" t="str">
        <f>VLOOKUP(A208,Enforcements!$C$7:$E$20,3,0)</f>
        <v>SIGNAL</v>
      </c>
      <c r="AD208" s="61" t="str">
        <f t="shared" si="72"/>
        <v>0310-16</v>
      </c>
      <c r="AE208" s="91" t="str">
        <f t="shared" si="81"/>
        <v>aws s3 cp s3://rtdc.mdm.uploadarchive.raw/RTDC4043/ "%USERPROFILE%\AppData\Local\Temp\OnboardLogs"\RTDC4043\2016-11-16 --exclude "*" --recursive --include "*20161116*" &amp; "%USERPROFILE%\Documents\GitHub\mrs-test-scripts\Headless Mode &amp; Sideloading\WalkAndUnGZ.bat" "%USERPROFILE%\AppData\Local\Temp\OnboardLogs"\RTDC4043\2016-11-16 &amp; aws s3 cp s3://rtdc.mdm.uploadarchive.raw/RTDC4043/ "%USERPROFILE%\AppData\Local\Temp\OnboardLogs"\RTDC4043\2016-11-17 --exclude "*" --recursive --include "*20161117*" &amp; "%USERPROFILE%\Documents\GitHub\mrs-test-scripts\Headless Mode &amp; Sideloading\WalkAndUnGZ.bat" "%USERPROFILE%\AppData\Local\Temp\OnboardLogs"\RTDC4043\2016-11-17</v>
      </c>
      <c r="AF208" s="88" t="str">
        <f t="shared" si="82"/>
        <v>"C:\Program Files (x86)\AstroGrep\AstroGrep.exe" /spath="%USERPROFILE%\AppData\Local\Temp\OnboardLogs" /stypes="app*4043*20161116*" /stext=" 11:.+((SYSTEM_STATE.+slice.+state.+changed )|(ment ac)|(system.+state.+changed )|(\[timeout)|(PRM\|1\|D)|(kpr)|(kdp)|(\|lc)|(penalty))" /e /r /s</v>
      </c>
      <c r="AG208" s="1" t="str">
        <f t="shared" si="73"/>
        <v>Other</v>
      </c>
      <c r="AH208" s="92" t="str">
        <f t="shared" si="83"/>
        <v>"%USERPROFILE%\Documents\GitHub\eaglep3\Utilities\RefineRTDCRunTimes.py" --tripid 310-16 --locoid 4043 --swversion DE.1.0.8.0 --startMP 300:23165 --initTime 2016-11-16T04:21:06 --startdatetime 2016-11-16T04:22:44 --delay 1 --endMP 204:167 --enddatetime 2016-11-16T04:48:59 --enforcementcount 0 &gt;&gt;C:\Users\stu\Documents\GitHub\eaglep3-reporting\EC\2016-11-16-refined-times.txt</v>
      </c>
      <c r="AI208" s="119" t="str">
        <f t="shared" si="84"/>
        <v>echo {"issue":{"subject":"","project_id":79,"tracker_id":40,"status_id":1,"priority_id":2,"assigned_to_id":23,"start_date":"2016-11-16","description":"","custom_fields":[{"id":1,"name":"Subdivision","value":"Other"},{"id":4,"name":"Milepost","value":"0.0167"},{"id":17,"name":"Train ID","value":"310-16"},{"id":16,"name":"Locomotive ID","value":"4043"},{"id":130,"name":"Impact","value":""},{"id":150,"name":"Time of Event (Mountain Time)","value":"04:48:59"},{"id":151,"name":"Denver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628</v>
      </c>
      <c r="B209" s="7">
        <v>4029</v>
      </c>
      <c r="C209" s="22" t="s">
        <v>222</v>
      </c>
      <c r="D209" s="22" t="s">
        <v>199</v>
      </c>
      <c r="E209" s="13">
        <v>42691.06689814815</v>
      </c>
      <c r="F209" s="13">
        <v>25568.708333333332</v>
      </c>
      <c r="G209" s="7">
        <v>1</v>
      </c>
      <c r="H209" s="22" t="s">
        <v>707</v>
      </c>
      <c r="I209" s="13">
        <v>25568.708333333332</v>
      </c>
      <c r="J209" s="7">
        <v>0</v>
      </c>
      <c r="K209" s="109" t="str">
        <f t="shared" si="65"/>
        <v>4029/4030</v>
      </c>
      <c r="L209" s="22" t="str">
        <f>VLOOKUP(A209,'Trips&amp;Operators'!$C$1:$E$10000,3,FALSE)</f>
        <v>PERKINS</v>
      </c>
      <c r="M209" s="6">
        <f t="shared" si="66"/>
        <v>0</v>
      </c>
      <c r="N209" s="7">
        <f t="shared" si="78"/>
        <v>0</v>
      </c>
      <c r="O209" s="7"/>
      <c r="P209" s="7"/>
      <c r="Q209" s="23"/>
      <c r="R209" s="23"/>
      <c r="S209" s="35">
        <f t="shared" si="79"/>
        <v>1</v>
      </c>
      <c r="T209" s="50" t="str">
        <f t="shared" si="67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https://search-rtdc-monitor-bjffxe2xuh6vdkpspy63sjmuny.us-east-1.es.amazonaws.com/_plugin/kibana/#/discover/Steve-Slow-Train-Analysis-(2080s-and-2083s)?_g=(refreshInterval:(display:Off,section:0,value:0),time:(from:'2016-11-17 00:36:20-700',mode:absolute,to:'1969-12-31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9" s="52" t="str">
        <f t="shared" si="68"/>
        <v>Y</v>
      </c>
      <c r="X209" s="177">
        <f t="shared" si="77"/>
        <v>1</v>
      </c>
      <c r="Y209" s="67">
        <f t="shared" si="69"/>
        <v>4.53E-2</v>
      </c>
      <c r="Z209" s="67">
        <f t="shared" si="70"/>
        <v>2.3176000000000001</v>
      </c>
      <c r="AA209" s="67">
        <f t="shared" si="71"/>
        <v>2.2723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72"/>
        <v>0311-16</v>
      </c>
      <c r="AE209" s="91" t="str">
        <f t="shared" si="81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9" s="88" t="str">
        <f t="shared" si="82"/>
        <v>"C:\Program Files (x86)\AstroGrep\AstroGrep.exe" /spath="%USERPROFILE%\AppData\Local\Temp\OnboardLogs" /stypes="app*4029*19700101*" /stext=" 00:.+((SYSTEM_STATE.+slice.+state.+changed )|(ment ac)|(system.+state.+changed )|(\[timeout)|(PRM\|1\|D)|(kpr)|(kdp)|(\|lc)|(penalty))" /e /r /s</v>
      </c>
      <c r="AG209" s="1" t="str">
        <f t="shared" si="73"/>
        <v>Other</v>
      </c>
      <c r="AH209" s="92" t="str">
        <f t="shared" si="83"/>
        <v>"%USERPROFILE%\Documents\GitHub\eaglep3\Utilities\RefineRTDCRunTimes.py" --tripid 311-16 --locoid 4029 --swversion DE.1.0.8.0 --startMP 204:453 --initTime 2016-11-17T01:36:20 --startdatetime 1969-12-31T17:00:00 --delay 1 --endMP 300:23176 --enddatetime 1969-12-31T17:00:00 --enforcementcount 0 &gt;&gt;C:\Users\stu\Documents\GitHub\eaglep3-reporting\EC\2016-11-16-refined-times.txt</v>
      </c>
      <c r="AI209" s="119" t="str">
        <f t="shared" si="84"/>
        <v>echo {"issue":{"subject":"","project_id":79,"tracker_id":40,"status_id":1,"priority_id":2,"assigned_to_id":23,"start_date":"1969-12-31","description":"","custom_fields":[{"id":1,"name":"Subdivision","value":"Other"},{"id":4,"name":"Milepost","value":"2.3176"},{"id":17,"name":"Train ID","value":"311-16"},{"id":16,"name":"Locomotive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708</v>
      </c>
      <c r="B210" s="7">
        <v>4044</v>
      </c>
      <c r="C210" s="22" t="s">
        <v>222</v>
      </c>
      <c r="D210" s="22" t="s">
        <v>709</v>
      </c>
      <c r="E210" s="13">
        <v>42691.087430555555</v>
      </c>
      <c r="F210" s="13">
        <v>42691.093541666669</v>
      </c>
      <c r="G210" s="7">
        <v>1</v>
      </c>
      <c r="H210" s="22" t="s">
        <v>710</v>
      </c>
      <c r="I210" s="13">
        <v>42691.094201388885</v>
      </c>
      <c r="J210" s="7">
        <v>0</v>
      </c>
      <c r="K210" s="109" t="str">
        <f t="shared" si="65"/>
        <v>4043/4044</v>
      </c>
      <c r="L210" s="22" t="e">
        <f>VLOOKUP(A210,'Trips&amp;Operators'!$C$1:$E$10000,3,FALSE)</f>
        <v>#N/A</v>
      </c>
      <c r="M210" s="6">
        <f t="shared" si="66"/>
        <v>6.5972221636911854E-4</v>
      </c>
      <c r="N210" s="7">
        <f t="shared" si="78"/>
        <v>0.9499999915715307</v>
      </c>
      <c r="O210" s="7"/>
      <c r="P210" s="7"/>
      <c r="Q210" s="23"/>
      <c r="R210" s="23"/>
      <c r="S210" s="35">
        <f t="shared" si="79"/>
        <v>0</v>
      </c>
      <c r="T210" s="50" t="str">
        <f t="shared" si="67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https://search-rtdc-monitor-bjffxe2xuh6vdkpspy63sjmuny.us-east-1.es.amazonaws.com/_plugin/kibana/#/discover/Steve-Slow-Train-Analysis-(2080s-and-2083s)?_g=(refreshInterval:(display:Off,section:0,value:0),time:(from:'2016-11-17 01:05:54-700',mode:absolute,to:'2016-11-17 03:15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0" s="52" t="str">
        <f t="shared" si="68"/>
        <v>Y</v>
      </c>
      <c r="X210" s="177">
        <f t="shared" si="77"/>
        <v>2</v>
      </c>
      <c r="Y210" s="67">
        <f t="shared" si="69"/>
        <v>0.1222</v>
      </c>
      <c r="Z210" s="67">
        <f t="shared" si="70"/>
        <v>0.33789999999999998</v>
      </c>
      <c r="AA210" s="67">
        <f t="shared" si="71"/>
        <v>0.21569999999999998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72"/>
        <v>0313-16</v>
      </c>
      <c r="AE210" s="91" t="str">
        <f t="shared" si="81"/>
        <v>aws s3 cp s3://rtdc.mdm.uploadarchive.raw/RTDC4044/ "%USERPROFILE%\AppData\Local\Temp\OnboardLogs"\RTDC4044\2016-11-17 --exclude "*" --recursive --include "*20161117*" &amp; "%USERPROFILE%\Documents\GitHub\mrs-test-scripts\Headless Mode &amp; Sideloading\WalkAndUnGZ.bat" "%USERPROFILE%\AppData\Local\Temp\OnboardLogs"\RTDC4044\2016-11-17 &amp; aws s3 cp s3://rtdc.mdm.uploadarchive.raw/RTDC4044/ "%USERPROFILE%\AppData\Local\Temp\OnboardLogs"\RTDC4044\2016-11-18 --exclude "*" --recursive --include "*20161118*" &amp; "%USERPROFILE%\Documents\GitHub\mrs-test-scripts\Headless Mode &amp; Sideloading\WalkAndUnGZ.bat" "%USERPROFILE%\AppData\Local\Temp\OnboardLogs"\RTDC4044\2016-11-18</v>
      </c>
      <c r="AF210" s="88" t="str">
        <f t="shared" si="82"/>
        <v>"C:\Program Files (x86)\AstroGrep\AstroGrep.exe" /spath="%USERPROFILE%\AppData\Local\Temp\OnboardLogs" /stypes="app*4044*20161117*" /stext=" 09:.+((SYSTEM_STATE.+slice.+state.+changed )|(ment ac)|(system.+state.+changed )|(\[timeout)|(PRM\|1\|D)|(kpr)|(kdp)|(\|lc)|(penalty))" /e /r /s</v>
      </c>
      <c r="AG210" s="1" t="str">
        <f t="shared" si="73"/>
        <v>Other</v>
      </c>
      <c r="AH210" s="92" t="str">
        <f t="shared" si="83"/>
        <v>"%USERPROFILE%\Documents\GitHub\eaglep3\Utilities\RefineRTDCRunTimes.py" --tripid 313-16 --locoid 4044 --swversion DE.1.0.8.0 --startMP 204:1222 --initTime 2016-11-17T02:05:54 --startdatetime 2016-11-17T02:14:42 --delay 1 --endMP 204:3379 --enddatetime 2016-11-17T02:15:39 --enforcementcount 0 &gt;&gt;C:\Users\stu\Documents\GitHub\eaglep3-reporting\EC\2016-11-16-refined-times.txt</v>
      </c>
      <c r="AI210" s="119" t="str">
        <f t="shared" si="84"/>
        <v>echo {"issue":{"subject":"","project_id":79,"tracker_id":40,"status_id":1,"priority_id":2,"assigned_to_id":23,"start_date":"2016-11-17","description":"","custom_fields":[{"id":1,"name":"Subdivision","value":"Other"},{"id":4,"name":"Milepost","value":"0.3379"},{"id":17,"name":"Train ID","value":"313-16"},{"id":16,"name":"Locomotive ID","value":"4044"},{"id":130,"name":"Impact","value":""},{"id":150,"name":"Time of Event (Mountain Time)","value":"02:15:39"},{"id":151,"name":"Denver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711</v>
      </c>
      <c r="B211" s="7">
        <v>4009</v>
      </c>
      <c r="C211" s="22" t="s">
        <v>222</v>
      </c>
      <c r="D211" s="22" t="s">
        <v>219</v>
      </c>
      <c r="E211" s="13">
        <v>42691.093252314815</v>
      </c>
      <c r="F211" s="13">
        <v>25568.708333333332</v>
      </c>
      <c r="G211" s="7">
        <v>1</v>
      </c>
      <c r="H211" s="22" t="s">
        <v>672</v>
      </c>
      <c r="I211" s="13">
        <v>25568.708333333332</v>
      </c>
      <c r="J211" s="7">
        <v>0</v>
      </c>
      <c r="K211" s="109" t="str">
        <f t="shared" si="65"/>
        <v>4009/4010</v>
      </c>
      <c r="L211" s="22" t="e">
        <f>VLOOKUP(A211,'Trips&amp;Operators'!$C$1:$E$10000,3,FALSE)</f>
        <v>#N/A</v>
      </c>
      <c r="M211" s="6">
        <f t="shared" si="66"/>
        <v>0</v>
      </c>
      <c r="N211" s="7">
        <f t="shared" si="78"/>
        <v>0</v>
      </c>
      <c r="O211" s="7"/>
      <c r="P211" s="7"/>
      <c r="Q211" s="23"/>
      <c r="R211" s="23"/>
      <c r="S211" s="35">
        <f t="shared" si="79"/>
        <v>0</v>
      </c>
      <c r="T211" s="50" t="str">
        <f t="shared" si="67"/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https://search-rtdc-monitor-bjffxe2xuh6vdkpspy63sjmuny.us-east-1.es.amazonaws.com/_plugin/kibana/#/discover/Steve-Slow-Train-Analysis-(2080s-and-2083s)?_g=(refreshInterval:(display:Off,section:0,value:0),time:(from:'2016-11-17 01:14:17-700',mode:absolute,to:'1969-12-31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1" s="52" t="str">
        <f t="shared" si="68"/>
        <v>Y</v>
      </c>
      <c r="X211" s="177">
        <f t="shared" si="77"/>
        <v>2</v>
      </c>
      <c r="Y211" s="67">
        <f t="shared" si="69"/>
        <v>4.5699999999999998E-2</v>
      </c>
      <c r="Z211" s="67">
        <f t="shared" si="70"/>
        <v>4.5499999999999999E-2</v>
      </c>
      <c r="AA211" s="67">
        <f t="shared" si="71"/>
        <v>1.9999999999999879E-4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72"/>
        <v>0315-16</v>
      </c>
      <c r="AE211" s="91" t="str">
        <f t="shared" si="81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1" s="88" t="str">
        <f t="shared" si="82"/>
        <v>"C:\Program Files (x86)\AstroGrep\AstroGrep.exe" /spath="%USERPROFILE%\AppData\Local\Temp\OnboardLogs" /stypes="app*4009*19700101*" /stext=" 00:.+((SYSTEM_STATE.+slice.+state.+changed )|(ment ac)|(system.+state.+changed )|(\[timeout)|(PRM\|1\|D)|(kpr)|(kdp)|(\|lc)|(penalty))" /e /r /s</v>
      </c>
      <c r="AG211" s="1" t="str">
        <f t="shared" si="73"/>
        <v>Other</v>
      </c>
      <c r="AH211" s="92" t="str">
        <f t="shared" si="83"/>
        <v>"%USERPROFILE%\Documents\GitHub\eaglep3\Utilities\RefineRTDCRunTimes.py" --tripid 315-16 --locoid 4009 --swversion DE.1.0.8.0 --startMP 204:457 --initTime 2016-11-17T02:14:17 --startdatetime 1969-12-31T17:00:00 --delay 1 --endMP 204:455 --enddatetime 1969-12-31T17:00:00 --enforcementcount 0 &gt;&gt;C:\Users\stu\Documents\GitHub\eaglep3-reporting\EC\2016-11-16-refined-times.txt</v>
      </c>
      <c r="AI211" s="119" t="str">
        <f t="shared" si="84"/>
        <v>echo {"issue":{"subject":"","project_id":79,"tracker_id":40,"status_id":1,"priority_id":2,"assigned_to_id":23,"start_date":"1969-12-31","description":"","custom_fields":[{"id":1,"name":"Subdivision","value":"Other"},{"id":4,"name":"Milepost","value":"0.0455"},{"id":17,"name":"Train ID","value":"315-16"},{"id":16,"name":"Locomotive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400</v>
      </c>
      <c r="B212" s="7">
        <v>4046</v>
      </c>
      <c r="C212" s="22" t="s">
        <v>222</v>
      </c>
      <c r="D212" s="22" t="s">
        <v>777</v>
      </c>
      <c r="E212" s="13">
        <v>42690.19771990741</v>
      </c>
      <c r="F212" s="13">
        <v>42690.208275462966</v>
      </c>
      <c r="G212" s="7">
        <v>15</v>
      </c>
      <c r="H212" s="22" t="s">
        <v>386</v>
      </c>
      <c r="I212" s="13">
        <v>42690.213761574072</v>
      </c>
      <c r="J212" s="7">
        <v>0</v>
      </c>
      <c r="K212" s="109" t="str">
        <f t="shared" si="65"/>
        <v>4045/4046</v>
      </c>
      <c r="L212" s="22" t="str">
        <f>VLOOKUP(A212,'Trips&amp;Operators'!$C$1:$E$10000,3,FALSE)</f>
        <v>STARKS</v>
      </c>
      <c r="M212" s="6">
        <f t="shared" si="66"/>
        <v>5.4861111057107337E-3</v>
      </c>
      <c r="N212" s="7">
        <f t="shared" si="78"/>
        <v>7.8999999922234565</v>
      </c>
      <c r="O212" s="7"/>
      <c r="P212" s="7"/>
      <c r="Q212" s="23"/>
      <c r="R212" s="23"/>
      <c r="S212" s="35">
        <f t="shared" si="79"/>
        <v>0</v>
      </c>
      <c r="T212" s="50" t="str">
        <f t="shared" si="67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https://search-rtdc-monitor-bjffxe2xuh6vdkpspy63sjmuny.us-east-1.es.amazonaws.com/_plugin/kibana/#/discover/Steve-Slow-Train-Analysis-(2080s-and-2083s)?_g=(refreshInterval:(display:Off,section:0,value:0),time:(from:'2016-11-16 03:44:43-700',mode:absolute,to:'2016-11-16 06:07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2" s="52" t="str">
        <f t="shared" si="68"/>
        <v>Y</v>
      </c>
      <c r="X212" s="177">
        <f t="shared" si="77"/>
        <v>586</v>
      </c>
      <c r="Y212" s="67">
        <f t="shared" si="69"/>
        <v>2.9729000000000001</v>
      </c>
      <c r="Z212" s="67">
        <f t="shared" si="70"/>
        <v>5.8943000000000003</v>
      </c>
      <c r="AA212" s="67">
        <f t="shared" si="71"/>
        <v>2.9214000000000002</v>
      </c>
      <c r="AB212" s="64" t="str">
        <f>VLOOKUP(A212,Enforcements!$C$7:$K$20,8,0)</f>
        <v>Speed (6)</v>
      </c>
      <c r="AC212" s="60" t="str">
        <f>VLOOKUP(A212,Enforcements!$C$7:$E$20,3,0)</f>
        <v>PERMANENT SPEED RESTRICTION</v>
      </c>
      <c r="AD212" s="61" t="str">
        <f t="shared" si="72"/>
        <v>0901-16</v>
      </c>
      <c r="AE212" s="91" t="str">
        <f t="shared" si="81"/>
        <v>aws s3 cp s3://rtdc.mdm.uploadarchive.raw/RTDC4046/ "%USERPROFILE%\AppData\Local\Temp\OnboardLogs"\RTDC4046\2016-11-16 --exclude "*" --recursive --include "*20161116*" &amp; "%USERPROFILE%\Documents\GitHub\mrs-test-scripts\Headless Mode &amp; Sideloading\WalkAndUnGZ.bat" "%USERPROFILE%\AppData\Local\Temp\OnboardLogs"\RTDC4046\2016-11-16 &amp; aws s3 cp s3://rtdc.mdm.uploadarchive.raw/RTDC4046/ "%USERPROFILE%\AppData\Local\Temp\OnboardLogs"\RTDC4046\2016-11-17 --exclude "*" --recursive --include "*20161117*" &amp; "%USERPROFILE%\Documents\GitHub\mrs-test-scripts\Headless Mode &amp; Sideloading\WalkAndUnGZ.bat" "%USERPROFILE%\AppData\Local\Temp\OnboardLogs"\RTDC4046\2016-11-17</v>
      </c>
      <c r="AF212" s="88" t="str">
        <f t="shared" si="82"/>
        <v>"C:\Program Files (x86)\AstroGrep\AstroGrep.exe" /spath="%USERPROFILE%\AppData\Local\Temp\OnboardLogs" /stypes="app*4046*20161116*" /stext=" 12:.+((SYSTEM_STATE.+slice.+state.+changed )|(ment ac)|(system.+state.+changed )|(\[timeout)|(PRM\|1\|D)|(kpr)|(kdp)|(\|lc)|(penalty))" /e /r /s</v>
      </c>
      <c r="AG212" s="1" t="str">
        <f t="shared" si="73"/>
        <v>Other</v>
      </c>
      <c r="AH212" s="92" t="str">
        <f t="shared" si="83"/>
        <v>"%USERPROFILE%\Documents\GitHub\eaglep3\Utilities\RefineRTDCRunTimes.py" --tripid 901-16 --locoid 4046 --swversion DE.1.0.8.0 --startMP 300:29729 --initTime 2016-11-16T04:44:43 --startdatetime 2016-11-16T04:59:55 --delay 15 --endMP 300:58943 --enddatetime 2016-11-16T05:07:49 --enforcementcount 0 &gt;&gt;C:\Users\stu\Documents\GitHub\eaglep3-reporting\EC\2016-11-16-refined-times.txt</v>
      </c>
      <c r="AI212" s="119" t="str">
        <f t="shared" si="84"/>
        <v>echo {"issue":{"subject":"","project_id":79,"tracker_id":40,"status_id":1,"priority_id":2,"assigned_to_id":23,"start_date":"2016-11-16","description":"","custom_fields":[{"id":1,"name":"Subdivision","value":"Other"},{"id":4,"name":"Milepost","value":"5.8943"},{"id":17,"name":"Train ID","value":"901-16"},{"id":16,"name":"Locomotive ID","value":"4046"},{"id":130,"name":"Impact","value":""},{"id":150,"name":"Time of Event (Mountain Time)","value":"05:07:49"},{"id":151,"name":"Denver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471</v>
      </c>
      <c r="B213" s="7">
        <v>4026</v>
      </c>
      <c r="C213" s="22" t="s">
        <v>222</v>
      </c>
      <c r="D213" s="22" t="s">
        <v>778</v>
      </c>
      <c r="E213" s="13">
        <v>42690.245555555557</v>
      </c>
      <c r="F213" s="13">
        <v>42690.247106481482</v>
      </c>
      <c r="G213" s="7">
        <v>1</v>
      </c>
      <c r="H213" s="22" t="s">
        <v>388</v>
      </c>
      <c r="I213" s="13">
        <v>42690.252083333333</v>
      </c>
      <c r="J213" s="7">
        <v>0</v>
      </c>
      <c r="K213" s="109" t="str">
        <f t="shared" si="65"/>
        <v>4025/4026</v>
      </c>
      <c r="L213" s="22" t="str">
        <f>VLOOKUP(A213,'Trips&amp;Operators'!$C$1:$E$10000,3,FALSE)</f>
        <v>DAVIDSON</v>
      </c>
      <c r="M213" s="6">
        <f t="shared" si="66"/>
        <v>4.9768518510973081E-3</v>
      </c>
      <c r="N213" s="7">
        <f t="shared" si="78"/>
        <v>7.1666666655801237</v>
      </c>
      <c r="O213" s="7"/>
      <c r="P213" s="7"/>
      <c r="Q213" s="23"/>
      <c r="R213" s="23"/>
      <c r="S213" s="35">
        <f t="shared" si="79"/>
        <v>1</v>
      </c>
      <c r="T213" s="50" t="str">
        <f t="shared" si="67"/>
        <v>Southbound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https://search-rtdc-monitor-bjffxe2xuh6vdkpspy63sjmuny.us-east-1.es.amazonaws.com/_plugin/kibana/#/discover/Steve-Slow-Train-Analysis-(2080s-and-2083s)?_g=(refreshInterval:(display:Off,section:0,value:0),time:(from:'2016-11-16 04:53:36-700',mode:absolute,to:'2016-11-16 07:03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13" s="52" t="str">
        <f t="shared" si="68"/>
        <v>Y</v>
      </c>
      <c r="X213" s="177">
        <f t="shared" si="77"/>
        <v>1</v>
      </c>
      <c r="Y213" s="67">
        <f t="shared" si="69"/>
        <v>2.2172000000000001</v>
      </c>
      <c r="Z213" s="67">
        <f t="shared" si="70"/>
        <v>6.8500000000000005E-2</v>
      </c>
      <c r="AA213" s="67">
        <f t="shared" si="71"/>
        <v>2.1486999999999998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72"/>
        <v>0902-16</v>
      </c>
      <c r="AE213" s="91" t="str">
        <f t="shared" si="81"/>
        <v>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 &amp; aws s3 cp s3://rtdc.mdm.uploadarchive.raw/RTDC4026/ "%USERPROFILE%\AppData\Local\Temp\OnboardLogs"\RTDC4026\2016-11-17 --exclude "*" --recursive --include "*20161117*" &amp; "%USERPROFILE%\Documents\GitHub\mrs-test-scripts\Headless Mode &amp; Sideloading\WalkAndUnGZ.bat" "%USERPROFILE%\AppData\Local\Temp\OnboardLogs"\RTDC4026\2016-11-17</v>
      </c>
      <c r="AF213" s="88" t="str">
        <f t="shared" si="82"/>
        <v>"C:\Program Files (x86)\AstroGrep\AstroGrep.exe" /spath="%USERPROFILE%\AppData\Local\Temp\OnboardLogs" /stypes="app*4026*20161116*" /stext=" 13:.+((SYSTEM_STATE.+slice.+state.+changed )|(ment ac)|(system.+state.+changed )|(\[timeout)|(PRM\|1\|D)|(kpr)|(kdp)|(\|lc)|(penalty))" /e /r /s</v>
      </c>
      <c r="AG213" s="1" t="str">
        <f t="shared" si="73"/>
        <v>Other</v>
      </c>
      <c r="AH213" s="92" t="str">
        <f t="shared" si="83"/>
        <v>"%USERPROFILE%\Documents\GitHub\eaglep3\Utilities\RefineRTDCRunTimes.py" --tripid 902-16 --locoid 4026 --swversion DE.1.0.8.0 --startMP 300:22172 --initTime 2016-11-16T05:53:36 --startdatetime 2016-11-16T05:55:50 --delay 1 --endMP 204:685 --enddatetime 2016-11-16T06:03:00 --enforcementcount 0 &gt;&gt;C:\Users\stu\Documents\GitHub\eaglep3-reporting\EC\2016-11-16-refined-times.txt</v>
      </c>
      <c r="AI213" s="119" t="str">
        <f t="shared" si="84"/>
        <v>echo {"issue":{"subject":"","project_id":79,"tracker_id":40,"status_id":1,"priority_id":2,"assigned_to_id":23,"start_date":"2016-11-16","description":"","custom_fields":[{"id":1,"name":"Subdivision","value":"Other"},{"id":4,"name":"Milepost","value":"0.0685"},{"id":17,"name":"Train ID","value":"902-16"},{"id":16,"name":"Locomotive ID","value":"4026"},{"id":130,"name":"Impact","value":""},{"id":150,"name":"Time of Event (Mountain Time)","value":"06:03:00"},{"id":151,"name":"Denver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410</v>
      </c>
      <c r="B214" s="7">
        <v>4046</v>
      </c>
      <c r="C214" s="22" t="s">
        <v>222</v>
      </c>
      <c r="D214" s="22" t="s">
        <v>779</v>
      </c>
      <c r="E214" s="13">
        <v>42690.355057870373</v>
      </c>
      <c r="F214" s="13">
        <v>25568.708333333332</v>
      </c>
      <c r="G214" s="7">
        <v>1</v>
      </c>
      <c r="H214" s="22" t="s">
        <v>780</v>
      </c>
      <c r="I214" s="13">
        <v>25568.708333333332</v>
      </c>
      <c r="J214" s="7">
        <v>0</v>
      </c>
      <c r="K214" s="109" t="str">
        <f t="shared" ref="K214:K225" si="85">IF(ISEVEN(B214),(B214-1)&amp;"/"&amp;B214,B214&amp;"/"&amp;(B214+1))</f>
        <v>4045/4046</v>
      </c>
      <c r="L214" s="22" t="str">
        <f>VLOOKUP(A214,'Trips&amp;Operators'!$C$1:$E$10000,3,FALSE)</f>
        <v>STARKS</v>
      </c>
      <c r="M214" s="6">
        <f t="shared" ref="M214:M225" si="86">I214-F214</f>
        <v>0</v>
      </c>
      <c r="N214" s="7">
        <f t="shared" si="78"/>
        <v>0</v>
      </c>
      <c r="O214" s="7"/>
      <c r="P214" s="7"/>
      <c r="Q214" s="23"/>
      <c r="R214" s="23"/>
      <c r="S214" s="35">
        <f t="shared" si="79"/>
        <v>1</v>
      </c>
      <c r="T214" s="50" t="str">
        <f t="shared" ref="T214:T225" si="87">IF(ISEVEN(LEFT(AD214,4)),"Southbound","NorthBound")</f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https://search-rtdc-monitor-bjffxe2xuh6vdkpspy63sjmuny.us-east-1.es.amazonaws.com/_plugin/kibana/#/discover/Steve-Slow-Train-Analysis-(2080s-and-2083s)?_g=(refreshInterval:(display:Off,section:0,value:0),time:(from:'2016-11-16 07:31:17-700',mode:absolute,to:'1969-12-31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4" s="52" t="str">
        <f t="shared" ref="W214:W225" si="88">IF(AA214&lt;IF(AG214="EC",23,5.65),"Y","N")</f>
        <v>Y</v>
      </c>
      <c r="X214" s="177">
        <f t="shared" si="77"/>
        <v>1</v>
      </c>
      <c r="Y214" s="67">
        <f t="shared" ref="Y214:Y225" si="89">RIGHT(D214,LEN(D214)-4)/10000</f>
        <v>0.10630000000000001</v>
      </c>
      <c r="Z214" s="67">
        <f t="shared" ref="Z214:Z225" si="90">RIGHT(H214,LEN(H214)-4)/10000</f>
        <v>2.4243000000000001</v>
      </c>
      <c r="AA214" s="67">
        <f t="shared" ref="AA214:AA225" si="91">ABS(Z214-Y214)</f>
        <v>2.3180000000000001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ref="AD214:AD225" si="92">IF(LEN(A214)=6,"0"&amp;A214,A214)</f>
        <v>0903-16</v>
      </c>
      <c r="AE214" s="91" t="str">
        <f t="shared" si="81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4" s="88" t="str">
        <f t="shared" si="82"/>
        <v>"C:\Program Files (x86)\AstroGrep\AstroGrep.exe" /spath="%USERPROFILE%\AppData\Local\Temp\OnboardLogs" /stypes="app*4046*19700101*" /stext=" 00:.+((SYSTEM_STATE.+slice.+state.+changed )|(ment ac)|(system.+state.+changed )|(\[timeout)|(PRM\|1\|D)|(kpr)|(kdp)|(\|lc)|(penalty))" /e /r /s</v>
      </c>
      <c r="AG214" s="1" t="str">
        <f t="shared" ref="AG214:AG225" si="93">IFERROR(IF(VALUE(LEFT(AD214,2))&lt;=2,"EC",IF(OR(VALUE(LEFT(AD214,2))=8,VALUE(LEFT(AD214,2))=18),"NW","Other")),"Other")</f>
        <v>Other</v>
      </c>
      <c r="AH214" s="92" t="str">
        <f t="shared" si="83"/>
        <v>"%USERPROFILE%\Documents\GitHub\eaglep3\Utilities\RefineRTDCRunTimes.py" --tripid 903-16 --locoid 4046 --swversion DE.1.0.8.0 --startMP 204:1063 --initTime 2016-11-16T08:31:17 --startdatetime 1969-12-31T17:00:00 --delay 1 --endMP 300:24243 --enddatetime 1969-12-31T17:00:00 --enforcementcount 0 &gt;&gt;C:\Users\stu\Documents\GitHub\eaglep3-reporting\EC\2016-11-16-refined-times.txt</v>
      </c>
      <c r="AI214" s="119" t="str">
        <f t="shared" si="84"/>
        <v>echo {"issue":{"subject":"","project_id":79,"tracker_id":40,"status_id":1,"priority_id":2,"assigned_to_id":23,"start_date":"1969-12-31","description":"","custom_fields":[{"id":1,"name":"Subdivision","value":"Other"},{"id":4,"name":"Milepost","value":"2.4243"},{"id":17,"name":"Train ID","value":"903-16"},{"id":16,"name":"Locomotive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432</v>
      </c>
      <c r="B215" s="7">
        <v>4045</v>
      </c>
      <c r="C215" s="22" t="s">
        <v>222</v>
      </c>
      <c r="D215" s="22" t="s">
        <v>781</v>
      </c>
      <c r="E215" s="13">
        <v>42690.644363425927</v>
      </c>
      <c r="F215" s="13">
        <v>42690.645868055559</v>
      </c>
      <c r="G215" s="7">
        <v>1</v>
      </c>
      <c r="H215" s="22" t="s">
        <v>782</v>
      </c>
      <c r="I215" s="13">
        <v>42690.653310185182</v>
      </c>
      <c r="J215" s="7">
        <v>0</v>
      </c>
      <c r="K215" s="109" t="str">
        <f t="shared" si="85"/>
        <v>4045/4046</v>
      </c>
      <c r="L215" s="22" t="str">
        <f>VLOOKUP(A215,'Trips&amp;Operators'!$C$1:$E$10000,3,FALSE)</f>
        <v>NELSON</v>
      </c>
      <c r="M215" s="6">
        <f t="shared" si="86"/>
        <v>7.4421296230866574E-3</v>
      </c>
      <c r="N215" s="7">
        <f t="shared" si="78"/>
        <v>10.716666657244787</v>
      </c>
      <c r="O215" s="7"/>
      <c r="P215" s="7"/>
      <c r="Q215" s="23"/>
      <c r="R215" s="23"/>
      <c r="S215" s="35">
        <f t="shared" si="79"/>
        <v>1</v>
      </c>
      <c r="T215" s="50" t="str">
        <f t="shared" si="87"/>
        <v>Southbound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https://search-rtdc-monitor-bjffxe2xuh6vdkpspy63sjmuny.us-east-1.es.amazonaws.com/_plugin/kibana/#/discover/Steve-Slow-Train-Analysis-(2080s-and-2083s)?_g=(refreshInterval:(display:Off,section:0,value:0),time:(from:'2016-11-16 14:27:53-700',mode:absolute,to:'2016-11-16 16:40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15" s="52" t="str">
        <f t="shared" si="88"/>
        <v>Y</v>
      </c>
      <c r="X215" s="177">
        <f t="shared" si="77"/>
        <v>1</v>
      </c>
      <c r="Y215" s="67">
        <f t="shared" si="89"/>
        <v>2.3262</v>
      </c>
      <c r="Z215" s="67">
        <f t="shared" si="90"/>
        <v>7.22E-2</v>
      </c>
      <c r="AA215" s="67">
        <f t="shared" si="91"/>
        <v>2.254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92"/>
        <v>0904-16</v>
      </c>
      <c r="AE215" s="91" t="str">
        <f t="shared" si="81"/>
        <v>aws s3 cp s3://rtdc.mdm.uploadarchive.raw/RTDC4045/ "%USERPROFILE%\AppData\Local\Temp\OnboardLogs"\RTDC4045\2016-11-16 --exclude "*" --recursive --include "*20161116*" &amp; "%USERPROFILE%\Documents\GitHub\mrs-test-scripts\Headless Mode &amp; Sideloading\WalkAndUnGZ.bat" "%USERPROFILE%\AppData\Local\Temp\OnboardLogs"\RTDC4045\2016-11-16 &amp; aws s3 cp s3://rtdc.mdm.uploadarchive.raw/RTDC4045/ "%USERPROFILE%\AppData\Local\Temp\OnboardLogs"\RTDC4045\2016-11-17 --exclude "*" --recursive --include "*20161117*" &amp; "%USERPROFILE%\Documents\GitHub\mrs-test-scripts\Headless Mode &amp; Sideloading\WalkAndUnGZ.bat" "%USERPROFILE%\AppData\Local\Temp\OnboardLogs"\RTDC4045\2016-11-17</v>
      </c>
      <c r="AF215" s="88" t="str">
        <f t="shared" si="82"/>
        <v>"C:\Program Files (x86)\AstroGrep\AstroGrep.exe" /spath="%USERPROFILE%\AppData\Local\Temp\OnboardLogs" /stypes="app*4045*20161116*" /stext=" 22:.+((SYSTEM_STATE.+slice.+state.+changed )|(ment ac)|(system.+state.+changed )|(\[timeout)|(PRM\|1\|D)|(kpr)|(kdp)|(\|lc)|(penalty))" /e /r /s</v>
      </c>
      <c r="AG215" s="1" t="str">
        <f t="shared" si="93"/>
        <v>Other</v>
      </c>
      <c r="AH215" s="92" t="str">
        <f t="shared" si="83"/>
        <v>"%USERPROFILE%\Documents\GitHub\eaglep3\Utilities\RefineRTDCRunTimes.py" --tripid 904-16 --locoid 4045 --swversion DE.1.0.8.0 --startMP 300:23262 --initTime 2016-11-16T15:27:53 --startdatetime 2016-11-16T15:30:03 --delay 1 --endMP 204:722 --enddatetime 2016-11-16T15:40:46 --enforcementcount 0 &gt;&gt;C:\Users\stu\Documents\GitHub\eaglep3-reporting\EC\2016-11-16-refined-times.txt</v>
      </c>
      <c r="AI215" s="119" t="str">
        <f t="shared" si="84"/>
        <v>echo {"issue":{"subject":"","project_id":79,"tracker_id":40,"status_id":1,"priority_id":2,"assigned_to_id":23,"start_date":"2016-11-16","description":"","custom_fields":[{"id":1,"name":"Subdivision","value":"Other"},{"id":4,"name":"Milepost","value":"0.0722"},{"id":17,"name":"Train ID","value":"904-16"},{"id":16,"name":"Locomotive ID","value":"4045"},{"id":130,"name":"Impact","value":""},{"id":150,"name":"Time of Event (Mountain Time)","value":"15:40:46"},{"id":151,"name":"Denver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600</v>
      </c>
      <c r="B216" s="7">
        <v>4045</v>
      </c>
      <c r="C216" s="22" t="s">
        <v>222</v>
      </c>
      <c r="D216" s="22" t="s">
        <v>783</v>
      </c>
      <c r="E216" s="13">
        <v>42690.798379629632</v>
      </c>
      <c r="F216" s="13">
        <v>42690.800555555557</v>
      </c>
      <c r="G216" s="7">
        <v>2</v>
      </c>
      <c r="H216" s="22" t="s">
        <v>784</v>
      </c>
      <c r="I216" s="13">
        <v>42690.805810185186</v>
      </c>
      <c r="J216" s="7">
        <v>0</v>
      </c>
      <c r="K216" s="109" t="str">
        <f t="shared" si="85"/>
        <v>4045/4046</v>
      </c>
      <c r="L216" s="22" t="str">
        <f>VLOOKUP(A216,'Trips&amp;Operators'!$C$1:$E$10000,3,FALSE)</f>
        <v>NELSON</v>
      </c>
      <c r="M216" s="6">
        <f t="shared" si="86"/>
        <v>5.2546296283253469E-3</v>
      </c>
      <c r="N216" s="7">
        <f t="shared" si="78"/>
        <v>7.5666666647884995</v>
      </c>
      <c r="O216" s="7"/>
      <c r="P216" s="7"/>
      <c r="Q216" s="23"/>
      <c r="R216" s="23"/>
      <c r="S216" s="35">
        <f t="shared" si="79"/>
        <v>0</v>
      </c>
      <c r="T216" s="50" t="str">
        <f t="shared" si="87"/>
        <v>Southbound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https://search-rtdc-monitor-bjffxe2xuh6vdkpspy63sjmuny.us-east-1.es.amazonaws.com/_plugin/kibana/#/discover/Steve-Slow-Train-Analysis-(2080s-and-2083s)?_g=(refreshInterval:(display:Off,section:0,value:0),time:(from:'2016-11-16 18:09:40-700',mode:absolute,to:'2016-11-16 20:20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16" s="52" t="str">
        <f t="shared" si="88"/>
        <v>Y</v>
      </c>
      <c r="X216" s="177">
        <f t="shared" si="77"/>
        <v>2</v>
      </c>
      <c r="Y216" s="67">
        <f t="shared" si="89"/>
        <v>5.8644999999999996</v>
      </c>
      <c r="Z216" s="67">
        <f t="shared" si="90"/>
        <v>2.9289999999999998</v>
      </c>
      <c r="AA216" s="67">
        <f t="shared" si="91"/>
        <v>2.9354999999999998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92"/>
        <v>0906-16</v>
      </c>
      <c r="AE216" s="91" t="str">
        <f t="shared" si="81"/>
        <v>aws s3 cp s3://rtdc.mdm.uploadarchive.raw/RTDC4045/ "%USERPROFILE%\AppData\Local\Temp\OnboardLogs"\RTDC4045\2016-11-16 --exclude "*" --recursive --include "*20161116*" &amp; "%USERPROFILE%\Documents\GitHub\mrs-test-scripts\Headless Mode &amp; Sideloading\WalkAndUnGZ.bat" "%USERPROFILE%\AppData\Local\Temp\OnboardLogs"\RTDC4045\2016-11-16 &amp; aws s3 cp s3://rtdc.mdm.uploadarchive.raw/RTDC4045/ "%USERPROFILE%\AppData\Local\Temp\OnboardLogs"\RTDC4045\2016-11-17 --exclude "*" --recursive --include "*20161117*" &amp; "%USERPROFILE%\Documents\GitHub\mrs-test-scripts\Headless Mode &amp; Sideloading\WalkAndUnGZ.bat" "%USERPROFILE%\AppData\Local\Temp\OnboardLogs"\RTDC4045\2016-11-17</v>
      </c>
      <c r="AF216" s="88" t="str">
        <f t="shared" si="82"/>
        <v>"C:\Program Files (x86)\AstroGrep\AstroGrep.exe" /spath="%USERPROFILE%\AppData\Local\Temp\OnboardLogs" /stypes="app*4045*20161117*" /stext=" 02:.+((SYSTEM_STATE.+slice.+state.+changed )|(ment ac)|(system.+state.+changed )|(\[timeout)|(PRM\|1\|D)|(kpr)|(kdp)|(\|lc)|(penalty))" /e /r /s</v>
      </c>
      <c r="AG216" s="1" t="str">
        <f t="shared" si="93"/>
        <v>Other</v>
      </c>
      <c r="AH216" s="92" t="str">
        <f t="shared" si="83"/>
        <v>"%USERPROFILE%\Documents\GitHub\eaglep3\Utilities\RefineRTDCRunTimes.py" --tripid 906-16 --locoid 4045 --swversion DE.1.0.8.0 --startMP 300:58645 --initTime 2016-11-16T19:09:40 --startdatetime 2016-11-16T19:12:48 --delay 2 --endMP 300:29290 --enddatetime 2016-11-16T19:20:22 --enforcementcount 0 &gt;&gt;C:\Users\stu\Documents\GitHub\eaglep3-reporting\EC\2016-11-16-refined-times.txt</v>
      </c>
      <c r="AI216" s="119" t="str">
        <f t="shared" si="84"/>
        <v>echo {"issue":{"subject":"","project_id":79,"tracker_id":40,"status_id":1,"priority_id":2,"assigned_to_id":23,"start_date":"2016-11-16","description":"","custom_fields":[{"id":1,"name":"Subdivision","value":"Other"},{"id":4,"name":"Milepost","value":"2.929"},{"id":17,"name":"Train ID","value":"906-16"},{"id":16,"name":"Locomotive ID","value":"4045"},{"id":130,"name":"Impact","value":""},{"id":150,"name":"Time of Event (Mountain Time)","value":"19:20:22"},{"id":151,"name":"Denver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616</v>
      </c>
      <c r="B217" s="7">
        <v>4026</v>
      </c>
      <c r="C217" s="22" t="s">
        <v>222</v>
      </c>
      <c r="D217" s="22" t="s">
        <v>785</v>
      </c>
      <c r="E217" s="13">
        <v>42690.944074074076</v>
      </c>
      <c r="F217" s="13">
        <v>42690.946597222224</v>
      </c>
      <c r="G217" s="7">
        <v>1</v>
      </c>
      <c r="H217" s="22" t="s">
        <v>786</v>
      </c>
      <c r="I217" s="13">
        <v>42690.952615740738</v>
      </c>
      <c r="J217" s="7">
        <v>0</v>
      </c>
      <c r="K217" s="109" t="str">
        <f t="shared" si="85"/>
        <v>4025/4026</v>
      </c>
      <c r="L217" s="22" t="str">
        <f>VLOOKUP(A217,'Trips&amp;Operators'!$C$1:$E$10000,3,FALSE)</f>
        <v>NELSON</v>
      </c>
      <c r="M217" s="6">
        <f t="shared" si="86"/>
        <v>6.018518513883464E-3</v>
      </c>
      <c r="N217" s="7">
        <f t="shared" si="78"/>
        <v>8.6666666599921882</v>
      </c>
      <c r="O217" s="7"/>
      <c r="P217" s="7"/>
      <c r="Q217" s="23"/>
      <c r="R217" s="23"/>
      <c r="S217" s="35">
        <f t="shared" si="79"/>
        <v>0</v>
      </c>
      <c r="T217" s="50" t="str">
        <f t="shared" si="87"/>
        <v>Southbound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https://search-rtdc-monitor-bjffxe2xuh6vdkpspy63sjmuny.us-east-1.es.amazonaws.com/_plugin/kibana/#/discover/Steve-Slow-Train-Analysis-(2080s-and-2083s)?_g=(refreshInterval:(display:Off,section:0,value:0),time:(from:'2016-11-16 21:39:28-700',mode:absolute,to:'2016-11-16 23:51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17" s="52" t="str">
        <f t="shared" si="88"/>
        <v>Y</v>
      </c>
      <c r="X217" s="177">
        <f t="shared" si="77"/>
        <v>2</v>
      </c>
      <c r="Y217" s="67">
        <f t="shared" si="89"/>
        <v>5.8624000000000001</v>
      </c>
      <c r="Z217" s="67">
        <f t="shared" si="90"/>
        <v>2.9237000000000002</v>
      </c>
      <c r="AA217" s="67">
        <f t="shared" si="91"/>
        <v>2.9386999999999999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92"/>
        <v>0908-16</v>
      </c>
      <c r="AE217" s="91" t="str">
        <f t="shared" si="81"/>
        <v>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 &amp; aws s3 cp s3://rtdc.mdm.uploadarchive.raw/RTDC4026/ "%USERPROFILE%\AppData\Local\Temp\OnboardLogs"\RTDC4026\2016-11-17 --exclude "*" --recursive --include "*20161117*" &amp; "%USERPROFILE%\Documents\GitHub\mrs-test-scripts\Headless Mode &amp; Sideloading\WalkAndUnGZ.bat" "%USERPROFILE%\AppData\Local\Temp\OnboardLogs"\RTDC4026\2016-11-17</v>
      </c>
      <c r="AF217" s="88" t="str">
        <f t="shared" si="82"/>
        <v>"C:\Program Files (x86)\AstroGrep\AstroGrep.exe" /spath="%USERPROFILE%\AppData\Local\Temp\OnboardLogs" /stypes="app*4026*20161117*" /stext=" 05:.+((SYSTEM_STATE.+slice.+state.+changed )|(ment ac)|(system.+state.+changed )|(\[timeout)|(PRM\|1\|D)|(kpr)|(kdp)|(\|lc)|(penalty))" /e /r /s</v>
      </c>
      <c r="AG217" s="1" t="str">
        <f t="shared" si="93"/>
        <v>Other</v>
      </c>
      <c r="AH217" s="92" t="str">
        <f t="shared" si="83"/>
        <v>"%USERPROFILE%\Documents\GitHub\eaglep3\Utilities\RefineRTDCRunTimes.py" --tripid 908-16 --locoid 4026 --swversion DE.1.0.8.0 --startMP 300:58624 --initTime 2016-11-16T22:39:28 --startdatetime 2016-11-16T22:43:06 --delay 1 --endMP 300:29237 --enddatetime 2016-11-16T22:51:46 --enforcementcount 0 &gt;&gt;C:\Users\stu\Documents\GitHub\eaglep3-reporting\EC\2016-11-16-refined-times.txt</v>
      </c>
      <c r="AI217" s="119" t="str">
        <f t="shared" si="84"/>
        <v>echo {"issue":{"subject":"","project_id":79,"tracker_id":40,"status_id":1,"priority_id":2,"assigned_to_id":23,"start_date":"2016-11-16","description":"","custom_fields":[{"id":1,"name":"Subdivision","value":"Other"},{"id":4,"name":"Milepost","value":"2.9237"},{"id":17,"name":"Train ID","value":"908-16"},{"id":16,"name":"Locomotive ID","value":"4026"},{"id":130,"name":"Impact","value":""},{"id":150,"name":"Time of Event (Mountain Time)","value":"22:51:46"},{"id":151,"name":"Denver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418</v>
      </c>
      <c r="B218" s="7">
        <v>4028</v>
      </c>
      <c r="C218" s="22" t="s">
        <v>222</v>
      </c>
      <c r="D218" s="22" t="s">
        <v>712</v>
      </c>
      <c r="E218" s="13">
        <v>42690.435763888891</v>
      </c>
      <c r="F218" s="13">
        <v>42690.437002314815</v>
      </c>
      <c r="G218" s="7">
        <v>1</v>
      </c>
      <c r="H218" s="22">
        <v>8.5333333333333332</v>
      </c>
      <c r="I218" s="13">
        <v>42690.442615740743</v>
      </c>
      <c r="J218" s="7">
        <v>0</v>
      </c>
      <c r="K218" s="109" t="str">
        <f t="shared" si="85"/>
        <v>4027/4028</v>
      </c>
      <c r="L218" s="22" t="str">
        <f>VLOOKUP(A218,'Trips&amp;Operators'!$C$1:$E$10000,3,FALSE)</f>
        <v>BARTLETT</v>
      </c>
      <c r="M218" s="6">
        <f t="shared" si="86"/>
        <v>5.6134259284590371E-3</v>
      </c>
      <c r="N218" s="7">
        <f t="shared" si="78"/>
        <v>8.0833333369810134</v>
      </c>
      <c r="O218" s="7"/>
      <c r="P218" s="7"/>
      <c r="Q218" s="23"/>
      <c r="R218" s="23"/>
      <c r="S218" s="35">
        <f t="shared" si="79"/>
        <v>0</v>
      </c>
      <c r="T218" s="50" t="e">
        <f t="shared" si="87"/>
        <v>#VALUE!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https://search-rtdc-monitor-bjffxe2xuh6vdkpspy63sjmuny.us-east-1.es.amazonaws.com/_plugin/kibana/#/discover/Steve-Slow-Train-Analysis-(2080s-and-2083s)?_g=(refreshInterval:(display:Off,section:0,value:0),time:(from:'2016-11-16 09:27:30-700',mode:absolute,to:'2016-11-16 11:37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18" s="52" t="str">
        <f t="shared" si="88"/>
        <v>N</v>
      </c>
      <c r="X218" s="177" t="e">
        <f t="shared" si="77"/>
        <v>#VALUE!</v>
      </c>
      <c r="Y218" s="67">
        <f t="shared" si="89"/>
        <v>2.2159</v>
      </c>
      <c r="Z218" s="67">
        <f t="shared" si="90"/>
        <v>33333333.333299998</v>
      </c>
      <c r="AA218" s="67">
        <f t="shared" si="91"/>
        <v>33333331.117399998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92"/>
        <v>50-16</v>
      </c>
      <c r="AE218" s="91" t="str">
        <f t="shared" si="81"/>
        <v>aws s3 cp s3://rtdc.mdm.uploadarchive.raw/RTDC4028/ "%USERPROFILE%\AppData\Local\Temp\OnboardLogs"\RTDC4028\2016-11-16 --exclude "*" --recursive --include "*20161116*" &amp; "%USERPROFILE%\Documents\GitHub\mrs-test-scripts\Headless Mode &amp; Sideloading\WalkAndUnGZ.bat" "%USERPROFILE%\AppData\Local\Temp\OnboardLogs"\RTDC4028\2016-11-16 &amp; aws s3 cp s3://rtdc.mdm.uploadarchive.raw/RTDC4028/ "%USERPROFILE%\AppData\Local\Temp\OnboardLogs"\RTDC4028\2016-11-17 --exclude "*" --recursive --include "*20161117*" &amp; "%USERPROFILE%\Documents\GitHub\mrs-test-scripts\Headless Mode &amp; Sideloading\WalkAndUnGZ.bat" "%USERPROFILE%\AppData\Local\Temp\OnboardLogs"\RTDC4028\2016-11-17</v>
      </c>
      <c r="AF218" s="88" t="str">
        <f t="shared" si="82"/>
        <v>"C:\Program Files (x86)\AstroGrep\AstroGrep.exe" /spath="%USERPROFILE%\AppData\Local\Temp\OnboardLogs" /stypes="app*4028*20161116*" /stext=" 17:.+((SYSTEM_STATE.+slice.+state.+changed )|(ment ac)|(system.+state.+changed )|(\[timeout)|(PRM\|1\|D)|(kpr)|(kdp)|(\|lc)|(penalty))" /e /r /s</v>
      </c>
      <c r="AG218" s="1" t="str">
        <f t="shared" si="93"/>
        <v>Other</v>
      </c>
      <c r="AH218" s="92" t="str">
        <f t="shared" si="83"/>
        <v>"%USERPROFILE%\Documents\GitHub\eaglep3\Utilities\RefineRTDCRunTimes.py" --tripid 50-16 --locoid 4028 --swversion DE.1.0.8.0 --startMP 300:22159 --initTime 2016-11-16T10:27:30 --startdatetime 2016-11-16T10:29:17 --delay 1 --endMP 8.53333333333333 --enddatetime 2016-11-16T10:37:22 --enforcementcount 0 &gt;&gt;C:\Users\stu\Documents\GitHub\eaglep3-reporting\EC\2016-11-16-refined-times.txt</v>
      </c>
      <c r="AI218" s="119" t="str">
        <f t="shared" si="84"/>
        <v>echo {"issue":{"subject":"","project_id":79,"tracker_id":40,"status_id":1,"priority_id":2,"assigned_to_id":23,"start_date":"2016-11-16","description":"","custom_fields":[{"id":1,"name":"Subdivision","value":"Other"},{"id":4,"name":"Milepost","value":"33333333.3333"},{"id":17,"name":"Train ID","value":"50-16"},{"id":16,"name":"Locomotive ID","value":"4028"},{"id":130,"name":"Impact","value":""},{"id":150,"name":"Time of Event (Mountain Time)","value":"10:37:22"},{"id":151,"name":"Denver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455</v>
      </c>
      <c r="B219" s="7">
        <v>4053</v>
      </c>
      <c r="C219" s="22" t="s">
        <v>222</v>
      </c>
      <c r="D219" s="22" t="s">
        <v>658</v>
      </c>
      <c r="E219" s="13">
        <v>42690.126377314817</v>
      </c>
      <c r="F219" s="13">
        <v>42690.128391203703</v>
      </c>
      <c r="G219" s="7">
        <v>1</v>
      </c>
      <c r="H219" s="22" t="s">
        <v>713</v>
      </c>
      <c r="I219" s="13">
        <v>42690.169942129629</v>
      </c>
      <c r="J219" s="7">
        <v>0</v>
      </c>
      <c r="K219" s="109" t="str">
        <f t="shared" si="85"/>
        <v>4053/4054</v>
      </c>
      <c r="L219" s="22" t="str">
        <f>VLOOKUP(A219,'Trips&amp;Operators'!$C$1:$E$10000,3,FALSE)</f>
        <v>BEAM</v>
      </c>
      <c r="M219" s="6">
        <f t="shared" si="86"/>
        <v>4.1550925925548654E-2</v>
      </c>
      <c r="N219" s="7">
        <f t="shared" si="78"/>
        <v>59.833333332790062</v>
      </c>
      <c r="O219" s="7"/>
      <c r="P219" s="7"/>
      <c r="Q219" s="23"/>
      <c r="R219" s="23"/>
      <c r="S219" s="35">
        <f t="shared" si="79"/>
        <v>0</v>
      </c>
      <c r="T219" s="50" t="e">
        <f t="shared" si="87"/>
        <v>#VALUE!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https://search-rtdc-monitor-bjffxe2xuh6vdkpspy63sjmuny.us-east-1.es.amazonaws.com/_plugin/kibana/#/discover/Steve-Slow-Train-Analysis-(2080s-and-2083s)?_g=(refreshInterval:(display:Off,section:0,value:0),time:(from:'2016-11-16 02:01:59-700',mode:absolute,to:'2016-11-16 05:04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9" s="52" t="str">
        <f t="shared" si="88"/>
        <v>N</v>
      </c>
      <c r="X219" s="177" t="e">
        <f t="shared" si="77"/>
        <v>#VALUE!</v>
      </c>
      <c r="Y219" s="67">
        <f t="shared" si="89"/>
        <v>4.6699999999999998E-2</v>
      </c>
      <c r="Z219" s="67">
        <f t="shared" si="90"/>
        <v>7.0007999999999999</v>
      </c>
      <c r="AA219" s="67">
        <f t="shared" si="91"/>
        <v>6.9540999999999995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92"/>
        <v>51-16</v>
      </c>
      <c r="AE219" s="91" t="str">
        <f t="shared" si="81"/>
        <v>aws s3 cp s3://rtdc.mdm.uploadarchive.raw/RTDC4053/ "%USERPROFILE%\AppData\Local\Temp\OnboardLogs"\RTDC4053\2016-11-16 --exclude "*" --recursive --include "*20161116*" &amp; "%USERPROFILE%\Documents\GitHub\mrs-test-scripts\Headless Mode &amp; Sideloading\WalkAndUnGZ.bat" "%USERPROFILE%\AppData\Local\Temp\OnboardLogs"\RTDC4053\2016-11-16 &amp; aws s3 cp s3://rtdc.mdm.uploadarchive.raw/RTDC4053/ "%USERPROFILE%\AppData\Local\Temp\OnboardLogs"\RTDC4053\2016-11-17 --exclude "*" --recursive --include "*20161117*" &amp; "%USERPROFILE%\Documents\GitHub\mrs-test-scripts\Headless Mode &amp; Sideloading\WalkAndUnGZ.bat" "%USERPROFILE%\AppData\Local\Temp\OnboardLogs"\RTDC4053\2016-11-17</v>
      </c>
      <c r="AF219" s="88" t="str">
        <f t="shared" si="82"/>
        <v>"C:\Program Files (x86)\AstroGrep\AstroGrep.exe" /spath="%USERPROFILE%\AppData\Local\Temp\OnboardLogs" /stypes="app*4053*20161116*" /stext=" 11:.+((SYSTEM_STATE.+slice.+state.+changed )|(ment ac)|(system.+state.+changed )|(\[timeout)|(PRM\|1\|D)|(kpr)|(kdp)|(\|lc)|(penalty))" /e /r /s</v>
      </c>
      <c r="AG219" s="1" t="str">
        <f t="shared" si="93"/>
        <v>Other</v>
      </c>
      <c r="AH219" s="92" t="str">
        <f t="shared" si="83"/>
        <v>"%USERPROFILE%\Documents\GitHub\eaglep3\Utilities\RefineRTDCRunTimes.py" --tripid 51-16 --locoid 4053 --swversion DE.1.0.8.0 --startMP 204:467 --initTime 2016-11-16T03:01:59 --startdatetime 2016-11-16T03:04:53 --delay 1 --endMP 204:70008 --enddatetime 2016-11-16T04:04:43 --enforcementcount 0 &gt;&gt;C:\Users\stu\Documents\GitHub\eaglep3-reporting\EC\2016-11-16-refined-times.txt</v>
      </c>
      <c r="AI219" s="119" t="str">
        <f t="shared" si="84"/>
        <v>echo {"issue":{"subject":"","project_id":79,"tracker_id":40,"status_id":1,"priority_id":2,"assigned_to_id":23,"start_date":"2016-11-16","description":"","custom_fields":[{"id":1,"name":"Subdivision","value":"Other"},{"id":4,"name":"Milepost","value":"7.0008"},{"id":17,"name":"Train ID","value":"51-16"},{"id":16,"name":"Locomotive ID","value":"4053"},{"id":130,"name":"Impact","value":""},{"id":150,"name":"Time of Event (Mountain Time)","value":"04:04:43"},{"id":151,"name":"Denver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399</v>
      </c>
      <c r="B220" s="7">
        <v>4054</v>
      </c>
      <c r="C220" s="22" t="s">
        <v>222</v>
      </c>
      <c r="D220" s="22" t="s">
        <v>714</v>
      </c>
      <c r="E220" s="13">
        <v>42690.171400462961</v>
      </c>
      <c r="F220" s="13">
        <v>42690.17292824074</v>
      </c>
      <c r="G220" s="7">
        <v>1</v>
      </c>
      <c r="H220" s="22" t="s">
        <v>715</v>
      </c>
      <c r="I220" s="13">
        <v>42690.191944444443</v>
      </c>
      <c r="J220" s="7">
        <v>0</v>
      </c>
      <c r="K220" s="109" t="str">
        <f t="shared" si="85"/>
        <v>4053/4054</v>
      </c>
      <c r="L220" s="22" t="str">
        <f>VLOOKUP(A220,'Trips&amp;Operators'!$C$1:$E$10000,3,FALSE)</f>
        <v>BEAM</v>
      </c>
      <c r="M220" s="6">
        <f t="shared" si="86"/>
        <v>1.9016203703358769E-2</v>
      </c>
      <c r="N220" s="7">
        <f t="shared" si="78"/>
        <v>27.383333332836628</v>
      </c>
      <c r="O220" s="7"/>
      <c r="P220" s="7"/>
      <c r="Q220" s="23"/>
      <c r="R220" s="23"/>
      <c r="S220" s="35">
        <f t="shared" si="79"/>
        <v>0</v>
      </c>
      <c r="T220" s="50" t="e">
        <f t="shared" si="87"/>
        <v>#VALUE!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https://search-rtdc-monitor-bjffxe2xuh6vdkpspy63sjmuny.us-east-1.es.amazonaws.com/_plugin/kibana/#/discover/Steve-Slow-Train-Analysis-(2080s-and-2083s)?_g=(refreshInterval:(display:Off,section:0,value:0),time:(from:'2016-11-16 03:06:49-700',mode:absolute,to:'2016-11-16 05:36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0" s="52" t="str">
        <f t="shared" si="88"/>
        <v>N</v>
      </c>
      <c r="X220" s="177" t="e">
        <f t="shared" si="77"/>
        <v>#VALUE!</v>
      </c>
      <c r="Y220" s="67">
        <f t="shared" si="89"/>
        <v>6.9692999999999996</v>
      </c>
      <c r="Z220" s="67">
        <f t="shared" si="90"/>
        <v>9.01E-2</v>
      </c>
      <c r="AA220" s="67">
        <f t="shared" si="91"/>
        <v>6.8792</v>
      </c>
      <c r="AB220" s="64" t="str">
        <f>VLOOKUP(A220,Enforcements!$C$7:$K$20,8,0)</f>
        <v>Form based authority (4)</v>
      </c>
      <c r="AC220" s="60" t="str">
        <f>VLOOKUP(A220,Enforcements!$C$7:$E$20,3,0)</f>
        <v>TRACK WARRANT AUTHORITY</v>
      </c>
      <c r="AD220" s="61" t="str">
        <f t="shared" si="92"/>
        <v>52-16</v>
      </c>
      <c r="AE220" s="91" t="str">
        <f t="shared" si="81"/>
        <v>aws s3 cp s3://rtdc.mdm.uploadarchive.raw/RTDC4054/ "%USERPROFILE%\AppData\Local\Temp\OnboardLogs"\RTDC4054\2016-11-16 --exclude "*" --recursive --include "*20161116*" &amp; "%USERPROFILE%\Documents\GitHub\mrs-test-scripts\Headless Mode &amp; Sideloading\WalkAndUnGZ.bat" "%USERPROFILE%\AppData\Local\Temp\OnboardLogs"\RTDC4054\2016-11-16 &amp; aws s3 cp s3://rtdc.mdm.uploadarchive.raw/RTDC4054/ "%USERPROFILE%\AppData\Local\Temp\OnboardLogs"\RTDC4054\2016-11-17 --exclude "*" --recursive --include "*20161117*" &amp; "%USERPROFILE%\Documents\GitHub\mrs-test-scripts\Headless Mode &amp; Sideloading\WalkAndUnGZ.bat" "%USERPROFILE%\AppData\Local\Temp\OnboardLogs"\RTDC4054\2016-11-17</v>
      </c>
      <c r="AF220" s="88" t="str">
        <f t="shared" si="82"/>
        <v>"C:\Program Files (x86)\AstroGrep\AstroGrep.exe" /spath="%USERPROFILE%\AppData\Local\Temp\OnboardLogs" /stypes="app*4054*20161116*" /stext=" 11:.+((SYSTEM_STATE.+slice.+state.+changed )|(ment ac)|(system.+state.+changed )|(\[timeout)|(PRM\|1\|D)|(kpr)|(kdp)|(\|lc)|(penalty))" /e /r /s</v>
      </c>
      <c r="AG220" s="1" t="str">
        <f t="shared" si="93"/>
        <v>Other</v>
      </c>
      <c r="AH220" s="92" t="str">
        <f t="shared" si="83"/>
        <v>"%USERPROFILE%\Documents\GitHub\eaglep3\Utilities\RefineRTDCRunTimes.py" --tripid 52-16 --locoid 4054 --swversion DE.1.0.8.0 --startMP 204:69693 --initTime 2016-11-16T04:06:49 --startdatetime 2016-11-16T04:09:01 --delay 1 --endMP 204:901 --enddatetime 2016-11-16T04:36:24 --enforcementcount 0 &gt;&gt;C:\Users\stu\Documents\GitHub\eaglep3-reporting\EC\2016-11-16-refined-times.txt</v>
      </c>
      <c r="AI220" s="119" t="str">
        <f t="shared" si="84"/>
        <v>echo {"issue":{"subject":"","project_id":79,"tracker_id":40,"status_id":1,"priority_id":2,"assigned_to_id":23,"start_date":"2016-11-16","description":"","custom_fields":[{"id":1,"name":"Subdivision","value":"Other"},{"id":4,"name":"Milepost","value":"0.0901"},{"id":17,"name":"Train ID","value":"52-16"},{"id":16,"name":"Locomotive ID","value":"4054"},{"id":130,"name":"Impact","value":""},{"id":150,"name":"Time of Event (Mountain Time)","value":"04:36:24"},{"id":151,"name":"Denver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425</v>
      </c>
      <c r="B221" s="7">
        <v>4027</v>
      </c>
      <c r="C221" s="22" t="s">
        <v>222</v>
      </c>
      <c r="D221" s="22" t="s">
        <v>716</v>
      </c>
      <c r="E221" s="13">
        <v>42690.489525462966</v>
      </c>
      <c r="F221" s="13">
        <v>42690.499618055554</v>
      </c>
      <c r="G221" s="7">
        <v>4</v>
      </c>
      <c r="H221" s="22" t="s">
        <v>717</v>
      </c>
      <c r="I221" s="13">
        <v>42690.505891203706</v>
      </c>
      <c r="J221" s="7">
        <v>0</v>
      </c>
      <c r="K221" s="109" t="str">
        <f t="shared" si="85"/>
        <v>4027/4028</v>
      </c>
      <c r="L221" s="22" t="str">
        <f>VLOOKUP(A221,'Trips&amp;Operators'!$C$1:$E$10000,3,FALSE)</f>
        <v>STRICKLAND</v>
      </c>
      <c r="M221" s="6">
        <f t="shared" si="86"/>
        <v>6.2731481521041133E-3</v>
      </c>
      <c r="N221" s="7">
        <f t="shared" si="78"/>
        <v>9.0333333390299231</v>
      </c>
      <c r="O221" s="7"/>
      <c r="P221" s="7"/>
      <c r="Q221" s="23"/>
      <c r="R221" s="23"/>
      <c r="S221" s="35">
        <f t="shared" si="79"/>
        <v>0</v>
      </c>
      <c r="T221" s="50" t="e">
        <f t="shared" si="87"/>
        <v>#VALUE!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https://search-rtdc-monitor-bjffxe2xuh6vdkpspy63sjmuny.us-east-1.es.amazonaws.com/_plugin/kibana/#/discover/Steve-Slow-Train-Analysis-(2080s-and-2083s)?_g=(refreshInterval:(display:Off,section:0,value:0),time:(from:'2016-11-16 10:44:55-700',mode:absolute,to:'2016-11-16 13:08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1" s="52" t="str">
        <f t="shared" si="88"/>
        <v>Y</v>
      </c>
      <c r="X221" s="177" t="e">
        <f t="shared" si="77"/>
        <v>#VALUE!</v>
      </c>
      <c r="Y221" s="67">
        <f t="shared" si="89"/>
        <v>3.6499999999999998E-2</v>
      </c>
      <c r="Z221" s="67">
        <f t="shared" si="90"/>
        <v>2.4232999999999998</v>
      </c>
      <c r="AA221" s="67">
        <f t="shared" si="91"/>
        <v>2.3867999999999996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92"/>
        <v>53-16</v>
      </c>
      <c r="AE221" s="91" t="str">
        <f t="shared" si="81"/>
        <v>aws s3 cp s3://rtdc.mdm.uploadarchive.raw/RTDC4027/ "%USERPROFILE%\AppData\Local\Temp\OnboardLogs"\RTDC4027\2016-11-16 --exclude "*" --recursive --include "*20161116*" &amp; "%USERPROFILE%\Documents\GitHub\mrs-test-scripts\Headless Mode &amp; Sideloading\WalkAndUnGZ.bat" "%USERPROFILE%\AppData\Local\Temp\OnboardLogs"\RTDC4027\2016-11-16 &amp; aws s3 cp s3://rtdc.mdm.uploadarchive.raw/RTDC4027/ "%USERPROFILE%\AppData\Local\Temp\OnboardLogs"\RTDC4027\2016-11-17 --exclude "*" --recursive --include "*20161117*" &amp; "%USERPROFILE%\Documents\GitHub\mrs-test-scripts\Headless Mode &amp; Sideloading\WalkAndUnGZ.bat" "%USERPROFILE%\AppData\Local\Temp\OnboardLogs"\RTDC4027\2016-11-17</v>
      </c>
      <c r="AF221" s="88" t="str">
        <f t="shared" si="82"/>
        <v>"C:\Program Files (x86)\AstroGrep\AstroGrep.exe" /spath="%USERPROFILE%\AppData\Local\Temp\OnboardLogs" /stypes="app*4027*20161116*" /stext=" 19:.+((SYSTEM_STATE.+slice.+state.+changed )|(ment ac)|(system.+state.+changed )|(\[timeout)|(PRM\|1\|D)|(kpr)|(kdp)|(\|lc)|(penalty))" /e /r /s</v>
      </c>
      <c r="AG221" s="1" t="str">
        <f t="shared" si="93"/>
        <v>Other</v>
      </c>
      <c r="AH221" s="92" t="str">
        <f t="shared" si="83"/>
        <v>"%USERPROFILE%\Documents\GitHub\eaglep3\Utilities\RefineRTDCRunTimes.py" --tripid 53-16 --locoid 4027 --swversion DE.1.0.8.0 --startMP 204:365 --initTime 2016-11-16T11:44:55 --startdatetime 2016-11-16T11:59:27 --delay 4 --endMP 300:24233 --enddatetime 2016-11-16T12:08:29 --enforcementcount 0 &gt;&gt;C:\Users\stu\Documents\GitHub\eaglep3-reporting\EC\2016-11-16-refined-times.txt</v>
      </c>
      <c r="AI221" s="119" t="str">
        <f t="shared" si="84"/>
        <v>echo {"issue":{"subject":"","project_id":79,"tracker_id":40,"status_id":1,"priority_id":2,"assigned_to_id":23,"start_date":"2016-11-16","description":"","custom_fields":[{"id":1,"name":"Subdivision","value":"Other"},{"id":4,"name":"Milepost","value":"2.4233"},{"id":17,"name":"Train ID","value":"53-16"},{"id":16,"name":"Locomotive ID","value":"4027"},{"id":130,"name":"Impact","value":""},{"id":150,"name":"Time of Event (Mountain Time)","value":"12:08:29"},{"id":151,"name":"Denver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519</v>
      </c>
      <c r="B222" s="7">
        <v>4041</v>
      </c>
      <c r="C222" s="22" t="s">
        <v>222</v>
      </c>
      <c r="D222" s="22" t="s">
        <v>718</v>
      </c>
      <c r="E222" s="13">
        <v>42690.459467592591</v>
      </c>
      <c r="F222" s="13">
        <v>42690.462511574071</v>
      </c>
      <c r="G222" s="7">
        <v>3</v>
      </c>
      <c r="H222" s="22" t="s">
        <v>719</v>
      </c>
      <c r="I222" s="13">
        <v>42690.468530092592</v>
      </c>
      <c r="J222" s="7">
        <v>0</v>
      </c>
      <c r="K222" s="109" t="str">
        <f t="shared" si="85"/>
        <v>4041/4042</v>
      </c>
      <c r="L222" s="22" t="str">
        <f>VLOOKUP(A222,'Trips&amp;Operators'!$C$1:$E$10000,3,FALSE)</f>
        <v>BROWN</v>
      </c>
      <c r="M222" s="6">
        <f t="shared" si="86"/>
        <v>6.0185185211594217E-3</v>
      </c>
      <c r="N222" s="7">
        <f t="shared" si="78"/>
        <v>8.6666666704695672</v>
      </c>
      <c r="O222" s="7"/>
      <c r="P222" s="7"/>
      <c r="Q222" s="23"/>
      <c r="R222" s="23"/>
      <c r="S222" s="35">
        <f t="shared" si="79"/>
        <v>0</v>
      </c>
      <c r="T222" s="50" t="e">
        <f t="shared" si="87"/>
        <v>#VALUE!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https://search-rtdc-monitor-bjffxe2xuh6vdkpspy63sjmuny.us-east-1.es.amazonaws.com/_plugin/kibana/#/discover/Steve-Slow-Train-Analysis-(2080s-and-2083s)?_g=(refreshInterval:(display:Off,section:0,value:0),time:(from:'2016-11-16 10:01:38-700',mode:absolute,to:'2016-11-16 12:14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2" s="52" t="str">
        <f t="shared" si="88"/>
        <v>Y</v>
      </c>
      <c r="X222" s="177" t="e">
        <f t="shared" si="77"/>
        <v>#VALUE!</v>
      </c>
      <c r="Y222" s="67">
        <f t="shared" si="89"/>
        <v>2.3132999999999999</v>
      </c>
      <c r="Z222" s="67">
        <f t="shared" si="90"/>
        <v>3.6799999999999999E-2</v>
      </c>
      <c r="AA222" s="67">
        <f t="shared" si="91"/>
        <v>2.2765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92"/>
        <v>54-16</v>
      </c>
      <c r="AE222" s="91" t="str">
        <f t="shared" si="81"/>
        <v>aws s3 cp s3://rtdc.mdm.uploadarchive.raw/RTDC4041/ "%USERPROFILE%\AppData\Local\Temp\OnboardLogs"\RTDC4041\2016-11-16 --exclude "*" --recursive --include "*20161116*" &amp; "%USERPROFILE%\Documents\GitHub\mrs-test-scripts\Headless Mode &amp; Sideloading\WalkAndUnGZ.bat" "%USERPROFILE%\AppData\Local\Temp\OnboardLogs"\RTDC4041\2016-11-16 &amp; aws s3 cp s3://rtdc.mdm.uploadarchive.raw/RTDC4041/ "%USERPROFILE%\AppData\Local\Temp\OnboardLogs"\RTDC4041\2016-11-17 --exclude "*" --recursive --include "*20161117*" &amp; "%USERPROFILE%\Documents\GitHub\mrs-test-scripts\Headless Mode &amp; Sideloading\WalkAndUnGZ.bat" "%USERPROFILE%\AppData\Local\Temp\OnboardLogs"\RTDC4041\2016-11-17</v>
      </c>
      <c r="AF222" s="88" t="str">
        <f t="shared" si="82"/>
        <v>"C:\Program Files (x86)\AstroGrep\AstroGrep.exe" /spath="%USERPROFILE%\AppData\Local\Temp\OnboardLogs" /stypes="app*4041*20161116*" /stext=" 18:.+((SYSTEM_STATE.+slice.+state.+changed )|(ment ac)|(system.+state.+changed )|(\[timeout)|(PRM\|1\|D)|(kpr)|(kdp)|(\|lc)|(penalty))" /e /r /s</v>
      </c>
      <c r="AG222" s="1" t="str">
        <f t="shared" si="93"/>
        <v>Other</v>
      </c>
      <c r="AH222" s="92" t="str">
        <f t="shared" si="83"/>
        <v>"%USERPROFILE%\Documents\GitHub\eaglep3\Utilities\RefineRTDCRunTimes.py" --tripid 54-16 --locoid 4041 --swversion DE.1.0.8.0 --startMP 300:23133 --initTime 2016-11-16T11:01:38 --startdatetime 2016-11-16T11:06:01 --delay 3 --endMP 204:368 --enddatetime 2016-11-16T11:14:41 --enforcementcount 0 &gt;&gt;C:\Users\stu\Documents\GitHub\eaglep3-reporting\EC\2016-11-16-refined-times.txt</v>
      </c>
      <c r="AI222" s="119" t="str">
        <f t="shared" si="84"/>
        <v>echo {"issue":{"subject":"","project_id":79,"tracker_id":40,"status_id":1,"priority_id":2,"assigned_to_id":23,"start_date":"2016-11-16","description":"","custom_fields":[{"id":1,"name":"Subdivision","value":"Other"},{"id":4,"name":"Milepost","value":"0.0368"},{"id":17,"name":"Train ID","value":"54-16"},{"id":16,"name":"Locomotive ID","value":"4041"},{"id":130,"name":"Impact","value":""},{"id":150,"name":"Time of Event (Mountain Time)","value":"11:14:41"},{"id":151,"name":"Denver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440</v>
      </c>
      <c r="B223" s="7">
        <v>4012</v>
      </c>
      <c r="C223" s="22" t="s">
        <v>222</v>
      </c>
      <c r="D223" s="22" t="s">
        <v>720</v>
      </c>
      <c r="E223" s="13">
        <v>42690.745706018519</v>
      </c>
      <c r="F223" s="13">
        <v>42690.747025462966</v>
      </c>
      <c r="G223" s="7">
        <v>1</v>
      </c>
      <c r="H223" s="22" t="s">
        <v>721</v>
      </c>
      <c r="I223" s="13">
        <v>42690.752442129633</v>
      </c>
      <c r="J223" s="7">
        <v>0</v>
      </c>
      <c r="K223" s="109" t="str">
        <f t="shared" si="85"/>
        <v>4011/4012</v>
      </c>
      <c r="L223" s="22" t="str">
        <f>VLOOKUP(A223,'Trips&amp;Operators'!$C$1:$E$10000,3,FALSE)</f>
        <v>ROMERO</v>
      </c>
      <c r="M223" s="6">
        <f t="shared" si="86"/>
        <v>5.4166666668606922E-3</v>
      </c>
      <c r="N223" s="7">
        <f t="shared" si="78"/>
        <v>7.8000000002793968</v>
      </c>
      <c r="O223" s="7"/>
      <c r="P223" s="7"/>
      <c r="Q223" s="23"/>
      <c r="R223" s="23"/>
      <c r="S223" s="35">
        <f t="shared" si="79"/>
        <v>0</v>
      </c>
      <c r="T223" s="50" t="e">
        <f t="shared" si="87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https://search-rtdc-monitor-bjffxe2xuh6vdkpspy63sjmuny.us-east-1.es.amazonaws.com/_plugin/kibana/#/discover/Steve-Slow-Train-Analysis-(2080s-and-2083s)?_g=(refreshInterval:(display:Off,section:0,value:0),time:(from:'2016-11-16 16:53:49-700',mode:absolute,to:'2016-11-16 19:03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3" s="52" t="str">
        <f t="shared" si="88"/>
        <v>Y</v>
      </c>
      <c r="X223" s="177" t="e">
        <f t="shared" si="77"/>
        <v>#VALUE!</v>
      </c>
      <c r="Y223" s="67">
        <f t="shared" si="89"/>
        <v>2.1781999999999999</v>
      </c>
      <c r="Z223" s="67">
        <f t="shared" si="90"/>
        <v>9.11E-2</v>
      </c>
      <c r="AA223" s="67">
        <f t="shared" si="91"/>
        <v>2.0871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92"/>
        <v>64-16</v>
      </c>
      <c r="AE223" s="91" t="str">
        <f t="shared" si="81"/>
        <v>aws s3 cp s3://rtdc.mdm.uploadarchive.raw/RTDC4012/ "%USERPROFILE%\AppData\Local\Temp\OnboardLogs"\RTDC4012\2016-11-16 --exclude "*" --recursive --include "*20161116*" &amp; "%USERPROFILE%\Documents\GitHub\mrs-test-scripts\Headless Mode &amp; Sideloading\WalkAndUnGZ.bat" "%USERPROFILE%\AppData\Local\Temp\OnboardLogs"\RTDC4012\2016-11-16 &amp; 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</v>
      </c>
      <c r="AF223" s="88" t="str">
        <f t="shared" si="82"/>
        <v>"C:\Program Files (x86)\AstroGrep\AstroGrep.exe" /spath="%USERPROFILE%\AppData\Local\Temp\OnboardLogs" /stypes="app*4012*20161117*" /stext=" 01:.+((SYSTEM_STATE.+slice.+state.+changed )|(ment ac)|(system.+state.+changed )|(\[timeout)|(PRM\|1\|D)|(kpr)|(kdp)|(\|lc)|(penalty))" /e /r /s</v>
      </c>
      <c r="AG223" s="1" t="str">
        <f t="shared" si="93"/>
        <v>Other</v>
      </c>
      <c r="AH223" s="92" t="str">
        <f t="shared" si="83"/>
        <v>"%USERPROFILE%\Documents\GitHub\eaglep3\Utilities\RefineRTDCRunTimes.py" --tripid 64-16 --locoid 4012 --swversion DE.1.0.8.0 --startMP 300:21782 --initTime 2016-11-16T17:53:49 --startdatetime 2016-11-16T17:55:43 --delay 1 --endMP 204:911 --enddatetime 2016-11-16T18:03:31 --enforcementcount 0 &gt;&gt;C:\Users\stu\Documents\GitHub\eaglep3-reporting\EC\2016-11-16-refined-times.txt</v>
      </c>
      <c r="AI223" s="119" t="str">
        <f t="shared" si="84"/>
        <v>echo {"issue":{"subject":"","project_id":79,"tracker_id":40,"status_id":1,"priority_id":2,"assigned_to_id":23,"start_date":"2016-11-16","description":"","custom_fields":[{"id":1,"name":"Subdivision","value":"Other"},{"id":4,"name":"Milepost","value":"0.0911"},{"id":17,"name":"Train ID","value":"64-16"},{"id":16,"name":"Locomotive ID","value":"4012"},{"id":130,"name":"Impact","value":""},{"id":150,"name":"Time of Event (Mountain Time)","value":"18:03:31"},{"id":151,"name":"Denver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441</v>
      </c>
      <c r="B224" s="7">
        <v>4007</v>
      </c>
      <c r="C224" s="22" t="s">
        <v>222</v>
      </c>
      <c r="D224" s="22" t="s">
        <v>722</v>
      </c>
      <c r="E224" s="13">
        <v>42690.752384259256</v>
      </c>
      <c r="F224" s="13">
        <v>42690.754386574074</v>
      </c>
      <c r="G224" s="7">
        <v>1</v>
      </c>
      <c r="H224" s="22" t="s">
        <v>723</v>
      </c>
      <c r="I224" s="13">
        <v>42690.754513888889</v>
      </c>
      <c r="J224" s="7">
        <v>0</v>
      </c>
      <c r="K224" s="109" t="str">
        <f t="shared" si="85"/>
        <v>4007/4008</v>
      </c>
      <c r="L224" s="22" t="str">
        <f>VLOOKUP(A224,'Trips&amp;Operators'!$C$1:$E$10000,3,FALSE)</f>
        <v>LOPES</v>
      </c>
      <c r="M224" s="6">
        <f t="shared" si="86"/>
        <v>1.273148154723458E-4</v>
      </c>
      <c r="N224" s="7">
        <f t="shared" si="78"/>
        <v>0.18333333428017795</v>
      </c>
      <c r="O224" s="7"/>
      <c r="P224" s="7"/>
      <c r="Q224" s="23"/>
      <c r="R224" s="23"/>
      <c r="S224" s="35">
        <f t="shared" si="79"/>
        <v>0</v>
      </c>
      <c r="T224" s="50" t="e">
        <f t="shared" si="87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https://search-rtdc-monitor-bjffxe2xuh6vdkpspy63sjmuny.us-east-1.es.amazonaws.com/_plugin/kibana/#/discover/Steve-Slow-Train-Analysis-(2080s-and-2083s)?_g=(refreshInterval:(display:Off,section:0,value:0),time:(from:'2016-11-16 17:03:26-700',mode:absolute,to:'2016-11-16 19:06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4" s="52" t="str">
        <f t="shared" si="88"/>
        <v>Y</v>
      </c>
      <c r="X224" s="177" t="e">
        <f t="shared" si="77"/>
        <v>#VALUE!</v>
      </c>
      <c r="Y224" s="67">
        <f t="shared" si="89"/>
        <v>0.14899999999999999</v>
      </c>
      <c r="Z224" s="67">
        <f t="shared" si="90"/>
        <v>0.18079999999999999</v>
      </c>
      <c r="AA224" s="67">
        <f t="shared" si="91"/>
        <v>3.1799999999999995E-2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 t="shared" si="92"/>
        <v>65-16</v>
      </c>
      <c r="AE224" s="91" t="str">
        <f t="shared" si="81"/>
        <v>aws s3 cp s3://rtdc.mdm.uploadarchive.raw/RTDC4007/ "%USERPROFILE%\AppData\Local\Temp\OnboardLogs"\RTDC4007\2016-11-16 --exclude "*" --recursive --include "*20161116*" &amp; "%USERPROFILE%\Documents\GitHub\mrs-test-scripts\Headless Mode &amp; Sideloading\WalkAndUnGZ.bat" "%USERPROFILE%\AppData\Local\Temp\OnboardLogs"\RTDC4007\2016-11-16 &amp; aws s3 cp s3://rtdc.mdm.uploadarchive.raw/RTDC4007/ "%USERPROFILE%\AppData\Local\Temp\OnboardLogs"\RTDC4007\2016-11-17 --exclude "*" --recursive --include "*20161117*" &amp; "%USERPROFILE%\Documents\GitHub\mrs-test-scripts\Headless Mode &amp; Sideloading\WalkAndUnGZ.bat" "%USERPROFILE%\AppData\Local\Temp\OnboardLogs"\RTDC4007\2016-11-17</v>
      </c>
      <c r="AF224" s="88" t="str">
        <f t="shared" si="82"/>
        <v>"C:\Program Files (x86)\AstroGrep\AstroGrep.exe" /spath="%USERPROFILE%\AppData\Local\Temp\OnboardLogs" /stypes="app*4007*20161117*" /stext=" 01:.+((SYSTEM_STATE.+slice.+state.+changed )|(ment ac)|(system.+state.+changed )|(\[timeout)|(PRM\|1\|D)|(kpr)|(kdp)|(\|lc)|(penalty))" /e /r /s</v>
      </c>
      <c r="AG224" s="1" t="str">
        <f t="shared" si="93"/>
        <v>Other</v>
      </c>
      <c r="AH224" s="92" t="str">
        <f t="shared" si="83"/>
        <v>"%USERPROFILE%\Documents\GitHub\eaglep3\Utilities\RefineRTDCRunTimes.py" --tripid 65-16 --locoid 4007 --swversion DE.1.0.8.0 --startMP 204:1490 --initTime 2016-11-16T18:03:26 --startdatetime 2016-11-16T18:06:19 --delay 1 --endMP 204:1808 --enddatetime 2016-11-16T18:06:30 --enforcementcount 0 &gt;&gt;C:\Users\stu\Documents\GitHub\eaglep3-reporting\EC\2016-11-16-refined-times.txt</v>
      </c>
      <c r="AI224" s="119" t="str">
        <f t="shared" si="84"/>
        <v>echo {"issue":{"subject":"","project_id":79,"tracker_id":40,"status_id":1,"priority_id":2,"assigned_to_id":23,"start_date":"2016-11-16","description":"","custom_fields":[{"id":1,"name":"Subdivision","value":"Other"},{"id":4,"name":"Milepost","value":"0.1808"},{"id":17,"name":"Train ID","value":"65-16"},{"id":16,"name":"Locomotive ID","value":"4007"},{"id":130,"name":"Impact","value":""},{"id":150,"name":"Time of Event (Mountain Time)","value":"18:06:30"},{"id":151,"name":"Denver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594</v>
      </c>
      <c r="B225" s="7">
        <v>4043</v>
      </c>
      <c r="C225" s="22" t="s">
        <v>222</v>
      </c>
      <c r="D225" s="22" t="s">
        <v>660</v>
      </c>
      <c r="E225" s="13">
        <v>42690.779409722221</v>
      </c>
      <c r="F225" s="13">
        <v>42690.784907407404</v>
      </c>
      <c r="G225" s="7">
        <v>2</v>
      </c>
      <c r="H225" s="22" t="s">
        <v>724</v>
      </c>
      <c r="I225" s="13">
        <v>42690.813576388886</v>
      </c>
      <c r="J225" s="7">
        <v>0</v>
      </c>
      <c r="K225" s="109" t="str">
        <f t="shared" si="85"/>
        <v>4043/4044</v>
      </c>
      <c r="L225" s="22" t="str">
        <f>VLOOKUP(A225,'Trips&amp;Operators'!$C$1:$E$10000,3,FALSE)</f>
        <v>BERLING</v>
      </c>
      <c r="M225" s="6">
        <f t="shared" si="86"/>
        <v>2.8668981482042E-2</v>
      </c>
      <c r="N225" s="7">
        <f t="shared" si="78"/>
        <v>41.28333333414048</v>
      </c>
      <c r="O225" s="7"/>
      <c r="P225" s="7"/>
      <c r="Q225" s="23"/>
      <c r="R225" s="23"/>
      <c r="S225" s="35">
        <f t="shared" si="79"/>
        <v>0</v>
      </c>
      <c r="T225" s="50" t="e">
        <f t="shared" si="87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80"/>
        <v>https://search-rtdc-monitor-bjffxe2xuh6vdkpspy63sjmuny.us-east-1.es.amazonaws.com/_plugin/kibana/#/discover/Steve-Slow-Train-Analysis-(2080s-and-2083s)?_g=(refreshInterval:(display:Off,section:0,value:0),time:(from:'2016-11-16 17:42:21-700',mode:absolute,to:'2016-11-16 20:31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5" s="52" t="str">
        <f t="shared" si="88"/>
        <v>N</v>
      </c>
      <c r="X225" s="177" t="e">
        <f t="shared" si="77"/>
        <v>#VALUE!</v>
      </c>
      <c r="Y225" s="67">
        <f t="shared" si="89"/>
        <v>23.298200000000001</v>
      </c>
      <c r="Z225" s="67">
        <f t="shared" si="90"/>
        <v>8.9800000000000005E-2</v>
      </c>
      <c r="AA225" s="67">
        <f t="shared" si="91"/>
        <v>23.208400000000001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 t="shared" si="92"/>
        <v>68-16</v>
      </c>
      <c r="AE225" s="91" t="str">
        <f t="shared" si="81"/>
        <v>aws s3 cp s3://rtdc.mdm.uploadarchive.raw/RTDC4043/ "%USERPROFILE%\AppData\Local\Temp\OnboardLogs"\RTDC4043\2016-11-16 --exclude "*" --recursive --include "*20161116*" &amp; "%USERPROFILE%\Documents\GitHub\mrs-test-scripts\Headless Mode &amp; Sideloading\WalkAndUnGZ.bat" "%USERPROFILE%\AppData\Local\Temp\OnboardLogs"\RTDC4043\2016-11-16 &amp; aws s3 cp s3://rtdc.mdm.uploadarchive.raw/RTDC4043/ "%USERPROFILE%\AppData\Local\Temp\OnboardLogs"\RTDC4043\2016-11-17 --exclude "*" --recursive --include "*20161117*" &amp; "%USERPROFILE%\Documents\GitHub\mrs-test-scripts\Headless Mode &amp; Sideloading\WalkAndUnGZ.bat" "%USERPROFILE%\AppData\Local\Temp\OnboardLogs"\RTDC4043\2016-11-17</v>
      </c>
      <c r="AF225" s="88" t="str">
        <f t="shared" si="82"/>
        <v>"C:\Program Files (x86)\AstroGrep\AstroGrep.exe" /spath="%USERPROFILE%\AppData\Local\Temp\OnboardLogs" /stypes="app*4043*20161117*" /stext=" 02:.+((SYSTEM_STATE.+slice.+state.+changed )|(ment ac)|(system.+state.+changed )|(\[timeout)|(PRM\|1\|D)|(kpr)|(kdp)|(\|lc)|(penalty))" /e /r /s</v>
      </c>
      <c r="AG225" s="1" t="str">
        <f t="shared" si="93"/>
        <v>Other</v>
      </c>
      <c r="AH225" s="92" t="str">
        <f t="shared" si="83"/>
        <v>"%USERPROFILE%\Documents\GitHub\eaglep3\Utilities\RefineRTDCRunTimes.py" --tripid 68-16 --locoid 4043 --swversion DE.1.0.8.0 --startMP 204:232982 --initTime 2016-11-16T18:42:21 --startdatetime 2016-11-16T18:50:16 --delay 2 --endMP 204:898 --enddatetime 2016-11-16T19:31:33 --enforcementcount 0 &gt;&gt;C:\Users\stu\Documents\GitHub\eaglep3-reporting\EC\2016-11-16-refined-times.txt</v>
      </c>
      <c r="AI225" s="119" t="str">
        <f t="shared" si="84"/>
        <v>echo {"issue":{"subject":"","project_id":79,"tracker_id":40,"status_id":1,"priority_id":2,"assigned_to_id":23,"start_date":"2016-11-16","description":"","custom_fields":[{"id":1,"name":"Subdivision","value":"Other"},{"id":4,"name":"Milepost","value":"0.0898"},{"id":17,"name":"Train ID","value":"68-16"},{"id":16,"name":"Locomotive ID","value":"4043"},{"id":130,"name":"Impact","value":""},{"id":150,"name":"Time of Event (Mountain Time)","value":"19:31:33"},{"id":151,"name":"Denver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</sheetData>
  <autoFilter ref="A12:AG250">
    <sortState ref="A13:AG254">
      <sortCondition ref="AG13:AG229"/>
      <sortCondition ref="AD13:AD229"/>
    </sortState>
  </autoFilter>
  <sortState ref="A13:AH200">
    <sortCondition ref="AG13:AG200"/>
    <sortCondition ref="AD13:AD200"/>
  </sortState>
  <mergeCells count="1">
    <mergeCell ref="A11:P11"/>
  </mergeCells>
  <conditionalFormatting sqref="W11:W12 W251:X1048576 W13:X225">
    <cfRule type="cellIs" dxfId="9" priority="344" operator="equal">
      <formula>"Y"</formula>
    </cfRule>
  </conditionalFormatting>
  <conditionalFormatting sqref="X251:X1048576 X13:X225">
    <cfRule type="cellIs" dxfId="8" priority="327" operator="greaterThan">
      <formula>1</formula>
    </cfRule>
  </conditionalFormatting>
  <conditionalFormatting sqref="X251:X1048576 X12:X225">
    <cfRule type="cellIs" dxfId="7" priority="324" operator="equal">
      <formula>0</formula>
    </cfRule>
  </conditionalFormatting>
  <conditionalFormatting sqref="A13:S225">
    <cfRule type="expression" dxfId="6" priority="318" stopIfTrue="1">
      <formula>$P13&gt;0</formula>
    </cfRule>
    <cfRule type="expression" dxfId="5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A13:S225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AK13:AK225</xm:sqref>
        </x14:dataValidation>
        <x14:dataValidation type="list" allowBlank="1" showInputMessage="1" showErrorMessage="1">
          <x14:formula1>
            <xm:f>'Redmine List Values'!$C$2:$C$15</xm:f>
          </x14:formula1>
          <xm:sqref>AL13:AL225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opLeftCell="A5" workbookViewId="0">
      <selection activeCell="F16" sqref="F16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COUNTIF($O$7:$O$335,"=Y")</f>
        <v>7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COUNTA($O$7:$O$335)-O2</f>
        <v>49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5" t="str">
        <f>"Eagle P3 Braking Events - "&amp;TEXT(Variables!$A$2,"YYYY-mm-dd")</f>
        <v>Eagle P3 Braking Events - 2016-11-16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158</v>
      </c>
      <c r="J6" s="137" t="s">
        <v>30</v>
      </c>
      <c r="K6" s="137" t="s">
        <v>29</v>
      </c>
      <c r="L6" s="137" t="s">
        <v>28</v>
      </c>
      <c r="M6" s="122" t="s">
        <v>159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179</v>
      </c>
      <c r="AD6" s="130" t="s">
        <v>337</v>
      </c>
    </row>
    <row r="7" spans="1:30" s="1" customFormat="1" x14ac:dyDescent="0.25">
      <c r="A7" s="36">
        <v>42690.170590277776</v>
      </c>
      <c r="B7" s="31" t="s">
        <v>290</v>
      </c>
      <c r="C7" s="31" t="s">
        <v>397</v>
      </c>
      <c r="D7" s="31" t="s">
        <v>49</v>
      </c>
      <c r="E7" s="31" t="s">
        <v>208</v>
      </c>
      <c r="F7" s="47">
        <v>0</v>
      </c>
      <c r="G7" s="47">
        <v>89</v>
      </c>
      <c r="H7" s="47">
        <v>384</v>
      </c>
      <c r="I7" s="47">
        <v>256</v>
      </c>
      <c r="J7" s="31" t="s">
        <v>209</v>
      </c>
      <c r="K7" s="47">
        <v>1</v>
      </c>
      <c r="L7" s="154" t="s">
        <v>51</v>
      </c>
      <c r="M7" s="155">
        <f>CONVERT((I7-K7)/10000,"mi","ft")*IF(L7="Increasing Mileposts (1)",-1,1)</f>
        <v>134.63999999999999</v>
      </c>
      <c r="N7" s="156" t="str">
        <f>VLOOKUP(C7,'Trips&amp;Operators'!$C$1:$E$99999,3,FALSE)</f>
        <v>STRICKLAND</v>
      </c>
      <c r="O7" s="183" t="s">
        <v>203</v>
      </c>
      <c r="P7" s="157"/>
      <c r="Q7" s="31"/>
      <c r="R7" s="100" t="str">
        <f>VLOOKUP(C7,'Train Runs'!$A$13:$AE$9994,31,0)</f>
        <v>aws s3 cp s3://rtdc.mdm.uploadarchive.raw/RTDC4013/ "%USERPROFILE%\AppData\Local\Temp\OnboardLogs"\RTDC4013\2016-11-16 --exclude "*" --recursive --include "*20161116*" &amp; "%USERPROFILE%\Documents\GitHub\mrs-test-scripts\Headless Mode &amp; Sideloading\WalkAndUnGZ.bat" "%USERPROFILE%\AppData\Local\Temp\OnboardLogs"\RTDC4013\2016-11-16 &amp; 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</v>
      </c>
      <c r="S7" s="103" t="str">
        <f>VLOOKUP(C7,'Train Runs'!$A$13:$AE$9994,22,0)</f>
        <v>https://search-rtdc-monitor-bjffxe2xuh6vdkpspy63sjmuny.us-east-1.es.amazonaws.com/_plugin/kibana/#/discover/Steve-Slow-Train-Analysis-(2080s-and-2083s)?_g=(refreshInterval:(display:Off,section:0,value:0),time:(from:'2016-11-16 02:54:12-700',mode:absolute,to:'2016-11-16 05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7" s="105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/stypes="*4013*201611161*" /stext=" 11:.+((SYSTEM_STATE.+slice.+state.+changed )|(ment ac)|(system.+state.+changed )|(\[timeout)|(PRM\|1\|D)|(kpr)|(kdp)|(\|lc)|(penalty))" /e /r /s</v>
      </c>
      <c r="U7" s="9" t="str">
        <f>MID(B7,13,4)</f>
        <v>4013</v>
      </c>
      <c r="V7" s="36">
        <f>A7-utc_offset/24</f>
        <v>42690.46225694444</v>
      </c>
      <c r="W7" s="50" t="str">
        <f>IF(VALUE(LEFT(IF(LEN(C7)=6,"0"&amp;C7,C7),2))&lt;=2,"EC",IF(OR(VALUE(LEFT(IF(LEN(C7)=6,"0"&amp;C7,C7),2))=8,VALUE(LEFT(IF(LEN(C7)=6,"0"&amp;C7,C7),2))=18),"NW","Other"))</f>
        <v>Other</v>
      </c>
      <c r="X7" s="50" t="str">
        <f>IF(AND(E7="TRACK WARRANT AUTHORITY",G7&lt;10),"OMIT","KEEP")</f>
        <v>KEEP</v>
      </c>
      <c r="Y7" s="11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{"issue":{"subject":"","project_id":79,"tracker_id":40,"status_id":1,"priority_id":2,"assigned_to_id":23,"start_date":"2016-11-16","description":"","custom_fields":[{"id":1,"name":"Subdivision","value":"Other"},{"id":4,"name":"Milepost","value":"0.0001"},{"id":17,"name":"Train ID","value":"306-16"},{"id":16,"name":"Locomotive ID","value":"4013"},{"id":130,"name":"Impact","value":""},{"id":150,"name":"Time of Event (Mountain Time)","value":"04:05:39"},{"id":151,"name":"Denver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"%USERPROFILE%\AppData\Local\Temp\OnboardLogs"\RTDC4013\*4013*201611161*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"%USERPROFILE%\AppData\Local\Temp\OnboardLogs"\RTDC4013\*4013*201611161* &gt;&gt; 42690-slicedisagreementcheck.txt</v>
      </c>
    </row>
    <row r="8" spans="1:30" s="1" customFormat="1" x14ac:dyDescent="0.25">
      <c r="A8" s="36">
        <v>42690.171076388891</v>
      </c>
      <c r="B8" s="31" t="s">
        <v>290</v>
      </c>
      <c r="C8" s="31" t="s">
        <v>397</v>
      </c>
      <c r="D8" s="31" t="s">
        <v>49</v>
      </c>
      <c r="E8" s="31" t="s">
        <v>208</v>
      </c>
      <c r="F8" s="47">
        <v>0</v>
      </c>
      <c r="G8" s="47">
        <v>29</v>
      </c>
      <c r="H8" s="47">
        <v>119</v>
      </c>
      <c r="I8" s="47">
        <v>81</v>
      </c>
      <c r="J8" s="31" t="s">
        <v>209</v>
      </c>
      <c r="K8" s="47">
        <v>1</v>
      </c>
      <c r="L8" s="154" t="s">
        <v>51</v>
      </c>
      <c r="M8" s="155">
        <f>CONVERT((I8-K8)/10000,"mi","ft")*IF(L8="Increasing Mileposts (1)",-1,1)</f>
        <v>42.24</v>
      </c>
      <c r="N8" s="156" t="str">
        <f>VLOOKUP(C8,'Trips&amp;Operators'!$C$1:$E$99999,3,FALSE)</f>
        <v>STRICKLAND</v>
      </c>
      <c r="O8" s="183" t="s">
        <v>203</v>
      </c>
      <c r="P8" s="157"/>
      <c r="Q8" s="31"/>
      <c r="R8" s="100" t="str">
        <f>VLOOKUP(C8,'Train Runs'!$A$13:$AE$9994,31,0)</f>
        <v>aws s3 cp s3://rtdc.mdm.uploadarchive.raw/RTDC4013/ "%USERPROFILE%\AppData\Local\Temp\OnboardLogs"\RTDC4013\2016-11-16 --exclude "*" --recursive --include "*20161116*" &amp; "%USERPROFILE%\Documents\GitHub\mrs-test-scripts\Headless Mode &amp; Sideloading\WalkAndUnGZ.bat" "%USERPROFILE%\AppData\Local\Temp\OnboardLogs"\RTDC4013\2016-11-16 &amp; 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</v>
      </c>
      <c r="S8" s="103" t="str">
        <f>VLOOKUP(C8,'Train Runs'!$A$13:$AE$9994,22,0)</f>
        <v>https://search-rtdc-monitor-bjffxe2xuh6vdkpspy63sjmuny.us-east-1.es.amazonaws.com/_plugin/kibana/#/discover/Steve-Slow-Train-Analysis-(2080s-and-2083s)?_g=(refreshInterval:(display:Off,section:0,value:0),time:(from:'2016-11-16 02:54:12-700',mode:absolute,to:'2016-11-16 05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8" s="105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/stypes="*4013*201611161*" /stext=" 11:.+((SYSTEM_STATE.+slice.+state.+changed )|(ment ac)|(system.+state.+changed )|(\[timeout)|(PRM\|1\|D)|(kpr)|(kdp)|(\|lc)|(penalty))" /e /r /s</v>
      </c>
      <c r="U8" s="9" t="str">
        <f>MID(B8,13,4)</f>
        <v>4013</v>
      </c>
      <c r="V8" s="36">
        <f>A8-utc_offset/24</f>
        <v>42690.462743055556</v>
      </c>
      <c r="W8" s="50" t="str">
        <f>IF(VALUE(LEFT(IF(LEN(C8)=6,"0"&amp;C8,C8),2))&lt;=2,"EC",IF(OR(VALUE(LEFT(IF(LEN(C8)=6,"0"&amp;C8,C8),2))=8,VALUE(LEFT(IF(LEN(C8)=6,"0"&amp;C8,C8),2))=18),"NW","Other"))</f>
        <v>Other</v>
      </c>
      <c r="X8" s="50" t="str">
        <f>IF(AND(E8="TRACK WARRANT AUTHORITY",G8&lt;10),"OMIT","KEEP")</f>
        <v>KEEP</v>
      </c>
      <c r="Y8" s="11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{"issue":{"subject":"","project_id":79,"tracker_id":40,"status_id":1,"priority_id":2,"assigned_to_id":23,"start_date":"2016-11-16","description":"","custom_fields":[{"id":1,"name":"Subdivision","value":"Other"},{"id":4,"name":"Milepost","value":"0.0001"},{"id":17,"name":"Train ID","value":"306-16"},{"id":16,"name":"Locomotive ID","value":"4013"},{"id":130,"name":"Impact","value":""},{"id":150,"name":"Time of Event (Mountain Time)","value":"04:06:21"},{"id":151,"name":"Denver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"%USERPROFILE%\AppData\Local\Temp\OnboardLogs"\RTDC4013\*4013*201611161*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"%USERPROFILE%\AppData\Local\Temp\OnboardLogs"\RTDC4013\*4013*201611161* &gt;&gt; 42690-slicedisagreementcheck.txt</v>
      </c>
    </row>
    <row r="9" spans="1:30" s="1" customFormat="1" x14ac:dyDescent="0.25">
      <c r="A9" s="36">
        <v>42690.171469907407</v>
      </c>
      <c r="B9" s="31" t="s">
        <v>290</v>
      </c>
      <c r="C9" s="31" t="s">
        <v>397</v>
      </c>
      <c r="D9" s="31" t="s">
        <v>49</v>
      </c>
      <c r="E9" s="31" t="s">
        <v>208</v>
      </c>
      <c r="F9" s="47">
        <v>0</v>
      </c>
      <c r="G9" s="47">
        <v>14</v>
      </c>
      <c r="H9" s="47">
        <v>72</v>
      </c>
      <c r="I9" s="47">
        <v>63</v>
      </c>
      <c r="J9" s="31" t="s">
        <v>209</v>
      </c>
      <c r="K9" s="47">
        <v>1</v>
      </c>
      <c r="L9" s="154" t="s">
        <v>51</v>
      </c>
      <c r="M9" s="155">
        <f>CONVERT((I9-K9)/10000,"mi","ft")*IF(L9="Increasing Mileposts (1)",-1,1)</f>
        <v>32.735999999999997</v>
      </c>
      <c r="N9" s="156" t="str">
        <f>VLOOKUP(C9,'Trips&amp;Operators'!$C$1:$E$99999,3,FALSE)</f>
        <v>STRICKLAND</v>
      </c>
      <c r="O9" s="183" t="s">
        <v>203</v>
      </c>
      <c r="P9" s="157"/>
      <c r="Q9" s="31"/>
      <c r="R9" s="100" t="str">
        <f>VLOOKUP(C9,'Train Runs'!$A$13:$AE$9994,31,0)</f>
        <v>aws s3 cp s3://rtdc.mdm.uploadarchive.raw/RTDC4013/ "%USERPROFILE%\AppData\Local\Temp\OnboardLogs"\RTDC4013\2016-11-16 --exclude "*" --recursive --include "*20161116*" &amp; "%USERPROFILE%\Documents\GitHub\mrs-test-scripts\Headless Mode &amp; Sideloading\WalkAndUnGZ.bat" "%USERPROFILE%\AppData\Local\Temp\OnboardLogs"\RTDC4013\2016-11-16 &amp; 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</v>
      </c>
      <c r="S9" s="103" t="str">
        <f>VLOOKUP(C9,'Train Runs'!$A$13:$AE$9994,22,0)</f>
        <v>https://search-rtdc-monitor-bjffxe2xuh6vdkpspy63sjmuny.us-east-1.es.amazonaws.com/_plugin/kibana/#/discover/Steve-Slow-Train-Analysis-(2080s-and-2083s)?_g=(refreshInterval:(display:Off,section:0,value:0),time:(from:'2016-11-16 02:54:12-700',mode:absolute,to:'2016-11-16 05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9" s="105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/stypes="*4013*201611161*" /stext=" 11:.+((SYSTEM_STATE.+slice.+state.+changed )|(ment ac)|(system.+state.+changed )|(\[timeout)|(PRM\|1\|D)|(kpr)|(kdp)|(\|lc)|(penalty))" /e /r /s</v>
      </c>
      <c r="U9" s="9" t="str">
        <f>MID(B9,13,4)</f>
        <v>4013</v>
      </c>
      <c r="V9" s="36">
        <f>A9-utc_offset/24</f>
        <v>42690.463136574072</v>
      </c>
      <c r="W9" s="50" t="str">
        <f>IF(VALUE(LEFT(IF(LEN(C9)=6,"0"&amp;C9,C9),2))&lt;=2,"EC",IF(OR(VALUE(LEFT(IF(LEN(C9)=6,"0"&amp;C9,C9),2))=8,VALUE(LEFT(IF(LEN(C9)=6,"0"&amp;C9,C9),2))=18),"NW","Other"))</f>
        <v>Other</v>
      </c>
      <c r="X9" s="50" t="str">
        <f>IF(AND(E9="TRACK WARRANT AUTHORITY",G9&lt;10),"OMIT","KEEP")</f>
        <v>KEEP</v>
      </c>
      <c r="Y9" s="11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{"issue":{"subject":"","project_id":79,"tracker_id":40,"status_id":1,"priority_id":2,"assigned_to_id":23,"start_date":"2016-11-16","description":"","custom_fields":[{"id":1,"name":"Subdivision","value":"Other"},{"id":4,"name":"Milepost","value":"0.0001"},{"id":17,"name":"Train ID","value":"306-16"},{"id":16,"name":"Locomotive ID","value":"4013"},{"id":130,"name":"Impact","value":""},{"id":150,"name":"Time of Event (Mountain Time)","value":"04:06:55"},{"id":151,"name":"Denver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"%USERPROFILE%\AppData\Local\Temp\OnboardLogs"\RTDC4013\*4013*201611161*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"%USERPROFILE%\AppData\Local\Temp\OnboardLogs"\RTDC4013\*4013*201611161* &gt;&gt; 42690-slicedisagreementcheck.txt</v>
      </c>
    </row>
    <row r="10" spans="1:30" s="1" customFormat="1" x14ac:dyDescent="0.25">
      <c r="A10" s="36">
        <v>42690.185856481483</v>
      </c>
      <c r="B10" s="31" t="s">
        <v>244</v>
      </c>
      <c r="C10" s="31" t="s">
        <v>398</v>
      </c>
      <c r="D10" s="31" t="s">
        <v>49</v>
      </c>
      <c r="E10" s="31" t="s">
        <v>206</v>
      </c>
      <c r="F10" s="47">
        <v>0</v>
      </c>
      <c r="G10" s="47">
        <v>69</v>
      </c>
      <c r="H10" s="47">
        <v>11077</v>
      </c>
      <c r="I10" s="47">
        <v>10952</v>
      </c>
      <c r="J10" s="31" t="s">
        <v>207</v>
      </c>
      <c r="K10" s="47">
        <v>11016</v>
      </c>
      <c r="L10" s="154" t="s">
        <v>51</v>
      </c>
      <c r="M10" s="155">
        <f>CONVERT((I10-K10)/10000,"mi","ft")*IF(L10="Increasing Mileposts (1)",-1,1)</f>
        <v>-33.792000000000002</v>
      </c>
      <c r="N10" s="156" t="str">
        <f>VLOOKUP(C10,'Trips&amp;Operators'!$C$1:$E$99999,3,FALSE)</f>
        <v>ROBINSON</v>
      </c>
      <c r="O10" s="183" t="s">
        <v>203</v>
      </c>
      <c r="P10" s="157"/>
      <c r="Q10" s="31"/>
      <c r="R10" s="100" t="str">
        <f>VLOOKUP(C10,'Train Runs'!$A$13:$AE$9994,31,0)</f>
        <v>aws s3 cp s3://rtdc.mdm.uploadarchive.raw/RTDC4043/ "%USERPROFILE%\AppData\Local\Temp\OnboardLogs"\RTDC4043\2016-11-16 --exclude "*" --recursive --include "*20161116*" &amp; "%USERPROFILE%\Documents\GitHub\mrs-test-scripts\Headless Mode &amp; Sideloading\WalkAndUnGZ.bat" "%USERPROFILE%\AppData\Local\Temp\OnboardLogs"\RTDC4043\2016-11-16 &amp; aws s3 cp s3://rtdc.mdm.uploadarchive.raw/RTDC4043/ "%USERPROFILE%\AppData\Local\Temp\OnboardLogs"\RTDC4043\2016-11-17 --exclude "*" --recursive --include "*20161117*" &amp; "%USERPROFILE%\Documents\GitHub\mrs-test-scripts\Headless Mode &amp; Sideloading\WalkAndUnGZ.bat" "%USERPROFILE%\AppData\Local\Temp\OnboardLogs"\RTDC4043\2016-11-17</v>
      </c>
      <c r="S10" s="103" t="str">
        <f>VLOOKUP(C10,'Train Runs'!$A$13:$AE$9994,22,0)</f>
        <v>https://search-rtdc-monitor-bjffxe2xuh6vdkpspy63sjmuny.us-east-1.es.amazonaws.com/_plugin/kibana/#/discover/Steve-Slow-Train-Analysis-(2080s-and-2083s)?_g=(refreshInterval:(display:Off,section:0,value:0),time:(from:'2016-11-16 03:21:06-700',mode:absolute,to:'2016-11-16 05:48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0" s="105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/stypes="*4043*201611161*" /stext=" 11:.+((SYSTEM_STATE.+slice.+state.+changed )|(ment ac)|(system.+state.+changed )|(\[timeout)|(PRM\|1\|D)|(kpr)|(kdp)|(\|lc)|(penalty))" /e /r /s</v>
      </c>
      <c r="U10" s="9" t="str">
        <f>MID(B10,13,4)</f>
        <v>4043</v>
      </c>
      <c r="V10" s="36">
        <f>A10-utc_offset/24</f>
        <v>42690.477523148147</v>
      </c>
      <c r="W10" s="50" t="str">
        <f>IF(VALUE(LEFT(IF(LEN(C10)=6,"0"&amp;C10,C10),2))&lt;=2,"EC",IF(OR(VALUE(LEFT(IF(LEN(C10)=6,"0"&amp;C10,C10),2))=8,VALUE(LEFT(IF(LEN(C10)=6,"0"&amp;C10,C10),2))=18),"NW","Other"))</f>
        <v>Other</v>
      </c>
      <c r="X10" s="50" t="str">
        <f>IF(AND(E10="TRACK WARRANT AUTHORITY",G10&lt;10),"OMIT","KEEP")</f>
        <v>KEEP</v>
      </c>
      <c r="Y10" s="11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{"issue":{"subject":"","project_id":79,"tracker_id":40,"status_id":1,"priority_id":2,"assigned_to_id":23,"start_date":"2016-11-16","description":"","custom_fields":[{"id":1,"name":"Subdivision","value":"Other"},{"id":4,"name":"Milepost","value":"1.1016"},{"id":17,"name":"Train ID","value":"310-16"},{"id":16,"name":"Locomotive ID","value":"4043"},{"id":130,"name":"Impact","value":""},{"id":150,"name":"Time of Event (Mountain Time)","value":"04:27:38"},{"id":151,"name":"Denver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"%USERPROFILE%\AppData\Local\Temp\OnboardLogs"\RTDC4043\*4043*201611161*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"%USERPROFILE%\AppData\Local\Temp\OnboardLogs"\RTDC4043\*4043*201611161* &gt;&gt; 42690-slicedisagreementcheck.txt</v>
      </c>
    </row>
    <row r="11" spans="1:30" s="1" customFormat="1" x14ac:dyDescent="0.25">
      <c r="A11" s="36">
        <v>42690.193090277775</v>
      </c>
      <c r="B11" s="31" t="s">
        <v>257</v>
      </c>
      <c r="C11" s="31" t="s">
        <v>399</v>
      </c>
      <c r="D11" s="31" t="s">
        <v>98</v>
      </c>
      <c r="E11" s="31" t="s">
        <v>208</v>
      </c>
      <c r="F11" s="47">
        <v>0</v>
      </c>
      <c r="G11" s="47">
        <v>8</v>
      </c>
      <c r="H11" s="47">
        <v>839</v>
      </c>
      <c r="I11" s="47">
        <v>0</v>
      </c>
      <c r="J11" s="31" t="s">
        <v>209</v>
      </c>
      <c r="K11" s="47">
        <v>839</v>
      </c>
      <c r="L11" s="154" t="s">
        <v>51</v>
      </c>
      <c r="M11" s="155">
        <f>CONVERT((I11-K11)/10000,"mi","ft")*IF(L11="Increasing Mileposts (1)",-1,1)</f>
        <v>-442.99200000000002</v>
      </c>
      <c r="N11" s="156" t="str">
        <f>VLOOKUP(C11,'Trips&amp;Operators'!$C$1:$E$99999,3,FALSE)</f>
        <v>BEAM</v>
      </c>
      <c r="O11" s="183" t="s">
        <v>203</v>
      </c>
      <c r="P11" s="157"/>
      <c r="Q11" s="31"/>
      <c r="R11" s="100" t="str">
        <f>VLOOKUP(C11,'Train Runs'!$A$13:$AE$9994,31,0)</f>
        <v>aws s3 cp s3://rtdc.mdm.uploadarchive.raw/RTDC4054/ "%USERPROFILE%\AppData\Local\Temp\OnboardLogs"\RTDC4054\2016-11-16 --exclude "*" --recursive --include "*20161116*" &amp; "%USERPROFILE%\Documents\GitHub\mrs-test-scripts\Headless Mode &amp; Sideloading\WalkAndUnGZ.bat" "%USERPROFILE%\AppData\Local\Temp\OnboardLogs"\RTDC4054\2016-11-16 &amp; aws s3 cp s3://rtdc.mdm.uploadarchive.raw/RTDC4054/ "%USERPROFILE%\AppData\Local\Temp\OnboardLogs"\RTDC4054\2016-11-17 --exclude "*" --recursive --include "*20161117*" &amp; "%USERPROFILE%\Documents\GitHub\mrs-test-scripts\Headless Mode &amp; Sideloading\WalkAndUnGZ.bat" "%USERPROFILE%\AppData\Local\Temp\OnboardLogs"\RTDC4054\2016-11-17</v>
      </c>
      <c r="S11" s="103" t="str">
        <f>VLOOKUP(C11,'Train Runs'!$A$13:$AE$9994,22,0)</f>
        <v>https://search-rtdc-monitor-bjffxe2xuh6vdkpspy63sjmuny.us-east-1.es.amazonaws.com/_plugin/kibana/#/discover/Steve-Slow-Train-Analysis-(2080s-and-2083s)?_g=(refreshInterval:(display:Off,section:0,value:0),time:(from:'2016-11-16 03:06:49-700',mode:absolute,to:'2016-11-16 05:36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11" s="105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/stypes="*4054*201611161*" /stext=" 11:.+((SYSTEM_STATE.+slice.+state.+changed )|(ment ac)|(system.+state.+changed )|(\[timeout)|(PRM\|1\|D)|(kpr)|(kdp)|(\|lc)|(penalty))" /e /r /s</v>
      </c>
      <c r="U11" s="9" t="str">
        <f>MID(B11,13,4)</f>
        <v>4054</v>
      </c>
      <c r="V11" s="36">
        <f>A11-utc_offset/24</f>
        <v>42690.484756944439</v>
      </c>
      <c r="W11" s="50" t="str">
        <f>IF(VALUE(LEFT(IF(LEN(C11)=6,"0"&amp;C11,C11),2))&lt;=2,"EC",IF(OR(VALUE(LEFT(IF(LEN(C11)=6,"0"&amp;C11,C11),2))=8,VALUE(LEFT(IF(LEN(C11)=6,"0"&amp;C11,C11),2))=18),"NW","Other"))</f>
        <v>Other</v>
      </c>
      <c r="X11" s="50" t="str">
        <f>IF(AND(E11="TRACK WARRANT AUTHORITY",G11&lt;10),"OMIT","KEEP")</f>
        <v>OMIT</v>
      </c>
      <c r="Y11" s="11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{"issue":{"subject":"","project_id":79,"tracker_id":40,"status_id":1,"priority_id":2,"assigned_to_id":23,"start_date":"2016-11-16","description":"","custom_fields":[{"id":1,"name":"Subdivision","value":"Other"},{"id":4,"name":"Milepost","value":"0.0839"},{"id":17,"name":"Train ID","value":"52-16"},{"id":16,"name":"Locomotive ID","value":"4054"},{"id":130,"name":"Impact","value":""},{"id":150,"name":"Time of Event (Mountain Time)","value":"04:38:03"},{"id":151,"name":"Denver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"%USERPROFILE%\AppData\Local\Temp\OnboardLogs"\RTDC4054\*4054*201611161*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"%USERPROFILE%\AppData\Local\Temp\OnboardLogs"\RTDC4054\*4054*201611161* &gt;&gt; 42690-slicedisagreementcheck.txt</v>
      </c>
    </row>
    <row r="12" spans="1:30" s="1" customFormat="1" x14ac:dyDescent="0.25">
      <c r="A12" s="36">
        <v>42690.209803240738</v>
      </c>
      <c r="B12" s="31" t="s">
        <v>309</v>
      </c>
      <c r="C12" s="31" t="s">
        <v>400</v>
      </c>
      <c r="D12" s="31" t="s">
        <v>49</v>
      </c>
      <c r="E12" s="31" t="s">
        <v>204</v>
      </c>
      <c r="F12" s="47">
        <v>400</v>
      </c>
      <c r="G12" s="47">
        <v>457</v>
      </c>
      <c r="H12" s="47">
        <v>35376</v>
      </c>
      <c r="I12" s="47">
        <v>37273</v>
      </c>
      <c r="J12" s="31" t="s">
        <v>205</v>
      </c>
      <c r="K12" s="47">
        <v>38171</v>
      </c>
      <c r="L12" s="154" t="s">
        <v>50</v>
      </c>
      <c r="M12" s="155">
        <f>CONVERT((I12-K12)/10000,"mi","ft")*IF(L12="Increasing Mileposts (1)",-1,1)</f>
        <v>474.14400000000001</v>
      </c>
      <c r="N12" s="156" t="str">
        <f>VLOOKUP(C12,'Trips&amp;Operators'!$C$1:$E$99999,3,FALSE)</f>
        <v>STARKS</v>
      </c>
      <c r="O12" s="183" t="s">
        <v>203</v>
      </c>
      <c r="P12" s="157"/>
      <c r="Q12" s="31"/>
      <c r="R12" s="100" t="str">
        <f>VLOOKUP(C12,'Train Runs'!$A$13:$AE$9994,31,0)</f>
        <v>aws s3 cp s3://rtdc.mdm.uploadarchive.raw/RTDC4046/ "%USERPROFILE%\AppData\Local\Temp\OnboardLogs"\RTDC4046\2016-11-16 --exclude "*" --recursive --include "*20161116*" &amp; "%USERPROFILE%\Documents\GitHub\mrs-test-scripts\Headless Mode &amp; Sideloading\WalkAndUnGZ.bat" "%USERPROFILE%\AppData\Local\Temp\OnboardLogs"\RTDC4046\2016-11-16 &amp; aws s3 cp s3://rtdc.mdm.uploadarchive.raw/RTDC4046/ "%USERPROFILE%\AppData\Local\Temp\OnboardLogs"\RTDC4046\2016-11-17 --exclude "*" --recursive --include "*20161117*" &amp; "%USERPROFILE%\Documents\GitHub\mrs-test-scripts\Headless Mode &amp; Sideloading\WalkAndUnGZ.bat" "%USERPROFILE%\AppData\Local\Temp\OnboardLogs"\RTDC4046\2016-11-17</v>
      </c>
      <c r="S12" s="103" t="str">
        <f>VLOOKUP(C12,'Train Runs'!$A$13:$AE$9994,22,0)</f>
        <v>https://search-rtdc-monitor-bjffxe2xuh6vdkpspy63sjmuny.us-east-1.es.amazonaws.com/_plugin/kibana/#/discover/Steve-Slow-Train-Analysis-(2080s-and-2083s)?_g=(refreshInterval:(display:Off,section:0,value:0),time:(from:'2016-11-16 03:44:43-700',mode:absolute,to:'2016-11-16 06:07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2" s="105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/stypes="*4046*201611161*" /stext=" 12:.+((SYSTEM_STATE.+slice.+state.+changed )|(ment ac)|(system.+state.+changed )|(\[timeout)|(PRM\|1\|D)|(kpr)|(kdp)|(\|lc)|(penalty))" /e /r /s</v>
      </c>
      <c r="U12" s="9" t="str">
        <f>MID(B12,13,4)</f>
        <v>4046</v>
      </c>
      <c r="V12" s="36">
        <f>A12-utc_offset/24</f>
        <v>42690.501469907402</v>
      </c>
      <c r="W12" s="50" t="str">
        <f>IF(VALUE(LEFT(IF(LEN(C12)=6,"0"&amp;C12,C12),2))&lt;=2,"EC",IF(OR(VALUE(LEFT(IF(LEN(C12)=6,"0"&amp;C12,C12),2))=8,VALUE(LEFT(IF(LEN(C12)=6,"0"&amp;C12,C12),2))=18),"NW","Other"))</f>
        <v>Other</v>
      </c>
      <c r="X12" s="50" t="str">
        <f>IF(AND(E12="TRACK WARRANT AUTHORITY",G12&lt;10),"OMIT","KEEP")</f>
        <v>KEEP</v>
      </c>
      <c r="Y12" s="11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{"issue":{"subject":"","project_id":79,"tracker_id":40,"status_id":1,"priority_id":2,"assigned_to_id":23,"start_date":"2016-11-16","description":"","custom_fields":[{"id":1,"name":"Subdivision","value":"Other"},{"id":4,"name":"Milepost","value":"3.8171"},{"id":17,"name":"Train ID","value":"901-16"},{"id":16,"name":"Locomotive ID","value":"4046"},{"id":130,"name":"Impact","value":""},{"id":150,"name":"Time of Event (Mountain Time)","value":"05:02:07"},{"id":151,"name":"Denver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"%USERPROFILE%\AppData\Local\Temp\OnboardLogs"\RTDC4046\*4046*201611161*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"%USERPROFILE%\AppData\Local\Temp\OnboardLogs"\RTDC4046\*4046*201611161* &gt;&gt; 42690-slicedisagreementcheck.txt</v>
      </c>
    </row>
    <row r="13" spans="1:30" s="1" customFormat="1" x14ac:dyDescent="0.25">
      <c r="A13" s="36">
        <v>42690.226701388892</v>
      </c>
      <c r="B13" s="31" t="s">
        <v>308</v>
      </c>
      <c r="C13" s="31" t="s">
        <v>401</v>
      </c>
      <c r="D13" s="31" t="s">
        <v>49</v>
      </c>
      <c r="E13" s="31" t="s">
        <v>208</v>
      </c>
      <c r="F13" s="47">
        <v>0</v>
      </c>
      <c r="G13" s="47">
        <v>65</v>
      </c>
      <c r="H13" s="47">
        <v>813</v>
      </c>
      <c r="I13" s="47">
        <v>762</v>
      </c>
      <c r="J13" s="31" t="s">
        <v>209</v>
      </c>
      <c r="K13" s="47">
        <v>575</v>
      </c>
      <c r="L13" s="154" t="s">
        <v>51</v>
      </c>
      <c r="M13" s="155">
        <f>CONVERT((I13-K13)/10000,"mi","ft")*IF(L13="Increasing Mileposts (1)",-1,1)</f>
        <v>98.736000000000004</v>
      </c>
      <c r="N13" s="156" t="str">
        <f>VLOOKUP(C13,'Trips&amp;Operators'!$C$1:$E$99999,3,FALSE)</f>
        <v>STARKS</v>
      </c>
      <c r="O13" s="183" t="s">
        <v>203</v>
      </c>
      <c r="P13" s="157"/>
      <c r="Q13" s="31"/>
      <c r="R13" s="100" t="str">
        <f>VLOOKUP(C13,'Train Runs'!$A$13:$AE$9994,31,0)</f>
        <v>aws s3 cp s3://rtdc.mdm.uploadarchive.raw/RTDC4045/ "%USERPROFILE%\AppData\Local\Temp\OnboardLogs"\RTDC4045\2016-11-16 --exclude "*" --recursive --include "*20161116*" &amp; "%USERPROFILE%\Documents\GitHub\mrs-test-scripts\Headless Mode &amp; Sideloading\WalkAndUnGZ.bat" "%USERPROFILE%\AppData\Local\Temp\OnboardLogs"\RTDC4045\2016-11-16 &amp; aws s3 cp s3://rtdc.mdm.uploadarchive.raw/RTDC4045/ "%USERPROFILE%\AppData\Local\Temp\OnboardLogs"\RTDC4045\2016-11-17 --exclude "*" --recursive --include "*20161117*" &amp; "%USERPROFILE%\Documents\GitHub\mrs-test-scripts\Headless Mode &amp; Sideloading\WalkAndUnGZ.bat" "%USERPROFILE%\AppData\Local\Temp\OnboardLogs"\RTDC4045\2016-11-17</v>
      </c>
      <c r="S13" s="103" t="str">
        <f>VLOOKUP(C13,'Train Runs'!$A$13:$AE$9994,22,0)</f>
        <v>https://search-rtdc-monitor-bjffxe2xuh6vdkpspy63sjmuny.us-east-1.es.amazonaws.com/_plugin/kibana/#/discover/Steve-Slow-Train-Analysis-(2080s-and-2083s)?_g=(refreshInterval:(display:Off,section:0,value:0),time:(from:'2016-11-16 04:09:44-700',mode:absolute,to:'2016-11-16 06:26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3" s="105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/stypes="*4045*201611161*" /stext=" 12:.+((SYSTEM_STATE.+slice.+state.+changed )|(ment ac)|(system.+state.+changed )|(\[timeout)|(PRM\|1\|D)|(kpr)|(kdp)|(\|lc)|(penalty))" /e /r /s</v>
      </c>
      <c r="U13" s="9" t="str">
        <f>MID(B13,13,4)</f>
        <v>4045</v>
      </c>
      <c r="V13" s="36">
        <f>A13-utc_offset/24</f>
        <v>42690.518368055556</v>
      </c>
      <c r="W13" s="50" t="str">
        <f>IF(VALUE(LEFT(IF(LEN(C13)=6,"0"&amp;C13,C13),2))&lt;=2,"EC",IF(OR(VALUE(LEFT(IF(LEN(C13)=6,"0"&amp;C13,C13),2))=8,VALUE(LEFT(IF(LEN(C13)=6,"0"&amp;C13,C13),2))=18),"NW","Other"))</f>
        <v>NW</v>
      </c>
      <c r="X13" s="50" t="str">
        <f>IF(AND(E13="TRACK WARRANT AUTHORITY",G13&lt;10),"OMIT","KEEP")</f>
        <v>KEEP</v>
      </c>
      <c r="Y13" s="11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{"issue":{"subject":"","project_id":79,"tracker_id":40,"status_id":1,"priority_id":2,"assigned_to_id":23,"start_date":"2016-11-16","description":"","custom_fields":[{"id":1,"name":"Subdivision","value":"NW"},{"id":4,"name":"Milepost","value":"0.0575"},{"id":17,"name":"Train ID","value":"800-16"},{"id":16,"name":"Locomotive ID","value":"4045"},{"id":130,"name":"Impact","value":""},{"id":150,"name":"Time of Event (Mountain Time)","value":"05:26:27"},{"id":151,"name":"Denver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"%USERPROFILE%\AppData\Local\Temp\OnboardLogs"\RTDC4045\*4045*201611161*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"%USERPROFILE%\AppData\Local\Temp\OnboardLogs"\RTDC4045\*4045*201611161* &gt;&gt; 42690-slicedisagreementcheck.txt</v>
      </c>
    </row>
    <row r="14" spans="1:30" s="1" customFormat="1" x14ac:dyDescent="0.25">
      <c r="A14" s="36">
        <v>42690.239062499997</v>
      </c>
      <c r="B14" s="31" t="s">
        <v>290</v>
      </c>
      <c r="C14" s="31" t="s">
        <v>402</v>
      </c>
      <c r="D14" s="31" t="s">
        <v>98</v>
      </c>
      <c r="E14" s="31" t="s">
        <v>204</v>
      </c>
      <c r="F14" s="47">
        <v>350</v>
      </c>
      <c r="G14" s="47">
        <v>400</v>
      </c>
      <c r="H14" s="47">
        <v>226256</v>
      </c>
      <c r="I14" s="47">
        <v>225314</v>
      </c>
      <c r="J14" s="31" t="s">
        <v>205</v>
      </c>
      <c r="K14" s="47">
        <v>232080</v>
      </c>
      <c r="L14" s="154" t="s">
        <v>51</v>
      </c>
      <c r="M14" s="155">
        <f>CONVERT((I14-K14)/10000,"mi","ft")*IF(L14="Increasing Mileposts (1)",-1,1)</f>
        <v>-3572.4479999999999</v>
      </c>
      <c r="N14" s="156" t="str">
        <f>VLOOKUP(C14,'Trips&amp;Operators'!$C$1:$E$99999,3,FALSE)</f>
        <v>STRICKLAND</v>
      </c>
      <c r="O14" s="183" t="s">
        <v>203</v>
      </c>
      <c r="P14" s="157"/>
      <c r="Q14" s="31"/>
      <c r="R14" s="100" t="str">
        <f>VLOOKUP(C14,'Train Runs'!$A$13:$AE$9994,31,0)</f>
        <v>aws s3 cp s3://rtdc.mdm.uploadarchive.raw/RTDC4013/ "%USERPROFILE%\AppData\Local\Temp\OnboardLogs"\RTDC4013\2016-11-16 --exclude "*" --recursive --include "*20161116*" &amp; "%USERPROFILE%\Documents\GitHub\mrs-test-scripts\Headless Mode &amp; Sideloading\WalkAndUnGZ.bat" "%USERPROFILE%\AppData\Local\Temp\OnboardLogs"\RTDC4013\2016-11-16 &amp; 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</v>
      </c>
      <c r="S14" s="103" t="str">
        <f>VLOOKUP(C14,'Train Runs'!$A$13:$AE$9994,22,0)</f>
        <v>https://search-rtdc-monitor-bjffxe2xuh6vdkpspy63sjmuny.us-east-1.es.amazonaws.com/_plugin/kibana/#/discover/Steve-Slow-Train-Analysis-(2080s-and-2083s)?_g=(refreshInterval:(display:Off,section:0,value:0),time:(from:'2016-11-16 04:39:48-700',mode:absolute,to:'2016-11-16 07:22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4" s="105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/stypes="*4013*201611161*" /stext=" 12:.+((SYSTEM_STATE.+slice.+state.+changed )|(ment ac)|(system.+state.+changed )|(\[timeout)|(PRM\|1\|D)|(kpr)|(kdp)|(\|lc)|(penalty))" /e /r /s</v>
      </c>
      <c r="U14" s="9" t="str">
        <f>MID(B14,13,4)</f>
        <v>4013</v>
      </c>
      <c r="V14" s="36">
        <f>A14-utc_offset/24</f>
        <v>42690.530729166661</v>
      </c>
      <c r="W14" s="50" t="str">
        <f>IF(VALUE(LEFT(IF(LEN(C14)=6,"0"&amp;C14,C14),2))&lt;=2,"EC",IF(OR(VALUE(LEFT(IF(LEN(C14)=6,"0"&amp;C14,C14),2))=8,VALUE(LEFT(IF(LEN(C14)=6,"0"&amp;C14,C14),2))=18),"NW","Other"))</f>
        <v>EC</v>
      </c>
      <c r="X14" s="50" t="str">
        <f>IF(AND(E14="TRACK WARRANT AUTHORITY",G14&lt;10),"OMIT","KEEP")</f>
        <v>KEEP</v>
      </c>
      <c r="Y14" s="11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{"issue":{"subject":"","project_id":79,"tracker_id":40,"status_id":1,"priority_id":2,"assigned_to_id":23,"start_date":"2016-11-16","description":"","custom_fields":[{"id":1,"name":"Subdivision","value":"EC"},{"id":4,"name":"Milepost","value":"23.208"},{"id":17,"name":"Train ID","value":"108-16"},{"id":16,"name":"Locomotive ID","value":"4013"},{"id":130,"name":"Impact","value":""},{"id":150,"name":"Time of Event (Mountain Time)","value":"05:44:15"},{"id":151,"name":"Denver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"%USERPROFILE%\AppData\Local\Temp\OnboardLogs"\RTDC4013\*4013*201611161*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"%USERPROFILE%\AppData\Local\Temp\OnboardLogs"\RTDC4013\*4013*201611161* &gt;&gt; 42690-slicedisagreementcheck.txt</v>
      </c>
    </row>
    <row r="15" spans="1:30" s="1" customFormat="1" x14ac:dyDescent="0.25">
      <c r="A15" s="36">
        <v>42690.244571759256</v>
      </c>
      <c r="B15" s="31" t="s">
        <v>403</v>
      </c>
      <c r="C15" s="31" t="s">
        <v>404</v>
      </c>
      <c r="D15" s="31" t="s">
        <v>49</v>
      </c>
      <c r="E15" s="31" t="s">
        <v>208</v>
      </c>
      <c r="F15" s="47">
        <v>0</v>
      </c>
      <c r="G15" s="47">
        <v>40</v>
      </c>
      <c r="H15" s="47">
        <v>109</v>
      </c>
      <c r="I15" s="47">
        <v>85</v>
      </c>
      <c r="J15" s="31" t="s">
        <v>209</v>
      </c>
      <c r="K15" s="47">
        <v>1</v>
      </c>
      <c r="L15" s="154" t="s">
        <v>51</v>
      </c>
      <c r="M15" s="155">
        <f>CONVERT((I15-K15)/10000,"mi","ft")*IF(L15="Increasing Mileposts (1)",-1,1)</f>
        <v>44.351999999999997</v>
      </c>
      <c r="N15" s="156" t="str">
        <f>VLOOKUP(C15,'Trips&amp;Operators'!$C$1:$E$99999,3,FALSE)</f>
        <v>SAFIEF</v>
      </c>
      <c r="O15" s="183" t="s">
        <v>203</v>
      </c>
      <c r="P15" s="157"/>
      <c r="Q15" s="31"/>
      <c r="R15" s="100" t="str">
        <f>VLOOKUP(C15,'Train Runs'!$A$13:$AE$9994,31,0)</f>
        <v>aws s3 cp s3://rtdc.mdm.uploadarchive.raw/RTDC4008/ "%USERPROFILE%\AppData\Local\Temp\OnboardLogs"\RTDC4008\2016-11-16 --exclude "*" --recursive --include "*20161116*" &amp; "%USERPROFILE%\Documents\GitHub\mrs-test-scripts\Headless Mode &amp; Sideloading\WalkAndUnGZ.bat" "%USERPROFILE%\AppData\Local\Temp\OnboardLogs"\RTDC4008\2016-11-16 &amp; aws s3 cp s3://rtdc.mdm.uploadarchive.raw/RTDC4008/ "%USERPROFILE%\AppData\Local\Temp\OnboardLogs"\RTDC4008\2016-11-17 --exclude "*" --recursive --include "*20161117*" &amp; "%USERPROFILE%\Documents\GitHub\mrs-test-scripts\Headless Mode &amp; Sideloading\WalkAndUnGZ.bat" "%USERPROFILE%\AppData\Local\Temp\OnboardLogs"\RTDC4008\2016-11-17</v>
      </c>
      <c r="S15" s="103" t="str">
        <f>VLOOKUP(C15,'Train Runs'!$A$13:$AE$9994,22,0)</f>
        <v>https://search-rtdc-monitor-bjffxe2xuh6vdkpspy63sjmuny.us-east-1.es.amazonaws.com/_plugin/kibana/#/discover/Steve-Slow-Train-Analysis-(2080s-and-2083s)?_g=(refreshInterval:(display:Off,section:0,value:0),time:(from:'2016-11-16 04:10:28-700',mode:absolute,to:'2016-11-16 06:52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5" s="105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/stypes="*4008*201611161*" /stext=" 12:.+((SYSTEM_STATE.+slice.+state.+changed )|(ment ac)|(system.+state.+changed )|(\[timeout)|(PRM\|1\|D)|(kpr)|(kdp)|(\|lc)|(penalty))" /e /r /s</v>
      </c>
      <c r="U15" s="9" t="str">
        <f>MID(B15,13,4)</f>
        <v>4008</v>
      </c>
      <c r="V15" s="36">
        <f>A15-utc_offset/24</f>
        <v>42690.536238425921</v>
      </c>
      <c r="W15" s="50" t="str">
        <f>IF(VALUE(LEFT(IF(LEN(C15)=6,"0"&amp;C15,C15),2))&lt;=2,"EC",IF(OR(VALUE(LEFT(IF(LEN(C15)=6,"0"&amp;C15,C15),2))=8,VALUE(LEFT(IF(LEN(C15)=6,"0"&amp;C15,C15),2))=18),"NW","Other"))</f>
        <v>EC</v>
      </c>
      <c r="X15" s="50" t="str">
        <f>IF(AND(E15="TRACK WARRANT AUTHORITY",G15&lt;10),"OMIT","KEEP")</f>
        <v>KEEP</v>
      </c>
      <c r="Y15" s="11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{"issue":{"subject":"","project_id":79,"tracker_id":40,"status_id":1,"priority_id":2,"assigned_to_id":23,"start_date":"2016-11-16","description":"","custom_fields":[{"id":1,"name":"Subdivision","value":"EC"},{"id":4,"name":"Milepost","value":"0.0001"},{"id":17,"name":"Train ID","value":"106-16"},{"id":16,"name":"Locomotive ID","value":"4008"},{"id":130,"name":"Impact","value":""},{"id":150,"name":"Time of Event (Mountain Time)","value":"05:52:11"},{"id":151,"name":"Denver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"%USERPROFILE%\AppData\Local\Temp\OnboardLogs"\RTDC4008\*4008*201611161*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"%USERPROFILE%\AppData\Local\Temp\OnboardLogs"\RTDC4008\*4008*201611161* &gt;&gt; 42690-slicedisagreementcheck.txt</v>
      </c>
    </row>
    <row r="16" spans="1:30" s="1" customFormat="1" x14ac:dyDescent="0.25">
      <c r="A16" s="36">
        <v>42690.273217592592</v>
      </c>
      <c r="B16" s="31" t="s">
        <v>243</v>
      </c>
      <c r="C16" s="31" t="s">
        <v>405</v>
      </c>
      <c r="D16" s="31" t="s">
        <v>49</v>
      </c>
      <c r="E16" s="31" t="s">
        <v>208</v>
      </c>
      <c r="F16" s="47">
        <v>0</v>
      </c>
      <c r="G16" s="47">
        <v>56</v>
      </c>
      <c r="H16" s="47">
        <v>196</v>
      </c>
      <c r="I16" s="47">
        <v>143</v>
      </c>
      <c r="J16" s="31" t="s">
        <v>209</v>
      </c>
      <c r="K16" s="47">
        <v>1</v>
      </c>
      <c r="L16" s="154" t="s">
        <v>51</v>
      </c>
      <c r="M16" s="155">
        <f>CONVERT((I16-K16)/10000,"mi","ft")*IF(L16="Increasing Mileposts (1)",-1,1)</f>
        <v>74.975999999999999</v>
      </c>
      <c r="N16" s="156" t="str">
        <f>VLOOKUP(C16,'Trips&amp;Operators'!$C$1:$E$99999,3,FALSE)</f>
        <v>SPECTOR</v>
      </c>
      <c r="O16" s="183" t="s">
        <v>203</v>
      </c>
      <c r="P16" s="157" t="s">
        <v>956</v>
      </c>
      <c r="Q16" s="31"/>
      <c r="R16" s="100" t="str">
        <f>VLOOKUP(C16,'Train Runs'!$A$13:$AE$9994,31,0)</f>
        <v>aws s3 cp s3://rtdc.mdm.uploadarchive.raw/RTDC4015/ "%USERPROFILE%\AppData\Local\Temp\OnboardLogs"\RTDC4015\2016-11-16 --exclude "*" --recursive --include "*20161116*" &amp; "%USERPROFILE%\Documents\GitHub\mrs-test-scripts\Headless Mode &amp; Sideloading\WalkAndUnGZ.bat" "%USERPROFILE%\AppData\Local\Temp\OnboardLogs"\RTDC4015\2016-11-16 &amp; aws s3 cp s3://rtdc.mdm.uploadarchive.raw/RTDC4015/ "%USERPROFILE%\AppData\Local\Temp\OnboardLogs"\RTDC4015\2016-11-17 --exclude "*" --recursive --include "*20161117*" &amp; "%USERPROFILE%\Documents\GitHub\mrs-test-scripts\Headless Mode &amp; Sideloading\WalkAndUnGZ.bat" "%USERPROFILE%\AppData\Local\Temp\OnboardLogs"\RTDC4015\2016-11-17</v>
      </c>
      <c r="S16" s="103" t="str">
        <f>VLOOKUP(C16,'Train Runs'!$A$13:$AE$9994,22,0)</f>
        <v>https://search-rtdc-monitor-bjffxe2xuh6vdkpspy63sjmuny.us-east-1.es.amazonaws.com/_plugin/kibana/#/discover/Steve-Slow-Train-Analysis-(2080s-and-2083s)?_g=(refreshInterval:(display:Off,section:0,value:0),time:(from:'2016-11-16 04:44:06-700',mode:absolute,to:'2016-11-16 07:33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6" s="105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/stypes="*4015*201611161*" /stext=" 13:.+((SYSTEM_STATE.+slice.+state.+changed )|(ment ac)|(system.+state.+changed )|(\[timeout)|(PRM\|1\|D)|(kpr)|(kdp)|(\|lc)|(penalty))" /e /r /s</v>
      </c>
      <c r="U16" s="9" t="str">
        <f>MID(B16,13,4)</f>
        <v>4015</v>
      </c>
      <c r="V16" s="36">
        <f>A16-utc_offset/24</f>
        <v>42690.564884259256</v>
      </c>
      <c r="W16" s="50" t="str">
        <f>IF(VALUE(LEFT(IF(LEN(C16)=6,"0"&amp;C16,C16),2))&lt;=2,"EC",IF(OR(VALUE(LEFT(IF(LEN(C16)=6,"0"&amp;C16,C16),2))=8,VALUE(LEFT(IF(LEN(C16)=6,"0"&amp;C16,C16),2))=18),"NW","Other"))</f>
        <v>EC</v>
      </c>
      <c r="X16" s="50" t="str">
        <f>IF(AND(E16="TRACK WARRANT AUTHORITY",G16&lt;10),"OMIT","KEEP")</f>
        <v>KEEP</v>
      </c>
      <c r="Y16" s="11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braking","project_id":79,"tracker_id":40,"status_id":1,"priority_id":2,"assigned_to_id":23,"start_date":"2016-11-16","description":"CPU1 commanded braking, other 2 did not","custom_fields":[{"id":1,"name":"Subdivision","value":"EC"},{"id":4,"name":"Milepost","value":"0.0001"},{"id":17,"name":"Train ID","value":"110-16"},{"id":16,"name":"Locomotive ID","value":"4015"},{"id":130,"name":"Impact","value":"Others"},{"id":150,"name":"Time of Event (Mountain Time)","value":"06:33:26"},{"id":151,"name":"Denver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16" s="53" t="s">
        <v>957</v>
      </c>
      <c r="AA16" s="53" t="s">
        <v>137</v>
      </c>
      <c r="AB16" s="53" t="s">
        <v>177</v>
      </c>
      <c r="AC16" s="138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"%USERPROFILE%\AppData\Local\Temp\OnboardLogs"\RTDC4015\*4015*201611161*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"%USERPROFILE%\AppData\Local\Temp\OnboardLogs"\RTDC4015\*4015*201611161* &gt;&gt; 42690-slicedisagreementcheck.txt</v>
      </c>
    </row>
    <row r="17" spans="1:30" s="1" customFormat="1" x14ac:dyDescent="0.25">
      <c r="A17" s="36">
        <v>42690.30195601852</v>
      </c>
      <c r="B17" s="31" t="s">
        <v>403</v>
      </c>
      <c r="C17" s="31" t="s">
        <v>406</v>
      </c>
      <c r="D17" s="31" t="s">
        <v>49</v>
      </c>
      <c r="E17" s="31" t="s">
        <v>206</v>
      </c>
      <c r="F17" s="47">
        <v>0</v>
      </c>
      <c r="G17" s="47">
        <v>423</v>
      </c>
      <c r="H17" s="47">
        <v>223074</v>
      </c>
      <c r="I17" s="47">
        <v>221296</v>
      </c>
      <c r="J17" s="31" t="s">
        <v>207</v>
      </c>
      <c r="K17" s="47">
        <v>219875</v>
      </c>
      <c r="L17" s="154" t="s">
        <v>51</v>
      </c>
      <c r="M17" s="155">
        <f>CONVERT((I17-K17)/10000,"mi","ft")*IF(L17="Increasing Mileposts (1)",-1,1)</f>
        <v>750.28800000000001</v>
      </c>
      <c r="N17" s="156" t="str">
        <f>VLOOKUP(C17,'Trips&amp;Operators'!$C$1:$E$99999,3,FALSE)</f>
        <v>SAFIEF</v>
      </c>
      <c r="O17" s="183" t="s">
        <v>396</v>
      </c>
      <c r="P17" s="157" t="s">
        <v>807</v>
      </c>
      <c r="Q17" s="31"/>
      <c r="R17" s="100" t="str">
        <f>VLOOKUP(C17,'Train Runs'!$A$13:$AE$9994,31,0)</f>
        <v>aws s3 cp s3://rtdc.mdm.uploadarchive.raw/RTDC4008/ "%USERPROFILE%\AppData\Local\Temp\OnboardLogs"\RTDC4008\2016-11-16 --exclude "*" --recursive --include "*20161116*" &amp; "%USERPROFILE%\Documents\GitHub\mrs-test-scripts\Headless Mode &amp; Sideloading\WalkAndUnGZ.bat" "%USERPROFILE%\AppData\Local\Temp\OnboardLogs"\RTDC4008\2016-11-16 &amp; aws s3 cp s3://rtdc.mdm.uploadarchive.raw/RTDC4008/ "%USERPROFILE%\AppData\Local\Temp\OnboardLogs"\RTDC4008\2016-11-17 --exclude "*" --recursive --include "*20161117*" &amp; "%USERPROFILE%\Documents\GitHub\mrs-test-scripts\Headless Mode &amp; Sideloading\WalkAndUnGZ.bat" "%USERPROFILE%\AppData\Local\Temp\OnboardLogs"\RTDC4008\2016-11-17</v>
      </c>
      <c r="S17" s="103" t="str">
        <f>VLOOKUP(C17,'Train Runs'!$A$13:$AE$9994,22,0)</f>
        <v>https://search-rtdc-monitor-bjffxe2xuh6vdkpspy63sjmuny.us-east-1.es.amazonaws.com/_plugin/kibana/#/discover/Steve-Slow-Train-Analysis-(2080s-and-2083s)?_g=(refreshInterval:(display:Off,section:0,value:0),time:(from:'2016-11-16 06:04:10-700',mode:absolute,to:'2016-11-16 09:03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7" s="105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/stypes="*4008*201611161*" /stext=" 14:.+((SYSTEM_STATE.+slice.+state.+changed )|(ment ac)|(system.+state.+changed )|(\[timeout)|(PRM\|1\|D)|(kpr)|(kdp)|(\|lc)|(penalty))" /e /r /s</v>
      </c>
      <c r="U17" s="9" t="str">
        <f>MID(B17,13,4)</f>
        <v>4008</v>
      </c>
      <c r="V17" s="36">
        <f>A17-utc_offset/24</f>
        <v>42690.593622685185</v>
      </c>
      <c r="W17" s="50" t="str">
        <f>IF(VALUE(LEFT(IF(LEN(C17)=6,"0"&amp;C17,C17),2))&lt;=2,"EC",IF(OR(VALUE(LEFT(IF(LEN(C17)=6,"0"&amp;C17,C17),2))=8,VALUE(LEFT(IF(LEN(C17)=6,"0"&amp;C17,C17),2))=18),"NW","Other"))</f>
        <v>EC</v>
      </c>
      <c r="X17" s="50" t="str">
        <f>IF(AND(E17="TRACK WARRANT AUTHORITY",G17&lt;10),"OMIT","KEEP")</f>
        <v>KEEP</v>
      </c>
      <c r="Y17" s="11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{"issue":{"subject":"78th 4S stuck at STOP, PSS succeeded","project_id":79,"tracker_id":40,"status_id":1,"priority_id":2,"assigned_to_id":23,"start_date":"2016-11-16","description":"","custom_fields":[{"id":1,"name":"Subdivision","value":"EC"},{"id":4,"name":"Milepost","value":"21.9875"},{"id":17,"name":"Train ID","value":"122-16"},{"id":16,"name":"Locomotive ID","value":"4008"},{"id":130,"name":"Impact","value":""},{"id":150,"name":"Time of Event (Mountain Time)","value":"07:14:49"},{"id":151,"name":"Denver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"%USERPROFILE%\AppData\Local\Temp\OnboardLogs"\RTDC4008\*4008*201611161*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"%USERPROFILE%\AppData\Local\Temp\OnboardLogs"\RTDC4008\*4008*201611161* &gt;&gt; 42690-slicedisagreementcheck.txt</v>
      </c>
    </row>
    <row r="18" spans="1:30" s="1" customFormat="1" x14ac:dyDescent="0.25">
      <c r="A18" s="36">
        <v>42690.304097222222</v>
      </c>
      <c r="B18" s="31" t="s">
        <v>308</v>
      </c>
      <c r="C18" s="31" t="s">
        <v>407</v>
      </c>
      <c r="D18" s="31" t="s">
        <v>49</v>
      </c>
      <c r="E18" s="31" t="s">
        <v>206</v>
      </c>
      <c r="F18" s="47">
        <v>0</v>
      </c>
      <c r="G18" s="47">
        <v>567</v>
      </c>
      <c r="H18" s="47">
        <v>30830</v>
      </c>
      <c r="I18" s="47">
        <v>28436</v>
      </c>
      <c r="J18" s="31" t="s">
        <v>207</v>
      </c>
      <c r="K18" s="47">
        <v>27253</v>
      </c>
      <c r="L18" s="154" t="s">
        <v>51</v>
      </c>
      <c r="M18" s="155">
        <f>CONVERT((I18-K18)/10000,"mi","ft")*IF(L18="Increasing Mileposts (1)",-1,1)</f>
        <v>624.62400000000002</v>
      </c>
      <c r="N18" s="156" t="str">
        <f>VLOOKUP(C18,'Trips&amp;Operators'!$C$1:$E$99999,3,FALSE)</f>
        <v>STARKS</v>
      </c>
      <c r="O18" s="183" t="s">
        <v>203</v>
      </c>
      <c r="P18" s="157" t="s">
        <v>818</v>
      </c>
      <c r="Q18" s="31"/>
      <c r="R18" s="100" t="str">
        <f>VLOOKUP(C18,'Train Runs'!$A$13:$AE$9994,31,0)</f>
        <v>aws s3 cp s3://rtdc.mdm.uploadarchive.raw/RTDC4045/ "%USERPROFILE%\AppData\Local\Temp\OnboardLogs"\RTDC4045\2016-11-16 --exclude "*" --recursive --include "*20161116*" &amp; "%USERPROFILE%\Documents\GitHub\mrs-test-scripts\Headless Mode &amp; Sideloading\WalkAndUnGZ.bat" "%USERPROFILE%\AppData\Local\Temp\OnboardLogs"\RTDC4045\2016-11-16 &amp; aws s3 cp s3://rtdc.mdm.uploadarchive.raw/RTDC4045/ "%USERPROFILE%\AppData\Local\Temp\OnboardLogs"\RTDC4045\2016-11-17 --exclude "*" --recursive --include "*20161117*" &amp; "%USERPROFILE%\Documents\GitHub\mrs-test-scripts\Headless Mode &amp; Sideloading\WalkAndUnGZ.bat" "%USERPROFILE%\AppData\Local\Temp\OnboardLogs"\RTDC4045\2016-11-17</v>
      </c>
      <c r="S18" s="103" t="str">
        <f>VLOOKUP(C18,'Train Runs'!$A$13:$AE$9994,22,0)</f>
        <v>https://search-rtdc-monitor-bjffxe2xuh6vdkpspy63sjmuny.us-east-1.es.amazonaws.com/_plugin/kibana/#/discover/Steve-Slow-Train-Analysis-(2080s-and-2083s)?_g=(refreshInterval:(display:Off,section:0,value:0),time:(from:'2016-11-16 06:06:53-700',mode:absolute,to:'2016-11-16 08:26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8" s="105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/stypes="*4045*201611161*" /stext=" 14:.+((SYSTEM_STATE.+slice.+state.+changed )|(ment ac)|(system.+state.+changed )|(\[timeout)|(PRM\|1\|D)|(kpr)|(kdp)|(\|lc)|(penalty))" /e /r /s</v>
      </c>
      <c r="U18" s="9" t="str">
        <f>MID(B18,13,4)</f>
        <v>4045</v>
      </c>
      <c r="V18" s="36">
        <f>A18-utc_offset/24</f>
        <v>42690.595763888887</v>
      </c>
      <c r="W18" s="50" t="str">
        <f>IF(VALUE(LEFT(IF(LEN(C18)=6,"0"&amp;C18,C18),2))&lt;=2,"EC",IF(OR(VALUE(LEFT(IF(LEN(C18)=6,"0"&amp;C18,C18),2))=8,VALUE(LEFT(IF(LEN(C18)=6,"0"&amp;C18,C18),2))=18),"NW","Other"))</f>
        <v>NW</v>
      </c>
      <c r="X18" s="50" t="str">
        <f>IF(AND(E18="TRACK WARRANT AUTHORITY",G18&lt;10),"OMIT","KEEP")</f>
        <v>KEEP</v>
      </c>
      <c r="Y18" s="11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{"issue":{"subject":"Restricting aspects","project_id":79,"tracker_id":40,"status_id":1,"priority_id":2,"assigned_to_id":23,"start_date":"2016-11-16","description":"","custom_fields":[{"id":1,"name":"Subdivision","value":"NW"},{"id":4,"name":"Milepost","value":"2.7253"},{"id":17,"name":"Train ID","value":"806-16"},{"id":16,"name":"Locomotive ID","value":"4045"},{"id":130,"name":"Impact","value":""},{"id":150,"name":"Time of Event (Mountain Time)","value":"07:17:54"},{"id":151,"name":"Denver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"%USERPROFILE%\AppData\Local\Temp\OnboardLogs"\RTDC4045\*4045*201611161*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"%USERPROFILE%\AppData\Local\Temp\OnboardLogs"\RTDC4045\*4045*201611161* &gt;&gt; 42690-slicedisagreementcheck.txt</v>
      </c>
    </row>
    <row r="19" spans="1:30" s="1" customFormat="1" x14ac:dyDescent="0.25">
      <c r="A19" s="36">
        <v>42690.310983796298</v>
      </c>
      <c r="B19" s="31" t="s">
        <v>250</v>
      </c>
      <c r="C19" s="31" t="s">
        <v>408</v>
      </c>
      <c r="D19" s="31" t="s">
        <v>98</v>
      </c>
      <c r="E19" s="31" t="s">
        <v>204</v>
      </c>
      <c r="F19" s="47">
        <v>350</v>
      </c>
      <c r="G19" s="47">
        <v>400</v>
      </c>
      <c r="H19" s="47">
        <v>229076</v>
      </c>
      <c r="I19" s="47">
        <v>228097</v>
      </c>
      <c r="J19" s="31" t="s">
        <v>205</v>
      </c>
      <c r="K19" s="47">
        <v>232107</v>
      </c>
      <c r="L19" s="154" t="s">
        <v>51</v>
      </c>
      <c r="M19" s="155">
        <f>CONVERT((I19-K19)/10000,"mi","ft")*IF(L19="Increasing Mileposts (1)",-1,1)</f>
        <v>-2117.2800000000002</v>
      </c>
      <c r="N19" s="156" t="str">
        <f>VLOOKUP(C19,'Trips&amp;Operators'!$C$1:$E$99999,3,FALSE)</f>
        <v>STRICKLAND</v>
      </c>
      <c r="O19" s="183" t="s">
        <v>203</v>
      </c>
      <c r="P19" s="157"/>
      <c r="Q19" s="31"/>
      <c r="R19" s="100" t="str">
        <f>VLOOKUP(C19,'Train Runs'!$A$13:$AE$9994,31,0)</f>
        <v>aws s3 cp s3://rtdc.mdm.uploadarchive.raw/RTDC4021/ "%USERPROFILE%\AppData\Local\Temp\OnboardLogs"\RTDC4021\2016-11-16 --exclude "*" --recursive --include "*20161116*" &amp; "%USERPROFILE%\Documents\GitHub\mrs-test-scripts\Headless Mode &amp; Sideloading\WalkAndUnGZ.bat" "%USERPROFILE%\AppData\Local\Temp\OnboardLogs"\RTDC4021\2016-11-16 &amp; aws s3 cp s3://rtdc.mdm.uploadarchive.raw/RTDC4021/ "%USERPROFILE%\AppData\Local\Temp\OnboardLogs"\RTDC4021\2016-11-17 --exclude "*" --recursive --include "*20161117*" &amp; "%USERPROFILE%\Documents\GitHub\mrs-test-scripts\Headless Mode &amp; Sideloading\WalkAndUnGZ.bat" "%USERPROFILE%\AppData\Local\Temp\OnboardLogs"\RTDC4021\2016-11-17</v>
      </c>
      <c r="S19" s="103" t="str">
        <f>VLOOKUP(C19,'Train Runs'!$A$13:$AE$9994,22,0)</f>
        <v>https://search-rtdc-monitor-bjffxe2xuh6vdkpspy63sjmuny.us-east-1.es.amazonaws.com/_plugin/kibana/#/discover/Steve-Slow-Train-Analysis-(2080s-and-2083s)?_g=(refreshInterval:(display:Off,section:0,value:0),time:(from:'2016-11-16 06:18:10-700',mode:absolute,to:'2016-11-16 09:11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9" s="105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/stypes="*4021*201611161*" /stext=" 14:.+((SYSTEM_STATE.+slice.+state.+changed )|(ment ac)|(system.+state.+changed )|(\[timeout)|(PRM\|1\|D)|(kpr)|(kdp)|(\|lc)|(penalty))" /e /r /s</v>
      </c>
      <c r="U19" s="9" t="str">
        <f>MID(B19,13,4)</f>
        <v>4021</v>
      </c>
      <c r="V19" s="36">
        <f>A19-utc_offset/24</f>
        <v>42690.602650462963</v>
      </c>
      <c r="W19" s="50" t="str">
        <f>IF(VALUE(LEFT(IF(LEN(C19)=6,"0"&amp;C19,C19),2))&lt;=2,"EC",IF(OR(VALUE(LEFT(IF(LEN(C19)=6,"0"&amp;C19,C19),2))=8,VALUE(LEFT(IF(LEN(C19)=6,"0"&amp;C19,C19),2))=18),"NW","Other"))</f>
        <v>EC</v>
      </c>
      <c r="X19" s="50" t="str">
        <f>IF(AND(E19="TRACK WARRANT AUTHORITY",G19&lt;10),"OMIT","KEEP")</f>
        <v>KEEP</v>
      </c>
      <c r="Y19" s="11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{"issue":{"subject":"","project_id":79,"tracker_id":40,"status_id":1,"priority_id":2,"assigned_to_id":23,"start_date":"2016-11-16","description":"","custom_fields":[{"id":1,"name":"Subdivision","value":"EC"},{"id":4,"name":"Milepost","value":"23.2107"},{"id":17,"name":"Train ID","value":"124-16"},{"id":16,"name":"Locomotive ID","value":"4021"},{"id":130,"name":"Impact","value":""},{"id":150,"name":"Time of Event (Mountain Time)","value":"07:27:49"},{"id":151,"name":"Denver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"%USERPROFILE%\AppData\Local\Temp\OnboardLogs"\RTDC4021\*4021*201611161*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"%USERPROFILE%\AppData\Local\Temp\OnboardLogs"\RTDC4021\*4021*201611161* &gt;&gt; 42690-slicedisagreementcheck.txt</v>
      </c>
    </row>
    <row r="20" spans="1:30" s="1" customFormat="1" x14ac:dyDescent="0.25">
      <c r="A20" s="36">
        <v>42690.333969907406</v>
      </c>
      <c r="B20" s="31" t="s">
        <v>309</v>
      </c>
      <c r="C20" s="31" t="s">
        <v>409</v>
      </c>
      <c r="D20" s="31" t="s">
        <v>98</v>
      </c>
      <c r="E20" s="31" t="s">
        <v>204</v>
      </c>
      <c r="F20" s="47">
        <v>400</v>
      </c>
      <c r="G20" s="47">
        <v>455</v>
      </c>
      <c r="H20" s="47">
        <v>43911</v>
      </c>
      <c r="I20" s="47">
        <v>45451</v>
      </c>
      <c r="J20" s="31" t="s">
        <v>205</v>
      </c>
      <c r="K20" s="47">
        <v>41797</v>
      </c>
      <c r="L20" s="154" t="s">
        <v>50</v>
      </c>
      <c r="M20" s="155">
        <f>CONVERT((I20-K20)/10000,"mi","ft")*IF(L20="Increasing Mileposts (1)",-1,1)</f>
        <v>-1929.3119999999999</v>
      </c>
      <c r="N20" s="156" t="str">
        <f>VLOOKUP(C20,'Trips&amp;Operators'!$C$1:$E$99999,3,FALSE)</f>
        <v>STARKS</v>
      </c>
      <c r="O20" s="183" t="s">
        <v>203</v>
      </c>
      <c r="P20" s="157"/>
      <c r="Q20" s="31"/>
      <c r="R20" s="100" t="str">
        <f>VLOOKUP(C20,'Train Runs'!$A$13:$AE$9994,31,0)</f>
        <v>aws s3 cp s3://rtdc.mdm.uploadarchive.raw/RTDC4046/ "%USERPROFILE%\AppData\Local\Temp\OnboardLogs"\RTDC4046\2016-11-16 --exclude "*" --recursive --include "*20161116*" &amp; "%USERPROFILE%\Documents\GitHub\mrs-test-scripts\Headless Mode &amp; Sideloading\WalkAndUnGZ.bat" "%USERPROFILE%\AppData\Local\Temp\OnboardLogs"\RTDC4046\2016-11-16 &amp; aws s3 cp s3://rtdc.mdm.uploadarchive.raw/RTDC4046/ "%USERPROFILE%\AppData\Local\Temp\OnboardLogs"\RTDC4046\2016-11-17 --exclude "*" --recursive --include "*20161117*" &amp; "%USERPROFILE%\Documents\GitHub\mrs-test-scripts\Headless Mode &amp; Sideloading\WalkAndUnGZ.bat" "%USERPROFILE%\AppData\Local\Temp\OnboardLogs"\RTDC4046\2016-11-17</v>
      </c>
      <c r="S20" s="103" t="str">
        <f>VLOOKUP(C20,'Train Runs'!$A$13:$AE$9994,22,0)</f>
        <v>https://search-rtdc-monitor-bjffxe2xuh6vdkpspy63sjmuny.us-east-1.es.amazonaws.com/_plugin/kibana/#/discover/Steve-Slow-Train-Analysis-(2080s-and-2083s)?_g=(refreshInterval:(display:Off,section:0,value:0),time:(from:'2016-11-16 06:42:01-700',mode:absolute,to:'2016-11-16 09:05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20" s="105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/stypes="*4046*201611161*" /stext=" 15:.+((SYSTEM_STATE.+slice.+state.+changed )|(ment ac)|(system.+state.+changed )|(\[timeout)|(PRM\|1\|D)|(kpr)|(kdp)|(\|lc)|(penalty))" /e /r /s</v>
      </c>
      <c r="U20" s="9" t="str">
        <f>MID(B20,13,4)</f>
        <v>4046</v>
      </c>
      <c r="V20" s="36">
        <f>A20-utc_offset/24</f>
        <v>42690.62563657407</v>
      </c>
      <c r="W20" s="50" t="str">
        <f>IF(VALUE(LEFT(IF(LEN(C20)=6,"0"&amp;C20,C20),2))&lt;=2,"EC",IF(OR(VALUE(LEFT(IF(LEN(C20)=6,"0"&amp;C20,C20),2))=8,VALUE(LEFT(IF(LEN(C20)=6,"0"&amp;C20,C20),2))=18),"NW","Other"))</f>
        <v>NW</v>
      </c>
      <c r="X20" s="50" t="str">
        <f>IF(AND(E20="TRACK WARRANT AUTHORITY",G20&lt;10),"OMIT","KEEP")</f>
        <v>KEEP</v>
      </c>
      <c r="Y20" s="11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{"issue":{"subject":"","project_id":79,"tracker_id":40,"status_id":1,"priority_id":2,"assigned_to_id":23,"start_date":"2016-11-16","description":"","custom_fields":[{"id":1,"name":"Subdivision","value":"NW"},{"id":4,"name":"Milepost","value":"4.1797"},{"id":17,"name":"Train ID","value":"809-16"},{"id":16,"name":"Locomotive ID","value":"4046"},{"id":130,"name":"Impact","value":""},{"id":150,"name":"Time of Event (Mountain Time)","value":"08:00:55"},{"id":151,"name":"Denver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"%USERPROFILE%\AppData\Local\Temp\OnboardLogs"\RTDC4046\*4046*201611161*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"%USERPROFILE%\AppData\Local\Temp\OnboardLogs"\RTDC4046\*4046*201611161* &gt;&gt; 42690-slicedisagreementcheck.txt</v>
      </c>
    </row>
    <row r="21" spans="1:30" x14ac:dyDescent="0.25">
      <c r="A21" s="36">
        <v>42690.36141203704</v>
      </c>
      <c r="B21" s="31" t="s">
        <v>309</v>
      </c>
      <c r="C21" s="31" t="s">
        <v>410</v>
      </c>
      <c r="D21" s="31" t="s">
        <v>49</v>
      </c>
      <c r="E21" s="31" t="s">
        <v>204</v>
      </c>
      <c r="F21" s="47">
        <v>300</v>
      </c>
      <c r="G21" s="47">
        <v>375</v>
      </c>
      <c r="H21" s="47">
        <v>19440</v>
      </c>
      <c r="I21" s="47">
        <v>20653</v>
      </c>
      <c r="J21" s="31" t="s">
        <v>205</v>
      </c>
      <c r="K21" s="47">
        <v>21314</v>
      </c>
      <c r="L21" s="154" t="s">
        <v>50</v>
      </c>
      <c r="M21" s="155">
        <f>CONVERT((I21-K21)/10000,"mi","ft")*IF(L21="Increasing Mileposts (1)",-1,1)</f>
        <v>349.00800000000004</v>
      </c>
      <c r="N21" s="156" t="str">
        <f>VLOOKUP(C21,'Trips&amp;Operators'!$C$1:$E$99999,3,FALSE)</f>
        <v>STARKS</v>
      </c>
      <c r="O21" s="183" t="s">
        <v>203</v>
      </c>
      <c r="P21" s="157"/>
      <c r="Q21" s="31"/>
      <c r="R21" s="100" t="str">
        <f>VLOOKUP(C21,'Train Runs'!$A$13:$AE$9994,31,0)</f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S21" s="103" t="str">
        <f>VLOOKUP(C21,'Train Runs'!$A$13:$AE$9994,22,0)</f>
        <v>https://search-rtdc-monitor-bjffxe2xuh6vdkpspy63sjmuny.us-east-1.es.amazonaws.com/_plugin/kibana/#/discover/Steve-Slow-Train-Analysis-(2080s-and-2083s)?_g=(refreshInterval:(display:Off,section:0,value:0),time:(from:'2016-11-16 07:31:17-700',mode:absolute,to:'1969-12-31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21" s="105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/stypes="*4046*201611161*" /stext=" 15:.+((SYSTEM_STATE.+slice.+state.+changed )|(ment ac)|(system.+state.+changed )|(\[timeout)|(PRM\|1\|D)|(kpr)|(kdp)|(\|lc)|(penalty))" /e /r /s</v>
      </c>
      <c r="U21" s="9" t="str">
        <f>MID(B21,13,4)</f>
        <v>4046</v>
      </c>
      <c r="V21" s="36">
        <f>A21-utc_offset/24</f>
        <v>42690.653078703705</v>
      </c>
      <c r="W21" s="50" t="str">
        <f>IF(VALUE(LEFT(IF(LEN(C21)=6,"0"&amp;C21,C21),2))&lt;=2,"EC",IF(OR(VALUE(LEFT(IF(LEN(C21)=6,"0"&amp;C21,C21),2))=8,VALUE(LEFT(IF(LEN(C21)=6,"0"&amp;C21,C21),2))=18),"NW","Other"))</f>
        <v>Other</v>
      </c>
      <c r="X21" s="50" t="str">
        <f>IF(AND(E21="TRACK WARRANT AUTHORITY",G21&lt;10),"OMIT","KEEP")</f>
        <v>KEEP</v>
      </c>
      <c r="Y21" s="11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{"issue":{"subject":"","project_id":79,"tracker_id":40,"status_id":1,"priority_id":2,"assigned_to_id":23,"start_date":"2016-11-16","description":"","custom_fields":[{"id":1,"name":"Subdivision","value":"Other"},{"id":4,"name":"Milepost","value":"2.1314"},{"id":17,"name":"Train ID","value":"903-16"},{"id":16,"name":"Locomotive ID","value":"4046"},{"id":130,"name":"Impact","value":""},{"id":150,"name":"Time of Event (Mountain Time)","value":"08:40:26"},{"id":151,"name":"Denver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"%USERPROFILE%\AppData\Local\Temp\OnboardLogs"\RTDC4046\*4046*201611161*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"%USERPROFILE%\AppData\Local\Temp\OnboardLogs"\RTDC4046\*4046*201611161* &gt;&gt; 42690-slicedisagreementcheck.txt</v>
      </c>
    </row>
    <row r="22" spans="1:30" x14ac:dyDescent="0.25">
      <c r="A22" s="36">
        <v>42690.362164351849</v>
      </c>
      <c r="B22" s="31" t="s">
        <v>215</v>
      </c>
      <c r="C22" s="31" t="s">
        <v>411</v>
      </c>
      <c r="D22" s="31" t="s">
        <v>49</v>
      </c>
      <c r="E22" s="31" t="s">
        <v>154</v>
      </c>
      <c r="F22" s="47">
        <v>260</v>
      </c>
      <c r="G22" s="47">
        <v>369</v>
      </c>
      <c r="H22" s="47">
        <v>59905</v>
      </c>
      <c r="I22" s="47">
        <v>58873</v>
      </c>
      <c r="J22" s="31" t="s">
        <v>153</v>
      </c>
      <c r="K22" s="47">
        <v>58904</v>
      </c>
      <c r="L22" s="154" t="s">
        <v>51</v>
      </c>
      <c r="M22" s="155">
        <f>CONVERT((I22-K22)/10000,"mi","ft")*IF(L22="Increasing Mileposts (1)",-1,1)</f>
        <v>-16.367999999999999</v>
      </c>
      <c r="N22" s="156" t="str">
        <f>VLOOKUP(C22,'Trips&amp;Operators'!$C$1:$E$99999,3,FALSE)</f>
        <v>MAGEE</v>
      </c>
      <c r="O22" s="183" t="s">
        <v>203</v>
      </c>
      <c r="P22" s="157" t="s">
        <v>395</v>
      </c>
      <c r="Q22" s="31"/>
      <c r="R22" s="100" t="str">
        <f>VLOOKUP(C22,'Train Runs'!$A$13:$AE$9994,31,0)</f>
        <v>aws s3 cp s3://rtdc.mdm.uploadarchive.raw/RTDC4030/ "%USERPROFILE%\AppData\Local\Temp\OnboardLogs"\RTDC4030\2016-11-16 --exclude "*" --recursive --include "*20161116*" &amp; "%USERPROFILE%\Documents\GitHub\mrs-test-scripts\Headless Mode &amp; Sideloading\WalkAndUnGZ.bat" "%USERPROFILE%\AppData\Local\Temp\OnboardLogs"\RTDC4030\2016-11-16 &amp; aws s3 cp s3://rtdc.mdm.uploadarchive.raw/RTDC4030/ "%USERPROFILE%\AppData\Local\Temp\OnboardLogs"\RTDC4030\2016-11-17 --exclude "*" --recursive --include "*20161117*" &amp; "%USERPROFILE%\Documents\GitHub\mrs-test-scripts\Headless Mode &amp; Sideloading\WalkAndUnGZ.bat" "%USERPROFILE%\AppData\Local\Temp\OnboardLogs"\RTDC4030\2016-11-17</v>
      </c>
      <c r="S22" s="103" t="str">
        <f>VLOOKUP(C22,'Train Runs'!$A$13:$AE$9994,22,0)</f>
        <v>https://search-rtdc-monitor-bjffxe2xuh6vdkpspy63sjmuny.us-east-1.es.amazonaws.com/_plugin/kibana/#/discover/Steve-Slow-Train-Analysis-(2080s-and-2083s)?_g=(refreshInterval:(display:Off,section:0,value:0),time:(from:'2016-11-16 06:56:18-700',mode:absolute,to:'2016-11-16 09:55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2" s="105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/stypes="*4030*201611161*" /stext=" 15:.+((SYSTEM_STATE.+slice.+state.+changed )|(ment ac)|(system.+state.+changed )|(\[timeout)|(PRM\|1\|D)|(kpr)|(kdp)|(\|lc)|(penalty))" /e /r /s</v>
      </c>
      <c r="U22" s="9" t="str">
        <f>MID(B22,13,4)</f>
        <v>4030</v>
      </c>
      <c r="V22" s="36">
        <f>A22-utc_offset/24</f>
        <v>42690.653831018513</v>
      </c>
      <c r="W22" s="50" t="str">
        <f>IF(VALUE(LEFT(IF(LEN(C22)=6,"0"&amp;C22,C22),2))&lt;=2,"EC",IF(OR(VALUE(LEFT(IF(LEN(C22)=6,"0"&amp;C22,C22),2))=8,VALUE(LEFT(IF(LEN(C22)=6,"0"&amp;C22,C22),2))=18),"NW","Other"))</f>
        <v>EC</v>
      </c>
      <c r="X22" s="50" t="str">
        <f>IF(AND(E22="TRACK WARRANT AUTHORITY",G22&lt;10),"OMIT","KEEP")</f>
        <v>KEEP</v>
      </c>
      <c r="Y22" s="11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arrival","project_id":79,"tracker_id":40,"status_id":1,"priority_id":2,"assigned_to_id":23,"start_date":"2016-11-16","description":"","custom_fields":[{"id":1,"name":"Subdivision","value":"EC"},{"id":4,"name":"Milepost","value":"5.8904"},{"id":17,"name":"Train ID","value":"130-16"},{"id":16,"name":"Locomotive ID","value":"4030"},{"id":130,"name":"Impact","value":""},{"id":150,"name":"Time of Event (Mountain Time)","value":"08:41:31"},{"id":151,"name":"Denver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"%USERPROFILE%\AppData\Local\Temp\OnboardLogs"\RTDC4030\*4030*201611161*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"%USERPROFILE%\AppData\Local\Temp\OnboardLogs"\RTDC4030\*4030*201611161* &gt;&gt; 42690-slicedisagreementcheck.txt</v>
      </c>
    </row>
    <row r="23" spans="1:30" x14ac:dyDescent="0.25">
      <c r="A23" s="36">
        <v>42690.366631944446</v>
      </c>
      <c r="B23" s="31" t="s">
        <v>346</v>
      </c>
      <c r="C23" s="31" t="s">
        <v>412</v>
      </c>
      <c r="D23" s="31" t="s">
        <v>49</v>
      </c>
      <c r="E23" s="31" t="s">
        <v>206</v>
      </c>
      <c r="F23" s="47">
        <v>0</v>
      </c>
      <c r="G23" s="47">
        <v>565</v>
      </c>
      <c r="H23" s="47">
        <v>29508</v>
      </c>
      <c r="I23" s="47">
        <v>27402</v>
      </c>
      <c r="J23" s="31" t="s">
        <v>207</v>
      </c>
      <c r="K23" s="47">
        <v>27253</v>
      </c>
      <c r="L23" s="154" t="s">
        <v>51</v>
      </c>
      <c r="M23" s="155">
        <f>CONVERT((I23-K23)/10000,"mi","ft")*IF(L23="Increasing Mileposts (1)",-1,1)</f>
        <v>78.671999999999997</v>
      </c>
      <c r="N23" s="156" t="str">
        <f>VLOOKUP(C23,'Trips&amp;Operators'!$C$1:$E$99999,3,FALSE)</f>
        <v>DAVIDSON</v>
      </c>
      <c r="O23" s="183" t="s">
        <v>203</v>
      </c>
      <c r="P23" s="157" t="s">
        <v>818</v>
      </c>
      <c r="Q23" s="31"/>
      <c r="R23" s="100" t="str">
        <f>VLOOKUP(C23,'Train Runs'!$A$13:$AE$9994,31,0)</f>
        <v>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 &amp; aws s3 cp s3://rtdc.mdm.uploadarchive.raw/RTDC4026/ "%USERPROFILE%\AppData\Local\Temp\OnboardLogs"\RTDC4026\2016-11-17 --exclude "*" --recursive --include "*20161117*" &amp; "%USERPROFILE%\Documents\GitHub\mrs-test-scripts\Headless Mode &amp; Sideloading\WalkAndUnGZ.bat" "%USERPROFILE%\AppData\Local\Temp\OnboardLogs"\RTDC4026\2016-11-17</v>
      </c>
      <c r="S23" s="103" t="str">
        <f>VLOOKUP(C23,'Train Runs'!$A$13:$AE$9994,22,0)</f>
        <v>https://search-rtdc-monitor-bjffxe2xuh6vdkpspy63sjmuny.us-east-1.es.amazonaws.com/_plugin/kibana/#/discover/Steve-Slow-Train-Analysis-(2080s-and-2083s)?_g=(refreshInterval:(display:Off,section:0,value:0),time:(from:'2016-11-16 07:36:10-700',mode:absolute,to:'2016-11-16 09:56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3" s="105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/stypes="*4026*201611161*" /stext=" 15:.+((SYSTEM_STATE.+slice.+state.+changed )|(ment ac)|(system.+state.+changed )|(\[timeout)|(PRM\|1\|D)|(kpr)|(kdp)|(\|lc)|(penalty))" /e /r /s</v>
      </c>
      <c r="U23" s="9" t="str">
        <f>MID(B23,13,4)</f>
        <v>4026</v>
      </c>
      <c r="V23" s="36">
        <f>A23-utc_offset/24</f>
        <v>42690.65829861111</v>
      </c>
      <c r="W23" s="50" t="str">
        <f>IF(VALUE(LEFT(IF(LEN(C23)=6,"0"&amp;C23,C23),2))&lt;=2,"EC",IF(OR(VALUE(LEFT(IF(LEN(C23)=6,"0"&amp;C23,C23),2))=8,VALUE(LEFT(IF(LEN(C23)=6,"0"&amp;C23,C23),2))=18),"NW","Other"))</f>
        <v>NW</v>
      </c>
      <c r="X23" s="50" t="str">
        <f>IF(AND(E23="TRACK WARRANT AUTHORITY",G23&lt;10),"OMIT","KEEP")</f>
        <v>KEEP</v>
      </c>
      <c r="Y23" s="11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{"issue":{"subject":"Restricting aspects","project_id":79,"tracker_id":40,"status_id":1,"priority_id":2,"assigned_to_id":23,"start_date":"2016-11-16","description":"","custom_fields":[{"id":1,"name":"Subdivision","value":"NW"},{"id":4,"name":"Milepost","value":"2.7253"},{"id":17,"name":"Train ID","value":"812-16"},{"id":16,"name":"Locomotive ID","value":"4026"},{"id":130,"name":"Impact","value":""},{"id":150,"name":"Time of Event (Mountain Time)","value":"08:47:57"},{"id":151,"name":"Denver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"%USERPROFILE%\AppData\Local\Temp\OnboardLogs"\RTDC4026\*4026*201611161*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"%USERPROFILE%\AppData\Local\Temp\OnboardLogs"\RTDC4026\*4026*201611161* &gt;&gt; 42690-slicedisagreementcheck.txt</v>
      </c>
    </row>
    <row r="24" spans="1:30" ht="15" customHeight="1" x14ac:dyDescent="0.25">
      <c r="A24" s="36">
        <v>42690.377175925925</v>
      </c>
      <c r="B24" s="31" t="s">
        <v>188</v>
      </c>
      <c r="C24" s="31" t="s">
        <v>413</v>
      </c>
      <c r="D24" s="31" t="s">
        <v>49</v>
      </c>
      <c r="E24" s="31" t="s">
        <v>206</v>
      </c>
      <c r="F24" s="47">
        <v>0</v>
      </c>
      <c r="G24" s="47">
        <v>735</v>
      </c>
      <c r="H24" s="47">
        <v>80545</v>
      </c>
      <c r="I24" s="47">
        <v>83930</v>
      </c>
      <c r="J24" s="31" t="s">
        <v>207</v>
      </c>
      <c r="K24" s="47">
        <v>81738</v>
      </c>
      <c r="L24" s="154" t="s">
        <v>50</v>
      </c>
      <c r="M24" s="155">
        <f>CONVERT((I24-K24)/10000,"mi","ft")*IF(L24="Increasing Mileposts (1)",-1,1)</f>
        <v>-1157.376</v>
      </c>
      <c r="N24" s="156" t="str">
        <f>VLOOKUP(C24,'Trips&amp;Operators'!$C$1:$E$99999,3,FALSE)</f>
        <v>ROBINSON</v>
      </c>
      <c r="O24" s="183" t="s">
        <v>396</v>
      </c>
      <c r="P24" s="157" t="s">
        <v>812</v>
      </c>
      <c r="Q24" s="31"/>
      <c r="R24" s="100" t="str">
        <f>VLOOKUP(C24,'Train Runs'!$A$13:$AE$9994,31,0)</f>
        <v>aws s3 cp s3://rtdc.mdm.uploadarchive.raw/RTDC4044/ "%USERPROFILE%\AppData\Local\Temp\OnboardLogs"\RTDC4044\2016-11-16 --exclude "*" --recursive --include "*20161116*" &amp; "%USERPROFILE%\Documents\GitHub\mrs-test-scripts\Headless Mode &amp; Sideloading\WalkAndUnGZ.bat" "%USERPROFILE%\AppData\Local\Temp\OnboardLogs"\RTDC4044\2016-11-16 &amp; aws s3 cp s3://rtdc.mdm.uploadarchive.raw/RTDC4044/ "%USERPROFILE%\AppData\Local\Temp\OnboardLogs"\RTDC4044\2016-11-17 --exclude "*" --recursive --include "*20161117*" &amp; "%USERPROFILE%\Documents\GitHub\mrs-test-scripts\Headless Mode &amp; Sideloading\WalkAndUnGZ.bat" "%USERPROFILE%\AppData\Local\Temp\OnboardLogs"\RTDC4044\2016-11-17</v>
      </c>
      <c r="S24" s="103" t="str">
        <f>VLOOKUP(C24,'Train Runs'!$A$13:$AE$9994,22,0)</f>
        <v>https://search-rtdc-monitor-bjffxe2xuh6vdkpspy63sjmuny.us-east-1.es.amazonaws.com/_plugin/kibana/#/discover/Steve-Slow-Train-Analysis-(2080s-and-2083s)?_g=(refreshInterval:(display:Off,section:0,value:0),time:(from:'2016-11-16 07:44:28-700',mode:absolute,to:'2016-11-16 10:23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4" s="105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/stypes="*4044*201611161*" /stext=" 16:.+((SYSTEM_STATE.+slice.+state.+changed )|(ment ac)|(system.+state.+changed )|(\[timeout)|(PRM\|1\|D)|(kpr)|(kdp)|(\|lc)|(penalty))" /e /r /s</v>
      </c>
      <c r="U24" s="9" t="str">
        <f>MID(B24,13,4)</f>
        <v>4044</v>
      </c>
      <c r="V24" s="36">
        <f>A24-utc_offset/24</f>
        <v>42690.668842592589</v>
      </c>
      <c r="W24" s="50" t="str">
        <f>IF(VALUE(LEFT(IF(LEN(C24)=6,"0"&amp;C24,C24),2))&lt;=2,"EC",IF(OR(VALUE(LEFT(IF(LEN(C24)=6,"0"&amp;C24,C24),2))=8,VALUE(LEFT(IF(LEN(C24)=6,"0"&amp;C24,C24),2))=18),"NW","Other"))</f>
        <v>EC</v>
      </c>
      <c r="X24" s="50" t="str">
        <f>IF(AND(E24="TRACK WARRANT AUTHORITY",G24&lt;10),"OMIT","KEEP")</f>
        <v>KEEP</v>
      </c>
      <c r="Y24" s="11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-11-16","description":"http://stevetu21.github.io/eaglep3/load_kml.html?kml=http://rtdc.gmaps-snips.s3.amazonaws.com/8e6919af-5e71-4914-91e0-f833c2332b46.kml","custom_fields":[{"id":1,"name":"Subdivision","value":"EC"},{"id":4,"name":"Milepost","value":"8.1738"},{"id":17,"name":"Train ID","value":"141-16"},{"id":16,"name":"Locomotive ID","value":"4044"},{"id":130,"name":"Impact","value":"Enforcement"},{"id":150,"name":"Time of Event (Mountain Time)","value":"09:03:08"},{"id":151,"name":"Denver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4" s="184" t="s">
        <v>814</v>
      </c>
      <c r="AA24" s="53" t="s">
        <v>125</v>
      </c>
      <c r="AB24" s="53" t="s">
        <v>138</v>
      </c>
      <c r="AC24" s="138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"%USERPROFILE%\AppData\Local\Temp\OnboardLogs"\RTDC4044\*4044*201611161*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"%USERPROFILE%\AppData\Local\Temp\OnboardLogs"\RTDC4044\*4044*201611161* &gt;&gt; 42690-slicedisagreementcheck.txt</v>
      </c>
    </row>
    <row r="25" spans="1:30" x14ac:dyDescent="0.25">
      <c r="A25" s="36">
        <v>42690.378206018519</v>
      </c>
      <c r="B25" s="31" t="s">
        <v>248</v>
      </c>
      <c r="C25" s="31" t="s">
        <v>414</v>
      </c>
      <c r="D25" s="31" t="s">
        <v>49</v>
      </c>
      <c r="E25" s="31" t="s">
        <v>206</v>
      </c>
      <c r="F25" s="47">
        <v>0</v>
      </c>
      <c r="G25" s="47">
        <v>516</v>
      </c>
      <c r="H25" s="47">
        <v>83784</v>
      </c>
      <c r="I25" s="47">
        <v>81590</v>
      </c>
      <c r="J25" s="31" t="s">
        <v>207</v>
      </c>
      <c r="K25" s="47">
        <v>81751</v>
      </c>
      <c r="L25" s="154" t="s">
        <v>51</v>
      </c>
      <c r="M25" s="155">
        <f>CONVERT((I25-K25)/10000,"mi","ft")*IF(L25="Increasing Mileposts (1)",-1,1)</f>
        <v>-85.007999999999996</v>
      </c>
      <c r="N25" s="156" t="str">
        <f>VLOOKUP(C25,'Trips&amp;Operators'!$C$1:$E$99999,3,FALSE)</f>
        <v>RICHARDSON</v>
      </c>
      <c r="O25" s="183" t="s">
        <v>396</v>
      </c>
      <c r="P25" s="157" t="s">
        <v>812</v>
      </c>
      <c r="Q25" s="31"/>
      <c r="R25" s="100" t="str">
        <f>VLOOKUP(C25,'Train Runs'!$A$13:$AE$9994,31,0)</f>
        <v>aws s3 cp s3://rtdc.mdm.uploadarchive.raw/RTDC4010/ "%USERPROFILE%\AppData\Local\Temp\OnboardLogs"\RTDC4010\2016-11-16 --exclude "*" --recursive --include "*20161116*" &amp; "%USERPROFILE%\Documents\GitHub\mrs-test-scripts\Headless Mode &amp; Sideloading\WalkAndUnGZ.bat" "%USERPROFILE%\AppData\Local\Temp\OnboardLogs"\RTDC4010\2016-11-16 &amp; aws s3 cp s3://rtdc.mdm.uploadarchive.raw/RTDC4010/ "%USERPROFILE%\AppData\Local\Temp\OnboardLogs"\RTDC4010\2016-11-17 --exclude "*" --recursive --include "*20161117*" &amp; "%USERPROFILE%\Documents\GitHub\mrs-test-scripts\Headless Mode &amp; Sideloading\WalkAndUnGZ.bat" "%USERPROFILE%\AppData\Local\Temp\OnboardLogs"\RTDC4010\2016-11-17</v>
      </c>
      <c r="S25" s="103" t="str">
        <f>VLOOKUP(C25,'Train Runs'!$A$13:$AE$9994,22,0)</f>
        <v>https://search-rtdc-monitor-bjffxe2xuh6vdkpspy63sjmuny.us-east-1.es.amazonaws.com/_plugin/kibana/#/discover/Steve-Slow-Train-Analysis-(2080s-and-2083s)?_g=(refreshInterval:(display:Off,section:0,value:0),time:(from:'2016-11-16 07:33:52-700',mode:absolute,to:'2016-11-16 10:24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5" s="105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/stypes="*4010*201611161*" /stext=" 16:.+((SYSTEM_STATE.+slice.+state.+changed )|(ment ac)|(system.+state.+changed )|(\[timeout)|(PRM\|1\|D)|(kpr)|(kdp)|(\|lc)|(penalty))" /e /r /s</v>
      </c>
      <c r="U25" s="9" t="str">
        <f>MID(B25,13,4)</f>
        <v>4010</v>
      </c>
      <c r="V25" s="36">
        <f>A25-utc_offset/24</f>
        <v>42690.669872685183</v>
      </c>
      <c r="W25" s="50" t="str">
        <f>IF(VALUE(LEFT(IF(LEN(C25)=6,"0"&amp;C25,C25),2))&lt;=2,"EC",IF(OR(VALUE(LEFT(IF(LEN(C25)=6,"0"&amp;C25,C25),2))=8,VALUE(LEFT(IF(LEN(C25)=6,"0"&amp;C25,C25),2))=18),"NW","Other"))</f>
        <v>EC</v>
      </c>
      <c r="X25" s="50" t="str">
        <f>IF(AND(E25="TRACK WARRANT AUTHORITY",G25&lt;10),"OMIT","KEEP")</f>
        <v>KEEP</v>
      </c>
      <c r="Y25" s="11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-11-16","description":"http://stevetu21.github.io/eaglep3/load_kml.html?kml=http://rtdc.gmaps-snips.s3.amazonaws.com/435a23d5-c4f1-4f43-bbbb-55e75da0edcf.kml","custom_fields":[{"id":1,"name":"Subdivision","value":"EC"},{"id":4,"name":"Milepost","value":"8.1751"},{"id":17,"name":"Train ID","value":"134-16"},{"id":16,"name":"Locomotive ID","value":"4010"},{"id":130,"name":"Impact","value":"Enforcement"},{"id":150,"name":"Time of Event (Mountain Time)","value":"09:04:37"},{"id":151,"name":"Denver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5" s="184" t="s">
        <v>815</v>
      </c>
      <c r="AA25" s="53" t="s">
        <v>125</v>
      </c>
      <c r="AB25" s="53" t="s">
        <v>138</v>
      </c>
      <c r="AC25" s="138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"%USERPROFILE%\AppData\Local\Temp\OnboardLogs"\RTDC4010\*4010*201611161*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"%USERPROFILE%\AppData\Local\Temp\OnboardLogs"\RTDC4010\*4010*201611161* &gt;&gt; 42690-slicedisagreementcheck.txt</v>
      </c>
    </row>
    <row r="26" spans="1:30" x14ac:dyDescent="0.25">
      <c r="A26" s="36">
        <v>42690.398425925923</v>
      </c>
      <c r="B26" s="31" t="s">
        <v>259</v>
      </c>
      <c r="C26" s="31" t="s">
        <v>415</v>
      </c>
      <c r="D26" s="31" t="s">
        <v>49</v>
      </c>
      <c r="E26" s="31" t="s">
        <v>206</v>
      </c>
      <c r="F26" s="47">
        <v>0</v>
      </c>
      <c r="G26" s="47">
        <v>99</v>
      </c>
      <c r="H26" s="47">
        <v>86380</v>
      </c>
      <c r="I26" s="47">
        <v>86606</v>
      </c>
      <c r="J26" s="31" t="s">
        <v>207</v>
      </c>
      <c r="K26" s="47">
        <v>87889</v>
      </c>
      <c r="L26" s="154" t="s">
        <v>50</v>
      </c>
      <c r="M26" s="155">
        <f>CONVERT((I26-K26)/10000,"mi","ft")*IF(L26="Increasing Mileposts (1)",-1,1)</f>
        <v>677.42399999999998</v>
      </c>
      <c r="N26" s="156" t="str">
        <f>VLOOKUP(C26,'Trips&amp;Operators'!$C$1:$E$99999,3,FALSE)</f>
        <v>MAELZER</v>
      </c>
      <c r="O26" s="183" t="s">
        <v>396</v>
      </c>
      <c r="P26" s="157" t="s">
        <v>812</v>
      </c>
      <c r="Q26" s="31"/>
      <c r="R26" s="100" t="str">
        <f>VLOOKUP(C26,'Train Runs'!$A$13:$AE$9994,31,0)</f>
        <v>aws s3 cp s3://rtdc.mdm.uploadarchive.raw/RTDC4038/ "%USERPROFILE%\AppData\Local\Temp\OnboardLogs"\RTDC4038\2016-11-16 --exclude "*" --recursive --include "*20161116*" &amp; "%USERPROFILE%\Documents\GitHub\mrs-test-scripts\Headless Mode &amp; Sideloading\WalkAndUnGZ.bat" "%USERPROFILE%\AppData\Local\Temp\OnboardLogs"\RTDC4038\2016-11-16 &amp; aws s3 cp s3://rtdc.mdm.uploadarchive.raw/RTDC4038/ "%USERPROFILE%\AppData\Local\Temp\OnboardLogs"\RTDC4038\2016-11-17 --exclude "*" --recursive --include "*20161117*" &amp; "%USERPROFILE%\Documents\GitHub\mrs-test-scripts\Headless Mode &amp; Sideloading\WalkAndUnGZ.bat" "%USERPROFILE%\AppData\Local\Temp\OnboardLogs"\RTDC4038\2016-11-17</v>
      </c>
      <c r="S26" s="103" t="str">
        <f>VLOOKUP(C26,'Train Runs'!$A$13:$AE$9994,22,0)</f>
        <v>https://search-rtdc-monitor-bjffxe2xuh6vdkpspy63sjmuny.us-east-1.es.amazonaws.com/_plugin/kibana/#/discover/Steve-Slow-Train-Analysis-(2080s-and-2083s)?_g=(refreshInterval:(display:Off,section:0,value:0),time:(from:'2016-11-16 08:14:05-700',mode:absolute,to:'2016-11-16 10:51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26" s="105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/stypes="*4038*201611161*" /stext=" 16:.+((SYSTEM_STATE.+slice.+state.+changed )|(ment ac)|(system.+state.+changed )|(\[timeout)|(PRM\|1\|D)|(kpr)|(kdp)|(\|lc)|(penalty))" /e /r /s</v>
      </c>
      <c r="U26" s="9" t="str">
        <f>MID(B26,13,4)</f>
        <v>4038</v>
      </c>
      <c r="V26" s="36">
        <f>A26-utc_offset/24</f>
        <v>42690.690092592587</v>
      </c>
      <c r="W26" s="50" t="str">
        <f>IF(VALUE(LEFT(IF(LEN(C26)=6,"0"&amp;C26,C26),2))&lt;=2,"EC",IF(OR(VALUE(LEFT(IF(LEN(C26)=6,"0"&amp;C26,C26),2))=8,VALUE(LEFT(IF(LEN(C26)=6,"0"&amp;C26,C26),2))=18),"NW","Other"))</f>
        <v>EC</v>
      </c>
      <c r="X26" s="50" t="str">
        <f>IF(AND(E26="TRACK WARRANT AUTHORITY",G26&lt;10),"OMIT","KEEP")</f>
        <v>KEEP</v>
      </c>
      <c r="Y26" s="11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-11-16","description":"http://stevetu21.github.io/eaglep3/load_kml.html?kml=http://rtdc.gmaps-snips.s3.amazonaws.com/6839d12a-b719-4af1-b432-ee0f912fa2ad.kml","custom_fields":[{"id":1,"name":"Subdivision","value":"EC"},{"id":4,"name":"Milepost","value":"8.7889"},{"id":17,"name":"Train ID","value":"145-16"},{"id":16,"name":"Locomotive ID","value":"4038"},{"id":130,"name":"Impact","value":"Enforcement"},{"id":150,"name":"Time of Event (Mountain Time)","value":"09:33:44"},{"id":151,"name":"Denver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6" s="184" t="s">
        <v>816</v>
      </c>
      <c r="AA26" s="53" t="s">
        <v>125</v>
      </c>
      <c r="AB26" s="53" t="s">
        <v>138</v>
      </c>
      <c r="AC26" s="138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"%USERPROFILE%\AppData\Local\Temp\OnboardLogs"\RTDC4038\*4038*201611161*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"%USERPROFILE%\AppData\Local\Temp\OnboardLogs"\RTDC4038\*4038*201611161* &gt;&gt; 42690-slicedisagreementcheck.txt</v>
      </c>
    </row>
    <row r="27" spans="1:30" x14ac:dyDescent="0.25">
      <c r="A27" s="36">
        <v>42690.410578703704</v>
      </c>
      <c r="B27" s="31" t="s">
        <v>250</v>
      </c>
      <c r="C27" s="31" t="s">
        <v>416</v>
      </c>
      <c r="D27" s="31" t="s">
        <v>49</v>
      </c>
      <c r="E27" s="31" t="s">
        <v>208</v>
      </c>
      <c r="F27" s="47">
        <v>0</v>
      </c>
      <c r="G27" s="47">
        <v>72</v>
      </c>
      <c r="H27" s="47">
        <v>252</v>
      </c>
      <c r="I27" s="47">
        <v>180</v>
      </c>
      <c r="J27" s="31" t="s">
        <v>209</v>
      </c>
      <c r="K27" s="47">
        <v>1</v>
      </c>
      <c r="L27" s="154" t="s">
        <v>51</v>
      </c>
      <c r="M27" s="155">
        <f>CONVERT((I27-K27)/10000,"mi","ft")*IF(L27="Increasing Mileposts (1)",-1,1)</f>
        <v>94.512</v>
      </c>
      <c r="N27" s="156" t="str">
        <f>VLOOKUP(C27,'Trips&amp;Operators'!$C$1:$E$99999,3,FALSE)</f>
        <v>STRICKLAND</v>
      </c>
      <c r="O27" s="183" t="s">
        <v>203</v>
      </c>
      <c r="P27" s="157"/>
      <c r="Q27" s="31"/>
      <c r="R27" s="100" t="str">
        <f>VLOOKUP(C27,'Train Runs'!$A$13:$AE$9994,31,0)</f>
        <v>aws s3 cp s3://rtdc.mdm.uploadarchive.raw/RTDC4021/ "%USERPROFILE%\AppData\Local\Temp\OnboardLogs"\RTDC4021\2016-11-16 --exclude "*" --recursive --include "*20161116*" &amp; "%USERPROFILE%\Documents\GitHub\mrs-test-scripts\Headless Mode &amp; Sideloading\WalkAndUnGZ.bat" "%USERPROFILE%\AppData\Local\Temp\OnboardLogs"\RTDC4021\2016-11-16 &amp; aws s3 cp s3://rtdc.mdm.uploadarchive.raw/RTDC4021/ "%USERPROFILE%\AppData\Local\Temp\OnboardLogs"\RTDC4021\2016-11-17 --exclude "*" --recursive --include "*20161117*" &amp; "%USERPROFILE%\Documents\GitHub\mrs-test-scripts\Headless Mode &amp; Sideloading\WalkAndUnGZ.bat" "%USERPROFILE%\AppData\Local\Temp\OnboardLogs"\RTDC4021\2016-11-17</v>
      </c>
      <c r="S27" s="103" t="str">
        <f>VLOOKUP(C27,'Train Runs'!$A$13:$AE$9994,22,0)</f>
        <v>https://search-rtdc-monitor-bjffxe2xuh6vdkpspy63sjmuny.us-east-1.es.amazonaws.com/_plugin/kibana/#/discover/Steve-Slow-Train-Analysis-(2080s-and-2083s)?_g=(refreshInterval:(display:Off,section:0,value:0),time:(from:'2016-11-16 08:06:28-700',mode:absolute,to:'2016-11-16 10:51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27" s="105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/stypes="*4021*201611161*" /stext=" 16:.+((SYSTEM_STATE.+slice.+state.+changed )|(ment ac)|(system.+state.+changed )|(\[timeout)|(PRM\|1\|D)|(kpr)|(kdp)|(\|lc)|(penalty))" /e /r /s</v>
      </c>
      <c r="U27" s="9" t="str">
        <f>MID(B27,13,4)</f>
        <v>4021</v>
      </c>
      <c r="V27" s="36">
        <f>A27-utc_offset/24</f>
        <v>42690.702245370368</v>
      </c>
      <c r="W27" s="50" t="str">
        <f>IF(VALUE(LEFT(IF(LEN(C27)=6,"0"&amp;C27,C27),2))&lt;=2,"EC",IF(OR(VALUE(LEFT(IF(LEN(C27)=6,"0"&amp;C27,C27),2))=8,VALUE(LEFT(IF(LEN(C27)=6,"0"&amp;C27,C27),2))=18),"NW","Other"))</f>
        <v>EC</v>
      </c>
      <c r="X27" s="50" t="str">
        <f>IF(AND(E27="TRACK WARRANT AUTHORITY",G27&lt;10),"OMIT","KEEP")</f>
        <v>KEEP</v>
      </c>
      <c r="Y27" s="11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{"issue":{"subject":"","project_id":79,"tracker_id":40,"status_id":1,"priority_id":2,"assigned_to_id":23,"start_date":"2016-11-16","description":"","custom_fields":[{"id":1,"name":"Subdivision","value":"EC"},{"id":4,"name":"Milepost","value":"0.0001"},{"id":17,"name":"Train ID","value":"138-16"},{"id":16,"name":"Locomotive ID","value":"4021"},{"id":130,"name":"Impact","value":""},{"id":150,"name":"Time of Event (Mountain Time)","value":"09:51:14"},{"id":151,"name":"Denver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"%USERPROFILE%\AppData\Local\Temp\OnboardLogs"\RTDC4021\*4021*201611161*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"%USERPROFILE%\AppData\Local\Temp\OnboardLogs"\RTDC4021\*4021*201611161* &gt;&gt; 42690-slicedisagreementcheck.txt</v>
      </c>
    </row>
    <row r="28" spans="1:30" x14ac:dyDescent="0.25">
      <c r="A28" s="36">
        <v>42690.442615740743</v>
      </c>
      <c r="B28" s="31" t="s">
        <v>417</v>
      </c>
      <c r="C28" s="31" t="s">
        <v>418</v>
      </c>
      <c r="D28" s="31" t="s">
        <v>49</v>
      </c>
      <c r="E28" s="31" t="s">
        <v>208</v>
      </c>
      <c r="F28" s="47">
        <v>0</v>
      </c>
      <c r="G28" s="47">
        <v>22</v>
      </c>
      <c r="H28" s="47">
        <v>37</v>
      </c>
      <c r="I28" s="47">
        <v>17</v>
      </c>
      <c r="J28" s="31" t="s">
        <v>209</v>
      </c>
      <c r="K28" s="47">
        <v>1</v>
      </c>
      <c r="L28" s="154" t="s">
        <v>51</v>
      </c>
      <c r="M28" s="155">
        <f>CONVERT((I28-K28)/10000,"mi","ft")*IF(L28="Increasing Mileposts (1)",-1,1)</f>
        <v>8.4480000000000004</v>
      </c>
      <c r="N28" s="156" t="str">
        <f>VLOOKUP(C28,'Trips&amp;Operators'!$C$1:$E$99999,3,FALSE)</f>
        <v>BARTLETT</v>
      </c>
      <c r="O28" s="183" t="s">
        <v>203</v>
      </c>
      <c r="P28" s="157"/>
      <c r="Q28" s="31"/>
      <c r="R28" s="100" t="str">
        <f>VLOOKUP(C28,'Train Runs'!$A$13:$AE$9994,31,0)</f>
        <v>aws s3 cp s3://rtdc.mdm.uploadarchive.raw/RTDC4028/ "%USERPROFILE%\AppData\Local\Temp\OnboardLogs"\RTDC4028\2016-11-16 --exclude "*" --recursive --include "*20161116*" &amp; "%USERPROFILE%\Documents\GitHub\mrs-test-scripts\Headless Mode &amp; Sideloading\WalkAndUnGZ.bat" "%USERPROFILE%\AppData\Local\Temp\OnboardLogs"\RTDC4028\2016-11-16 &amp; aws s3 cp s3://rtdc.mdm.uploadarchive.raw/RTDC4028/ "%USERPROFILE%\AppData\Local\Temp\OnboardLogs"\RTDC4028\2016-11-17 --exclude "*" --recursive --include "*20161117*" &amp; "%USERPROFILE%\Documents\GitHub\mrs-test-scripts\Headless Mode &amp; Sideloading\WalkAndUnGZ.bat" "%USERPROFILE%\AppData\Local\Temp\OnboardLogs"\RTDC4028\2016-11-17</v>
      </c>
      <c r="S28" s="103" t="str">
        <f>VLOOKUP(C28,'Train Runs'!$A$13:$AE$9994,22,0)</f>
        <v>https://search-rtdc-monitor-bjffxe2xuh6vdkpspy63sjmuny.us-east-1.es.amazonaws.com/_plugin/kibana/#/discover/Steve-Slow-Train-Analysis-(2080s-and-2083s)?_g=(refreshInterval:(display:Off,section:0,value:0),time:(from:'2016-11-16 09:27:30-700',mode:absolute,to:'2016-11-16 11:37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28" s="105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/stypes="*4028*201611161*" /stext=" 17:.+((SYSTEM_STATE.+slice.+state.+changed )|(ment ac)|(system.+state.+changed )|(\[timeout)|(PRM\|1\|D)|(kpr)|(kdp)|(\|lc)|(penalty))" /e /r /s</v>
      </c>
      <c r="U28" s="9" t="str">
        <f>MID(B28,13,4)</f>
        <v>4028</v>
      </c>
      <c r="V28" s="36">
        <f>A28-utc_offset/24</f>
        <v>42690.734282407408</v>
      </c>
      <c r="W28" s="50" t="str">
        <f>IF(VALUE(LEFT(IF(LEN(C28)=6,"0"&amp;C28,C28),2))&lt;=2,"EC",IF(OR(VALUE(LEFT(IF(LEN(C28)=6,"0"&amp;C28,C28),2))=8,VALUE(LEFT(IF(LEN(C28)=6,"0"&amp;C28,C28),2))=18),"NW","Other"))</f>
        <v>Other</v>
      </c>
      <c r="X28" s="50" t="str">
        <f>IF(AND(E28="TRACK WARRANT AUTHORITY",G28&lt;10),"OMIT","KEEP")</f>
        <v>KEEP</v>
      </c>
      <c r="Y28" s="11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{"issue":{"subject":"","project_id":79,"tracker_id":40,"status_id":1,"priority_id":2,"assigned_to_id":23,"start_date":"2016-11-16","description":"","custom_fields":[{"id":1,"name":"Subdivision","value":"Other"},{"id":4,"name":"Milepost","value":"0.0001"},{"id":17,"name":"Train ID","value":"50-16"},{"id":16,"name":"Locomotive ID","value":"4028"},{"id":130,"name":"Impact","value":""},{"id":150,"name":"Time of Event (Mountain Time)","value":"10:37:22"},{"id":151,"name":"Denver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"%USERPROFILE%\AppData\Local\Temp\OnboardLogs"\RTDC4028\*4028*201611161*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"%USERPROFILE%\AppData\Local\Temp\OnboardLogs"\RTDC4028\*4028*201611161* &gt;&gt; 42690-slicedisagreementcheck.txt</v>
      </c>
    </row>
    <row r="29" spans="1:30" x14ac:dyDescent="0.25">
      <c r="A29" s="36">
        <v>42690.454386574071</v>
      </c>
      <c r="B29" s="31" t="s">
        <v>346</v>
      </c>
      <c r="C29" s="31" t="s">
        <v>419</v>
      </c>
      <c r="D29" s="31" t="s">
        <v>49</v>
      </c>
      <c r="E29" s="31" t="s">
        <v>208</v>
      </c>
      <c r="F29" s="47">
        <v>0</v>
      </c>
      <c r="G29" s="47">
        <v>91</v>
      </c>
      <c r="H29" s="47">
        <v>902</v>
      </c>
      <c r="I29" s="47">
        <v>797</v>
      </c>
      <c r="J29" s="31" t="s">
        <v>209</v>
      </c>
      <c r="K29" s="47">
        <v>575</v>
      </c>
      <c r="L29" s="154" t="s">
        <v>51</v>
      </c>
      <c r="M29" s="155">
        <f>CONVERT((I29-K29)/10000,"mi","ft")*IF(L29="Increasing Mileposts (1)",-1,1)</f>
        <v>117.21599999999999</v>
      </c>
      <c r="N29" s="156" t="str">
        <f>VLOOKUP(C29,'Trips&amp;Operators'!$C$1:$E$99999,3,FALSE)</f>
        <v>DAVIDSON</v>
      </c>
      <c r="O29" s="183" t="s">
        <v>203</v>
      </c>
      <c r="P29" s="157"/>
      <c r="Q29" s="31"/>
      <c r="R29" s="100" t="str">
        <f>VLOOKUP(C29,'Train Runs'!$A$13:$AE$9994,31,0)</f>
        <v>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 &amp; aws s3 cp s3://rtdc.mdm.uploadarchive.raw/RTDC4026/ "%USERPROFILE%\AppData\Local\Temp\OnboardLogs"\RTDC4026\2016-11-17 --exclude "*" --recursive --include "*20161117*" &amp; "%USERPROFILE%\Documents\GitHub\mrs-test-scripts\Headless Mode &amp; Sideloading\WalkAndUnGZ.bat" "%USERPROFILE%\AppData\Local\Temp\OnboardLogs"\RTDC4026\2016-11-17</v>
      </c>
      <c r="S29" s="103" t="str">
        <f>VLOOKUP(C29,'Train Runs'!$A$13:$AE$9994,22,0)</f>
        <v>https://search-rtdc-monitor-bjffxe2xuh6vdkpspy63sjmuny.us-east-1.es.amazonaws.com/_plugin/kibana/#/discover/Steve-Slow-Train-Analysis-(2080s-and-2083s)?_g=(refreshInterval:(display:Off,section:0,value:0),time:(from:'2016-11-16 09:37:07-700',mode:absolute,to:'2016-11-16 11:55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9" s="105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/stypes="*4026*201611161*" /stext=" 17:.+((SYSTEM_STATE.+slice.+state.+changed )|(ment ac)|(system.+state.+changed )|(\[timeout)|(PRM\|1\|D)|(kpr)|(kdp)|(\|lc)|(penalty))" /e /r /s</v>
      </c>
      <c r="U29" s="9" t="str">
        <f>MID(B29,13,4)</f>
        <v>4026</v>
      </c>
      <c r="V29" s="36">
        <f>A29-utc_offset/24</f>
        <v>42690.746053240735</v>
      </c>
      <c r="W29" s="50" t="str">
        <f>IF(VALUE(LEFT(IF(LEN(C29)=6,"0"&amp;C29,C29),2))&lt;=2,"EC",IF(OR(VALUE(LEFT(IF(LEN(C29)=6,"0"&amp;C29,C29),2))=8,VALUE(LEFT(IF(LEN(C29)=6,"0"&amp;C29,C29),2))=18),"NW","Other"))</f>
        <v>NW</v>
      </c>
      <c r="X29" s="50" t="str">
        <f>IF(AND(E29="TRACK WARRANT AUTHORITY",G29&lt;10),"OMIT","KEEP")</f>
        <v>KEEP</v>
      </c>
      <c r="Y29" s="11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{"issue":{"subject":"","project_id":79,"tracker_id":40,"status_id":1,"priority_id":2,"assigned_to_id":23,"start_date":"2016-11-16","description":"","custom_fields":[{"id":1,"name":"Subdivision","value":"NW"},{"id":4,"name":"Milepost","value":"0.0575"},{"id":17,"name":"Train ID","value":"816-16"},{"id":16,"name":"Locomotive ID","value":"4026"},{"id":130,"name":"Impact","value":""},{"id":150,"name":"Time of Event (Mountain Time)","value":"10:54:19"},{"id":151,"name":"Denver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"%USERPROFILE%\AppData\Local\Temp\OnboardLogs"\RTDC4026\*4026*201611161*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"%USERPROFILE%\AppData\Local\Temp\OnboardLogs"\RTDC4026\*4026*201611161* &gt;&gt; 42690-slicedisagreementcheck.txt</v>
      </c>
    </row>
    <row r="30" spans="1:30" ht="15" customHeight="1" x14ac:dyDescent="0.25">
      <c r="A30" s="36">
        <v>42690.462256944447</v>
      </c>
      <c r="B30" s="31" t="s">
        <v>188</v>
      </c>
      <c r="C30" s="31" t="s">
        <v>420</v>
      </c>
      <c r="D30" s="31" t="s">
        <v>49</v>
      </c>
      <c r="E30" s="31" t="s">
        <v>208</v>
      </c>
      <c r="F30" s="47">
        <v>0</v>
      </c>
      <c r="G30" s="47">
        <v>76</v>
      </c>
      <c r="H30" s="47">
        <v>233213</v>
      </c>
      <c r="I30" s="47">
        <v>233276</v>
      </c>
      <c r="J30" s="31" t="s">
        <v>209</v>
      </c>
      <c r="K30" s="47">
        <v>233491</v>
      </c>
      <c r="L30" s="154" t="s">
        <v>50</v>
      </c>
      <c r="M30" s="155">
        <f>CONVERT((I30-K30)/10000,"mi","ft")*IF(L30="Increasing Mileposts (1)",-1,1)</f>
        <v>113.52</v>
      </c>
      <c r="N30" s="156" t="str">
        <f>VLOOKUP(C30,'Trips&amp;Operators'!$C$1:$E$99999,3,FALSE)</f>
        <v>STARKS</v>
      </c>
      <c r="O30" s="183" t="s">
        <v>203</v>
      </c>
      <c r="P30" s="157"/>
      <c r="Q30" s="31"/>
      <c r="R30" s="100" t="str">
        <f>VLOOKUP(C30,'Train Runs'!$A$13:$AE$9994,31,0)</f>
        <v>aws s3 cp s3://rtdc.mdm.uploadarchive.raw/RTDC4044/ "%USERPROFILE%\AppData\Local\Temp\OnboardLogs"\RTDC4044\2016-11-16 --exclude "*" --recursive --include "*20161116*" &amp; "%USERPROFILE%\Documents\GitHub\mrs-test-scripts\Headless Mode &amp; Sideloading\WalkAndUnGZ.bat" "%USERPROFILE%\AppData\Local\Temp\OnboardLogs"\RTDC4044\2016-11-16 &amp; aws s3 cp s3://rtdc.mdm.uploadarchive.raw/RTDC4044/ "%USERPROFILE%\AppData\Local\Temp\OnboardLogs"\RTDC4044\2016-11-17 --exclude "*" --recursive --include "*20161117*" &amp; "%USERPROFILE%\Documents\GitHub\mrs-test-scripts\Headless Mode &amp; Sideloading\WalkAndUnGZ.bat" "%USERPROFILE%\AppData\Local\Temp\OnboardLogs"\RTDC4044\2016-11-17</v>
      </c>
      <c r="S30" s="103" t="str">
        <f>VLOOKUP(C30,'Train Runs'!$A$13:$AE$9994,22,0)</f>
        <v>https://search-rtdc-monitor-bjffxe2xuh6vdkpspy63sjmuny.us-east-1.es.amazonaws.com/_plugin/kibana/#/discover/Steve-Slow-Train-Analysis-(2080s-and-2083s)?_g=(refreshInterval:(display:Off,section:0,value:0),time:(from:'2016-11-16 09:21:06-700',mode:absolute,to:'2016-11-16 12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0" s="105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/stypes="*4044*201611161*" /stext=" 18:.+((SYSTEM_STATE.+slice.+state.+changed )|(ment ac)|(system.+state.+changed )|(\[timeout)|(PRM\|1\|D)|(kpr)|(kdp)|(\|lc)|(penalty))" /e /r /s</v>
      </c>
      <c r="U30" s="9" t="str">
        <f>MID(B30,13,4)</f>
        <v>4044</v>
      </c>
      <c r="V30" s="36">
        <f>A30-utc_offset/24</f>
        <v>42690.753923611112</v>
      </c>
      <c r="W30" s="50" t="str">
        <f>IF(VALUE(LEFT(IF(LEN(C30)=6,"0"&amp;C30,C30),2))&lt;=2,"EC",IF(OR(VALUE(LEFT(IF(LEN(C30)=6,"0"&amp;C30,C30),2))=8,VALUE(LEFT(IF(LEN(C30)=6,"0"&amp;C30,C30),2))=18),"NW","Other"))</f>
        <v>EC</v>
      </c>
      <c r="X30" s="50" t="str">
        <f>IF(AND(E30="TRACK WARRANT AUTHORITY",G30&lt;10),"OMIT","KEEP")</f>
        <v>KEEP</v>
      </c>
      <c r="Y30" s="11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{"issue":{"subject":"","project_id":79,"tracker_id":40,"status_id":1,"priority_id":2,"assigned_to_id":23,"start_date":"2016-11-16","description":"","custom_fields":[{"id":1,"name":"Subdivision","value":"EC"},{"id":4,"name":"Milepost","value":"23.3491"},{"id":17,"name":"Train ID","value":"155-16"},{"id":16,"name":"Locomotive ID","value":"4044"},{"id":130,"name":"Impact","value":""},{"id":150,"name":"Time of Event (Mountain Time)","value":"11:05:39"},{"id":151,"name":"Denver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"%USERPROFILE%\AppData\Local\Temp\OnboardLogs"\RTDC4044\*4044*201611161*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"%USERPROFILE%\AppData\Local\Temp\OnboardLogs"\RTDC4044\*4044*201611161* &gt;&gt; 42690-slicedisagreementcheck.txt</v>
      </c>
    </row>
    <row r="31" spans="1:30" x14ac:dyDescent="0.25">
      <c r="A31" s="36">
        <v>42690.475659722222</v>
      </c>
      <c r="B31" s="31" t="s">
        <v>186</v>
      </c>
      <c r="C31" s="31" t="s">
        <v>421</v>
      </c>
      <c r="D31" s="31" t="s">
        <v>98</v>
      </c>
      <c r="E31" s="31" t="s">
        <v>422</v>
      </c>
      <c r="F31" s="47">
        <v>150</v>
      </c>
      <c r="G31" s="47">
        <v>200</v>
      </c>
      <c r="H31" s="47">
        <v>33601</v>
      </c>
      <c r="I31" s="47">
        <v>33947</v>
      </c>
      <c r="J31" s="31" t="s">
        <v>153</v>
      </c>
      <c r="K31" s="47">
        <v>33099</v>
      </c>
      <c r="L31" s="154" t="s">
        <v>50</v>
      </c>
      <c r="M31" s="155">
        <f>CONVERT((I31-K31)/10000,"mi","ft")*IF(L31="Increasing Mileposts (1)",-1,1)</f>
        <v>-447.74400000000003</v>
      </c>
      <c r="N31" s="156" t="str">
        <f>VLOOKUP(C31,'Trips&amp;Operators'!$C$1:$E$99999,3,FALSE)</f>
        <v>BARTLETT</v>
      </c>
      <c r="O31" s="183" t="s">
        <v>203</v>
      </c>
      <c r="P31" s="157"/>
      <c r="Q31" s="31"/>
      <c r="R31" s="100" t="str">
        <f>VLOOKUP(C31,'Train Runs'!$A$13:$AE$9994,31,0)</f>
        <v>aws s3 cp s3://rtdc.mdm.uploadarchive.raw/RTDC4009/ "%USERPROFILE%\AppData\Local\Temp\OnboardLogs"\RTDC4009\2016-11-16 --exclude "*" --recursive --include "*20161116*" &amp; "%USERPROFILE%\Documents\GitHub\mrs-test-scripts\Headless Mode &amp; Sideloading\WalkAndUnGZ.bat" "%USERPROFILE%\AppData\Local\Temp\OnboardLogs"\RTDC4009\2016-11-16 &amp; aws s3 cp s3://rtdc.mdm.uploadarchive.raw/RTDC4009/ "%USERPROFILE%\AppData\Local\Temp\OnboardLogs"\RTDC4009\2016-11-17 --exclude "*" --recursive --include "*20161117*" &amp; "%USERPROFILE%\Documents\GitHub\mrs-test-scripts\Headless Mode &amp; Sideloading\WalkAndUnGZ.bat" "%USERPROFILE%\AppData\Local\Temp\OnboardLogs"\RTDC4009\2016-11-17</v>
      </c>
      <c r="S31" s="103" t="str">
        <f>VLOOKUP(C31,'Train Runs'!$A$13:$AE$9994,22,0)</f>
        <v>https://search-rtdc-monitor-bjffxe2xuh6vdkpspy63sjmuny.us-east-1.es.amazonaws.com/_plugin/kibana/#/discover/Steve-Slow-Train-Analysis-(2080s-and-2083s)?_g=(refreshInterval:(display:Off,section:0,value:0),time:(from:'2016-11-16 10:07:53-700',mode:absolute,to:'2016-11-16 12:53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1" s="105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/stypes="*4009*201611161*" /stext=" 18:.+((SYSTEM_STATE.+slice.+state.+changed )|(ment ac)|(system.+state.+changed )|(\[timeout)|(PRM\|1\|D)|(kpr)|(kdp)|(\|lc)|(penalty))" /e /r /s</v>
      </c>
      <c r="U31" s="9" t="str">
        <f>MID(B31,13,4)</f>
        <v>4009</v>
      </c>
      <c r="V31" s="36">
        <f>A31-utc_offset/24</f>
        <v>42690.767326388886</v>
      </c>
      <c r="W31" s="50" t="str">
        <f>IF(VALUE(LEFT(IF(LEN(C31)=6,"0"&amp;C31,C31),2))&lt;=2,"EC",IF(OR(VALUE(LEFT(IF(LEN(C31)=6,"0"&amp;C31,C31),2))=8,VALUE(LEFT(IF(LEN(C31)=6,"0"&amp;C31,C31),2))=18),"NW","Other"))</f>
        <v>EC</v>
      </c>
      <c r="X31" s="50" t="str">
        <f>IF(AND(E31="TRACK WARRANT AUTHORITY",G31&lt;10),"OMIT","KEEP")</f>
        <v>KEEP</v>
      </c>
      <c r="Y31" s="11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{"issue":{"subject":"","project_id":79,"tracker_id":40,"status_id":1,"priority_id":2,"assigned_to_id":23,"start_date":"2016-11-16","description":"","custom_fields":[{"id":1,"name":"Subdivision","value":"EC"},{"id":4,"name":"Milepost","value":"3.3099"},{"id":17,"name":"Train ID","value":"161-16"},{"id":16,"name":"Locomotive ID","value":"4009"},{"id":130,"name":"Impact","value":""},{"id":150,"name":"Time of Event (Mountain Time)","value":"11:24:57"},{"id":151,"name":"Denver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>"grep -hSE -A100 ""Enforcement Action"" "&amp;search_path&amp;"\RTDC"&amp;U31&amp;"\*"&amp;U31&amp;"*"&amp;TEXT(A31-utc_offset/24,"YYYYMMDD")&amp;LEFT(TEXT(A31-utc_offset/24,"HH"),1)&amp;"* | grep -SE ""((Enforcement Ac)|(PRM))"" -"</f>
        <v>grep -hSE -A100 "Enforcement Action" "%USERPROFILE%\AppData\Local\Temp\OnboardLogs"\RTDC4009\*4009*201611161*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"%USERPROFILE%\AppData\Local\Temp\OnboardLogs"\RTDC4009\*4009*201611161* &gt;&gt; 42690-slicedisagreementcheck.txt</v>
      </c>
    </row>
    <row r="32" spans="1:30" ht="15" customHeight="1" x14ac:dyDescent="0.25">
      <c r="A32" s="36">
        <v>42690.490034722221</v>
      </c>
      <c r="B32" s="31" t="s">
        <v>243</v>
      </c>
      <c r="C32" s="31" t="s">
        <v>423</v>
      </c>
      <c r="D32" s="31" t="s">
        <v>98</v>
      </c>
      <c r="E32" s="31" t="s">
        <v>154</v>
      </c>
      <c r="F32" s="47">
        <v>190</v>
      </c>
      <c r="G32" s="47">
        <v>244</v>
      </c>
      <c r="H32" s="47">
        <v>27074</v>
      </c>
      <c r="I32" s="47">
        <v>26493</v>
      </c>
      <c r="J32" s="31" t="s">
        <v>153</v>
      </c>
      <c r="K32" s="47">
        <v>27350</v>
      </c>
      <c r="L32" s="154" t="s">
        <v>51</v>
      </c>
      <c r="M32" s="155">
        <f>CONVERT((I32-K32)/10000,"mi","ft")*IF(L32="Increasing Mileposts (1)",-1,1)</f>
        <v>-452.49599999999998</v>
      </c>
      <c r="N32" s="156" t="str">
        <f>VLOOKUP(C32,'Trips&amp;Operators'!$C$1:$E$99999,3,FALSE)</f>
        <v>SPECTOR</v>
      </c>
      <c r="O32" s="183" t="s">
        <v>203</v>
      </c>
      <c r="P32" s="157" t="s">
        <v>395</v>
      </c>
      <c r="Q32" s="31"/>
      <c r="R32" s="100" t="str">
        <f>VLOOKUP(C32,'Train Runs'!$A$13:$AE$9994,31,0)</f>
        <v>aws s3 cp s3://rtdc.mdm.uploadarchive.raw/RTDC4015/ "%USERPROFILE%\AppData\Local\Temp\OnboardLogs"\RTDC4015\2016-11-16 --exclude "*" --recursive --include "*20161116*" &amp; "%USERPROFILE%\Documents\GitHub\mrs-test-scripts\Headless Mode &amp; Sideloading\WalkAndUnGZ.bat" "%USERPROFILE%\AppData\Local\Temp\OnboardLogs"\RTDC4015\2016-11-16 &amp; aws s3 cp s3://rtdc.mdm.uploadarchive.raw/RTDC4015/ "%USERPROFILE%\AppData\Local\Temp\OnboardLogs"\RTDC4015\2016-11-17 --exclude "*" --recursive --include "*20161117*" &amp; "%USERPROFILE%\Documents\GitHub\mrs-test-scripts\Headless Mode &amp; Sideloading\WalkAndUnGZ.bat" "%USERPROFILE%\AppData\Local\Temp\OnboardLogs"\RTDC4015\2016-11-17</v>
      </c>
      <c r="S32" s="103" t="str">
        <f>VLOOKUP(C32,'Train Runs'!$A$13:$AE$9994,22,0)</f>
        <v>https://search-rtdc-monitor-bjffxe2xuh6vdkpspy63sjmuny.us-east-1.es.amazonaws.com/_plugin/kibana/#/discover/Steve-Slow-Train-Analysis-(2080s-and-2083s)?_g=(refreshInterval:(display:Off,section:0,value:0),time:(from:'2016-11-16 10:04:47-700',mode:absolute,to:'2016-11-16 12:53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2" s="105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/stypes="*4015*201611161*" /stext=" 18:.+((SYSTEM_STATE.+slice.+state.+changed )|(ment ac)|(system.+state.+changed )|(\[timeout)|(PRM\|1\|D)|(kpr)|(kdp)|(\|lc)|(penalty))" /e /r /s</v>
      </c>
      <c r="U32" s="9" t="str">
        <f>MID(B32,13,4)</f>
        <v>4015</v>
      </c>
      <c r="V32" s="36">
        <f>A32-utc_offset/24</f>
        <v>42690.781701388885</v>
      </c>
      <c r="W32" s="50" t="str">
        <f>IF(VALUE(LEFT(IF(LEN(C32)=6,"0"&amp;C32,C32),2))&lt;=2,"EC",IF(OR(VALUE(LEFT(IF(LEN(C32)=6,"0"&amp;C32,C32),2))=8,VALUE(LEFT(IF(LEN(C32)=6,"0"&amp;C32,C32),2))=18),"NW","Other"))</f>
        <v>EC</v>
      </c>
      <c r="X32" s="50" t="str">
        <f>IF(AND(E32="TRACK WARRANT AUTHORITY",G32&lt;10),"OMIT","KEEP")</f>
        <v>KEEP</v>
      </c>
      <c r="Y32" s="11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arrival","project_id":79,"tracker_id":40,"status_id":1,"priority_id":2,"assigned_to_id":23,"start_date":"2016-11-16","description":"","custom_fields":[{"id":1,"name":"Subdivision","value":"EC"},{"id":4,"name":"Milepost","value":"2.735"},{"id":17,"name":"Train ID","value":"154-16"},{"id":16,"name":"Locomotive ID","value":"4015"},{"id":130,"name":"Impact","value":""},{"id":150,"name":"Time of Event (Mountain Time)","value":"11:45:39"},{"id":151,"name":"Denver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>"grep -hSE -A100 ""Enforcement Action"" "&amp;search_path&amp;"\RTDC"&amp;U32&amp;"\*"&amp;U32&amp;"*"&amp;TEXT(A32-utc_offset/24,"YYYYMMDD")&amp;LEFT(TEXT(A32-utc_offset/24,"HH"),1)&amp;"* | grep -SE ""((Enforcement Ac)|(PRM))"" -"</f>
        <v>grep -hSE -A100 "Enforcement Action" "%USERPROFILE%\AppData\Local\Temp\OnboardLogs"\RTDC4015\*4015*201611161*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"%USERPROFILE%\AppData\Local\Temp\OnboardLogs"\RTDC4015\*4015*201611161* &gt;&gt; 42690-slicedisagreementcheck.txt</v>
      </c>
    </row>
    <row r="33" spans="1:30" x14ac:dyDescent="0.25">
      <c r="A33" s="36">
        <v>42690.501087962963</v>
      </c>
      <c r="B33" s="31" t="s">
        <v>424</v>
      </c>
      <c r="C33" s="31" t="s">
        <v>425</v>
      </c>
      <c r="D33" s="31" t="s">
        <v>98</v>
      </c>
      <c r="E33" s="31" t="s">
        <v>204</v>
      </c>
      <c r="F33" s="47">
        <v>150</v>
      </c>
      <c r="G33" s="47">
        <v>201</v>
      </c>
      <c r="H33" s="47">
        <v>4296</v>
      </c>
      <c r="I33" s="47">
        <v>4664</v>
      </c>
      <c r="J33" s="31" t="s">
        <v>205</v>
      </c>
      <c r="K33" s="47">
        <v>0</v>
      </c>
      <c r="L33" s="154" t="s">
        <v>50</v>
      </c>
      <c r="M33" s="155">
        <f>CONVERT((I33-K33)/10000,"mi","ft")*IF(L33="Increasing Mileposts (1)",-1,1)</f>
        <v>-2462.5920000000001</v>
      </c>
      <c r="N33" s="156" t="str">
        <f>VLOOKUP(C33,'Trips&amp;Operators'!$C$1:$E$99999,3,FALSE)</f>
        <v>STRICKLAND</v>
      </c>
      <c r="O33" s="183" t="s">
        <v>203</v>
      </c>
      <c r="P33" s="157"/>
      <c r="Q33" s="31"/>
      <c r="R33" s="100" t="str">
        <f>VLOOKUP(C33,'Train Runs'!$A$13:$AE$9994,31,0)</f>
        <v>aws s3 cp s3://rtdc.mdm.uploadarchive.raw/RTDC4027/ "%USERPROFILE%\AppData\Local\Temp\OnboardLogs"\RTDC4027\2016-11-16 --exclude "*" --recursive --include "*20161116*" &amp; "%USERPROFILE%\Documents\GitHub\mrs-test-scripts\Headless Mode &amp; Sideloading\WalkAndUnGZ.bat" "%USERPROFILE%\AppData\Local\Temp\OnboardLogs"\RTDC4027\2016-11-16 &amp; aws s3 cp s3://rtdc.mdm.uploadarchive.raw/RTDC4027/ "%USERPROFILE%\AppData\Local\Temp\OnboardLogs"\RTDC4027\2016-11-17 --exclude "*" --recursive --include "*20161117*" &amp; "%USERPROFILE%\Documents\GitHub\mrs-test-scripts\Headless Mode &amp; Sideloading\WalkAndUnGZ.bat" "%USERPROFILE%\AppData\Local\Temp\OnboardLogs"\RTDC4027\2016-11-17</v>
      </c>
      <c r="S33" s="103" t="str">
        <f>VLOOKUP(C33,'Train Runs'!$A$13:$AE$9994,22,0)</f>
        <v>https://search-rtdc-monitor-bjffxe2xuh6vdkpspy63sjmuny.us-east-1.es.amazonaws.com/_plugin/kibana/#/discover/Steve-Slow-Train-Analysis-(2080s-and-2083s)?_g=(refreshInterval:(display:Off,section:0,value:0),time:(from:'2016-11-16 10:44:55-700',mode:absolute,to:'2016-11-16 13:08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33" s="105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/stypes="*4027*201611161*" /stext=" 19:.+((SYSTEM_STATE.+slice.+state.+changed )|(ment ac)|(system.+state.+changed )|(\[timeout)|(PRM\|1\|D)|(kpr)|(kdp)|(\|lc)|(penalty))" /e /r /s</v>
      </c>
      <c r="U33" s="9" t="str">
        <f>MID(B33,13,4)</f>
        <v>4027</v>
      </c>
      <c r="V33" s="36">
        <f>A33-utc_offset/24</f>
        <v>42690.792754629627</v>
      </c>
      <c r="W33" s="50" t="str">
        <f>IF(VALUE(LEFT(IF(LEN(C33)=6,"0"&amp;C33,C33),2))&lt;=2,"EC",IF(OR(VALUE(LEFT(IF(LEN(C33)=6,"0"&amp;C33,C33),2))=8,VALUE(LEFT(IF(LEN(C33)=6,"0"&amp;C33,C33),2))=18),"NW","Other"))</f>
        <v>Other</v>
      </c>
      <c r="X33" s="50" t="str">
        <f>IF(AND(E33="TRACK WARRANT AUTHORITY",G33&lt;10),"OMIT","KEEP")</f>
        <v>KEEP</v>
      </c>
      <c r="Y33" s="11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{"issue":{"subject":"","project_id":79,"tracker_id":40,"status_id":1,"priority_id":2,"assigned_to_id":23,"start_date":"2016-11-16","description":"","custom_fields":[{"id":1,"name":"Subdivision","value":"Other"},{"id":4,"name":"Milepost","value":"0"},{"id":17,"name":"Train ID","value":"53-16"},{"id":16,"name":"Locomotive ID","value":"4027"},{"id":130,"name":"Impact","value":""},{"id":150,"name":"Time of Event (Mountain Time)","value":"12:01:34"},{"id":151,"name":"Denver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>"grep -hSE -A100 ""Enforcement Action"" "&amp;search_path&amp;"\RTDC"&amp;U33&amp;"\*"&amp;U33&amp;"*"&amp;TEXT(A33-utc_offset/24,"YYYYMMDD")&amp;LEFT(TEXT(A33-utc_offset/24,"HH"),1)&amp;"* | grep -SE ""((Enforcement Ac)|(PRM))"" -"</f>
        <v>grep -hSE -A100 "Enforcement Action" "%USERPROFILE%\AppData\Local\Temp\OnboardLogs"\RTDC4027\*4027*201611161*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"%USERPROFILE%\AppData\Local\Temp\OnboardLogs"\RTDC4027\*4027*201611161* &gt;&gt; 42690-slicedisagreementcheck.txt</v>
      </c>
    </row>
    <row r="34" spans="1:30" x14ac:dyDescent="0.25">
      <c r="A34" s="36">
        <v>42690.533032407409</v>
      </c>
      <c r="B34" s="31" t="s">
        <v>346</v>
      </c>
      <c r="C34" s="31" t="s">
        <v>426</v>
      </c>
      <c r="D34" s="31" t="s">
        <v>49</v>
      </c>
      <c r="E34" s="31" t="s">
        <v>206</v>
      </c>
      <c r="F34" s="47">
        <v>0</v>
      </c>
      <c r="G34" s="47">
        <v>572</v>
      </c>
      <c r="H34" s="47">
        <v>31491</v>
      </c>
      <c r="I34" s="47">
        <v>28860</v>
      </c>
      <c r="J34" s="31" t="s">
        <v>207</v>
      </c>
      <c r="K34" s="47">
        <v>27253</v>
      </c>
      <c r="L34" s="154" t="s">
        <v>51</v>
      </c>
      <c r="M34" s="155">
        <f>CONVERT((I34-K34)/10000,"mi","ft")*IF(L34="Increasing Mileposts (1)",-1,1)</f>
        <v>848.49599999999998</v>
      </c>
      <c r="N34" s="156" t="str">
        <f>VLOOKUP(C34,'Trips&amp;Operators'!$C$1:$E$99999,3,FALSE)</f>
        <v>DAVIDSON</v>
      </c>
      <c r="O34" s="183" t="s">
        <v>203</v>
      </c>
      <c r="P34" s="157" t="s">
        <v>818</v>
      </c>
      <c r="Q34" s="31"/>
      <c r="R34" s="100" t="str">
        <f>VLOOKUP(C34,'Train Runs'!$A$13:$AE$9994,31,0)</f>
        <v>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 &amp; aws s3 cp s3://rtdc.mdm.uploadarchive.raw/RTDC4026/ "%USERPROFILE%\AppData\Local\Temp\OnboardLogs"\RTDC4026\2016-11-17 --exclude "*" --recursive --include "*20161117*" &amp; "%USERPROFILE%\Documents\GitHub\mrs-test-scripts\Headless Mode &amp; Sideloading\WalkAndUnGZ.bat" "%USERPROFILE%\AppData\Local\Temp\OnboardLogs"\RTDC4026\2016-11-17</v>
      </c>
      <c r="S34" s="103" t="str">
        <f>VLOOKUP(C34,'Train Runs'!$A$13:$AE$9994,22,0)</f>
        <v>https://search-rtdc-monitor-bjffxe2xuh6vdkpspy63sjmuny.us-east-1.es.amazonaws.com/_plugin/kibana/#/discover/Steve-Slow-Train-Analysis-(2080s-and-2083s)?_g=(refreshInterval:(display:Off,section:0,value:0),time:(from:'2016-11-16 11:36:39-700',mode:absolute,to:'2016-11-16 13:55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4" s="105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/stypes="*4026*201611161*" /stext=" 19:.+((SYSTEM_STATE.+slice.+state.+changed )|(ment ac)|(system.+state.+changed )|(\[timeout)|(PRM\|1\|D)|(kpr)|(kdp)|(\|lc)|(penalty))" /e /r /s</v>
      </c>
      <c r="U34" s="9" t="str">
        <f>MID(B34,13,4)</f>
        <v>4026</v>
      </c>
      <c r="V34" s="36">
        <f>A34-utc_offset/24</f>
        <v>42690.824699074074</v>
      </c>
      <c r="W34" s="50" t="str">
        <f>IF(VALUE(LEFT(IF(LEN(C34)=6,"0"&amp;C34,C34),2))&lt;=2,"EC",IF(OR(VALUE(LEFT(IF(LEN(C34)=6,"0"&amp;C34,C34),2))=8,VALUE(LEFT(IF(LEN(C34)=6,"0"&amp;C34,C34),2))=18),"NW","Other"))</f>
        <v>NW</v>
      </c>
      <c r="X34" s="50" t="str">
        <f>IF(AND(E34="TRACK WARRANT AUTHORITY",G34&lt;10),"OMIT","KEEP")</f>
        <v>KEEP</v>
      </c>
      <c r="Y34" s="11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{"issue":{"subject":"Restricting aspects","project_id":79,"tracker_id":40,"status_id":1,"priority_id":2,"assigned_to_id":23,"start_date":"2016-11-16","description":"","custom_fields":[{"id":1,"name":"Subdivision","value":"NW"},{"id":4,"name":"Milepost","value":"2.7253"},{"id":17,"name":"Train ID","value":"820-16"},{"id":16,"name":"Locomotive ID","value":"4026"},{"id":130,"name":"Impact","value":""},{"id":150,"name":"Time of Event (Mountain Time)","value":"12:47:34"},{"id":151,"name":"Denver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>"grep -hSE -A100 ""Enforcement Action"" "&amp;search_path&amp;"\RTDC"&amp;U34&amp;"\*"&amp;U34&amp;"*"&amp;TEXT(A34-utc_offset/24,"YYYYMMDD")&amp;LEFT(TEXT(A34-utc_offset/24,"HH"),1)&amp;"* | grep -SE ""((Enforcement Ac)|(PRM))"" -"</f>
        <v>grep -hSE -A100 "Enforcement Action" "%USERPROFILE%\AppData\Local\Temp\OnboardLogs"\RTDC4026\*4026*201611161*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"%USERPROFILE%\AppData\Local\Temp\OnboardLogs"\RTDC4026\*4026*201611161* &gt;&gt; 42690-slicedisagreementcheck.txt</v>
      </c>
    </row>
    <row r="35" spans="1:30" x14ac:dyDescent="0.25">
      <c r="A35" s="36">
        <v>42690.575208333335</v>
      </c>
      <c r="B35" s="31" t="s">
        <v>346</v>
      </c>
      <c r="C35" s="31" t="s">
        <v>427</v>
      </c>
      <c r="D35" s="31" t="s">
        <v>49</v>
      </c>
      <c r="E35" s="31" t="s">
        <v>206</v>
      </c>
      <c r="F35" s="47">
        <v>0</v>
      </c>
      <c r="G35" s="47">
        <v>530</v>
      </c>
      <c r="H35" s="47">
        <v>30934</v>
      </c>
      <c r="I35" s="47">
        <v>29005</v>
      </c>
      <c r="J35" s="31" t="s">
        <v>207</v>
      </c>
      <c r="K35" s="47">
        <v>27253</v>
      </c>
      <c r="L35" s="154" t="s">
        <v>51</v>
      </c>
      <c r="M35" s="155">
        <f>CONVERT((I35-K35)/10000,"mi","ft")*IF(L35="Increasing Mileposts (1)",-1,1)</f>
        <v>925.05600000000004</v>
      </c>
      <c r="N35" s="156" t="str">
        <f>VLOOKUP(C35,'Trips&amp;Operators'!$C$1:$E$99999,3,FALSE)</f>
        <v>JOHNSON</v>
      </c>
      <c r="O35" s="183" t="s">
        <v>203</v>
      </c>
      <c r="P35" s="157" t="s">
        <v>818</v>
      </c>
      <c r="Q35" s="31"/>
      <c r="R35" s="100" t="str">
        <f>VLOOKUP(C35,'Train Runs'!$A$13:$AE$9994,31,0)</f>
        <v>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 &amp; aws s3 cp s3://rtdc.mdm.uploadarchive.raw/RTDC4026/ "%USERPROFILE%\AppData\Local\Temp\OnboardLogs"\RTDC4026\2016-11-17 --exclude "*" --recursive --include "*20161117*" &amp; "%USERPROFILE%\Documents\GitHub\mrs-test-scripts\Headless Mode &amp; Sideloading\WalkAndUnGZ.bat" "%USERPROFILE%\AppData\Local\Temp\OnboardLogs"\RTDC4026\2016-11-17</v>
      </c>
      <c r="S35" s="103" t="str">
        <f>VLOOKUP(C35,'Train Runs'!$A$13:$AE$9994,22,0)</f>
        <v>https://search-rtdc-monitor-bjffxe2xuh6vdkpspy63sjmuny.us-east-1.es.amazonaws.com/_plugin/kibana/#/discover/Steve-Slow-Train-Analysis-(2080s-and-2083s)?_g=(refreshInterval:(display:Off,section:0,value:0),time:(from:'2016-11-16 12:37:49-700',mode:absolute,to:'2016-11-16 14:58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5" s="105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/stypes="*4026*201611162*" /stext=" 20:.+((SYSTEM_STATE.+slice.+state.+changed )|(ment ac)|(system.+state.+changed )|(\[timeout)|(PRM\|1\|D)|(kpr)|(kdp)|(\|lc)|(penalty))" /e /r /s</v>
      </c>
      <c r="U35" s="9" t="str">
        <f>MID(B35,13,4)</f>
        <v>4026</v>
      </c>
      <c r="V35" s="36">
        <f>A35-utc_offset/24</f>
        <v>42690.866875</v>
      </c>
      <c r="W35" s="50" t="str">
        <f>IF(VALUE(LEFT(IF(LEN(C35)=6,"0"&amp;C35,C35),2))&lt;=2,"EC",IF(OR(VALUE(LEFT(IF(LEN(C35)=6,"0"&amp;C35,C35),2))=8,VALUE(LEFT(IF(LEN(C35)=6,"0"&amp;C35,C35),2))=18),"NW","Other"))</f>
        <v>NW</v>
      </c>
      <c r="X35" s="50" t="str">
        <f>IF(AND(E35="TRACK WARRANT AUTHORITY",G35&lt;10),"OMIT","KEEP")</f>
        <v>KEEP</v>
      </c>
      <c r="Y35" s="11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{"issue":{"subject":"Restricting aspects","project_id":79,"tracker_id":40,"status_id":1,"priority_id":2,"assigned_to_id":23,"start_date":"2016-11-16","description":"","custom_fields":[{"id":1,"name":"Subdivision","value":"NW"},{"id":4,"name":"Milepost","value":"2.7253"},{"id":17,"name":"Train ID","value":"822-16"},{"id":16,"name":"Locomotive ID","value":"4026"},{"id":130,"name":"Impact","value":""},{"id":150,"name":"Time of Event (Mountain Time)","value":"13:48:18"},{"id":151,"name":"Denver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>"grep -hSE -A100 ""Enforcement Action"" "&amp;search_path&amp;"\RTDC"&amp;U35&amp;"\*"&amp;U35&amp;"*"&amp;TEXT(A35-utc_offset/24,"YYYYMMDD")&amp;LEFT(TEXT(A35-utc_offset/24,"HH"),1)&amp;"* | grep -SE ""((Enforcement Ac)|(PRM))"" -"</f>
        <v>grep -hSE -A100 "Enforcement Action" "%USERPROFILE%\AppData\Local\Temp\OnboardLogs"\RTDC4026\*4026*201611162*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"%USERPROFILE%\AppData\Local\Temp\OnboardLogs"\RTDC4026\*4026*201611162* &gt;&gt; 42690-slicedisagreementcheck.txt</v>
      </c>
    </row>
    <row r="36" spans="1:30" x14ac:dyDescent="0.25">
      <c r="A36" s="36">
        <v>42690.627268518518</v>
      </c>
      <c r="B36" s="31" t="s">
        <v>250</v>
      </c>
      <c r="C36" s="31" t="s">
        <v>428</v>
      </c>
      <c r="D36" s="31" t="s">
        <v>49</v>
      </c>
      <c r="E36" s="31" t="s">
        <v>208</v>
      </c>
      <c r="F36" s="47">
        <v>0</v>
      </c>
      <c r="G36" s="47">
        <v>42</v>
      </c>
      <c r="H36" s="47">
        <v>147</v>
      </c>
      <c r="I36" s="47">
        <v>129</v>
      </c>
      <c r="J36" s="31" t="s">
        <v>209</v>
      </c>
      <c r="K36" s="47">
        <v>1</v>
      </c>
      <c r="L36" s="154" t="s">
        <v>51</v>
      </c>
      <c r="M36" s="155">
        <f>CONVERT((I36-K36)/10000,"mi","ft")*IF(L36="Increasing Mileposts (1)",-1,1)</f>
        <v>67.584000000000003</v>
      </c>
      <c r="N36" s="156" t="str">
        <f>VLOOKUP(C36,'Trips&amp;Operators'!$C$1:$E$99999,3,FALSE)</f>
        <v>ADANE</v>
      </c>
      <c r="O36" s="183" t="s">
        <v>203</v>
      </c>
      <c r="P36" s="157"/>
      <c r="Q36" s="31"/>
      <c r="R36" s="100" t="str">
        <f>VLOOKUP(C36,'Train Runs'!$A$13:$AE$9994,31,0)</f>
        <v>aws s3 cp s3://rtdc.mdm.uploadarchive.raw/RTDC4021/ "%USERPROFILE%\AppData\Local\Temp\OnboardLogs"\RTDC4021\2016-11-16 --exclude "*" --recursive --include "*20161116*" &amp; "%USERPROFILE%\Documents\GitHub\mrs-test-scripts\Headless Mode &amp; Sideloading\WalkAndUnGZ.bat" "%USERPROFILE%\AppData\Local\Temp\OnboardLogs"\RTDC4021\2016-11-16 &amp; aws s3 cp s3://rtdc.mdm.uploadarchive.raw/RTDC4021/ "%USERPROFILE%\AppData\Local\Temp\OnboardLogs"\RTDC4021\2016-11-17 --exclude "*" --recursive --include "*20161117*" &amp; "%USERPROFILE%\Documents\GitHub\mrs-test-scripts\Headless Mode &amp; Sideloading\WalkAndUnGZ.bat" "%USERPROFILE%\AppData\Local\Temp\OnboardLogs"\RTDC4021\2016-11-17</v>
      </c>
      <c r="S36" s="103" t="str">
        <f>VLOOKUP(C36,'Train Runs'!$A$13:$AE$9994,22,0)</f>
        <v>https://search-rtdc-monitor-bjffxe2xuh6vdkpspy63sjmuny.us-east-1.es.amazonaws.com/_plugin/kibana/#/discover/Steve-Slow-Train-Analysis-(2080s-and-2083s)?_g=(refreshInterval:(display:Off,section:0,value:0),time:(from:'2016-11-16 13:07:28-700',mode:absolute,to:'2016-11-16 16:03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6" s="105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/stypes="*4021*201611162*" /stext=" 22:.+((SYSTEM_STATE.+slice.+state.+changed )|(ment ac)|(system.+state.+changed )|(\[timeout)|(PRM\|1\|D)|(kpr)|(kdp)|(\|lc)|(penalty))" /e /r /s</v>
      </c>
      <c r="U36" s="9" t="str">
        <f>MID(B36,13,4)</f>
        <v>4021</v>
      </c>
      <c r="V36" s="36">
        <f>A36-utc_offset/24</f>
        <v>42690.918935185182</v>
      </c>
      <c r="W36" s="50" t="str">
        <f>IF(VALUE(LEFT(IF(LEN(C36)=6,"0"&amp;C36,C36),2))&lt;=2,"EC",IF(OR(VALUE(LEFT(IF(LEN(C36)=6,"0"&amp;C36,C36),2))=8,VALUE(LEFT(IF(LEN(C36)=6,"0"&amp;C36,C36),2))=18),"NW","Other"))</f>
        <v>EC</v>
      </c>
      <c r="X36" s="50" t="str">
        <f>IF(AND(E36="TRACK WARRANT AUTHORITY",G36&lt;10),"OMIT","KEEP")</f>
        <v>KEEP</v>
      </c>
      <c r="Y36" s="11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{"issue":{"subject":"","project_id":79,"tracker_id":40,"status_id":1,"priority_id":2,"assigned_to_id":23,"start_date":"2016-11-16","description":"","custom_fields":[{"id":1,"name":"Subdivision","value":"EC"},{"id":4,"name":"Milepost","value":"0.0001"},{"id":17,"name":"Train ID","value":"180-16"},{"id":16,"name":"Locomotive ID","value":"4021"},{"id":130,"name":"Impact","value":""},{"id":150,"name":"Time of Event (Mountain Time)","value":"15:03:16"},{"id":151,"name":"Denver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>"grep -hSE -A100 ""Enforcement Action"" "&amp;search_path&amp;"\RTDC"&amp;U36&amp;"\*"&amp;U36&amp;"*"&amp;TEXT(A36-utc_offset/24,"YYYYMMDD")&amp;LEFT(TEXT(A36-utc_offset/24,"HH"),1)&amp;"* | grep -SE ""((Enforcement Ac)|(PRM))"" -"</f>
        <v>grep -hSE -A100 "Enforcement Action" "%USERPROFILE%\AppData\Local\Temp\OnboardLogs"\RTDC4021\*4021*201611162*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"%USERPROFILE%\AppData\Local\Temp\OnboardLogs"\RTDC4021\*4021*201611162* &gt;&gt; 42690-slicedisagreementcheck.txt</v>
      </c>
    </row>
    <row r="37" spans="1:30" x14ac:dyDescent="0.25">
      <c r="A37" s="36">
        <v>42690.643912037034</v>
      </c>
      <c r="B37" s="31" t="s">
        <v>347</v>
      </c>
      <c r="C37" s="31" t="s">
        <v>429</v>
      </c>
      <c r="D37" s="31" t="s">
        <v>49</v>
      </c>
      <c r="E37" s="31" t="s">
        <v>204</v>
      </c>
      <c r="F37" s="47">
        <v>300</v>
      </c>
      <c r="G37" s="47">
        <v>356</v>
      </c>
      <c r="H37" s="47">
        <v>20591</v>
      </c>
      <c r="I37" s="47">
        <v>21833</v>
      </c>
      <c r="J37" s="31" t="s">
        <v>205</v>
      </c>
      <c r="K37" s="47">
        <v>21299</v>
      </c>
      <c r="L37" s="154" t="s">
        <v>50</v>
      </c>
      <c r="M37" s="155">
        <f>CONVERT((I37-K37)/10000,"mi","ft")*IF(L37="Increasing Mileposts (1)",-1,1)</f>
        <v>-281.952</v>
      </c>
      <c r="N37" s="156" t="str">
        <f>VLOOKUP(C37,'Trips&amp;Operators'!$C$1:$E$99999,3,FALSE)</f>
        <v>JOHNSON</v>
      </c>
      <c r="O37" s="183" t="s">
        <v>203</v>
      </c>
      <c r="P37" s="157"/>
      <c r="Q37" s="31"/>
      <c r="R37" s="100" t="str">
        <f>VLOOKUP(C37,'Train Runs'!$A$13:$AE$9994,31,0)</f>
        <v>aws s3 cp s3://rtdc.mdm.uploadarchive.raw/RTDC4025/ "%USERPROFILE%\AppData\Local\Temp\OnboardLogs"\RTDC4025\2016-11-16 --exclude "*" --recursive --include "*20161116*" &amp; "%USERPROFILE%\Documents\GitHub\mrs-test-scripts\Headless Mode &amp; Sideloading\WalkAndUnGZ.bat" "%USERPROFILE%\AppData\Local\Temp\OnboardLogs"\RTDC4025\2016-11-16 &amp; aws s3 cp s3://rtdc.mdm.uploadarchive.raw/RTDC4025/ "%USERPROFILE%\AppData\Local\Temp\OnboardLogs"\RTDC4025\2016-11-17 --exclude "*" --recursive --include "*20161117*" &amp; "%USERPROFILE%\Documents\GitHub\mrs-test-scripts\Headless Mode &amp; Sideloading\WalkAndUnGZ.bat" "%USERPROFILE%\AppData\Local\Temp\OnboardLogs"\RTDC4025\2016-11-17</v>
      </c>
      <c r="S37" s="103" t="str">
        <f>VLOOKUP(C37,'Train Runs'!$A$13:$AE$9994,22,0)</f>
        <v>https://search-rtdc-monitor-bjffxe2xuh6vdkpspy63sjmuny.us-east-1.es.amazonaws.com/_plugin/kibana/#/discover/Steve-Slow-Train-Analysis-(2080s-and-2083s)?_g=(refreshInterval:(display:Off,section:0,value:0),time:(from:'2016-11-16 14:02:10-700',mode:absolute,to:'2016-11-16 16:36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37" s="105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/stypes="*4025*201611162*" /stext=" 22:.+((SYSTEM_STATE.+slice.+state.+changed )|(ment ac)|(system.+state.+changed )|(\[timeout)|(PRM\|1\|D)|(kpr)|(kdp)|(\|lc)|(penalty))" /e /r /s</v>
      </c>
      <c r="U37" s="9" t="str">
        <f>MID(B37,13,4)</f>
        <v>4025</v>
      </c>
      <c r="V37" s="36">
        <f>A37-utc_offset/24</f>
        <v>42690.935578703698</v>
      </c>
      <c r="W37" s="50" t="str">
        <f>IF(VALUE(LEFT(IF(LEN(C37)=6,"0"&amp;C37,C37),2))&lt;=2,"EC",IF(OR(VALUE(LEFT(IF(LEN(C37)=6,"0"&amp;C37,C37),2))=8,VALUE(LEFT(IF(LEN(C37)=6,"0"&amp;C37,C37),2))=18),"NW","Other"))</f>
        <v>NW</v>
      </c>
      <c r="X37" s="50" t="str">
        <f>IF(AND(E37="TRACK WARRANT AUTHORITY",G37&lt;10),"OMIT","KEEP")</f>
        <v>KEEP</v>
      </c>
      <c r="Y37" s="11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{"issue":{"subject":"","project_id":79,"tracker_id":40,"status_id":1,"priority_id":2,"assigned_to_id":23,"start_date":"2016-11-16","description":"","custom_fields":[{"id":1,"name":"Subdivision","value":"NW"},{"id":4,"name":"Milepost","value":"2.1299"},{"id":17,"name":"Train ID","value":"825-16"},{"id":16,"name":"Locomotive ID","value":"4025"},{"id":130,"name":"Impact","value":""},{"id":150,"name":"Time of Event (Mountain Time)","value":"15:27:14"},{"id":151,"name":"Denver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>"grep -hSE -A100 ""Enforcement Action"" "&amp;search_path&amp;"\RTDC"&amp;U37&amp;"\*"&amp;U37&amp;"*"&amp;TEXT(A37-utc_offset/24,"YYYYMMDD")&amp;LEFT(TEXT(A37-utc_offset/24,"HH"),1)&amp;"* | grep -SE ""((Enforcement Ac)|(PRM))"" -"</f>
        <v>grep -hSE -A100 "Enforcement Action" "%USERPROFILE%\AppData\Local\Temp\OnboardLogs"\RTDC4025\*4025*201611162*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"%USERPROFILE%\AppData\Local\Temp\OnboardLogs"\RTDC4025\*4025*201611162* &gt;&gt; 42690-slicedisagreementcheck.txt</v>
      </c>
    </row>
    <row r="38" spans="1:30" x14ac:dyDescent="0.25">
      <c r="A38" s="36">
        <v>42690.647743055553</v>
      </c>
      <c r="B38" s="31" t="s">
        <v>430</v>
      </c>
      <c r="C38" s="31" t="s">
        <v>431</v>
      </c>
      <c r="D38" s="31" t="s">
        <v>49</v>
      </c>
      <c r="E38" s="31" t="s">
        <v>204</v>
      </c>
      <c r="F38" s="47">
        <v>350</v>
      </c>
      <c r="G38" s="47">
        <v>553</v>
      </c>
      <c r="H38" s="47">
        <v>222715</v>
      </c>
      <c r="I38" s="47">
        <v>224409</v>
      </c>
      <c r="J38" s="31" t="s">
        <v>205</v>
      </c>
      <c r="K38" s="47">
        <v>224578</v>
      </c>
      <c r="L38" s="154" t="s">
        <v>50</v>
      </c>
      <c r="M38" s="155">
        <f>CONVERT((I38-K38)/10000,"mi","ft")*IF(L38="Increasing Mileposts (1)",-1,1)</f>
        <v>89.231999999999985</v>
      </c>
      <c r="N38" s="156" t="str">
        <f>VLOOKUP(C38,'Trips&amp;Operators'!$C$1:$E$99999,3,FALSE)</f>
        <v>BROWN</v>
      </c>
      <c r="O38" s="183" t="s">
        <v>203</v>
      </c>
      <c r="P38" s="157"/>
      <c r="Q38" s="31"/>
      <c r="R38" s="100" t="str">
        <f>VLOOKUP(C38,'Train Runs'!$A$13:$AE$9994,31,0)</f>
        <v>aws s3 cp s3://rtdc.mdm.uploadarchive.raw/RTDC4007/ "%USERPROFILE%\AppData\Local\Temp\OnboardLogs"\RTDC4007\2016-11-16 --exclude "*" --recursive --include "*20161116*" &amp; "%USERPROFILE%\Documents\GitHub\mrs-test-scripts\Headless Mode &amp; Sideloading\WalkAndUnGZ.bat" "%USERPROFILE%\AppData\Local\Temp\OnboardLogs"\RTDC4007\2016-11-16 &amp; aws s3 cp s3://rtdc.mdm.uploadarchive.raw/RTDC4007/ "%USERPROFILE%\AppData\Local\Temp\OnboardLogs"\RTDC4007\2016-11-17 --exclude "*" --recursive --include "*20161117*" &amp; "%USERPROFILE%\Documents\GitHub\mrs-test-scripts\Headless Mode &amp; Sideloading\WalkAndUnGZ.bat" "%USERPROFILE%\AppData\Local\Temp\OnboardLogs"\RTDC4007\2016-11-17</v>
      </c>
      <c r="S38" s="103" t="str">
        <f>VLOOKUP(C38,'Train Runs'!$A$13:$AE$9994,22,0)</f>
        <v>https://search-rtdc-monitor-bjffxe2xuh6vdkpspy63sjmuny.us-east-1.es.amazonaws.com/_plugin/kibana/#/discover/Steve-Slow-Train-Analysis-(2080s-and-2083s)?_g=(refreshInterval:(display:Off,section:0,value:0),time:(from:'2016-11-16 13:54:23-700',mode:absolute,to:'2016-11-16 16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8" s="105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/stypes="*4007*201611162*" /stext=" 22:.+((SYSTEM_STATE.+slice.+state.+changed )|(ment ac)|(system.+state.+changed )|(\[timeout)|(PRM\|1\|D)|(kpr)|(kdp)|(\|lc)|(penalty))" /e /r /s</v>
      </c>
      <c r="U38" s="9" t="str">
        <f>MID(B38,13,4)</f>
        <v>4007</v>
      </c>
      <c r="V38" s="36">
        <f>A38-utc_offset/24</f>
        <v>42690.939409722218</v>
      </c>
      <c r="W38" s="50" t="str">
        <f>IF(VALUE(LEFT(IF(LEN(C38)=6,"0"&amp;C38,C38),2))&lt;=2,"EC",IF(OR(VALUE(LEFT(IF(LEN(C38)=6,"0"&amp;C38,C38),2))=8,VALUE(LEFT(IF(LEN(C38)=6,"0"&amp;C38,C38),2))=18),"NW","Other"))</f>
        <v>EC</v>
      </c>
      <c r="X38" s="50" t="str">
        <f>IF(AND(E38="TRACK WARRANT AUTHORITY",G38&lt;10),"OMIT","KEEP")</f>
        <v>KEEP</v>
      </c>
      <c r="Y38" s="11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{"issue":{"subject":"","project_id":79,"tracker_id":40,"status_id":1,"priority_id":2,"assigned_to_id":23,"start_date":"2016-11-16","description":"","custom_fields":[{"id":1,"name":"Subdivision","value":"EC"},{"id":4,"name":"Milepost","value":"22.4578"},{"id":17,"name":"Train ID","value":"191-16"},{"id":16,"name":"Locomotive ID","value":"4007"},{"id":130,"name":"Impact","value":""},{"id":150,"name":"Time of Event (Mountain Time)","value":"15:32:45"},{"id":151,"name":"Denver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>"grep -hSE -A100 ""Enforcement Action"" "&amp;search_path&amp;"\RTDC"&amp;U38&amp;"\*"&amp;U38&amp;"*"&amp;TEXT(A38-utc_offset/24,"YYYYMMDD")&amp;LEFT(TEXT(A38-utc_offset/24,"HH"),1)&amp;"* | grep -SE ""((Enforcement Ac)|(PRM))"" -"</f>
        <v>grep -hSE -A100 "Enforcement Action" "%USERPROFILE%\AppData\Local\Temp\OnboardLogs"\RTDC4007\*4007*201611162*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"%USERPROFILE%\AppData\Local\Temp\OnboardLogs"\RTDC4007\*4007*201611162* &gt;&gt; 42690-slicedisagreementcheck.txt</v>
      </c>
    </row>
    <row r="39" spans="1:30" x14ac:dyDescent="0.25">
      <c r="A39" s="36">
        <v>42690.648182870369</v>
      </c>
      <c r="B39" s="31" t="s">
        <v>308</v>
      </c>
      <c r="C39" s="31" t="s">
        <v>432</v>
      </c>
      <c r="D39" s="31" t="s">
        <v>49</v>
      </c>
      <c r="E39" s="31" t="s">
        <v>154</v>
      </c>
      <c r="F39" s="47">
        <v>90</v>
      </c>
      <c r="G39" s="47">
        <v>212</v>
      </c>
      <c r="H39" s="47">
        <v>12133</v>
      </c>
      <c r="I39" s="47">
        <v>11706</v>
      </c>
      <c r="J39" s="31" t="s">
        <v>153</v>
      </c>
      <c r="K39" s="47">
        <v>10988</v>
      </c>
      <c r="L39" s="154" t="s">
        <v>51</v>
      </c>
      <c r="M39" s="155">
        <f>CONVERT((I39-K39)/10000,"mi","ft")*IF(L39="Increasing Mileposts (1)",-1,1)</f>
        <v>379.10399999999998</v>
      </c>
      <c r="N39" s="156" t="str">
        <f>VLOOKUP(C39,'Trips&amp;Operators'!$C$1:$E$99999,3,FALSE)</f>
        <v>NELSON</v>
      </c>
      <c r="O39" s="183" t="s">
        <v>203</v>
      </c>
      <c r="P39" s="157"/>
      <c r="Q39" s="31"/>
      <c r="R39" s="100" t="str">
        <f>VLOOKUP(C39,'Train Runs'!$A$13:$AE$9994,31,0)</f>
        <v>aws s3 cp s3://rtdc.mdm.uploadarchive.raw/RTDC4045/ "%USERPROFILE%\AppData\Local\Temp\OnboardLogs"\RTDC4045\2016-11-16 --exclude "*" --recursive --include "*20161116*" &amp; "%USERPROFILE%\Documents\GitHub\mrs-test-scripts\Headless Mode &amp; Sideloading\WalkAndUnGZ.bat" "%USERPROFILE%\AppData\Local\Temp\OnboardLogs"\RTDC4045\2016-11-16 &amp; aws s3 cp s3://rtdc.mdm.uploadarchive.raw/RTDC4045/ "%USERPROFILE%\AppData\Local\Temp\OnboardLogs"\RTDC4045\2016-11-17 --exclude "*" --recursive --include "*20161117*" &amp; "%USERPROFILE%\Documents\GitHub\mrs-test-scripts\Headless Mode &amp; Sideloading\WalkAndUnGZ.bat" "%USERPROFILE%\AppData\Local\Temp\OnboardLogs"\RTDC4045\2016-11-17</v>
      </c>
      <c r="S39" s="103" t="str">
        <f>VLOOKUP(C39,'Train Runs'!$A$13:$AE$9994,22,0)</f>
        <v>https://search-rtdc-monitor-bjffxe2xuh6vdkpspy63sjmuny.us-east-1.es.amazonaws.com/_plugin/kibana/#/discover/Steve-Slow-Train-Analysis-(2080s-and-2083s)?_g=(refreshInterval:(display:Off,section:0,value:0),time:(from:'2016-11-16 14:27:53-700',mode:absolute,to:'2016-11-16 16:40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9" s="105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/stypes="*4045*201611162*" /stext=" 22:.+((SYSTEM_STATE.+slice.+state.+changed )|(ment ac)|(system.+state.+changed )|(\[timeout)|(PRM\|1\|D)|(kpr)|(kdp)|(\|lc)|(penalty))" /e /r /s</v>
      </c>
      <c r="U39" s="9" t="str">
        <f>MID(B39,13,4)</f>
        <v>4045</v>
      </c>
      <c r="V39" s="36">
        <f>A39-utc_offset/24</f>
        <v>42690.939849537033</v>
      </c>
      <c r="W39" s="50" t="str">
        <f>IF(VALUE(LEFT(IF(LEN(C39)=6,"0"&amp;C39,C39),2))&lt;=2,"EC",IF(OR(VALUE(LEFT(IF(LEN(C39)=6,"0"&amp;C39,C39),2))=8,VALUE(LEFT(IF(LEN(C39)=6,"0"&amp;C39,C39),2))=18),"NW","Other"))</f>
        <v>Other</v>
      </c>
      <c r="X39" s="50" t="str">
        <f>IF(AND(E39="TRACK WARRANT AUTHORITY",G39&lt;10),"OMIT","KEEP")</f>
        <v>KEEP</v>
      </c>
      <c r="Y39" s="11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{"issue":{"subject":"","project_id":79,"tracker_id":40,"status_id":1,"priority_id":2,"assigned_to_id":23,"start_date":"2016-11-16","description":"","custom_fields":[{"id":1,"name":"Subdivision","value":"Other"},{"id":4,"name":"Milepost","value":"1.0988"},{"id":17,"name":"Train ID","value":"904-16"},{"id":16,"name":"Locomotive ID","value":"4045"},{"id":130,"name":"Impact","value":""},{"id":150,"name":"Time of Event (Mountain Time)","value":"15:33:23"},{"id":151,"name":"Denver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"%USERPROFILE%\AppData\Local\Temp\OnboardLogs"\RTDC4045\*4045*201611162*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"%USERPROFILE%\AppData\Local\Temp\OnboardLogs"\RTDC4045\*4045*201611162* &gt;&gt; 42690-slicedisagreementcheck.txt</v>
      </c>
    </row>
    <row r="40" spans="1:30" x14ac:dyDescent="0.25">
      <c r="A40" s="36">
        <v>42690.648923611108</v>
      </c>
      <c r="B40" s="31" t="s">
        <v>244</v>
      </c>
      <c r="C40" s="31" t="s">
        <v>433</v>
      </c>
      <c r="D40" s="31" t="s">
        <v>49</v>
      </c>
      <c r="E40" s="31" t="s">
        <v>208</v>
      </c>
      <c r="F40" s="47">
        <v>0</v>
      </c>
      <c r="G40" s="47">
        <v>53</v>
      </c>
      <c r="H40" s="47">
        <v>72</v>
      </c>
      <c r="I40" s="47">
        <v>28</v>
      </c>
      <c r="J40" s="31" t="s">
        <v>209</v>
      </c>
      <c r="K40" s="47">
        <v>1</v>
      </c>
      <c r="L40" s="154" t="s">
        <v>51</v>
      </c>
      <c r="M40" s="155">
        <f>CONVERT((I40-K40)/10000,"mi","ft")*IF(L40="Increasing Mileposts (1)",-1,1)</f>
        <v>14.256</v>
      </c>
      <c r="N40" s="156" t="str">
        <f>VLOOKUP(C40,'Trips&amp;Operators'!$C$1:$E$99999,3,FALSE)</f>
        <v>HILLS</v>
      </c>
      <c r="O40" s="183" t="s">
        <v>203</v>
      </c>
      <c r="P40" s="157"/>
      <c r="Q40" s="31"/>
      <c r="R40" s="100" t="str">
        <f>VLOOKUP(C40,'Train Runs'!$A$13:$AE$9994,31,0)</f>
        <v>aws s3 cp s3://rtdc.mdm.uploadarchive.raw/RTDC4043/ "%USERPROFILE%\AppData\Local\Temp\OnboardLogs"\RTDC4043\2016-11-16 --exclude "*" --recursive --include "*20161116*" &amp; "%USERPROFILE%\Documents\GitHub\mrs-test-scripts\Headless Mode &amp; Sideloading\WalkAndUnGZ.bat" "%USERPROFILE%\AppData\Local\Temp\OnboardLogs"\RTDC4043\2016-11-16 &amp; aws s3 cp s3://rtdc.mdm.uploadarchive.raw/RTDC4043/ "%USERPROFILE%\AppData\Local\Temp\OnboardLogs"\RTDC4043\2016-11-17 --exclude "*" --recursive --include "*20161117*" &amp; "%USERPROFILE%\Documents\GitHub\mrs-test-scripts\Headless Mode &amp; Sideloading\WalkAndUnGZ.bat" "%USERPROFILE%\AppData\Local\Temp\OnboardLogs"\RTDC4043\2016-11-17</v>
      </c>
      <c r="S40" s="103" t="str">
        <f>VLOOKUP(C40,'Train Runs'!$A$13:$AE$9994,22,0)</f>
        <v>https://search-rtdc-monitor-bjffxe2xuh6vdkpspy63sjmuny.us-east-1.es.amazonaws.com/_plugin/kibana/#/discover/Steve-Slow-Train-Analysis-(2080s-and-2083s)?_g=(refreshInterval:(display:Off,section:0,value:0),time:(from:'2016-11-16 13:38:03-700',mode:absolute,to:'2016-11-16 16:34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40" s="105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/stypes="*4043*201611162*" /stext=" 22:.+((SYSTEM_STATE.+slice.+state.+changed )|(ment ac)|(system.+state.+changed )|(\[timeout)|(PRM\|1\|D)|(kpr)|(kdp)|(\|lc)|(penalty))" /e /r /s</v>
      </c>
      <c r="U40" s="9" t="str">
        <f>MID(B40,13,4)</f>
        <v>4043</v>
      </c>
      <c r="V40" s="36">
        <f>A40-utc_offset/24</f>
        <v>42690.940590277773</v>
      </c>
      <c r="W40" s="50" t="str">
        <f>IF(VALUE(LEFT(IF(LEN(C40)=6,"0"&amp;C40,C40),2))&lt;=2,"EC",IF(OR(VALUE(LEFT(IF(LEN(C40)=6,"0"&amp;C40,C40),2))=8,VALUE(LEFT(IF(LEN(C40)=6,"0"&amp;C40,C40),2))=18),"NW","Other"))</f>
        <v>EC</v>
      </c>
      <c r="X40" s="50" t="str">
        <f>IF(AND(E40="TRACK WARRANT AUTHORITY",G40&lt;10),"OMIT","KEEP")</f>
        <v>KEEP</v>
      </c>
      <c r="Y40" s="119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{"issue":{"subject":"","project_id":79,"tracker_id":40,"status_id":1,"priority_id":2,"assigned_to_id":23,"start_date":"2016-11-16","description":"","custom_fields":[{"id":1,"name":"Subdivision","value":"EC"},{"id":4,"name":"Milepost","value":"0.0001"},{"id":17,"name":"Train ID","value":"184-16"},{"id":16,"name":"Locomotive ID","value":"4043"},{"id":130,"name":"Impact","value":""},{"id":150,"name":"Time of Event (Mountain Time)","value":"15:34:27"},{"id":151,"name":"Denver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>"grep -hSE -A100 ""Enforcement Action"" "&amp;search_path&amp;"\RTDC"&amp;U40&amp;"\*"&amp;U40&amp;"*"&amp;TEXT(A40-utc_offset/24,"YYYYMMDD")&amp;LEFT(TEXT(A40-utc_offset/24,"HH"),1)&amp;"* | grep -SE ""((Enforcement Ac)|(PRM))"" -"</f>
        <v>grep -hSE -A100 "Enforcement Action" "%USERPROFILE%\AppData\Local\Temp\OnboardLogs"\RTDC4043\*4043*201611162*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"%USERPROFILE%\AppData\Local\Temp\OnboardLogs"\RTDC4043\*4043*201611162* &gt;&gt; 42690-slicedisagreementcheck.txt</v>
      </c>
    </row>
    <row r="41" spans="1:30" x14ac:dyDescent="0.25">
      <c r="A41" s="36">
        <v>42690.649664351855</v>
      </c>
      <c r="B41" s="31" t="s">
        <v>308</v>
      </c>
      <c r="C41" s="31" t="s">
        <v>432</v>
      </c>
      <c r="D41" s="31" t="s">
        <v>49</v>
      </c>
      <c r="E41" s="31" t="s">
        <v>422</v>
      </c>
      <c r="F41" s="47">
        <v>100</v>
      </c>
      <c r="G41" s="47">
        <v>155</v>
      </c>
      <c r="H41" s="47">
        <v>11502</v>
      </c>
      <c r="I41" s="47">
        <v>11318</v>
      </c>
      <c r="J41" s="31" t="s">
        <v>153</v>
      </c>
      <c r="K41" s="47">
        <v>11000</v>
      </c>
      <c r="L41" s="154" t="s">
        <v>51</v>
      </c>
      <c r="M41" s="155">
        <f>CONVERT((I41-K41)/10000,"mi","ft")*IF(L41="Increasing Mileposts (1)",-1,1)</f>
        <v>167.904</v>
      </c>
      <c r="N41" s="156" t="str">
        <f>VLOOKUP(C41,'Trips&amp;Operators'!$C$1:$E$99999,3,FALSE)</f>
        <v>NELSON</v>
      </c>
      <c r="O41" s="183" t="s">
        <v>203</v>
      </c>
      <c r="P41" s="157"/>
      <c r="Q41" s="31"/>
      <c r="R41" s="100" t="str">
        <f>VLOOKUP(C41,'Train Runs'!$A$13:$AE$9994,31,0)</f>
        <v>aws s3 cp s3://rtdc.mdm.uploadarchive.raw/RTDC4045/ "%USERPROFILE%\AppData\Local\Temp\OnboardLogs"\RTDC4045\2016-11-16 --exclude "*" --recursive --include "*20161116*" &amp; "%USERPROFILE%\Documents\GitHub\mrs-test-scripts\Headless Mode &amp; Sideloading\WalkAndUnGZ.bat" "%USERPROFILE%\AppData\Local\Temp\OnboardLogs"\RTDC4045\2016-11-16 &amp; aws s3 cp s3://rtdc.mdm.uploadarchive.raw/RTDC4045/ "%USERPROFILE%\AppData\Local\Temp\OnboardLogs"\RTDC4045\2016-11-17 --exclude "*" --recursive --include "*20161117*" &amp; "%USERPROFILE%\Documents\GitHub\mrs-test-scripts\Headless Mode &amp; Sideloading\WalkAndUnGZ.bat" "%USERPROFILE%\AppData\Local\Temp\OnboardLogs"\RTDC4045\2016-11-17</v>
      </c>
      <c r="S41" s="103" t="str">
        <f>VLOOKUP(C41,'Train Runs'!$A$13:$AE$9994,22,0)</f>
        <v>https://search-rtdc-monitor-bjffxe2xuh6vdkpspy63sjmuny.us-east-1.es.amazonaws.com/_plugin/kibana/#/discover/Steve-Slow-Train-Analysis-(2080s-and-2083s)?_g=(refreshInterval:(display:Off,section:0,value:0),time:(from:'2016-11-16 14:27:53-700',mode:absolute,to:'2016-11-16 16:40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1" s="105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/stypes="*4045*201611162*" /stext=" 22:.+((SYSTEM_STATE.+slice.+state.+changed )|(ment ac)|(system.+state.+changed )|(\[timeout)|(PRM\|1\|D)|(kpr)|(kdp)|(\|lc)|(penalty))" /e /r /s</v>
      </c>
      <c r="U41" s="9" t="str">
        <f>MID(B41,13,4)</f>
        <v>4045</v>
      </c>
      <c r="V41" s="36">
        <f>A41-utc_offset/24</f>
        <v>42690.941331018519</v>
      </c>
      <c r="W41" s="50" t="str">
        <f>IF(VALUE(LEFT(IF(LEN(C41)=6,"0"&amp;C41,C41),2))&lt;=2,"EC",IF(OR(VALUE(LEFT(IF(LEN(C41)=6,"0"&amp;C41,C41),2))=8,VALUE(LEFT(IF(LEN(C41)=6,"0"&amp;C41,C41),2))=18),"NW","Other"))</f>
        <v>Other</v>
      </c>
      <c r="X41" s="50" t="str">
        <f>IF(AND(E41="TRACK WARRANT AUTHORITY",G41&lt;10),"OMIT","KEEP")</f>
        <v>KEEP</v>
      </c>
      <c r="Y41" s="119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{"issue":{"subject":"","project_id":79,"tracker_id":40,"status_id":1,"priority_id":2,"assigned_to_id":23,"start_date":"2016-11-16","description":"","custom_fields":[{"id":1,"name":"Subdivision","value":"Other"},{"id":4,"name":"Milepost","value":"1.1"},{"id":17,"name":"Train ID","value":"904-16"},{"id":16,"name":"Locomotive ID","value":"4045"},{"id":130,"name":"Impact","value":""},{"id":150,"name":"Time of Event (Mountain Time)","value":"15:35:31"},{"id":151,"name":"Denver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>"grep -hSE -A100 ""Enforcement Action"" "&amp;search_path&amp;"\RTDC"&amp;U41&amp;"\*"&amp;U41&amp;"*"&amp;TEXT(A41-utc_offset/24,"YYYYMMDD")&amp;LEFT(TEXT(A41-utc_offset/24,"HH"),1)&amp;"* | grep -SE ""((Enforcement Ac)|(PRM))"" -"</f>
        <v>grep -hSE -A100 "Enforcement Action" "%USERPROFILE%\AppData\Local\Temp\OnboardLogs"\RTDC4045\*4045*201611162*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"%USERPROFILE%\AppData\Local\Temp\OnboardLogs"\RTDC4045\*4045*201611162* &gt;&gt; 42690-slicedisagreementcheck.txt</v>
      </c>
    </row>
    <row r="42" spans="1:30" x14ac:dyDescent="0.25">
      <c r="A42" s="36">
        <v>42690.653321759259</v>
      </c>
      <c r="B42" s="31" t="s">
        <v>308</v>
      </c>
      <c r="C42" s="31" t="s">
        <v>432</v>
      </c>
      <c r="D42" s="31" t="s">
        <v>49</v>
      </c>
      <c r="E42" s="31" t="s">
        <v>208</v>
      </c>
      <c r="F42" s="47">
        <v>0</v>
      </c>
      <c r="G42" s="47">
        <v>48</v>
      </c>
      <c r="H42" s="47">
        <v>731</v>
      </c>
      <c r="I42" s="47">
        <v>694</v>
      </c>
      <c r="J42" s="31" t="s">
        <v>209</v>
      </c>
      <c r="K42" s="47">
        <v>575</v>
      </c>
      <c r="L42" s="154" t="s">
        <v>51</v>
      </c>
      <c r="M42" s="155">
        <f>CONVERT((I42-K42)/10000,"mi","ft")*IF(L42="Increasing Mileposts (1)",-1,1)</f>
        <v>62.832000000000001</v>
      </c>
      <c r="N42" s="156" t="str">
        <f>VLOOKUP(C42,'Trips&amp;Operators'!$C$1:$E$99999,3,FALSE)</f>
        <v>NELSON</v>
      </c>
      <c r="O42" s="183" t="s">
        <v>203</v>
      </c>
      <c r="P42" s="157"/>
      <c r="Q42" s="31"/>
      <c r="R42" s="100" t="str">
        <f>VLOOKUP(C42,'Train Runs'!$A$13:$AE$9994,31,0)</f>
        <v>aws s3 cp s3://rtdc.mdm.uploadarchive.raw/RTDC4045/ "%USERPROFILE%\AppData\Local\Temp\OnboardLogs"\RTDC4045\2016-11-16 --exclude "*" --recursive --include "*20161116*" &amp; "%USERPROFILE%\Documents\GitHub\mrs-test-scripts\Headless Mode &amp; Sideloading\WalkAndUnGZ.bat" "%USERPROFILE%\AppData\Local\Temp\OnboardLogs"\RTDC4045\2016-11-16 &amp; aws s3 cp s3://rtdc.mdm.uploadarchive.raw/RTDC4045/ "%USERPROFILE%\AppData\Local\Temp\OnboardLogs"\RTDC4045\2016-11-17 --exclude "*" --recursive --include "*20161117*" &amp; "%USERPROFILE%\Documents\GitHub\mrs-test-scripts\Headless Mode &amp; Sideloading\WalkAndUnGZ.bat" "%USERPROFILE%\AppData\Local\Temp\OnboardLogs"\RTDC4045\2016-11-17</v>
      </c>
      <c r="S42" s="103" t="str">
        <f>VLOOKUP(C42,'Train Runs'!$A$13:$AE$9994,22,0)</f>
        <v>https://search-rtdc-monitor-bjffxe2xuh6vdkpspy63sjmuny.us-east-1.es.amazonaws.com/_plugin/kibana/#/discover/Steve-Slow-Train-Analysis-(2080s-and-2083s)?_g=(refreshInterval:(display:Off,section:0,value:0),time:(from:'2016-11-16 14:27:53-700',mode:absolute,to:'2016-11-16 16:40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2" s="105" t="str">
        <f>astrogrep_path&amp;" /spath="&amp;search_path&amp;" /stypes=""*"&amp;U42&amp;"*"&amp;TEXT(A42-utc_offset/24,"YYYYMMDD")&amp;LEFT(TEXT(A42-utc_offset/24,"HH"),1)&amp;"*""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/stypes="*4045*201611162*" /stext=" 22:.+((SYSTEM_STATE.+slice.+state.+changed )|(ment ac)|(system.+state.+changed )|(\[timeout)|(PRM\|1\|D)|(kpr)|(kdp)|(\|lc)|(penalty))" /e /r /s</v>
      </c>
      <c r="U42" s="9" t="str">
        <f>MID(B42,13,4)</f>
        <v>4045</v>
      </c>
      <c r="V42" s="36">
        <f>A42-utc_offset/24</f>
        <v>42690.944988425923</v>
      </c>
      <c r="W42" s="50" t="str">
        <f>IF(VALUE(LEFT(IF(LEN(C42)=6,"0"&amp;C42,C42),2))&lt;=2,"EC",IF(OR(VALUE(LEFT(IF(LEN(C42)=6,"0"&amp;C42,C42),2))=8,VALUE(LEFT(IF(LEN(C42)=6,"0"&amp;C42,C42),2))=18),"NW","Other"))</f>
        <v>Other</v>
      </c>
      <c r="X42" s="50" t="str">
        <f>IF(AND(E42="TRACK WARRANT AUTHORITY",G42&lt;10),"OMIT","KEEP")</f>
        <v>KEEP</v>
      </c>
      <c r="Y42" s="119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{"issue":{"subject":"","project_id":79,"tracker_id":40,"status_id":1,"priority_id":2,"assigned_to_id":23,"start_date":"2016-11-16","description":"","custom_fields":[{"id":1,"name":"Subdivision","value":"Other"},{"id":4,"name":"Milepost","value":"0.0575"},{"id":17,"name":"Train ID","value":"904-16"},{"id":16,"name":"Locomotive ID","value":"4045"},{"id":130,"name":"Impact","value":""},{"id":150,"name":"Time of Event (Mountain Time)","value":"15:40:47"},{"id":151,"name":"Denver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>"grep -hSE -A100 ""Enforcement Action"" "&amp;search_path&amp;"\RTDC"&amp;U42&amp;"\*"&amp;U42&amp;"*"&amp;TEXT(A42-utc_offset/24,"YYYYMMDD")&amp;LEFT(TEXT(A42-utc_offset/24,"HH"),1)&amp;"* | grep -SE ""((Enforcement Ac)|(PRM))"" -"</f>
        <v>grep -hSE -A100 "Enforcement Action" "%USERPROFILE%\AppData\Local\Temp\OnboardLogs"\RTDC4045\*4045*201611162*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"%USERPROFILE%\AppData\Local\Temp\OnboardLogs"\RTDC4045\*4045*201611162* &gt;&gt; 42690-slicedisagreementcheck.txt</v>
      </c>
    </row>
    <row r="43" spans="1:30" x14ac:dyDescent="0.25">
      <c r="A43" s="36">
        <v>42690.661585648151</v>
      </c>
      <c r="B43" s="31" t="s">
        <v>188</v>
      </c>
      <c r="C43" s="31" t="s">
        <v>434</v>
      </c>
      <c r="D43" s="31" t="s">
        <v>98</v>
      </c>
      <c r="E43" s="31" t="s">
        <v>154</v>
      </c>
      <c r="F43" s="47">
        <v>0</v>
      </c>
      <c r="G43" s="47">
        <v>219</v>
      </c>
      <c r="H43" s="47">
        <v>27055</v>
      </c>
      <c r="I43" s="47">
        <v>27316</v>
      </c>
      <c r="J43" s="31" t="s">
        <v>153</v>
      </c>
      <c r="K43" s="47">
        <v>27053</v>
      </c>
      <c r="L43" s="154" t="s">
        <v>50</v>
      </c>
      <c r="M43" s="155">
        <f>CONVERT((I43-K43)/10000,"mi","ft")*IF(L43="Increasing Mileposts (1)",-1,1)</f>
        <v>-138.864</v>
      </c>
      <c r="N43" s="156" t="str">
        <f>VLOOKUP(C43,'Trips&amp;Operators'!$C$1:$E$99999,3,FALSE)</f>
        <v>HILLS</v>
      </c>
      <c r="O43" s="183" t="s">
        <v>203</v>
      </c>
      <c r="P43" s="157" t="s">
        <v>395</v>
      </c>
      <c r="Q43" s="31"/>
      <c r="R43" s="100" t="str">
        <f>VLOOKUP(C43,'Train Runs'!$A$13:$AE$9994,31,0)</f>
        <v>aws s3 cp s3://rtdc.mdm.uploadarchive.raw/RTDC4044/ "%USERPROFILE%\AppData\Local\Temp\OnboardLogs"\RTDC4044\2016-11-16 --exclude "*" --recursive --include "*20161116*" &amp; "%USERPROFILE%\Documents\GitHub\mrs-test-scripts\Headless Mode &amp; Sideloading\WalkAndUnGZ.bat" "%USERPROFILE%\AppData\Local\Temp\OnboardLogs"\RTDC4044\2016-11-16 &amp; aws s3 cp s3://rtdc.mdm.uploadarchive.raw/RTDC4044/ "%USERPROFILE%\AppData\Local\Temp\OnboardLogs"\RTDC4044\2016-11-17 --exclude "*" --recursive --include "*20161117*" &amp; "%USERPROFILE%\Documents\GitHub\mrs-test-scripts\Headless Mode &amp; Sideloading\WalkAndUnGZ.bat" "%USERPROFILE%\AppData\Local\Temp\OnboardLogs"\RTDC4044\2016-11-17</v>
      </c>
      <c r="S43" s="103" t="str">
        <f>VLOOKUP(C43,'Train Runs'!$A$13:$AE$9994,22,0)</f>
        <v>https://search-rtdc-monitor-bjffxe2xuh6vdkpspy63sjmuny.us-east-1.es.amazonaws.com/_plugin/kibana/#/discover/Steve-Slow-Train-Analysis-(2080s-and-2083s)?_g=(refreshInterval:(display:Off,section:0,value:0),time:(from:'2016-11-16 14:38:03-700',mode:absolute,to:'2016-11-16 17:23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43" s="105" t="str">
        <f>astrogrep_path&amp;" /spath="&amp;search_path&amp;" /stypes=""*"&amp;U43&amp;"*"&amp;TEXT(A43-utc_offset/24,"YYYYMMDD")&amp;LEFT(TEXT(A43-utc_offset/24,"HH"),1)&amp;"*""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/stypes="*4044*201611162*" /stext=" 22:.+((SYSTEM_STATE.+slice.+state.+changed )|(ment ac)|(system.+state.+changed )|(\[timeout)|(PRM\|1\|D)|(kpr)|(kdp)|(\|lc)|(penalty))" /e /r /s</v>
      </c>
      <c r="U43" s="9" t="str">
        <f>MID(B43,13,4)</f>
        <v>4044</v>
      </c>
      <c r="V43" s="36">
        <f>A43-utc_offset/24</f>
        <v>42690.953252314815</v>
      </c>
      <c r="W43" s="50" t="str">
        <f>IF(VALUE(LEFT(IF(LEN(C43)=6,"0"&amp;C43,C43),2))&lt;=2,"EC",IF(OR(VALUE(LEFT(IF(LEN(C43)=6,"0"&amp;C43,C43),2))=8,VALUE(LEFT(IF(LEN(C43)=6,"0"&amp;C43,C43),2))=18),"NW","Other"))</f>
        <v>EC</v>
      </c>
      <c r="X43" s="50" t="str">
        <f>IF(AND(E43="TRACK WARRANT AUTHORITY",G43&lt;10),"OMIT","KEEP")</f>
        <v>KEEP</v>
      </c>
      <c r="Y43" s="119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arrival","project_id":79,"tracker_id":40,"status_id":1,"priority_id":2,"assigned_to_id":23,"start_date":"2016-11-16","description":"","custom_fields":[{"id":1,"name":"Subdivision","value":"EC"},{"id":4,"name":"Milepost","value":"2.7053"},{"id":17,"name":"Train ID","value":"197-16"},{"id":16,"name":"Locomotive ID","value":"4044"},{"id":130,"name":"Impact","value":""},{"id":150,"name":"Time of Event (Mountain Time)","value":"15:52:41"},{"id":151,"name":"Denver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>"grep -hSE -A100 ""Enforcement Action"" "&amp;search_path&amp;"\RTDC"&amp;U43&amp;"\*"&amp;U43&amp;"*"&amp;TEXT(A43-utc_offset/24,"YYYYMMDD")&amp;LEFT(TEXT(A43-utc_offset/24,"HH"),1)&amp;"* | grep -SE ""((Enforcement Ac)|(PRM))"" -"</f>
        <v>grep -hSE -A100 "Enforcement Action" "%USERPROFILE%\AppData\Local\Temp\OnboardLogs"\RTDC4044\*4044*201611162*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"%USERPROFILE%\AppData\Local\Temp\OnboardLogs"\RTDC4044\*4044*201611162* &gt;&gt; 42690-slicedisagreementcheck.txt</v>
      </c>
    </row>
    <row r="44" spans="1:30" x14ac:dyDescent="0.25">
      <c r="A44" s="36">
        <v>42690.663437499999</v>
      </c>
      <c r="B44" s="31" t="s">
        <v>188</v>
      </c>
      <c r="C44" s="31" t="s">
        <v>434</v>
      </c>
      <c r="D44" s="31" t="s">
        <v>98</v>
      </c>
      <c r="E44" s="31" t="s">
        <v>154</v>
      </c>
      <c r="F44" s="47">
        <v>220</v>
      </c>
      <c r="G44" s="47">
        <v>272</v>
      </c>
      <c r="H44" s="47">
        <v>30976</v>
      </c>
      <c r="I44" s="47">
        <v>31553</v>
      </c>
      <c r="J44" s="31" t="s">
        <v>153</v>
      </c>
      <c r="K44" s="47">
        <v>30830</v>
      </c>
      <c r="L44" s="154" t="s">
        <v>50</v>
      </c>
      <c r="M44" s="155">
        <f>CONVERT((I44-K44)/10000,"mi","ft")*IF(L44="Increasing Mileposts (1)",-1,1)</f>
        <v>-381.74400000000003</v>
      </c>
      <c r="N44" s="156" t="str">
        <f>VLOOKUP(C44,'Trips&amp;Operators'!$C$1:$E$99999,3,FALSE)</f>
        <v>HILLS</v>
      </c>
      <c r="O44" s="183" t="s">
        <v>203</v>
      </c>
      <c r="P44" s="157" t="s">
        <v>395</v>
      </c>
      <c r="Q44" s="31"/>
      <c r="R44" s="100" t="str">
        <f>VLOOKUP(C44,'Train Runs'!$A$13:$AE$9994,31,0)</f>
        <v>aws s3 cp s3://rtdc.mdm.uploadarchive.raw/RTDC4044/ "%USERPROFILE%\AppData\Local\Temp\OnboardLogs"\RTDC4044\2016-11-16 --exclude "*" --recursive --include "*20161116*" &amp; "%USERPROFILE%\Documents\GitHub\mrs-test-scripts\Headless Mode &amp; Sideloading\WalkAndUnGZ.bat" "%USERPROFILE%\AppData\Local\Temp\OnboardLogs"\RTDC4044\2016-11-16 &amp; aws s3 cp s3://rtdc.mdm.uploadarchive.raw/RTDC4044/ "%USERPROFILE%\AppData\Local\Temp\OnboardLogs"\RTDC4044\2016-11-17 --exclude "*" --recursive --include "*20161117*" &amp; "%USERPROFILE%\Documents\GitHub\mrs-test-scripts\Headless Mode &amp; Sideloading\WalkAndUnGZ.bat" "%USERPROFILE%\AppData\Local\Temp\OnboardLogs"\RTDC4044\2016-11-17</v>
      </c>
      <c r="S44" s="103" t="str">
        <f>VLOOKUP(C44,'Train Runs'!$A$13:$AE$9994,22,0)</f>
        <v>https://search-rtdc-monitor-bjffxe2xuh6vdkpspy63sjmuny.us-east-1.es.amazonaws.com/_plugin/kibana/#/discover/Steve-Slow-Train-Analysis-(2080s-and-2083s)?_g=(refreshInterval:(display:Off,section:0,value:0),time:(from:'2016-11-16 14:38:03-700',mode:absolute,to:'2016-11-16 17:23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44" s="105" t="str">
        <f>astrogrep_path&amp;" /spath="&amp;search_path&amp;" /stypes=""*"&amp;U44&amp;"*"&amp;TEXT(A44-utc_offset/24,"YYYYMMDD")&amp;LEFT(TEXT(A44-utc_offset/24,"HH"),1)&amp;"*"" /stext="" "&amp;TEXT(A44-utc_offset/24,"HH")&amp;search_regexp&amp;""" /e /r /s"</f>
        <v>"C:\Program Files (x86)\AstroGrep\AstroGrep.exe" /spath="%USERPROFILE%\AppData\Local\Temp\OnboardLogs" /stypes="*4044*201611162*" /stext=" 22:.+((SYSTEM_STATE.+slice.+state.+changed )|(ment ac)|(system.+state.+changed )|(\[timeout)|(PRM\|1\|D)|(kpr)|(kdp)|(\|lc)|(penalty))" /e /r /s</v>
      </c>
      <c r="U44" s="9" t="str">
        <f>MID(B44,13,4)</f>
        <v>4044</v>
      </c>
      <c r="V44" s="36">
        <f>A44-utc_offset/24</f>
        <v>42690.955104166664</v>
      </c>
      <c r="W44" s="50" t="str">
        <f>IF(VALUE(LEFT(IF(LEN(C44)=6,"0"&amp;C44,C44),2))&lt;=2,"EC",IF(OR(VALUE(LEFT(IF(LEN(C44)=6,"0"&amp;C44,C44),2))=8,VALUE(LEFT(IF(LEN(C44)=6,"0"&amp;C44,C44),2))=18),"NW","Other"))</f>
        <v>EC</v>
      </c>
      <c r="X44" s="50" t="str">
        <f>IF(AND(E44="TRACK WARRANT AUTHORITY",G44&lt;10),"OMIT","KEEP")</f>
        <v>KEEP</v>
      </c>
      <c r="Y44" s="119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arrival","project_id":79,"tracker_id":40,"status_id":1,"priority_id":2,"assigned_to_id":23,"start_date":"2016-11-16","description":"","custom_fields":[{"id":1,"name":"Subdivision","value":"EC"},{"id":4,"name":"Milepost","value":"3.083"},{"id":17,"name":"Train ID","value":"197-16"},{"id":16,"name":"Locomotive ID","value":"4044"},{"id":130,"name":"Impact","value":""},{"id":150,"name":"Time of Event (Mountain Time)","value":"15:55:21"},{"id":151,"name":"Denver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>"grep -hSE -A100 ""Enforcement Action"" "&amp;search_path&amp;"\RTDC"&amp;U44&amp;"\*"&amp;U44&amp;"*"&amp;TEXT(A44-utc_offset/24,"YYYYMMDD")&amp;LEFT(TEXT(A44-utc_offset/24,"HH"),1)&amp;"* | grep -SE ""((Enforcement Ac)|(PRM))"" -"</f>
        <v>grep -hSE -A100 "Enforcement Action" "%USERPROFILE%\AppData\Local\Temp\OnboardLogs"\RTDC4044\*4044*201611162*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"%USERPROFILE%\AppData\Local\Temp\OnboardLogs"\RTDC4044\*4044*201611162* &gt;&gt; 42690-slicedisagreementcheck.txt</v>
      </c>
    </row>
    <row r="45" spans="1:30" x14ac:dyDescent="0.25">
      <c r="A45" s="36">
        <v>42690.6640162037</v>
      </c>
      <c r="B45" s="31" t="s">
        <v>263</v>
      </c>
      <c r="C45" s="31" t="s">
        <v>435</v>
      </c>
      <c r="D45" s="31" t="s">
        <v>49</v>
      </c>
      <c r="E45" s="31" t="s">
        <v>204</v>
      </c>
      <c r="F45" s="47">
        <v>200</v>
      </c>
      <c r="G45" s="47">
        <v>280</v>
      </c>
      <c r="H45" s="47">
        <v>31347</v>
      </c>
      <c r="I45" s="47">
        <v>30728</v>
      </c>
      <c r="J45" s="31" t="s">
        <v>205</v>
      </c>
      <c r="K45" s="47">
        <v>30562</v>
      </c>
      <c r="L45" s="154" t="s">
        <v>51</v>
      </c>
      <c r="M45" s="155">
        <f>CONVERT((I45-K45)/10000,"mi","ft")*IF(L45="Increasing Mileposts (1)",-1,1)</f>
        <v>87.647999999999996</v>
      </c>
      <c r="N45" s="156" t="str">
        <f>VLOOKUP(C45,'Trips&amp;Operators'!$C$1:$E$99999,3,FALSE)</f>
        <v>MACDONALD</v>
      </c>
      <c r="O45" s="183" t="s">
        <v>203</v>
      </c>
      <c r="P45" s="157"/>
      <c r="Q45" s="31"/>
      <c r="R45" s="100" t="str">
        <f>VLOOKUP(C45,'Train Runs'!$A$13:$AE$9994,31,0)</f>
        <v>aws s3 cp s3://rtdc.mdm.uploadarchive.raw/RTDC4037/ "%USERPROFILE%\AppData\Local\Temp\OnboardLogs"\RTDC4037\2016-11-16 --exclude "*" --recursive --include "*20161116*" &amp; "%USERPROFILE%\Documents\GitHub\mrs-test-scripts\Headless Mode &amp; Sideloading\WalkAndUnGZ.bat" "%USERPROFILE%\AppData\Local\Temp\OnboardLogs"\RTDC4037\2016-11-16 &amp; aws s3 cp s3://rtdc.mdm.uploadarchive.raw/RTDC4037/ "%USERPROFILE%\AppData\Local\Temp\OnboardLogs"\RTDC4037\2016-11-17 --exclude "*" --recursive --include "*20161117*" &amp; "%USERPROFILE%\Documents\GitHub\mrs-test-scripts\Headless Mode &amp; Sideloading\WalkAndUnGZ.bat" "%USERPROFILE%\AppData\Local\Temp\OnboardLogs"\RTDC4037\2016-11-17</v>
      </c>
      <c r="S45" s="103" t="str">
        <f>VLOOKUP(C45,'Train Runs'!$A$13:$AE$9994,22,0)</f>
        <v>https://search-rtdc-monitor-bjffxe2xuh6vdkpspy63sjmuny.us-east-1.es.amazonaws.com/_plugin/kibana/#/discover/Steve-Slow-Train-Analysis-(2080s-and-2083s)?_g=(refreshInterval:(display:Off,section:0,value:0),time:(from:'2016-11-16 14:11:56-700',mode:absolute,to:'2016-11-16 17:05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45" s="105" t="str">
        <f>astrogrep_path&amp;" /spath="&amp;search_path&amp;" /stypes=""*"&amp;U45&amp;"*"&amp;TEXT(A45-utc_offset/24,"YYYYMMDD")&amp;LEFT(TEXT(A45-utc_offset/24,"HH"),1)&amp;"*"" /stext="" "&amp;TEXT(A45-utc_offset/24,"HH")&amp;search_regexp&amp;""" /e /r /s"</f>
        <v>"C:\Program Files (x86)\AstroGrep\AstroGrep.exe" /spath="%USERPROFILE%\AppData\Local\Temp\OnboardLogs" /stypes="*4037*201611162*" /stext=" 22:.+((SYSTEM_STATE.+slice.+state.+changed )|(ment ac)|(system.+state.+changed )|(\[timeout)|(PRM\|1\|D)|(kpr)|(kdp)|(\|lc)|(penalty))" /e /r /s</v>
      </c>
      <c r="U45" s="9" t="str">
        <f>MID(B45,13,4)</f>
        <v>4037</v>
      </c>
      <c r="V45" s="36">
        <f>A45-utc_offset/24</f>
        <v>42690.955682870364</v>
      </c>
      <c r="W45" s="50" t="str">
        <f>IF(VALUE(LEFT(IF(LEN(C45)=6,"0"&amp;C45,C45),2))&lt;=2,"EC",IF(OR(VALUE(LEFT(IF(LEN(C45)=6,"0"&amp;C45,C45),2))=8,VALUE(LEFT(IF(LEN(C45)=6,"0"&amp;C45,C45),2))=18),"NW","Other"))</f>
        <v>EC</v>
      </c>
      <c r="X45" s="50" t="str">
        <f>IF(AND(E45="TRACK WARRANT AUTHORITY",G45&lt;10),"OMIT","KEEP")</f>
        <v>KEEP</v>
      </c>
      <c r="Y45" s="119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{"issue":{"subject":"","project_id":79,"tracker_id":40,"status_id":1,"priority_id":2,"assigned_to_id":23,"start_date":"2016-11-16","description":"","custom_fields":[{"id":1,"name":"Subdivision","value":"EC"},{"id":4,"name":"Milepost","value":"3.0562"},{"id":17,"name":"Train ID","value":"188-16"},{"id":16,"name":"Locomotive ID","value":"4037"},{"id":130,"name":"Impact","value":""},{"id":150,"name":"Time of Event (Mountain Time)","value":"15:56:11"},{"id":151,"name":"Denver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>"grep -hSE -A100 ""Enforcement Action"" "&amp;search_path&amp;"\RTDC"&amp;U45&amp;"\*"&amp;U45&amp;"*"&amp;TEXT(A45-utc_offset/24,"YYYYMMDD")&amp;LEFT(TEXT(A45-utc_offset/24,"HH"),1)&amp;"* | grep -SE ""((Enforcement Ac)|(PRM))"" -"</f>
        <v>grep -hSE -A100 "Enforcement Action" "%USERPROFILE%\AppData\Local\Temp\OnboardLogs"\RTDC4037\*4037*201611162*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"%USERPROFILE%\AppData\Local\Temp\OnboardLogs"\RTDC4037\*4037*201611162* &gt;&gt; 42690-slicedisagreementcheck.txt</v>
      </c>
    </row>
    <row r="46" spans="1:30" x14ac:dyDescent="0.25">
      <c r="A46" s="36">
        <v>42690.67083333333</v>
      </c>
      <c r="B46" s="31" t="s">
        <v>309</v>
      </c>
      <c r="C46" s="31" t="s">
        <v>436</v>
      </c>
      <c r="D46" s="31" t="s">
        <v>49</v>
      </c>
      <c r="E46" s="31" t="s">
        <v>208</v>
      </c>
      <c r="F46" s="47">
        <v>0</v>
      </c>
      <c r="G46" s="47">
        <v>46</v>
      </c>
      <c r="H46" s="47">
        <v>58894</v>
      </c>
      <c r="I46" s="47">
        <v>58948</v>
      </c>
      <c r="J46" s="31" t="s">
        <v>209</v>
      </c>
      <c r="K46" s="47">
        <v>59048</v>
      </c>
      <c r="L46" s="154" t="s">
        <v>50</v>
      </c>
      <c r="M46" s="155">
        <f>CONVERT((I46-K46)/10000,"mi","ft")*IF(L46="Increasing Mileposts (1)",-1,1)</f>
        <v>52.8</v>
      </c>
      <c r="N46" s="156" t="str">
        <f>VLOOKUP(C46,'Trips&amp;Operators'!$C$1:$E$99999,3,FALSE)</f>
        <v>NELSON</v>
      </c>
      <c r="O46" s="183" t="s">
        <v>203</v>
      </c>
      <c r="P46" s="157"/>
      <c r="Q46" s="31"/>
      <c r="R46" s="100" t="str">
        <f>VLOOKUP(C46,'Train Runs'!$A$13:$AE$9994,31,0)</f>
        <v>aws s3 cp s3://rtdc.mdm.uploadarchive.raw/RTDC4046/ "%USERPROFILE%\AppData\Local\Temp\OnboardLogs"\RTDC4046\2016-11-16 --exclude "*" --recursive --include "*20161116*" &amp; "%USERPROFILE%\Documents\GitHub\mrs-test-scripts\Headless Mode &amp; Sideloading\WalkAndUnGZ.bat" "%USERPROFILE%\AppData\Local\Temp\OnboardLogs"\RTDC4046\2016-11-16 &amp; aws s3 cp s3://rtdc.mdm.uploadarchive.raw/RTDC4046/ "%USERPROFILE%\AppData\Local\Temp\OnboardLogs"\RTDC4046\2016-11-17 --exclude "*" --recursive --include "*20161117*" &amp; "%USERPROFILE%\Documents\GitHub\mrs-test-scripts\Headless Mode &amp; Sideloading\WalkAndUnGZ.bat" "%USERPROFILE%\AppData\Local\Temp\OnboardLogs"\RTDC4046\2016-11-17</v>
      </c>
      <c r="S46" s="103" t="str">
        <f>VLOOKUP(C46,'Train Runs'!$A$13:$AE$9994,22,0)</f>
        <v>https://search-rtdc-monitor-bjffxe2xuh6vdkpspy63sjmuny.us-east-1.es.amazonaws.com/_plugin/kibana/#/discover/Steve-Slow-Train-Analysis-(2080s-and-2083s)?_g=(refreshInterval:(display:Off,section:0,value:0),time:(from:'2016-11-16 14:42:57-700',mode:absolute,to:'2016-11-16 17:06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46" s="105" t="str">
        <f>astrogrep_path&amp;" /spath="&amp;search_path&amp;" /stypes=""*"&amp;U46&amp;"*"&amp;TEXT(A46-utc_offset/24,"YYYYMMDD")&amp;LEFT(TEXT(A46-utc_offset/24,"HH"),1)&amp;"*"" /stext="" "&amp;TEXT(A46-utc_offset/24,"HH")&amp;search_regexp&amp;""" /e /r /s"</f>
        <v>"C:\Program Files (x86)\AstroGrep\AstroGrep.exe" /spath="%USERPROFILE%\AppData\Local\Temp\OnboardLogs" /stypes="*4046*201611162*" /stext=" 23:.+((SYSTEM_STATE.+slice.+state.+changed )|(ment ac)|(system.+state.+changed )|(\[timeout)|(PRM\|1\|D)|(kpr)|(kdp)|(\|lc)|(penalty))" /e /r /s</v>
      </c>
      <c r="U46" s="9" t="str">
        <f>MID(B46,13,4)</f>
        <v>4046</v>
      </c>
      <c r="V46" s="36">
        <f>A46-utc_offset/24</f>
        <v>42690.962499999994</v>
      </c>
      <c r="W46" s="50" t="str">
        <f>IF(VALUE(LEFT(IF(LEN(C46)=6,"0"&amp;C46,C46),2))&lt;=2,"EC",IF(OR(VALUE(LEFT(IF(LEN(C46)=6,"0"&amp;C46,C46),2))=8,VALUE(LEFT(IF(LEN(C46)=6,"0"&amp;C46,C46),2))=18),"NW","Other"))</f>
        <v>NW</v>
      </c>
      <c r="X46" s="50" t="str">
        <f>IF(AND(E46="TRACK WARRANT AUTHORITY",G46&lt;10),"OMIT","KEEP")</f>
        <v>KEEP</v>
      </c>
      <c r="Y46" s="119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{"issue":{"subject":"","project_id":79,"tracker_id":40,"status_id":1,"priority_id":2,"assigned_to_id":23,"start_date":"2016-11-16","description":"","custom_fields":[{"id":1,"name":"Subdivision","value":"NW"},{"id":4,"name":"Milepost","value":"5.9048"},{"id":17,"name":"Train ID","value":"827-16"},{"id":16,"name":"Locomotive ID","value":"4046"},{"id":130,"name":"Impact","value":""},{"id":150,"name":"Time of Event (Mountain Time)","value":"16:06:00"},{"id":151,"name":"Denver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>"grep -hSE -A100 ""Enforcement Action"" "&amp;search_path&amp;"\RTDC"&amp;U46&amp;"\*"&amp;U46&amp;"*"&amp;TEXT(A46-utc_offset/24,"YYYYMMDD")&amp;LEFT(TEXT(A46-utc_offset/24,"HH"),1)&amp;"* | grep -SE ""((Enforcement Ac)|(PRM))"" -"</f>
        <v>grep -hSE -A100 "Enforcement Action" "%USERPROFILE%\AppData\Local\Temp\OnboardLogs"\RTDC4046\*4046*201611162*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"%USERPROFILE%\AppData\Local\Temp\OnboardLogs"\RTDC4046\*4046*201611162* &gt;&gt; 42690-slicedisagreementcheck.txt</v>
      </c>
    </row>
    <row r="47" spans="1:30" x14ac:dyDescent="0.25">
      <c r="A47" s="36">
        <v>42690.685439814813</v>
      </c>
      <c r="B47" s="31" t="s">
        <v>308</v>
      </c>
      <c r="C47" s="31" t="s">
        <v>437</v>
      </c>
      <c r="D47" s="31" t="s">
        <v>49</v>
      </c>
      <c r="E47" s="31" t="s">
        <v>208</v>
      </c>
      <c r="F47" s="47">
        <v>0</v>
      </c>
      <c r="G47" s="47">
        <v>58</v>
      </c>
      <c r="H47" s="47">
        <v>782</v>
      </c>
      <c r="I47" s="47">
        <v>720</v>
      </c>
      <c r="J47" s="31" t="s">
        <v>209</v>
      </c>
      <c r="K47" s="47">
        <v>575</v>
      </c>
      <c r="L47" s="154" t="s">
        <v>51</v>
      </c>
      <c r="M47" s="155">
        <f>CONVERT((I47-K47)/10000,"mi","ft")*IF(L47="Increasing Mileposts (1)",-1,1)</f>
        <v>76.56</v>
      </c>
      <c r="N47" s="156" t="str">
        <f>VLOOKUP(C47,'Trips&amp;Operators'!$C$1:$E$99999,3,FALSE)</f>
        <v>NELSON</v>
      </c>
      <c r="O47" s="183" t="s">
        <v>203</v>
      </c>
      <c r="P47" s="157"/>
      <c r="Q47" s="31"/>
      <c r="R47" s="100" t="str">
        <f>VLOOKUP(C47,'Train Runs'!$A$13:$AE$9994,31,0)</f>
        <v>aws s3 cp s3://rtdc.mdm.uploadarchive.raw/RTDC4045/ "%USERPROFILE%\AppData\Local\Temp\OnboardLogs"\RTDC4045\2016-11-16 --exclude "*" --recursive --include "*20161116*" &amp; "%USERPROFILE%\Documents\GitHub\mrs-test-scripts\Headless Mode &amp; Sideloading\WalkAndUnGZ.bat" "%USERPROFILE%\AppData\Local\Temp\OnboardLogs"\RTDC4045\2016-11-16 &amp; aws s3 cp s3://rtdc.mdm.uploadarchive.raw/RTDC4045/ "%USERPROFILE%\AppData\Local\Temp\OnboardLogs"\RTDC4045\2016-11-17 --exclude "*" --recursive --include "*20161117*" &amp; "%USERPROFILE%\Documents\GitHub\mrs-test-scripts\Headless Mode &amp; Sideloading\WalkAndUnGZ.bat" "%USERPROFILE%\AppData\Local\Temp\OnboardLogs"\RTDC4045\2016-11-17</v>
      </c>
      <c r="S47" s="103" t="str">
        <f>VLOOKUP(C47,'Train Runs'!$A$13:$AE$9994,22,0)</f>
        <v>https://search-rtdc-monitor-bjffxe2xuh6vdkpspy63sjmuny.us-east-1.es.amazonaws.com/_plugin/kibana/#/discover/Steve-Slow-Train-Analysis-(2080s-and-2083s)?_g=(refreshInterval:(display:Off,section:0,value:0),time:(from:'2016-11-16 15:07:56-700',mode:absolute,to:'2016-11-16 17:27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7" s="105" t="str">
        <f>astrogrep_path&amp;" /spath="&amp;search_path&amp;" /stypes=""*"&amp;U47&amp;"*"&amp;TEXT(A47-utc_offset/24,"YYYYMMDD")&amp;LEFT(TEXT(A47-utc_offset/24,"HH"),1)&amp;"*"" /stext="" "&amp;TEXT(A47-utc_offset/24,"HH")&amp;search_regexp&amp;""" /e /r /s"</f>
        <v>"C:\Program Files (x86)\AstroGrep\AstroGrep.exe" /spath="%USERPROFILE%\AppData\Local\Temp\OnboardLogs" /stypes="*4045*201611162*" /stext=" 23:.+((SYSTEM_STATE.+slice.+state.+changed )|(ment ac)|(system.+state.+changed )|(\[timeout)|(PRM\|1\|D)|(kpr)|(kdp)|(\|lc)|(penalty))" /e /r /s</v>
      </c>
      <c r="U47" s="9" t="str">
        <f>MID(B47,13,4)</f>
        <v>4045</v>
      </c>
      <c r="V47" s="36">
        <f>A47-utc_offset/24</f>
        <v>42690.977106481478</v>
      </c>
      <c r="W47" s="50" t="str">
        <f>IF(VALUE(LEFT(IF(LEN(C47)=6,"0"&amp;C47,C47),2))&lt;=2,"EC",IF(OR(VALUE(LEFT(IF(LEN(C47)=6,"0"&amp;C47,C47),2))=8,VALUE(LEFT(IF(LEN(C47)=6,"0"&amp;C47,C47),2))=18),"NW","Other"))</f>
        <v>NW</v>
      </c>
      <c r="X47" s="50" t="str">
        <f>IF(AND(E47="TRACK WARRANT AUTHORITY",G47&lt;10),"OMIT","KEEP")</f>
        <v>KEEP</v>
      </c>
      <c r="Y47" s="119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{"issue":{"subject":"","project_id":79,"tracker_id":40,"status_id":1,"priority_id":2,"assigned_to_id":23,"start_date":"2016-11-16","description":"","custom_fields":[{"id":1,"name":"Subdivision","value":"NW"},{"id":4,"name":"Milepost","value":"0.0575"},{"id":17,"name":"Train ID","value":"828-16"},{"id":16,"name":"Locomotive ID","value":"4045"},{"id":130,"name":"Impact","value":""},{"id":150,"name":"Time of Event (Mountain Time)","value":"16:27:02"},{"id":151,"name":"Denver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>"grep -hSE -A100 ""Enforcement Action"" "&amp;search_path&amp;"\RTDC"&amp;U47&amp;"\*"&amp;U47&amp;"*"&amp;TEXT(A47-utc_offset/24,"YYYYMMDD")&amp;LEFT(TEXT(A47-utc_offset/24,"HH"),1)&amp;"* | grep -SE ""((Enforcement Ac)|(PRM))"" -"</f>
        <v>grep -hSE -A100 "Enforcement Action" "%USERPROFILE%\AppData\Local\Temp\OnboardLogs"\RTDC4045\*4045*201611162*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"%USERPROFILE%\AppData\Local\Temp\OnboardLogs"\RTDC4045\*4045*201611162* &gt;&gt; 42690-slicedisagreementcheck.txt</v>
      </c>
    </row>
    <row r="48" spans="1:30" x14ac:dyDescent="0.25">
      <c r="A48" s="36">
        <v>42690.695983796293</v>
      </c>
      <c r="B48" s="31" t="s">
        <v>250</v>
      </c>
      <c r="C48" s="31" t="s">
        <v>438</v>
      </c>
      <c r="D48" s="31" t="s">
        <v>49</v>
      </c>
      <c r="E48" s="31" t="s">
        <v>154</v>
      </c>
      <c r="F48" s="47">
        <v>0</v>
      </c>
      <c r="G48" s="47">
        <v>280</v>
      </c>
      <c r="H48" s="47">
        <v>33441</v>
      </c>
      <c r="I48" s="47">
        <v>33062</v>
      </c>
      <c r="J48" s="31" t="s">
        <v>153</v>
      </c>
      <c r="K48" s="47">
        <v>33257</v>
      </c>
      <c r="L48" s="154" t="s">
        <v>51</v>
      </c>
      <c r="M48" s="155">
        <f>CONVERT((I48-K48)/10000,"mi","ft")*IF(L48="Increasing Mileposts (1)",-1,1)</f>
        <v>-102.96</v>
      </c>
      <c r="N48" s="156" t="str">
        <f>VLOOKUP(C48,'Trips&amp;Operators'!$C$1:$E$99999,3,FALSE)</f>
        <v>ADANE</v>
      </c>
      <c r="O48" s="183" t="s">
        <v>203</v>
      </c>
      <c r="P48" s="157" t="s">
        <v>395</v>
      </c>
      <c r="Q48" s="31"/>
      <c r="R48" s="100" t="str">
        <f>VLOOKUP(C48,'Train Runs'!$A$13:$AE$9994,31,0)</f>
        <v>aws s3 cp s3://rtdc.mdm.uploadarchive.raw/RTDC4021/ "%USERPROFILE%\AppData\Local\Temp\OnboardLogs"\RTDC4021\2016-11-16 --exclude "*" --recursive --include "*20161116*" &amp; "%USERPROFILE%\Documents\GitHub\mrs-test-scripts\Headless Mode &amp; Sideloading\WalkAndUnGZ.bat" "%USERPROFILE%\AppData\Local\Temp\OnboardLogs"\RTDC4021\2016-11-16 &amp; aws s3 cp s3://rtdc.mdm.uploadarchive.raw/RTDC4021/ "%USERPROFILE%\AppData\Local\Temp\OnboardLogs"\RTDC4021\2016-11-17 --exclude "*" --recursive --include "*20161117*" &amp; "%USERPROFILE%\Documents\GitHub\mrs-test-scripts\Headless Mode &amp; Sideloading\WalkAndUnGZ.bat" "%USERPROFILE%\AppData\Local\Temp\OnboardLogs"\RTDC4021\2016-11-17</v>
      </c>
      <c r="S48" s="103" t="str">
        <f>VLOOKUP(C48,'Train Runs'!$A$13:$AE$9994,22,0)</f>
        <v>https://search-rtdc-monitor-bjffxe2xuh6vdkpspy63sjmuny.us-east-1.es.amazonaws.com/_plugin/kibana/#/discover/Steve-Slow-Train-Analysis-(2080s-and-2083s)?_g=(refreshInterval:(display:Off,section:0,value:0),time:(from:'2016-11-16 14:53:04-700',mode:absolute,to:'2016-11-16 17:52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48" s="105" t="str">
        <f>astrogrep_path&amp;" /spath="&amp;search_path&amp;" /stypes=""*"&amp;U48&amp;"*"&amp;TEXT(A48-utc_offset/24,"YYYYMMDD")&amp;LEFT(TEXT(A48-utc_offset/24,"HH"),1)&amp;"*"" /stext="" "&amp;TEXT(A48-utc_offset/24,"HH")&amp;search_regexp&amp;""" /e /r /s"</f>
        <v>"C:\Program Files (x86)\AstroGrep\AstroGrep.exe" /spath="%USERPROFILE%\AppData\Local\Temp\OnboardLogs" /stypes="*4021*201611162*" /stext=" 23:.+((SYSTEM_STATE.+slice.+state.+changed )|(ment ac)|(system.+state.+changed )|(\[timeout)|(PRM\|1\|D)|(kpr)|(kdp)|(\|lc)|(penalty))" /e /r /s</v>
      </c>
      <c r="U48" s="9" t="str">
        <f>MID(B48,13,4)</f>
        <v>4021</v>
      </c>
      <c r="V48" s="36">
        <f>A48-utc_offset/24</f>
        <v>42690.987650462957</v>
      </c>
      <c r="W48" s="50" t="str">
        <f>IF(VALUE(LEFT(IF(LEN(C48)=6,"0"&amp;C48,C48),2))&lt;=2,"EC",IF(OR(VALUE(LEFT(IF(LEN(C48)=6,"0"&amp;C48,C48),2))=8,VALUE(LEFT(IF(LEN(C48)=6,"0"&amp;C48,C48),2))=18),"NW","Other"))</f>
        <v>EC</v>
      </c>
      <c r="X48" s="50" t="str">
        <f>IF(AND(E48="TRACK WARRANT AUTHORITY",G48&lt;10),"OMIT","KEEP")</f>
        <v>KEEP</v>
      </c>
      <c r="Y48" s="119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arrival","project_id":79,"tracker_id":40,"status_id":1,"priority_id":2,"assigned_to_id":23,"start_date":"2016-11-16","description":"","custom_fields":[{"id":1,"name":"Subdivision","value":"EC"},{"id":4,"name":"Milepost","value":"3.3257"},{"id":17,"name":"Train ID","value":"194-16"},{"id":16,"name":"Locomotive ID","value":"4021"},{"id":130,"name":"Impact","value":""},{"id":150,"name":"Time of Event (Mountain Time)","value":"16:42:13"},{"id":151,"name":"Denver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>"grep -hSE -A100 ""Enforcement Action"" "&amp;search_path&amp;"\RTDC"&amp;U48&amp;"\*"&amp;U48&amp;"*"&amp;TEXT(A48-utc_offset/24,"YYYYMMDD")&amp;LEFT(TEXT(A48-utc_offset/24,"HH"),1)&amp;"* | grep -SE ""((Enforcement Ac)|(PRM))"" -"</f>
        <v>grep -hSE -A100 "Enforcement Action" "%USERPROFILE%\AppData\Local\Temp\OnboardLogs"\RTDC4021\*4021*201611162*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"%USERPROFILE%\AppData\Local\Temp\OnboardLogs"\RTDC4021\*4021*201611162* &gt;&gt; 42690-slicedisagreementcheck.txt</v>
      </c>
    </row>
    <row r="49" spans="1:30" x14ac:dyDescent="0.25">
      <c r="A49" s="36">
        <v>42690.74591435185</v>
      </c>
      <c r="B49" s="31" t="s">
        <v>214</v>
      </c>
      <c r="C49" s="31" t="s">
        <v>439</v>
      </c>
      <c r="D49" s="31" t="s">
        <v>98</v>
      </c>
      <c r="E49" s="31" t="s">
        <v>204</v>
      </c>
      <c r="F49" s="47">
        <v>300</v>
      </c>
      <c r="G49" s="47">
        <v>363</v>
      </c>
      <c r="H49" s="47">
        <v>20672</v>
      </c>
      <c r="I49" s="47">
        <v>21718</v>
      </c>
      <c r="J49" s="31" t="s">
        <v>205</v>
      </c>
      <c r="K49" s="47">
        <v>20338</v>
      </c>
      <c r="L49" s="154" t="s">
        <v>50</v>
      </c>
      <c r="M49" s="155">
        <f>CONVERT((I49-K49)/10000,"mi","ft")*IF(L49="Increasing Mileposts (1)",-1,1)</f>
        <v>-728.64</v>
      </c>
      <c r="N49" s="156" t="str">
        <f>VLOOKUP(C49,'Trips&amp;Operators'!$C$1:$E$99999,3,FALSE)</f>
        <v>PERKINS</v>
      </c>
      <c r="O49" s="183" t="s">
        <v>203</v>
      </c>
      <c r="P49" s="157"/>
      <c r="Q49" s="31"/>
      <c r="R49" s="100" t="str">
        <f>VLOOKUP(C49,'Train Runs'!$A$13:$AE$9994,31,0)</f>
        <v>aws s3 cp s3://rtdc.mdm.uploadarchive.raw/RTDC4029/ "%USERPROFILE%\AppData\Local\Temp\OnboardLogs"\RTDC4029\2016-11-16 --exclude "*" --recursive --include "*20161116*" &amp; "%USERPROFILE%\Documents\GitHub\mrs-test-scripts\Headless Mode &amp; Sideloading\WalkAndUnGZ.bat" "%USERPROFILE%\AppData\Local\Temp\OnboardLogs"\RTDC4029\2016-11-16 &amp; aws s3 cp s3://rtdc.mdm.uploadarchive.raw/RTDC4029/ "%USERPROFILE%\AppData\Local\Temp\OnboardLogs"\RTDC4029\2016-11-17 --exclude "*" --recursive --include "*20161117*" &amp; "%USERPROFILE%\Documents\GitHub\mrs-test-scripts\Headless Mode &amp; Sideloading\WalkAndUnGZ.bat" "%USERPROFILE%\AppData\Local\Temp\OnboardLogs"\RTDC4029\2016-11-17</v>
      </c>
      <c r="S49" s="103" t="str">
        <f>VLOOKUP(C49,'Train Runs'!$A$13:$AE$9994,22,0)</f>
        <v>https://search-rtdc-monitor-bjffxe2xuh6vdkpspy63sjmuny.us-east-1.es.amazonaws.com/_plugin/kibana/#/discover/Steve-Slow-Train-Analysis-(2080s-and-2083s)?_g=(refreshInterval:(display:Off,section:0,value:0),time:(from:'2016-11-16 16:43:33-700',mode:absolute,to:'2016-11-16 19:33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9" s="105" t="str">
        <f>astrogrep_path&amp;" /spath="&amp;search_path&amp;" /stypes=""*"&amp;U49&amp;"*"&amp;TEXT(A49-utc_offset/24,"YYYYMMDD")&amp;LEFT(TEXT(A49-utc_offset/24,"HH"),1)&amp;"*"" /stext="" "&amp;TEXT(A49-utc_offset/24,"HH")&amp;search_regexp&amp;""" /e /r /s"</f>
        <v>"C:\Program Files (x86)\AstroGrep\AstroGrep.exe" /spath="%USERPROFILE%\AppData\Local\Temp\OnboardLogs" /stypes="*4029*201611170*" /stext=" 00:.+((SYSTEM_STATE.+slice.+state.+changed )|(ment ac)|(system.+state.+changed )|(\[timeout)|(PRM\|1\|D)|(kpr)|(kdp)|(\|lc)|(penalty))" /e /r /s</v>
      </c>
      <c r="U49" s="9" t="str">
        <f>MID(B49,13,4)</f>
        <v>4029</v>
      </c>
      <c r="V49" s="36">
        <f>A49-utc_offset/24</f>
        <v>42691.037581018514</v>
      </c>
      <c r="W49" s="50" t="str">
        <f>IF(VALUE(LEFT(IF(LEN(C49)=6,"0"&amp;C49,C49),2))&lt;=2,"EC",IF(OR(VALUE(LEFT(IF(LEN(C49)=6,"0"&amp;C49,C49),2))=8,VALUE(LEFT(IF(LEN(C49)=6,"0"&amp;C49,C49),2))=18),"NW","Other"))</f>
        <v>EC</v>
      </c>
      <c r="X49" s="50" t="str">
        <f>IF(AND(E49="TRACK WARRANT AUTHORITY",G49&lt;10),"OMIT","KEEP")</f>
        <v>KEEP</v>
      </c>
      <c r="Y49" s="119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{"issue":{"subject":"","project_id":79,"tracker_id":40,"status_id":1,"priority_id":2,"assigned_to_id":23,"start_date":"2016-11-16","description":"","custom_fields":[{"id":1,"name":"Subdivision","value":"EC"},{"id":4,"name":"Milepost","value":"2.0338"},{"id":17,"name":"Train ID","value":"213-16"},{"id":16,"name":"Locomotive ID","value":"4029"},{"id":130,"name":"Impact","value":""},{"id":150,"name":"Time of Event (Mountain Time)","value":"17:54:07"},{"id":151,"name":"Denver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>"grep -hSE -A100 ""Enforcement Action"" "&amp;search_path&amp;"\RTDC"&amp;U49&amp;"\*"&amp;U49&amp;"*"&amp;TEXT(A49-utc_offset/24,"YYYYMMDD")&amp;LEFT(TEXT(A49-utc_offset/24,"HH"),1)&amp;"* | grep -SE ""((Enforcement Ac)|(PRM))"" -"</f>
        <v>grep -hSE -A100 "Enforcement Action" "%USERPROFILE%\AppData\Local\Temp\OnboardLogs"\RTDC4029\*4029*201611170*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"&amp;Variables!$A$2&amp;"-slicedisagreementcheck.txt"</f>
        <v>grep -hSE "Enforcement Action" "%USERPROFILE%\AppData\Local\Temp\OnboardLogs"\RTDC4029\*4029*201611170* &gt;&gt; 42690-slicedisagreementcheck.txt</v>
      </c>
    </row>
    <row r="50" spans="1:30" x14ac:dyDescent="0.25">
      <c r="A50" s="36">
        <v>42690.752430555556</v>
      </c>
      <c r="B50" s="31" t="s">
        <v>234</v>
      </c>
      <c r="C50" s="31" t="s">
        <v>440</v>
      </c>
      <c r="D50" s="31" t="s">
        <v>49</v>
      </c>
      <c r="E50" s="31" t="s">
        <v>208</v>
      </c>
      <c r="F50" s="47">
        <v>0</v>
      </c>
      <c r="G50" s="47">
        <v>29</v>
      </c>
      <c r="H50" s="47">
        <v>900</v>
      </c>
      <c r="I50" s="47">
        <v>880</v>
      </c>
      <c r="J50" s="31" t="s">
        <v>209</v>
      </c>
      <c r="K50" s="47">
        <v>826</v>
      </c>
      <c r="L50" s="154" t="s">
        <v>51</v>
      </c>
      <c r="M50" s="155">
        <f>CONVERT((I50-K50)/10000,"mi","ft")*IF(L50="Increasing Mileposts (1)",-1,1)</f>
        <v>28.512</v>
      </c>
      <c r="N50" s="156" t="str">
        <f>VLOOKUP(C50,'Trips&amp;Operators'!$C$1:$E$99999,3,FALSE)</f>
        <v>ROMERO</v>
      </c>
      <c r="O50" s="183" t="s">
        <v>203</v>
      </c>
      <c r="P50" s="157"/>
      <c r="Q50" s="31"/>
      <c r="R50" s="100" t="str">
        <f>VLOOKUP(C50,'Train Runs'!$A$13:$AE$9994,31,0)</f>
        <v>aws s3 cp s3://rtdc.mdm.uploadarchive.raw/RTDC4012/ "%USERPROFILE%\AppData\Local\Temp\OnboardLogs"\RTDC4012\2016-11-16 --exclude "*" --recursive --include "*20161116*" &amp; "%USERPROFILE%\Documents\GitHub\mrs-test-scripts\Headless Mode &amp; Sideloading\WalkAndUnGZ.bat" "%USERPROFILE%\AppData\Local\Temp\OnboardLogs"\RTDC4012\2016-11-16 &amp; aws s3 cp s3://rtdc.mdm.uploadarchive.raw/RTDC4012/ "%USERPROFILE%\AppData\Local\Temp\OnboardLogs"\RTDC4012\2016-11-17 --exclude "*" --recursive --include "*20161117*" &amp; "%USERPROFILE%\Documents\GitHub\mrs-test-scripts\Headless Mode &amp; Sideloading\WalkAndUnGZ.bat" "%USERPROFILE%\AppData\Local\Temp\OnboardLogs"\RTDC4012\2016-11-17</v>
      </c>
      <c r="S50" s="103" t="str">
        <f>VLOOKUP(C50,'Train Runs'!$A$13:$AE$9994,22,0)</f>
        <v>https://search-rtdc-monitor-bjffxe2xuh6vdkpspy63sjmuny.us-east-1.es.amazonaws.com/_plugin/kibana/#/discover/Steve-Slow-Train-Analysis-(2080s-and-2083s)?_g=(refreshInterval:(display:Off,section:0,value:0),time:(from:'2016-11-16 16:53:49-700',mode:absolute,to:'2016-11-16 19:03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50" s="105" t="str">
        <f>astrogrep_path&amp;" /spath="&amp;search_path&amp;" /stypes=""*"&amp;U50&amp;"*"&amp;TEXT(A50-utc_offset/24,"YYYYMMDD")&amp;LEFT(TEXT(A50-utc_offset/24,"HH"),1)&amp;"*"" /stext="" "&amp;TEXT(A50-utc_offset/24,"HH")&amp;search_regexp&amp;""" /e /r /s"</f>
        <v>"C:\Program Files (x86)\AstroGrep\AstroGrep.exe" /spath="%USERPROFILE%\AppData\Local\Temp\OnboardLogs" /stypes="*4012*201611170*" /stext=" 01:.+((SYSTEM_STATE.+slice.+state.+changed )|(ment ac)|(system.+state.+changed )|(\[timeout)|(PRM\|1\|D)|(kpr)|(kdp)|(\|lc)|(penalty))" /e /r /s</v>
      </c>
      <c r="U50" s="9" t="str">
        <f>MID(B50,13,4)</f>
        <v>4012</v>
      </c>
      <c r="V50" s="36">
        <f>A50-utc_offset/24</f>
        <v>42691.04409722222</v>
      </c>
      <c r="W50" s="50" t="str">
        <f>IF(VALUE(LEFT(IF(LEN(C50)=6,"0"&amp;C50,C50),2))&lt;=2,"EC",IF(OR(VALUE(LEFT(IF(LEN(C50)=6,"0"&amp;C50,C50),2))=8,VALUE(LEFT(IF(LEN(C50)=6,"0"&amp;C50,C50),2))=18),"NW","Other"))</f>
        <v>Other</v>
      </c>
      <c r="X50" s="50" t="str">
        <f>IF(AND(E50="TRACK WARRANT AUTHORITY",G50&lt;10),"OMIT","KEEP")</f>
        <v>KEEP</v>
      </c>
      <c r="Y50" s="119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{"issue":{"subject":"","project_id":79,"tracker_id":40,"status_id":1,"priority_id":2,"assigned_to_id":23,"start_date":"2016-11-16","description":"","custom_fields":[{"id":1,"name":"Subdivision","value":"Other"},{"id":4,"name":"Milepost","value":"0.0826"},{"id":17,"name":"Train ID","value":"64-16"},{"id":16,"name":"Locomotive ID","value":"4012"},{"id":130,"name":"Impact","value":""},{"id":150,"name":"Time of Event (Mountain Time)","value":"18:03:30"},{"id":151,"name":"Denver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38" t="str">
        <f>"grep -hSE -A100 ""Enforcement Action"" "&amp;search_path&amp;"\RTDC"&amp;U50&amp;"\*"&amp;U50&amp;"*"&amp;TEXT(A50-utc_offset/24,"YYYYMMDD")&amp;LEFT(TEXT(A50-utc_offset/24,"HH"),1)&amp;"* | grep -SE ""((Enforcement Ac)|(PRM))"" -"</f>
        <v>grep -hSE -A100 "Enforcement Action" "%USERPROFILE%\AppData\Local\Temp\OnboardLogs"\RTDC4012\*4012*201611170*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"&amp;Variables!$A$2&amp;"-slicedisagreementcheck.txt"</f>
        <v>grep -hSE "Enforcement Action" "%USERPROFILE%\AppData\Local\Temp\OnboardLogs"\RTDC4012\*4012*201611170* &gt;&gt; 42690-slicedisagreementcheck.txt</v>
      </c>
    </row>
    <row r="51" spans="1:30" x14ac:dyDescent="0.25">
      <c r="A51" s="36">
        <v>42690.754513888889</v>
      </c>
      <c r="B51" s="31" t="s">
        <v>430</v>
      </c>
      <c r="C51" s="31" t="s">
        <v>441</v>
      </c>
      <c r="D51" s="31" t="s">
        <v>98</v>
      </c>
      <c r="E51" s="31" t="s">
        <v>206</v>
      </c>
      <c r="F51" s="47">
        <v>0</v>
      </c>
      <c r="G51" s="47">
        <v>33</v>
      </c>
      <c r="H51" s="47">
        <v>1781</v>
      </c>
      <c r="I51" s="47">
        <v>1838</v>
      </c>
      <c r="J51" s="31" t="s">
        <v>207</v>
      </c>
      <c r="K51" s="47">
        <v>1692</v>
      </c>
      <c r="L51" s="154" t="s">
        <v>50</v>
      </c>
      <c r="M51" s="155">
        <f>CONVERT((I51-K51)/10000,"mi","ft")*IF(L51="Increasing Mileposts (1)",-1,1)</f>
        <v>-77.087999999999994</v>
      </c>
      <c r="N51" s="156" t="str">
        <f>VLOOKUP(C51,'Trips&amp;Operators'!$C$1:$E$99999,3,FALSE)</f>
        <v>LOPES</v>
      </c>
      <c r="O51" s="183" t="s">
        <v>203</v>
      </c>
      <c r="P51" s="157"/>
      <c r="Q51" s="31"/>
      <c r="R51" s="100" t="str">
        <f>VLOOKUP(C51,'Train Runs'!$A$13:$AE$9994,31,0)</f>
        <v>aws s3 cp s3://rtdc.mdm.uploadarchive.raw/RTDC4007/ "%USERPROFILE%\AppData\Local\Temp\OnboardLogs"\RTDC4007\2016-11-16 --exclude "*" --recursive --include "*20161116*" &amp; "%USERPROFILE%\Documents\GitHub\mrs-test-scripts\Headless Mode &amp; Sideloading\WalkAndUnGZ.bat" "%USERPROFILE%\AppData\Local\Temp\OnboardLogs"\RTDC4007\2016-11-16 &amp; aws s3 cp s3://rtdc.mdm.uploadarchive.raw/RTDC4007/ "%USERPROFILE%\AppData\Local\Temp\OnboardLogs"\RTDC4007\2016-11-17 --exclude "*" --recursive --include "*20161117*" &amp; "%USERPROFILE%\Documents\GitHub\mrs-test-scripts\Headless Mode &amp; Sideloading\WalkAndUnGZ.bat" "%USERPROFILE%\AppData\Local\Temp\OnboardLogs"\RTDC4007\2016-11-17</v>
      </c>
      <c r="S51" s="103" t="str">
        <f>VLOOKUP(C51,'Train Runs'!$A$13:$AE$9994,22,0)</f>
        <v>https://search-rtdc-monitor-bjffxe2xuh6vdkpspy63sjmuny.us-east-1.es.amazonaws.com/_plugin/kibana/#/discover/Steve-Slow-Train-Analysis-(2080s-and-2083s)?_g=(refreshInterval:(display:Off,section:0,value:0),time:(from:'2016-11-16 17:03:26-700',mode:absolute,to:'2016-11-16 19:06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51" s="105" t="str">
        <f>astrogrep_path&amp;" /spath="&amp;search_path&amp;" /stypes=""*"&amp;U51&amp;"*"&amp;TEXT(A51-utc_offset/24,"YYYYMMDD")&amp;LEFT(TEXT(A51-utc_offset/24,"HH"),1)&amp;"*"" /stext="" "&amp;TEXT(A51-utc_offset/24,"HH")&amp;search_regexp&amp;""" /e /r /s"</f>
        <v>"C:\Program Files (x86)\AstroGrep\AstroGrep.exe" /spath="%USERPROFILE%\AppData\Local\Temp\OnboardLogs" /stypes="*4007*201611170*" /stext=" 01:.+((SYSTEM_STATE.+slice.+state.+changed )|(ment ac)|(system.+state.+changed )|(\[timeout)|(PRM\|1\|D)|(kpr)|(kdp)|(\|lc)|(penalty))" /e /r /s</v>
      </c>
      <c r="U51" s="9" t="str">
        <f>MID(B51,13,4)</f>
        <v>4007</v>
      </c>
      <c r="V51" s="36">
        <f>A51-utc_offset/24</f>
        <v>42691.046180555553</v>
      </c>
      <c r="W51" s="50" t="str">
        <f>IF(VALUE(LEFT(IF(LEN(C51)=6,"0"&amp;C51,C51),2))&lt;=2,"EC",IF(OR(VALUE(LEFT(IF(LEN(C51)=6,"0"&amp;C51,C51),2))=8,VALUE(LEFT(IF(LEN(C51)=6,"0"&amp;C51,C51),2))=18),"NW","Other"))</f>
        <v>Other</v>
      </c>
      <c r="X51" s="50" t="str">
        <f>IF(AND(E51="TRACK WARRANT AUTHORITY",G51&lt;10),"OMIT","KEEP")</f>
        <v>KEEP</v>
      </c>
      <c r="Y51" s="119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{"issue":{"subject":"","project_id":79,"tracker_id":40,"status_id":1,"priority_id":2,"assigned_to_id":23,"start_date":"2016-11-16","description":"","custom_fields":[{"id":1,"name":"Subdivision","value":"Other"},{"id":4,"name":"Milepost","value":"0.1692"},{"id":17,"name":"Train ID","value":"65-16"},{"id":16,"name":"Locomotive ID","value":"4007"},{"id":130,"name":"Impact","value":""},{"id":150,"name":"Time of Event (Mountain Time)","value":"18:06:30"},{"id":151,"name":"Denver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  <c r="AC51" s="138" t="str">
        <f>"grep -hSE -A100 ""Enforcement Action"" "&amp;search_path&amp;"\RTDC"&amp;U51&amp;"\*"&amp;U51&amp;"*"&amp;TEXT(A51-utc_offset/24,"YYYYMMDD")&amp;LEFT(TEXT(A51-utc_offset/24,"HH"),1)&amp;"* | grep -SE ""((Enforcement Ac)|(PRM))"" -"</f>
        <v>grep -hSE -A100 "Enforcement Action" "%USERPROFILE%\AppData\Local\Temp\OnboardLogs"\RTDC4007\*4007*201611170*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"&amp;Variables!$A$2&amp;"-slicedisagreementcheck.txt"</f>
        <v>grep -hSE "Enforcement Action" "%USERPROFILE%\AppData\Local\Temp\OnboardLogs"\RTDC4007\*4007*201611170* &gt;&gt; 42690-slicedisagreementcheck.txt</v>
      </c>
    </row>
    <row r="52" spans="1:30" x14ac:dyDescent="0.25">
      <c r="A52" s="36">
        <v>42690.764490740738</v>
      </c>
      <c r="B52" s="31" t="s">
        <v>308</v>
      </c>
      <c r="C52" s="31" t="s">
        <v>442</v>
      </c>
      <c r="D52" s="31" t="s">
        <v>98</v>
      </c>
      <c r="E52" s="31" t="s">
        <v>204</v>
      </c>
      <c r="F52" s="47">
        <v>300</v>
      </c>
      <c r="G52" s="47">
        <v>355</v>
      </c>
      <c r="H52" s="47">
        <v>21189</v>
      </c>
      <c r="I52" s="47">
        <v>20542</v>
      </c>
      <c r="J52" s="31" t="s">
        <v>205</v>
      </c>
      <c r="K52" s="47">
        <v>23561</v>
      </c>
      <c r="L52" s="154" t="s">
        <v>51</v>
      </c>
      <c r="M52" s="155">
        <f>CONVERT((I52-K52)/10000,"mi","ft")*IF(L52="Increasing Mileposts (1)",-1,1)</f>
        <v>-1594.0319999999999</v>
      </c>
      <c r="N52" s="156" t="str">
        <f>VLOOKUP(C52,'Trips&amp;Operators'!$C$1:$E$99999,3,FALSE)</f>
        <v>NELSON</v>
      </c>
      <c r="O52" s="183" t="s">
        <v>203</v>
      </c>
      <c r="P52" s="157"/>
      <c r="Q52" s="31"/>
      <c r="R52" s="100" t="str">
        <f>VLOOKUP(C52,'Train Runs'!$A$13:$AE$9994,31,0)</f>
        <v>aws s3 cp s3://rtdc.mdm.uploadarchive.raw/RTDC4045/ "%USERPROFILE%\AppData\Local\Temp\OnboardLogs"\RTDC4045\2016-11-16 --exclude "*" --recursive --include "*20161116*" &amp; "%USERPROFILE%\Documents\GitHub\mrs-test-scripts\Headless Mode &amp; Sideloading\WalkAndUnGZ.bat" "%USERPROFILE%\AppData\Local\Temp\OnboardLogs"\RTDC4045\2016-11-16 &amp; aws s3 cp s3://rtdc.mdm.uploadarchive.raw/RTDC4045/ "%USERPROFILE%\AppData\Local\Temp\OnboardLogs"\RTDC4045\2016-11-17 --exclude "*" --recursive --include "*20161117*" &amp; "%USERPROFILE%\Documents\GitHub\mrs-test-scripts\Headless Mode &amp; Sideloading\WalkAndUnGZ.bat" "%USERPROFILE%\AppData\Local\Temp\OnboardLogs"\RTDC4045\2016-11-17</v>
      </c>
      <c r="S52" s="103" t="str">
        <f>VLOOKUP(C52,'Train Runs'!$A$13:$AE$9994,22,0)</f>
        <v>https://search-rtdc-monitor-bjffxe2xuh6vdkpspy63sjmuny.us-east-1.es.amazonaws.com/_plugin/kibana/#/discover/Steve-Slow-Train-Analysis-(2080s-and-2083s)?_g=(refreshInterval:(display:Off,section:0,value:0),time:(from:'2016-11-16 17:08:38-700',mode:absolute,to:'2016-11-16 19:28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52" s="105" t="str">
        <f>astrogrep_path&amp;" /spath="&amp;search_path&amp;" /stypes=""*"&amp;U52&amp;"*"&amp;TEXT(A52-utc_offset/24,"YYYYMMDD")&amp;LEFT(TEXT(A52-utc_offset/24,"HH"),1)&amp;"*"" /stext="" "&amp;TEXT(A52-utc_offset/24,"HH")&amp;search_regexp&amp;""" /e /r /s"</f>
        <v>"C:\Program Files (x86)\AstroGrep\AstroGrep.exe" /spath="%USERPROFILE%\AppData\Local\Temp\OnboardLogs" /stypes="*4045*201611170*" /stext=" 01:.+((SYSTEM_STATE.+slice.+state.+changed )|(ment ac)|(system.+state.+changed )|(\[timeout)|(PRM\|1\|D)|(kpr)|(kdp)|(\|lc)|(penalty))" /e /r /s</v>
      </c>
      <c r="U52" s="9" t="str">
        <f>MID(B52,13,4)</f>
        <v>4045</v>
      </c>
      <c r="V52" s="36">
        <f>A52-utc_offset/24</f>
        <v>42691.056157407402</v>
      </c>
      <c r="W52" s="50" t="str">
        <f>IF(VALUE(LEFT(IF(LEN(C52)=6,"0"&amp;C52,C52),2))&lt;=2,"EC",IF(OR(VALUE(LEFT(IF(LEN(C52)=6,"0"&amp;C52,C52),2))=8,VALUE(LEFT(IF(LEN(C52)=6,"0"&amp;C52,C52),2))=18),"NW","Other"))</f>
        <v>NW</v>
      </c>
      <c r="X52" s="50" t="str">
        <f>IF(AND(E52="TRACK WARRANT AUTHORITY",G52&lt;10),"OMIT","KEEP")</f>
        <v>KEEP</v>
      </c>
      <c r="Y52" s="119" t="str">
        <f>"echo {""issue"":{""subject"":"""&amp;P52&amp;""",""project_id"":79,""tracker_id"":40,""status_id"":"&amp;redmine_status&amp;",""priority_id"":"&amp;redmine_priority&amp;",""assigned_to_id"":"&amp;redmine_assignee&amp;",""start_date"":"""&amp;TEXT(A52,"YYYY-mm-dd")&amp;""",""description"":"""&amp;Z52&amp;""",""custom_fields"":[{""id"":1,""name"":""Subdivision"",""value"":"""&amp;W52&amp;"""},{""id"":4,""name"":""Milepost"",""value"":"""&amp;K52/10000&amp;"""},{""id"":17,""name"":""Train ID"",""value"":"""&amp;C52&amp;"""},{""id"":16,""name"":""Locomotive ID"",""value"":"""&amp;U52&amp;"""},{""id"":130,""name"":""Impact"",""value"":"""&amp;AA52&amp;"""},{""id"":150,""name"":""Time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Assigned"",""value"":"""&amp;AB52&amp;"""}]}}"&amp;"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{"issue":{"subject":"","project_id":79,"tracker_id":40,"status_id":1,"priority_id":2,"assigned_to_id":23,"start_date":"2016-11-16","description":"","custom_fields":[{"id":1,"name":"Subdivision","value":"NW"},{"id":4,"name":"Milepost","value":"2.3561"},{"id":17,"name":"Train ID","value":"836-16"},{"id":16,"name":"Locomotive ID","value":"4045"},{"id":130,"name":"Impact","value":""},{"id":150,"name":"Time of Event (Mountain Time)","value":"18:20:52"},{"id":151,"name":"Denver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  <c r="AC52" s="138" t="str">
        <f>"grep -hSE -A100 ""Enforcement Action"" "&amp;search_path&amp;"\RTDC"&amp;U52&amp;"\*"&amp;U52&amp;"*"&amp;TEXT(A52-utc_offset/24,"YYYYMMDD")&amp;LEFT(TEXT(A52-utc_offset/24,"HH"),1)&amp;"* | grep -SE ""((Enforcement Ac)|(PRM))"" -"</f>
        <v>grep -hSE -A100 "Enforcement Action" "%USERPROFILE%\AppData\Local\Temp\OnboardLogs"\RTDC4045\*4045*201611170*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"&amp;Variables!$A$2&amp;"-slicedisagreementcheck.txt"</f>
        <v>grep -hSE "Enforcement Action" "%USERPROFILE%\AppData\Local\Temp\OnboardLogs"\RTDC4045\*4045*201611170* &gt;&gt; 42690-slicedisagreementcheck.txt</v>
      </c>
    </row>
    <row r="53" spans="1:30" x14ac:dyDescent="0.25">
      <c r="A53" s="36">
        <v>42690.777326388888</v>
      </c>
      <c r="B53" s="31" t="s">
        <v>290</v>
      </c>
      <c r="C53" s="31" t="s">
        <v>443</v>
      </c>
      <c r="D53" s="31" t="s">
        <v>49</v>
      </c>
      <c r="E53" s="31" t="s">
        <v>208</v>
      </c>
      <c r="F53" s="47">
        <v>0</v>
      </c>
      <c r="G53" s="47">
        <v>130</v>
      </c>
      <c r="H53" s="47">
        <v>515</v>
      </c>
      <c r="I53" s="47">
        <v>415</v>
      </c>
      <c r="J53" s="31" t="s">
        <v>209</v>
      </c>
      <c r="K53" s="47">
        <v>1</v>
      </c>
      <c r="L53" s="154" t="s">
        <v>51</v>
      </c>
      <c r="M53" s="155">
        <f>CONVERT((I53-K53)/10000,"mi","ft")*IF(L53="Increasing Mileposts (1)",-1,1)</f>
        <v>218.59200000000001</v>
      </c>
      <c r="N53" s="156" t="str">
        <f>VLOOKUP(C53,'Trips&amp;Operators'!$C$1:$E$99999,3,FALSE)</f>
        <v>BROWN</v>
      </c>
      <c r="O53" s="183" t="s">
        <v>203</v>
      </c>
      <c r="P53" s="157"/>
      <c r="Q53" s="31"/>
      <c r="R53" s="100" t="str">
        <f>VLOOKUP(C53,'Train Runs'!$A$13:$AE$9994,31,0)</f>
        <v>aws s3 cp s3://rtdc.mdm.uploadarchive.raw/RTDC4013/ "%USERPROFILE%\AppData\Local\Temp\OnboardLogs"\RTDC4013\2016-11-16 --exclude "*" --recursive --include "*20161116*" &amp; "%USERPROFILE%\Documents\GitHub\mrs-test-scripts\Headless Mode &amp; Sideloading\WalkAndUnGZ.bat" "%USERPROFILE%\AppData\Local\Temp\OnboardLogs"\RTDC4013\2016-11-16 &amp; 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</v>
      </c>
      <c r="S53" s="103" t="str">
        <f>VLOOKUP(C53,'Train Runs'!$A$13:$AE$9994,22,0)</f>
        <v>https://search-rtdc-monitor-bjffxe2xuh6vdkpspy63sjmuny.us-east-1.es.amazonaws.com/_plugin/kibana/#/discover/Steve-Slow-Train-Analysis-(2080s-and-2083s)?_g=(refreshInterval:(display:Off,section:0,value:0),time:(from:'2016-11-16 16:56:45-700',mode:absolute,to:'2016-11-16 19:40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53" s="105" t="str">
        <f>astrogrep_path&amp;" /spath="&amp;search_path&amp;" /stypes=""*"&amp;U53&amp;"*"&amp;TEXT(A53-utc_offset/24,"YYYYMMDD")&amp;LEFT(TEXT(A53-utc_offset/24,"HH"),1)&amp;"*"" /stext="" "&amp;TEXT(A53-utc_offset/24,"HH")&amp;search_regexp&amp;""" /e /r /s"</f>
        <v>"C:\Program Files (x86)\AstroGrep\AstroGrep.exe" /spath="%USERPROFILE%\AppData\Local\Temp\OnboardLogs" /stypes="*4013*201611170*" /stext=" 01:.+((SYSTEM_STATE.+slice.+state.+changed )|(ment ac)|(system.+state.+changed )|(\[timeout)|(PRM\|1\|D)|(kpr)|(kdp)|(\|lc)|(penalty))" /e /r /s</v>
      </c>
      <c r="U53" s="9" t="str">
        <f>MID(B53,13,4)</f>
        <v>4013</v>
      </c>
      <c r="V53" s="36">
        <f>A53-utc_offset/24</f>
        <v>42691.068993055553</v>
      </c>
      <c r="W53" s="50" t="str">
        <f>IF(VALUE(LEFT(IF(LEN(C53)=6,"0"&amp;C53,C53),2))&lt;=2,"EC",IF(OR(VALUE(LEFT(IF(LEN(C53)=6,"0"&amp;C53,C53),2))=8,VALUE(LEFT(IF(LEN(C53)=6,"0"&amp;C53,C53),2))=18),"NW","Other"))</f>
        <v>EC</v>
      </c>
      <c r="X53" s="50" t="str">
        <f>IF(AND(E53="TRACK WARRANT AUTHORITY",G53&lt;10),"OMIT","KEEP")</f>
        <v>KEEP</v>
      </c>
      <c r="Y53" s="119" t="str">
        <f>"echo {""issue"":{""subject"":"""&amp;P53&amp;""",""project_id"":79,""tracker_id"":40,""status_id"":"&amp;redmine_status&amp;",""priority_id"":"&amp;redmine_priority&amp;",""assigned_to_id"":"&amp;redmine_assignee&amp;",""start_date"":"""&amp;TEXT(A53,"YYYY-mm-dd")&amp;""",""description"":"""&amp;Z53&amp;""",""custom_fields"":[{""id"":1,""name"":""Subdivision"",""value"":"""&amp;W53&amp;"""},{""id"":4,""name"":""Milepost"",""value"":"""&amp;K53/10000&amp;"""},{""id"":17,""name"":""Train ID"",""value"":"""&amp;C53&amp;"""},{""id"":16,""name"":""Locomotive ID"",""value"":"""&amp;U53&amp;"""},{""id"":130,""name"":""Impact"",""value"":"""&amp;AA53&amp;"""},{""id"":150,""name"":""Time of Event (Mountain Time)"",""value"":"""&amp;TEXT(A53,"hh:mm:ss")&amp;"""},{""id"":151,""name"":""Denver Issue ID"",""value"":"""&amp;"""},{""id"":178,""name"":""Operational Impact"",""value"":"""&amp;redmine_op_impact&amp;"""},{""id"":179,""name"":""Denver Segment Assigned"",""value"":"""&amp;AB53&amp;"""}]}}"&amp;"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{"issue":{"subject":"","project_id":79,"tracker_id":40,"status_id":1,"priority_id":2,"assigned_to_id":23,"start_date":"2016-11-16","description":"","custom_fields":[{"id":1,"name":"Subdivision","value":"EC"},{"id":4,"name":"Milepost","value":"0.0001"},{"id":17,"name":"Train ID","value":"208-16"},{"id":16,"name":"Locomotive ID","value":"4013"},{"id":130,"name":"Impact","value":""},{"id":150,"name":"Time of Event (Mountain Time)","value":"18:39:21"},{"id":151,"name":"Denver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53"/>
      <c r="AC53" s="138" t="str">
        <f>"grep -hSE -A100 ""Enforcement Action"" "&amp;search_path&amp;"\RTDC"&amp;U53&amp;"\*"&amp;U53&amp;"*"&amp;TEXT(A53-utc_offset/24,"YYYYMMDD")&amp;LEFT(TEXT(A53-utc_offset/24,"HH"),1)&amp;"* | grep -SE ""((Enforcement Ac)|(PRM))"" -"</f>
        <v>grep -hSE -A100 "Enforcement Action" "%USERPROFILE%\AppData\Local\Temp\OnboardLogs"\RTDC4013\*4013*201611170*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"&amp;Variables!$A$2&amp;"-slicedisagreementcheck.txt"</f>
        <v>grep -hSE "Enforcement Action" "%USERPROFILE%\AppData\Local\Temp\OnboardLogs"\RTDC4013\*4013*201611170* &gt;&gt; 42690-slicedisagreementcheck.txt</v>
      </c>
    </row>
    <row r="54" spans="1:30" x14ac:dyDescent="0.25">
      <c r="A54" s="36">
        <v>42690.777858796297</v>
      </c>
      <c r="B54" s="31" t="s">
        <v>290</v>
      </c>
      <c r="C54" s="31" t="s">
        <v>443</v>
      </c>
      <c r="D54" s="31" t="s">
        <v>49</v>
      </c>
      <c r="E54" s="31" t="s">
        <v>208</v>
      </c>
      <c r="F54" s="47">
        <v>0</v>
      </c>
      <c r="G54" s="47">
        <v>55</v>
      </c>
      <c r="H54" s="47">
        <v>167</v>
      </c>
      <c r="I54" s="47">
        <v>132</v>
      </c>
      <c r="J54" s="31" t="s">
        <v>209</v>
      </c>
      <c r="K54" s="47">
        <v>1</v>
      </c>
      <c r="L54" s="154" t="s">
        <v>51</v>
      </c>
      <c r="M54" s="155">
        <f>CONVERT((I54-K54)/10000,"mi","ft")*IF(L54="Increasing Mileposts (1)",-1,1)</f>
        <v>69.168000000000006</v>
      </c>
      <c r="N54" s="156" t="str">
        <f>VLOOKUP(C54,'Trips&amp;Operators'!$C$1:$E$99999,3,FALSE)</f>
        <v>BROWN</v>
      </c>
      <c r="O54" s="183" t="s">
        <v>203</v>
      </c>
      <c r="P54" s="157"/>
      <c r="Q54" s="31"/>
      <c r="R54" s="100" t="str">
        <f>VLOOKUP(C54,'Train Runs'!$A$13:$AE$9994,31,0)</f>
        <v>aws s3 cp s3://rtdc.mdm.uploadarchive.raw/RTDC4013/ "%USERPROFILE%\AppData\Local\Temp\OnboardLogs"\RTDC4013\2016-11-16 --exclude "*" --recursive --include "*20161116*" &amp; "%USERPROFILE%\Documents\GitHub\mrs-test-scripts\Headless Mode &amp; Sideloading\WalkAndUnGZ.bat" "%USERPROFILE%\AppData\Local\Temp\OnboardLogs"\RTDC4013\2016-11-16 &amp; aws s3 cp s3://rtdc.mdm.uploadarchive.raw/RTDC4013/ "%USERPROFILE%\AppData\Local\Temp\OnboardLogs"\RTDC4013\2016-11-17 --exclude "*" --recursive --include "*20161117*" &amp; "%USERPROFILE%\Documents\GitHub\mrs-test-scripts\Headless Mode &amp; Sideloading\WalkAndUnGZ.bat" "%USERPROFILE%\AppData\Local\Temp\OnboardLogs"\RTDC4013\2016-11-17</v>
      </c>
      <c r="S54" s="103" t="str">
        <f>VLOOKUP(C54,'Train Runs'!$A$13:$AE$9994,22,0)</f>
        <v>https://search-rtdc-monitor-bjffxe2xuh6vdkpspy63sjmuny.us-east-1.es.amazonaws.com/_plugin/kibana/#/discover/Steve-Slow-Train-Analysis-(2080s-and-2083s)?_g=(refreshInterval:(display:Off,section:0,value:0),time:(from:'2016-11-16 16:56:45-700',mode:absolute,to:'2016-11-16 19:40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54" s="105" t="str">
        <f>astrogrep_path&amp;" /spath="&amp;search_path&amp;" /stypes=""*"&amp;U54&amp;"*"&amp;TEXT(A54-utc_offset/24,"YYYYMMDD")&amp;LEFT(TEXT(A54-utc_offset/24,"HH"),1)&amp;"*"" /stext="" "&amp;TEXT(A54-utc_offset/24,"HH")&amp;search_regexp&amp;""" /e /r /s"</f>
        <v>"C:\Program Files (x86)\AstroGrep\AstroGrep.exe" /spath="%USERPROFILE%\AppData\Local\Temp\OnboardLogs" /stypes="*4013*201611170*" /stext=" 01:.+((SYSTEM_STATE.+slice.+state.+changed )|(ment ac)|(system.+state.+changed )|(\[timeout)|(PRM\|1\|D)|(kpr)|(kdp)|(\|lc)|(penalty))" /e /r /s</v>
      </c>
      <c r="U54" s="9" t="str">
        <f>MID(B54,13,4)</f>
        <v>4013</v>
      </c>
      <c r="V54" s="36">
        <f>A54-utc_offset/24</f>
        <v>42691.069525462961</v>
      </c>
      <c r="W54" s="50" t="str">
        <f>IF(VALUE(LEFT(IF(LEN(C54)=6,"0"&amp;C54,C54),2))&lt;=2,"EC",IF(OR(VALUE(LEFT(IF(LEN(C54)=6,"0"&amp;C54,C54),2))=8,VALUE(LEFT(IF(LEN(C54)=6,"0"&amp;C54,C54),2))=18),"NW","Other"))</f>
        <v>EC</v>
      </c>
      <c r="X54" s="50" t="str">
        <f>IF(AND(E54="TRACK WARRANT AUTHORITY",G54&lt;10),"OMIT","KEEP")</f>
        <v>KEEP</v>
      </c>
      <c r="Y54" s="119" t="str">
        <f>"echo {""issue"":{""subject"":"""&amp;P54&amp;""",""project_id"":79,""tracker_id"":40,""status_id"":"&amp;redmine_status&amp;",""priority_id"":"&amp;redmine_priority&amp;",""assigned_to_id"":"&amp;redmine_assignee&amp;",""start_date"":"""&amp;TEXT(A54,"YYYY-mm-dd")&amp;""",""description"":"""&amp;Z54&amp;""",""custom_fields"":[{""id"":1,""name"":""Subdivision"",""value"":"""&amp;W54&amp;"""},{""id"":4,""name"":""Milepost"",""value"":"""&amp;K54/10000&amp;"""},{""id"":17,""name"":""Train ID"",""value"":"""&amp;C54&amp;"""},{""id"":16,""name"":""Locomotive ID"",""value"":"""&amp;U54&amp;"""},{""id"":130,""name"":""Impact"",""value"":"""&amp;AA54&amp;"""},{""id"":150,""name"":""Time of Event (Mountain Time)"",""value"":"""&amp;TEXT(A54,"hh:mm:ss")&amp;"""},{""id"":151,""name"":""Denver Issue ID"",""value"":"""&amp;"""},{""id"":178,""name"":""Operational Impact"",""value"":"""&amp;redmine_op_impact&amp;"""},{""id"":179,""name"":""Denver Segment Assigned"",""value"":"""&amp;AB54&amp;"""}]}}"&amp;"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{"issue":{"subject":"","project_id":79,"tracker_id":40,"status_id":1,"priority_id":2,"assigned_to_id":23,"start_date":"2016-11-16","description":"","custom_fields":[{"id":1,"name":"Subdivision","value":"EC"},{"id":4,"name":"Milepost","value":"0.0001"},{"id":17,"name":"Train ID","value":"208-16"},{"id":16,"name":"Locomotive ID","value":"4013"},{"id":130,"name":"Impact","value":""},{"id":150,"name":"Time of Event (Mountain Time)","value":"18:40:07"},{"id":151,"name":"Denver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3"/>
      <c r="AA54" s="53"/>
      <c r="AB54" s="53"/>
      <c r="AC54" s="138" t="str">
        <f>"grep -hSE -A100 ""Enforcement Action"" "&amp;search_path&amp;"\RTDC"&amp;U54&amp;"\*"&amp;U54&amp;"*"&amp;TEXT(A54-utc_offset/24,"YYYYMMDD")&amp;LEFT(TEXT(A54-utc_offset/24,"HH"),1)&amp;"* | grep -SE ""((Enforcement Ac)|(PRM))"" -"</f>
        <v>grep -hSE -A100 "Enforcement Action" "%USERPROFILE%\AppData\Local\Temp\OnboardLogs"\RTDC4013\*4013*201611170*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"&amp;Variables!$A$2&amp;"-slicedisagreementcheck.txt"</f>
        <v>grep -hSE "Enforcement Action" "%USERPROFILE%\AppData\Local\Temp\OnboardLogs"\RTDC4013\*4013*201611170* &gt;&gt; 42690-slicedisagreementcheck.txt</v>
      </c>
    </row>
    <row r="55" spans="1:30" x14ac:dyDescent="0.25">
      <c r="A55" s="36">
        <v>42690.780613425923</v>
      </c>
      <c r="B55" s="31" t="s">
        <v>243</v>
      </c>
      <c r="C55" s="31" t="s">
        <v>444</v>
      </c>
      <c r="D55" s="31" t="s">
        <v>98</v>
      </c>
      <c r="E55" s="31" t="s">
        <v>422</v>
      </c>
      <c r="F55" s="47">
        <v>150</v>
      </c>
      <c r="G55" s="47">
        <v>201</v>
      </c>
      <c r="H55" s="47">
        <v>26695</v>
      </c>
      <c r="I55" s="47">
        <v>26334</v>
      </c>
      <c r="J55" s="31" t="s">
        <v>153</v>
      </c>
      <c r="K55" s="47">
        <v>27399</v>
      </c>
      <c r="L55" s="154" t="s">
        <v>51</v>
      </c>
      <c r="M55" s="155">
        <f>CONVERT((I55-K55)/10000,"mi","ft")*IF(L55="Increasing Mileposts (1)",-1,1)</f>
        <v>-562.32000000000005</v>
      </c>
      <c r="N55" s="156" t="str">
        <f>VLOOKUP(C55,'Trips&amp;Operators'!$C$1:$E$99999,3,FALSE)</f>
        <v>MCREYNOLDS</v>
      </c>
      <c r="O55" s="183" t="s">
        <v>203</v>
      </c>
      <c r="P55" s="157"/>
      <c r="Q55" s="31"/>
      <c r="R55" s="100" t="str">
        <f>VLOOKUP(C55,'Train Runs'!$A$13:$AE$9994,31,0)</f>
        <v>aws s3 cp s3://rtdc.mdm.uploadarchive.raw/RTDC4015/ "%USERPROFILE%\AppData\Local\Temp\OnboardLogs"\RTDC4015\2016-11-16 --exclude "*" --recursive --include "*20161116*" &amp; "%USERPROFILE%\Documents\GitHub\mrs-test-scripts\Headless Mode &amp; Sideloading\WalkAndUnGZ.bat" "%USERPROFILE%\AppData\Local\Temp\OnboardLogs"\RTDC4015\2016-11-16 &amp; aws s3 cp s3://rtdc.mdm.uploadarchive.raw/RTDC4015/ "%USERPROFILE%\AppData\Local\Temp\OnboardLogs"\RTDC4015\2016-11-17 --exclude "*" --recursive --include "*20161117*" &amp; "%USERPROFILE%\Documents\GitHub\mrs-test-scripts\Headless Mode &amp; Sideloading\WalkAndUnGZ.bat" "%USERPROFILE%\AppData\Local\Temp\OnboardLogs"\RTDC4015\2016-11-17</v>
      </c>
      <c r="S55" s="103" t="str">
        <f>VLOOKUP(C55,'Train Runs'!$A$13:$AE$9994,22,0)</f>
        <v>https://search-rtdc-monitor-bjffxe2xuh6vdkpspy63sjmuny.us-east-1.es.amazonaws.com/_plugin/kibana/#/discover/Steve-Slow-Train-Analysis-(2080s-and-2083s)?_g=(refreshInterval:(display:Off,section:0,value:0),time:(from:'2016-11-16 17:09:14-700',mode:absolute,to:'2016-11-16 19:51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55" s="105" t="str">
        <f>astrogrep_path&amp;" /spath="&amp;search_path&amp;" /stypes=""*"&amp;U55&amp;"*"&amp;TEXT(A55-utc_offset/24,"YYYYMMDD")&amp;LEFT(TEXT(A55-utc_offset/24,"HH"),1)&amp;"*"" /stext="" "&amp;TEXT(A55-utc_offset/24,"HH")&amp;search_regexp&amp;""" /e /r /s"</f>
        <v>"C:\Program Files (x86)\AstroGrep\AstroGrep.exe" /spath="%USERPROFILE%\AppData\Local\Temp\OnboardLogs" /stypes="*4015*201611170*" /stext=" 01:.+((SYSTEM_STATE.+slice.+state.+changed )|(ment ac)|(system.+state.+changed )|(\[timeout)|(PRM\|1\|D)|(kpr)|(kdp)|(\|lc)|(penalty))" /e /r /s</v>
      </c>
      <c r="U55" s="9" t="str">
        <f>MID(B55,13,4)</f>
        <v>4015</v>
      </c>
      <c r="V55" s="36">
        <f>A55-utc_offset/24</f>
        <v>42691.072280092587</v>
      </c>
      <c r="W55" s="50" t="str">
        <f>IF(VALUE(LEFT(IF(LEN(C55)=6,"0"&amp;C55,C55),2))&lt;=2,"EC",IF(OR(VALUE(LEFT(IF(LEN(C55)=6,"0"&amp;C55,C55),2))=8,VALUE(LEFT(IF(LEN(C55)=6,"0"&amp;C55,C55),2))=18),"NW","Other"))</f>
        <v>EC</v>
      </c>
      <c r="X55" s="50" t="str">
        <f>IF(AND(E55="TRACK WARRANT AUTHORITY",G55&lt;10),"OMIT","KEEP")</f>
        <v>KEEP</v>
      </c>
      <c r="Y55" s="119" t="str">
        <f>"echo {""issue"":{""subject"":"""&amp;P55&amp;""",""project_id"":79,""tracker_id"":40,""status_id"":"&amp;redmine_status&amp;",""priority_id"":"&amp;redmine_priority&amp;",""assigned_to_id"":"&amp;redmine_assignee&amp;",""start_date"":"""&amp;TEXT(A55,"YYYY-mm-dd")&amp;""",""description"":"""&amp;Z55&amp;""",""custom_fields"":[{""id"":1,""name"":""Subdivision"",""value"":"""&amp;W55&amp;"""},{""id"":4,""name"":""Milepost"",""value"":"""&amp;K55/10000&amp;"""},{""id"":17,""name"":""Train ID"",""value"":"""&amp;C55&amp;"""},{""id"":16,""name"":""Locomotive ID"",""value"":"""&amp;U55&amp;"""},{""id"":130,""name"":""Impact"",""value"":"""&amp;AA55&amp;"""},{""id"":150,""name"":""Time of Event (Mountain Time)"",""value"":"""&amp;TEXT(A55,"hh:mm:ss")&amp;"""},{""id"":151,""name"":""Denver Issue ID"",""value"":"""&amp;"""},{""id"":178,""name"":""Operational Impact"",""value"":"""&amp;redmine_op_impact&amp;"""},{""id"":179,""name"":""Denver Segment Assigned"",""value"":"""&amp;AB55&amp;"""}]}}"&amp;"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{"issue":{"subject":"","project_id":79,"tracker_id":40,"status_id":1,"priority_id":2,"assigned_to_id":23,"start_date":"2016-11-16","description":"","custom_fields":[{"id":1,"name":"Subdivision","value":"EC"},{"id":4,"name":"Milepost","value":"2.7399"},{"id":17,"name":"Train ID","value":"210-16"},{"id":16,"name":"Locomotive ID","value":"4015"},{"id":130,"name":"Impact","value":""},{"id":150,"name":"Time of Event (Mountain Time)","value":"18:44:05"},{"id":151,"name":"Denver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3"/>
      <c r="AA55" s="53"/>
      <c r="AB55" s="53"/>
      <c r="AC55" s="138" t="str">
        <f>"grep -hSE -A100 ""Enforcement Action"" "&amp;search_path&amp;"\RTDC"&amp;U55&amp;"\*"&amp;U55&amp;"*"&amp;TEXT(A55-utc_offset/24,"YYYYMMDD")&amp;LEFT(TEXT(A55-utc_offset/24,"HH"),1)&amp;"* | grep -SE ""((Enforcement Ac)|(PRM))"" -"</f>
        <v>grep -hSE -A100 "Enforcement Action" "%USERPROFILE%\AppData\Local\Temp\OnboardLogs"\RTDC4015\*4015*201611170*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"&amp;Variables!$A$2&amp;"-slicedisagreementcheck.txt"</f>
        <v>grep -hSE "Enforcement Action" "%USERPROFILE%\AppData\Local\Temp\OnboardLogs"\RTDC4015\*4015*201611170* &gt;&gt; 42690-slicedisagreementcheck.txt</v>
      </c>
    </row>
    <row r="56" spans="1:30" x14ac:dyDescent="0.25">
      <c r="A56" s="36">
        <v>42690.80296296296</v>
      </c>
      <c r="B56" s="31" t="s">
        <v>249</v>
      </c>
      <c r="C56" s="31" t="s">
        <v>445</v>
      </c>
      <c r="D56" s="31" t="s">
        <v>49</v>
      </c>
      <c r="E56" s="31" t="s">
        <v>154</v>
      </c>
      <c r="F56" s="47">
        <v>90</v>
      </c>
      <c r="G56" s="47">
        <v>149</v>
      </c>
      <c r="H56" s="47">
        <v>10335</v>
      </c>
      <c r="I56" s="47">
        <v>10560</v>
      </c>
      <c r="J56" s="31" t="s">
        <v>153</v>
      </c>
      <c r="K56" s="47">
        <v>10716</v>
      </c>
      <c r="L56" s="154" t="s">
        <v>50</v>
      </c>
      <c r="M56" s="155">
        <f>CONVERT((I56-K56)/10000,"mi","ft")*IF(L56="Increasing Mileposts (1)",-1,1)</f>
        <v>82.367999999999995</v>
      </c>
      <c r="N56" s="156" t="str">
        <f>VLOOKUP(C56,'Trips&amp;Operators'!$C$1:$E$99999,3,FALSE)</f>
        <v>ADANE</v>
      </c>
      <c r="O56" s="183" t="s">
        <v>203</v>
      </c>
      <c r="P56" s="157"/>
      <c r="Q56" s="31"/>
      <c r="R56" s="100" t="str">
        <f>VLOOKUP(C56,'Train Runs'!$A$13:$AE$9994,31,0)</f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S56" s="103" t="str">
        <f>VLOOKUP(C56,'Train Runs'!$A$13:$AE$9994,22,0)</f>
        <v>https://search-rtdc-monitor-bjffxe2xuh6vdkpspy63sjmuny.us-east-1.es.amazonaws.com/_plugin/kibana/#/discover/Steve-Slow-Train-Analysis-(2080s-and-2083s)?_g=(refreshInterval:(display:Off,section:0,value:0),time:(from:'2016-11-16 18:10:49-700',mode:absolute,to:'1969-12-31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56" s="105" t="str">
        <f>astrogrep_path&amp;" /spath="&amp;search_path&amp;" /stypes=""*"&amp;U56&amp;"*"&amp;TEXT(A56-utc_offset/24,"YYYYMMDD")&amp;LEFT(TEXT(A56-utc_offset/24,"HH"),1)&amp;"*"" /stext="" "&amp;TEXT(A56-utc_offset/24,"HH")&amp;search_regexp&amp;""" /e /r /s"</f>
        <v>"C:\Program Files (x86)\AstroGrep\AstroGrep.exe" /spath="%USERPROFILE%\AppData\Local\Temp\OnboardLogs" /stypes="*4022*201611170*" /stext=" 02:.+((SYSTEM_STATE.+slice.+state.+changed )|(ment ac)|(system.+state.+changed )|(\[timeout)|(PRM\|1\|D)|(kpr)|(kdp)|(\|lc)|(penalty))" /e /r /s</v>
      </c>
      <c r="U56" s="9" t="str">
        <f>MID(B56,13,4)</f>
        <v>4022</v>
      </c>
      <c r="V56" s="36">
        <f>A56-utc_offset/24</f>
        <v>42691.094629629624</v>
      </c>
      <c r="W56" s="50" t="str">
        <f>IF(VALUE(LEFT(IF(LEN(C56)=6,"0"&amp;C56,C56),2))&lt;=2,"EC",IF(OR(VALUE(LEFT(IF(LEN(C56)=6,"0"&amp;C56,C56),2))=8,VALUE(LEFT(IF(LEN(C56)=6,"0"&amp;C56,C56),2))=18),"NW","Other"))</f>
        <v>Other</v>
      </c>
      <c r="X56" s="50" t="str">
        <f>IF(AND(E56="TRACK WARRANT AUTHORITY",G56&lt;10),"OMIT","KEEP")</f>
        <v>KEEP</v>
      </c>
      <c r="Y56" s="119" t="str">
        <f>"echo {""issue"":{""subject"":"""&amp;P56&amp;""",""project_id"":79,""tracker_id"":40,""status_id"":"&amp;redmine_status&amp;",""priority_id"":"&amp;redmine_priority&amp;",""assigned_to_id"":"&amp;redmine_assignee&amp;",""start_date"":"""&amp;TEXT(A56,"YYYY-mm-dd")&amp;""",""description"":"""&amp;Z56&amp;""",""custom_fields"":[{""id"":1,""name"":""Subdivision"",""value"":"""&amp;W56&amp;"""},{""id"":4,""name"":""Milepost"",""value"":"""&amp;K56/10000&amp;"""},{""id"":17,""name"":""Train ID"",""value"":"""&amp;C56&amp;"""},{""id"":16,""name"":""Locomotive ID"",""value"":"""&amp;U56&amp;"""},{""id"":130,""name"":""Impact"",""value"":"""&amp;AA56&amp;"""},{""id"":150,""name"":""Time of Event (Mountain Time)"",""value"":"""&amp;TEXT(A56,"hh:mm:ss")&amp;"""},{""id"":151,""name"":""Denver Issue ID"",""value"":"""&amp;"""},{""id"":178,""name"":""Operational Impact"",""value"":"""&amp;redmine_op_impact&amp;"""},{""id"":179,""name"":""Denver Segment Assigned"",""value"":"""&amp;AB56&amp;"""}]}}"&amp;"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{"issue":{"subject":"","project_id":79,"tracker_id":40,"status_id":1,"priority_id":2,"assigned_to_id":23,"start_date":"2016-11-16","description":"","custom_fields":[{"id":1,"name":"Subdivision","value":"Other"},{"id":4,"name":"Milepost","value":"1.0716"},{"id":17,"name":"Train ID","value":"305-16"},{"id":16,"name":"Locomotive ID","value":"4022"},{"id":130,"name":"Impact","value":""},{"id":150,"name":"Time of Event (Mountain Time)","value":"19:16:16"},{"id":151,"name":"Denver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3"/>
      <c r="AA56" s="53"/>
      <c r="AB56" s="53"/>
      <c r="AC56" s="138" t="str">
        <f>"grep -hSE -A100 ""Enforcement Action"" "&amp;search_path&amp;"\RTDC"&amp;U56&amp;"\*"&amp;U56&amp;"*"&amp;TEXT(A56-utc_offset/24,"YYYYMMDD")&amp;LEFT(TEXT(A56-utc_offset/24,"HH"),1)&amp;"* | grep -SE ""((Enforcement Ac)|(PRM))"" -"</f>
        <v>grep -hSE -A100 "Enforcement Action" "%USERPROFILE%\AppData\Local\Temp\OnboardLogs"\RTDC4022\*4022*201611170*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"&amp;Variables!$A$2&amp;"-slicedisagreementcheck.txt"</f>
        <v>grep -hSE "Enforcement Action" "%USERPROFILE%\AppData\Local\Temp\OnboardLogs"\RTDC4022\*4022*201611170* &gt;&gt; 42690-slicedisagreementcheck.txt</v>
      </c>
    </row>
    <row r="57" spans="1:30" x14ac:dyDescent="0.25">
      <c r="A57" s="36">
        <v>42690.852858796294</v>
      </c>
      <c r="B57" s="31" t="s">
        <v>347</v>
      </c>
      <c r="C57" s="31" t="s">
        <v>446</v>
      </c>
      <c r="D57" s="31" t="s">
        <v>49</v>
      </c>
      <c r="E57" s="31" t="s">
        <v>447</v>
      </c>
      <c r="F57" s="47">
        <v>0</v>
      </c>
      <c r="G57" s="47">
        <v>295</v>
      </c>
      <c r="H57" s="47">
        <v>22930</v>
      </c>
      <c r="I57" s="47">
        <v>0</v>
      </c>
      <c r="J57" s="31" t="s">
        <v>448</v>
      </c>
      <c r="K57" s="47">
        <v>23574</v>
      </c>
      <c r="L57" s="154" t="s">
        <v>50</v>
      </c>
      <c r="M57" s="155">
        <f>CONVERT((I57-K57)/10000,"mi","ft")*IF(L57="Increasing Mileposts (1)",-1,1)</f>
        <v>12447.072</v>
      </c>
      <c r="N57" s="156" t="str">
        <f>VLOOKUP(C57,'Trips&amp;Operators'!$C$1:$E$99999,3,FALSE)</f>
        <v>JOHNSON</v>
      </c>
      <c r="O57" s="183" t="s">
        <v>396</v>
      </c>
      <c r="P57" s="157" t="s">
        <v>812</v>
      </c>
      <c r="Q57" s="31"/>
      <c r="R57" s="100" t="str">
        <f>VLOOKUP(C57,'Train Runs'!$A$13:$AE$9994,31,0)</f>
        <v>aws s3 cp s3://rtdc.mdm.uploadarchive.raw/RTDC4025/ "%USERPROFILE%\AppData\Local\Temp\OnboardLogs"\RTDC4025\2016-11-16 --exclude "*" --recursive --include "*20161116*" &amp; "%USERPROFILE%\Documents\GitHub\mrs-test-scripts\Headless Mode &amp; Sideloading\WalkAndUnGZ.bat" "%USERPROFILE%\AppData\Local\Temp\OnboardLogs"\RTDC4025\2016-11-16 &amp; aws s3 cp s3://rtdc.mdm.uploadarchive.raw/RTDC4025/ "%USERPROFILE%\AppData\Local\Temp\OnboardLogs"\RTDC4025\2016-11-17 --exclude "*" --recursive --include "*20161117*" &amp; "%USERPROFILE%\Documents\GitHub\mrs-test-scripts\Headless Mode &amp; Sideloading\WalkAndUnGZ.bat" "%USERPROFILE%\AppData\Local\Temp\OnboardLogs"\RTDC4025\2016-11-17</v>
      </c>
      <c r="S57" s="103" t="str">
        <f>VLOOKUP(C57,'Train Runs'!$A$13:$AE$9994,22,0)</f>
        <v>https://search-rtdc-monitor-bjffxe2xuh6vdkpspy63sjmuny.us-east-1.es.amazonaws.com/_plugin/kibana/#/discover/Steve-Slow-Train-Analysis-(2080s-and-2083s)?_g=(refreshInterval:(display:Off,section:0,value:0),time:(from:'2016-11-16 19:14:06-700',mode:absolute,to:'2016-11-16 21:29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57" s="105" t="str">
        <f>astrogrep_path&amp;" /spath="&amp;search_path&amp;" /stypes=""*"&amp;U57&amp;"*"&amp;TEXT(A57-utc_offset/24,"YYYYMMDD")&amp;LEFT(TEXT(A57-utc_offset/24,"HH"),1)&amp;"*"" /stext="" "&amp;TEXT(A57-utc_offset/24,"HH")&amp;search_regexp&amp;""" /e /r /s"</f>
        <v>"C:\Program Files (x86)\AstroGrep\AstroGrep.exe" /spath="%USERPROFILE%\AppData\Local\Temp\OnboardLogs" /stypes="*4025*201611170*" /stext=" 03:.+((SYSTEM_STATE.+slice.+state.+changed )|(ment ac)|(system.+state.+changed )|(\[timeout)|(PRM\|1\|D)|(kpr)|(kdp)|(\|lc)|(penalty))" /e /r /s</v>
      </c>
      <c r="U57" s="9" t="str">
        <f>MID(B57,13,4)</f>
        <v>4025</v>
      </c>
      <c r="V57" s="36">
        <f>A57-utc_offset/24</f>
        <v>42691.144525462958</v>
      </c>
      <c r="W57" s="50" t="str">
        <f>IF(VALUE(LEFT(IF(LEN(C57)=6,"0"&amp;C57,C57),2))&lt;=2,"EC",IF(OR(VALUE(LEFT(IF(LEN(C57)=6,"0"&amp;C57,C57),2))=8,VALUE(LEFT(IF(LEN(C57)=6,"0"&amp;C57,C57),2))=18),"NW","Other"))</f>
        <v>NW</v>
      </c>
      <c r="X57" s="50" t="str">
        <f>IF(AND(E57="TRACK WARRANT AUTHORITY",G57&lt;10),"OMIT","KEEP")</f>
        <v>KEEP</v>
      </c>
      <c r="Y57" s="119" t="str">
        <f>"echo {""issue"":{""subject"":"""&amp;P57&amp;""",""project_id"":79,""tracker_id"":40,""status_id"":"&amp;redmine_status&amp;",""priority_id"":"&amp;redmine_priority&amp;",""assigned_to_id"":"&amp;redmine_assignee&amp;",""start_date"":"""&amp;TEXT(A57,"YYYY-mm-dd")&amp;""",""description"":"""&amp;Z57&amp;""",""custom_fields"":[{""id"":1,""name"":""Subdivision"",""value"":"""&amp;W57&amp;"""},{""id"":4,""name"":""Milepost"",""value"":"""&amp;K57/10000&amp;"""},{""id"":17,""name"":""Train ID"",""value"":"""&amp;C57&amp;"""},{""id"":16,""name"":""Locomotive ID"",""value"":"""&amp;U57&amp;"""},{""id"":130,""name"":""Impact"",""value"":"""&amp;AA57&amp;"""},{""id"":150,""name"":""Time of Event (Mountain Time)"",""value"":"""&amp;TEXT(A57,"hh:mm:ss")&amp;"""},{""id"":151,""name"":""Denver Issue ID"",""value"":"""&amp;"""},{""id"":178,""name"":""Operational Impact"",""value"":"""&amp;redmine_op_impact&amp;"""},{""id"":179,""name"":""Denver Segment Assigned"",""value"":"""&amp;AB57&amp;"""}]}}"&amp;"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-11-16","description":"http://stevetu21.github.io/eaglep3/load_kml.html?kml=http://rtdc.gmaps-snips.s3.amazonaws.com/51ad0f3b-a2d1-4c34-a712-f246f491f3b1.kml","custom_fields":[{"id":1,"name":"Subdivision","value":"NW"},{"id":4,"name":"Milepost","value":"2.3574"},{"id":17,"name":"Train ID","value":"843-16"},{"id":16,"name":"Locomotive ID","value":"4025"},{"id":130,"name":"Impact","value":"Enforcement"},{"id":150,"name":"Time of Event (Mountain Time)","value":"20:28:07"},{"id":151,"name":"Denver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57" s="184" t="s">
        <v>811</v>
      </c>
      <c r="AA57" s="53" t="s">
        <v>125</v>
      </c>
      <c r="AB57" s="53" t="s">
        <v>138</v>
      </c>
      <c r="AC57" s="138" t="str">
        <f>"grep -hSE -A100 ""Enforcement Action"" "&amp;search_path&amp;"\RTDC"&amp;U57&amp;"\*"&amp;U57&amp;"*"&amp;TEXT(A57-utc_offset/24,"YYYYMMDD")&amp;LEFT(TEXT(A57-utc_offset/24,"HH"),1)&amp;"* | grep -SE ""((Enforcement Ac)|(PRM))"" -"</f>
        <v>grep -hSE -A100 "Enforcement Action" "%USERPROFILE%\AppData\Local\Temp\OnboardLogs"\RTDC4025\*4025*201611170* | grep -SE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"&amp;Variables!$A$2&amp;"-slicedisagreementcheck.txt"</f>
        <v>grep -hSE "Enforcement Action" "%USERPROFILE%\AppData\Local\Temp\OnboardLogs"\RTDC4025\*4025*201611170* &gt;&gt; 42690-slicedisagreementcheck.txt</v>
      </c>
    </row>
    <row r="58" spans="1:30" x14ac:dyDescent="0.25">
      <c r="A58" s="36">
        <v>42690.894270833334</v>
      </c>
      <c r="B58" s="31" t="s">
        <v>347</v>
      </c>
      <c r="C58" s="31" t="s">
        <v>449</v>
      </c>
      <c r="D58" s="31" t="s">
        <v>49</v>
      </c>
      <c r="E58" s="31" t="s">
        <v>447</v>
      </c>
      <c r="F58" s="47">
        <v>0</v>
      </c>
      <c r="G58" s="47">
        <v>296</v>
      </c>
      <c r="H58" s="47">
        <v>20757</v>
      </c>
      <c r="I58" s="47">
        <v>21558</v>
      </c>
      <c r="J58" s="31" t="s">
        <v>448</v>
      </c>
      <c r="K58" s="47">
        <v>22372</v>
      </c>
      <c r="L58" s="154" t="s">
        <v>50</v>
      </c>
      <c r="M58" s="155">
        <f>CONVERT((I58-K58)/10000,"mi","ft")*IF(L58="Increasing Mileposts (1)",-1,1)</f>
        <v>429.79199999999997</v>
      </c>
      <c r="N58" s="156" t="str">
        <f>VLOOKUP(C58,'Trips&amp;Operators'!$C$1:$E$99999,3,FALSE)</f>
        <v>NELSON</v>
      </c>
      <c r="O58" s="183" t="s">
        <v>396</v>
      </c>
      <c r="P58" s="157" t="s">
        <v>812</v>
      </c>
      <c r="Q58" s="31"/>
      <c r="R58" s="100" t="str">
        <f>VLOOKUP(C58,'Train Runs'!$A$13:$AE$9994,31,0)</f>
        <v>aws s3 cp s3://rtdc.mdm.uploadarchive.raw/RTDC4025/ "%USERPROFILE%\AppData\Local\Temp\OnboardLogs"\RTDC4025\2016-11-16 --exclude "*" --recursive --include "*20161116*" &amp; "%USERPROFILE%\Documents\GitHub\mrs-test-scripts\Headless Mode &amp; Sideloading\WalkAndUnGZ.bat" "%USERPROFILE%\AppData\Local\Temp\OnboardLogs"\RTDC4025\2016-11-16 &amp; aws s3 cp s3://rtdc.mdm.uploadarchive.raw/RTDC4025/ "%USERPROFILE%\AppData\Local\Temp\OnboardLogs"\RTDC4025\2016-11-17 --exclude "*" --recursive --include "*20161117*" &amp; "%USERPROFILE%\Documents\GitHub\mrs-test-scripts\Headless Mode &amp; Sideloading\WalkAndUnGZ.bat" "%USERPROFILE%\AppData\Local\Temp\OnboardLogs"\RTDC4025\2016-11-17</v>
      </c>
      <c r="S58" s="103" t="str">
        <f>VLOOKUP(C58,'Train Runs'!$A$13:$AE$9994,22,0)</f>
        <v>https://search-rtdc-monitor-bjffxe2xuh6vdkpspy63sjmuny.us-east-1.es.amazonaws.com/_plugin/kibana/#/discover/Steve-Slow-Train-Analysis-(2080s-and-2083s)?_g=(refreshInterval:(display:Off,section:0,value:0),time:(from:'2016-11-16 20:10:48-700',mode:absolute,to:'2016-11-16 22:39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58" s="105" t="str">
        <f>astrogrep_path&amp;" /spath="&amp;search_path&amp;" /stypes=""*"&amp;U58&amp;"*"&amp;TEXT(A58-utc_offset/24,"YYYYMMDD")&amp;LEFT(TEXT(A58-utc_offset/24,"HH"),1)&amp;"*"" /stext="" "&amp;TEXT(A58-utc_offset/24,"HH")&amp;search_regexp&amp;""" /e /r /s"</f>
        <v>"C:\Program Files (x86)\AstroGrep\AstroGrep.exe" /spath="%USERPROFILE%\AppData\Local\Temp\OnboardLogs" /stypes="*4025*201611170*" /stext=" 04:.+((SYSTEM_STATE.+slice.+state.+changed )|(ment ac)|(system.+state.+changed )|(\[timeout)|(PRM\|1\|D)|(kpr)|(kdp)|(\|lc)|(penalty))" /e /r /s</v>
      </c>
      <c r="U58" s="9" t="str">
        <f>MID(B58,13,4)</f>
        <v>4025</v>
      </c>
      <c r="V58" s="36">
        <f>A58-utc_offset/24</f>
        <v>42691.185937499999</v>
      </c>
      <c r="W58" s="50" t="str">
        <f>IF(VALUE(LEFT(IF(LEN(C58)=6,"0"&amp;C58,C58),2))&lt;=2,"EC",IF(OR(VALUE(LEFT(IF(LEN(C58)=6,"0"&amp;C58,C58),2))=8,VALUE(LEFT(IF(LEN(C58)=6,"0"&amp;C58,C58),2))=18),"NW","Other"))</f>
        <v>NW</v>
      </c>
      <c r="X58" s="50" t="str">
        <f>IF(AND(E58="TRACK WARRANT AUTHORITY",G58&lt;10),"OMIT","KEEP")</f>
        <v>KEEP</v>
      </c>
      <c r="Y58" s="119" t="str">
        <f>"echo {""issue"":{""subject"":"""&amp;P58&amp;""",""project_id"":79,""tracker_id"":40,""status_id"":"&amp;redmine_status&amp;",""priority_id"":"&amp;redmine_priority&amp;",""assigned_to_id"":"&amp;redmine_assignee&amp;",""start_date"":"""&amp;TEXT(A58,"YYYY-mm-dd")&amp;""",""description"":"""&amp;Z58&amp;""",""custom_fields"":[{""id"":1,""name"":""Subdivision"",""value"":"""&amp;W58&amp;"""},{""id"":4,""name"":""Milepost"",""value"":"""&amp;K58/10000&amp;"""},{""id"":17,""name"":""Train ID"",""value"":"""&amp;C58&amp;"""},{""id"":16,""name"":""Locomotive ID"",""value"":"""&amp;U58&amp;"""},{""id"":130,""name"":""Impact"",""value"":"""&amp;AA58&amp;"""},{""id"":150,""name"":""Time of Event (Mountain Time)"",""value"":"""&amp;TEXT(A58,"hh:mm:ss")&amp;"""},{""id"":151,""name"":""Denver Issue ID"",""value"":"""&amp;"""},{""id"":178,""name"":""Operational Impact"",""value"":"""&amp;redmine_op_impact&amp;"""},{""id"":179,""name"":""Denver Segment Assigned"",""value"":"""&amp;AB58&amp;"""}]}}"&amp;"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-11-16","description":"http://stevetu21.github.io/eaglep3/load_kml.html?kml=http://rtdc.gmaps-snips.s3.amazonaws.com/6d86adeb-8fde-4c2d-909d-e4075aeb2b01.kml","custom_fields":[{"id":1,"name":"Subdivision","value":"NW"},{"id":4,"name":"Milepost","value":"2.2372"},{"id":17,"name":"Train ID","value":"845-16"},{"id":16,"name":"Locomotive ID","value":"4025"},{"id":130,"name":"Impact","value":"Enforcement"},{"id":150,"name":"Time of Event (Mountain Time)","value":"21:27:45"},{"id":151,"name":"Denver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58" s="184" t="s">
        <v>813</v>
      </c>
      <c r="AA58" s="53" t="s">
        <v>125</v>
      </c>
      <c r="AB58" s="53" t="s">
        <v>138</v>
      </c>
      <c r="AC58" s="138" t="str">
        <f>"grep -hSE -A100 ""Enforcement Action"" "&amp;search_path&amp;"\RTDC"&amp;U58&amp;"\*"&amp;U58&amp;"*"&amp;TEXT(A58-utc_offset/24,"YYYYMMDD")&amp;LEFT(TEXT(A58-utc_offset/24,"HH"),1)&amp;"* | grep -SE ""((Enforcement Ac)|(PRM))"" -"</f>
        <v>grep -hSE -A100 "Enforcement Action" "%USERPROFILE%\AppData\Local\Temp\OnboardLogs"\RTDC4025\*4025*201611170* | grep -SE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"&amp;Variables!$A$2&amp;"-slicedisagreementcheck.txt"</f>
        <v>grep -hSE "Enforcement Action" "%USERPROFILE%\AppData\Local\Temp\OnboardLogs"\RTDC4025\*4025*201611170* &gt;&gt; 42690-slicedisagreementcheck.txt</v>
      </c>
    </row>
    <row r="59" spans="1:30" x14ac:dyDescent="0.25">
      <c r="A59" s="36">
        <v>42690.91542824074</v>
      </c>
      <c r="B59" s="31" t="s">
        <v>346</v>
      </c>
      <c r="C59" s="31" t="s">
        <v>450</v>
      </c>
      <c r="D59" s="31" t="s">
        <v>49</v>
      </c>
      <c r="E59" s="31" t="s">
        <v>208</v>
      </c>
      <c r="F59" s="47">
        <v>0</v>
      </c>
      <c r="G59" s="47">
        <v>45</v>
      </c>
      <c r="H59" s="47">
        <v>740</v>
      </c>
      <c r="I59" s="47">
        <v>692</v>
      </c>
      <c r="J59" s="31" t="s">
        <v>209</v>
      </c>
      <c r="K59" s="47">
        <v>575</v>
      </c>
      <c r="L59" s="154" t="s">
        <v>51</v>
      </c>
      <c r="M59" s="155">
        <f>CONVERT((I59-K59)/10000,"mi","ft")*IF(L59="Increasing Mileposts (1)",-1,1)</f>
        <v>61.776000000000003</v>
      </c>
      <c r="N59" s="156" t="str">
        <f>VLOOKUP(C59,'Trips&amp;Operators'!$C$1:$E$99999,3,FALSE)</f>
        <v>NELSON</v>
      </c>
      <c r="O59" s="183" t="s">
        <v>203</v>
      </c>
      <c r="P59" s="157"/>
      <c r="Q59" s="31"/>
      <c r="R59" s="100" t="str">
        <f>VLOOKUP(C59,'Train Runs'!$A$13:$AE$9994,31,0)</f>
        <v>aws s3 cp s3://rtdc.mdm.uploadarchive.raw/RTDC4026/ "%USERPROFILE%\AppData\Local\Temp\OnboardLogs"\RTDC4026\2016-11-16 --exclude "*" --recursive --include "*20161116*" &amp; "%USERPROFILE%\Documents\GitHub\mrs-test-scripts\Headless Mode &amp; Sideloading\WalkAndUnGZ.bat" "%USERPROFILE%\AppData\Local\Temp\OnboardLogs"\RTDC4026\2016-11-16 &amp; aws s3 cp s3://rtdc.mdm.uploadarchive.raw/RTDC4026/ "%USERPROFILE%\AppData\Local\Temp\OnboardLogs"\RTDC4026\2016-11-17 --exclude "*" --recursive --include "*20161117*" &amp; "%USERPROFILE%\Documents\GitHub\mrs-test-scripts\Headless Mode &amp; Sideloading\WalkAndUnGZ.bat" "%USERPROFILE%\AppData\Local\Temp\OnboardLogs"\RTDC4026\2016-11-17</v>
      </c>
      <c r="S59" s="103" t="str">
        <f>VLOOKUP(C59,'Train Runs'!$A$13:$AE$9994,22,0)</f>
        <v>https://search-rtdc-monitor-bjffxe2xuh6vdkpspy63sjmuny.us-east-1.es.amazonaws.com/_plugin/kibana/#/discover/Steve-Slow-Train-Analysis-(2080s-and-2083s)?_g=(refreshInterval:(display:Off,section:0,value:0),time:(from:'2016-11-16 20:41:02-700',mode:absolute,to:'2016-11-16 22:58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59" s="105" t="str">
        <f>astrogrep_path&amp;" /spath="&amp;search_path&amp;" /stypes=""*"&amp;U59&amp;"*"&amp;TEXT(A59-utc_offset/24,"YYYYMMDD")&amp;LEFT(TEXT(A59-utc_offset/24,"HH"),1)&amp;"*"" /stext="" "&amp;TEXT(A59-utc_offset/24,"HH")&amp;search_regexp&amp;""" /e /r /s"</f>
        <v>"C:\Program Files (x86)\AstroGrep\AstroGrep.exe" /spath="%USERPROFILE%\AppData\Local\Temp\OnboardLogs" /stypes="*4026*201611170*" /stext=" 04:.+((SYSTEM_STATE.+slice.+state.+changed )|(ment ac)|(system.+state.+changed )|(\[timeout)|(PRM\|1\|D)|(kpr)|(kdp)|(\|lc)|(penalty))" /e /r /s</v>
      </c>
      <c r="U59" s="9" t="str">
        <f>MID(B59,13,4)</f>
        <v>4026</v>
      </c>
      <c r="V59" s="36">
        <f>A59-utc_offset/24</f>
        <v>42691.207094907404</v>
      </c>
      <c r="W59" s="50" t="str">
        <f>IF(VALUE(LEFT(IF(LEN(C59)=6,"0"&amp;C59,C59),2))&lt;=2,"EC",IF(OR(VALUE(LEFT(IF(LEN(C59)=6,"0"&amp;C59,C59),2))=8,VALUE(LEFT(IF(LEN(C59)=6,"0"&amp;C59,C59),2))=18),"NW","Other"))</f>
        <v>NW</v>
      </c>
      <c r="X59" s="50" t="str">
        <f>IF(AND(E59="TRACK WARRANT AUTHORITY",G59&lt;10),"OMIT","KEEP")</f>
        <v>KEEP</v>
      </c>
      <c r="Y59" s="119" t="str">
        <f>"echo {""issue"":{""subject"":"""&amp;P59&amp;""",""project_id"":79,""tracker_id"":40,""status_id"":"&amp;redmine_status&amp;",""priority_id"":"&amp;redmine_priority&amp;",""assigned_to_id"":"&amp;redmine_assignee&amp;",""start_date"":"""&amp;TEXT(A59,"YYYY-mm-dd")&amp;""",""description"":"""&amp;Z59&amp;""",""custom_fields"":[{""id"":1,""name"":""Subdivision"",""value"":"""&amp;W59&amp;"""},{""id"":4,""name"":""Milepost"",""value"":"""&amp;K59/10000&amp;"""},{""id"":17,""name"":""Train ID"",""value"":"""&amp;C59&amp;"""},{""id"":16,""name"":""Locomotive ID"",""value"":"""&amp;U59&amp;"""},{""id"":130,""name"":""Impact"",""value"":"""&amp;AA59&amp;"""},{""id"":150,""name"":""Time of Event (Mountain Time)"",""value"":"""&amp;TEXT(A59,"hh:mm:ss")&amp;"""},{""id"":151,""name"":""Denver Issue ID"",""value"":"""&amp;"""},{""id"":178,""name"":""Operational Impact"",""value"":"""&amp;redmine_op_impact&amp;"""},{""id"":179,""name"":""Denver Segment Assigned"",""value"":"""&amp;AB59&amp;"""}]}}"&amp;"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{"issue":{"subject":"","project_id":79,"tracker_id":40,"status_id":1,"priority_id":2,"assigned_to_id":23,"start_date":"2016-11-16","description":"","custom_fields":[{"id":1,"name":"Subdivision","value":"NW"},{"id":4,"name":"Milepost","value":"0.0575"},{"id":17,"name":"Train ID","value":"844-16"},{"id":16,"name":"Locomotive ID","value":"4026"},{"id":130,"name":"Impact","value":""},{"id":150,"name":"Time of Event (Mountain Time)","value":"21:58:13"},{"id":151,"name":"Denver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3"/>
      <c r="AA59" s="53"/>
      <c r="AB59" s="53"/>
      <c r="AC59" s="138" t="str">
        <f>"grep -hSE -A100 ""Enforcement Action"" "&amp;search_path&amp;"\RTDC"&amp;U59&amp;"\*"&amp;U59&amp;"*"&amp;TEXT(A59-utc_offset/24,"YYYYMMDD")&amp;LEFT(TEXT(A59-utc_offset/24,"HH"),1)&amp;"* | grep -SE ""((Enforcement Ac)|(PRM))"" -"</f>
        <v>grep -hSE -A100 "Enforcement Action" "%USERPROFILE%\AppData\Local\Temp\OnboardLogs"\RTDC4026\*4026*201611170* | grep -SE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"&amp;Variables!$A$2&amp;"-slicedisagreementcheck.txt"</f>
        <v>grep -hSE "Enforcement Action" "%USERPROFILE%\AppData\Local\Temp\OnboardLogs"\RTDC4026\*4026*201611170* &gt;&gt; 42690-slicedisagreementcheck.txt</v>
      </c>
    </row>
    <row r="60" spans="1:30" x14ac:dyDescent="0.25">
      <c r="A60" s="36">
        <v>42690.922662037039</v>
      </c>
      <c r="B60" s="31" t="s">
        <v>218</v>
      </c>
      <c r="C60" s="31" t="s">
        <v>451</v>
      </c>
      <c r="D60" s="31" t="s">
        <v>49</v>
      </c>
      <c r="E60" s="31" t="s">
        <v>154</v>
      </c>
      <c r="F60" s="47">
        <v>0</v>
      </c>
      <c r="G60" s="47">
        <v>259</v>
      </c>
      <c r="H60" s="47">
        <v>32997</v>
      </c>
      <c r="I60" s="47">
        <v>33343</v>
      </c>
      <c r="J60" s="31" t="s">
        <v>153</v>
      </c>
      <c r="K60" s="47">
        <v>33137</v>
      </c>
      <c r="L60" s="154" t="s">
        <v>50</v>
      </c>
      <c r="M60" s="155">
        <f>CONVERT((I60-K60)/10000,"mi","ft")*IF(L60="Increasing Mileposts (1)",-1,1)</f>
        <v>-108.768</v>
      </c>
      <c r="N60" s="156" t="str">
        <f>VLOOKUP(C60,'Trips&amp;Operators'!$C$1:$E$99999,3,FALSE)</f>
        <v>LEVIN</v>
      </c>
      <c r="O60" s="183" t="s">
        <v>203</v>
      </c>
      <c r="P60" s="157" t="s">
        <v>395</v>
      </c>
      <c r="Q60" s="31"/>
      <c r="R60" s="100" t="str">
        <f>VLOOKUP(C60,'Train Runs'!$A$13:$AE$9994,31,0)</f>
        <v>aws s3 cp s3://rtdc.mdm.uploadarchive.raw/RTDC4011/ "%USERPROFILE%\AppData\Local\Temp\OnboardLogs"\RTDC4011\2016-11-16 --exclude "*" --recursive --include "*20161116*" &amp; "%USERPROFILE%\Documents\GitHub\mrs-test-scripts\Headless Mode &amp; Sideloading\WalkAndUnGZ.bat" "%USERPROFILE%\AppData\Local\Temp\OnboardLogs"\RTDC4011\2016-11-16 &amp; aws s3 cp s3://rtdc.mdm.uploadarchive.raw/RTDC4011/ "%USERPROFILE%\AppData\Local\Temp\OnboardLogs"\RTDC4011\2016-11-17 --exclude "*" --recursive --include "*20161117*" &amp; "%USERPROFILE%\Documents\GitHub\mrs-test-scripts\Headless Mode &amp; Sideloading\WalkAndUnGZ.bat" "%USERPROFILE%\AppData\Local\Temp\OnboardLogs"\RTDC4011\2016-11-17</v>
      </c>
      <c r="S60" s="103" t="str">
        <f>VLOOKUP(C60,'Train Runs'!$A$13:$AE$9994,22,0)</f>
        <v>https://search-rtdc-monitor-bjffxe2xuh6vdkpspy63sjmuny.us-east-1.es.amazonaws.com/_plugin/kibana/#/discover/Steve-Slow-Train-Analysis-(2080s-and-2083s)?_g=(refreshInterval:(display:Off,section:0,value:0),time:(from:'2016-11-16 20:54:50-700',mode:absolute,to:'2016-11-16 23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60" s="105" t="str">
        <f>astrogrep_path&amp;" /spath="&amp;search_path&amp;" /stypes=""*"&amp;U60&amp;"*"&amp;TEXT(A60-utc_offset/24,"YYYYMMDD")&amp;LEFT(TEXT(A60-utc_offset/24,"HH"),1)&amp;"*"" /stext="" "&amp;TEXT(A60-utc_offset/24,"HH")&amp;search_regexp&amp;""" /e /r /s"</f>
        <v>"C:\Program Files (x86)\AstroGrep\AstroGrep.exe" /spath="%USERPROFILE%\AppData\Local\Temp\OnboardLogs" /stypes="*4011*201611170*" /stext=" 05:.+((SYSTEM_STATE.+slice.+state.+changed )|(ment ac)|(system.+state.+changed )|(\[timeout)|(PRM\|1\|D)|(kpr)|(kdp)|(\|lc)|(penalty))" /e /r /s</v>
      </c>
      <c r="U60" s="9" t="str">
        <f>MID(B60,13,4)</f>
        <v>4011</v>
      </c>
      <c r="V60" s="36">
        <f>A60-utc_offset/24</f>
        <v>42691.214328703703</v>
      </c>
      <c r="W60" s="50" t="str">
        <f>IF(VALUE(LEFT(IF(LEN(C60)=6,"0"&amp;C60,C60),2))&lt;=2,"EC",IF(OR(VALUE(LEFT(IF(LEN(C60)=6,"0"&amp;C60,C60),2))=8,VALUE(LEFT(IF(LEN(C60)=6,"0"&amp;C60,C60),2))=18),"NW","Other"))</f>
        <v>EC</v>
      </c>
      <c r="X60" s="50" t="str">
        <f>IF(AND(E60="TRACK WARRANT AUTHORITY",G60&lt;10),"OMIT","KEEP")</f>
        <v>KEEP</v>
      </c>
      <c r="Y60" s="119" t="str">
        <f>"echo {""issue"":{""subject"":"""&amp;P60&amp;""",""project_id"":79,""tracker_id"":40,""status_id"":"&amp;redmine_status&amp;",""priority_id"":"&amp;redmine_priority&amp;",""assigned_to_id"":"&amp;redmine_assignee&amp;",""start_date"":"""&amp;TEXT(A60,"YYYY-mm-dd")&amp;""",""description"":"""&amp;Z60&amp;""",""custom_fields"":[{""id"":1,""name"":""Subdivision"",""value"":"""&amp;W60&amp;"""},{""id"":4,""name"":""Milepost"",""value"":"""&amp;K60/10000&amp;"""},{""id"":17,""name"":""Train ID"",""value"":"""&amp;C60&amp;"""},{""id"":16,""name"":""Locomotive ID"",""value"":"""&amp;U60&amp;"""},{""id"":130,""name"":""Impact"",""value"":"""&amp;AA60&amp;"""},{""id"":150,""name"":""Time of Event (Mountain Time)"",""value"":"""&amp;TEXT(A60,"hh:mm:ss")&amp;"""},{""id"":151,""name"":""Denver Issue ID"",""value"":"""&amp;"""},{""id"":178,""name"":""Operational Impact"",""value"":"""&amp;redmine_op_impact&amp;"""},{""id"":179,""name"":""Denver Segment Assigned"",""value"":"""&amp;AB60&amp;"""}]}}"&amp;"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arrival","project_id":79,"tracker_id":40,"status_id":1,"priority_id":2,"assigned_to_id":23,"start_date":"2016-11-16","description":"","custom_fields":[{"id":1,"name":"Subdivision","value":"EC"},{"id":4,"name":"Milepost","value":"3.3137"},{"id":17,"name":"Train ID","value":"233-16"},{"id":16,"name":"Locomotive ID","value":"4011"},{"id":130,"name":"Impact","value":""},{"id":150,"name":"Time of Event (Mountain Time)","value":"22:08:38"},{"id":151,"name":"Denver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3"/>
      <c r="AA60" s="53"/>
      <c r="AB60" s="53"/>
      <c r="AC60" s="138" t="str">
        <f>"grep -hSE -A100 ""Enforcement Action"" "&amp;search_path&amp;"\RTDC"&amp;U60&amp;"\*"&amp;U60&amp;"*"&amp;TEXT(A60-utc_offset/24,"YYYYMMDD")&amp;LEFT(TEXT(A60-utc_offset/24,"HH"),1)&amp;"* | grep -SE ""((Enforcement Ac)|(PRM))"" -"</f>
        <v>grep -hSE -A100 "Enforcement Action" "%USERPROFILE%\AppData\Local\Temp\OnboardLogs"\RTDC4011\*4011*201611170* | grep -SE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"&amp;Variables!$A$2&amp;"-slicedisagreementcheck.txt"</f>
        <v>grep -hSE "Enforcement Action" "%USERPROFILE%\AppData\Local\Temp\OnboardLogs"\RTDC4011\*4011*201611170* &gt;&gt; 42690-slicedisagreementcheck.txt</v>
      </c>
    </row>
    <row r="61" spans="1:30" x14ac:dyDescent="0.25">
      <c r="A61" s="36">
        <v>42690.959548611114</v>
      </c>
      <c r="B61" s="31" t="s">
        <v>186</v>
      </c>
      <c r="C61" s="31" t="s">
        <v>452</v>
      </c>
      <c r="D61" s="31" t="s">
        <v>49</v>
      </c>
      <c r="E61" s="31" t="s">
        <v>206</v>
      </c>
      <c r="F61" s="47">
        <v>0</v>
      </c>
      <c r="G61" s="47">
        <v>753</v>
      </c>
      <c r="H61" s="47">
        <v>196487</v>
      </c>
      <c r="I61" s="47">
        <v>199990</v>
      </c>
      <c r="J61" s="31" t="s">
        <v>207</v>
      </c>
      <c r="K61" s="47">
        <v>198242</v>
      </c>
      <c r="L61" s="154" t="s">
        <v>50</v>
      </c>
      <c r="M61" s="155">
        <f>CONVERT((I61-K61)/10000,"mi","ft")*IF(L61="Increasing Mileposts (1)",-1,1)</f>
        <v>-922.94399999999996</v>
      </c>
      <c r="N61" s="156" t="str">
        <f>VLOOKUP(C61,'Trips&amp;Operators'!$C$1:$E$99999,3,FALSE)</f>
        <v>CRAYTON</v>
      </c>
      <c r="O61" s="183" t="s">
        <v>396</v>
      </c>
      <c r="P61" s="157" t="s">
        <v>812</v>
      </c>
      <c r="Q61" s="31"/>
      <c r="R61" s="100" t="str">
        <f>VLOOKUP(C61,'Train Runs'!$A$13:$AE$9994,31,0)</f>
        <v>aws s3 cp s3://rtdc.mdm.uploadarchive.raw/RTDC4009/ "%USERPROFILE%\AppData\Local\Temp\OnboardLogs"\RTDC4009\2016-11-16 --exclude "*" --recursive --include "*20161116*" &amp; "%USERPROFILE%\Documents\GitHub\mrs-test-scripts\Headless Mode &amp; Sideloading\WalkAndUnGZ.bat" "%USERPROFILE%\AppData\Local\Temp\OnboardLogs"\RTDC4009\2016-11-16 &amp; aws s3 cp s3://rtdc.mdm.uploadarchive.raw/RTDC4009/ "%USERPROFILE%\AppData\Local\Temp\OnboardLogs"\RTDC4009\2016-11-17 --exclude "*" --recursive --include "*20161117*" &amp; "%USERPROFILE%\Documents\GitHub\mrs-test-scripts\Headless Mode &amp; Sideloading\WalkAndUnGZ.bat" "%USERPROFILE%\AppData\Local\Temp\OnboardLogs"\RTDC4009\2016-11-17</v>
      </c>
      <c r="S61" s="103" t="str">
        <f>VLOOKUP(C61,'Train Runs'!$A$13:$AE$9994,22,0)</f>
        <v>https://search-rtdc-monitor-bjffxe2xuh6vdkpspy63sjmuny.us-east-1.es.amazonaws.com/_plugin/kibana/#/discover/Steve-Slow-Train-Analysis-(2080s-and-2083s)?_g=(refreshInterval:(display:Off,section:0,value:0),time:(from:'2016-11-16 21:12:29-700',mode:absolute,to:'2016-11-17 00:09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61" s="105" t="str">
        <f>astrogrep_path&amp;" /spath="&amp;search_path&amp;" /stypes=""*"&amp;U61&amp;"*"&amp;TEXT(A61-utc_offset/24,"YYYYMMDD")&amp;LEFT(TEXT(A61-utc_offset/24,"HH"),1)&amp;"*"" /stext="" "&amp;TEXT(A61-utc_offset/24,"HH")&amp;search_regexp&amp;""" /e /r /s"</f>
        <v>"C:\Program Files (x86)\AstroGrep\AstroGrep.exe" /spath="%USERPROFILE%\AppData\Local\Temp\OnboardLogs" /stypes="*4009*201611170*" /stext=" 06:.+((SYSTEM_STATE.+slice.+state.+changed )|(ment ac)|(system.+state.+changed )|(\[timeout)|(PRM\|1\|D)|(kpr)|(kdp)|(\|lc)|(penalty))" /e /r /s</v>
      </c>
      <c r="U61" s="9" t="str">
        <f>MID(B61,13,4)</f>
        <v>4009</v>
      </c>
      <c r="V61" s="36">
        <f>A61-utc_offset/24</f>
        <v>42691.251215277778</v>
      </c>
      <c r="W61" s="50" t="str">
        <f>IF(VALUE(LEFT(IF(LEN(C61)=6,"0"&amp;C61,C61),2))&lt;=2,"EC",IF(OR(VALUE(LEFT(IF(LEN(C61)=6,"0"&amp;C61,C61),2))=8,VALUE(LEFT(IF(LEN(C61)=6,"0"&amp;C61,C61),2))=18),"NW","Other"))</f>
        <v>EC</v>
      </c>
      <c r="X61" s="50" t="str">
        <f>IF(AND(E61="TRACK WARRANT AUTHORITY",G61&lt;10),"OMIT","KEEP")</f>
        <v>KEEP</v>
      </c>
      <c r="Y61" s="119" t="str">
        <f>"echo {""issue"":{""subject"":"""&amp;P61&amp;""",""project_id"":79,""tracker_id"":40,""status_id"":"&amp;redmine_status&amp;",""priority_id"":"&amp;redmine_priority&amp;",""assigned_to_id"":"&amp;redmine_assignee&amp;",""start_date"":"""&amp;TEXT(A61,"YYYY-mm-dd")&amp;""",""description"":"""&amp;Z61&amp;""",""custom_fields"":[{""id"":1,""name"":""Subdivision"",""value"":"""&amp;W61&amp;"""},{""id"":4,""name"":""Milepost"",""value"":"""&amp;K61/10000&amp;"""},{""id"":17,""name"":""Train ID"",""value"":"""&amp;C61&amp;"""},{""id"":16,""name"":""Locomotive ID"",""value"":"""&amp;U61&amp;"""},{""id"":130,""name"":""Impact"",""value"":"""&amp;AA61&amp;"""},{""id"":150,""name"":""Time of Event (Mountain Time)"",""value"":"""&amp;TEXT(A61,"hh:mm:ss")&amp;"""},{""id"":151,""name"":""Denver Issue ID"",""value"":"""&amp;"""},{""id"":178,""name"":""Operational Impact"",""value"":"""&amp;redmine_op_impact&amp;"""},{""id"":179,""name"":""Denver Segment Assigned"",""value"":"""&amp;AB61&amp;"""}]}}"&amp;"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-11-16","description":"http://stevetu21.github.io/eaglep3/load_kml.html?kml=http://rtdc.gmaps-snips.s3.amazonaws.com/173826b6-074b-4139-893c-deaae9ebde2a.kml","custom_fields":[{"id":1,"name":"Subdivision","value":"EC"},{"id":4,"name":"Milepost","value":"19.8242"},{"id":17,"name":"Train ID","value":"235-16"},{"id":16,"name":"Locomotive ID","value":"4009"},{"id":130,"name":"Impact","value":"Enforcement"},{"id":150,"name":"Time of Event (Mountain Time)","value":"23:01:45"},{"id":151,"name":"Denver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61" s="184" t="s">
        <v>817</v>
      </c>
      <c r="AA61" s="53" t="s">
        <v>125</v>
      </c>
      <c r="AB61" s="53" t="s">
        <v>138</v>
      </c>
      <c r="AC61" s="138" t="str">
        <f>"grep -hSE -A100 ""Enforcement Action"" "&amp;search_path&amp;"\RTDC"&amp;U61&amp;"\*"&amp;U61&amp;"*"&amp;TEXT(A61-utc_offset/24,"YYYYMMDD")&amp;LEFT(TEXT(A61-utc_offset/24,"HH"),1)&amp;"* | grep -SE ""((Enforcement Ac)|(PRM))"" -"</f>
        <v>grep -hSE -A100 "Enforcement Action" "%USERPROFILE%\AppData\Local\Temp\OnboardLogs"\RTDC4009\*4009*201611170* | grep -SE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"&amp;Variables!$A$2&amp;"-slicedisagreementcheck.txt"</f>
        <v>grep -hSE "Enforcement Action" "%USERPROFILE%\AppData\Local\Temp\OnboardLogs"\RTDC4009\*4009*201611170* &gt;&gt; 42690-slicedisagreementcheck.txt</v>
      </c>
    </row>
    <row r="62" spans="1:30" x14ac:dyDescent="0.25">
      <c r="A62" s="36">
        <v>42690.960532407407</v>
      </c>
      <c r="B62" s="31" t="s">
        <v>215</v>
      </c>
      <c r="C62" s="31" t="s">
        <v>453</v>
      </c>
      <c r="D62" s="31" t="s">
        <v>49</v>
      </c>
      <c r="E62" s="31" t="s">
        <v>208</v>
      </c>
      <c r="F62" s="47">
        <v>0</v>
      </c>
      <c r="G62" s="47">
        <v>79</v>
      </c>
      <c r="H62" s="47">
        <v>276</v>
      </c>
      <c r="I62" s="47">
        <v>216</v>
      </c>
      <c r="J62" s="31" t="s">
        <v>209</v>
      </c>
      <c r="K62" s="47">
        <v>1</v>
      </c>
      <c r="L62" s="154" t="s">
        <v>51</v>
      </c>
      <c r="M62" s="155">
        <f>CONVERT((I62-K62)/10000,"mi","ft")*IF(L62="Increasing Mileposts (1)",-1,1)</f>
        <v>113.52</v>
      </c>
      <c r="N62" s="156" t="str">
        <f>VLOOKUP(C62,'Trips&amp;Operators'!$C$1:$E$99999,3,FALSE)</f>
        <v>PERKINS</v>
      </c>
      <c r="O62" s="183" t="s">
        <v>203</v>
      </c>
      <c r="P62" s="157"/>
      <c r="Q62" s="31"/>
      <c r="R62" s="100" t="str">
        <f>VLOOKUP(C62,'Train Runs'!$A$13:$AE$9994,31,0)</f>
        <v>aws s3 cp s3://rtdc.mdm.uploadarchive.raw/RTDC4030/ "%USERPROFILE%\AppData\Local\Temp\OnboardLogs"\RTDC4030\2016-11-16 --exclude "*" --recursive --include "*20161116*" &amp; "%USERPROFILE%\Documents\GitHub\mrs-test-scripts\Headless Mode &amp; Sideloading\WalkAndUnGZ.bat" "%USERPROFILE%\AppData\Local\Temp\OnboardLogs"\RTDC4030\2016-11-16 &amp; aws s3 cp s3://rtdc.mdm.uploadarchive.raw/RTDC4030/ "%USERPROFILE%\AppData\Local\Temp\OnboardLogs"\RTDC4030\2016-11-17 --exclude "*" --recursive --include "*20161117*" &amp; "%USERPROFILE%\Documents\GitHub\mrs-test-scripts\Headless Mode &amp; Sideloading\WalkAndUnGZ.bat" "%USERPROFILE%\AppData\Local\Temp\OnboardLogs"\RTDC4030\2016-11-17</v>
      </c>
      <c r="S62" s="103" t="str">
        <f>VLOOKUP(C62,'Train Runs'!$A$13:$AE$9994,22,0)</f>
        <v>https://search-rtdc-monitor-bjffxe2xuh6vdkpspy63sjmuny.us-east-1.es.amazonaws.com/_plugin/kibana/#/discover/Steve-Slow-Train-Analysis-(2080s-and-2083s)?_g=(refreshInterval:(display:Off,section:0,value:0),time:(from:'2016-11-16 21:07:33-700',mode:absolute,to:'2016-11-17 00:03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62" s="105" t="str">
        <f>astrogrep_path&amp;" /spath="&amp;search_path&amp;" /stypes=""*"&amp;U62&amp;"*"&amp;TEXT(A62-utc_offset/24,"YYYYMMDD")&amp;LEFT(TEXT(A62-utc_offset/24,"HH"),1)&amp;"*"" /stext="" "&amp;TEXT(A62-utc_offset/24,"HH")&amp;search_regexp&amp;""" /e /r /s"</f>
        <v>"C:\Program Files (x86)\AstroGrep\AstroGrep.exe" /spath="%USERPROFILE%\AppData\Local\Temp\OnboardLogs" /stypes="*4030*201611170*" /stext=" 06:.+((SYSTEM_STATE.+slice.+state.+changed )|(ment ac)|(system.+state.+changed )|(\[timeout)|(PRM\|1\|D)|(kpr)|(kdp)|(\|lc)|(penalty))" /e /r /s</v>
      </c>
      <c r="U62" s="9" t="str">
        <f>MID(B62,13,4)</f>
        <v>4030</v>
      </c>
      <c r="V62" s="36">
        <f>A62-utc_offset/24</f>
        <v>42691.252199074072</v>
      </c>
      <c r="W62" s="50" t="str">
        <f>IF(VALUE(LEFT(IF(LEN(C62)=6,"0"&amp;C62,C62),2))&lt;=2,"EC",IF(OR(VALUE(LEFT(IF(LEN(C62)=6,"0"&amp;C62,C62),2))=8,VALUE(LEFT(IF(LEN(C62)=6,"0"&amp;C62,C62),2))=18),"NW","Other"))</f>
        <v>EC</v>
      </c>
      <c r="X62" s="50" t="str">
        <f>IF(AND(E62="TRACK WARRANT AUTHORITY",G62&lt;10),"OMIT","KEEP")</f>
        <v>KEEP</v>
      </c>
      <c r="Y62" s="119" t="str">
        <f>"echo {""issue"":{""subject"":"""&amp;P62&amp;""",""project_id"":79,""tracker_id"":40,""status_id"":"&amp;redmine_status&amp;",""priority_id"":"&amp;redmine_priority&amp;",""assigned_to_id"":"&amp;redmine_assignee&amp;",""start_date"":"""&amp;TEXT(A62,"YYYY-mm-dd")&amp;""",""description"":"""&amp;Z62&amp;""",""custom_fields"":[{""id"":1,""name"":""Subdivision"",""value"":"""&amp;W62&amp;"""},{""id"":4,""name"":""Milepost"",""value"":"""&amp;K62/10000&amp;"""},{""id"":17,""name"":""Train ID"",""value"":"""&amp;C62&amp;"""},{""id"":16,""name"":""Locomotive ID"",""value"":"""&amp;U62&amp;"""},{""id"":130,""name"":""Impact"",""value"":"""&amp;AA62&amp;"""},{""id"":150,""name"":""Time of Event (Mountain Time)"",""value"":"""&amp;TEXT(A62,"hh:mm:ss")&amp;"""},{""id"":151,""name"":""Denver Issue ID"",""value"":"""&amp;"""},{""id"":178,""name"":""Operational Impact"",""value"":"""&amp;redmine_op_impact&amp;"""},{""id"":179,""name"":""Denver Segment Assigned"",""value"":"""&amp;AB62&amp;"""}]}}"&amp;"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{"issue":{"subject":"","project_id":79,"tracker_id":40,"status_id":1,"priority_id":2,"assigned_to_id":23,"start_date":"2016-11-16","description":"","custom_fields":[{"id":1,"name":"Subdivision","value":"EC"},{"id":4,"name":"Milepost","value":"0.0001"},{"id":17,"name":"Train ID","value":"232-16"},{"id":16,"name":"Locomotive ID","value":"4030"},{"id":130,"name":"Impact","value":""},{"id":150,"name":"Time of Event (Mountain Time)","value":"23:03:10"},{"id":151,"name":"Denver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53"/>
      <c r="AA62" s="53"/>
      <c r="AB62" s="53"/>
      <c r="AC62" s="138" t="str">
        <f>"grep -hSE -A100 ""Enforcement Action"" "&amp;search_path&amp;"\RTDC"&amp;U62&amp;"\*"&amp;U62&amp;"*"&amp;TEXT(A62-utc_offset/24,"YYYYMMDD")&amp;LEFT(TEXT(A62-utc_offset/24,"HH"),1)&amp;"* | grep -SE ""((Enforcement Ac)|(PRM))"" -"</f>
        <v>grep -hSE -A100 "Enforcement Action" "%USERPROFILE%\AppData\Local\Temp\OnboardLogs"\RTDC4030\*4030*201611170* | grep -SE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"&amp;Variables!$A$2&amp;"-slicedisagreementcheck.txt"</f>
        <v>grep -hSE "Enforcement Action" "%USERPROFILE%\AppData\Local\Temp\OnboardLogs"\RTDC4030\*4030*201611170* &gt;&gt; 42690-slicedisagreementcheck.txt</v>
      </c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</sheetData>
  <autoFilter ref="A6:AC47">
    <sortState ref="A7:AC62">
      <sortCondition ref="V6:V47"/>
    </sortState>
  </autoFilter>
  <sortState ref="A7:AD47">
    <sortCondition ref="W7:W47"/>
    <sortCondition ref="E7:E47"/>
    <sortCondition ref="K7:K47"/>
    <sortCondition ref="C7:C47"/>
    <sortCondition ref="F7:F47"/>
  </sortState>
  <mergeCells count="1">
    <mergeCell ref="A5:O5"/>
  </mergeCells>
  <conditionalFormatting sqref="O6:P6 R6 O68:O1048576 O7:O62">
    <cfRule type="cellIs" dxfId="2" priority="36" operator="equal">
      <formula>"Y"</formula>
    </cfRule>
  </conditionalFormatting>
  <conditionalFormatting sqref="O2:O3">
    <cfRule type="cellIs" dxfId="1" priority="27" operator="equal">
      <formula>"Y"</formula>
    </cfRule>
  </conditionalFormatting>
  <conditionalFormatting sqref="A7:P62">
    <cfRule type="expression" dxfId="0" priority="20">
      <formula>$O7="Y"</formula>
    </cfRule>
  </conditionalFormatting>
  <hyperlinks>
    <hyperlink ref="Z57" r:id="rId1"/>
    <hyperlink ref="Z58" r:id="rId2"/>
    <hyperlink ref="Z24" r:id="rId3"/>
    <hyperlink ref="Z25" r:id="rId4"/>
    <hyperlink ref="Z26" r:id="rId5"/>
    <hyperlink ref="Z61" r:id="rId6"/>
  </hyperlinks>
  <pageMargins left="0.7" right="0.7" top="0.75" bottom="0.75" header="0.3" footer="0.3"/>
  <pageSetup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10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AA7:AA62</xm:sqref>
        </x14:dataValidation>
        <x14:dataValidation type="list" allowBlank="1" showInputMessage="1" showErrorMessage="1">
          <x14:formula1>
            <xm:f>'Redmine List Values'!$C$2:$C$15</xm:f>
          </x14:formula1>
          <xm:sqref>AB7:AB62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1"/>
  <sheetViews>
    <sheetView workbookViewId="0">
      <selection activeCell="E7" sqref="E7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6" t="str">
        <f>"Trips that did not appear in PTC Data "&amp;TEXT(Variables!$A$2,"YYYY-mm-dd")</f>
        <v>Trips that did not appear in PTC Data 2016-11-16</v>
      </c>
      <c r="C1" s="186"/>
      <c r="D1" s="186"/>
      <c r="E1" s="186"/>
      <c r="F1" s="186"/>
    </row>
    <row r="2" spans="1:11" s="24" customFormat="1" ht="45" x14ac:dyDescent="0.25">
      <c r="A2" s="178" t="s">
        <v>155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9">
        <v>101</v>
      </c>
      <c r="B3" s="47" t="str">
        <f>A3&amp;"-"&amp;IF(DAY(Variables!$A$2)&lt;10,0,"")&amp;DAY(Variables!$A$2)</f>
        <v>101-16</v>
      </c>
      <c r="C3" s="158"/>
      <c r="D3" s="163"/>
      <c r="E3" s="31" t="s">
        <v>955</v>
      </c>
      <c r="F3" s="22" t="str">
        <f>VLOOKUP(B3,'Trips&amp;Operators'!$C$2:$E$10000,3,FALSE)</f>
        <v>MAELZER</v>
      </c>
      <c r="G3" s="22" t="str">
        <f>VLOOKUP(B3,'Trips&amp;Operators'!$C$1:$F$10000,4,FALSE)</f>
        <v>rtdc.l.rtdc.4029:itc</v>
      </c>
      <c r="H3" s="30">
        <f>VLOOKUP(B3,'Trips&amp;Operators'!$C$1:$H$10000,5,FALSE)</f>
        <v>42690.141226851854</v>
      </c>
      <c r="I3" s="50" t="str">
        <f t="shared" ref="I3:I11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22101-16%22)),sort:!(Time,asc))</v>
      </c>
      <c r="J3" s="31" t="e">
        <f>VLOOKUP(B3,'Train Runs'!$A$13:$A$99991,1,FALSE)</f>
        <v>#N/A</v>
      </c>
      <c r="K3" s="31" t="e">
        <f t="shared" ref="K3:K11" si="1">IF(VLOOKUP(A3,$K$46:$K$69,1,FALSE),"Cancelled")</f>
        <v>#N/A</v>
      </c>
    </row>
    <row r="4" spans="1:11" s="21" customFormat="1" x14ac:dyDescent="0.25">
      <c r="A4" s="179">
        <v>102</v>
      </c>
      <c r="B4" s="47" t="str">
        <f>A4&amp;"-"&amp;IF(DAY(Variables!$A$2)&lt;10,0,"")&amp;DAY(Variables!$A$2)</f>
        <v>102-16</v>
      </c>
      <c r="C4" s="158"/>
      <c r="D4" s="163"/>
      <c r="E4" s="31" t="s">
        <v>955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ref="I4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22102-16%22)),sort:!(Time,asc))</v>
      </c>
      <c r="J4" s="31" t="e">
        <f>VLOOKUP(B4,'Train Runs'!$A$13:$A$99991,1,FALSE)</f>
        <v>#N/A</v>
      </c>
      <c r="K4" s="31" t="e">
        <f t="shared" ref="K4" si="3">IF(VLOOKUP(A4,$K$46:$K$69,1,FALSE),"Cancelled")</f>
        <v>#N/A</v>
      </c>
    </row>
    <row r="5" spans="1:11" x14ac:dyDescent="0.25">
      <c r="A5" s="179">
        <v>113</v>
      </c>
      <c r="B5" s="47" t="str">
        <f>A5&amp;"-"&amp;IF(DAY(Variables!$A$2)&lt;10,0,"")&amp;DAY(Variables!$A$2)</f>
        <v>113-16</v>
      </c>
      <c r="C5" s="158"/>
      <c r="D5" s="163"/>
      <c r="E5" s="31" t="s">
        <v>955</v>
      </c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22113-16%22)),sort:!(Time,asc))</v>
      </c>
      <c r="J5" s="31" t="e">
        <f>VLOOKUP(B5,'Train Runs'!$A$13:$A$99991,1,FALSE)</f>
        <v>#N/A</v>
      </c>
      <c r="K5" s="31" t="e">
        <f t="shared" si="1"/>
        <v>#N/A</v>
      </c>
    </row>
    <row r="6" spans="1:11" x14ac:dyDescent="0.25">
      <c r="A6" s="179">
        <v>114</v>
      </c>
      <c r="B6" s="47" t="str">
        <f>A6&amp;"-"&amp;IF(DAY(Variables!$A$2)&lt;10,0,"")&amp;DAY(Variables!$A$2)</f>
        <v>114-16</v>
      </c>
      <c r="C6" s="158"/>
      <c r="D6" s="163"/>
      <c r="E6" s="31" t="s">
        <v>955</v>
      </c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22114-16%22)),sort:!(Time,asc))</v>
      </c>
      <c r="J6" s="31" t="e">
        <f>VLOOKUP(B6,'Train Runs'!$A$13:$A$99991,1,FALSE)</f>
        <v>#N/A</v>
      </c>
      <c r="K6" s="31" t="e">
        <f t="shared" si="1"/>
        <v>#N/A</v>
      </c>
    </row>
    <row r="7" spans="1:11" x14ac:dyDescent="0.25">
      <c r="A7" s="179">
        <v>206</v>
      </c>
      <c r="B7" s="47" t="str">
        <f>A7&amp;"-"&amp;IF(DAY(Variables!$A$2)&lt;10,0,"")&amp;DAY(Variables!$A$2)</f>
        <v>206-16</v>
      </c>
      <c r="C7" s="158"/>
      <c r="D7" s="163"/>
      <c r="E7" s="31" t="s">
        <v>955</v>
      </c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22206-16%22)),sort:!(Time,asc))</v>
      </c>
      <c r="J7" s="31" t="e">
        <f>VLOOKUP(B7,'Train Runs'!$A$13:$A$99991,1,FALSE)</f>
        <v>#N/A</v>
      </c>
      <c r="K7" s="31" t="e">
        <f t="shared" si="1"/>
        <v>#N/A</v>
      </c>
    </row>
    <row r="8" spans="1:11" x14ac:dyDescent="0.25">
      <c r="A8" s="171"/>
      <c r="B8" s="47" t="str">
        <f>A8&amp;"-"&amp;IF(DAY(Variables!$A$2)&lt;10,0,"")&amp;DAY(Variables!$A$2)</f>
        <v>-16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8" s="31" t="e">
        <f>VLOOKUP(B8,'Train Runs'!$A$13:$A$99991,1,FALSE)</f>
        <v>#N/A</v>
      </c>
      <c r="K8" s="31" t="e">
        <f t="shared" si="1"/>
        <v>#N/A</v>
      </c>
    </row>
    <row r="9" spans="1:11" x14ac:dyDescent="0.25">
      <c r="A9" s="171"/>
      <c r="B9" s="47" t="str">
        <f>A9&amp;"-"&amp;IF(DAY(Variables!$A$2)&lt;10,0,"")&amp;DAY(Variables!$A$2)</f>
        <v>-16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9" s="31" t="e">
        <f>VLOOKUP(B9,'Train Runs'!$A$13:$A$99991,1,FALSE)</f>
        <v>#N/A</v>
      </c>
      <c r="K9" s="31" t="e">
        <f t="shared" si="1"/>
        <v>#N/A</v>
      </c>
    </row>
    <row r="10" spans="1:11" x14ac:dyDescent="0.25">
      <c r="A10" s="171"/>
      <c r="B10" s="47" t="str">
        <f>A10&amp;"-"&amp;IF(DAY(Variables!$A$2)&lt;10,0,"")&amp;DAY(Variables!$A$2)</f>
        <v>-16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10" s="31" t="e">
        <f>VLOOKUP(B10,'Train Runs'!$A$13:$A$99991,1,FALSE)</f>
        <v>#N/A</v>
      </c>
      <c r="K10" s="31" t="e">
        <f t="shared" si="1"/>
        <v>#N/A</v>
      </c>
    </row>
    <row r="11" spans="1:11" x14ac:dyDescent="0.25">
      <c r="A11" s="171"/>
      <c r="B11" s="47" t="str">
        <f>A11&amp;"-"&amp;IF(DAY(Variables!$A$2)&lt;10,0,"")&amp;DAY(Variables!$A$2)</f>
        <v>-16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11" s="31" t="e">
        <f>VLOOKUP(B11,'Train Runs'!$A$13:$A$99991,1,FALSE)</f>
        <v>#N/A</v>
      </c>
      <c r="K11" s="31" t="e">
        <f t="shared" si="1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35" workbookViewId="0">
      <selection sqref="A1:E24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180</v>
      </c>
      <c r="B1" s="21" t="s">
        <v>181</v>
      </c>
      <c r="C1" s="21" t="s">
        <v>0</v>
      </c>
      <c r="D1" s="21" t="s">
        <v>182</v>
      </c>
      <c r="E1" s="21" t="s">
        <v>183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42689.995081018518</v>
      </c>
      <c r="B2" s="21" t="s">
        <v>257</v>
      </c>
      <c r="C2" s="21" t="s">
        <v>348</v>
      </c>
      <c r="D2" s="21">
        <v>2420000</v>
      </c>
      <c r="E2" s="21" t="s">
        <v>251</v>
      </c>
      <c r="F2" s="21" t="str">
        <f t="shared" ref="F2:F65" si="0">B2</f>
        <v>rtdc.l.rtdc.4054:itc</v>
      </c>
      <c r="G2" s="8">
        <f t="shared" ref="G2:G65" si="1">A2</f>
        <v>42689.995081018518</v>
      </c>
    </row>
    <row r="3" spans="1:7" x14ac:dyDescent="0.25">
      <c r="A3" s="8">
        <v>42690.007685185185</v>
      </c>
      <c r="B3" s="21" t="s">
        <v>227</v>
      </c>
      <c r="C3" s="21" t="s">
        <v>349</v>
      </c>
      <c r="D3" s="21">
        <v>2250000</v>
      </c>
      <c r="E3" s="21" t="s">
        <v>296</v>
      </c>
      <c r="F3" s="21" t="str">
        <f t="shared" si="0"/>
        <v>rtdc.l.rtdc.4039:itc</v>
      </c>
      <c r="G3" s="8">
        <f t="shared" si="1"/>
        <v>42690.007685185185</v>
      </c>
    </row>
    <row r="4" spans="1:7" x14ac:dyDescent="0.25">
      <c r="A4" s="8">
        <v>42690.009143518517</v>
      </c>
      <c r="B4" s="21" t="s">
        <v>311</v>
      </c>
      <c r="C4" s="21" t="s">
        <v>350</v>
      </c>
      <c r="D4" s="21">
        <v>2450000</v>
      </c>
      <c r="E4" s="21" t="s">
        <v>314</v>
      </c>
      <c r="F4" s="21" t="str">
        <f t="shared" si="0"/>
        <v>rtdc.l.rtdc.4018:itc</v>
      </c>
      <c r="G4" s="8">
        <f t="shared" si="1"/>
        <v>42690.009143518517</v>
      </c>
    </row>
    <row r="5" spans="1:7" x14ac:dyDescent="0.25">
      <c r="A5" s="8">
        <v>42690.019097222219</v>
      </c>
      <c r="B5" s="21" t="s">
        <v>218</v>
      </c>
      <c r="C5" s="21" t="s">
        <v>351</v>
      </c>
      <c r="D5" s="21">
        <v>1800000</v>
      </c>
      <c r="E5" s="21" t="s">
        <v>284</v>
      </c>
      <c r="F5" s="21" t="str">
        <f t="shared" si="0"/>
        <v>rtdc.l.rtdc.4011:itc</v>
      </c>
      <c r="G5" s="8">
        <f t="shared" si="1"/>
        <v>42690.019097222219</v>
      </c>
    </row>
    <row r="6" spans="1:7" x14ac:dyDescent="0.25">
      <c r="A6" s="8">
        <v>42690.021944444445</v>
      </c>
      <c r="B6" s="21" t="s">
        <v>311</v>
      </c>
      <c r="C6" s="21" t="s">
        <v>350</v>
      </c>
      <c r="D6" s="21">
        <v>2450000</v>
      </c>
      <c r="E6" s="21" t="s">
        <v>314</v>
      </c>
      <c r="F6" s="21" t="str">
        <f t="shared" si="0"/>
        <v>rtdc.l.rtdc.4018:itc</v>
      </c>
      <c r="G6" s="8">
        <f t="shared" si="1"/>
        <v>42690.021944444445</v>
      </c>
    </row>
    <row r="7" spans="1:7" x14ac:dyDescent="0.25">
      <c r="A7" s="8">
        <v>42690.02983796296</v>
      </c>
      <c r="B7" s="21" t="s">
        <v>228</v>
      </c>
      <c r="C7" s="21" t="s">
        <v>352</v>
      </c>
      <c r="D7" s="21">
        <v>2620000</v>
      </c>
      <c r="E7" s="21" t="s">
        <v>315</v>
      </c>
      <c r="F7" s="21" t="str">
        <f t="shared" si="0"/>
        <v>rtdc.l.rtdc.4004:itc</v>
      </c>
      <c r="G7" s="8">
        <f t="shared" si="1"/>
        <v>42690.02983796296</v>
      </c>
    </row>
    <row r="8" spans="1:7" x14ac:dyDescent="0.25">
      <c r="A8" s="8">
        <v>42690.051469907405</v>
      </c>
      <c r="B8" s="21" t="s">
        <v>223</v>
      </c>
      <c r="C8" s="21" t="s">
        <v>353</v>
      </c>
      <c r="D8" s="21">
        <v>2250000</v>
      </c>
      <c r="E8" s="21" t="s">
        <v>296</v>
      </c>
      <c r="F8" s="21" t="str">
        <f t="shared" si="0"/>
        <v>rtdc.l.rtdc.4040:itc</v>
      </c>
      <c r="G8" s="8">
        <f t="shared" si="1"/>
        <v>42690.051469907405</v>
      </c>
    </row>
    <row r="9" spans="1:7" ht="15.75" thickBot="1" x14ac:dyDescent="0.3">
      <c r="A9" s="25">
        <v>42690.052777777775</v>
      </c>
      <c r="B9" s="21" t="s">
        <v>223</v>
      </c>
      <c r="C9" s="21" t="s">
        <v>353</v>
      </c>
      <c r="D9" s="21">
        <v>2250000</v>
      </c>
      <c r="E9" s="21" t="s">
        <v>296</v>
      </c>
      <c r="F9" s="21" t="str">
        <f t="shared" si="0"/>
        <v>rtdc.l.rtdc.4040:itc</v>
      </c>
      <c r="G9" s="8">
        <f t="shared" si="1"/>
        <v>42690.052777777775</v>
      </c>
    </row>
    <row r="10" spans="1:7" x14ac:dyDescent="0.25">
      <c r="A10" s="8">
        <v>42690.055937500001</v>
      </c>
      <c r="B10" s="21" t="s">
        <v>234</v>
      </c>
      <c r="C10" s="21" t="s">
        <v>354</v>
      </c>
      <c r="D10" s="21">
        <v>1800000</v>
      </c>
      <c r="E10" s="21" t="s">
        <v>284</v>
      </c>
      <c r="F10" s="21" t="str">
        <f t="shared" si="0"/>
        <v>rtdc.l.rtdc.4012:itc</v>
      </c>
      <c r="G10" s="8">
        <f t="shared" si="1"/>
        <v>42690.055937500001</v>
      </c>
    </row>
    <row r="11" spans="1:7" x14ac:dyDescent="0.25">
      <c r="A11" s="8">
        <v>42690.070254629631</v>
      </c>
      <c r="B11" s="21" t="s">
        <v>338</v>
      </c>
      <c r="C11" s="21" t="s">
        <v>355</v>
      </c>
      <c r="D11" s="21">
        <v>2620000</v>
      </c>
      <c r="E11" s="21" t="s">
        <v>315</v>
      </c>
      <c r="F11" s="21" t="str">
        <f t="shared" si="0"/>
        <v>rtdc.l.rtdc.4003:itc</v>
      </c>
      <c r="G11" s="8">
        <f t="shared" si="1"/>
        <v>42690.070254629631</v>
      </c>
    </row>
    <row r="12" spans="1:7" x14ac:dyDescent="0.25">
      <c r="A12" s="8">
        <v>42690.091365740744</v>
      </c>
      <c r="B12" s="21" t="s">
        <v>218</v>
      </c>
      <c r="C12" s="21" t="s">
        <v>454</v>
      </c>
      <c r="D12" s="21">
        <v>1800000</v>
      </c>
      <c r="E12" s="21" t="s">
        <v>284</v>
      </c>
      <c r="F12" s="21" t="str">
        <f t="shared" si="0"/>
        <v>rtdc.l.rtdc.4011:itc</v>
      </c>
      <c r="G12" s="8">
        <f t="shared" si="1"/>
        <v>42690.091365740744</v>
      </c>
    </row>
    <row r="13" spans="1:7" x14ac:dyDescent="0.25">
      <c r="A13" s="8">
        <v>42690.093275462961</v>
      </c>
      <c r="B13" s="21" t="s">
        <v>218</v>
      </c>
      <c r="C13" s="21" t="s">
        <v>454</v>
      </c>
      <c r="D13" s="21">
        <v>1800000</v>
      </c>
      <c r="E13" s="21" t="s">
        <v>284</v>
      </c>
      <c r="F13" s="21" t="str">
        <f t="shared" si="0"/>
        <v>rtdc.l.rtdc.4011:itc</v>
      </c>
      <c r="G13" s="8">
        <f t="shared" si="1"/>
        <v>42690.093275462961</v>
      </c>
    </row>
    <row r="14" spans="1:7" x14ac:dyDescent="0.25">
      <c r="A14" s="8">
        <v>42690.093946759262</v>
      </c>
      <c r="B14" s="21" t="s">
        <v>218</v>
      </c>
      <c r="C14" s="21" t="s">
        <v>454</v>
      </c>
      <c r="D14" s="21">
        <v>1800000</v>
      </c>
      <c r="E14" s="21" t="s">
        <v>284</v>
      </c>
      <c r="F14" s="21" t="str">
        <f t="shared" si="0"/>
        <v>rtdc.l.rtdc.4011:itc</v>
      </c>
      <c r="G14" s="8">
        <f t="shared" si="1"/>
        <v>42690.093946759262</v>
      </c>
    </row>
    <row r="15" spans="1:7" x14ac:dyDescent="0.25">
      <c r="A15" s="8">
        <v>42690.126828703702</v>
      </c>
      <c r="B15" s="21" t="s">
        <v>258</v>
      </c>
      <c r="C15" s="21" t="s">
        <v>455</v>
      </c>
      <c r="D15" s="21">
        <v>1340000</v>
      </c>
      <c r="E15" s="21" t="s">
        <v>342</v>
      </c>
      <c r="F15" s="21" t="str">
        <f t="shared" si="0"/>
        <v>rtdc.l.rtdc.4053:itc</v>
      </c>
      <c r="G15" s="8">
        <f t="shared" si="1"/>
        <v>42690.126828703702</v>
      </c>
    </row>
    <row r="16" spans="1:7" x14ac:dyDescent="0.25">
      <c r="A16" s="8">
        <v>42690.141226851854</v>
      </c>
      <c r="B16" s="21" t="s">
        <v>214</v>
      </c>
      <c r="C16" s="21" t="s">
        <v>456</v>
      </c>
      <c r="D16" s="21">
        <v>2010000</v>
      </c>
      <c r="E16" s="21" t="s">
        <v>457</v>
      </c>
      <c r="F16" s="21" t="str">
        <f t="shared" si="0"/>
        <v>rtdc.l.rtdc.4029:itc</v>
      </c>
      <c r="G16" s="8">
        <f t="shared" si="1"/>
        <v>42690.141226851854</v>
      </c>
    </row>
    <row r="17" spans="1:7" x14ac:dyDescent="0.25">
      <c r="A17" s="8">
        <v>42690.14398148148</v>
      </c>
      <c r="B17" s="21" t="s">
        <v>403</v>
      </c>
      <c r="C17" s="21" t="s">
        <v>458</v>
      </c>
      <c r="D17" s="21">
        <v>2630000</v>
      </c>
      <c r="E17" s="21" t="s">
        <v>341</v>
      </c>
      <c r="F17" s="21" t="str">
        <f t="shared" si="0"/>
        <v>rtdc.l.rtdc.4008:itc</v>
      </c>
      <c r="G17" s="8">
        <f t="shared" si="1"/>
        <v>42690.14398148148</v>
      </c>
    </row>
    <row r="18" spans="1:7" x14ac:dyDescent="0.25">
      <c r="A18" s="8">
        <v>42690.146331018521</v>
      </c>
      <c r="B18" s="21" t="s">
        <v>214</v>
      </c>
      <c r="C18" s="21" t="s">
        <v>459</v>
      </c>
      <c r="D18" s="21">
        <v>2010000</v>
      </c>
      <c r="E18" s="21" t="s">
        <v>457</v>
      </c>
      <c r="F18" s="21" t="str">
        <f t="shared" si="0"/>
        <v>rtdc.l.rtdc.4029:itc</v>
      </c>
      <c r="G18" s="8">
        <f t="shared" si="1"/>
        <v>42690.146331018521</v>
      </c>
    </row>
    <row r="19" spans="1:7" x14ac:dyDescent="0.25">
      <c r="A19" s="8">
        <v>42690.162106481483</v>
      </c>
      <c r="B19" s="21" t="s">
        <v>186</v>
      </c>
      <c r="C19" s="21" t="s">
        <v>460</v>
      </c>
      <c r="D19" s="21">
        <v>2630000</v>
      </c>
      <c r="E19" s="21" t="s">
        <v>341</v>
      </c>
      <c r="F19" s="21" t="str">
        <f t="shared" si="0"/>
        <v>rtdc.l.rtdc.4009:itc</v>
      </c>
      <c r="G19" s="8">
        <f t="shared" si="1"/>
        <v>42690.162106481483</v>
      </c>
    </row>
    <row r="20" spans="1:7" x14ac:dyDescent="0.25">
      <c r="A20" s="8">
        <v>42690.163541666669</v>
      </c>
      <c r="B20" s="21" t="s">
        <v>290</v>
      </c>
      <c r="C20" s="21" t="s">
        <v>397</v>
      </c>
      <c r="D20" s="21">
        <v>1760000</v>
      </c>
      <c r="E20" s="21" t="s">
        <v>461</v>
      </c>
      <c r="F20" s="21" t="str">
        <f t="shared" si="0"/>
        <v>rtdc.l.rtdc.4013:itc</v>
      </c>
      <c r="G20" s="8">
        <f t="shared" si="1"/>
        <v>42690.163541666669</v>
      </c>
    </row>
    <row r="21" spans="1:7" x14ac:dyDescent="0.25">
      <c r="A21" s="8">
        <v>42690.171342592592</v>
      </c>
      <c r="B21" s="21" t="s">
        <v>243</v>
      </c>
      <c r="C21" s="21" t="s">
        <v>462</v>
      </c>
      <c r="D21" s="21">
        <v>1090000</v>
      </c>
      <c r="E21" s="21" t="s">
        <v>463</v>
      </c>
      <c r="F21" s="21" t="str">
        <f t="shared" si="0"/>
        <v>rtdc.l.rtdc.4015:itc</v>
      </c>
      <c r="G21" s="8">
        <f t="shared" si="1"/>
        <v>42690.171342592592</v>
      </c>
    </row>
    <row r="22" spans="1:7" x14ac:dyDescent="0.25">
      <c r="A22" s="27">
        <v>42690.171817129631</v>
      </c>
      <c r="B22" s="21" t="s">
        <v>257</v>
      </c>
      <c r="C22" s="21" t="s">
        <v>399</v>
      </c>
      <c r="D22" s="21">
        <v>1340000</v>
      </c>
      <c r="E22" s="21" t="s">
        <v>342</v>
      </c>
      <c r="F22" s="21" t="str">
        <f t="shared" si="0"/>
        <v>rtdc.l.rtdc.4054:itc</v>
      </c>
      <c r="G22" s="8">
        <f t="shared" si="1"/>
        <v>42690.171817129631</v>
      </c>
    </row>
    <row r="23" spans="1:7" x14ac:dyDescent="0.25">
      <c r="A23" s="8">
        <v>42690.173402777778</v>
      </c>
      <c r="B23" s="21" t="s">
        <v>243</v>
      </c>
      <c r="C23" s="21" t="s">
        <v>462</v>
      </c>
      <c r="D23" s="21">
        <v>1090000</v>
      </c>
      <c r="E23" s="21" t="s">
        <v>463</v>
      </c>
      <c r="F23" s="21" t="str">
        <f t="shared" si="0"/>
        <v>rtdc.l.rtdc.4015:itc</v>
      </c>
      <c r="G23" s="8">
        <f t="shared" si="1"/>
        <v>42690.173402777778</v>
      </c>
    </row>
    <row r="24" spans="1:7" x14ac:dyDescent="0.25">
      <c r="A24" s="8">
        <v>42690.179375</v>
      </c>
      <c r="B24" s="21" t="s">
        <v>249</v>
      </c>
      <c r="C24" s="21" t="s">
        <v>464</v>
      </c>
      <c r="D24" s="21">
        <v>1760000</v>
      </c>
      <c r="E24" s="21" t="s">
        <v>461</v>
      </c>
      <c r="F24" s="21" t="str">
        <f t="shared" si="0"/>
        <v>rtdc.l.rtdc.4022:itc</v>
      </c>
      <c r="G24" s="8">
        <f t="shared" si="1"/>
        <v>42690.179375</v>
      </c>
    </row>
    <row r="25" spans="1:7" x14ac:dyDescent="0.25">
      <c r="A25" s="8">
        <v>42690.181828703702</v>
      </c>
      <c r="B25" s="21" t="s">
        <v>244</v>
      </c>
      <c r="C25" s="21" t="s">
        <v>398</v>
      </c>
      <c r="D25" s="21">
        <v>2140000</v>
      </c>
      <c r="E25" s="21" t="s">
        <v>310</v>
      </c>
      <c r="F25" s="21" t="str">
        <f t="shared" si="0"/>
        <v>rtdc.l.rtdc.4043:itc</v>
      </c>
      <c r="G25" s="8">
        <f t="shared" si="1"/>
        <v>42690.181828703702</v>
      </c>
    </row>
    <row r="26" spans="1:7" x14ac:dyDescent="0.25">
      <c r="A26" s="8">
        <v>42690.187152777777</v>
      </c>
      <c r="B26" s="21" t="s">
        <v>242</v>
      </c>
      <c r="C26" s="21" t="s">
        <v>465</v>
      </c>
      <c r="D26" s="21">
        <v>1090000</v>
      </c>
      <c r="E26" s="21" t="s">
        <v>463</v>
      </c>
      <c r="F26" s="21" t="str">
        <f t="shared" si="0"/>
        <v>rtdc.l.rtdc.4016:itc</v>
      </c>
      <c r="G26" s="8">
        <f t="shared" si="1"/>
        <v>42690.187152777777</v>
      </c>
    </row>
    <row r="27" spans="1:7" x14ac:dyDescent="0.25">
      <c r="A27" s="8">
        <v>42690.194374999999</v>
      </c>
      <c r="B27" s="21" t="s">
        <v>263</v>
      </c>
      <c r="C27" s="21" t="s">
        <v>466</v>
      </c>
      <c r="D27" s="21">
        <v>2010000</v>
      </c>
      <c r="E27" s="21" t="s">
        <v>457</v>
      </c>
      <c r="F27" s="21" t="str">
        <f t="shared" si="0"/>
        <v>rtdc.l.rtdc.4037:itc</v>
      </c>
      <c r="G27" s="8">
        <f t="shared" si="1"/>
        <v>42690.194374999999</v>
      </c>
    </row>
    <row r="28" spans="1:7" x14ac:dyDescent="0.25">
      <c r="A28" s="8">
        <v>42690.198784722219</v>
      </c>
      <c r="B28" s="21" t="s">
        <v>309</v>
      </c>
      <c r="C28" s="21" t="s">
        <v>400</v>
      </c>
      <c r="D28" s="21">
        <v>1110000</v>
      </c>
      <c r="E28" s="21" t="s">
        <v>343</v>
      </c>
      <c r="F28" s="21" t="str">
        <f t="shared" si="0"/>
        <v>rtdc.l.rtdc.4046:itc</v>
      </c>
      <c r="G28" s="8">
        <f t="shared" si="1"/>
        <v>42690.198784722219</v>
      </c>
    </row>
    <row r="29" spans="1:7" x14ac:dyDescent="0.25">
      <c r="A29" s="8">
        <v>42690.205324074072</v>
      </c>
      <c r="B29" s="21" t="s">
        <v>242</v>
      </c>
      <c r="C29" s="21" t="s">
        <v>465</v>
      </c>
      <c r="D29" s="21">
        <v>1090000</v>
      </c>
      <c r="E29" s="21" t="s">
        <v>463</v>
      </c>
      <c r="F29" s="21" t="str">
        <f t="shared" si="0"/>
        <v>rtdc.l.rtdc.4016:itc</v>
      </c>
      <c r="G29" s="8">
        <f t="shared" si="1"/>
        <v>42690.205324074072</v>
      </c>
    </row>
    <row r="30" spans="1:7" x14ac:dyDescent="0.25">
      <c r="A30" s="8">
        <v>42690.207407407404</v>
      </c>
      <c r="B30" s="21" t="s">
        <v>188</v>
      </c>
      <c r="C30" s="21" t="s">
        <v>467</v>
      </c>
      <c r="D30" s="21">
        <v>2140000</v>
      </c>
      <c r="E30" s="21" t="s">
        <v>310</v>
      </c>
      <c r="F30" s="21" t="str">
        <f t="shared" si="0"/>
        <v>rtdc.l.rtdc.4044:itc</v>
      </c>
      <c r="G30" s="8">
        <f t="shared" si="1"/>
        <v>42690.207407407404</v>
      </c>
    </row>
    <row r="31" spans="1:7" x14ac:dyDescent="0.25">
      <c r="A31" s="8">
        <v>42690.215567129628</v>
      </c>
      <c r="B31" s="21" t="s">
        <v>308</v>
      </c>
      <c r="C31" s="21" t="s">
        <v>401</v>
      </c>
      <c r="D31" s="21">
        <v>1110000</v>
      </c>
      <c r="E31" s="21" t="s">
        <v>343</v>
      </c>
      <c r="F31" s="21" t="str">
        <f t="shared" si="0"/>
        <v>rtdc.l.rtdc.4045:itc</v>
      </c>
      <c r="G31" s="8">
        <f t="shared" si="1"/>
        <v>42690.215567129628</v>
      </c>
    </row>
    <row r="32" spans="1:7" x14ac:dyDescent="0.25">
      <c r="A32" s="8">
        <v>42690.216354166667</v>
      </c>
      <c r="B32" s="21" t="s">
        <v>403</v>
      </c>
      <c r="C32" s="21" t="s">
        <v>404</v>
      </c>
      <c r="D32" s="21">
        <v>2630000</v>
      </c>
      <c r="E32" s="21" t="s">
        <v>341</v>
      </c>
      <c r="F32" s="21" t="str">
        <f t="shared" si="0"/>
        <v>rtdc.l.rtdc.4008:itc</v>
      </c>
      <c r="G32" s="8">
        <f t="shared" si="1"/>
        <v>42690.216354166667</v>
      </c>
    </row>
    <row r="33" spans="1:7" x14ac:dyDescent="0.25">
      <c r="A33" s="8">
        <v>42690.228750000002</v>
      </c>
      <c r="B33" s="21" t="s">
        <v>214</v>
      </c>
      <c r="C33" s="21" t="s">
        <v>468</v>
      </c>
      <c r="D33" s="21">
        <v>2610000</v>
      </c>
      <c r="E33" s="21" t="s">
        <v>240</v>
      </c>
      <c r="F33" s="21" t="str">
        <f t="shared" si="0"/>
        <v>rtdc.l.rtdc.4029:itc</v>
      </c>
      <c r="G33" s="8">
        <f t="shared" si="1"/>
        <v>42690.228750000002</v>
      </c>
    </row>
    <row r="34" spans="1:7" x14ac:dyDescent="0.25">
      <c r="A34" s="8">
        <v>42690.229629629626</v>
      </c>
      <c r="B34" s="21" t="s">
        <v>259</v>
      </c>
      <c r="C34" s="21" t="s">
        <v>469</v>
      </c>
      <c r="D34" s="21">
        <v>2010000</v>
      </c>
      <c r="E34" s="21" t="s">
        <v>457</v>
      </c>
      <c r="F34" s="21" t="str">
        <f t="shared" si="0"/>
        <v>rtdc.l.rtdc.4038:itc</v>
      </c>
      <c r="G34" s="8">
        <f t="shared" si="1"/>
        <v>42690.229629629626</v>
      </c>
    </row>
    <row r="35" spans="1:7" x14ac:dyDescent="0.25">
      <c r="A35" s="8">
        <v>42690.235486111109</v>
      </c>
      <c r="B35" s="21" t="s">
        <v>259</v>
      </c>
      <c r="C35" s="21" t="s">
        <v>469</v>
      </c>
      <c r="D35" s="21">
        <v>2010000</v>
      </c>
      <c r="E35" s="21" t="s">
        <v>457</v>
      </c>
      <c r="F35" s="21" t="str">
        <f t="shared" si="0"/>
        <v>rtdc.l.rtdc.4038:itc</v>
      </c>
      <c r="G35" s="8">
        <f t="shared" si="1"/>
        <v>42690.235486111109</v>
      </c>
    </row>
    <row r="36" spans="1:7" x14ac:dyDescent="0.25">
      <c r="A36" s="8">
        <v>42690.236493055556</v>
      </c>
      <c r="B36" s="21" t="s">
        <v>290</v>
      </c>
      <c r="C36" s="21" t="s">
        <v>402</v>
      </c>
      <c r="D36" s="21">
        <v>1760000</v>
      </c>
      <c r="E36" s="21" t="s">
        <v>461</v>
      </c>
      <c r="F36" s="21" t="str">
        <f t="shared" si="0"/>
        <v>rtdc.l.rtdc.4013:itc</v>
      </c>
      <c r="G36" s="8">
        <f t="shared" si="1"/>
        <v>42690.236493055556</v>
      </c>
    </row>
    <row r="37" spans="1:7" x14ac:dyDescent="0.25">
      <c r="A37" s="8">
        <v>42690.23945601852</v>
      </c>
      <c r="B37" s="21" t="s">
        <v>243</v>
      </c>
      <c r="C37" s="21" t="s">
        <v>405</v>
      </c>
      <c r="D37" s="21">
        <v>1090000</v>
      </c>
      <c r="E37" s="21" t="s">
        <v>463</v>
      </c>
      <c r="F37" s="21" t="str">
        <f t="shared" si="0"/>
        <v>rtdc.l.rtdc.4015:itc</v>
      </c>
      <c r="G37" s="8">
        <f t="shared" si="1"/>
        <v>42690.23945601852</v>
      </c>
    </row>
    <row r="38" spans="1:7" x14ac:dyDescent="0.25">
      <c r="A38" s="8">
        <v>42690.241435185184</v>
      </c>
      <c r="B38" s="21" t="s">
        <v>309</v>
      </c>
      <c r="C38" s="21" t="s">
        <v>470</v>
      </c>
      <c r="D38" s="21">
        <v>1110000</v>
      </c>
      <c r="E38" s="21" t="s">
        <v>343</v>
      </c>
      <c r="F38" s="21" t="str">
        <f t="shared" si="0"/>
        <v>rtdc.l.rtdc.4046:itc</v>
      </c>
      <c r="G38" s="8">
        <f t="shared" si="1"/>
        <v>42690.241435185184</v>
      </c>
    </row>
    <row r="39" spans="1:7" x14ac:dyDescent="0.25">
      <c r="A39" s="8">
        <v>42690.246331018519</v>
      </c>
      <c r="B39" s="21" t="s">
        <v>346</v>
      </c>
      <c r="C39" s="21" t="s">
        <v>471</v>
      </c>
      <c r="D39" s="21">
        <v>2600000</v>
      </c>
      <c r="E39" s="21" t="s">
        <v>344</v>
      </c>
      <c r="F39" s="21" t="str">
        <f t="shared" si="0"/>
        <v>rtdc.l.rtdc.4026:itc</v>
      </c>
      <c r="G39" s="8">
        <f t="shared" si="1"/>
        <v>42690.246331018519</v>
      </c>
    </row>
    <row r="40" spans="1:7" x14ac:dyDescent="0.25">
      <c r="A40" s="8">
        <v>42690.247291666667</v>
      </c>
      <c r="B40" s="26" t="s">
        <v>244</v>
      </c>
      <c r="C40" s="21" t="s">
        <v>472</v>
      </c>
      <c r="D40" s="21">
        <v>2140000</v>
      </c>
      <c r="E40" s="21" t="s">
        <v>310</v>
      </c>
      <c r="F40" s="21" t="str">
        <f t="shared" si="0"/>
        <v>rtdc.l.rtdc.4043:itc</v>
      </c>
      <c r="G40" s="8">
        <f t="shared" si="1"/>
        <v>42690.247291666667</v>
      </c>
    </row>
    <row r="41" spans="1:7" x14ac:dyDescent="0.25">
      <c r="A41" s="8">
        <v>42690.247928240744</v>
      </c>
      <c r="B41" s="21" t="s">
        <v>186</v>
      </c>
      <c r="C41" s="21" t="s">
        <v>473</v>
      </c>
      <c r="D41" s="21">
        <v>2380000</v>
      </c>
      <c r="E41" s="21" t="s">
        <v>474</v>
      </c>
      <c r="F41" s="21" t="str">
        <f t="shared" si="0"/>
        <v>rtdc.l.rtdc.4009:itc</v>
      </c>
      <c r="G41" s="8">
        <f t="shared" si="1"/>
        <v>42690.247928240744</v>
      </c>
    </row>
    <row r="42" spans="1:7" x14ac:dyDescent="0.25">
      <c r="A42" s="8">
        <v>42690.253703703704</v>
      </c>
      <c r="B42" s="21" t="s">
        <v>430</v>
      </c>
      <c r="C42" s="21" t="s">
        <v>475</v>
      </c>
      <c r="D42" s="21">
        <v>2630000</v>
      </c>
      <c r="E42" s="21" t="s">
        <v>341</v>
      </c>
      <c r="F42" s="21" t="str">
        <f t="shared" si="0"/>
        <v>rtdc.l.rtdc.4007:itc</v>
      </c>
      <c r="G42" s="8">
        <f t="shared" si="1"/>
        <v>42690.253703703704</v>
      </c>
    </row>
    <row r="43" spans="1:7" x14ac:dyDescent="0.25">
      <c r="A43" s="8">
        <v>42690.254976851851</v>
      </c>
      <c r="B43" s="21" t="s">
        <v>308</v>
      </c>
      <c r="C43" s="21" t="s">
        <v>476</v>
      </c>
      <c r="D43" s="21">
        <v>1110000</v>
      </c>
      <c r="E43" s="21" t="s">
        <v>343</v>
      </c>
      <c r="F43" s="21" t="str">
        <f t="shared" si="0"/>
        <v>rtdc.l.rtdc.4045:itc</v>
      </c>
      <c r="G43" s="8">
        <f t="shared" si="1"/>
        <v>42690.254976851851</v>
      </c>
    </row>
    <row r="44" spans="1:7" x14ac:dyDescent="0.25">
      <c r="A44" s="8">
        <v>42690.255497685182</v>
      </c>
      <c r="B44" s="21" t="s">
        <v>347</v>
      </c>
      <c r="C44" s="21" t="s">
        <v>477</v>
      </c>
      <c r="D44" s="21">
        <v>2600000</v>
      </c>
      <c r="E44" s="21" t="s">
        <v>344</v>
      </c>
      <c r="F44" s="21" t="str">
        <f t="shared" si="0"/>
        <v>rtdc.l.rtdc.4025:itc</v>
      </c>
      <c r="G44" s="8">
        <f t="shared" si="1"/>
        <v>42690.255497685182</v>
      </c>
    </row>
    <row r="45" spans="1:7" x14ac:dyDescent="0.25">
      <c r="A45" s="8">
        <v>42690.266087962962</v>
      </c>
      <c r="B45" s="21" t="s">
        <v>215</v>
      </c>
      <c r="C45" s="21" t="s">
        <v>478</v>
      </c>
      <c r="D45" s="21">
        <v>2610000</v>
      </c>
      <c r="E45" s="21" t="s">
        <v>240</v>
      </c>
      <c r="F45" s="21" t="str">
        <f t="shared" si="0"/>
        <v>rtdc.l.rtdc.4030:itc</v>
      </c>
      <c r="G45" s="8">
        <f t="shared" si="1"/>
        <v>42690.266087962962</v>
      </c>
    </row>
    <row r="46" spans="1:7" x14ac:dyDescent="0.25">
      <c r="A46" s="8">
        <v>42690.270173611112</v>
      </c>
      <c r="B46" s="21" t="s">
        <v>249</v>
      </c>
      <c r="C46" s="21" t="s">
        <v>479</v>
      </c>
      <c r="D46" s="21">
        <v>1760000</v>
      </c>
      <c r="E46" s="21" t="s">
        <v>461</v>
      </c>
      <c r="F46" s="21" t="str">
        <f t="shared" si="0"/>
        <v>rtdc.l.rtdc.4022:itc</v>
      </c>
      <c r="G46" s="8">
        <f t="shared" si="1"/>
        <v>42690.270173611112</v>
      </c>
    </row>
    <row r="47" spans="1:7" x14ac:dyDescent="0.25">
      <c r="A47" s="8">
        <v>42690.270266203705</v>
      </c>
      <c r="B47" s="21" t="s">
        <v>263</v>
      </c>
      <c r="C47" s="21" t="s">
        <v>480</v>
      </c>
      <c r="D47" s="21">
        <v>2010000</v>
      </c>
      <c r="E47" s="21" t="s">
        <v>457</v>
      </c>
      <c r="F47" s="21" t="str">
        <f t="shared" si="0"/>
        <v>rtdc.l.rtdc.4037:itc</v>
      </c>
      <c r="G47" s="8">
        <f t="shared" si="1"/>
        <v>42690.270266203705</v>
      </c>
    </row>
    <row r="48" spans="1:7" x14ac:dyDescent="0.25">
      <c r="A48" s="8">
        <v>42690.275706018518</v>
      </c>
      <c r="B48" s="21" t="s">
        <v>346</v>
      </c>
      <c r="C48" s="21" t="s">
        <v>481</v>
      </c>
      <c r="D48" s="21">
        <v>2600000</v>
      </c>
      <c r="E48" s="21" t="s">
        <v>344</v>
      </c>
      <c r="F48" s="21" t="str">
        <f t="shared" si="0"/>
        <v>rtdc.l.rtdc.4026:itc</v>
      </c>
      <c r="G48" s="8">
        <f t="shared" si="1"/>
        <v>42690.275706018518</v>
      </c>
    </row>
    <row r="49" spans="1:7" x14ac:dyDescent="0.25">
      <c r="A49" s="8">
        <v>42690.276932870373</v>
      </c>
      <c r="B49" s="21" t="s">
        <v>242</v>
      </c>
      <c r="C49" s="21" t="s">
        <v>482</v>
      </c>
      <c r="D49" s="21">
        <v>1090000</v>
      </c>
      <c r="E49" s="21" t="s">
        <v>463</v>
      </c>
      <c r="F49" s="21" t="str">
        <f t="shared" si="0"/>
        <v>rtdc.l.rtdc.4016:itc</v>
      </c>
      <c r="G49" s="8">
        <f t="shared" si="1"/>
        <v>42690.276932870373</v>
      </c>
    </row>
    <row r="50" spans="1:7" x14ac:dyDescent="0.25">
      <c r="A50" s="8">
        <v>42690.278182870374</v>
      </c>
      <c r="B50" s="21" t="s">
        <v>242</v>
      </c>
      <c r="C50" s="21" t="s">
        <v>482</v>
      </c>
      <c r="D50" s="21">
        <v>1090000</v>
      </c>
      <c r="E50" s="21" t="s">
        <v>463</v>
      </c>
      <c r="F50" s="21" t="str">
        <f t="shared" si="0"/>
        <v>rtdc.l.rtdc.4016:itc</v>
      </c>
      <c r="G50" s="8">
        <f t="shared" si="1"/>
        <v>42690.278182870374</v>
      </c>
    </row>
    <row r="51" spans="1:7" x14ac:dyDescent="0.25">
      <c r="A51" s="8">
        <v>42690.281597222223</v>
      </c>
      <c r="B51" s="21" t="s">
        <v>309</v>
      </c>
      <c r="C51" s="21" t="s">
        <v>483</v>
      </c>
      <c r="D51" s="21">
        <v>1110000</v>
      </c>
      <c r="E51" s="21" t="s">
        <v>343</v>
      </c>
      <c r="F51" s="21" t="str">
        <f t="shared" si="0"/>
        <v>rtdc.l.rtdc.4046:itc</v>
      </c>
      <c r="G51" s="8">
        <f t="shared" si="1"/>
        <v>42690.281597222223</v>
      </c>
    </row>
    <row r="52" spans="1:7" x14ac:dyDescent="0.25">
      <c r="A52" s="8">
        <v>42690.282685185186</v>
      </c>
      <c r="B52" s="21" t="s">
        <v>188</v>
      </c>
      <c r="C52" s="21" t="s">
        <v>484</v>
      </c>
      <c r="D52" s="21">
        <v>2140000</v>
      </c>
      <c r="E52" s="21" t="s">
        <v>310</v>
      </c>
      <c r="F52" s="21" t="str">
        <f t="shared" si="0"/>
        <v>rtdc.l.rtdc.4044:itc</v>
      </c>
      <c r="G52" s="8">
        <f t="shared" si="1"/>
        <v>42690.282685185186</v>
      </c>
    </row>
    <row r="53" spans="1:7" x14ac:dyDescent="0.25">
      <c r="A53" s="8">
        <v>42690.28402777778</v>
      </c>
      <c r="B53" s="21" t="s">
        <v>188</v>
      </c>
      <c r="C53" s="21" t="s">
        <v>484</v>
      </c>
      <c r="D53" s="21">
        <v>2140000</v>
      </c>
      <c r="E53" s="21" t="s">
        <v>310</v>
      </c>
      <c r="F53" s="21" t="str">
        <f t="shared" si="0"/>
        <v>rtdc.l.rtdc.4044:itc</v>
      </c>
      <c r="G53" s="8">
        <f t="shared" si="1"/>
        <v>42690.28402777778</v>
      </c>
    </row>
    <row r="54" spans="1:7" x14ac:dyDescent="0.25">
      <c r="A54" s="8">
        <v>42690.284675925926</v>
      </c>
      <c r="B54" s="21" t="s">
        <v>248</v>
      </c>
      <c r="C54" s="21" t="s">
        <v>485</v>
      </c>
      <c r="D54" s="21">
        <v>2380000</v>
      </c>
      <c r="E54" s="21" t="s">
        <v>474</v>
      </c>
      <c r="F54" s="21" t="str">
        <f t="shared" si="0"/>
        <v>rtdc.l.rtdc.4010:itc</v>
      </c>
      <c r="G54" s="8">
        <f t="shared" si="1"/>
        <v>42690.284675925926</v>
      </c>
    </row>
    <row r="55" spans="1:7" x14ac:dyDescent="0.25">
      <c r="A55" s="8">
        <v>42690.292094907411</v>
      </c>
      <c r="B55" s="21" t="s">
        <v>347</v>
      </c>
      <c r="C55" s="21" t="s">
        <v>486</v>
      </c>
      <c r="D55" s="21">
        <v>2600000</v>
      </c>
      <c r="E55" s="21" t="s">
        <v>344</v>
      </c>
      <c r="F55" s="21" t="str">
        <f t="shared" si="0"/>
        <v>rtdc.l.rtdc.4025:itc</v>
      </c>
      <c r="G55" s="8">
        <f t="shared" si="1"/>
        <v>42690.292094907411</v>
      </c>
    </row>
    <row r="56" spans="1:7" x14ac:dyDescent="0.25">
      <c r="A56" s="8">
        <v>42690.295347222222</v>
      </c>
      <c r="B56" s="21" t="s">
        <v>403</v>
      </c>
      <c r="C56" s="21" t="s">
        <v>406</v>
      </c>
      <c r="D56" s="21">
        <v>2630000</v>
      </c>
      <c r="E56" s="21" t="s">
        <v>341</v>
      </c>
      <c r="F56" s="21" t="str">
        <f t="shared" si="0"/>
        <v>rtdc.l.rtdc.4008:itc</v>
      </c>
      <c r="G56" s="8">
        <f t="shared" si="1"/>
        <v>42690.295347222222</v>
      </c>
    </row>
    <row r="57" spans="1:7" x14ac:dyDescent="0.25">
      <c r="A57" s="8">
        <v>42690.296990740739</v>
      </c>
      <c r="B57" s="21" t="s">
        <v>308</v>
      </c>
      <c r="C57" s="21" t="s">
        <v>407</v>
      </c>
      <c r="D57" s="21">
        <v>1110000</v>
      </c>
      <c r="E57" s="21" t="s">
        <v>343</v>
      </c>
      <c r="F57" s="21" t="str">
        <f t="shared" si="0"/>
        <v>rtdc.l.rtdc.4045:itc</v>
      </c>
      <c r="G57" s="8">
        <f t="shared" si="1"/>
        <v>42690.296990740739</v>
      </c>
    </row>
    <row r="58" spans="1:7" x14ac:dyDescent="0.25">
      <c r="A58" s="8">
        <v>42690.297210648147</v>
      </c>
      <c r="B58" s="21" t="s">
        <v>214</v>
      </c>
      <c r="C58" s="21" t="s">
        <v>487</v>
      </c>
      <c r="D58" s="21">
        <v>2610000</v>
      </c>
      <c r="E58" s="21" t="s">
        <v>240</v>
      </c>
      <c r="F58" s="21" t="str">
        <f t="shared" si="0"/>
        <v>rtdc.l.rtdc.4029:itc</v>
      </c>
      <c r="G58" s="8">
        <f t="shared" si="1"/>
        <v>42690.297210648147</v>
      </c>
    </row>
    <row r="59" spans="1:7" x14ac:dyDescent="0.25">
      <c r="A59" s="8">
        <v>42690.304965277777</v>
      </c>
      <c r="B59" s="21" t="s">
        <v>250</v>
      </c>
      <c r="C59" s="21" t="s">
        <v>408</v>
      </c>
      <c r="D59" s="21">
        <v>1760000</v>
      </c>
      <c r="E59" s="21" t="s">
        <v>461</v>
      </c>
      <c r="F59" s="21" t="str">
        <f t="shared" si="0"/>
        <v>rtdc.l.rtdc.4021:itc</v>
      </c>
      <c r="G59" s="8">
        <f t="shared" si="1"/>
        <v>42690.304965277777</v>
      </c>
    </row>
    <row r="60" spans="1:7" x14ac:dyDescent="0.25">
      <c r="A60" s="8">
        <v>42690.308680555558</v>
      </c>
      <c r="B60" s="21" t="s">
        <v>259</v>
      </c>
      <c r="C60" s="21" t="s">
        <v>488</v>
      </c>
      <c r="D60" s="21">
        <v>2010000</v>
      </c>
      <c r="E60" s="21" t="s">
        <v>457</v>
      </c>
      <c r="F60" s="21" t="str">
        <f t="shared" si="0"/>
        <v>rtdc.l.rtdc.4038:itc</v>
      </c>
      <c r="G60" s="8">
        <f t="shared" si="1"/>
        <v>42690.308680555558</v>
      </c>
    </row>
    <row r="61" spans="1:7" x14ac:dyDescent="0.25">
      <c r="A61" s="8">
        <v>42690.318020833336</v>
      </c>
      <c r="B61" s="21" t="s">
        <v>243</v>
      </c>
      <c r="C61" s="21" t="s">
        <v>489</v>
      </c>
      <c r="D61" s="21">
        <v>1090000</v>
      </c>
      <c r="E61" s="21" t="s">
        <v>463</v>
      </c>
      <c r="F61" s="21" t="str">
        <f t="shared" si="0"/>
        <v>rtdc.l.rtdc.4015:itc</v>
      </c>
      <c r="G61" s="8">
        <f t="shared" si="1"/>
        <v>42690.318020833336</v>
      </c>
    </row>
    <row r="62" spans="1:7" x14ac:dyDescent="0.25">
      <c r="A62" s="8">
        <v>42690.318356481483</v>
      </c>
      <c r="B62" s="21" t="s">
        <v>346</v>
      </c>
      <c r="C62" s="21" t="s">
        <v>490</v>
      </c>
      <c r="D62" s="21">
        <v>2600000</v>
      </c>
      <c r="E62" s="21" t="s">
        <v>344</v>
      </c>
      <c r="F62" s="21" t="str">
        <f t="shared" si="0"/>
        <v>rtdc.l.rtdc.4026:itc</v>
      </c>
      <c r="G62" s="8">
        <f t="shared" si="1"/>
        <v>42690.318356481483</v>
      </c>
    </row>
    <row r="63" spans="1:7" x14ac:dyDescent="0.25">
      <c r="A63" s="8">
        <v>42690.318460648145</v>
      </c>
      <c r="B63" s="21" t="s">
        <v>186</v>
      </c>
      <c r="C63" s="21" t="s">
        <v>491</v>
      </c>
      <c r="D63" s="21">
        <v>2380000</v>
      </c>
      <c r="E63" s="21" t="s">
        <v>474</v>
      </c>
      <c r="F63" s="21" t="str">
        <f t="shared" si="0"/>
        <v>rtdc.l.rtdc.4009:itc</v>
      </c>
      <c r="G63" s="8">
        <f t="shared" si="1"/>
        <v>42690.318460648145</v>
      </c>
    </row>
    <row r="64" spans="1:7" x14ac:dyDescent="0.25">
      <c r="A64" s="27">
        <v>42690.32172453704</v>
      </c>
      <c r="B64" s="21" t="s">
        <v>309</v>
      </c>
      <c r="C64" s="21" t="s">
        <v>409</v>
      </c>
      <c r="D64" s="21">
        <v>1110000</v>
      </c>
      <c r="E64" s="21" t="s">
        <v>343</v>
      </c>
      <c r="F64" s="21" t="str">
        <f t="shared" si="0"/>
        <v>rtdc.l.rtdc.4046:itc</v>
      </c>
      <c r="G64" s="8">
        <f t="shared" si="1"/>
        <v>42690.32172453704</v>
      </c>
    </row>
    <row r="65" spans="1:7" x14ac:dyDescent="0.25">
      <c r="A65" s="8">
        <v>42690.32880787037</v>
      </c>
      <c r="B65" s="21" t="s">
        <v>244</v>
      </c>
      <c r="C65" s="21" t="s">
        <v>492</v>
      </c>
      <c r="D65" s="21">
        <v>2140000</v>
      </c>
      <c r="E65" s="21" t="s">
        <v>310</v>
      </c>
      <c r="F65" s="21" t="str">
        <f t="shared" si="0"/>
        <v>rtdc.l.rtdc.4043:itc</v>
      </c>
      <c r="G65" s="8">
        <f t="shared" si="1"/>
        <v>42690.32880787037</v>
      </c>
    </row>
    <row r="66" spans="1:7" x14ac:dyDescent="0.25">
      <c r="A66" s="8">
        <v>42690.331238425926</v>
      </c>
      <c r="B66" s="21" t="s">
        <v>215</v>
      </c>
      <c r="C66" s="21" t="s">
        <v>411</v>
      </c>
      <c r="D66" s="21">
        <v>2610000</v>
      </c>
      <c r="E66" s="21" t="s">
        <v>240</v>
      </c>
      <c r="F66" s="21" t="str">
        <f t="shared" ref="F66:F129" si="2">B66</f>
        <v>rtdc.l.rtdc.4030:itc</v>
      </c>
      <c r="G66" s="8">
        <f t="shared" ref="G66:G129" si="3">A66</f>
        <v>42690.331238425926</v>
      </c>
    </row>
    <row r="67" spans="1:7" x14ac:dyDescent="0.25">
      <c r="A67" s="8">
        <v>42690.337893518517</v>
      </c>
      <c r="B67" s="21" t="s">
        <v>430</v>
      </c>
      <c r="C67" s="21" t="s">
        <v>493</v>
      </c>
      <c r="D67" s="21">
        <v>2630000</v>
      </c>
      <c r="E67" s="21" t="s">
        <v>341</v>
      </c>
      <c r="F67" s="21" t="str">
        <f t="shared" si="2"/>
        <v>rtdc.l.rtdc.4007:itc</v>
      </c>
      <c r="G67" s="8">
        <f t="shared" si="3"/>
        <v>42690.337893518517</v>
      </c>
    </row>
    <row r="68" spans="1:7" x14ac:dyDescent="0.25">
      <c r="A68" s="8">
        <v>42690.339479166665</v>
      </c>
      <c r="B68" s="21" t="s">
        <v>308</v>
      </c>
      <c r="C68" s="21" t="s">
        <v>494</v>
      </c>
      <c r="D68" s="21">
        <v>1110000</v>
      </c>
      <c r="E68" s="21" t="s">
        <v>343</v>
      </c>
      <c r="F68" s="21" t="str">
        <f t="shared" si="2"/>
        <v>rtdc.l.rtdc.4045:itc</v>
      </c>
      <c r="G68" s="8">
        <f t="shared" si="3"/>
        <v>42690.339479166665</v>
      </c>
    </row>
    <row r="69" spans="1:7" x14ac:dyDescent="0.25">
      <c r="A69" s="8">
        <v>42690.343831018516</v>
      </c>
      <c r="B69" s="21" t="s">
        <v>249</v>
      </c>
      <c r="C69" s="21" t="s">
        <v>495</v>
      </c>
      <c r="D69" s="21">
        <v>1760000</v>
      </c>
      <c r="E69" s="21" t="s">
        <v>461</v>
      </c>
      <c r="F69" s="21" t="str">
        <f t="shared" si="2"/>
        <v>rtdc.l.rtdc.4022:itc</v>
      </c>
      <c r="G69" s="8">
        <f t="shared" si="3"/>
        <v>42690.343831018516</v>
      </c>
    </row>
    <row r="70" spans="1:7" x14ac:dyDescent="0.25">
      <c r="A70" s="8">
        <v>42690.346030092594</v>
      </c>
      <c r="B70" s="21" t="s">
        <v>347</v>
      </c>
      <c r="C70" s="21" t="s">
        <v>496</v>
      </c>
      <c r="D70" s="21">
        <v>2600000</v>
      </c>
      <c r="E70" s="21" t="s">
        <v>344</v>
      </c>
      <c r="F70" s="21" t="str">
        <f t="shared" si="2"/>
        <v>rtdc.l.rtdc.4025:itc</v>
      </c>
      <c r="G70" s="8">
        <f t="shared" si="3"/>
        <v>42690.346030092594</v>
      </c>
    </row>
    <row r="71" spans="1:7" x14ac:dyDescent="0.25">
      <c r="A71" s="8">
        <v>42690.34915509259</v>
      </c>
      <c r="B71" s="21" t="s">
        <v>242</v>
      </c>
      <c r="C71" s="21" t="s">
        <v>497</v>
      </c>
      <c r="D71" s="21">
        <v>1090000</v>
      </c>
      <c r="E71" s="21" t="s">
        <v>463</v>
      </c>
      <c r="F71" s="21" t="str">
        <f t="shared" si="2"/>
        <v>rtdc.l.rtdc.4016:itc</v>
      </c>
      <c r="G71" s="8">
        <f t="shared" si="3"/>
        <v>42690.34915509259</v>
      </c>
    </row>
    <row r="72" spans="1:7" x14ac:dyDescent="0.25">
      <c r="A72" s="8">
        <v>42690.349629629629</v>
      </c>
      <c r="B72" s="21" t="s">
        <v>263</v>
      </c>
      <c r="C72" s="21" t="s">
        <v>498</v>
      </c>
      <c r="D72" s="21">
        <v>2010000</v>
      </c>
      <c r="E72" s="21" t="s">
        <v>457</v>
      </c>
      <c r="F72" s="21" t="str">
        <f t="shared" si="2"/>
        <v>rtdc.l.rtdc.4037:itc</v>
      </c>
      <c r="G72" s="8">
        <f t="shared" si="3"/>
        <v>42690.349629629629</v>
      </c>
    </row>
    <row r="73" spans="1:7" x14ac:dyDescent="0.25">
      <c r="A73" s="8">
        <v>42690.355393518519</v>
      </c>
      <c r="B73" s="21" t="s">
        <v>309</v>
      </c>
      <c r="C73" s="21" t="s">
        <v>410</v>
      </c>
      <c r="D73" s="21">
        <v>1110000</v>
      </c>
      <c r="E73" s="21" t="s">
        <v>343</v>
      </c>
      <c r="F73" s="21" t="str">
        <f t="shared" si="2"/>
        <v>rtdc.l.rtdc.4046:itc</v>
      </c>
      <c r="G73" s="8">
        <f t="shared" si="3"/>
        <v>42690.355393518519</v>
      </c>
    </row>
    <row r="74" spans="1:7" x14ac:dyDescent="0.25">
      <c r="A74" s="8">
        <v>42690.357361111113</v>
      </c>
      <c r="B74" s="21" t="s">
        <v>248</v>
      </c>
      <c r="C74" s="21" t="s">
        <v>414</v>
      </c>
      <c r="D74" s="21">
        <v>2380000</v>
      </c>
      <c r="E74" s="21" t="s">
        <v>474</v>
      </c>
      <c r="F74" s="21" t="str">
        <f t="shared" si="2"/>
        <v>rtdc.l.rtdc.4010:itc</v>
      </c>
      <c r="G74" s="8">
        <f t="shared" si="3"/>
        <v>42690.357361111113</v>
      </c>
    </row>
    <row r="75" spans="1:7" x14ac:dyDescent="0.25">
      <c r="A75" s="8">
        <v>42690.358796296299</v>
      </c>
      <c r="B75" s="21" t="s">
        <v>346</v>
      </c>
      <c r="C75" s="21" t="s">
        <v>412</v>
      </c>
      <c r="D75" s="21">
        <v>2600000</v>
      </c>
      <c r="E75" s="21" t="s">
        <v>344</v>
      </c>
      <c r="F75" s="21" t="str">
        <f t="shared" si="2"/>
        <v>rtdc.l.rtdc.4026:itc</v>
      </c>
      <c r="G75" s="8">
        <f t="shared" si="3"/>
        <v>42690.358796296299</v>
      </c>
    </row>
    <row r="76" spans="1:7" x14ac:dyDescent="0.25">
      <c r="A76" s="8">
        <v>42690.364641203705</v>
      </c>
      <c r="B76" s="21" t="s">
        <v>188</v>
      </c>
      <c r="C76" s="21" t="s">
        <v>413</v>
      </c>
      <c r="D76" s="21">
        <v>2140000</v>
      </c>
      <c r="E76" s="21" t="s">
        <v>310</v>
      </c>
      <c r="F76" s="21" t="str">
        <f t="shared" si="2"/>
        <v>rtdc.l.rtdc.4044:itc</v>
      </c>
      <c r="G76" s="8">
        <f t="shared" si="3"/>
        <v>42690.364641203705</v>
      </c>
    </row>
    <row r="77" spans="1:7" x14ac:dyDescent="0.25">
      <c r="A77" s="8">
        <v>42690.367372685185</v>
      </c>
      <c r="B77" s="21" t="s">
        <v>403</v>
      </c>
      <c r="C77" s="21" t="s">
        <v>499</v>
      </c>
      <c r="D77" s="21">
        <v>2630000</v>
      </c>
      <c r="E77" s="21" t="s">
        <v>341</v>
      </c>
      <c r="F77" s="21" t="str">
        <f t="shared" si="2"/>
        <v>rtdc.l.rtdc.4008:itc</v>
      </c>
      <c r="G77" s="8">
        <f t="shared" si="3"/>
        <v>42690.367372685185</v>
      </c>
    </row>
    <row r="78" spans="1:7" x14ac:dyDescent="0.25">
      <c r="A78" s="8">
        <v>42690.373564814814</v>
      </c>
      <c r="B78" s="21" t="s">
        <v>214</v>
      </c>
      <c r="C78" s="21" t="s">
        <v>500</v>
      </c>
      <c r="D78" s="21">
        <v>2610000</v>
      </c>
      <c r="E78" s="21" t="s">
        <v>240</v>
      </c>
      <c r="F78" s="21" t="str">
        <f t="shared" si="2"/>
        <v>rtdc.l.rtdc.4029:itc</v>
      </c>
      <c r="G78" s="8">
        <f t="shared" si="3"/>
        <v>42690.373564814814</v>
      </c>
    </row>
    <row r="79" spans="1:7" x14ac:dyDescent="0.25">
      <c r="A79" s="8">
        <v>42690.380289351851</v>
      </c>
      <c r="B79" s="21" t="s">
        <v>347</v>
      </c>
      <c r="C79" s="21" t="s">
        <v>501</v>
      </c>
      <c r="D79" s="21">
        <v>2600000</v>
      </c>
      <c r="E79" s="21" t="s">
        <v>344</v>
      </c>
      <c r="F79" s="21" t="str">
        <f t="shared" si="2"/>
        <v>rtdc.l.rtdc.4025:itc</v>
      </c>
      <c r="G79" s="8">
        <f t="shared" si="3"/>
        <v>42690.380289351851</v>
      </c>
    </row>
    <row r="80" spans="1:7" x14ac:dyDescent="0.25">
      <c r="A80" s="8">
        <v>42690.380335648151</v>
      </c>
      <c r="B80" s="21" t="s">
        <v>250</v>
      </c>
      <c r="C80" s="21" t="s">
        <v>416</v>
      </c>
      <c r="D80" s="21">
        <v>1760000</v>
      </c>
      <c r="E80" s="21" t="s">
        <v>461</v>
      </c>
      <c r="F80" s="21" t="str">
        <f t="shared" si="2"/>
        <v>rtdc.l.rtdc.4021:itc</v>
      </c>
      <c r="G80" s="8">
        <f t="shared" si="3"/>
        <v>42690.380335648151</v>
      </c>
    </row>
    <row r="81" spans="1:7" x14ac:dyDescent="0.25">
      <c r="A81" s="8">
        <v>42690.385138888887</v>
      </c>
      <c r="B81" s="21" t="s">
        <v>259</v>
      </c>
      <c r="C81" s="21" t="s">
        <v>415</v>
      </c>
      <c r="D81" s="21">
        <v>2010000</v>
      </c>
      <c r="E81" s="21" t="s">
        <v>457</v>
      </c>
      <c r="F81" s="21" t="str">
        <f t="shared" si="2"/>
        <v>rtdc.l.rtdc.4038:itc</v>
      </c>
      <c r="G81" s="8">
        <f t="shared" si="3"/>
        <v>42690.385138888887</v>
      </c>
    </row>
    <row r="82" spans="1:7" x14ac:dyDescent="0.25">
      <c r="A82" s="8">
        <v>42690.386284722219</v>
      </c>
      <c r="B82" s="21" t="s">
        <v>243</v>
      </c>
      <c r="C82" s="21" t="s">
        <v>502</v>
      </c>
      <c r="D82" s="21">
        <v>1090000</v>
      </c>
      <c r="E82" s="21" t="s">
        <v>463</v>
      </c>
      <c r="F82" s="21" t="str">
        <f t="shared" si="2"/>
        <v>rtdc.l.rtdc.4015:itc</v>
      </c>
      <c r="G82" s="8">
        <f t="shared" si="3"/>
        <v>42690.386284722219</v>
      </c>
    </row>
    <row r="83" spans="1:7" x14ac:dyDescent="0.25">
      <c r="A83" s="8">
        <v>42690.394155092596</v>
      </c>
      <c r="B83" s="21" t="s">
        <v>186</v>
      </c>
      <c r="C83" s="21" t="s">
        <v>503</v>
      </c>
      <c r="D83" s="21">
        <v>2380000</v>
      </c>
      <c r="E83" s="21" t="s">
        <v>474</v>
      </c>
      <c r="F83" s="21" t="str">
        <f t="shared" si="2"/>
        <v>rtdc.l.rtdc.4009:itc</v>
      </c>
      <c r="G83" s="8">
        <f t="shared" si="3"/>
        <v>42690.394155092596</v>
      </c>
    </row>
    <row r="84" spans="1:7" x14ac:dyDescent="0.25">
      <c r="A84" s="8">
        <v>42690.399548611109</v>
      </c>
      <c r="B84" s="21" t="s">
        <v>244</v>
      </c>
      <c r="C84" s="21" t="s">
        <v>504</v>
      </c>
      <c r="D84" s="21">
        <v>2140000</v>
      </c>
      <c r="E84" s="21" t="s">
        <v>310</v>
      </c>
      <c r="F84" s="21" t="str">
        <f t="shared" si="2"/>
        <v>rtdc.l.rtdc.4043:itc</v>
      </c>
      <c r="G84" s="8">
        <f t="shared" si="3"/>
        <v>42690.399548611109</v>
      </c>
    </row>
    <row r="85" spans="1:7" x14ac:dyDescent="0.25">
      <c r="A85" s="8">
        <v>42690.401435185187</v>
      </c>
      <c r="B85" s="21" t="s">
        <v>346</v>
      </c>
      <c r="C85" s="21" t="s">
        <v>505</v>
      </c>
      <c r="D85" s="21">
        <v>2600000</v>
      </c>
      <c r="E85" s="21" t="s">
        <v>344</v>
      </c>
      <c r="F85" s="21" t="str">
        <f t="shared" si="2"/>
        <v>rtdc.l.rtdc.4026:itc</v>
      </c>
      <c r="G85" s="8">
        <f t="shared" si="3"/>
        <v>42690.401435185187</v>
      </c>
    </row>
    <row r="86" spans="1:7" x14ac:dyDescent="0.25">
      <c r="A86" s="8">
        <v>42690.402314814812</v>
      </c>
      <c r="B86" s="21" t="s">
        <v>430</v>
      </c>
      <c r="C86" s="21" t="s">
        <v>506</v>
      </c>
      <c r="D86" s="21">
        <v>2630000</v>
      </c>
      <c r="E86" s="21" t="s">
        <v>341</v>
      </c>
      <c r="F86" s="21" t="str">
        <f t="shared" si="2"/>
        <v>rtdc.l.rtdc.4007:itc</v>
      </c>
      <c r="G86" s="8">
        <f t="shared" si="3"/>
        <v>42690.402314814812</v>
      </c>
    </row>
    <row r="87" spans="1:7" x14ac:dyDescent="0.25">
      <c r="A87" s="8">
        <v>42690.407650462963</v>
      </c>
      <c r="B87" s="21" t="s">
        <v>215</v>
      </c>
      <c r="C87" s="21" t="s">
        <v>507</v>
      </c>
      <c r="D87" s="21">
        <v>2610000</v>
      </c>
      <c r="E87" s="21" t="s">
        <v>240</v>
      </c>
      <c r="F87" s="21" t="str">
        <f t="shared" si="2"/>
        <v>rtdc.l.rtdc.4030:itc</v>
      </c>
      <c r="G87" s="8">
        <f t="shared" si="3"/>
        <v>42690.407650462963</v>
      </c>
    </row>
    <row r="88" spans="1:7" x14ac:dyDescent="0.25">
      <c r="A88" s="8">
        <v>42690.412766203706</v>
      </c>
      <c r="B88" s="21" t="s">
        <v>249</v>
      </c>
      <c r="C88" s="21" t="s">
        <v>508</v>
      </c>
      <c r="D88" s="21">
        <v>1760000</v>
      </c>
      <c r="E88" s="21" t="s">
        <v>461</v>
      </c>
      <c r="F88" s="21" t="str">
        <f t="shared" si="2"/>
        <v>rtdc.l.rtdc.4022:itc</v>
      </c>
      <c r="G88" s="8">
        <f t="shared" si="3"/>
        <v>42690.412766203706</v>
      </c>
    </row>
    <row r="89" spans="1:7" x14ac:dyDescent="0.25">
      <c r="A89" s="8">
        <v>42690.417291666665</v>
      </c>
      <c r="B89" s="21" t="s">
        <v>263</v>
      </c>
      <c r="C89" s="21" t="s">
        <v>509</v>
      </c>
      <c r="D89" s="21">
        <v>2010000</v>
      </c>
      <c r="E89" s="21" t="s">
        <v>457</v>
      </c>
      <c r="F89" s="21" t="str">
        <f t="shared" si="2"/>
        <v>rtdc.l.rtdc.4037:itc</v>
      </c>
      <c r="G89" s="8">
        <f t="shared" si="3"/>
        <v>42690.417291666665</v>
      </c>
    </row>
    <row r="90" spans="1:7" x14ac:dyDescent="0.25">
      <c r="A90" s="8">
        <v>42690.421319444446</v>
      </c>
      <c r="B90" s="21" t="s">
        <v>347</v>
      </c>
      <c r="C90" s="21" t="s">
        <v>510</v>
      </c>
      <c r="D90" s="21">
        <v>2600000</v>
      </c>
      <c r="E90" s="21" t="s">
        <v>344</v>
      </c>
      <c r="F90" s="21" t="str">
        <f t="shared" si="2"/>
        <v>rtdc.l.rtdc.4025:itc</v>
      </c>
      <c r="G90" s="8">
        <f t="shared" si="3"/>
        <v>42690.421319444446</v>
      </c>
    </row>
    <row r="91" spans="1:7" x14ac:dyDescent="0.25">
      <c r="A91" s="8">
        <v>42690.423391203702</v>
      </c>
      <c r="B91" s="21" t="s">
        <v>242</v>
      </c>
      <c r="C91" s="21" t="s">
        <v>511</v>
      </c>
      <c r="D91" s="21">
        <v>1090000</v>
      </c>
      <c r="E91" s="21" t="s">
        <v>463</v>
      </c>
      <c r="F91" s="21" t="str">
        <f t="shared" si="2"/>
        <v>rtdc.l.rtdc.4016:itc</v>
      </c>
      <c r="G91" s="8">
        <f t="shared" si="3"/>
        <v>42690.423391203702</v>
      </c>
    </row>
    <row r="92" spans="1:7" x14ac:dyDescent="0.25">
      <c r="A92" s="8">
        <v>42690.429872685185</v>
      </c>
      <c r="B92" s="21" t="s">
        <v>248</v>
      </c>
      <c r="C92" s="21" t="s">
        <v>512</v>
      </c>
      <c r="D92" s="21">
        <v>2380000</v>
      </c>
      <c r="E92" s="21" t="s">
        <v>474</v>
      </c>
      <c r="F92" s="21" t="str">
        <f t="shared" si="2"/>
        <v>rtdc.l.rtdc.4010:itc</v>
      </c>
      <c r="G92" s="8">
        <f t="shared" si="3"/>
        <v>42690.429872685185</v>
      </c>
    </row>
    <row r="93" spans="1:7" x14ac:dyDescent="0.25">
      <c r="A93" s="8">
        <v>42690.431932870371</v>
      </c>
      <c r="B93" s="21" t="s">
        <v>188</v>
      </c>
      <c r="C93" s="21" t="s">
        <v>420</v>
      </c>
      <c r="D93" s="21">
        <v>1110000</v>
      </c>
      <c r="E93" s="21" t="s">
        <v>343</v>
      </c>
      <c r="F93" s="21" t="str">
        <f t="shared" si="2"/>
        <v>rtdc.l.rtdc.4044:itc</v>
      </c>
      <c r="G93" s="8">
        <f t="shared" si="3"/>
        <v>42690.431932870371</v>
      </c>
    </row>
    <row r="94" spans="1:7" x14ac:dyDescent="0.25">
      <c r="A94" s="8">
        <v>42690.436284722222</v>
      </c>
      <c r="B94" s="21" t="s">
        <v>417</v>
      </c>
      <c r="C94" s="21" t="s">
        <v>418</v>
      </c>
      <c r="D94" s="21">
        <v>1280000</v>
      </c>
      <c r="E94" s="21" t="s">
        <v>513</v>
      </c>
      <c r="F94" s="21" t="str">
        <f t="shared" si="2"/>
        <v>rtdc.l.rtdc.4028:itc</v>
      </c>
      <c r="G94" s="8">
        <f t="shared" si="3"/>
        <v>42690.436284722222</v>
      </c>
    </row>
    <row r="95" spans="1:7" x14ac:dyDescent="0.25">
      <c r="A95" s="8">
        <v>42690.438645833332</v>
      </c>
      <c r="B95" s="21" t="s">
        <v>403</v>
      </c>
      <c r="C95" s="21" t="s">
        <v>514</v>
      </c>
      <c r="D95" s="21">
        <v>2630000</v>
      </c>
      <c r="E95" s="21" t="s">
        <v>341</v>
      </c>
      <c r="F95" s="21" t="str">
        <f t="shared" si="2"/>
        <v>rtdc.l.rtdc.4008:itc</v>
      </c>
      <c r="G95" s="8">
        <f t="shared" si="3"/>
        <v>42690.438645833332</v>
      </c>
    </row>
    <row r="96" spans="1:7" x14ac:dyDescent="0.25">
      <c r="A96" s="8">
        <v>42690.442824074074</v>
      </c>
      <c r="B96" s="21" t="s">
        <v>346</v>
      </c>
      <c r="C96" s="21" t="s">
        <v>419</v>
      </c>
      <c r="D96" s="21">
        <v>2600000</v>
      </c>
      <c r="E96" s="21" t="s">
        <v>344</v>
      </c>
      <c r="F96" s="21" t="str">
        <f t="shared" si="2"/>
        <v>rtdc.l.rtdc.4026:itc</v>
      </c>
      <c r="G96" s="8">
        <f t="shared" si="3"/>
        <v>42690.442824074074</v>
      </c>
    </row>
    <row r="97" spans="1:7" x14ac:dyDescent="0.25">
      <c r="A97" s="8">
        <v>42690.448657407411</v>
      </c>
      <c r="B97" s="21" t="s">
        <v>214</v>
      </c>
      <c r="C97" s="21" t="s">
        <v>515</v>
      </c>
      <c r="D97" s="21">
        <v>2610000</v>
      </c>
      <c r="E97" s="21" t="s">
        <v>240</v>
      </c>
      <c r="F97" s="21" t="str">
        <f t="shared" si="2"/>
        <v>rtdc.l.rtdc.4029:itc</v>
      </c>
      <c r="G97" s="8">
        <f t="shared" si="3"/>
        <v>42690.448657407411</v>
      </c>
    </row>
    <row r="98" spans="1:7" x14ac:dyDescent="0.25">
      <c r="A98" s="8">
        <v>42690.45071759259</v>
      </c>
      <c r="B98" s="21" t="s">
        <v>250</v>
      </c>
      <c r="C98" s="21" t="s">
        <v>516</v>
      </c>
      <c r="D98" s="21">
        <v>1760000</v>
      </c>
      <c r="E98" s="21" t="s">
        <v>461</v>
      </c>
      <c r="F98" s="21" t="str">
        <f t="shared" si="2"/>
        <v>rtdc.l.rtdc.4021:itc</v>
      </c>
      <c r="G98" s="8">
        <f t="shared" si="3"/>
        <v>42690.45071759259</v>
      </c>
    </row>
    <row r="99" spans="1:7" x14ac:dyDescent="0.25">
      <c r="A99" s="8">
        <v>42690.453159722223</v>
      </c>
      <c r="B99" s="21" t="s">
        <v>259</v>
      </c>
      <c r="C99" s="21" t="s">
        <v>517</v>
      </c>
      <c r="D99" s="21">
        <v>2560000</v>
      </c>
      <c r="E99" s="21" t="s">
        <v>518</v>
      </c>
      <c r="F99" s="21" t="str">
        <f t="shared" si="2"/>
        <v>rtdc.l.rtdc.4038:itc</v>
      </c>
      <c r="G99" s="8">
        <f t="shared" si="3"/>
        <v>42690.453159722223</v>
      </c>
    </row>
    <row r="100" spans="1:7" x14ac:dyDescent="0.25">
      <c r="A100" s="8">
        <v>42690.461724537039</v>
      </c>
      <c r="B100" s="21" t="s">
        <v>339</v>
      </c>
      <c r="C100" s="21" t="s">
        <v>519</v>
      </c>
      <c r="D100" s="21">
        <v>2270000</v>
      </c>
      <c r="E100" s="21" t="s">
        <v>520</v>
      </c>
      <c r="F100" s="21" t="str">
        <f t="shared" si="2"/>
        <v>rtdc.l.rtdc.4041:itc</v>
      </c>
      <c r="G100" s="8">
        <f t="shared" si="3"/>
        <v>42690.461724537039</v>
      </c>
    </row>
    <row r="101" spans="1:7" x14ac:dyDescent="0.25">
      <c r="A101" s="8">
        <v>42690.462384259263</v>
      </c>
      <c r="B101" s="21" t="s">
        <v>243</v>
      </c>
      <c r="C101" s="21" t="s">
        <v>423</v>
      </c>
      <c r="D101" s="21">
        <v>1090000</v>
      </c>
      <c r="E101" s="21" t="s">
        <v>463</v>
      </c>
      <c r="F101" s="21" t="str">
        <f t="shared" si="2"/>
        <v>rtdc.l.rtdc.4015:itc</v>
      </c>
      <c r="G101" s="8">
        <f t="shared" si="3"/>
        <v>42690.462384259263</v>
      </c>
    </row>
    <row r="102" spans="1:7" x14ac:dyDescent="0.25">
      <c r="A102" s="8">
        <v>42690.464502314811</v>
      </c>
      <c r="B102" s="21" t="s">
        <v>186</v>
      </c>
      <c r="C102" s="21" t="s">
        <v>421</v>
      </c>
      <c r="D102" s="21">
        <v>1280000</v>
      </c>
      <c r="E102" s="21" t="s">
        <v>513</v>
      </c>
      <c r="F102" s="21" t="str">
        <f t="shared" si="2"/>
        <v>rtdc.l.rtdc.4009:itc</v>
      </c>
      <c r="G102" s="8">
        <f t="shared" si="3"/>
        <v>42690.464502314811</v>
      </c>
    </row>
    <row r="103" spans="1:7" x14ac:dyDescent="0.25">
      <c r="A103" s="8">
        <v>42690.470243055555</v>
      </c>
      <c r="B103" s="21" t="s">
        <v>347</v>
      </c>
      <c r="C103" s="21" t="s">
        <v>521</v>
      </c>
      <c r="D103" s="21">
        <v>2600000</v>
      </c>
      <c r="E103" s="21" t="s">
        <v>344</v>
      </c>
      <c r="F103" s="21" t="str">
        <f t="shared" si="2"/>
        <v>rtdc.l.rtdc.4025:itc</v>
      </c>
      <c r="G103" s="8">
        <f t="shared" si="3"/>
        <v>42690.470243055555</v>
      </c>
    </row>
    <row r="104" spans="1:7" x14ac:dyDescent="0.25">
      <c r="A104" s="8">
        <v>42690.470509259256</v>
      </c>
      <c r="B104" s="21" t="s">
        <v>340</v>
      </c>
      <c r="C104" s="21" t="s">
        <v>522</v>
      </c>
      <c r="D104" s="21">
        <v>1200000</v>
      </c>
      <c r="E104" s="21" t="s">
        <v>523</v>
      </c>
      <c r="F104" s="21" t="str">
        <f t="shared" si="2"/>
        <v>rtdc.l.rtdc.4042:itc</v>
      </c>
      <c r="G104" s="8">
        <f t="shared" si="3"/>
        <v>42690.470509259256</v>
      </c>
    </row>
    <row r="105" spans="1:7" x14ac:dyDescent="0.25">
      <c r="A105" s="8">
        <v>42690.47378472222</v>
      </c>
      <c r="B105" s="21" t="s">
        <v>244</v>
      </c>
      <c r="C105" s="21" t="s">
        <v>524</v>
      </c>
      <c r="D105" s="21">
        <v>1110000</v>
      </c>
      <c r="E105" s="21" t="s">
        <v>343</v>
      </c>
      <c r="F105" s="21" t="str">
        <f t="shared" si="2"/>
        <v>rtdc.l.rtdc.4043:itc</v>
      </c>
      <c r="G105" s="8">
        <f t="shared" si="3"/>
        <v>42690.47378472222</v>
      </c>
    </row>
    <row r="106" spans="1:7" x14ac:dyDescent="0.25">
      <c r="A106" s="8">
        <v>42690.479328703703</v>
      </c>
      <c r="B106" s="21" t="s">
        <v>430</v>
      </c>
      <c r="C106" s="21" t="s">
        <v>525</v>
      </c>
      <c r="D106" s="21">
        <v>2270000</v>
      </c>
      <c r="E106" s="21" t="s">
        <v>520</v>
      </c>
      <c r="F106" s="21" t="str">
        <f t="shared" si="2"/>
        <v>rtdc.l.rtdc.4007:itc</v>
      </c>
      <c r="G106" s="8">
        <f t="shared" si="3"/>
        <v>42690.479328703703</v>
      </c>
    </row>
    <row r="107" spans="1:7" x14ac:dyDescent="0.25">
      <c r="A107" s="8">
        <v>42690.483668981484</v>
      </c>
      <c r="B107" s="21" t="s">
        <v>215</v>
      </c>
      <c r="C107" s="21" t="s">
        <v>526</v>
      </c>
      <c r="D107" s="21">
        <v>2610000</v>
      </c>
      <c r="E107" s="21" t="s">
        <v>240</v>
      </c>
      <c r="F107" s="21" t="str">
        <f t="shared" si="2"/>
        <v>rtdc.l.rtdc.4030:itc</v>
      </c>
      <c r="G107" s="8">
        <f t="shared" si="3"/>
        <v>42690.483668981484</v>
      </c>
    </row>
    <row r="108" spans="1:7" x14ac:dyDescent="0.25">
      <c r="A108" s="8">
        <v>42690.484039351853</v>
      </c>
      <c r="B108" s="21" t="s">
        <v>346</v>
      </c>
      <c r="C108" s="21" t="s">
        <v>527</v>
      </c>
      <c r="D108" s="21">
        <v>2600000</v>
      </c>
      <c r="E108" s="21" t="s">
        <v>344</v>
      </c>
      <c r="F108" s="21" t="str">
        <f t="shared" si="2"/>
        <v>rtdc.l.rtdc.4026:itc</v>
      </c>
      <c r="G108" s="8">
        <f t="shared" si="3"/>
        <v>42690.484039351853</v>
      </c>
    </row>
    <row r="109" spans="1:7" x14ac:dyDescent="0.25">
      <c r="A109" s="8">
        <v>42690.488553240742</v>
      </c>
      <c r="B109" s="21" t="s">
        <v>249</v>
      </c>
      <c r="C109" s="21" t="s">
        <v>528</v>
      </c>
      <c r="D109" s="21">
        <v>1820000</v>
      </c>
      <c r="E109" s="21" t="s">
        <v>529</v>
      </c>
      <c r="F109" s="21" t="str">
        <f t="shared" si="2"/>
        <v>rtdc.l.rtdc.4022:itc</v>
      </c>
      <c r="G109" s="8">
        <f t="shared" si="3"/>
        <v>42690.488553240742</v>
      </c>
    </row>
    <row r="110" spans="1:7" x14ac:dyDescent="0.25">
      <c r="A110" s="8">
        <v>42690.492222222223</v>
      </c>
      <c r="B110" s="21" t="s">
        <v>424</v>
      </c>
      <c r="C110" s="21" t="s">
        <v>425</v>
      </c>
      <c r="D110" s="21">
        <v>1760000</v>
      </c>
      <c r="E110" s="21" t="s">
        <v>461</v>
      </c>
      <c r="F110" s="21" t="str">
        <f t="shared" si="2"/>
        <v>rtdc.l.rtdc.4027:itc</v>
      </c>
      <c r="G110" s="8">
        <f t="shared" si="3"/>
        <v>42690.492222222223</v>
      </c>
    </row>
    <row r="111" spans="1:7" x14ac:dyDescent="0.25">
      <c r="A111" s="8">
        <v>42690.495138888888</v>
      </c>
      <c r="B111" s="21" t="s">
        <v>263</v>
      </c>
      <c r="C111" s="21" t="s">
        <v>530</v>
      </c>
      <c r="D111" s="21">
        <v>2560000</v>
      </c>
      <c r="E111" s="21" t="s">
        <v>518</v>
      </c>
      <c r="F111" s="21" t="str">
        <f t="shared" si="2"/>
        <v>rtdc.l.rtdc.4037:itc</v>
      </c>
      <c r="G111" s="8">
        <f t="shared" si="3"/>
        <v>42690.495138888888</v>
      </c>
    </row>
    <row r="112" spans="1:7" x14ac:dyDescent="0.25">
      <c r="A112" s="8">
        <v>42690.497442129628</v>
      </c>
      <c r="B112" s="21" t="s">
        <v>242</v>
      </c>
      <c r="C112" s="21" t="s">
        <v>531</v>
      </c>
      <c r="D112" s="21">
        <v>2350000</v>
      </c>
      <c r="E112" s="21" t="s">
        <v>532</v>
      </c>
      <c r="F112" s="21" t="str">
        <f t="shared" si="2"/>
        <v>rtdc.l.rtdc.4016:itc</v>
      </c>
      <c r="G112" s="8">
        <f t="shared" si="3"/>
        <v>42690.497442129628</v>
      </c>
    </row>
    <row r="113" spans="1:7" x14ac:dyDescent="0.25">
      <c r="A113" s="8">
        <v>42690.498993055553</v>
      </c>
      <c r="B113" s="21" t="s">
        <v>248</v>
      </c>
      <c r="C113" s="21" t="s">
        <v>533</v>
      </c>
      <c r="D113" s="21">
        <v>1280000</v>
      </c>
      <c r="E113" s="21" t="s">
        <v>513</v>
      </c>
      <c r="F113" s="21" t="str">
        <f t="shared" si="2"/>
        <v>rtdc.l.rtdc.4010:itc</v>
      </c>
      <c r="G113" s="8">
        <f t="shared" si="3"/>
        <v>42690.498993055553</v>
      </c>
    </row>
    <row r="114" spans="1:7" x14ac:dyDescent="0.25">
      <c r="A114" s="8">
        <v>42690.507025462961</v>
      </c>
      <c r="B114" s="21" t="s">
        <v>347</v>
      </c>
      <c r="C114" s="21" t="s">
        <v>534</v>
      </c>
      <c r="D114" s="21">
        <v>2600000</v>
      </c>
      <c r="E114" s="21" t="s">
        <v>344</v>
      </c>
      <c r="F114" s="21" t="str">
        <f t="shared" si="2"/>
        <v>rtdc.l.rtdc.4025:itc</v>
      </c>
      <c r="G114" s="8">
        <f t="shared" si="3"/>
        <v>42690.507025462961</v>
      </c>
    </row>
    <row r="115" spans="1:7" x14ac:dyDescent="0.25">
      <c r="A115" s="8">
        <v>42690.508842592593</v>
      </c>
      <c r="B115" s="21" t="s">
        <v>188</v>
      </c>
      <c r="C115" s="21" t="s">
        <v>535</v>
      </c>
      <c r="D115" s="21">
        <v>2220000</v>
      </c>
      <c r="E115" s="21" t="s">
        <v>536</v>
      </c>
      <c r="F115" s="21" t="str">
        <f t="shared" si="2"/>
        <v>rtdc.l.rtdc.4044:itc</v>
      </c>
      <c r="G115" s="8">
        <f t="shared" si="3"/>
        <v>42690.508842592593</v>
      </c>
    </row>
    <row r="116" spans="1:7" x14ac:dyDescent="0.25">
      <c r="A116" s="8">
        <v>42690.512523148151</v>
      </c>
      <c r="B116" s="21" t="s">
        <v>403</v>
      </c>
      <c r="C116" s="21" t="s">
        <v>537</v>
      </c>
      <c r="D116" s="21">
        <v>1290000</v>
      </c>
      <c r="E116" s="21" t="s">
        <v>538</v>
      </c>
      <c r="F116" s="21" t="str">
        <f t="shared" si="2"/>
        <v>rtdc.l.rtdc.4008:itc</v>
      </c>
      <c r="G116" s="8">
        <f t="shared" si="3"/>
        <v>42690.512523148151</v>
      </c>
    </row>
    <row r="117" spans="1:7" x14ac:dyDescent="0.25">
      <c r="A117" s="8">
        <v>42690.518368055556</v>
      </c>
      <c r="B117" s="21" t="s">
        <v>250</v>
      </c>
      <c r="C117" s="21" t="s">
        <v>539</v>
      </c>
      <c r="D117" s="21">
        <v>1820000</v>
      </c>
      <c r="E117" s="21" t="s">
        <v>529</v>
      </c>
      <c r="F117" s="21" t="str">
        <f t="shared" si="2"/>
        <v>rtdc.l.rtdc.4021:itc</v>
      </c>
      <c r="G117" s="8">
        <f t="shared" si="3"/>
        <v>42690.518368055556</v>
      </c>
    </row>
    <row r="118" spans="1:7" x14ac:dyDescent="0.25">
      <c r="A118" s="8">
        <v>42690.519537037035</v>
      </c>
      <c r="B118" s="21" t="s">
        <v>214</v>
      </c>
      <c r="C118" s="21" t="s">
        <v>540</v>
      </c>
      <c r="D118" s="21">
        <v>2460000</v>
      </c>
      <c r="E118" s="21" t="s">
        <v>345</v>
      </c>
      <c r="F118" s="21" t="str">
        <f t="shared" si="2"/>
        <v>rtdc.l.rtdc.4029:itc</v>
      </c>
      <c r="G118" s="8">
        <f t="shared" si="3"/>
        <v>42690.519537037035</v>
      </c>
    </row>
    <row r="119" spans="1:7" x14ac:dyDescent="0.25">
      <c r="A119" s="8">
        <v>42690.525775462964</v>
      </c>
      <c r="B119" s="21" t="s">
        <v>346</v>
      </c>
      <c r="C119" s="21" t="s">
        <v>426</v>
      </c>
      <c r="D119" s="21">
        <v>2600000</v>
      </c>
      <c r="E119" s="21" t="s">
        <v>344</v>
      </c>
      <c r="F119" s="21" t="str">
        <f t="shared" si="2"/>
        <v>rtdc.l.rtdc.4026:itc</v>
      </c>
      <c r="G119" s="8">
        <f t="shared" si="3"/>
        <v>42690.525775462964</v>
      </c>
    </row>
    <row r="120" spans="1:7" x14ac:dyDescent="0.25">
      <c r="A120" s="8">
        <v>42690.52721064815</v>
      </c>
      <c r="B120" s="21" t="s">
        <v>259</v>
      </c>
      <c r="C120" s="21" t="s">
        <v>541</v>
      </c>
      <c r="D120" s="21">
        <v>2560000</v>
      </c>
      <c r="E120" s="21" t="s">
        <v>518</v>
      </c>
      <c r="F120" s="21" t="str">
        <f t="shared" si="2"/>
        <v>rtdc.l.rtdc.4038:itc</v>
      </c>
      <c r="G120" s="8">
        <f t="shared" si="3"/>
        <v>42690.52721064815</v>
      </c>
    </row>
    <row r="121" spans="1:7" x14ac:dyDescent="0.25">
      <c r="A121" s="8">
        <v>42690.531840277778</v>
      </c>
      <c r="B121" s="21" t="s">
        <v>243</v>
      </c>
      <c r="C121" s="21" t="s">
        <v>542</v>
      </c>
      <c r="D121" s="21">
        <v>2350000</v>
      </c>
      <c r="E121" s="21" t="s">
        <v>532</v>
      </c>
      <c r="F121" s="21" t="str">
        <f t="shared" si="2"/>
        <v>rtdc.l.rtdc.4015:itc</v>
      </c>
      <c r="G121" s="8">
        <f t="shared" si="3"/>
        <v>42690.531840277778</v>
      </c>
    </row>
    <row r="122" spans="1:7" x14ac:dyDescent="0.25">
      <c r="A122" s="8">
        <v>42690.536759259259</v>
      </c>
      <c r="B122" s="26" t="s">
        <v>186</v>
      </c>
      <c r="C122" s="21" t="s">
        <v>543</v>
      </c>
      <c r="D122" s="21">
        <v>1280000</v>
      </c>
      <c r="E122" s="21" t="s">
        <v>513</v>
      </c>
      <c r="F122" s="21" t="str">
        <f t="shared" si="2"/>
        <v>rtdc.l.rtdc.4009:itc</v>
      </c>
      <c r="G122" s="8">
        <f t="shared" si="3"/>
        <v>42690.536759259259</v>
      </c>
    </row>
    <row r="123" spans="1:7" x14ac:dyDescent="0.25">
      <c r="A123" s="8">
        <v>42690.537581018521</v>
      </c>
      <c r="B123" s="21" t="s">
        <v>186</v>
      </c>
      <c r="C123" s="21" t="s">
        <v>543</v>
      </c>
      <c r="D123" s="21">
        <v>1280000</v>
      </c>
      <c r="E123" s="21" t="s">
        <v>513</v>
      </c>
      <c r="F123" s="21" t="str">
        <f t="shared" si="2"/>
        <v>rtdc.l.rtdc.4009:itc</v>
      </c>
      <c r="G123" s="8">
        <f t="shared" si="3"/>
        <v>42690.537581018521</v>
      </c>
    </row>
    <row r="124" spans="1:7" x14ac:dyDescent="0.25">
      <c r="A124" s="8">
        <v>42690.537789351853</v>
      </c>
      <c r="B124" s="21" t="s">
        <v>244</v>
      </c>
      <c r="C124" s="21" t="s">
        <v>544</v>
      </c>
      <c r="D124" s="21">
        <v>2220000</v>
      </c>
      <c r="E124" s="21" t="s">
        <v>536</v>
      </c>
      <c r="F124" s="21" t="str">
        <f t="shared" si="2"/>
        <v>rtdc.l.rtdc.4043:itc</v>
      </c>
      <c r="G124" s="8">
        <f t="shared" si="3"/>
        <v>42690.537789351853</v>
      </c>
    </row>
    <row r="125" spans="1:7" x14ac:dyDescent="0.25">
      <c r="A125" s="8">
        <v>42690.549097222225</v>
      </c>
      <c r="B125" s="21" t="s">
        <v>430</v>
      </c>
      <c r="C125" s="21" t="s">
        <v>545</v>
      </c>
      <c r="D125" s="21">
        <v>1290000</v>
      </c>
      <c r="E125" s="21" t="s">
        <v>538</v>
      </c>
      <c r="F125" s="21" t="str">
        <f t="shared" si="2"/>
        <v>rtdc.l.rtdc.4007:itc</v>
      </c>
      <c r="G125" s="8">
        <f t="shared" si="3"/>
        <v>42690.549097222225</v>
      </c>
    </row>
    <row r="126" spans="1:7" x14ac:dyDescent="0.25">
      <c r="A126" s="8">
        <v>42690.554270833331</v>
      </c>
      <c r="B126" s="21" t="s">
        <v>347</v>
      </c>
      <c r="C126" s="21" t="s">
        <v>546</v>
      </c>
      <c r="D126" s="21">
        <v>2430000</v>
      </c>
      <c r="E126" s="21" t="s">
        <v>312</v>
      </c>
      <c r="F126" s="21" t="str">
        <f t="shared" si="2"/>
        <v>rtdc.l.rtdc.4025:itc</v>
      </c>
      <c r="G126" s="8">
        <f t="shared" si="3"/>
        <v>42690.554270833331</v>
      </c>
    </row>
    <row r="127" spans="1:7" x14ac:dyDescent="0.25">
      <c r="A127" s="8">
        <v>42690.554409722223</v>
      </c>
      <c r="B127" s="21" t="s">
        <v>215</v>
      </c>
      <c r="C127" s="21" t="s">
        <v>547</v>
      </c>
      <c r="D127" s="21">
        <v>2460000</v>
      </c>
      <c r="E127" s="21" t="s">
        <v>345</v>
      </c>
      <c r="F127" s="21" t="str">
        <f t="shared" si="2"/>
        <v>rtdc.l.rtdc.4030:itc</v>
      </c>
      <c r="G127" s="8">
        <f t="shared" si="3"/>
        <v>42690.554409722223</v>
      </c>
    </row>
    <row r="128" spans="1:7" x14ac:dyDescent="0.25">
      <c r="A128" s="8">
        <v>42690.56046296296</v>
      </c>
      <c r="B128" s="21" t="s">
        <v>249</v>
      </c>
      <c r="C128" s="21" t="s">
        <v>548</v>
      </c>
      <c r="D128" s="21">
        <v>1820000</v>
      </c>
      <c r="E128" s="21" t="s">
        <v>529</v>
      </c>
      <c r="F128" s="21" t="str">
        <f t="shared" si="2"/>
        <v>rtdc.l.rtdc.4022:itc</v>
      </c>
      <c r="G128" s="8">
        <f t="shared" si="3"/>
        <v>42690.56046296296</v>
      </c>
    </row>
    <row r="129" spans="1:7" x14ac:dyDescent="0.25">
      <c r="A129" s="8">
        <v>42690.560787037037</v>
      </c>
      <c r="B129" s="21" t="s">
        <v>263</v>
      </c>
      <c r="C129" s="21" t="s">
        <v>549</v>
      </c>
      <c r="D129" s="21">
        <v>2560000</v>
      </c>
      <c r="E129" s="21" t="s">
        <v>518</v>
      </c>
      <c r="F129" s="21" t="str">
        <f t="shared" si="2"/>
        <v>rtdc.l.rtdc.4037:itc</v>
      </c>
      <c r="G129" s="8">
        <f t="shared" si="3"/>
        <v>42690.560787037037</v>
      </c>
    </row>
    <row r="130" spans="1:7" x14ac:dyDescent="0.25">
      <c r="A130" s="8">
        <v>42690.567662037036</v>
      </c>
      <c r="B130" s="21" t="s">
        <v>242</v>
      </c>
      <c r="C130" s="21" t="s">
        <v>550</v>
      </c>
      <c r="D130" s="21">
        <v>2350000</v>
      </c>
      <c r="E130" s="21" t="s">
        <v>532</v>
      </c>
      <c r="F130" s="21" t="str">
        <f t="shared" ref="F130:F193" si="4">B130</f>
        <v>rtdc.l.rtdc.4016:itc</v>
      </c>
      <c r="G130" s="8">
        <f t="shared" ref="G130:G193" si="5">A130</f>
        <v>42690.567662037036</v>
      </c>
    </row>
    <row r="131" spans="1:7" x14ac:dyDescent="0.25">
      <c r="A131" s="8">
        <v>42690.568391203706</v>
      </c>
      <c r="B131" s="21" t="s">
        <v>346</v>
      </c>
      <c r="C131" s="21" t="s">
        <v>427</v>
      </c>
      <c r="D131" s="21">
        <v>2430000</v>
      </c>
      <c r="E131" s="21" t="s">
        <v>312</v>
      </c>
      <c r="F131" s="21" t="str">
        <f t="shared" si="4"/>
        <v>rtdc.l.rtdc.4026:itc</v>
      </c>
      <c r="G131" s="8">
        <f t="shared" si="5"/>
        <v>42690.568391203706</v>
      </c>
    </row>
    <row r="132" spans="1:7" x14ac:dyDescent="0.25">
      <c r="A132" s="8">
        <v>42690.569687499999</v>
      </c>
      <c r="B132" s="21" t="s">
        <v>248</v>
      </c>
      <c r="C132" s="21" t="s">
        <v>551</v>
      </c>
      <c r="D132" s="21">
        <v>1280000</v>
      </c>
      <c r="E132" s="21" t="s">
        <v>513</v>
      </c>
      <c r="F132" s="21" t="str">
        <f t="shared" si="4"/>
        <v>rtdc.l.rtdc.4010:itc</v>
      </c>
      <c r="G132" s="8">
        <f t="shared" si="5"/>
        <v>42690.569687499999</v>
      </c>
    </row>
    <row r="133" spans="1:7" x14ac:dyDescent="0.25">
      <c r="A133" s="8">
        <v>42690.577847222223</v>
      </c>
      <c r="B133" s="21" t="s">
        <v>188</v>
      </c>
      <c r="C133" s="21" t="s">
        <v>552</v>
      </c>
      <c r="D133" s="21">
        <v>2220000</v>
      </c>
      <c r="E133" s="21" t="s">
        <v>536</v>
      </c>
      <c r="F133" s="21" t="str">
        <f t="shared" si="4"/>
        <v>rtdc.l.rtdc.4044:itc</v>
      </c>
      <c r="G133" s="8">
        <f t="shared" si="5"/>
        <v>42690.577847222223</v>
      </c>
    </row>
    <row r="134" spans="1:7" x14ac:dyDescent="0.25">
      <c r="A134" s="8">
        <v>42690.585358796299</v>
      </c>
      <c r="B134" s="21" t="s">
        <v>347</v>
      </c>
      <c r="C134" s="21" t="s">
        <v>553</v>
      </c>
      <c r="D134" s="21">
        <v>2430000</v>
      </c>
      <c r="E134" s="21" t="s">
        <v>312</v>
      </c>
      <c r="F134" s="21" t="str">
        <f t="shared" si="4"/>
        <v>rtdc.l.rtdc.4025:itc</v>
      </c>
      <c r="G134" s="8">
        <f t="shared" si="5"/>
        <v>42690.585358796299</v>
      </c>
    </row>
    <row r="135" spans="1:7" x14ac:dyDescent="0.25">
      <c r="A135" s="8">
        <v>42690.586238425924</v>
      </c>
      <c r="B135" s="21" t="s">
        <v>403</v>
      </c>
      <c r="C135" s="21" t="s">
        <v>554</v>
      </c>
      <c r="D135" s="21">
        <v>1290000</v>
      </c>
      <c r="E135" s="21" t="s">
        <v>538</v>
      </c>
      <c r="F135" s="21" t="str">
        <f t="shared" si="4"/>
        <v>rtdc.l.rtdc.4008:itc</v>
      </c>
      <c r="G135" s="8">
        <f t="shared" si="5"/>
        <v>42690.586238425924</v>
      </c>
    </row>
    <row r="136" spans="1:7" x14ac:dyDescent="0.25">
      <c r="A136" s="8">
        <v>42690.589004629626</v>
      </c>
      <c r="B136" s="21" t="s">
        <v>250</v>
      </c>
      <c r="C136" s="21" t="s">
        <v>428</v>
      </c>
      <c r="D136" s="21">
        <v>1820000</v>
      </c>
      <c r="E136" s="21" t="s">
        <v>529</v>
      </c>
      <c r="F136" s="21" t="str">
        <f t="shared" si="4"/>
        <v>rtdc.l.rtdc.4021:itc</v>
      </c>
      <c r="G136" s="8">
        <f t="shared" si="5"/>
        <v>42690.589004629626</v>
      </c>
    </row>
    <row r="137" spans="1:7" x14ac:dyDescent="0.25">
      <c r="A137" s="8">
        <v>42690.58929398148</v>
      </c>
      <c r="B137" s="21" t="s">
        <v>214</v>
      </c>
      <c r="C137" s="21" t="s">
        <v>555</v>
      </c>
      <c r="D137" s="21">
        <v>2460000</v>
      </c>
      <c r="E137" s="21" t="s">
        <v>345</v>
      </c>
      <c r="F137" s="21" t="str">
        <f t="shared" si="4"/>
        <v>rtdc.l.rtdc.4029:itc</v>
      </c>
      <c r="G137" s="8">
        <f t="shared" si="5"/>
        <v>42690.58929398148</v>
      </c>
    </row>
    <row r="138" spans="1:7" x14ac:dyDescent="0.25">
      <c r="A138" s="8">
        <v>42690.598854166667</v>
      </c>
      <c r="B138" s="21" t="s">
        <v>259</v>
      </c>
      <c r="C138" s="21" t="s">
        <v>556</v>
      </c>
      <c r="D138" s="21">
        <v>2560000</v>
      </c>
      <c r="E138" s="21" t="s">
        <v>518</v>
      </c>
      <c r="F138" s="21" t="str">
        <f t="shared" si="4"/>
        <v>rtdc.l.rtdc.4038:itc</v>
      </c>
      <c r="G138" s="8">
        <f t="shared" si="5"/>
        <v>42690.598854166667</v>
      </c>
    </row>
    <row r="139" spans="1:7" x14ac:dyDescent="0.25">
      <c r="A139" s="8">
        <v>42690.604525462964</v>
      </c>
      <c r="B139" s="21" t="s">
        <v>243</v>
      </c>
      <c r="C139" s="21" t="s">
        <v>557</v>
      </c>
      <c r="D139" s="21">
        <v>2350000</v>
      </c>
      <c r="E139" s="21" t="s">
        <v>532</v>
      </c>
      <c r="F139" s="21" t="str">
        <f t="shared" si="4"/>
        <v>rtdc.l.rtdc.4015:itc</v>
      </c>
      <c r="G139" s="8">
        <f t="shared" si="5"/>
        <v>42690.604525462964</v>
      </c>
    </row>
    <row r="140" spans="1:7" x14ac:dyDescent="0.25">
      <c r="A140" s="8">
        <v>42690.609733796293</v>
      </c>
      <c r="B140" s="21" t="s">
        <v>186</v>
      </c>
      <c r="C140" s="21" t="s">
        <v>558</v>
      </c>
      <c r="D140" s="21">
        <v>1280000</v>
      </c>
      <c r="E140" s="21" t="s">
        <v>513</v>
      </c>
      <c r="F140" s="21" t="str">
        <f t="shared" si="4"/>
        <v>rtdc.l.rtdc.4009:itc</v>
      </c>
      <c r="G140" s="8">
        <f t="shared" si="5"/>
        <v>42690.609733796293</v>
      </c>
    </row>
    <row r="141" spans="1:7" x14ac:dyDescent="0.25">
      <c r="A141" s="8">
        <v>42690.610023148147</v>
      </c>
      <c r="B141" s="21" t="s">
        <v>346</v>
      </c>
      <c r="C141" s="21" t="s">
        <v>559</v>
      </c>
      <c r="D141" s="21">
        <v>2430000</v>
      </c>
      <c r="E141" s="21" t="s">
        <v>312</v>
      </c>
      <c r="F141" s="21" t="str">
        <f t="shared" si="4"/>
        <v>rtdc.l.rtdc.4026:itc</v>
      </c>
      <c r="G141" s="8">
        <f t="shared" si="5"/>
        <v>42690.610023148147</v>
      </c>
    </row>
    <row r="142" spans="1:7" x14ac:dyDescent="0.25">
      <c r="A142" s="8">
        <v>42690.610231481478</v>
      </c>
      <c r="B142" s="21" t="s">
        <v>244</v>
      </c>
      <c r="C142" s="21" t="s">
        <v>433</v>
      </c>
      <c r="D142" s="21">
        <v>2220000</v>
      </c>
      <c r="E142" s="21" t="s">
        <v>536</v>
      </c>
      <c r="F142" s="21" t="str">
        <f t="shared" si="4"/>
        <v>rtdc.l.rtdc.4043:itc</v>
      </c>
      <c r="G142" s="8">
        <f t="shared" si="5"/>
        <v>42690.610231481478</v>
      </c>
    </row>
    <row r="143" spans="1:7" x14ac:dyDescent="0.25">
      <c r="A143" s="8">
        <v>42690.622372685182</v>
      </c>
      <c r="B143" s="21" t="s">
        <v>215</v>
      </c>
      <c r="C143" s="21" t="s">
        <v>560</v>
      </c>
      <c r="D143" s="21">
        <v>2460000</v>
      </c>
      <c r="E143" s="21" t="s">
        <v>345</v>
      </c>
      <c r="F143" s="21" t="str">
        <f t="shared" si="4"/>
        <v>rtdc.l.rtdc.4030:itc</v>
      </c>
      <c r="G143" s="8">
        <f t="shared" si="5"/>
        <v>42690.622372685182</v>
      </c>
    </row>
    <row r="144" spans="1:7" x14ac:dyDescent="0.25">
      <c r="A144" s="8">
        <v>42690.622800925928</v>
      </c>
      <c r="B144" s="21" t="s">
        <v>430</v>
      </c>
      <c r="C144" s="21" t="s">
        <v>431</v>
      </c>
      <c r="D144" s="21">
        <v>2270000</v>
      </c>
      <c r="E144" s="21" t="s">
        <v>520</v>
      </c>
      <c r="F144" s="21" t="str">
        <f t="shared" si="4"/>
        <v>rtdc.l.rtdc.4007:itc</v>
      </c>
      <c r="G144" s="8">
        <f t="shared" si="5"/>
        <v>42690.622800925928</v>
      </c>
    </row>
    <row r="145" spans="1:7" x14ac:dyDescent="0.25">
      <c r="A145" s="8">
        <v>42690.627129629633</v>
      </c>
      <c r="B145" s="21" t="s">
        <v>347</v>
      </c>
      <c r="C145" s="21" t="s">
        <v>429</v>
      </c>
      <c r="D145" s="21">
        <v>2430000</v>
      </c>
      <c r="E145" s="21" t="s">
        <v>312</v>
      </c>
      <c r="F145" s="21" t="str">
        <f t="shared" si="4"/>
        <v>rtdc.l.rtdc.4025:itc</v>
      </c>
      <c r="G145" s="8">
        <f t="shared" si="5"/>
        <v>42690.627129629633</v>
      </c>
    </row>
    <row r="146" spans="1:7" x14ac:dyDescent="0.25">
      <c r="A146" s="8">
        <v>42690.632384259261</v>
      </c>
      <c r="B146" s="21" t="s">
        <v>249</v>
      </c>
      <c r="C146" s="21" t="s">
        <v>561</v>
      </c>
      <c r="D146" s="21">
        <v>1820000</v>
      </c>
      <c r="E146" s="21" t="s">
        <v>529</v>
      </c>
      <c r="F146" s="21" t="str">
        <f t="shared" si="4"/>
        <v>rtdc.l.rtdc.4022:itc</v>
      </c>
      <c r="G146" s="8">
        <f t="shared" si="5"/>
        <v>42690.632384259261</v>
      </c>
    </row>
    <row r="147" spans="1:7" x14ac:dyDescent="0.25">
      <c r="A147" s="8">
        <v>42690.633611111109</v>
      </c>
      <c r="B147" s="21" t="s">
        <v>263</v>
      </c>
      <c r="C147" s="21" t="s">
        <v>435</v>
      </c>
      <c r="D147" s="21">
        <v>2560000</v>
      </c>
      <c r="E147" s="21" t="s">
        <v>518</v>
      </c>
      <c r="F147" s="21" t="str">
        <f t="shared" si="4"/>
        <v>rtdc.l.rtdc.4037:itc</v>
      </c>
      <c r="G147" s="8">
        <f t="shared" si="5"/>
        <v>42690.633611111109</v>
      </c>
    </row>
    <row r="148" spans="1:7" x14ac:dyDescent="0.25">
      <c r="A148" s="8">
        <v>42690.637199074074</v>
      </c>
      <c r="B148" s="21" t="s">
        <v>347</v>
      </c>
      <c r="C148" s="21" t="s">
        <v>429</v>
      </c>
      <c r="D148" s="21">
        <v>2430000</v>
      </c>
      <c r="E148" s="21" t="s">
        <v>312</v>
      </c>
      <c r="F148" s="21" t="str">
        <f t="shared" si="4"/>
        <v>rtdc.l.rtdc.4025:itc</v>
      </c>
      <c r="G148" s="8">
        <f t="shared" si="5"/>
        <v>42690.637199074074</v>
      </c>
    </row>
    <row r="149" spans="1:7" x14ac:dyDescent="0.25">
      <c r="A149" s="8">
        <v>42690.641041666669</v>
      </c>
      <c r="B149" s="21" t="s">
        <v>242</v>
      </c>
      <c r="C149" s="21" t="s">
        <v>562</v>
      </c>
      <c r="D149" s="21">
        <v>2350000</v>
      </c>
      <c r="E149" s="21" t="s">
        <v>532</v>
      </c>
      <c r="F149" s="21" t="str">
        <f t="shared" si="4"/>
        <v>rtdc.l.rtdc.4016:itc</v>
      </c>
      <c r="G149" s="8">
        <f t="shared" si="5"/>
        <v>42690.641041666669</v>
      </c>
    </row>
    <row r="150" spans="1:7" x14ac:dyDescent="0.25">
      <c r="A150" s="8">
        <v>42690.645011574074</v>
      </c>
      <c r="B150" s="21" t="s">
        <v>308</v>
      </c>
      <c r="C150" s="21" t="s">
        <v>432</v>
      </c>
      <c r="D150" s="21">
        <v>2450000</v>
      </c>
      <c r="E150" s="21" t="s">
        <v>314</v>
      </c>
      <c r="F150" s="21" t="str">
        <f t="shared" si="4"/>
        <v>rtdc.l.rtdc.4045:itc</v>
      </c>
      <c r="G150" s="8">
        <f t="shared" si="5"/>
        <v>42690.645011574074</v>
      </c>
    </row>
    <row r="151" spans="1:7" x14ac:dyDescent="0.25">
      <c r="A151" s="8">
        <v>42690.649212962962</v>
      </c>
      <c r="B151" s="21" t="s">
        <v>248</v>
      </c>
      <c r="C151" s="21" t="s">
        <v>563</v>
      </c>
      <c r="D151" s="21">
        <v>1280000</v>
      </c>
      <c r="E151" s="21" t="s">
        <v>513</v>
      </c>
      <c r="F151" s="21" t="str">
        <f t="shared" si="4"/>
        <v>rtdc.l.rtdc.4010:itc</v>
      </c>
      <c r="G151" s="8">
        <f t="shared" si="5"/>
        <v>42690.649212962962</v>
      </c>
    </row>
    <row r="152" spans="1:7" x14ac:dyDescent="0.25">
      <c r="A152" s="8">
        <v>42690.65179398148</v>
      </c>
      <c r="B152" s="21" t="s">
        <v>188</v>
      </c>
      <c r="C152" s="21" t="s">
        <v>434</v>
      </c>
      <c r="D152" s="21">
        <v>2220000</v>
      </c>
      <c r="E152" s="21" t="s">
        <v>536</v>
      </c>
      <c r="F152" s="21" t="str">
        <f t="shared" si="4"/>
        <v>rtdc.l.rtdc.4044:itc</v>
      </c>
      <c r="G152" s="8">
        <f t="shared" si="5"/>
        <v>42690.65179398148</v>
      </c>
    </row>
    <row r="153" spans="1:7" x14ac:dyDescent="0.25">
      <c r="A153" s="8">
        <v>42690.652199074073</v>
      </c>
      <c r="B153" s="21" t="s">
        <v>346</v>
      </c>
      <c r="C153" s="21" t="s">
        <v>564</v>
      </c>
      <c r="D153" s="21">
        <v>2430000</v>
      </c>
      <c r="E153" s="21" t="s">
        <v>312</v>
      </c>
      <c r="F153" s="21" t="str">
        <f t="shared" si="4"/>
        <v>rtdc.l.rtdc.4026:itc</v>
      </c>
      <c r="G153" s="8">
        <f t="shared" si="5"/>
        <v>42690.652199074073</v>
      </c>
    </row>
    <row r="154" spans="1:7" x14ac:dyDescent="0.25">
      <c r="A154" s="8">
        <v>42690.65556712963</v>
      </c>
      <c r="B154" s="21" t="s">
        <v>309</v>
      </c>
      <c r="C154" s="21" t="s">
        <v>436</v>
      </c>
      <c r="D154" s="21">
        <v>2450000</v>
      </c>
      <c r="E154" s="21" t="s">
        <v>314</v>
      </c>
      <c r="F154" s="21" t="str">
        <f t="shared" si="4"/>
        <v>rtdc.l.rtdc.4046:itc</v>
      </c>
      <c r="G154" s="8">
        <f t="shared" si="5"/>
        <v>42690.65556712963</v>
      </c>
    </row>
    <row r="155" spans="1:7" x14ac:dyDescent="0.25">
      <c r="A155" s="8">
        <v>42690.657731481479</v>
      </c>
      <c r="B155" s="21" t="s">
        <v>403</v>
      </c>
      <c r="C155" s="21" t="s">
        <v>565</v>
      </c>
      <c r="D155" s="21">
        <v>2270000</v>
      </c>
      <c r="E155" s="21" t="s">
        <v>520</v>
      </c>
      <c r="F155" s="21" t="str">
        <f t="shared" si="4"/>
        <v>rtdc.l.rtdc.4008:itc</v>
      </c>
      <c r="G155" s="8">
        <f t="shared" si="5"/>
        <v>42690.657731481479</v>
      </c>
    </row>
    <row r="156" spans="1:7" x14ac:dyDescent="0.25">
      <c r="A156" s="8">
        <v>42690.662314814814</v>
      </c>
      <c r="B156" s="21" t="s">
        <v>250</v>
      </c>
      <c r="C156" s="21" t="s">
        <v>438</v>
      </c>
      <c r="D156" s="21">
        <v>1820000</v>
      </c>
      <c r="E156" s="21" t="s">
        <v>529</v>
      </c>
      <c r="F156" s="21" t="str">
        <f t="shared" si="4"/>
        <v>rtdc.l.rtdc.4021:itc</v>
      </c>
      <c r="G156" s="8">
        <f t="shared" si="5"/>
        <v>42690.662314814814</v>
      </c>
    </row>
    <row r="157" spans="1:7" x14ac:dyDescent="0.25">
      <c r="A157" s="8">
        <v>42690.663032407407</v>
      </c>
      <c r="B157" s="21" t="s">
        <v>214</v>
      </c>
      <c r="C157" s="21" t="s">
        <v>566</v>
      </c>
      <c r="D157" s="21">
        <v>2460000</v>
      </c>
      <c r="E157" s="21" t="s">
        <v>345</v>
      </c>
      <c r="F157" s="21" t="str">
        <f t="shared" si="4"/>
        <v>rtdc.l.rtdc.4029:itc</v>
      </c>
      <c r="G157" s="8">
        <f t="shared" si="5"/>
        <v>42690.663032407407</v>
      </c>
    </row>
    <row r="158" spans="1:7" x14ac:dyDescent="0.25">
      <c r="A158" s="8">
        <v>42690.671909722223</v>
      </c>
      <c r="B158" s="21" t="s">
        <v>259</v>
      </c>
      <c r="C158" s="21" t="s">
        <v>567</v>
      </c>
      <c r="D158" s="21">
        <v>2560000</v>
      </c>
      <c r="E158" s="21" t="s">
        <v>518</v>
      </c>
      <c r="F158" s="21" t="str">
        <f t="shared" si="4"/>
        <v>rtdc.l.rtdc.4038:itc</v>
      </c>
      <c r="G158" s="8">
        <f t="shared" si="5"/>
        <v>42690.671909722223</v>
      </c>
    </row>
    <row r="159" spans="1:7" x14ac:dyDescent="0.25">
      <c r="A159" s="8">
        <v>42690.67260416667</v>
      </c>
      <c r="B159" s="21" t="s">
        <v>308</v>
      </c>
      <c r="C159" s="21" t="s">
        <v>437</v>
      </c>
      <c r="D159" s="21">
        <v>2450000</v>
      </c>
      <c r="E159" s="21" t="s">
        <v>314</v>
      </c>
      <c r="F159" s="21" t="str">
        <f t="shared" si="4"/>
        <v>rtdc.l.rtdc.4045:itc</v>
      </c>
      <c r="G159" s="8">
        <f t="shared" si="5"/>
        <v>42690.67260416667</v>
      </c>
    </row>
    <row r="160" spans="1:7" x14ac:dyDescent="0.25">
      <c r="A160" s="8">
        <v>42690.677245370367</v>
      </c>
      <c r="B160" s="21" t="s">
        <v>347</v>
      </c>
      <c r="C160" s="21" t="s">
        <v>568</v>
      </c>
      <c r="D160" s="21">
        <v>2430000</v>
      </c>
      <c r="E160" s="21" t="s">
        <v>312</v>
      </c>
      <c r="F160" s="21" t="str">
        <f t="shared" si="4"/>
        <v>rtdc.l.rtdc.4025:itc</v>
      </c>
      <c r="G160" s="8">
        <f t="shared" si="5"/>
        <v>42690.677245370367</v>
      </c>
    </row>
    <row r="161" spans="1:7" x14ac:dyDescent="0.25">
      <c r="A161" s="8">
        <v>42690.679629629631</v>
      </c>
      <c r="B161" s="21" t="s">
        <v>243</v>
      </c>
      <c r="C161" s="21" t="s">
        <v>569</v>
      </c>
      <c r="D161" s="21">
        <v>2350000</v>
      </c>
      <c r="E161" s="21" t="s">
        <v>532</v>
      </c>
      <c r="F161" s="21" t="str">
        <f t="shared" si="4"/>
        <v>rtdc.l.rtdc.4015:itc</v>
      </c>
      <c r="G161" s="8">
        <f t="shared" si="5"/>
        <v>42690.679629629631</v>
      </c>
    </row>
    <row r="162" spans="1:7" x14ac:dyDescent="0.25">
      <c r="A162" s="8">
        <v>42690.682986111111</v>
      </c>
      <c r="B162" s="21" t="s">
        <v>186</v>
      </c>
      <c r="C162" s="21" t="s">
        <v>570</v>
      </c>
      <c r="D162" s="21">
        <v>1280000</v>
      </c>
      <c r="E162" s="21" t="s">
        <v>513</v>
      </c>
      <c r="F162" s="21" t="str">
        <f t="shared" si="4"/>
        <v>rtdc.l.rtdc.4009:itc</v>
      </c>
      <c r="G162" s="8">
        <f t="shared" si="5"/>
        <v>42690.682986111111</v>
      </c>
    </row>
    <row r="163" spans="1:7" x14ac:dyDescent="0.25">
      <c r="A163" s="8">
        <v>42690.69263888889</v>
      </c>
      <c r="B163" s="21" t="s">
        <v>244</v>
      </c>
      <c r="C163" s="21" t="s">
        <v>571</v>
      </c>
      <c r="D163" s="21">
        <v>2220000</v>
      </c>
      <c r="E163" s="21" t="s">
        <v>536</v>
      </c>
      <c r="F163" s="21" t="str">
        <f t="shared" si="4"/>
        <v>rtdc.l.rtdc.4043:itc</v>
      </c>
      <c r="G163" s="8">
        <f t="shared" si="5"/>
        <v>42690.69263888889</v>
      </c>
    </row>
    <row r="164" spans="1:7" x14ac:dyDescent="0.25">
      <c r="A164" s="8">
        <v>42690.693564814814</v>
      </c>
      <c r="B164" s="21" t="s">
        <v>346</v>
      </c>
      <c r="C164" s="21" t="s">
        <v>572</v>
      </c>
      <c r="D164" s="21">
        <v>2430000</v>
      </c>
      <c r="E164" s="21" t="s">
        <v>312</v>
      </c>
      <c r="F164" s="21" t="str">
        <f t="shared" si="4"/>
        <v>rtdc.l.rtdc.4026:itc</v>
      </c>
      <c r="G164" s="8">
        <f t="shared" si="5"/>
        <v>42690.693564814814</v>
      </c>
    </row>
    <row r="165" spans="1:7" x14ac:dyDescent="0.25">
      <c r="A165" s="8">
        <v>42690.696712962963</v>
      </c>
      <c r="B165" s="21" t="s">
        <v>289</v>
      </c>
      <c r="C165" s="21" t="s">
        <v>573</v>
      </c>
      <c r="D165" s="21">
        <v>2270000</v>
      </c>
      <c r="E165" s="21" t="s">
        <v>520</v>
      </c>
      <c r="F165" s="21" t="str">
        <f t="shared" si="4"/>
        <v>rtdc.l.rtdc.4014:itc</v>
      </c>
      <c r="G165" s="8">
        <f t="shared" si="5"/>
        <v>42690.696712962963</v>
      </c>
    </row>
    <row r="166" spans="1:7" x14ac:dyDescent="0.25">
      <c r="A166" s="8">
        <v>42690.698622685188</v>
      </c>
      <c r="B166" s="21" t="s">
        <v>309</v>
      </c>
      <c r="C166" s="21" t="s">
        <v>574</v>
      </c>
      <c r="D166" s="21">
        <v>2450000</v>
      </c>
      <c r="E166" s="21" t="s">
        <v>314</v>
      </c>
      <c r="F166" s="21" t="str">
        <f t="shared" si="4"/>
        <v>rtdc.l.rtdc.4046:itc</v>
      </c>
      <c r="G166" s="8">
        <f t="shared" si="5"/>
        <v>42690.698622685188</v>
      </c>
    </row>
    <row r="167" spans="1:7" x14ac:dyDescent="0.25">
      <c r="A167" s="8">
        <v>42690.701053240744</v>
      </c>
      <c r="B167" s="21" t="s">
        <v>215</v>
      </c>
      <c r="C167" s="21" t="s">
        <v>575</v>
      </c>
      <c r="D167" s="21">
        <v>2460000</v>
      </c>
      <c r="E167" s="21" t="s">
        <v>345</v>
      </c>
      <c r="F167" s="21" t="str">
        <f t="shared" si="4"/>
        <v>rtdc.l.rtdc.4030:itc</v>
      </c>
      <c r="G167" s="8">
        <f t="shared" si="5"/>
        <v>42690.701053240744</v>
      </c>
    </row>
    <row r="168" spans="1:7" x14ac:dyDescent="0.25">
      <c r="A168" s="8">
        <v>42690.704189814816</v>
      </c>
      <c r="B168" s="21" t="s">
        <v>289</v>
      </c>
      <c r="C168" s="21" t="s">
        <v>573</v>
      </c>
      <c r="D168" s="21">
        <v>2270000</v>
      </c>
      <c r="E168" s="21" t="s">
        <v>520</v>
      </c>
      <c r="F168" s="21" t="str">
        <f t="shared" si="4"/>
        <v>rtdc.l.rtdc.4014:itc</v>
      </c>
      <c r="G168" s="8">
        <f t="shared" si="5"/>
        <v>42690.704189814816</v>
      </c>
    </row>
    <row r="169" spans="1:7" x14ac:dyDescent="0.25">
      <c r="A169" s="8">
        <v>42690.706006944441</v>
      </c>
      <c r="B169" s="21" t="s">
        <v>249</v>
      </c>
      <c r="C169" s="21" t="s">
        <v>576</v>
      </c>
      <c r="D169" s="21">
        <v>1820000</v>
      </c>
      <c r="E169" s="21" t="s">
        <v>529</v>
      </c>
      <c r="F169" s="21" t="str">
        <f t="shared" si="4"/>
        <v>rtdc.l.rtdc.4022:itc</v>
      </c>
      <c r="G169" s="8">
        <f t="shared" si="5"/>
        <v>42690.706006944441</v>
      </c>
    </row>
    <row r="170" spans="1:7" x14ac:dyDescent="0.25">
      <c r="A170" s="8">
        <v>42690.710173611114</v>
      </c>
      <c r="B170" s="21" t="s">
        <v>263</v>
      </c>
      <c r="C170" s="21" t="s">
        <v>577</v>
      </c>
      <c r="D170" s="21">
        <v>2560000</v>
      </c>
      <c r="E170" s="21" t="s">
        <v>518</v>
      </c>
      <c r="F170" s="21" t="str">
        <f t="shared" si="4"/>
        <v>rtdc.l.rtdc.4037:itc</v>
      </c>
      <c r="G170" s="8">
        <f t="shared" si="5"/>
        <v>42690.710173611114</v>
      </c>
    </row>
    <row r="171" spans="1:7" x14ac:dyDescent="0.25">
      <c r="A171" s="8">
        <v>42690.711469907408</v>
      </c>
      <c r="B171" s="21" t="s">
        <v>347</v>
      </c>
      <c r="C171" s="21" t="s">
        <v>578</v>
      </c>
      <c r="D171" s="21">
        <v>2430000</v>
      </c>
      <c r="E171" s="21" t="s">
        <v>312</v>
      </c>
      <c r="F171" s="21" t="str">
        <f t="shared" si="4"/>
        <v>rtdc.l.rtdc.4025:itc</v>
      </c>
      <c r="G171" s="8">
        <f t="shared" si="5"/>
        <v>42690.711469907408</v>
      </c>
    </row>
    <row r="172" spans="1:7" x14ac:dyDescent="0.25">
      <c r="A172" s="8">
        <v>42690.715219907404</v>
      </c>
      <c r="B172" s="21" t="s">
        <v>242</v>
      </c>
      <c r="C172" s="21" t="s">
        <v>579</v>
      </c>
      <c r="D172" s="21">
        <v>2540000</v>
      </c>
      <c r="E172" s="21" t="s">
        <v>313</v>
      </c>
      <c r="F172" s="21" t="str">
        <f t="shared" si="4"/>
        <v>rtdc.l.rtdc.4016:itc</v>
      </c>
      <c r="G172" s="8">
        <f t="shared" si="5"/>
        <v>42690.715219907404</v>
      </c>
    </row>
    <row r="173" spans="1:7" x14ac:dyDescent="0.25">
      <c r="A173" s="8">
        <v>42690.715509259258</v>
      </c>
      <c r="B173" s="21" t="s">
        <v>308</v>
      </c>
      <c r="C173" s="21" t="s">
        <v>580</v>
      </c>
      <c r="D173" s="21">
        <v>2450000</v>
      </c>
      <c r="E173" s="21" t="s">
        <v>314</v>
      </c>
      <c r="F173" s="21" t="str">
        <f t="shared" si="4"/>
        <v>rtdc.l.rtdc.4045:itc</v>
      </c>
      <c r="G173" s="8">
        <f t="shared" si="5"/>
        <v>42690.715509259258</v>
      </c>
    </row>
    <row r="174" spans="1:7" x14ac:dyDescent="0.25">
      <c r="A174" s="8">
        <v>42690.716736111113</v>
      </c>
      <c r="B174" s="21" t="s">
        <v>242</v>
      </c>
      <c r="C174" s="21" t="s">
        <v>579</v>
      </c>
      <c r="D174" s="21">
        <v>2540000</v>
      </c>
      <c r="E174" s="21" t="s">
        <v>313</v>
      </c>
      <c r="F174" s="21" t="str">
        <f t="shared" si="4"/>
        <v>rtdc.l.rtdc.4016:itc</v>
      </c>
      <c r="G174" s="8">
        <f t="shared" si="5"/>
        <v>42690.716736111113</v>
      </c>
    </row>
    <row r="175" spans="1:7" x14ac:dyDescent="0.25">
      <c r="A175" s="8">
        <v>42690.730347222219</v>
      </c>
      <c r="B175" s="21" t="s">
        <v>188</v>
      </c>
      <c r="C175" s="21" t="s">
        <v>581</v>
      </c>
      <c r="D175" s="21">
        <v>2350000</v>
      </c>
      <c r="E175" s="21" t="s">
        <v>532</v>
      </c>
      <c r="F175" s="21" t="str">
        <f t="shared" si="4"/>
        <v>rtdc.l.rtdc.4044:itc</v>
      </c>
      <c r="G175" s="8">
        <f t="shared" si="5"/>
        <v>42690.730347222219</v>
      </c>
    </row>
    <row r="176" spans="1:7" x14ac:dyDescent="0.25">
      <c r="A176" s="8">
        <v>42690.735300925924</v>
      </c>
      <c r="B176" s="21" t="s">
        <v>346</v>
      </c>
      <c r="C176" s="21" t="s">
        <v>582</v>
      </c>
      <c r="D176" s="21">
        <v>2430000</v>
      </c>
      <c r="E176" s="21" t="s">
        <v>312</v>
      </c>
      <c r="F176" s="21" t="str">
        <f t="shared" si="4"/>
        <v>rtdc.l.rtdc.4026:itc</v>
      </c>
      <c r="G176" s="8">
        <f t="shared" si="5"/>
        <v>42690.735300925924</v>
      </c>
    </row>
    <row r="177" spans="1:7" x14ac:dyDescent="0.25">
      <c r="A177" s="8">
        <v>42690.737615740742</v>
      </c>
      <c r="B177" s="21" t="s">
        <v>309</v>
      </c>
      <c r="C177" s="21" t="s">
        <v>583</v>
      </c>
      <c r="D177" s="21">
        <v>2450000</v>
      </c>
      <c r="E177" s="21" t="s">
        <v>314</v>
      </c>
      <c r="F177" s="21" t="str">
        <f t="shared" si="4"/>
        <v>rtdc.l.rtdc.4046:itc</v>
      </c>
      <c r="G177" s="8">
        <f t="shared" si="5"/>
        <v>42690.737615740742</v>
      </c>
    </row>
    <row r="178" spans="1:7" x14ac:dyDescent="0.25">
      <c r="A178" s="8">
        <v>42690.738715277781</v>
      </c>
      <c r="B178" s="21" t="s">
        <v>248</v>
      </c>
      <c r="C178" s="21" t="s">
        <v>584</v>
      </c>
      <c r="D178" s="21">
        <v>1280000</v>
      </c>
      <c r="E178" s="21" t="s">
        <v>513</v>
      </c>
      <c r="F178" s="21" t="str">
        <f t="shared" si="4"/>
        <v>rtdc.l.rtdc.4010:itc</v>
      </c>
      <c r="G178" s="8">
        <f t="shared" si="5"/>
        <v>42690.738715277781</v>
      </c>
    </row>
    <row r="179" spans="1:7" x14ac:dyDescent="0.25">
      <c r="A179" s="8">
        <v>42690.739189814813</v>
      </c>
      <c r="B179" s="21" t="s">
        <v>214</v>
      </c>
      <c r="C179" s="21" t="s">
        <v>439</v>
      </c>
      <c r="D179" s="21">
        <v>2620000</v>
      </c>
      <c r="E179" s="21" t="s">
        <v>315</v>
      </c>
      <c r="F179" s="21" t="str">
        <f t="shared" si="4"/>
        <v>rtdc.l.rtdc.4029:itc</v>
      </c>
      <c r="G179" s="8">
        <f t="shared" si="5"/>
        <v>42690.739189814813</v>
      </c>
    </row>
    <row r="180" spans="1:7" x14ac:dyDescent="0.25">
      <c r="A180" s="8">
        <v>42690.746435185189</v>
      </c>
      <c r="B180" s="21" t="s">
        <v>234</v>
      </c>
      <c r="C180" s="21" t="s">
        <v>440</v>
      </c>
      <c r="D180" s="21">
        <v>2470000</v>
      </c>
      <c r="E180" s="21" t="s">
        <v>297</v>
      </c>
      <c r="F180" s="21" t="str">
        <f t="shared" si="4"/>
        <v>rtdc.l.rtdc.4012:itc</v>
      </c>
      <c r="G180" s="8">
        <f t="shared" si="5"/>
        <v>42690.746435185189</v>
      </c>
    </row>
    <row r="181" spans="1:7" x14ac:dyDescent="0.25">
      <c r="A181" s="8">
        <v>42690.746655092589</v>
      </c>
      <c r="B181" s="21" t="s">
        <v>290</v>
      </c>
      <c r="C181" s="21" t="s">
        <v>443</v>
      </c>
      <c r="D181" s="21">
        <v>2270000</v>
      </c>
      <c r="E181" s="21" t="s">
        <v>520</v>
      </c>
      <c r="F181" s="21" t="str">
        <f t="shared" si="4"/>
        <v>rtdc.l.rtdc.4013:itc</v>
      </c>
      <c r="G181" s="8">
        <f t="shared" si="5"/>
        <v>42690.746655092589</v>
      </c>
    </row>
    <row r="182" spans="1:7" x14ac:dyDescent="0.25">
      <c r="A182" s="8">
        <v>42690.74722222222</v>
      </c>
      <c r="B182" s="21" t="s">
        <v>290</v>
      </c>
      <c r="C182" s="21" t="s">
        <v>443</v>
      </c>
      <c r="D182" s="21">
        <v>2270000</v>
      </c>
      <c r="E182" s="21" t="s">
        <v>520</v>
      </c>
      <c r="F182" s="21" t="str">
        <f t="shared" si="4"/>
        <v>rtdc.l.rtdc.4013:itc</v>
      </c>
      <c r="G182" s="8">
        <f t="shared" si="5"/>
        <v>42690.74722222222</v>
      </c>
    </row>
    <row r="183" spans="1:7" x14ac:dyDescent="0.25">
      <c r="A183" s="8">
        <v>42690.748078703706</v>
      </c>
      <c r="B183" s="21" t="s">
        <v>290</v>
      </c>
      <c r="C183" s="21" t="s">
        <v>443</v>
      </c>
      <c r="D183" s="21">
        <v>2270000</v>
      </c>
      <c r="E183" s="21" t="s">
        <v>520</v>
      </c>
      <c r="F183" s="21" t="str">
        <f t="shared" si="4"/>
        <v>rtdc.l.rtdc.4013:itc</v>
      </c>
      <c r="G183" s="8">
        <f t="shared" si="5"/>
        <v>42690.748078703706</v>
      </c>
    </row>
    <row r="184" spans="1:7" x14ac:dyDescent="0.25">
      <c r="A184" s="8">
        <v>42690.749409722222</v>
      </c>
      <c r="B184" s="21" t="s">
        <v>347</v>
      </c>
      <c r="C184" s="21" t="s">
        <v>585</v>
      </c>
      <c r="D184" s="21">
        <v>2430000</v>
      </c>
      <c r="E184" s="21" t="s">
        <v>312</v>
      </c>
      <c r="F184" s="21" t="str">
        <f t="shared" si="4"/>
        <v>rtdc.l.rtdc.4025:itc</v>
      </c>
      <c r="G184" s="8">
        <f t="shared" si="5"/>
        <v>42690.749409722222</v>
      </c>
    </row>
    <row r="185" spans="1:7" x14ac:dyDescent="0.25">
      <c r="A185" s="8">
        <v>42690.75271990741</v>
      </c>
      <c r="B185" s="21" t="s">
        <v>259</v>
      </c>
      <c r="C185" s="21" t="s">
        <v>586</v>
      </c>
      <c r="D185" s="21">
        <v>2460000</v>
      </c>
      <c r="E185" s="21" t="s">
        <v>345</v>
      </c>
      <c r="F185" s="21" t="str">
        <f t="shared" si="4"/>
        <v>rtdc.l.rtdc.4038:itc</v>
      </c>
      <c r="G185" s="8">
        <f t="shared" si="5"/>
        <v>42690.75271990741</v>
      </c>
    </row>
    <row r="186" spans="1:7" x14ac:dyDescent="0.25">
      <c r="A186" s="8">
        <v>42690.753263888888</v>
      </c>
      <c r="B186" s="21" t="s">
        <v>430</v>
      </c>
      <c r="C186" s="21" t="s">
        <v>441</v>
      </c>
      <c r="D186" s="21">
        <v>2440000</v>
      </c>
      <c r="E186" s="21" t="s">
        <v>587</v>
      </c>
      <c r="F186" s="21" t="str">
        <f t="shared" si="4"/>
        <v>rtdc.l.rtdc.4007:itc</v>
      </c>
      <c r="G186" s="8">
        <f t="shared" si="5"/>
        <v>42690.753263888888</v>
      </c>
    </row>
    <row r="187" spans="1:7" x14ac:dyDescent="0.25">
      <c r="A187" s="8">
        <v>42690.756458333337</v>
      </c>
      <c r="B187" s="21" t="s">
        <v>308</v>
      </c>
      <c r="C187" s="21" t="s">
        <v>442</v>
      </c>
      <c r="D187" s="21">
        <v>2450000</v>
      </c>
      <c r="E187" s="21" t="s">
        <v>314</v>
      </c>
      <c r="F187" s="21" t="str">
        <f t="shared" si="4"/>
        <v>rtdc.l.rtdc.4045:itc</v>
      </c>
      <c r="G187" s="8">
        <f t="shared" si="5"/>
        <v>42690.756458333337</v>
      </c>
    </row>
    <row r="188" spans="1:7" x14ac:dyDescent="0.25">
      <c r="A188" s="8">
        <v>42690.756909722222</v>
      </c>
      <c r="B188" s="21" t="s">
        <v>243</v>
      </c>
      <c r="C188" s="21" t="s">
        <v>444</v>
      </c>
      <c r="D188" s="21">
        <v>2540000</v>
      </c>
      <c r="E188" s="21" t="s">
        <v>313</v>
      </c>
      <c r="F188" s="21" t="str">
        <f t="shared" si="4"/>
        <v>rtdc.l.rtdc.4015:itc</v>
      </c>
      <c r="G188" s="8">
        <f t="shared" si="5"/>
        <v>42690.756909722222</v>
      </c>
    </row>
    <row r="189" spans="1:7" x14ac:dyDescent="0.25">
      <c r="A189" s="8">
        <v>42690.760115740741</v>
      </c>
      <c r="B189" s="21" t="s">
        <v>218</v>
      </c>
      <c r="C189" s="21" t="s">
        <v>588</v>
      </c>
      <c r="D189" s="21">
        <v>1300000</v>
      </c>
      <c r="E189" s="21" t="s">
        <v>113</v>
      </c>
      <c r="F189" s="21" t="str">
        <f t="shared" si="4"/>
        <v>rtdc.l.rtdc.4011:itc</v>
      </c>
      <c r="G189" s="8">
        <f t="shared" si="5"/>
        <v>42690.760115740741</v>
      </c>
    </row>
    <row r="190" spans="1:7" x14ac:dyDescent="0.25">
      <c r="A190" s="8">
        <v>42690.765752314815</v>
      </c>
      <c r="B190" s="21" t="s">
        <v>250</v>
      </c>
      <c r="C190" s="21" t="s">
        <v>589</v>
      </c>
      <c r="D190" s="21">
        <v>1820000</v>
      </c>
      <c r="E190" s="21" t="s">
        <v>529</v>
      </c>
      <c r="F190" s="21" t="str">
        <f t="shared" si="4"/>
        <v>rtdc.l.rtdc.4021:itc</v>
      </c>
      <c r="G190" s="8">
        <f t="shared" si="5"/>
        <v>42690.765752314815</v>
      </c>
    </row>
    <row r="191" spans="1:7" x14ac:dyDescent="0.25">
      <c r="A191" s="8">
        <v>42690.770995370367</v>
      </c>
      <c r="B191" s="21" t="s">
        <v>186</v>
      </c>
      <c r="C191" s="21" t="s">
        <v>590</v>
      </c>
      <c r="D191" s="21">
        <v>2250000</v>
      </c>
      <c r="E191" s="21" t="s">
        <v>296</v>
      </c>
      <c r="F191" s="21" t="str">
        <f t="shared" si="4"/>
        <v>rtdc.l.rtdc.4009:itc</v>
      </c>
      <c r="G191" s="8">
        <f t="shared" si="5"/>
        <v>42690.770995370367</v>
      </c>
    </row>
    <row r="192" spans="1:7" x14ac:dyDescent="0.25">
      <c r="A192" s="8">
        <v>42690.775324074071</v>
      </c>
      <c r="B192" s="21" t="s">
        <v>215</v>
      </c>
      <c r="C192" s="21" t="s">
        <v>591</v>
      </c>
      <c r="D192" s="21">
        <v>2620000</v>
      </c>
      <c r="E192" s="21" t="s">
        <v>315</v>
      </c>
      <c r="F192" s="21" t="str">
        <f t="shared" si="4"/>
        <v>rtdc.l.rtdc.4030:itc</v>
      </c>
      <c r="G192" s="8">
        <f t="shared" si="5"/>
        <v>42690.775324074071</v>
      </c>
    </row>
    <row r="193" spans="1:7" x14ac:dyDescent="0.25">
      <c r="A193" s="8">
        <v>42690.777314814812</v>
      </c>
      <c r="B193" s="21" t="s">
        <v>346</v>
      </c>
      <c r="C193" s="21" t="s">
        <v>592</v>
      </c>
      <c r="D193" s="21">
        <v>2430000</v>
      </c>
      <c r="E193" s="21" t="s">
        <v>312</v>
      </c>
      <c r="F193" s="21" t="str">
        <f t="shared" si="4"/>
        <v>rtdc.l.rtdc.4026:itc</v>
      </c>
      <c r="G193" s="8">
        <f t="shared" si="5"/>
        <v>42690.777314814812</v>
      </c>
    </row>
    <row r="194" spans="1:7" x14ac:dyDescent="0.25">
      <c r="A194" s="8">
        <v>42690.777314814812</v>
      </c>
      <c r="B194" s="21" t="s">
        <v>215</v>
      </c>
      <c r="C194" s="21" t="s">
        <v>591</v>
      </c>
      <c r="D194" s="21">
        <v>2620000</v>
      </c>
      <c r="E194" s="21" t="s">
        <v>315</v>
      </c>
      <c r="F194" s="21" t="str">
        <f t="shared" ref="F194:F235" si="6">B194</f>
        <v>rtdc.l.rtdc.4030:itc</v>
      </c>
      <c r="G194" s="8">
        <f t="shared" ref="G194:G235" si="7">A194</f>
        <v>42690.777314814812</v>
      </c>
    </row>
    <row r="195" spans="1:7" x14ac:dyDescent="0.25">
      <c r="A195" s="8">
        <v>42690.77851851852</v>
      </c>
      <c r="B195" s="21" t="s">
        <v>215</v>
      </c>
      <c r="C195" s="21" t="s">
        <v>591</v>
      </c>
      <c r="D195" s="21">
        <v>2620000</v>
      </c>
      <c r="E195" s="21" t="s">
        <v>315</v>
      </c>
      <c r="F195" s="21" t="str">
        <f t="shared" si="6"/>
        <v>rtdc.l.rtdc.4030:itc</v>
      </c>
      <c r="G195" s="8">
        <f t="shared" si="7"/>
        <v>42690.77851851852</v>
      </c>
    </row>
    <row r="196" spans="1:7" x14ac:dyDescent="0.25">
      <c r="A196" s="8">
        <v>42690.778668981482</v>
      </c>
      <c r="B196" s="21" t="s">
        <v>346</v>
      </c>
      <c r="C196" s="21" t="s">
        <v>593</v>
      </c>
      <c r="D196" s="21">
        <v>2430000</v>
      </c>
      <c r="E196" s="21" t="s">
        <v>312</v>
      </c>
      <c r="F196" s="21" t="str">
        <f t="shared" si="6"/>
        <v>rtdc.l.rtdc.4026:itc</v>
      </c>
      <c r="G196" s="8">
        <f t="shared" si="7"/>
        <v>42690.778668981482</v>
      </c>
    </row>
    <row r="197" spans="1:7" x14ac:dyDescent="0.25">
      <c r="A197" s="8">
        <v>42690.780405092592</v>
      </c>
      <c r="B197" s="21" t="s">
        <v>244</v>
      </c>
      <c r="C197" s="21" t="s">
        <v>594</v>
      </c>
      <c r="D197" s="21">
        <v>2350000</v>
      </c>
      <c r="E197" s="21" t="s">
        <v>532</v>
      </c>
      <c r="F197" s="21" t="str">
        <f t="shared" si="6"/>
        <v>rtdc.l.rtdc.4043:itc</v>
      </c>
      <c r="G197" s="8">
        <f t="shared" si="7"/>
        <v>42690.780405092592</v>
      </c>
    </row>
    <row r="198" spans="1:7" x14ac:dyDescent="0.25">
      <c r="A198" s="8">
        <v>42690.782847222225</v>
      </c>
      <c r="B198" s="21" t="s">
        <v>309</v>
      </c>
      <c r="C198" s="21" t="s">
        <v>595</v>
      </c>
      <c r="D198" s="21">
        <v>2450000</v>
      </c>
      <c r="E198" s="21" t="s">
        <v>314</v>
      </c>
      <c r="F198" s="21" t="str">
        <f t="shared" si="6"/>
        <v>rtdc.l.rtdc.4046:itc</v>
      </c>
      <c r="G198" s="8">
        <f t="shared" si="7"/>
        <v>42690.782847222225</v>
      </c>
    </row>
    <row r="199" spans="1:7" x14ac:dyDescent="0.25">
      <c r="A199" s="8">
        <v>42690.782881944448</v>
      </c>
      <c r="B199" s="21" t="s">
        <v>289</v>
      </c>
      <c r="C199" s="21" t="s">
        <v>596</v>
      </c>
      <c r="D199" s="21">
        <v>2270000</v>
      </c>
      <c r="E199" s="21" t="s">
        <v>520</v>
      </c>
      <c r="F199" s="21" t="str">
        <f t="shared" si="6"/>
        <v>rtdc.l.rtdc.4014:itc</v>
      </c>
      <c r="G199" s="8">
        <f t="shared" si="7"/>
        <v>42690.782881944448</v>
      </c>
    </row>
    <row r="200" spans="1:7" x14ac:dyDescent="0.25">
      <c r="A200" s="8">
        <v>42690.786886574075</v>
      </c>
      <c r="B200" s="21" t="s">
        <v>263</v>
      </c>
      <c r="C200" s="21" t="s">
        <v>597</v>
      </c>
      <c r="D200" s="21">
        <v>2460000</v>
      </c>
      <c r="E200" s="21" t="s">
        <v>345</v>
      </c>
      <c r="F200" s="21" t="str">
        <f t="shared" si="6"/>
        <v>rtdc.l.rtdc.4037:itc</v>
      </c>
      <c r="G200" s="8">
        <f t="shared" si="7"/>
        <v>42690.786886574075</v>
      </c>
    </row>
    <row r="201" spans="1:7" x14ac:dyDescent="0.25">
      <c r="A201" s="8">
        <v>42690.787881944445</v>
      </c>
      <c r="B201" s="21" t="s">
        <v>242</v>
      </c>
      <c r="C201" s="21" t="s">
        <v>598</v>
      </c>
      <c r="D201" s="21">
        <v>2540000</v>
      </c>
      <c r="E201" s="21" t="s">
        <v>313</v>
      </c>
      <c r="F201" s="21" t="str">
        <f t="shared" si="6"/>
        <v>rtdc.l.rtdc.4016:itc</v>
      </c>
      <c r="G201" s="8">
        <f t="shared" si="7"/>
        <v>42690.787881944445</v>
      </c>
    </row>
    <row r="202" spans="1:7" x14ac:dyDescent="0.25">
      <c r="A202" s="27">
        <v>42690.796956018516</v>
      </c>
      <c r="B202" s="21" t="s">
        <v>234</v>
      </c>
      <c r="C202" s="21" t="s">
        <v>599</v>
      </c>
      <c r="D202" s="21">
        <v>1300000</v>
      </c>
      <c r="E202" s="21" t="s">
        <v>113</v>
      </c>
      <c r="F202" s="21" t="str">
        <f t="shared" si="6"/>
        <v>rtdc.l.rtdc.4012:itc</v>
      </c>
      <c r="G202" s="8">
        <f t="shared" si="7"/>
        <v>42690.796956018516</v>
      </c>
    </row>
    <row r="203" spans="1:7" x14ac:dyDescent="0.25">
      <c r="A203" s="8">
        <v>42690.797627314816</v>
      </c>
      <c r="B203" s="21" t="s">
        <v>234</v>
      </c>
      <c r="C203" s="21" t="s">
        <v>599</v>
      </c>
      <c r="D203" s="21">
        <v>1300000</v>
      </c>
      <c r="E203" s="21" t="s">
        <v>113</v>
      </c>
      <c r="F203" s="21" t="str">
        <f t="shared" si="6"/>
        <v>rtdc.l.rtdc.4012:itc</v>
      </c>
      <c r="G203" s="8">
        <f t="shared" si="7"/>
        <v>42690.797627314816</v>
      </c>
    </row>
    <row r="204" spans="1:7" x14ac:dyDescent="0.25">
      <c r="A204" s="8">
        <v>42690.798680555556</v>
      </c>
      <c r="B204" s="21" t="s">
        <v>234</v>
      </c>
      <c r="C204" s="21" t="s">
        <v>599</v>
      </c>
      <c r="D204" s="21">
        <v>1300000</v>
      </c>
      <c r="E204" s="21" t="s">
        <v>113</v>
      </c>
      <c r="F204" s="21" t="str">
        <f t="shared" si="6"/>
        <v>rtdc.l.rtdc.4012:itc</v>
      </c>
      <c r="G204" s="8">
        <f t="shared" si="7"/>
        <v>42690.798680555556</v>
      </c>
    </row>
    <row r="205" spans="1:7" x14ac:dyDescent="0.25">
      <c r="A205" s="8">
        <v>42690.798750000002</v>
      </c>
      <c r="B205" s="21" t="s">
        <v>308</v>
      </c>
      <c r="C205" s="21" t="s">
        <v>600</v>
      </c>
      <c r="D205" s="21">
        <v>2450000</v>
      </c>
      <c r="E205" s="21" t="s">
        <v>314</v>
      </c>
      <c r="F205" s="21" t="str">
        <f t="shared" si="6"/>
        <v>rtdc.l.rtdc.4045:itc</v>
      </c>
      <c r="G205" s="8">
        <f t="shared" si="7"/>
        <v>42690.798750000002</v>
      </c>
    </row>
    <row r="206" spans="1:7" x14ac:dyDescent="0.25">
      <c r="A206" s="8">
        <v>42690.799583333333</v>
      </c>
      <c r="B206" s="21" t="s">
        <v>249</v>
      </c>
      <c r="C206" s="21" t="s">
        <v>445</v>
      </c>
      <c r="D206" s="21">
        <v>1820000</v>
      </c>
      <c r="E206" s="21" t="s">
        <v>529</v>
      </c>
      <c r="F206" s="21" t="str">
        <f t="shared" si="6"/>
        <v>rtdc.l.rtdc.4022:itc</v>
      </c>
      <c r="G206" s="8">
        <f t="shared" si="7"/>
        <v>42690.799583333333</v>
      </c>
    </row>
    <row r="207" spans="1:7" x14ac:dyDescent="0.25">
      <c r="A207" s="8">
        <v>42690.804537037038</v>
      </c>
      <c r="B207" s="21" t="s">
        <v>347</v>
      </c>
      <c r="C207" s="21" t="s">
        <v>592</v>
      </c>
      <c r="D207" s="21">
        <v>2430000</v>
      </c>
      <c r="E207" s="21" t="s">
        <v>312</v>
      </c>
      <c r="F207" s="21" t="str">
        <f t="shared" si="6"/>
        <v>rtdc.l.rtdc.4025:itc</v>
      </c>
      <c r="G207" s="8">
        <f t="shared" si="7"/>
        <v>42690.804537037038</v>
      </c>
    </row>
    <row r="208" spans="1:7" x14ac:dyDescent="0.25">
      <c r="A208" s="8">
        <v>42690.805752314816</v>
      </c>
      <c r="B208" s="21" t="s">
        <v>248</v>
      </c>
      <c r="C208" s="21" t="s">
        <v>590</v>
      </c>
      <c r="D208" s="21">
        <v>2250000</v>
      </c>
      <c r="E208" s="21" t="s">
        <v>296</v>
      </c>
      <c r="F208" s="21" t="str">
        <f t="shared" si="6"/>
        <v>rtdc.l.rtdc.4010:itc</v>
      </c>
      <c r="G208" s="8">
        <f t="shared" si="7"/>
        <v>42690.805752314816</v>
      </c>
    </row>
    <row r="209" spans="1:7" x14ac:dyDescent="0.25">
      <c r="A209" s="8">
        <v>42690.806979166664</v>
      </c>
      <c r="B209" s="21" t="s">
        <v>248</v>
      </c>
      <c r="C209" s="21" t="s">
        <v>601</v>
      </c>
      <c r="D209" s="21">
        <v>2250000</v>
      </c>
      <c r="E209" s="21" t="s">
        <v>296</v>
      </c>
      <c r="F209" s="21" t="str">
        <f t="shared" si="6"/>
        <v>rtdc.l.rtdc.4010:itc</v>
      </c>
      <c r="G209" s="8">
        <f t="shared" si="7"/>
        <v>42690.806979166664</v>
      </c>
    </row>
    <row r="210" spans="1:7" x14ac:dyDescent="0.25">
      <c r="A210" s="8">
        <v>42690.809062499997</v>
      </c>
      <c r="B210" s="21" t="s">
        <v>214</v>
      </c>
      <c r="C210" s="21" t="s">
        <v>602</v>
      </c>
      <c r="D210" s="21">
        <v>2620000</v>
      </c>
      <c r="E210" s="21" t="s">
        <v>315</v>
      </c>
      <c r="F210" s="21" t="str">
        <f t="shared" si="6"/>
        <v>rtdc.l.rtdc.4029:itc</v>
      </c>
      <c r="G210" s="8">
        <f t="shared" si="7"/>
        <v>42690.809062499997</v>
      </c>
    </row>
    <row r="211" spans="1:7" x14ac:dyDescent="0.25">
      <c r="A211" s="8">
        <v>42690.819398148145</v>
      </c>
      <c r="B211" s="21" t="s">
        <v>346</v>
      </c>
      <c r="C211" s="21" t="s">
        <v>603</v>
      </c>
      <c r="D211" s="21">
        <v>2430000</v>
      </c>
      <c r="E211" s="21" t="s">
        <v>312</v>
      </c>
      <c r="F211" s="21" t="str">
        <f t="shared" si="6"/>
        <v>rtdc.l.rtdc.4026:itc</v>
      </c>
      <c r="G211" s="8">
        <f t="shared" si="7"/>
        <v>42690.819398148145</v>
      </c>
    </row>
    <row r="212" spans="1:7" x14ac:dyDescent="0.25">
      <c r="A212" s="8">
        <v>42690.822974537034</v>
      </c>
      <c r="B212" s="21" t="s">
        <v>259</v>
      </c>
      <c r="C212" s="21" t="s">
        <v>604</v>
      </c>
      <c r="D212" s="21">
        <v>2460000</v>
      </c>
      <c r="E212" s="21" t="s">
        <v>345</v>
      </c>
      <c r="F212" s="21" t="str">
        <f t="shared" si="6"/>
        <v>rtdc.l.rtdc.4038:itc</v>
      </c>
      <c r="G212" s="8">
        <f t="shared" si="7"/>
        <v>42690.822974537034</v>
      </c>
    </row>
    <row r="213" spans="1:7" x14ac:dyDescent="0.25">
      <c r="A213" s="8">
        <v>42690.827337962961</v>
      </c>
      <c r="B213" s="21" t="s">
        <v>243</v>
      </c>
      <c r="C213" s="21" t="s">
        <v>605</v>
      </c>
      <c r="D213" s="21">
        <v>2540000</v>
      </c>
      <c r="E213" s="21" t="s">
        <v>313</v>
      </c>
      <c r="F213" s="21" t="str">
        <f t="shared" si="6"/>
        <v>rtdc.l.rtdc.4015:itc</v>
      </c>
      <c r="G213" s="8">
        <f t="shared" si="7"/>
        <v>42690.827337962961</v>
      </c>
    </row>
    <row r="214" spans="1:7" x14ac:dyDescent="0.25">
      <c r="A214" s="8">
        <v>42690.829976851855</v>
      </c>
      <c r="B214" s="21" t="s">
        <v>218</v>
      </c>
      <c r="C214" s="21" t="s">
        <v>606</v>
      </c>
      <c r="D214" s="21">
        <v>1300000</v>
      </c>
      <c r="E214" s="21" t="s">
        <v>113</v>
      </c>
      <c r="F214" s="21" t="str">
        <f t="shared" si="6"/>
        <v>rtdc.l.rtdc.4011:itc</v>
      </c>
      <c r="G214" s="8">
        <f t="shared" si="7"/>
        <v>42690.829976851855</v>
      </c>
    </row>
    <row r="215" spans="1:7" x14ac:dyDescent="0.25">
      <c r="A215" s="8">
        <v>42690.843136574076</v>
      </c>
      <c r="B215" s="21" t="s">
        <v>186</v>
      </c>
      <c r="C215" s="21" t="s">
        <v>607</v>
      </c>
      <c r="D215" s="21">
        <v>2250000</v>
      </c>
      <c r="E215" s="21" t="s">
        <v>296</v>
      </c>
      <c r="F215" s="21" t="str">
        <f t="shared" si="6"/>
        <v>rtdc.l.rtdc.4009:itc</v>
      </c>
      <c r="G215" s="8">
        <f t="shared" si="7"/>
        <v>42690.843136574076</v>
      </c>
    </row>
    <row r="216" spans="1:7" x14ac:dyDescent="0.25">
      <c r="A216" s="8">
        <v>42690.843819444446</v>
      </c>
      <c r="B216" s="21" t="s">
        <v>347</v>
      </c>
      <c r="C216" s="21" t="s">
        <v>446</v>
      </c>
      <c r="D216" s="21">
        <v>2430000</v>
      </c>
      <c r="E216" s="21" t="s">
        <v>312</v>
      </c>
      <c r="F216" s="21" t="str">
        <f t="shared" si="6"/>
        <v>rtdc.l.rtdc.4025:itc</v>
      </c>
      <c r="G216" s="8">
        <f t="shared" si="7"/>
        <v>42690.843819444446</v>
      </c>
    </row>
    <row r="217" spans="1:7" x14ac:dyDescent="0.25">
      <c r="A217" s="8">
        <v>42690.846678240741</v>
      </c>
      <c r="B217" s="21" t="s">
        <v>215</v>
      </c>
      <c r="C217" s="21" t="s">
        <v>608</v>
      </c>
      <c r="D217" s="21">
        <v>2620000</v>
      </c>
      <c r="E217" s="21" t="s">
        <v>315</v>
      </c>
      <c r="F217" s="21" t="str">
        <f t="shared" si="6"/>
        <v>rtdc.l.rtdc.4030:itc</v>
      </c>
      <c r="G217" s="8">
        <f t="shared" si="7"/>
        <v>42690.846678240741</v>
      </c>
    </row>
    <row r="218" spans="1:7" x14ac:dyDescent="0.25">
      <c r="A218" s="8">
        <v>42690.854768518519</v>
      </c>
      <c r="B218" s="21" t="s">
        <v>347</v>
      </c>
      <c r="C218" s="21" t="s">
        <v>446</v>
      </c>
      <c r="D218" s="21">
        <v>2430000</v>
      </c>
      <c r="E218" s="21" t="s">
        <v>312</v>
      </c>
      <c r="F218" s="21" t="str">
        <f t="shared" si="6"/>
        <v>rtdc.l.rtdc.4025:itc</v>
      </c>
      <c r="G218" s="8">
        <f t="shared" si="7"/>
        <v>42690.854768518519</v>
      </c>
    </row>
    <row r="219" spans="1:7" x14ac:dyDescent="0.25">
      <c r="A219" s="8">
        <v>42690.861967592595</v>
      </c>
      <c r="B219" s="21" t="s">
        <v>242</v>
      </c>
      <c r="C219" s="21" t="s">
        <v>609</v>
      </c>
      <c r="D219" s="21">
        <v>2540000</v>
      </c>
      <c r="E219" s="21" t="s">
        <v>313</v>
      </c>
      <c r="F219" s="21" t="str">
        <f t="shared" si="6"/>
        <v>rtdc.l.rtdc.4016:itc</v>
      </c>
      <c r="G219" s="8">
        <f t="shared" si="7"/>
        <v>42690.861967592595</v>
      </c>
    </row>
    <row r="220" spans="1:7" x14ac:dyDescent="0.25">
      <c r="A220" s="8">
        <v>42690.864004629628</v>
      </c>
      <c r="B220" s="21" t="s">
        <v>346</v>
      </c>
      <c r="C220" s="21" t="s">
        <v>610</v>
      </c>
      <c r="D220" s="21">
        <v>2430000</v>
      </c>
      <c r="E220" s="21" t="s">
        <v>312</v>
      </c>
      <c r="F220" s="21" t="str">
        <f t="shared" si="6"/>
        <v>rtdc.l.rtdc.4026:itc</v>
      </c>
      <c r="G220" s="8">
        <f t="shared" si="7"/>
        <v>42690.864004629628</v>
      </c>
    </row>
    <row r="221" spans="1:7" x14ac:dyDescent="0.25">
      <c r="A221" s="8">
        <v>42690.870856481481</v>
      </c>
      <c r="B221" s="21" t="s">
        <v>234</v>
      </c>
      <c r="C221" s="21" t="s">
        <v>611</v>
      </c>
      <c r="D221" s="21">
        <v>1300000</v>
      </c>
      <c r="E221" s="21" t="s">
        <v>113</v>
      </c>
      <c r="F221" s="21" t="str">
        <f t="shared" si="6"/>
        <v>rtdc.l.rtdc.4012:itc</v>
      </c>
      <c r="G221" s="8">
        <f t="shared" si="7"/>
        <v>42690.870856481481</v>
      </c>
    </row>
    <row r="222" spans="1:7" x14ac:dyDescent="0.25">
      <c r="A222" s="8">
        <v>42690.882638888892</v>
      </c>
      <c r="B222" s="21" t="s">
        <v>214</v>
      </c>
      <c r="C222" s="21" t="s">
        <v>612</v>
      </c>
      <c r="D222" s="21">
        <v>2620000</v>
      </c>
      <c r="E222" s="21" t="s">
        <v>315</v>
      </c>
      <c r="F222" s="21" t="str">
        <f t="shared" si="6"/>
        <v>rtdc.l.rtdc.4029:itc</v>
      </c>
      <c r="G222" s="8">
        <f t="shared" si="7"/>
        <v>42690.882638888892</v>
      </c>
    </row>
    <row r="223" spans="1:7" x14ac:dyDescent="0.25">
      <c r="A223" s="8">
        <v>42690.883009259262</v>
      </c>
      <c r="B223" s="21" t="s">
        <v>347</v>
      </c>
      <c r="C223" s="21" t="s">
        <v>449</v>
      </c>
      <c r="D223" s="21">
        <v>2450000</v>
      </c>
      <c r="E223" s="21" t="s">
        <v>314</v>
      </c>
      <c r="F223" s="21" t="str">
        <f t="shared" si="6"/>
        <v>rtdc.l.rtdc.4025:itc</v>
      </c>
      <c r="G223" s="8">
        <f t="shared" si="7"/>
        <v>42690.883009259262</v>
      </c>
    </row>
    <row r="224" spans="1:7" x14ac:dyDescent="0.25">
      <c r="A224" s="8">
        <v>42690.88853009259</v>
      </c>
      <c r="B224" t="s">
        <v>248</v>
      </c>
      <c r="C224" t="s">
        <v>613</v>
      </c>
      <c r="D224">
        <v>2250000</v>
      </c>
      <c r="E224" t="s">
        <v>296</v>
      </c>
      <c r="F224" s="21" t="str">
        <f t="shared" si="6"/>
        <v>rtdc.l.rtdc.4010:itc</v>
      </c>
      <c r="G224" s="8">
        <f t="shared" si="7"/>
        <v>42690.88853009259</v>
      </c>
    </row>
    <row r="225" spans="1:7" x14ac:dyDescent="0.25">
      <c r="A225" s="8">
        <v>42690.904085648152</v>
      </c>
      <c r="B225" t="s">
        <v>346</v>
      </c>
      <c r="C225" t="s">
        <v>450</v>
      </c>
      <c r="D225">
        <v>2450000</v>
      </c>
      <c r="E225" t="s">
        <v>314</v>
      </c>
      <c r="F225" s="21" t="str">
        <f t="shared" si="6"/>
        <v>rtdc.l.rtdc.4026:itc</v>
      </c>
      <c r="G225" s="8">
        <f t="shared" si="7"/>
        <v>42690.904085648152</v>
      </c>
    </row>
    <row r="226" spans="1:7" x14ac:dyDescent="0.25">
      <c r="A226" s="8">
        <v>42690.911238425928</v>
      </c>
      <c r="B226" t="s">
        <v>243</v>
      </c>
      <c r="C226" t="s">
        <v>614</v>
      </c>
      <c r="D226">
        <v>2540000</v>
      </c>
      <c r="E226" t="s">
        <v>313</v>
      </c>
      <c r="F226" s="21" t="str">
        <f t="shared" si="6"/>
        <v>rtdc.l.rtdc.4015:itc</v>
      </c>
      <c r="G226" s="8">
        <f t="shared" si="7"/>
        <v>42690.911238425928</v>
      </c>
    </row>
    <row r="227" spans="1:7" x14ac:dyDescent="0.25">
      <c r="A227" s="8">
        <v>42690.913518518515</v>
      </c>
      <c r="B227" t="s">
        <v>218</v>
      </c>
      <c r="C227" t="s">
        <v>451</v>
      </c>
      <c r="D227">
        <v>1300000</v>
      </c>
      <c r="E227" t="s">
        <v>113</v>
      </c>
      <c r="F227" s="21" t="str">
        <f t="shared" si="6"/>
        <v>rtdc.l.rtdc.4011:itc</v>
      </c>
      <c r="G227" s="8">
        <f t="shared" si="7"/>
        <v>42690.913518518515</v>
      </c>
    </row>
    <row r="228" spans="1:7" x14ac:dyDescent="0.25">
      <c r="A228" s="8">
        <v>42690.922222222223</v>
      </c>
      <c r="B228" t="s">
        <v>215</v>
      </c>
      <c r="C228" t="s">
        <v>453</v>
      </c>
      <c r="D228">
        <v>2620000</v>
      </c>
      <c r="E228" t="s">
        <v>315</v>
      </c>
      <c r="F228" s="21" t="str">
        <f t="shared" si="6"/>
        <v>rtdc.l.rtdc.4030:itc</v>
      </c>
      <c r="G228" s="8">
        <f t="shared" si="7"/>
        <v>42690.922222222223</v>
      </c>
    </row>
    <row r="229" spans="1:7" x14ac:dyDescent="0.25">
      <c r="A229" s="8">
        <v>42690.926678240743</v>
      </c>
      <c r="B229" t="s">
        <v>186</v>
      </c>
      <c r="C229" t="s">
        <v>452</v>
      </c>
      <c r="D229">
        <v>2250000</v>
      </c>
      <c r="E229" t="s">
        <v>296</v>
      </c>
      <c r="F229" s="21" t="str">
        <f t="shared" si="6"/>
        <v>rtdc.l.rtdc.4009:itc</v>
      </c>
      <c r="G229" s="8">
        <f t="shared" si="7"/>
        <v>42690.926678240743</v>
      </c>
    </row>
    <row r="230" spans="1:7" x14ac:dyDescent="0.25">
      <c r="A230" s="8">
        <v>42690.928796296299</v>
      </c>
      <c r="B230" t="s">
        <v>347</v>
      </c>
      <c r="C230" t="s">
        <v>615</v>
      </c>
      <c r="D230">
        <v>2450000</v>
      </c>
      <c r="E230" t="s">
        <v>314</v>
      </c>
      <c r="F230" s="21" t="str">
        <f t="shared" si="6"/>
        <v>rtdc.l.rtdc.4025:itc</v>
      </c>
      <c r="G230" s="8">
        <f t="shared" si="7"/>
        <v>42690.928796296299</v>
      </c>
    </row>
    <row r="231" spans="1:7" x14ac:dyDescent="0.25">
      <c r="A231" s="8">
        <v>42690.944594907407</v>
      </c>
      <c r="B231" t="s">
        <v>346</v>
      </c>
      <c r="C231" t="s">
        <v>616</v>
      </c>
      <c r="D231">
        <v>2450000</v>
      </c>
      <c r="E231" t="s">
        <v>314</v>
      </c>
      <c r="F231" s="21" t="str">
        <f t="shared" si="6"/>
        <v>rtdc.l.rtdc.4026:itc</v>
      </c>
      <c r="G231" s="8">
        <f t="shared" si="7"/>
        <v>42690.944594907407</v>
      </c>
    </row>
    <row r="232" spans="1:7" x14ac:dyDescent="0.25">
      <c r="A232" s="8">
        <v>42690.945023148146</v>
      </c>
      <c r="B232" t="s">
        <v>242</v>
      </c>
      <c r="C232" t="s">
        <v>617</v>
      </c>
      <c r="D232">
        <v>2540000</v>
      </c>
      <c r="E232" t="s">
        <v>313</v>
      </c>
      <c r="F232" s="21" t="str">
        <f t="shared" si="6"/>
        <v>rtdc.l.rtdc.4016:itc</v>
      </c>
      <c r="G232" s="8">
        <f t="shared" si="7"/>
        <v>42690.945023148146</v>
      </c>
    </row>
    <row r="233" spans="1:7" x14ac:dyDescent="0.25">
      <c r="A233" s="8">
        <v>42690.952245370368</v>
      </c>
      <c r="B233" t="s">
        <v>234</v>
      </c>
      <c r="C233" t="s">
        <v>618</v>
      </c>
      <c r="D233">
        <v>1300000</v>
      </c>
      <c r="E233" t="s">
        <v>113</v>
      </c>
      <c r="F233" s="21" t="str">
        <f t="shared" si="6"/>
        <v>rtdc.l.rtdc.4012:itc</v>
      </c>
      <c r="G233" s="8">
        <f t="shared" si="7"/>
        <v>42690.952245370368</v>
      </c>
    </row>
    <row r="234" spans="1:7" x14ac:dyDescent="0.25">
      <c r="A234" s="8">
        <v>42690.962268518517</v>
      </c>
      <c r="B234" t="s">
        <v>214</v>
      </c>
      <c r="C234" t="s">
        <v>619</v>
      </c>
      <c r="D234">
        <v>2620000</v>
      </c>
      <c r="E234" t="s">
        <v>315</v>
      </c>
      <c r="F234" s="21" t="str">
        <f t="shared" si="6"/>
        <v>rtdc.l.rtdc.4029:itc</v>
      </c>
      <c r="G234" s="8">
        <f t="shared" si="7"/>
        <v>42690.962268518517</v>
      </c>
    </row>
    <row r="235" spans="1:7" x14ac:dyDescent="0.25">
      <c r="A235" s="8">
        <v>42690.96837962963</v>
      </c>
      <c r="B235" t="s">
        <v>248</v>
      </c>
      <c r="C235" t="s">
        <v>620</v>
      </c>
      <c r="D235">
        <v>2250000</v>
      </c>
      <c r="E235" t="s">
        <v>296</v>
      </c>
      <c r="F235" s="21" t="str">
        <f t="shared" si="6"/>
        <v>rtdc.l.rtdc.4010:itc</v>
      </c>
      <c r="G235" s="8">
        <f t="shared" si="7"/>
        <v>42690.96837962963</v>
      </c>
    </row>
    <row r="236" spans="1:7" x14ac:dyDescent="0.25">
      <c r="A236" s="8">
        <v>42690.985115740739</v>
      </c>
      <c r="B236" t="s">
        <v>242</v>
      </c>
      <c r="C236" t="s">
        <v>617</v>
      </c>
      <c r="D236">
        <v>2540000</v>
      </c>
      <c r="E236" t="s">
        <v>313</v>
      </c>
      <c r="F236" s="21" t="str">
        <f t="shared" ref="F236:F265" si="8">B236</f>
        <v>rtdc.l.rtdc.4016:itc</v>
      </c>
      <c r="G236" s="8">
        <f t="shared" ref="G236:G265" si="9">A236</f>
        <v>42690.985115740739</v>
      </c>
    </row>
    <row r="237" spans="1:7" x14ac:dyDescent="0.25">
      <c r="A237" s="8">
        <v>42690.995219907411</v>
      </c>
      <c r="B237" t="s">
        <v>218</v>
      </c>
      <c r="C237" t="s">
        <v>621</v>
      </c>
      <c r="D237">
        <v>1300000</v>
      </c>
      <c r="E237" t="s">
        <v>113</v>
      </c>
      <c r="F237" s="21" t="str">
        <f t="shared" si="8"/>
        <v>rtdc.l.rtdc.4011:itc</v>
      </c>
      <c r="G237" s="8">
        <f t="shared" si="9"/>
        <v>42690.995219907411</v>
      </c>
    </row>
    <row r="238" spans="1:7" x14ac:dyDescent="0.25">
      <c r="A238" s="8">
        <v>42690.996134259258</v>
      </c>
      <c r="B238" t="s">
        <v>243</v>
      </c>
      <c r="C238" t="s">
        <v>622</v>
      </c>
      <c r="D238">
        <v>2540000</v>
      </c>
      <c r="E238" t="s">
        <v>313</v>
      </c>
      <c r="F238" s="21" t="str">
        <f t="shared" si="8"/>
        <v>rtdc.l.rtdc.4015:itc</v>
      </c>
      <c r="G238" s="8">
        <f t="shared" si="9"/>
        <v>42690.996134259258</v>
      </c>
    </row>
    <row r="239" spans="1:7" x14ac:dyDescent="0.25">
      <c r="A239" s="8">
        <v>42691.005798611113</v>
      </c>
      <c r="B239" t="s">
        <v>215</v>
      </c>
      <c r="C239" t="s">
        <v>623</v>
      </c>
      <c r="D239">
        <v>2620000</v>
      </c>
      <c r="E239" t="s">
        <v>315</v>
      </c>
      <c r="F239" s="21" t="str">
        <f t="shared" si="8"/>
        <v>rtdc.l.rtdc.4030:itc</v>
      </c>
      <c r="G239" s="8">
        <f t="shared" si="9"/>
        <v>42691.005798611113</v>
      </c>
    </row>
    <row r="240" spans="1:7" x14ac:dyDescent="0.25">
      <c r="A240" s="8">
        <v>42691.010081018518</v>
      </c>
      <c r="B240" t="s">
        <v>186</v>
      </c>
      <c r="C240" t="s">
        <v>624</v>
      </c>
      <c r="D240">
        <v>2250000</v>
      </c>
      <c r="E240" t="s">
        <v>296</v>
      </c>
      <c r="F240" s="21" t="str">
        <f t="shared" si="8"/>
        <v>rtdc.l.rtdc.4009:itc</v>
      </c>
      <c r="G240" s="8">
        <f t="shared" si="9"/>
        <v>42691.010081018518</v>
      </c>
    </row>
    <row r="241" spans="1:7" x14ac:dyDescent="0.25">
      <c r="A241" s="8">
        <v>42691.043958333335</v>
      </c>
      <c r="B241" t="s">
        <v>242</v>
      </c>
      <c r="C241" t="s">
        <v>625</v>
      </c>
      <c r="D241">
        <v>2540000</v>
      </c>
      <c r="E241" t="s">
        <v>313</v>
      </c>
      <c r="F241" s="21" t="str">
        <f t="shared" si="8"/>
        <v>rtdc.l.rtdc.4016:itc</v>
      </c>
      <c r="G241" s="8">
        <f t="shared" si="9"/>
        <v>42691.043958333335</v>
      </c>
    </row>
    <row r="242" spans="1:7" x14ac:dyDescent="0.25">
      <c r="A242" s="8">
        <v>42691.049224537041</v>
      </c>
      <c r="B242" t="s">
        <v>234</v>
      </c>
      <c r="C242" t="s">
        <v>626</v>
      </c>
      <c r="D242">
        <v>1300000</v>
      </c>
      <c r="E242" t="s">
        <v>113</v>
      </c>
      <c r="F242" s="21" t="str">
        <f t="shared" si="8"/>
        <v>rtdc.l.rtdc.4012:itc</v>
      </c>
      <c r="G242" s="8">
        <f t="shared" si="9"/>
        <v>42691.049224537041</v>
      </c>
    </row>
    <row r="243" spans="1:7" x14ac:dyDescent="0.25">
      <c r="A243" s="8">
        <v>42691.064479166664</v>
      </c>
      <c r="B243" t="s">
        <v>248</v>
      </c>
      <c r="C243" t="s">
        <v>627</v>
      </c>
      <c r="D243">
        <v>2250000</v>
      </c>
      <c r="E243" t="s">
        <v>296</v>
      </c>
      <c r="F243" s="21" t="str">
        <f t="shared" si="8"/>
        <v>rtdc.l.rtdc.4010:itc</v>
      </c>
      <c r="G243" s="8">
        <f t="shared" si="9"/>
        <v>42691.064479166664</v>
      </c>
    </row>
    <row r="244" spans="1:7" x14ac:dyDescent="0.25">
      <c r="A244" s="8">
        <v>42691.06722222222</v>
      </c>
      <c r="B244" t="s">
        <v>214</v>
      </c>
      <c r="C244" t="s">
        <v>628</v>
      </c>
      <c r="D244">
        <v>2620000</v>
      </c>
      <c r="E244" t="s">
        <v>315</v>
      </c>
      <c r="F244" s="21" t="str">
        <f t="shared" si="8"/>
        <v>rtdc.l.rtdc.4029:itc</v>
      </c>
      <c r="G244" s="8">
        <f t="shared" si="9"/>
        <v>42691.06722222222</v>
      </c>
    </row>
    <row r="245" spans="1:7" x14ac:dyDescent="0.25">
      <c r="A245" s="8">
        <v>42690.019097222219</v>
      </c>
      <c r="B245" t="s">
        <v>218</v>
      </c>
      <c r="C245" t="s">
        <v>351</v>
      </c>
      <c r="D245">
        <v>1800000</v>
      </c>
      <c r="E245" t="s">
        <v>284</v>
      </c>
      <c r="F245" s="21" t="str">
        <f t="shared" si="8"/>
        <v>rtdc.l.rtdc.4011:itc</v>
      </c>
      <c r="G245" s="8">
        <f t="shared" si="9"/>
        <v>42690.019097222219</v>
      </c>
    </row>
    <row r="246" spans="1:7" x14ac:dyDescent="0.25">
      <c r="A246" s="8">
        <v>42690.021944444445</v>
      </c>
      <c r="B246" t="s">
        <v>311</v>
      </c>
      <c r="C246" t="s">
        <v>350</v>
      </c>
      <c r="D246">
        <v>2450000</v>
      </c>
      <c r="E246" t="s">
        <v>314</v>
      </c>
      <c r="F246" s="21" t="str">
        <f t="shared" si="8"/>
        <v>rtdc.l.rtdc.4018:itc</v>
      </c>
      <c r="G246" s="8">
        <f t="shared" si="9"/>
        <v>42690.021944444445</v>
      </c>
    </row>
    <row r="247" spans="1:7" x14ac:dyDescent="0.25">
      <c r="A247" s="8">
        <v>42690.02983796296</v>
      </c>
      <c r="B247" t="s">
        <v>228</v>
      </c>
      <c r="C247" t="s">
        <v>352</v>
      </c>
      <c r="D247">
        <v>2620000</v>
      </c>
      <c r="E247" t="s">
        <v>315</v>
      </c>
      <c r="F247" s="21" t="str">
        <f t="shared" si="8"/>
        <v>rtdc.l.rtdc.4004:itc</v>
      </c>
      <c r="G247" s="8">
        <f t="shared" si="9"/>
        <v>42690.02983796296</v>
      </c>
    </row>
    <row r="248" spans="1:7" x14ac:dyDescent="0.25">
      <c r="A248" s="8">
        <v>42690.051469907405</v>
      </c>
      <c r="B248" t="s">
        <v>223</v>
      </c>
      <c r="C248" t="s">
        <v>353</v>
      </c>
      <c r="D248">
        <v>2250000</v>
      </c>
      <c r="E248" t="s">
        <v>296</v>
      </c>
      <c r="F248" s="21" t="str">
        <f t="shared" si="8"/>
        <v>rtdc.l.rtdc.4040:itc</v>
      </c>
      <c r="G248" s="8">
        <f t="shared" si="9"/>
        <v>42690.051469907405</v>
      </c>
    </row>
    <row r="249" spans="1:7" x14ac:dyDescent="0.25">
      <c r="A249" s="8">
        <v>42690.052777777775</v>
      </c>
      <c r="B249" t="s">
        <v>223</v>
      </c>
      <c r="C249" t="s">
        <v>353</v>
      </c>
      <c r="D249">
        <v>2250000</v>
      </c>
      <c r="E249" t="s">
        <v>296</v>
      </c>
      <c r="F249" s="21" t="str">
        <f t="shared" si="8"/>
        <v>rtdc.l.rtdc.4040:itc</v>
      </c>
      <c r="G249" s="8">
        <f t="shared" si="9"/>
        <v>42690.052777777775</v>
      </c>
    </row>
    <row r="250" spans="1:7" x14ac:dyDescent="0.25">
      <c r="A250" s="8">
        <v>42690.055937500001</v>
      </c>
      <c r="B250" t="s">
        <v>234</v>
      </c>
      <c r="C250" t="s">
        <v>354</v>
      </c>
      <c r="D250">
        <v>1800000</v>
      </c>
      <c r="E250" t="s">
        <v>284</v>
      </c>
      <c r="F250" s="21" t="str">
        <f t="shared" si="8"/>
        <v>rtdc.l.rtdc.4012:itc</v>
      </c>
      <c r="G250" s="8">
        <f t="shared" si="9"/>
        <v>42690.055937500001</v>
      </c>
    </row>
    <row r="251" spans="1:7" x14ac:dyDescent="0.25">
      <c r="A251" s="8">
        <v>42690.070254629631</v>
      </c>
      <c r="B251" t="s">
        <v>338</v>
      </c>
      <c r="C251" t="s">
        <v>355</v>
      </c>
      <c r="D251">
        <v>2620000</v>
      </c>
      <c r="E251" t="s">
        <v>315</v>
      </c>
      <c r="F251" s="21" t="str">
        <f t="shared" si="8"/>
        <v>rtdc.l.rtdc.4003:itc</v>
      </c>
      <c r="G251" s="8">
        <f t="shared" si="9"/>
        <v>42690.070254629631</v>
      </c>
    </row>
    <row r="252" spans="1:7" x14ac:dyDescent="0.25">
      <c r="A252" s="8">
        <v>42684.914409722223</v>
      </c>
      <c r="B252" t="s">
        <v>188</v>
      </c>
      <c r="C252" t="s">
        <v>264</v>
      </c>
      <c r="D252">
        <v>2610000</v>
      </c>
      <c r="E252" t="s">
        <v>240</v>
      </c>
      <c r="F252" s="21" t="str">
        <f t="shared" si="8"/>
        <v>rtdc.l.rtdc.4044:itc</v>
      </c>
      <c r="G252" s="8">
        <f t="shared" si="9"/>
        <v>42684.914409722223</v>
      </c>
    </row>
    <row r="253" spans="1:7" x14ac:dyDescent="0.25">
      <c r="A253" s="8">
        <v>42684.923715277779</v>
      </c>
      <c r="B253" t="s">
        <v>237</v>
      </c>
      <c r="C253" t="s">
        <v>260</v>
      </c>
      <c r="D253">
        <v>2420000</v>
      </c>
      <c r="E253" t="s">
        <v>251</v>
      </c>
      <c r="F253" s="21" t="str">
        <f t="shared" si="8"/>
        <v>rtdc.l.rtdc.4001:itc</v>
      </c>
      <c r="G253" s="8">
        <f t="shared" si="9"/>
        <v>42684.923715277779</v>
      </c>
    </row>
    <row r="254" spans="1:7" x14ac:dyDescent="0.25">
      <c r="A254" s="8">
        <v>42684.93509259259</v>
      </c>
      <c r="B254" t="s">
        <v>218</v>
      </c>
      <c r="C254" t="s">
        <v>265</v>
      </c>
      <c r="D254">
        <v>2000000</v>
      </c>
      <c r="E254" t="s">
        <v>231</v>
      </c>
      <c r="F254" s="21" t="str">
        <f t="shared" si="8"/>
        <v>rtdc.l.rtdc.4011:itc</v>
      </c>
      <c r="G254" s="8">
        <f t="shared" si="9"/>
        <v>42684.93509259259</v>
      </c>
    </row>
    <row r="255" spans="1:7" x14ac:dyDescent="0.25">
      <c r="A255" s="8">
        <v>42684.941574074073</v>
      </c>
      <c r="B255" t="s">
        <v>244</v>
      </c>
      <c r="C255" t="s">
        <v>266</v>
      </c>
      <c r="D255">
        <v>2610000</v>
      </c>
      <c r="E255" t="s">
        <v>240</v>
      </c>
      <c r="F255" s="21" t="str">
        <f t="shared" si="8"/>
        <v>rtdc.l.rtdc.4043:itc</v>
      </c>
      <c r="G255" s="8">
        <f t="shared" si="9"/>
        <v>42684.941574074073</v>
      </c>
    </row>
    <row r="256" spans="1:7" x14ac:dyDescent="0.25">
      <c r="A256" s="8">
        <v>42684.949386574073</v>
      </c>
      <c r="B256" t="s">
        <v>263</v>
      </c>
      <c r="C256" t="s">
        <v>267</v>
      </c>
      <c r="D256">
        <v>1300000</v>
      </c>
      <c r="E256" t="s">
        <v>113</v>
      </c>
      <c r="F256" s="21" t="str">
        <f t="shared" si="8"/>
        <v>rtdc.l.rtdc.4037:itc</v>
      </c>
      <c r="G256" s="8">
        <f t="shared" si="9"/>
        <v>42684.949386574073</v>
      </c>
    </row>
    <row r="257" spans="1:7" x14ac:dyDescent="0.25">
      <c r="A257" s="8">
        <v>42684.951053240744</v>
      </c>
      <c r="B257" t="s">
        <v>249</v>
      </c>
      <c r="C257" t="s">
        <v>268</v>
      </c>
      <c r="D257">
        <v>2550000</v>
      </c>
      <c r="E257" t="s">
        <v>239</v>
      </c>
      <c r="F257" s="21" t="str">
        <f t="shared" si="8"/>
        <v>rtdc.l.rtdc.4022:itc</v>
      </c>
      <c r="G257" s="8">
        <f t="shared" si="9"/>
        <v>42684.951053240744</v>
      </c>
    </row>
    <row r="258" spans="1:7" x14ac:dyDescent="0.25">
      <c r="A258" s="8">
        <v>42684.967488425929</v>
      </c>
      <c r="B258" t="s">
        <v>238</v>
      </c>
      <c r="C258" t="s">
        <v>262</v>
      </c>
      <c r="D258">
        <v>2420000</v>
      </c>
      <c r="E258" t="s">
        <v>251</v>
      </c>
      <c r="F258" s="21" t="str">
        <f t="shared" si="8"/>
        <v>rtdc.l.rtdc.4002:itc</v>
      </c>
      <c r="G258" s="8">
        <f t="shared" si="9"/>
        <v>42684.967488425929</v>
      </c>
    </row>
    <row r="259" spans="1:7" x14ac:dyDescent="0.25">
      <c r="A259" s="8">
        <v>42684.972418981481</v>
      </c>
      <c r="B259" t="s">
        <v>234</v>
      </c>
      <c r="C259" t="s">
        <v>261</v>
      </c>
      <c r="D259">
        <v>2000000</v>
      </c>
      <c r="E259" t="s">
        <v>231</v>
      </c>
      <c r="F259" s="21" t="str">
        <f t="shared" si="8"/>
        <v>rtdc.l.rtdc.4012:itc</v>
      </c>
      <c r="G259" s="8">
        <f t="shared" si="9"/>
        <v>42684.972418981481</v>
      </c>
    </row>
    <row r="260" spans="1:7" x14ac:dyDescent="0.25">
      <c r="A260" s="8">
        <v>42684.992002314815</v>
      </c>
      <c r="B260" t="s">
        <v>250</v>
      </c>
      <c r="C260" t="s">
        <v>269</v>
      </c>
      <c r="D260">
        <v>2550000</v>
      </c>
      <c r="E260" t="s">
        <v>239</v>
      </c>
      <c r="F260" s="21" t="str">
        <f t="shared" si="8"/>
        <v>rtdc.l.rtdc.4021:itc</v>
      </c>
      <c r="G260" s="8">
        <f t="shared" si="9"/>
        <v>42684.992002314815</v>
      </c>
    </row>
    <row r="261" spans="1:7" x14ac:dyDescent="0.25">
      <c r="A261" s="8">
        <v>42684.995717592596</v>
      </c>
      <c r="B261" t="s">
        <v>259</v>
      </c>
      <c r="C261" t="s">
        <v>270</v>
      </c>
      <c r="D261">
        <v>1300000</v>
      </c>
      <c r="E261" t="s">
        <v>113</v>
      </c>
      <c r="F261" s="21" t="str">
        <f t="shared" si="8"/>
        <v>rtdc.l.rtdc.4038:itc</v>
      </c>
      <c r="G261" s="8">
        <f t="shared" si="9"/>
        <v>42684.995717592596</v>
      </c>
    </row>
    <row r="262" spans="1:7" x14ac:dyDescent="0.25">
      <c r="A262" s="8">
        <v>42685.011921296296</v>
      </c>
      <c r="B262" t="s">
        <v>237</v>
      </c>
      <c r="C262" t="s">
        <v>271</v>
      </c>
      <c r="D262">
        <v>2420000</v>
      </c>
      <c r="E262" t="s">
        <v>251</v>
      </c>
      <c r="F262" s="21" t="str">
        <f t="shared" si="8"/>
        <v>rtdc.l.rtdc.4001:itc</v>
      </c>
      <c r="G262" s="8">
        <f t="shared" si="9"/>
        <v>42685.011921296296</v>
      </c>
    </row>
    <row r="263" spans="1:7" x14ac:dyDescent="0.25">
      <c r="A263" s="8">
        <v>42685.016226851854</v>
      </c>
      <c r="B263" t="s">
        <v>218</v>
      </c>
      <c r="C263" t="s">
        <v>272</v>
      </c>
      <c r="D263">
        <v>2000000</v>
      </c>
      <c r="E263" t="s">
        <v>231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249</v>
      </c>
      <c r="C264" t="s">
        <v>273</v>
      </c>
      <c r="D264">
        <v>2550000</v>
      </c>
      <c r="E264" t="s">
        <v>239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263</v>
      </c>
      <c r="C265" t="s">
        <v>274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238</v>
      </c>
      <c r="C266" t="s">
        <v>275</v>
      </c>
      <c r="D266">
        <v>2420000</v>
      </c>
      <c r="E266" t="s">
        <v>251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234</v>
      </c>
      <c r="C267" t="s">
        <v>276</v>
      </c>
      <c r="D267">
        <v>2000000</v>
      </c>
      <c r="E267" t="s">
        <v>231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259</v>
      </c>
      <c r="C268" t="s">
        <v>277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156</v>
      </c>
      <c r="C269" t="s">
        <v>189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186</v>
      </c>
      <c r="C270" t="s">
        <v>190</v>
      </c>
      <c r="D270">
        <v>1480000</v>
      </c>
      <c r="E270" t="s">
        <v>184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189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189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189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7" s="134" customFormat="1" x14ac:dyDescent="0.25">
      <c r="A1" s="164" t="s">
        <v>167</v>
      </c>
      <c r="B1" s="164" t="s">
        <v>170</v>
      </c>
      <c r="C1" s="164" t="s">
        <v>163</v>
      </c>
      <c r="D1" s="159" t="s">
        <v>176</v>
      </c>
      <c r="E1" s="164" t="s">
        <v>164</v>
      </c>
      <c r="F1" s="164" t="s">
        <v>162</v>
      </c>
      <c r="G1" s="164" t="s">
        <v>160</v>
      </c>
      <c r="H1" s="164" t="s">
        <v>173</v>
      </c>
      <c r="I1" s="164" t="s">
        <v>174</v>
      </c>
      <c r="J1" s="164" t="s">
        <v>168</v>
      </c>
      <c r="K1" s="164" t="s">
        <v>166</v>
      </c>
      <c r="L1" s="164" t="s">
        <v>161</v>
      </c>
      <c r="M1" s="164" t="s">
        <v>171</v>
      </c>
      <c r="N1" s="164" t="s">
        <v>165</v>
      </c>
      <c r="O1" s="164" t="s">
        <v>172</v>
      </c>
      <c r="P1" s="164" t="s">
        <v>169</v>
      </c>
      <c r="Q1"/>
    </row>
    <row r="2" spans="1:17" x14ac:dyDescent="0.25">
      <c r="A2" s="165">
        <v>51.75</v>
      </c>
      <c r="B2" s="165">
        <v>0.36</v>
      </c>
      <c r="C2" s="165">
        <v>17.55</v>
      </c>
      <c r="D2" s="8">
        <v>42690</v>
      </c>
      <c r="E2" s="165">
        <v>0.26</v>
      </c>
      <c r="F2" s="165" t="s">
        <v>629</v>
      </c>
      <c r="G2" s="165">
        <v>239.68</v>
      </c>
      <c r="H2" s="165">
        <v>0</v>
      </c>
      <c r="I2" s="165">
        <v>0</v>
      </c>
      <c r="J2" s="165">
        <v>1010.57</v>
      </c>
      <c r="K2" s="165" t="s">
        <v>630</v>
      </c>
      <c r="L2" s="165">
        <v>51.75</v>
      </c>
      <c r="M2" s="165">
        <v>1479279600</v>
      </c>
      <c r="N2" s="165">
        <v>1.24</v>
      </c>
      <c r="O2" s="165">
        <v>217</v>
      </c>
      <c r="P2" s="165">
        <v>4.75</v>
      </c>
      <c r="Q2"/>
    </row>
    <row r="3" spans="1:17" x14ac:dyDescent="0.25">
      <c r="A3" s="165">
        <v>51.32</v>
      </c>
      <c r="B3" s="165">
        <v>0.44</v>
      </c>
      <c r="C3" s="165">
        <v>17.149999999999999</v>
      </c>
      <c r="D3" s="8">
        <v>42690.041666666664</v>
      </c>
      <c r="E3" s="165">
        <v>0.25</v>
      </c>
      <c r="F3" s="165" t="s">
        <v>629</v>
      </c>
      <c r="G3" s="165">
        <v>240.74</v>
      </c>
      <c r="H3" s="165">
        <v>0</v>
      </c>
      <c r="I3" s="165">
        <v>0</v>
      </c>
      <c r="J3" s="165">
        <v>1010.55</v>
      </c>
      <c r="K3" s="165" t="s">
        <v>630</v>
      </c>
      <c r="L3" s="165">
        <v>51.32</v>
      </c>
      <c r="M3" s="165">
        <v>1479283200</v>
      </c>
      <c r="N3" s="165">
        <v>1.24</v>
      </c>
      <c r="O3" s="165">
        <v>218</v>
      </c>
      <c r="P3" s="165">
        <v>4.74</v>
      </c>
      <c r="Q3"/>
    </row>
    <row r="4" spans="1:17" x14ac:dyDescent="0.25">
      <c r="A4" s="165">
        <v>47.72</v>
      </c>
      <c r="B4" s="165">
        <v>0.48</v>
      </c>
      <c r="C4" s="165">
        <v>15.55</v>
      </c>
      <c r="D4" s="8">
        <v>42690.083333333336</v>
      </c>
      <c r="E4" s="165">
        <v>0.26</v>
      </c>
      <c r="F4" s="165" t="s">
        <v>629</v>
      </c>
      <c r="G4" s="165">
        <v>241.81</v>
      </c>
      <c r="H4" s="165">
        <v>0</v>
      </c>
      <c r="I4" s="165">
        <v>0</v>
      </c>
      <c r="J4" s="165">
        <v>1010.65</v>
      </c>
      <c r="K4" s="165" t="s">
        <v>630</v>
      </c>
      <c r="L4" s="165">
        <v>49.03</v>
      </c>
      <c r="M4" s="165">
        <v>1479286800</v>
      </c>
      <c r="N4" s="165">
        <v>1.24</v>
      </c>
      <c r="O4" s="165">
        <v>232</v>
      </c>
      <c r="P4" s="165">
        <v>4.04</v>
      </c>
      <c r="Q4"/>
    </row>
    <row r="5" spans="1:17" x14ac:dyDescent="0.25">
      <c r="A5" s="165">
        <v>48.29</v>
      </c>
      <c r="B5" s="165">
        <v>0.51</v>
      </c>
      <c r="C5" s="165">
        <v>13.36</v>
      </c>
      <c r="D5" s="8">
        <v>42690.125</v>
      </c>
      <c r="E5" s="165">
        <v>0.23</v>
      </c>
      <c r="F5" s="165" t="s">
        <v>629</v>
      </c>
      <c r="G5" s="165">
        <v>242.5</v>
      </c>
      <c r="H5" s="165">
        <v>0</v>
      </c>
      <c r="I5" s="165">
        <v>0</v>
      </c>
      <c r="J5" s="165">
        <v>1009.5</v>
      </c>
      <c r="K5" s="165" t="s">
        <v>630</v>
      </c>
      <c r="L5" s="165">
        <v>49.14</v>
      </c>
      <c r="M5" s="165">
        <v>1479290400</v>
      </c>
      <c r="N5" s="165">
        <v>1.24</v>
      </c>
      <c r="O5" s="165">
        <v>223</v>
      </c>
      <c r="P5" s="165">
        <v>3.46</v>
      </c>
      <c r="Q5"/>
    </row>
    <row r="6" spans="1:17" x14ac:dyDescent="0.25">
      <c r="A6" s="165">
        <v>50.94</v>
      </c>
      <c r="B6" s="165">
        <v>0.53</v>
      </c>
      <c r="C6" s="165">
        <v>12.91</v>
      </c>
      <c r="D6" s="8">
        <v>42690.166666666664</v>
      </c>
      <c r="E6" s="165">
        <v>0.21</v>
      </c>
      <c r="F6" s="165" t="s">
        <v>629</v>
      </c>
      <c r="G6" s="165">
        <v>243.01</v>
      </c>
      <c r="H6" s="165">
        <v>0</v>
      </c>
      <c r="I6" s="165">
        <v>0</v>
      </c>
      <c r="J6" s="165">
        <v>1008.21</v>
      </c>
      <c r="K6" s="165" t="s">
        <v>630</v>
      </c>
      <c r="L6" s="165">
        <v>50.94</v>
      </c>
      <c r="M6" s="165">
        <v>1479294000</v>
      </c>
      <c r="N6" s="165">
        <v>1.24</v>
      </c>
      <c r="O6" s="165">
        <v>207</v>
      </c>
      <c r="P6" s="165">
        <v>4.22</v>
      </c>
      <c r="Q6"/>
    </row>
    <row r="7" spans="1:17" x14ac:dyDescent="0.25">
      <c r="A7" s="165">
        <v>51.33</v>
      </c>
      <c r="B7" s="165">
        <v>0.59</v>
      </c>
      <c r="C7" s="165">
        <v>12.1</v>
      </c>
      <c r="D7" s="8">
        <v>42690.208333333336</v>
      </c>
      <c r="E7" s="165">
        <v>0.2</v>
      </c>
      <c r="F7" s="165" t="s">
        <v>629</v>
      </c>
      <c r="G7" s="165">
        <v>243.46</v>
      </c>
      <c r="H7" s="165">
        <v>0</v>
      </c>
      <c r="I7" s="165">
        <v>0</v>
      </c>
      <c r="J7" s="165">
        <v>1007.34</v>
      </c>
      <c r="K7" s="165" t="s">
        <v>630</v>
      </c>
      <c r="L7" s="165">
        <v>51.33</v>
      </c>
      <c r="M7" s="165">
        <v>1479297600</v>
      </c>
      <c r="N7" s="165">
        <v>1.24</v>
      </c>
      <c r="O7" s="165">
        <v>194</v>
      </c>
      <c r="P7" s="165">
        <v>4.26</v>
      </c>
      <c r="Q7"/>
    </row>
    <row r="8" spans="1:17" x14ac:dyDescent="0.25">
      <c r="A8" s="165">
        <v>52.29</v>
      </c>
      <c r="B8" s="165">
        <v>0.56000000000000005</v>
      </c>
      <c r="C8" s="165">
        <v>13.73</v>
      </c>
      <c r="D8" s="8">
        <v>42690.25</v>
      </c>
      <c r="E8" s="165">
        <v>0.21</v>
      </c>
      <c r="F8" s="165" t="s">
        <v>629</v>
      </c>
      <c r="G8" s="165">
        <v>243.9</v>
      </c>
      <c r="H8" s="165">
        <v>0</v>
      </c>
      <c r="I8" s="165">
        <v>0</v>
      </c>
      <c r="J8" s="165">
        <v>1006.89</v>
      </c>
      <c r="K8" s="165" t="s">
        <v>630</v>
      </c>
      <c r="L8" s="165">
        <v>52.29</v>
      </c>
      <c r="M8" s="165">
        <v>1479301200</v>
      </c>
      <c r="N8" s="165">
        <v>1.24</v>
      </c>
      <c r="O8" s="165">
        <v>210</v>
      </c>
      <c r="P8" s="165">
        <v>5.07</v>
      </c>
      <c r="Q8"/>
    </row>
    <row r="9" spans="1:17" x14ac:dyDescent="0.25">
      <c r="A9" s="165">
        <v>50.65</v>
      </c>
      <c r="B9" s="165">
        <v>0.6</v>
      </c>
      <c r="C9" s="165">
        <v>14.03</v>
      </c>
      <c r="D9" s="8">
        <v>42690.291666666664</v>
      </c>
      <c r="E9" s="165">
        <v>0.23</v>
      </c>
      <c r="F9" s="165" t="s">
        <v>629</v>
      </c>
      <c r="G9" s="165">
        <v>244.28</v>
      </c>
      <c r="H9" s="165">
        <v>0</v>
      </c>
      <c r="I9" s="165">
        <v>0</v>
      </c>
      <c r="J9" s="165">
        <v>1006.55</v>
      </c>
      <c r="K9" s="165" t="s">
        <v>630</v>
      </c>
      <c r="L9" s="165">
        <v>50.65</v>
      </c>
      <c r="M9" s="165">
        <v>1479304800</v>
      </c>
      <c r="N9" s="165">
        <v>1.24</v>
      </c>
      <c r="O9" s="165">
        <v>215</v>
      </c>
      <c r="P9" s="165">
        <v>4.5999999999999996</v>
      </c>
      <c r="Q9"/>
    </row>
    <row r="10" spans="1:17" x14ac:dyDescent="0.25">
      <c r="A10" s="165">
        <v>51.49</v>
      </c>
      <c r="B10" s="165">
        <v>0.62</v>
      </c>
      <c r="C10" s="165">
        <v>15.22</v>
      </c>
      <c r="D10" s="8">
        <v>42690.333333333336</v>
      </c>
      <c r="E10" s="165">
        <v>0.23</v>
      </c>
      <c r="F10" s="165" t="s">
        <v>629</v>
      </c>
      <c r="G10" s="165">
        <v>244.61</v>
      </c>
      <c r="H10" s="165">
        <v>0</v>
      </c>
      <c r="I10" s="165">
        <v>0</v>
      </c>
      <c r="J10" s="165">
        <v>1005.72</v>
      </c>
      <c r="K10" s="165" t="s">
        <v>630</v>
      </c>
      <c r="L10" s="165">
        <v>51.49</v>
      </c>
      <c r="M10" s="165">
        <v>1479308400</v>
      </c>
      <c r="N10" s="165">
        <v>1.24</v>
      </c>
      <c r="O10" s="165">
        <v>192</v>
      </c>
      <c r="P10" s="165">
        <v>3.78</v>
      </c>
      <c r="Q10"/>
    </row>
    <row r="11" spans="1:17" x14ac:dyDescent="0.25">
      <c r="A11" s="165">
        <v>56.39</v>
      </c>
      <c r="B11" s="165">
        <v>0.63</v>
      </c>
      <c r="C11" s="165">
        <v>17.670000000000002</v>
      </c>
      <c r="D11" s="8">
        <v>42690.375</v>
      </c>
      <c r="E11" s="165">
        <v>0.22</v>
      </c>
      <c r="F11" s="165" t="s">
        <v>629</v>
      </c>
      <c r="G11" s="165">
        <v>244.83</v>
      </c>
      <c r="H11" s="165">
        <v>0</v>
      </c>
      <c r="I11" s="165">
        <v>0</v>
      </c>
      <c r="J11" s="165">
        <v>1003.85</v>
      </c>
      <c r="K11" s="165" t="s">
        <v>630</v>
      </c>
      <c r="L11" s="165">
        <v>56.39</v>
      </c>
      <c r="M11" s="165">
        <v>1479312000</v>
      </c>
      <c r="N11" s="165">
        <v>1.24</v>
      </c>
      <c r="O11" s="165">
        <v>200</v>
      </c>
      <c r="P11" s="165">
        <v>4.7699999999999996</v>
      </c>
      <c r="Q11"/>
    </row>
    <row r="12" spans="1:17" x14ac:dyDescent="0.25">
      <c r="A12" s="165">
        <v>64.13</v>
      </c>
      <c r="B12" s="165">
        <v>0.66</v>
      </c>
      <c r="C12" s="165">
        <v>20.05</v>
      </c>
      <c r="D12" s="8">
        <v>42690.416666666664</v>
      </c>
      <c r="E12" s="165">
        <v>0.18</v>
      </c>
      <c r="F12" s="165" t="s">
        <v>629</v>
      </c>
      <c r="G12" s="165">
        <v>245</v>
      </c>
      <c r="H12" s="165">
        <v>0</v>
      </c>
      <c r="I12" s="165">
        <v>0</v>
      </c>
      <c r="J12" s="165">
        <v>1001.6</v>
      </c>
      <c r="K12" s="165" t="s">
        <v>630</v>
      </c>
      <c r="L12" s="165">
        <v>64.13</v>
      </c>
      <c r="M12" s="165">
        <v>1479315600</v>
      </c>
      <c r="N12" s="165">
        <v>1.24</v>
      </c>
      <c r="O12" s="165">
        <v>205</v>
      </c>
      <c r="P12" s="165">
        <v>4.47</v>
      </c>
      <c r="Q12"/>
    </row>
    <row r="13" spans="1:17" x14ac:dyDescent="0.25">
      <c r="A13" s="165">
        <v>68.489999999999995</v>
      </c>
      <c r="B13" s="165">
        <v>0.69</v>
      </c>
      <c r="C13" s="165">
        <v>20.399999999999999</v>
      </c>
      <c r="D13" s="8">
        <v>42690.458333333336</v>
      </c>
      <c r="E13" s="165">
        <v>0.16</v>
      </c>
      <c r="F13" s="165" t="s">
        <v>285</v>
      </c>
      <c r="G13" s="165">
        <v>245.25</v>
      </c>
      <c r="H13" s="165">
        <v>0</v>
      </c>
      <c r="I13" s="165">
        <v>0</v>
      </c>
      <c r="J13" s="165">
        <v>999.79</v>
      </c>
      <c r="K13" s="165" t="s">
        <v>631</v>
      </c>
      <c r="L13" s="165">
        <v>68.489999999999995</v>
      </c>
      <c r="M13" s="165">
        <v>1479319200</v>
      </c>
      <c r="N13" s="165"/>
      <c r="O13" s="165">
        <v>203</v>
      </c>
      <c r="P13" s="165">
        <v>6.96</v>
      </c>
      <c r="Q13"/>
    </row>
    <row r="14" spans="1:17" x14ac:dyDescent="0.25">
      <c r="A14" s="165">
        <v>71.61</v>
      </c>
      <c r="B14" s="165">
        <v>0.74</v>
      </c>
      <c r="C14" s="165">
        <v>19.440000000000001</v>
      </c>
      <c r="D14" s="8">
        <v>42690.5</v>
      </c>
      <c r="E14" s="165">
        <v>0.14000000000000001</v>
      </c>
      <c r="F14" s="165" t="s">
        <v>629</v>
      </c>
      <c r="G14" s="165">
        <v>245.61</v>
      </c>
      <c r="H14" s="165">
        <v>0</v>
      </c>
      <c r="I14" s="165">
        <v>0</v>
      </c>
      <c r="J14" s="165">
        <v>998.57</v>
      </c>
      <c r="K14" s="165" t="s">
        <v>630</v>
      </c>
      <c r="L14" s="165">
        <v>71.61</v>
      </c>
      <c r="M14" s="165">
        <v>1479322800</v>
      </c>
      <c r="N14" s="165">
        <v>1.24</v>
      </c>
      <c r="O14" s="165">
        <v>213</v>
      </c>
      <c r="P14" s="165">
        <v>6.39</v>
      </c>
      <c r="Q14"/>
    </row>
    <row r="15" spans="1:17" x14ac:dyDescent="0.25">
      <c r="A15" s="165">
        <v>77</v>
      </c>
      <c r="B15" s="165">
        <v>0.81</v>
      </c>
      <c r="C15" s="165">
        <v>20.91</v>
      </c>
      <c r="D15" s="8">
        <v>42690.541666666664</v>
      </c>
      <c r="E15" s="165">
        <v>0.12</v>
      </c>
      <c r="F15" s="165" t="s">
        <v>629</v>
      </c>
      <c r="G15" s="165">
        <v>246.06</v>
      </c>
      <c r="H15" s="165">
        <v>0</v>
      </c>
      <c r="I15" s="165">
        <v>0</v>
      </c>
      <c r="J15" s="165">
        <v>997.69</v>
      </c>
      <c r="K15" s="165" t="s">
        <v>630</v>
      </c>
      <c r="L15" s="165">
        <v>77</v>
      </c>
      <c r="M15" s="165">
        <v>1479326400</v>
      </c>
      <c r="N15" s="165">
        <v>1.24</v>
      </c>
      <c r="O15" s="165">
        <v>231</v>
      </c>
      <c r="P15" s="165">
        <v>4.7300000000000004</v>
      </c>
      <c r="Q15"/>
    </row>
    <row r="16" spans="1:17" x14ac:dyDescent="0.25">
      <c r="A16" s="165">
        <v>76.239999999999995</v>
      </c>
      <c r="B16" s="165">
        <v>0.68</v>
      </c>
      <c r="C16" s="165">
        <v>20.2</v>
      </c>
      <c r="D16" s="8">
        <v>42690.583333333336</v>
      </c>
      <c r="E16" s="165">
        <v>0.12</v>
      </c>
      <c r="F16" s="165" t="s">
        <v>285</v>
      </c>
      <c r="G16" s="165">
        <v>246.71</v>
      </c>
      <c r="H16" s="165">
        <v>0</v>
      </c>
      <c r="I16" s="165">
        <v>0</v>
      </c>
      <c r="J16" s="165">
        <v>997.19</v>
      </c>
      <c r="K16" s="165" t="s">
        <v>631</v>
      </c>
      <c r="L16" s="165">
        <v>76.239999999999995</v>
      </c>
      <c r="M16" s="165">
        <v>1479330000</v>
      </c>
      <c r="N16" s="165">
        <v>2.89</v>
      </c>
      <c r="O16" s="165">
        <v>259</v>
      </c>
      <c r="P16" s="165">
        <v>6.93</v>
      </c>
      <c r="Q16"/>
    </row>
    <row r="17" spans="1:17" x14ac:dyDescent="0.25">
      <c r="A17" s="165">
        <v>73.87</v>
      </c>
      <c r="B17" s="165">
        <v>0.67</v>
      </c>
      <c r="C17" s="165">
        <v>18.579999999999998</v>
      </c>
      <c r="D17" s="8">
        <v>42690.625</v>
      </c>
      <c r="E17" s="165">
        <v>0.12</v>
      </c>
      <c r="F17" s="165" t="s">
        <v>285</v>
      </c>
      <c r="G17" s="165">
        <v>247.72</v>
      </c>
      <c r="H17" s="165">
        <v>0</v>
      </c>
      <c r="I17" s="165">
        <v>0</v>
      </c>
      <c r="J17" s="165">
        <v>997.22</v>
      </c>
      <c r="K17" s="165" t="s">
        <v>631</v>
      </c>
      <c r="L17" s="165">
        <v>73.87</v>
      </c>
      <c r="M17" s="165">
        <v>1479333600</v>
      </c>
      <c r="N17" s="165">
        <v>2.87</v>
      </c>
      <c r="O17" s="165">
        <v>269</v>
      </c>
      <c r="P17" s="165">
        <v>7.72</v>
      </c>
      <c r="Q17"/>
    </row>
    <row r="18" spans="1:17" x14ac:dyDescent="0.25">
      <c r="A18" s="165">
        <v>69.87</v>
      </c>
      <c r="B18" s="165">
        <v>0.68</v>
      </c>
      <c r="C18" s="165">
        <v>15.52</v>
      </c>
      <c r="D18" s="8">
        <v>42690.666666666664</v>
      </c>
      <c r="E18" s="165">
        <v>0.12</v>
      </c>
      <c r="F18" s="165" t="s">
        <v>285</v>
      </c>
      <c r="G18" s="165">
        <v>248.92</v>
      </c>
      <c r="H18" s="165">
        <v>0</v>
      </c>
      <c r="I18" s="165">
        <v>0</v>
      </c>
      <c r="J18" s="165">
        <v>997.72</v>
      </c>
      <c r="K18" s="165" t="s">
        <v>631</v>
      </c>
      <c r="L18" s="165">
        <v>69.87</v>
      </c>
      <c r="M18" s="165">
        <v>1479337200</v>
      </c>
      <c r="N18" s="165">
        <v>5.07</v>
      </c>
      <c r="O18" s="165">
        <v>260</v>
      </c>
      <c r="P18" s="165">
        <v>6.51</v>
      </c>
      <c r="Q18"/>
    </row>
    <row r="19" spans="1:17" x14ac:dyDescent="0.25">
      <c r="A19" s="165">
        <v>66.209999999999994</v>
      </c>
      <c r="B19" s="165">
        <v>0.69</v>
      </c>
      <c r="C19" s="165">
        <v>15.9</v>
      </c>
      <c r="D19" s="8">
        <v>42690.708333333336</v>
      </c>
      <c r="E19" s="165">
        <v>0.14000000000000001</v>
      </c>
      <c r="F19" s="165" t="s">
        <v>632</v>
      </c>
      <c r="G19" s="165">
        <v>250.01</v>
      </c>
      <c r="H19" s="165">
        <v>0</v>
      </c>
      <c r="I19" s="165">
        <v>0</v>
      </c>
      <c r="J19" s="165">
        <v>998.38</v>
      </c>
      <c r="K19" s="165" t="s">
        <v>631</v>
      </c>
      <c r="L19" s="165">
        <v>66.209999999999994</v>
      </c>
      <c r="M19" s="165">
        <v>1479340800</v>
      </c>
      <c r="N19" s="165">
        <v>10</v>
      </c>
      <c r="O19" s="165">
        <v>265</v>
      </c>
      <c r="P19" s="165">
        <v>7.23</v>
      </c>
      <c r="Q19"/>
    </row>
    <row r="20" spans="1:17" x14ac:dyDescent="0.25">
      <c r="A20" s="165">
        <v>65.069999999999993</v>
      </c>
      <c r="B20" s="165">
        <v>0.56999999999999995</v>
      </c>
      <c r="C20" s="165">
        <v>17.66</v>
      </c>
      <c r="D20" s="8">
        <v>42690.75</v>
      </c>
      <c r="E20" s="165">
        <v>0.16</v>
      </c>
      <c r="F20" s="165" t="s">
        <v>632</v>
      </c>
      <c r="G20" s="165">
        <v>250.86</v>
      </c>
      <c r="H20" s="165">
        <v>0</v>
      </c>
      <c r="I20" s="165">
        <v>0</v>
      </c>
      <c r="J20" s="165">
        <v>998.57</v>
      </c>
      <c r="K20" s="165" t="s">
        <v>225</v>
      </c>
      <c r="L20" s="165">
        <v>65.069999999999993</v>
      </c>
      <c r="M20" s="165">
        <v>1479344400</v>
      </c>
      <c r="N20" s="165">
        <v>6.05</v>
      </c>
      <c r="O20" s="165">
        <v>227</v>
      </c>
      <c r="P20" s="165">
        <v>3.71</v>
      </c>
      <c r="Q20"/>
    </row>
    <row r="21" spans="1:17" x14ac:dyDescent="0.25">
      <c r="A21" s="165">
        <v>62.86</v>
      </c>
      <c r="B21" s="165">
        <v>0.5</v>
      </c>
      <c r="C21" s="165">
        <v>17.05</v>
      </c>
      <c r="D21" s="8">
        <v>42690.791666666664</v>
      </c>
      <c r="E21" s="165">
        <v>0.17</v>
      </c>
      <c r="F21" s="165" t="s">
        <v>632</v>
      </c>
      <c r="G21" s="165">
        <v>251.6</v>
      </c>
      <c r="H21" s="165">
        <v>0</v>
      </c>
      <c r="I21" s="165">
        <v>0</v>
      </c>
      <c r="J21" s="165">
        <v>999.13</v>
      </c>
      <c r="K21" s="165" t="s">
        <v>225</v>
      </c>
      <c r="L21" s="165">
        <v>62.86</v>
      </c>
      <c r="M21" s="165">
        <v>1479348000</v>
      </c>
      <c r="N21" s="165">
        <v>7.06</v>
      </c>
      <c r="O21" s="165">
        <v>227</v>
      </c>
      <c r="P21" s="165">
        <v>4.95</v>
      </c>
      <c r="Q21"/>
    </row>
    <row r="22" spans="1:17" x14ac:dyDescent="0.25">
      <c r="A22" s="165">
        <v>60.35</v>
      </c>
      <c r="B22" s="165">
        <v>0.56999999999999995</v>
      </c>
      <c r="C22" s="165">
        <v>17.53</v>
      </c>
      <c r="D22" s="8">
        <v>42690.833333333336</v>
      </c>
      <c r="E22" s="165">
        <v>0.19</v>
      </c>
      <c r="F22" s="165" t="s">
        <v>632</v>
      </c>
      <c r="G22" s="165">
        <v>252.22</v>
      </c>
      <c r="H22" s="165">
        <v>0</v>
      </c>
      <c r="I22" s="165">
        <v>0</v>
      </c>
      <c r="J22" s="165">
        <v>999.85</v>
      </c>
      <c r="K22" s="165" t="s">
        <v>225</v>
      </c>
      <c r="L22" s="165">
        <v>60.35</v>
      </c>
      <c r="M22" s="165">
        <v>1479351600</v>
      </c>
      <c r="N22" s="165">
        <v>7.14</v>
      </c>
      <c r="O22" s="165">
        <v>230</v>
      </c>
      <c r="P22" s="165">
        <v>5.75</v>
      </c>
      <c r="Q22"/>
    </row>
    <row r="23" spans="1:17" x14ac:dyDescent="0.25">
      <c r="A23" s="165">
        <v>58.69</v>
      </c>
      <c r="B23" s="165">
        <v>0.62</v>
      </c>
      <c r="C23" s="165">
        <v>19.87</v>
      </c>
      <c r="D23" s="8">
        <v>42690.875</v>
      </c>
      <c r="E23" s="165">
        <v>0.22</v>
      </c>
      <c r="F23" s="165" t="s">
        <v>632</v>
      </c>
      <c r="G23" s="165">
        <v>252.69</v>
      </c>
      <c r="H23" s="165">
        <v>0</v>
      </c>
      <c r="I23" s="165">
        <v>0</v>
      </c>
      <c r="J23" s="165">
        <v>1000.62</v>
      </c>
      <c r="K23" s="165" t="s">
        <v>631</v>
      </c>
      <c r="L23" s="165">
        <v>58.69</v>
      </c>
      <c r="M23" s="165">
        <v>1479355200</v>
      </c>
      <c r="N23" s="165">
        <v>10</v>
      </c>
      <c r="O23" s="165">
        <v>292</v>
      </c>
      <c r="P23" s="165">
        <v>1.53</v>
      </c>
      <c r="Q23"/>
    </row>
    <row r="24" spans="1:17" x14ac:dyDescent="0.25">
      <c r="A24" s="165">
        <v>52.66</v>
      </c>
      <c r="B24" s="165">
        <v>0.53</v>
      </c>
      <c r="C24" s="165">
        <v>21.81</v>
      </c>
      <c r="D24" s="8">
        <v>42690.916666666664</v>
      </c>
      <c r="E24" s="165">
        <v>0.3</v>
      </c>
      <c r="F24" s="165" t="s">
        <v>632</v>
      </c>
      <c r="G24" s="165">
        <v>253.06</v>
      </c>
      <c r="H24" s="165">
        <v>0</v>
      </c>
      <c r="I24" s="165">
        <v>0</v>
      </c>
      <c r="J24" s="165">
        <v>1001.55</v>
      </c>
      <c r="K24" s="165" t="s">
        <v>225</v>
      </c>
      <c r="L24" s="165">
        <v>52.66</v>
      </c>
      <c r="M24" s="165">
        <v>1479358800</v>
      </c>
      <c r="N24" s="165">
        <v>6.2</v>
      </c>
      <c r="O24" s="165">
        <v>4</v>
      </c>
      <c r="P24" s="165">
        <v>5.41</v>
      </c>
      <c r="Q24"/>
    </row>
    <row r="25" spans="1:17" x14ac:dyDescent="0.25">
      <c r="A25" s="165">
        <v>45.59</v>
      </c>
      <c r="B25" s="165">
        <v>0.48</v>
      </c>
      <c r="C25" s="165">
        <v>24.9</v>
      </c>
      <c r="D25" s="8">
        <v>42690.958333333336</v>
      </c>
      <c r="E25" s="165">
        <v>0.4</v>
      </c>
      <c r="F25" s="165" t="s">
        <v>632</v>
      </c>
      <c r="G25" s="165">
        <v>253.42</v>
      </c>
      <c r="H25" s="165">
        <v>0</v>
      </c>
      <c r="I25" s="165">
        <v>0</v>
      </c>
      <c r="J25" s="165">
        <v>1002.72</v>
      </c>
      <c r="K25" s="165" t="s">
        <v>225</v>
      </c>
      <c r="L25" s="165">
        <v>47.74</v>
      </c>
      <c r="M25" s="165">
        <v>1479362400</v>
      </c>
      <c r="N25" s="165">
        <v>6.73</v>
      </c>
      <c r="O25" s="165">
        <v>8</v>
      </c>
      <c r="P25" s="165">
        <v>4.95</v>
      </c>
      <c r="Q25"/>
    </row>
    <row r="26" spans="1:17" x14ac:dyDescent="0.25">
      <c r="A26" s="165">
        <v>43.84</v>
      </c>
      <c r="B26" s="165">
        <v>0.57999999999999996</v>
      </c>
      <c r="C26" s="165">
        <v>25.68</v>
      </c>
      <c r="D26" s="8">
        <v>42691</v>
      </c>
      <c r="E26" s="165">
        <v>0.45</v>
      </c>
      <c r="F26" s="165" t="s">
        <v>632</v>
      </c>
      <c r="G26" s="165">
        <v>253.82</v>
      </c>
      <c r="H26" s="165">
        <v>0</v>
      </c>
      <c r="I26" s="165">
        <v>0</v>
      </c>
      <c r="J26" s="165">
        <v>1004.17</v>
      </c>
      <c r="K26" s="165" t="s">
        <v>225</v>
      </c>
      <c r="L26" s="165">
        <v>45.72</v>
      </c>
      <c r="M26" s="165">
        <v>1479366000</v>
      </c>
      <c r="N26" s="165">
        <v>7.12</v>
      </c>
      <c r="O26" s="165">
        <v>2</v>
      </c>
      <c r="P26" s="165">
        <v>4.0999999999999996</v>
      </c>
      <c r="Q26"/>
    </row>
    <row r="27" spans="1:17" x14ac:dyDescent="0.25">
      <c r="A27" s="165">
        <v>41.52</v>
      </c>
      <c r="B27" s="165">
        <v>0.78</v>
      </c>
      <c r="C27" s="165">
        <v>26.45</v>
      </c>
      <c r="D27" s="8">
        <v>42691.041666666664</v>
      </c>
      <c r="E27" s="165">
        <v>0.51</v>
      </c>
      <c r="F27" s="165" t="s">
        <v>632</v>
      </c>
      <c r="G27" s="165">
        <v>254.22</v>
      </c>
      <c r="H27" s="165">
        <v>0</v>
      </c>
      <c r="I27" s="165">
        <v>0</v>
      </c>
      <c r="J27" s="165">
        <v>1005.3</v>
      </c>
      <c r="K27" s="165" t="s">
        <v>631</v>
      </c>
      <c r="L27" s="165">
        <v>43.17</v>
      </c>
      <c r="M27" s="165">
        <v>1479369600</v>
      </c>
      <c r="N27" s="165">
        <v>6.81</v>
      </c>
      <c r="O27" s="165">
        <v>9</v>
      </c>
      <c r="P27" s="165">
        <v>3.42</v>
      </c>
      <c r="Q27"/>
    </row>
    <row r="28" spans="1:17" x14ac:dyDescent="0.25">
      <c r="A28" s="165">
        <v>41.3</v>
      </c>
      <c r="B28" s="165">
        <v>0.76</v>
      </c>
      <c r="C28" s="165">
        <v>26.79</v>
      </c>
      <c r="D28" s="8">
        <v>42691.083333333336</v>
      </c>
      <c r="E28" s="165">
        <v>0.56000000000000005</v>
      </c>
      <c r="F28" s="165" t="s">
        <v>632</v>
      </c>
      <c r="G28" s="165">
        <v>254.61</v>
      </c>
      <c r="H28" s="165">
        <v>0</v>
      </c>
      <c r="I28" s="165">
        <v>0</v>
      </c>
      <c r="J28" s="165">
        <v>1006.23</v>
      </c>
      <c r="K28" s="165" t="s">
        <v>631</v>
      </c>
      <c r="L28" s="165">
        <v>41.3</v>
      </c>
      <c r="M28" s="165">
        <v>1479373200</v>
      </c>
      <c r="N28" s="165">
        <v>4.6900000000000004</v>
      </c>
      <c r="O28" s="165">
        <v>54</v>
      </c>
      <c r="P28" s="165">
        <v>2.14</v>
      </c>
      <c r="Q28"/>
    </row>
    <row r="29" spans="1:17" x14ac:dyDescent="0.25">
      <c r="A29" s="165">
        <v>36.35</v>
      </c>
      <c r="B29" s="165">
        <v>0.78</v>
      </c>
      <c r="C29" s="165">
        <v>23.6</v>
      </c>
      <c r="D29" s="8">
        <v>42691.125</v>
      </c>
      <c r="E29" s="165">
        <v>0.59</v>
      </c>
      <c r="F29" s="165" t="s">
        <v>632</v>
      </c>
      <c r="G29" s="165">
        <v>254.82</v>
      </c>
      <c r="H29" s="165">
        <v>0</v>
      </c>
      <c r="I29" s="165">
        <v>0</v>
      </c>
      <c r="J29" s="165">
        <v>1006.38</v>
      </c>
      <c r="K29" s="165" t="s">
        <v>631</v>
      </c>
      <c r="L29" s="165">
        <v>36.35</v>
      </c>
      <c r="M29" s="165">
        <v>1479376800</v>
      </c>
      <c r="N29" s="165">
        <v>7.02</v>
      </c>
      <c r="O29" s="165">
        <v>60</v>
      </c>
      <c r="P29" s="165">
        <v>2.06</v>
      </c>
      <c r="Q29"/>
    </row>
    <row r="30" spans="1:17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7" x14ac:dyDescent="0.25">
      <c r="A31" s="133" t="s">
        <v>210</v>
      </c>
    </row>
    <row r="33" spans="1:1" x14ac:dyDescent="0.25">
      <c r="A33" s="133" t="s">
        <v>191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6"/>
  <sheetViews>
    <sheetView topLeftCell="A7" workbookViewId="0">
      <selection activeCell="C18" sqref="C18:C36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42690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212</v>
      </c>
      <c r="J17" s="33"/>
      <c r="K17" s="34"/>
      <c r="L17" s="34"/>
    </row>
    <row r="18" spans="3:13" x14ac:dyDescent="0.25">
      <c r="C18" t="s">
        <v>787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788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789</v>
      </c>
      <c r="J20" t="s">
        <v>87</v>
      </c>
      <c r="M20" s="68" t="s">
        <v>247</v>
      </c>
    </row>
    <row r="21" spans="3:13" x14ac:dyDescent="0.25">
      <c r="C21" t="s">
        <v>790</v>
      </c>
      <c r="J21" s="21" t="s">
        <v>90</v>
      </c>
      <c r="K21" s="21" t="s">
        <v>91</v>
      </c>
      <c r="M21" s="68" t="s">
        <v>185</v>
      </c>
    </row>
    <row r="22" spans="3:13" x14ac:dyDescent="0.25">
      <c r="C22" t="s">
        <v>791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792</v>
      </c>
      <c r="J23" s="29" t="s">
        <v>95</v>
      </c>
      <c r="K23" s="21"/>
      <c r="M23" s="69">
        <v>-7</v>
      </c>
    </row>
    <row r="24" spans="3:13" x14ac:dyDescent="0.25">
      <c r="C24" t="s">
        <v>793</v>
      </c>
      <c r="J24" s="21" t="s">
        <v>108</v>
      </c>
      <c r="K24" s="21"/>
      <c r="M24" s="68" t="s">
        <v>110</v>
      </c>
    </row>
    <row r="25" spans="3:13" x14ac:dyDescent="0.25">
      <c r="C25" t="s">
        <v>794</v>
      </c>
      <c r="J25" t="s">
        <v>151</v>
      </c>
      <c r="M25" s="68" t="b">
        <v>1</v>
      </c>
    </row>
    <row r="26" spans="3:13" x14ac:dyDescent="0.25">
      <c r="C26" t="s">
        <v>795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C:\Users\stu\Documents\GitHub\eaglep3-reporting\EC\2016-11-16-refined-times.txt</v>
      </c>
    </row>
    <row r="27" spans="3:13" x14ac:dyDescent="0.25">
      <c r="C27" t="s">
        <v>796</v>
      </c>
      <c r="J27" t="s">
        <v>192</v>
      </c>
      <c r="M27" s="68" t="str">
        <f>"C:\Users\stu\Documents\GitHub\eaglep3-reporting\EC\"&amp;TEXT(A2,"YYYY-MM-DD")&amp;"-Enforcements.txt"</f>
        <v>C:\Users\stu\Documents\GitHub\eaglep3-reporting\EC\2016-11-16-Enforcements.txt</v>
      </c>
    </row>
    <row r="28" spans="3:13" x14ac:dyDescent="0.25">
      <c r="C28" t="s">
        <v>797</v>
      </c>
      <c r="J28" t="s">
        <v>193</v>
      </c>
      <c r="M28" s="106" t="str">
        <f>"C:\Users\stu\Documents\GitHub\eaglep3-reporting\EC\"&amp;TEXT(A2,"YYYY-MM-DD")&amp;"-Runs-Refined.txt"</f>
        <v>C:\Users\stu\Documents\GitHub\eaglep3-reporting\EC\2016-11-16-Runs-Refined.txt</v>
      </c>
    </row>
    <row r="29" spans="3:13" x14ac:dyDescent="0.25">
      <c r="C29" t="s">
        <v>798</v>
      </c>
      <c r="J29" t="s">
        <v>194</v>
      </c>
      <c r="M29" s="106" t="str">
        <f>"C:\Users\stu\Documents\GitHub\eaglep3-reporting\EC\"&amp;TEXT(A2,"YYYY-MM-DD")&amp;"-Trips.txt"</f>
        <v>C:\Users\stu\Documents\GitHub\eaglep3-reporting\EC\2016-11-16-Trips.txt</v>
      </c>
    </row>
    <row r="30" spans="3:13" x14ac:dyDescent="0.25">
      <c r="C30" t="s">
        <v>799</v>
      </c>
      <c r="J30" t="s">
        <v>195</v>
      </c>
      <c r="M30" s="106" t="str">
        <f>"C:\Users\stu\Documents\GitHub\eaglep3-reporting\EC\"&amp;TEXT(A2,"YYYY-MM-DD")&amp;"-Weather.txt"</f>
        <v>C:\Users\stu\Documents\GitHub\eaglep3-reporting\EC\2016-11-16-Weather.txt</v>
      </c>
    </row>
    <row r="31" spans="3:13" x14ac:dyDescent="0.25">
      <c r="C31" t="s">
        <v>800</v>
      </c>
    </row>
    <row r="32" spans="3:13" x14ac:dyDescent="0.25">
      <c r="C32" t="s">
        <v>801</v>
      </c>
    </row>
    <row r="33" spans="3:3" x14ac:dyDescent="0.25">
      <c r="C33" t="s">
        <v>802</v>
      </c>
    </row>
    <row r="34" spans="3:3" x14ac:dyDescent="0.25">
      <c r="C34" t="s">
        <v>803</v>
      </c>
    </row>
    <row r="35" spans="3:3" x14ac:dyDescent="0.25">
      <c r="C35" t="s">
        <v>804</v>
      </c>
    </row>
    <row r="36" spans="3:3" x14ac:dyDescent="0.25">
      <c r="C36" t="s">
        <v>805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H31" sqref="H31"/>
    </sheetView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177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178</v>
      </c>
    </row>
    <row r="15" spans="1:11" x14ac:dyDescent="0.25">
      <c r="C15" s="116" t="s">
        <v>230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4"/>
  <sheetViews>
    <sheetView workbookViewId="0">
      <selection activeCell="C6" sqref="C6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850</v>
      </c>
      <c r="B1" t="str">
        <f t="shared" ref="B1:B32" si="0">MID(A1,6,23)</f>
        <v>2016/11/16 11:05:29.500</v>
      </c>
      <c r="C1" t="e">
        <f>ABS(B1-#REF!)</f>
        <v>#REF!</v>
      </c>
    </row>
    <row r="2" spans="1:3" x14ac:dyDescent="0.25">
      <c r="A2" t="s">
        <v>846</v>
      </c>
      <c r="B2" s="21" t="str">
        <f t="shared" si="0"/>
        <v>2016/11/16 11:05:29.861</v>
      </c>
      <c r="C2">
        <f>ABS(B2-B1)</f>
        <v>4.1782404878176749E-6</v>
      </c>
    </row>
    <row r="3" spans="1:3" x14ac:dyDescent="0.25">
      <c r="A3" t="s">
        <v>842</v>
      </c>
      <c r="B3" s="21" t="str">
        <f t="shared" si="0"/>
        <v>2016/11/16 11:05:30.291</v>
      </c>
      <c r="C3" s="21">
        <f t="shared" ref="C3:C66" si="1">ABS(B3-B2)</f>
        <v>4.9768495955504477E-6</v>
      </c>
    </row>
    <row r="4" spans="1:3" x14ac:dyDescent="0.25">
      <c r="A4" t="s">
        <v>851</v>
      </c>
      <c r="B4" s="21" t="str">
        <f t="shared" si="0"/>
        <v>2016/11/16 11:06:03.492</v>
      </c>
      <c r="C4" s="21">
        <f t="shared" si="1"/>
        <v>3.8427083200076595E-4</v>
      </c>
    </row>
    <row r="5" spans="1:3" x14ac:dyDescent="0.25">
      <c r="A5" t="s">
        <v>847</v>
      </c>
      <c r="B5" s="21" t="str">
        <f t="shared" si="0"/>
        <v>2016/11/16 11:06:13.859</v>
      </c>
      <c r="C5" s="21">
        <f t="shared" si="1"/>
        <v>1.1998842819593847E-4</v>
      </c>
    </row>
    <row r="6" spans="1:3" x14ac:dyDescent="0.25">
      <c r="A6" t="s">
        <v>843</v>
      </c>
      <c r="B6" s="21" t="str">
        <f t="shared" si="0"/>
        <v>2016/11/16 11:06:14.291</v>
      </c>
      <c r="C6" s="21">
        <f t="shared" si="1"/>
        <v>5.0000016926787794E-6</v>
      </c>
    </row>
    <row r="7" spans="1:3" x14ac:dyDescent="0.25">
      <c r="A7" t="s">
        <v>852</v>
      </c>
      <c r="B7" s="21" t="str">
        <f t="shared" si="0"/>
        <v>2016/11/16 11:06:48.494</v>
      </c>
      <c r="C7" s="21">
        <f t="shared" si="1"/>
        <v>3.9586805360158905E-4</v>
      </c>
    </row>
    <row r="8" spans="1:3" x14ac:dyDescent="0.25">
      <c r="A8" t="s">
        <v>848</v>
      </c>
      <c r="B8" s="21" t="str">
        <f t="shared" si="0"/>
        <v>2016/11/16 11:06:48.864</v>
      </c>
      <c r="C8" s="21">
        <f t="shared" si="1"/>
        <v>4.2824030970223248E-6</v>
      </c>
    </row>
    <row r="9" spans="1:3" x14ac:dyDescent="0.25">
      <c r="A9" t="s">
        <v>844</v>
      </c>
      <c r="B9" s="21" t="str">
        <f t="shared" si="0"/>
        <v>2016/11/16 11:06:49.288</v>
      </c>
      <c r="C9" s="21">
        <f t="shared" si="1"/>
        <v>4.9074078560806811E-6</v>
      </c>
    </row>
    <row r="10" spans="1:3" x14ac:dyDescent="0.25">
      <c r="A10" t="s">
        <v>909</v>
      </c>
      <c r="B10" s="21" t="str">
        <f t="shared" si="0"/>
        <v>2016/11/16 11:27:28.870</v>
      </c>
      <c r="C10" s="21">
        <f t="shared" si="1"/>
        <v>1.4347013893711846E-2</v>
      </c>
    </row>
    <row r="11" spans="1:3" x14ac:dyDescent="0.25">
      <c r="A11" t="s">
        <v>910</v>
      </c>
      <c r="B11" s="21" t="str">
        <f t="shared" si="0"/>
        <v>2016/11/16 11:27:29.032</v>
      </c>
      <c r="C11" s="21">
        <f t="shared" si="1"/>
        <v>1.8749997252598405E-6</v>
      </c>
    </row>
    <row r="12" spans="1:3" x14ac:dyDescent="0.25">
      <c r="A12" t="s">
        <v>943</v>
      </c>
      <c r="B12" s="21" t="str">
        <f t="shared" si="0"/>
        <v>2016/11/16 12:01:38.780</v>
      </c>
      <c r="C12" s="21">
        <f t="shared" si="1"/>
        <v>2.3723935184534639E-2</v>
      </c>
    </row>
    <row r="13" spans="1:3" x14ac:dyDescent="0.25">
      <c r="A13" t="s">
        <v>949</v>
      </c>
      <c r="B13" s="21" t="str">
        <f t="shared" si="0"/>
        <v>2016/11/16 12:01:38.925</v>
      </c>
      <c r="C13" s="21">
        <f t="shared" si="1"/>
        <v>1.6782432794570923E-6</v>
      </c>
    </row>
    <row r="14" spans="1:3" x14ac:dyDescent="0.25">
      <c r="A14" t="s">
        <v>946</v>
      </c>
      <c r="B14" s="21" t="str">
        <f t="shared" si="0"/>
        <v>2016/11/16 12:01:38.952</v>
      </c>
      <c r="C14" s="21">
        <f t="shared" si="1"/>
        <v>3.1249510357156396E-7</v>
      </c>
    </row>
    <row r="15" spans="1:3" x14ac:dyDescent="0.25">
      <c r="A15" t="s">
        <v>923</v>
      </c>
      <c r="B15" s="21" t="str">
        <f t="shared" si="0"/>
        <v>2016/11/16 12:26:19.827</v>
      </c>
      <c r="C15" s="21">
        <f t="shared" si="1"/>
        <v>1.7139756942924578E-2</v>
      </c>
    </row>
    <row r="16" spans="1:3" x14ac:dyDescent="0.25">
      <c r="A16" t="s">
        <v>925</v>
      </c>
      <c r="B16" s="21" t="str">
        <f t="shared" si="0"/>
        <v>2016/11/16 12:26:20.709</v>
      </c>
      <c r="C16" s="21">
        <f t="shared" si="1"/>
        <v>1.0208335879724473E-5</v>
      </c>
    </row>
    <row r="17" spans="1:3" x14ac:dyDescent="0.25">
      <c r="A17" t="s">
        <v>921</v>
      </c>
      <c r="B17" s="21" t="str">
        <f t="shared" si="0"/>
        <v>2016/11/16 12:26:21.057</v>
      </c>
      <c r="C17" s="21">
        <f t="shared" si="1"/>
        <v>4.0277809603139758E-6</v>
      </c>
    </row>
    <row r="18" spans="1:3" x14ac:dyDescent="0.25">
      <c r="A18" t="s">
        <v>849</v>
      </c>
      <c r="B18" s="21" t="str">
        <f t="shared" si="0"/>
        <v>2016/11/16 12:43:55.873</v>
      </c>
      <c r="C18" s="21">
        <f t="shared" si="1"/>
        <v>1.2208518513944E-2</v>
      </c>
    </row>
    <row r="19" spans="1:3" x14ac:dyDescent="0.25">
      <c r="A19" t="s">
        <v>853</v>
      </c>
      <c r="B19" s="21" t="str">
        <f t="shared" si="0"/>
        <v>2016/11/16 12:43:56.521</v>
      </c>
      <c r="C19" s="21">
        <f t="shared" si="1"/>
        <v>7.499998901039362E-6</v>
      </c>
    </row>
    <row r="20" spans="1:3" x14ac:dyDescent="0.25">
      <c r="A20" t="s">
        <v>845</v>
      </c>
      <c r="B20" s="21" t="str">
        <f t="shared" si="0"/>
        <v>2016/11/16 12:43:57.284</v>
      </c>
      <c r="C20" s="21">
        <f t="shared" si="1"/>
        <v>8.8310189312323928E-6</v>
      </c>
    </row>
    <row r="21" spans="1:3" x14ac:dyDescent="0.25">
      <c r="A21" t="s">
        <v>830</v>
      </c>
      <c r="B21" s="21" t="str">
        <f t="shared" si="0"/>
        <v>2016/11/16 12:52:05.530</v>
      </c>
      <c r="C21" s="21">
        <f t="shared" si="1"/>
        <v>5.6509953719796613E-3</v>
      </c>
    </row>
    <row r="22" spans="1:3" x14ac:dyDescent="0.25">
      <c r="A22" t="s">
        <v>828</v>
      </c>
      <c r="B22" s="21" t="str">
        <f t="shared" si="0"/>
        <v>2016/11/16 12:52:05.623</v>
      </c>
      <c r="C22" s="21">
        <f t="shared" si="1"/>
        <v>1.0763906175270677E-6</v>
      </c>
    </row>
    <row r="23" spans="1:3" x14ac:dyDescent="0.25">
      <c r="A23" t="s">
        <v>826</v>
      </c>
      <c r="B23" s="21" t="str">
        <f t="shared" si="0"/>
        <v>2016/11/16 12:52:06.118</v>
      </c>
      <c r="C23" s="21">
        <f t="shared" si="1"/>
        <v>5.7291690609417856E-6</v>
      </c>
    </row>
    <row r="24" spans="1:3" x14ac:dyDescent="0.25">
      <c r="A24" t="s">
        <v>854</v>
      </c>
      <c r="B24" s="21" t="str">
        <f t="shared" si="0"/>
        <v>2016/11/16 13:33:18.104</v>
      </c>
      <c r="C24" s="21">
        <f t="shared" si="1"/>
        <v>2.8610949069843628E-2</v>
      </c>
    </row>
    <row r="25" spans="1:3" x14ac:dyDescent="0.25">
      <c r="A25" t="s">
        <v>831</v>
      </c>
      <c r="B25" s="21" t="str">
        <f t="shared" si="0"/>
        <v>2016/11/16 14:14:24.553</v>
      </c>
      <c r="C25" s="21">
        <f t="shared" si="1"/>
        <v>2.8546863424708135E-2</v>
      </c>
    </row>
    <row r="26" spans="1:3" x14ac:dyDescent="0.25">
      <c r="A26" t="s">
        <v>829</v>
      </c>
      <c r="B26" s="21" t="str">
        <f t="shared" si="0"/>
        <v>2016/11/16 14:14:24.631</v>
      </c>
      <c r="C26" s="21">
        <f t="shared" si="1"/>
        <v>9.0277899289503694E-7</v>
      </c>
    </row>
    <row r="27" spans="1:3" x14ac:dyDescent="0.25">
      <c r="A27" t="s">
        <v>827</v>
      </c>
      <c r="B27" s="21" t="str">
        <f t="shared" si="0"/>
        <v>2016/11/16 14:14:25.127</v>
      </c>
      <c r="C27" s="21">
        <f t="shared" si="1"/>
        <v>5.7407451095059514E-6</v>
      </c>
    </row>
    <row r="28" spans="1:3" x14ac:dyDescent="0.25">
      <c r="A28" t="s">
        <v>922</v>
      </c>
      <c r="B28" s="21" t="str">
        <f t="shared" si="0"/>
        <v>2016/11/16 14:17:25.083</v>
      </c>
      <c r="C28" s="21">
        <f t="shared" si="1"/>
        <v>2.0828240740229376E-3</v>
      </c>
    </row>
    <row r="29" spans="1:3" x14ac:dyDescent="0.25">
      <c r="A29" t="s">
        <v>926</v>
      </c>
      <c r="B29" s="21" t="str">
        <f t="shared" si="0"/>
        <v>2016/11/16 14:17:25.237</v>
      </c>
      <c r="C29" s="21">
        <f t="shared" si="1"/>
        <v>1.7824058886617422E-6</v>
      </c>
    </row>
    <row r="30" spans="1:3" x14ac:dyDescent="0.25">
      <c r="A30" t="s">
        <v>924</v>
      </c>
      <c r="B30" s="21" t="str">
        <f t="shared" si="0"/>
        <v>2016/11/16 14:17:25.848</v>
      </c>
      <c r="C30" s="21">
        <f t="shared" si="1"/>
        <v>7.0717578637413681E-6</v>
      </c>
    </row>
    <row r="31" spans="1:3" x14ac:dyDescent="0.25">
      <c r="A31" t="s">
        <v>859</v>
      </c>
      <c r="B31" s="21" t="str">
        <f t="shared" si="0"/>
        <v>2016/11/16 14:27:32.464</v>
      </c>
      <c r="C31" s="21">
        <f t="shared" si="1"/>
        <v>7.0210185149335302E-3</v>
      </c>
    </row>
    <row r="32" spans="1:3" x14ac:dyDescent="0.25">
      <c r="A32" t="s">
        <v>855</v>
      </c>
      <c r="B32" s="21" t="str">
        <f t="shared" si="0"/>
        <v>2016/11/16 14:27:32.504</v>
      </c>
      <c r="C32" s="21">
        <f t="shared" si="1"/>
        <v>4.6296918299049139E-7</v>
      </c>
    </row>
    <row r="33" spans="1:3" x14ac:dyDescent="0.25">
      <c r="A33" t="s">
        <v>857</v>
      </c>
      <c r="B33" s="21" t="str">
        <f t="shared" ref="B33:B64" si="2">MID(A33,6,23)</f>
        <v>2016/11/16 14:27:32.790</v>
      </c>
      <c r="C33" s="21">
        <f t="shared" si="1"/>
        <v>3.3101823646575212E-6</v>
      </c>
    </row>
    <row r="34" spans="1:3" x14ac:dyDescent="0.25">
      <c r="A34" t="s">
        <v>944</v>
      </c>
      <c r="B34" s="21" t="str">
        <f t="shared" si="2"/>
        <v>2016/11/16 15:00:32.768</v>
      </c>
      <c r="C34" s="21">
        <f t="shared" si="1"/>
        <v>2.2916412039194256E-2</v>
      </c>
    </row>
    <row r="35" spans="1:3" x14ac:dyDescent="0.25">
      <c r="A35" t="s">
        <v>950</v>
      </c>
      <c r="B35" s="21" t="str">
        <f t="shared" si="2"/>
        <v>2016/11/16 15:00:32.910</v>
      </c>
      <c r="C35" s="21">
        <f t="shared" si="1"/>
        <v>1.6435151337645948E-6</v>
      </c>
    </row>
    <row r="36" spans="1:3" x14ac:dyDescent="0.25">
      <c r="A36" t="s">
        <v>947</v>
      </c>
      <c r="B36" s="21" t="str">
        <f t="shared" si="2"/>
        <v>2016/11/16 15:00:32.945</v>
      </c>
      <c r="C36" s="21">
        <f t="shared" si="1"/>
        <v>4.0509621612727642E-7</v>
      </c>
    </row>
    <row r="37" spans="1:3" x14ac:dyDescent="0.25">
      <c r="A37" t="s">
        <v>945</v>
      </c>
      <c r="B37" s="21" t="str">
        <f t="shared" si="2"/>
        <v>2016/11/16 15:40:03.762</v>
      </c>
      <c r="C37" s="21">
        <f t="shared" si="1"/>
        <v>2.7440011574071832E-2</v>
      </c>
    </row>
    <row r="38" spans="1:3" x14ac:dyDescent="0.25">
      <c r="A38" t="s">
        <v>951</v>
      </c>
      <c r="B38" s="21" t="str">
        <f t="shared" si="2"/>
        <v>2016/11/16 15:40:03.908</v>
      </c>
      <c r="C38" s="21">
        <f t="shared" si="1"/>
        <v>1.6898120520636439E-6</v>
      </c>
    </row>
    <row r="39" spans="1:3" x14ac:dyDescent="0.25">
      <c r="A39" t="s">
        <v>948</v>
      </c>
      <c r="B39" s="21" t="str">
        <f t="shared" si="2"/>
        <v>2016/11/16 15:40:03.936</v>
      </c>
      <c r="C39" s="21">
        <f t="shared" si="1"/>
        <v>3.2407115213572979E-7</v>
      </c>
    </row>
    <row r="40" spans="1:3" x14ac:dyDescent="0.25">
      <c r="A40" t="s">
        <v>898</v>
      </c>
      <c r="B40" s="21" t="str">
        <f t="shared" si="2"/>
        <v>2016/11/16 15:41:12.408</v>
      </c>
      <c r="C40" s="21">
        <f t="shared" si="1"/>
        <v>7.9250000271713361E-4</v>
      </c>
    </row>
    <row r="41" spans="1:3" x14ac:dyDescent="0.25">
      <c r="A41" t="s">
        <v>894</v>
      </c>
      <c r="B41" s="21" t="str">
        <f t="shared" si="2"/>
        <v>2016/11/16 15:41:13.523</v>
      </c>
      <c r="C41" s="21">
        <f t="shared" si="1"/>
        <v>1.2905089533887804E-5</v>
      </c>
    </row>
    <row r="42" spans="1:3" x14ac:dyDescent="0.25">
      <c r="A42" t="s">
        <v>896</v>
      </c>
      <c r="B42" s="21" t="str">
        <f t="shared" si="2"/>
        <v>2016/11/16 15:41:14.223</v>
      </c>
      <c r="C42" s="21">
        <f t="shared" si="1"/>
        <v>8.1018588389270008E-6</v>
      </c>
    </row>
    <row r="43" spans="1:3" x14ac:dyDescent="0.25">
      <c r="A43" t="s">
        <v>878</v>
      </c>
      <c r="B43" s="21" t="str">
        <f t="shared" si="2"/>
        <v>2016/11/16 15:47:31.325</v>
      </c>
      <c r="C43" s="21">
        <f t="shared" si="1"/>
        <v>4.3646064805216156E-3</v>
      </c>
    </row>
    <row r="44" spans="1:3" x14ac:dyDescent="0.25">
      <c r="A44" t="s">
        <v>882</v>
      </c>
      <c r="B44" s="21" t="str">
        <f t="shared" si="2"/>
        <v>2016/11/16 15:47:31.350</v>
      </c>
      <c r="C44" s="21">
        <f t="shared" si="1"/>
        <v>2.8935028240084648E-7</v>
      </c>
    </row>
    <row r="45" spans="1:3" x14ac:dyDescent="0.25">
      <c r="A45" t="s">
        <v>875</v>
      </c>
      <c r="B45" s="21" t="str">
        <f t="shared" si="2"/>
        <v>2016/11/16 15:47:31.937</v>
      </c>
      <c r="C45" s="21">
        <f t="shared" si="1"/>
        <v>6.7939836299046874E-6</v>
      </c>
    </row>
    <row r="46" spans="1:3" x14ac:dyDescent="0.25">
      <c r="A46" t="s">
        <v>913</v>
      </c>
      <c r="B46" s="21" t="str">
        <f t="shared" si="2"/>
        <v>2016/11/16 16:02:37.633</v>
      </c>
      <c r="C46" s="21">
        <f t="shared" si="1"/>
        <v>1.0482592588232365E-2</v>
      </c>
    </row>
    <row r="47" spans="1:3" x14ac:dyDescent="0.25">
      <c r="A47" t="s">
        <v>915</v>
      </c>
      <c r="B47" s="21" t="str">
        <f t="shared" si="2"/>
        <v>2016/11/16 16:02:38.554</v>
      </c>
      <c r="C47" s="21">
        <f t="shared" si="1"/>
        <v>1.0659721738193184E-5</v>
      </c>
    </row>
    <row r="48" spans="1:3" x14ac:dyDescent="0.25">
      <c r="A48" t="s">
        <v>837</v>
      </c>
      <c r="B48" s="21" t="str">
        <f t="shared" si="2"/>
        <v>2016/11/16 16:04:09.548</v>
      </c>
      <c r="C48" s="21">
        <f t="shared" si="1"/>
        <v>1.0531712978263386E-3</v>
      </c>
    </row>
    <row r="49" spans="1:3" x14ac:dyDescent="0.25">
      <c r="A49" t="s">
        <v>838</v>
      </c>
      <c r="B49" s="21" t="str">
        <f t="shared" si="2"/>
        <v>2016/11/16 16:04:10.237</v>
      </c>
      <c r="C49" s="21">
        <f t="shared" si="1"/>
        <v>7.974536856636405E-6</v>
      </c>
    </row>
    <row r="50" spans="1:3" x14ac:dyDescent="0.25">
      <c r="A50" t="s">
        <v>836</v>
      </c>
      <c r="B50" s="21" t="str">
        <f t="shared" si="2"/>
        <v>2016/11/16 16:04:10.357</v>
      </c>
      <c r="C50" s="21">
        <f t="shared" si="1"/>
        <v>1.3888857210986316E-6</v>
      </c>
    </row>
    <row r="51" spans="1:3" x14ac:dyDescent="0.25">
      <c r="A51" t="s">
        <v>905</v>
      </c>
      <c r="B51" s="21" t="str">
        <f t="shared" si="2"/>
        <v>2016/11/16 16:33:33.503</v>
      </c>
      <c r="C51" s="21">
        <f t="shared" si="1"/>
        <v>2.0406782408826984E-2</v>
      </c>
    </row>
    <row r="52" spans="1:3" x14ac:dyDescent="0.25">
      <c r="A52" t="s">
        <v>908</v>
      </c>
      <c r="B52" s="21" t="str">
        <f t="shared" si="2"/>
        <v>2016/11/16 16:33:34.129</v>
      </c>
      <c r="C52" s="21">
        <f t="shared" si="1"/>
        <v>7.2453694883733988E-6</v>
      </c>
    </row>
    <row r="53" spans="1:3" x14ac:dyDescent="0.25">
      <c r="A53" t="s">
        <v>906</v>
      </c>
      <c r="B53" s="21" t="str">
        <f t="shared" si="2"/>
        <v>2016/11/16 16:33:34.309</v>
      </c>
      <c r="C53" s="21">
        <f t="shared" si="1"/>
        <v>2.0833394955843687E-6</v>
      </c>
    </row>
    <row r="54" spans="1:3" x14ac:dyDescent="0.25">
      <c r="A54" t="s">
        <v>860</v>
      </c>
      <c r="B54" s="21" t="str">
        <f t="shared" si="2"/>
        <v>2016/11/16 16:51:07.465</v>
      </c>
      <c r="C54" s="21">
        <f t="shared" si="1"/>
        <v>1.2189305554784369E-2</v>
      </c>
    </row>
    <row r="55" spans="1:3" x14ac:dyDescent="0.25">
      <c r="A55" t="s">
        <v>856</v>
      </c>
      <c r="B55" s="21" t="str">
        <f t="shared" si="2"/>
        <v>2016/11/16 16:51:07.501</v>
      </c>
      <c r="C55" s="21">
        <f t="shared" si="1"/>
        <v>4.1666498873382807E-7</v>
      </c>
    </row>
    <row r="56" spans="1:3" x14ac:dyDescent="0.25">
      <c r="A56" t="s">
        <v>858</v>
      </c>
      <c r="B56" s="21" t="str">
        <f t="shared" si="2"/>
        <v>2016/11/16 16:51:07.781</v>
      </c>
      <c r="C56" s="21">
        <f t="shared" si="1"/>
        <v>3.2407406251877546E-6</v>
      </c>
    </row>
    <row r="57" spans="1:3" x14ac:dyDescent="0.25">
      <c r="A57" t="s">
        <v>897</v>
      </c>
      <c r="B57" s="21" t="str">
        <f t="shared" si="2"/>
        <v>2016/11/16 17:26:42.215</v>
      </c>
      <c r="C57" s="21">
        <f t="shared" si="1"/>
        <v>2.4704097224457655E-2</v>
      </c>
    </row>
    <row r="58" spans="1:3" x14ac:dyDescent="0.25">
      <c r="A58" t="s">
        <v>895</v>
      </c>
      <c r="B58" s="21" t="str">
        <f t="shared" si="2"/>
        <v>2016/11/16 17:26:42.501</v>
      </c>
      <c r="C58" s="21">
        <f t="shared" si="1"/>
        <v>3.3101823646575212E-6</v>
      </c>
    </row>
    <row r="59" spans="1:3" x14ac:dyDescent="0.25">
      <c r="A59" t="s">
        <v>876</v>
      </c>
      <c r="B59" s="21" t="str">
        <f t="shared" si="2"/>
        <v>2016/11/16 17:54:10.933</v>
      </c>
      <c r="C59" s="21">
        <f t="shared" si="1"/>
        <v>1.9079074074397795E-2</v>
      </c>
    </row>
    <row r="60" spans="1:3" x14ac:dyDescent="0.25">
      <c r="A60" t="s">
        <v>879</v>
      </c>
      <c r="B60" s="21" t="str">
        <f t="shared" si="2"/>
        <v>2016/11/16 17:54:11.312</v>
      </c>
      <c r="C60" s="21">
        <f t="shared" si="1"/>
        <v>4.3865729821845889E-6</v>
      </c>
    </row>
    <row r="61" spans="1:3" x14ac:dyDescent="0.25">
      <c r="A61" t="s">
        <v>883</v>
      </c>
      <c r="B61" s="21" t="str">
        <f t="shared" si="2"/>
        <v>2016/11/16 17:54:11.335</v>
      </c>
      <c r="C61" s="21">
        <f t="shared" si="1"/>
        <v>2.66205461230129E-7</v>
      </c>
    </row>
    <row r="62" spans="1:3" x14ac:dyDescent="0.25">
      <c r="A62" t="s">
        <v>916</v>
      </c>
      <c r="B62" s="21" t="str">
        <f t="shared" si="2"/>
        <v>2016/11/16 18:05:33.538</v>
      </c>
      <c r="C62" s="21">
        <f t="shared" si="1"/>
        <v>7.8958680533105507E-3</v>
      </c>
    </row>
    <row r="63" spans="1:3" x14ac:dyDescent="0.25">
      <c r="A63" t="s">
        <v>914</v>
      </c>
      <c r="B63" s="21" t="str">
        <f t="shared" si="2"/>
        <v>2016/11/16 18:05:33.618</v>
      </c>
      <c r="C63" s="21">
        <f t="shared" si="1"/>
        <v>9.2592381406575441E-7</v>
      </c>
    </row>
    <row r="64" spans="1:3" x14ac:dyDescent="0.25">
      <c r="A64" t="s">
        <v>833</v>
      </c>
      <c r="B64" s="21" t="str">
        <f t="shared" si="2"/>
        <v>2016/11/16 18:24:46.841</v>
      </c>
      <c r="C64" s="21">
        <f t="shared" si="1"/>
        <v>1.3347488427825738E-2</v>
      </c>
    </row>
    <row r="65" spans="1:3" x14ac:dyDescent="0.25">
      <c r="A65" t="s">
        <v>832</v>
      </c>
      <c r="B65" s="21" t="str">
        <f t="shared" ref="B65:B96" si="3">MID(A65,6,23)</f>
        <v>2016/11/16 18:24:46.939</v>
      </c>
      <c r="C65" s="21">
        <f t="shared" si="1"/>
        <v>1.1342635843902826E-6</v>
      </c>
    </row>
    <row r="66" spans="1:3" x14ac:dyDescent="0.25">
      <c r="A66" t="s">
        <v>907</v>
      </c>
      <c r="B66" s="21" t="str">
        <f t="shared" si="3"/>
        <v>2016/11/16 18:44:42.299</v>
      </c>
      <c r="C66" s="21">
        <f t="shared" si="1"/>
        <v>1.3835185185598675E-2</v>
      </c>
    </row>
    <row r="67" spans="1:3" x14ac:dyDescent="0.25">
      <c r="A67" t="s">
        <v>880</v>
      </c>
      <c r="B67" s="21" t="str">
        <f t="shared" si="3"/>
        <v>2016/11/16 18:54:35.309</v>
      </c>
      <c r="C67" s="21">
        <f t="shared" ref="C67:C130" si="4">ABS(B67-B66)</f>
        <v>6.8635416610050015E-3</v>
      </c>
    </row>
    <row r="68" spans="1:3" x14ac:dyDescent="0.25">
      <c r="A68" t="s">
        <v>881</v>
      </c>
      <c r="B68" s="21" t="str">
        <f t="shared" si="3"/>
        <v>2016/11/16 19:47:04.333</v>
      </c>
      <c r="C68" s="21">
        <f t="shared" si="4"/>
        <v>3.6447037040488794E-2</v>
      </c>
    </row>
    <row r="69" spans="1:3" x14ac:dyDescent="0.25">
      <c r="A69" t="s">
        <v>884</v>
      </c>
      <c r="B69" s="21" t="str">
        <f t="shared" si="3"/>
        <v>2016/11/16 19:47:04.365</v>
      </c>
      <c r="C69" s="21">
        <f t="shared" si="4"/>
        <v>3.7036807043477893E-7</v>
      </c>
    </row>
    <row r="70" spans="1:3" x14ac:dyDescent="0.25">
      <c r="A70" t="s">
        <v>877</v>
      </c>
      <c r="B70" s="21" t="str">
        <f t="shared" si="3"/>
        <v>2016/11/16 19:47:04.960</v>
      </c>
      <c r="C70" s="21">
        <f t="shared" si="4"/>
        <v>6.8865774665027857E-6</v>
      </c>
    </row>
    <row r="71" spans="1:3" x14ac:dyDescent="0.25">
      <c r="A71" t="s">
        <v>885</v>
      </c>
      <c r="B71" s="21" t="str">
        <f t="shared" si="3"/>
        <v>2016/11/16 20:47:52.940</v>
      </c>
      <c r="C71" s="21">
        <f t="shared" si="4"/>
        <v>4.2221990741381887E-2</v>
      </c>
    </row>
    <row r="72" spans="1:3" x14ac:dyDescent="0.25">
      <c r="A72" t="s">
        <v>886</v>
      </c>
      <c r="B72" s="21" t="str">
        <f t="shared" si="3"/>
        <v>2016/11/16 20:47:53.319</v>
      </c>
      <c r="C72" s="21">
        <f t="shared" si="4"/>
        <v>4.3865729821845889E-6</v>
      </c>
    </row>
    <row r="73" spans="1:3" x14ac:dyDescent="0.25">
      <c r="A73" t="s">
        <v>887</v>
      </c>
      <c r="B73" s="21" t="str">
        <f t="shared" si="3"/>
        <v>2016/11/16 20:47:53.339</v>
      </c>
      <c r="C73" s="21">
        <f t="shared" si="4"/>
        <v>2.3147731553763151E-7</v>
      </c>
    </row>
    <row r="74" spans="1:3" x14ac:dyDescent="0.25">
      <c r="A74" t="s">
        <v>865</v>
      </c>
      <c r="B74" s="21" t="str">
        <f t="shared" si="3"/>
        <v>2016/11/16 22:03:12.451</v>
      </c>
      <c r="C74" s="21">
        <f t="shared" si="4"/>
        <v>5.2304537042800803E-2</v>
      </c>
    </row>
    <row r="75" spans="1:3" x14ac:dyDescent="0.25">
      <c r="A75" t="s">
        <v>861</v>
      </c>
      <c r="B75" s="21" t="str">
        <f t="shared" si="3"/>
        <v>2016/11/16 22:03:12.500</v>
      </c>
      <c r="C75" s="21">
        <f t="shared" si="4"/>
        <v>5.6712451623752713E-7</v>
      </c>
    </row>
    <row r="76" spans="1:3" x14ac:dyDescent="0.25">
      <c r="A76" t="s">
        <v>863</v>
      </c>
      <c r="B76" s="21" t="str">
        <f t="shared" si="3"/>
        <v>2016/11/16 22:03:12.782</v>
      </c>
      <c r="C76" s="21">
        <f t="shared" si="4"/>
        <v>3.2638927223160863E-6</v>
      </c>
    </row>
    <row r="77" spans="1:3" x14ac:dyDescent="0.25">
      <c r="A77" t="s">
        <v>867</v>
      </c>
      <c r="B77" s="21" t="str">
        <f t="shared" si="3"/>
        <v>2016/11/16 22:26:52.863</v>
      </c>
      <c r="C77" s="21">
        <f t="shared" si="4"/>
        <v>1.6436122685263399E-2</v>
      </c>
    </row>
    <row r="78" spans="1:3" x14ac:dyDescent="0.25">
      <c r="A78" t="s">
        <v>868</v>
      </c>
      <c r="B78" s="21" t="str">
        <f t="shared" si="3"/>
        <v>2016/11/16 22:26:53.399</v>
      </c>
      <c r="C78" s="21">
        <f t="shared" si="4"/>
        <v>6.2036997405812144E-6</v>
      </c>
    </row>
    <row r="79" spans="1:3" x14ac:dyDescent="0.25">
      <c r="A79" t="s">
        <v>869</v>
      </c>
      <c r="B79" s="21" t="str">
        <f t="shared" si="3"/>
        <v>2016/11/16 22:26:53.762</v>
      </c>
      <c r="C79" s="21">
        <f t="shared" si="4"/>
        <v>4.2013925849460065E-6</v>
      </c>
    </row>
    <row r="80" spans="1:3" x14ac:dyDescent="0.25">
      <c r="A80" t="s">
        <v>820</v>
      </c>
      <c r="B80" s="21" t="str">
        <f t="shared" si="3"/>
        <v>2016/11/16 22:32:24.485</v>
      </c>
      <c r="C80" s="21">
        <f t="shared" si="4"/>
        <v>3.8278124993667006E-3</v>
      </c>
    </row>
    <row r="81" spans="1:3" x14ac:dyDescent="0.25">
      <c r="A81" t="s">
        <v>822</v>
      </c>
      <c r="B81" s="21" t="str">
        <f t="shared" si="3"/>
        <v>2016/11/16 22:32:24.520</v>
      </c>
      <c r="C81" s="21">
        <f t="shared" si="4"/>
        <v>4.0508894016966224E-7</v>
      </c>
    </row>
    <row r="82" spans="1:3" x14ac:dyDescent="0.25">
      <c r="A82" t="s">
        <v>821</v>
      </c>
      <c r="B82" s="21" t="str">
        <f t="shared" si="3"/>
        <v>2016/11/16 22:32:24.740</v>
      </c>
      <c r="C82" s="21">
        <f t="shared" si="4"/>
        <v>2.5463014026172459E-6</v>
      </c>
    </row>
    <row r="83" spans="1:3" x14ac:dyDescent="0.25">
      <c r="A83" t="s">
        <v>927</v>
      </c>
      <c r="B83" s="21" t="str">
        <f t="shared" si="3"/>
        <v>2016/11/16 22:33:11.072</v>
      </c>
      <c r="C83" s="21">
        <f t="shared" si="4"/>
        <v>5.3624999418389052E-4</v>
      </c>
    </row>
    <row r="84" spans="1:3" x14ac:dyDescent="0.25">
      <c r="A84" t="s">
        <v>928</v>
      </c>
      <c r="B84" s="21" t="str">
        <f t="shared" si="3"/>
        <v>2016/11/16 22:33:11.079</v>
      </c>
      <c r="C84" s="21">
        <f t="shared" si="4"/>
        <v>8.1025063991546631E-8</v>
      </c>
    </row>
    <row r="85" spans="1:3" x14ac:dyDescent="0.25">
      <c r="A85" t="s">
        <v>936</v>
      </c>
      <c r="B85" s="21" t="str">
        <f t="shared" si="3"/>
        <v>2016/11/16 22:33:11.239</v>
      </c>
      <c r="C85" s="21">
        <f t="shared" si="4"/>
        <v>1.8518476281315088E-6</v>
      </c>
    </row>
    <row r="86" spans="1:3" x14ac:dyDescent="0.25">
      <c r="A86" t="s">
        <v>937</v>
      </c>
      <c r="B86" s="21" t="str">
        <f t="shared" si="3"/>
        <v>2016/11/16 22:33:11.246</v>
      </c>
      <c r="C86" s="21">
        <f t="shared" si="4"/>
        <v>8.1017788033932447E-8</v>
      </c>
    </row>
    <row r="87" spans="1:3" x14ac:dyDescent="0.25">
      <c r="A87" t="s">
        <v>932</v>
      </c>
      <c r="B87" s="21" t="str">
        <f t="shared" si="3"/>
        <v>2016/11/16 22:33:11.836</v>
      </c>
      <c r="C87" s="21">
        <f t="shared" si="4"/>
        <v>6.8287044996395707E-6</v>
      </c>
    </row>
    <row r="88" spans="1:3" x14ac:dyDescent="0.25">
      <c r="A88" t="s">
        <v>933</v>
      </c>
      <c r="B88" s="21" t="str">
        <f t="shared" si="3"/>
        <v>2016/11/16 22:33:11.843</v>
      </c>
      <c r="C88" s="21">
        <f t="shared" si="4"/>
        <v>8.1017788033932447E-8</v>
      </c>
    </row>
    <row r="89" spans="1:3" x14ac:dyDescent="0.25">
      <c r="A89" t="s">
        <v>911</v>
      </c>
      <c r="B89" s="21" t="str">
        <f t="shared" si="3"/>
        <v>2016/11/16 22:34:20.857</v>
      </c>
      <c r="C89" s="21">
        <f t="shared" si="4"/>
        <v>7.9877315147314221E-4</v>
      </c>
    </row>
    <row r="90" spans="1:3" x14ac:dyDescent="0.25">
      <c r="A90" t="s">
        <v>912</v>
      </c>
      <c r="B90" s="21" t="str">
        <f t="shared" si="3"/>
        <v>2016/11/16 22:34:21.024</v>
      </c>
      <c r="C90" s="21">
        <f t="shared" si="4"/>
        <v>1.9328654161654413E-6</v>
      </c>
    </row>
    <row r="91" spans="1:3" x14ac:dyDescent="0.25">
      <c r="A91" t="s">
        <v>934</v>
      </c>
      <c r="B91" s="21" t="str">
        <f t="shared" si="3"/>
        <v>2016/11/16 22:35:20.846</v>
      </c>
      <c r="C91" s="21">
        <f t="shared" si="4"/>
        <v>6.9238425930961967E-4</v>
      </c>
    </row>
    <row r="92" spans="1:3" x14ac:dyDescent="0.25">
      <c r="A92" t="s">
        <v>929</v>
      </c>
      <c r="B92" s="21" t="str">
        <f t="shared" si="3"/>
        <v>2016/11/16 22:35:21.081</v>
      </c>
      <c r="C92" s="21">
        <f t="shared" si="4"/>
        <v>2.7199130272492766E-6</v>
      </c>
    </row>
    <row r="93" spans="1:3" x14ac:dyDescent="0.25">
      <c r="A93" t="s">
        <v>938</v>
      </c>
      <c r="B93" s="21" t="str">
        <f t="shared" si="3"/>
        <v>2016/11/16 22:35:21.261</v>
      </c>
      <c r="C93" s="21">
        <f t="shared" si="4"/>
        <v>2.0833322196267545E-6</v>
      </c>
    </row>
    <row r="94" spans="1:3" x14ac:dyDescent="0.25">
      <c r="A94" t="s">
        <v>930</v>
      </c>
      <c r="B94" s="21" t="str">
        <f t="shared" si="3"/>
        <v>2016/11/16 22:40:39.059</v>
      </c>
      <c r="C94" s="21">
        <f t="shared" si="4"/>
        <v>3.6782175884582102E-3</v>
      </c>
    </row>
    <row r="95" spans="1:3" x14ac:dyDescent="0.25">
      <c r="A95" t="s">
        <v>939</v>
      </c>
      <c r="B95" s="21" t="str">
        <f t="shared" si="3"/>
        <v>2016/11/16 22:40:39.246</v>
      </c>
      <c r="C95" s="21">
        <f t="shared" si="4"/>
        <v>2.1643572836183012E-6</v>
      </c>
    </row>
    <row r="96" spans="1:3" x14ac:dyDescent="0.25">
      <c r="A96" t="s">
        <v>935</v>
      </c>
      <c r="B96" s="21" t="str">
        <f t="shared" si="3"/>
        <v>2016/11/16 22:40:39.824</v>
      </c>
      <c r="C96" s="21">
        <f t="shared" si="4"/>
        <v>6.6898137447424233E-6</v>
      </c>
    </row>
    <row r="97" spans="1:3" x14ac:dyDescent="0.25">
      <c r="A97" t="s">
        <v>919</v>
      </c>
      <c r="B97" s="21" t="str">
        <f t="shared" ref="B97:B128" si="5">MID(A97,6,23)</f>
        <v>2016/11/16 22:52:29.554</v>
      </c>
      <c r="C97" s="21">
        <f t="shared" si="4"/>
        <v>8.2144675907329656E-3</v>
      </c>
    </row>
    <row r="98" spans="1:3" x14ac:dyDescent="0.25">
      <c r="A98" t="s">
        <v>917</v>
      </c>
      <c r="B98" s="21" t="str">
        <f t="shared" si="5"/>
        <v>2016/11/16 22:52:29.634</v>
      </c>
      <c r="C98" s="21">
        <f t="shared" si="4"/>
        <v>9.2592381406575441E-7</v>
      </c>
    </row>
    <row r="99" spans="1:3" x14ac:dyDescent="0.25">
      <c r="A99" t="s">
        <v>920</v>
      </c>
      <c r="B99" s="21" t="str">
        <f t="shared" si="5"/>
        <v>2016/11/16 22:55:07.552</v>
      </c>
      <c r="C99" s="21">
        <f t="shared" si="4"/>
        <v>1.8277546332683414E-3</v>
      </c>
    </row>
    <row r="100" spans="1:3" x14ac:dyDescent="0.25">
      <c r="A100" t="s">
        <v>918</v>
      </c>
      <c r="B100" s="21" t="str">
        <f t="shared" si="5"/>
        <v>2016/11/16 22:55:07.637</v>
      </c>
      <c r="C100" s="21">
        <f t="shared" si="4"/>
        <v>9.8379678092896938E-7</v>
      </c>
    </row>
    <row r="101" spans="1:3" x14ac:dyDescent="0.25">
      <c r="A101" t="s">
        <v>903</v>
      </c>
      <c r="B101" s="21" t="str">
        <f t="shared" si="5"/>
        <v>2016/11/16 22:55:54.110</v>
      </c>
      <c r="C101" s="21">
        <f t="shared" si="4"/>
        <v>5.3788194054504856E-4</v>
      </c>
    </row>
    <row r="102" spans="1:3" x14ac:dyDescent="0.25">
      <c r="A102" t="s">
        <v>902</v>
      </c>
      <c r="B102" s="21" t="str">
        <f t="shared" si="5"/>
        <v>2016/11/16 22:55:54.566</v>
      </c>
      <c r="C102" s="21">
        <f t="shared" si="4"/>
        <v>5.2777832024730742E-6</v>
      </c>
    </row>
    <row r="103" spans="1:3" x14ac:dyDescent="0.25">
      <c r="A103" t="s">
        <v>904</v>
      </c>
      <c r="B103" s="21" t="str">
        <f t="shared" si="5"/>
        <v>2016/11/16 22:55:54.956</v>
      </c>
      <c r="C103" s="21">
        <f t="shared" si="4"/>
        <v>4.5138876885175705E-6</v>
      </c>
    </row>
    <row r="104" spans="1:3" x14ac:dyDescent="0.25">
      <c r="A104" t="s">
        <v>952</v>
      </c>
      <c r="B104" s="21" t="str">
        <f t="shared" si="5"/>
        <v>2016/11/16 23:05:53.736</v>
      </c>
      <c r="C104" s="21">
        <f t="shared" si="4"/>
        <v>6.9303240743465722E-3</v>
      </c>
    </row>
    <row r="105" spans="1:3" x14ac:dyDescent="0.25">
      <c r="A105" t="s">
        <v>954</v>
      </c>
      <c r="B105" s="21" t="str">
        <f t="shared" si="5"/>
        <v>2016/11/16 23:05:53.895</v>
      </c>
      <c r="C105" s="21">
        <f t="shared" si="4"/>
        <v>1.8402788555249572E-6</v>
      </c>
    </row>
    <row r="106" spans="1:3" x14ac:dyDescent="0.25">
      <c r="A106" t="s">
        <v>953</v>
      </c>
      <c r="B106" s="21" t="str">
        <f t="shared" si="5"/>
        <v>2016/11/16 23:05:53.919</v>
      </c>
      <c r="C106" s="21">
        <f t="shared" si="4"/>
        <v>2.7777423383668065E-7</v>
      </c>
    </row>
    <row r="107" spans="1:3" x14ac:dyDescent="0.25">
      <c r="A107" t="s">
        <v>931</v>
      </c>
      <c r="B107" s="21" t="str">
        <f t="shared" si="5"/>
        <v>2016/11/16 23:26:55.062</v>
      </c>
      <c r="C107" s="21">
        <f t="shared" si="4"/>
        <v>1.4596562497899868E-2</v>
      </c>
    </row>
    <row r="108" spans="1:3" x14ac:dyDescent="0.25">
      <c r="A108" t="s">
        <v>940</v>
      </c>
      <c r="B108" s="21" t="str">
        <f t="shared" si="5"/>
        <v>2016/11/16 23:26:55.237</v>
      </c>
      <c r="C108" s="21">
        <f t="shared" si="4"/>
        <v>2.0254665287211537E-6</v>
      </c>
    </row>
    <row r="109" spans="1:3" x14ac:dyDescent="0.25">
      <c r="A109" t="s">
        <v>862</v>
      </c>
      <c r="B109" s="21" t="str">
        <f t="shared" si="5"/>
        <v>2016/11/16 23:41:59.508</v>
      </c>
      <c r="C109" s="21">
        <f t="shared" si="4"/>
        <v>1.0466099534824025E-2</v>
      </c>
    </row>
    <row r="110" spans="1:3" x14ac:dyDescent="0.25">
      <c r="A110" t="s">
        <v>866</v>
      </c>
      <c r="B110" s="21" t="str">
        <f t="shared" si="5"/>
        <v>2016/11/16 23:42:00.472</v>
      </c>
      <c r="C110" s="21">
        <f t="shared" si="4"/>
        <v>1.1157411790918559E-5</v>
      </c>
    </row>
    <row r="111" spans="1:3" x14ac:dyDescent="0.25">
      <c r="A111" t="s">
        <v>864</v>
      </c>
      <c r="B111" s="21" t="str">
        <f t="shared" si="5"/>
        <v>2016/11/16 23:42:00.790</v>
      </c>
      <c r="C111" s="21">
        <f t="shared" si="4"/>
        <v>3.6805504350923002E-6</v>
      </c>
    </row>
    <row r="112" spans="1:3" x14ac:dyDescent="0.25">
      <c r="A112" t="s">
        <v>891</v>
      </c>
      <c r="B112" s="21" t="str">
        <f t="shared" si="5"/>
        <v>2016/11/17 00:53:49.849</v>
      </c>
      <c r="C112" s="21">
        <f t="shared" si="4"/>
        <v>4.9873368057888001E-2</v>
      </c>
    </row>
    <row r="113" spans="1:3" x14ac:dyDescent="0.25">
      <c r="A113" t="s">
        <v>892</v>
      </c>
      <c r="B113" s="21" t="str">
        <f t="shared" si="5"/>
        <v>2016/11/17 00:53:50.133</v>
      </c>
      <c r="C113" s="21">
        <f t="shared" si="4"/>
        <v>3.2870375434868038E-6</v>
      </c>
    </row>
    <row r="114" spans="1:3" x14ac:dyDescent="0.25">
      <c r="A114" t="s">
        <v>893</v>
      </c>
      <c r="B114" s="21" t="str">
        <f t="shared" si="5"/>
        <v>2016/11/17 00:53:51.285</v>
      </c>
      <c r="C114" s="21">
        <f t="shared" si="4"/>
        <v>1.3333330571185797E-5</v>
      </c>
    </row>
    <row r="115" spans="1:3" x14ac:dyDescent="0.25">
      <c r="A115" t="s">
        <v>823</v>
      </c>
      <c r="B115" s="21" t="str">
        <f t="shared" si="5"/>
        <v>2016/11/17 01:06:22.476</v>
      </c>
      <c r="C115" s="21">
        <f t="shared" si="4"/>
        <v>8.6943402784527279E-3</v>
      </c>
    </row>
    <row r="116" spans="1:3" x14ac:dyDescent="0.25">
      <c r="A116" t="s">
        <v>825</v>
      </c>
      <c r="B116" s="21" t="str">
        <f t="shared" si="5"/>
        <v>2016/11/17 01:06:22.508</v>
      </c>
      <c r="C116" s="21">
        <f t="shared" si="4"/>
        <v>3.7036807043477893E-7</v>
      </c>
    </row>
    <row r="117" spans="1:3" x14ac:dyDescent="0.25">
      <c r="A117" t="s">
        <v>824</v>
      </c>
      <c r="B117" s="21" t="str">
        <f t="shared" si="5"/>
        <v>2016/11/17 01:06:23.741</v>
      </c>
      <c r="C117" s="21">
        <f t="shared" si="4"/>
        <v>1.4270837709773332E-5</v>
      </c>
    </row>
    <row r="118" spans="1:3" x14ac:dyDescent="0.25">
      <c r="A118" t="s">
        <v>942</v>
      </c>
      <c r="B118" s="21" t="str">
        <f t="shared" si="5"/>
        <v>2016/11/17 01:20:37.258</v>
      </c>
      <c r="C118" s="21">
        <f t="shared" si="4"/>
        <v>9.8786689777625725E-3</v>
      </c>
    </row>
    <row r="119" spans="1:3" x14ac:dyDescent="0.25">
      <c r="A119" t="s">
        <v>941</v>
      </c>
      <c r="B119" s="21" t="str">
        <f t="shared" si="5"/>
        <v>2016/11/17 01:20:38.068</v>
      </c>
      <c r="C119" s="21">
        <f t="shared" si="4"/>
        <v>9.3750059022568166E-6</v>
      </c>
    </row>
    <row r="120" spans="1:3" x14ac:dyDescent="0.25">
      <c r="A120" t="s">
        <v>870</v>
      </c>
      <c r="B120" s="21" t="str">
        <f t="shared" si="5"/>
        <v>2016/11/17 03:27:50.857</v>
      </c>
      <c r="C120" s="21">
        <f t="shared" si="4"/>
        <v>8.8342465271125548E-2</v>
      </c>
    </row>
    <row r="121" spans="1:3" x14ac:dyDescent="0.25">
      <c r="A121" t="s">
        <v>873</v>
      </c>
      <c r="B121" s="21" t="str">
        <f t="shared" si="5"/>
        <v>2016/11/17 03:27:51.643</v>
      </c>
      <c r="C121" s="21">
        <f t="shared" si="4"/>
        <v>9.0972243924625218E-6</v>
      </c>
    </row>
    <row r="122" spans="1:3" x14ac:dyDescent="0.25">
      <c r="A122" t="s">
        <v>874</v>
      </c>
      <c r="B122" s="21" t="str">
        <f t="shared" si="5"/>
        <v>2016/11/17 04:27:26.396</v>
      </c>
      <c r="C122" s="21">
        <f t="shared" si="4"/>
        <v>4.1374456021003425E-2</v>
      </c>
    </row>
    <row r="123" spans="1:3" x14ac:dyDescent="0.25">
      <c r="A123" t="s">
        <v>872</v>
      </c>
      <c r="B123" s="21" t="str">
        <f t="shared" si="5"/>
        <v>2016/11/17 04:27:26.836</v>
      </c>
      <c r="C123" s="21">
        <f t="shared" si="4"/>
        <v>5.0925882533192635E-6</v>
      </c>
    </row>
    <row r="124" spans="1:3" x14ac:dyDescent="0.25">
      <c r="A124" t="s">
        <v>871</v>
      </c>
      <c r="B124" s="21" t="str">
        <f t="shared" si="5"/>
        <v>2016/11/17 04:27:26.853</v>
      </c>
      <c r="C124" s="21">
        <f t="shared" si="4"/>
        <v>1.9676372176036239E-7</v>
      </c>
    </row>
    <row r="125" spans="1:3" x14ac:dyDescent="0.25">
      <c r="A125" t="s">
        <v>888</v>
      </c>
      <c r="B125" s="21" t="str">
        <f t="shared" si="5"/>
        <v>2016/11/17 04:58:05.671</v>
      </c>
      <c r="C125" s="21">
        <f t="shared" si="4"/>
        <v>2.1282615736708976E-2</v>
      </c>
    </row>
    <row r="126" spans="1:3" x14ac:dyDescent="0.25">
      <c r="A126" t="s">
        <v>889</v>
      </c>
      <c r="B126" s="21" t="str">
        <f t="shared" si="5"/>
        <v>2016/11/17 04:58:06.305</v>
      </c>
      <c r="C126" s="21">
        <f t="shared" si="4"/>
        <v>7.3379633249714971E-6</v>
      </c>
    </row>
    <row r="127" spans="1:3" x14ac:dyDescent="0.25">
      <c r="A127" t="s">
        <v>890</v>
      </c>
      <c r="B127" s="21" t="str">
        <f t="shared" si="5"/>
        <v>2016/11/17 04:58:06.327</v>
      </c>
      <c r="C127" s="21">
        <f t="shared" si="4"/>
        <v>2.5462941266596317E-7</v>
      </c>
    </row>
    <row r="128" spans="1:3" x14ac:dyDescent="0.25">
      <c r="A128" t="s">
        <v>840</v>
      </c>
      <c r="B128" s="21" t="str">
        <f t="shared" si="5"/>
        <v>2016/11/17 05:08:24.562</v>
      </c>
      <c r="C128" s="21">
        <f t="shared" si="4"/>
        <v>7.1554976893821731E-3</v>
      </c>
    </row>
    <row r="129" spans="1:3" x14ac:dyDescent="0.25">
      <c r="A129" t="s">
        <v>841</v>
      </c>
      <c r="B129" s="21" t="str">
        <f t="shared" ref="B129:B135" si="6">MID(A129,6,23)</f>
        <v>2016/11/17 05:08:24.969</v>
      </c>
      <c r="C129" s="21">
        <f t="shared" si="4"/>
        <v>4.7106441343203187E-6</v>
      </c>
    </row>
    <row r="130" spans="1:3" x14ac:dyDescent="0.25">
      <c r="A130" t="s">
        <v>839</v>
      </c>
      <c r="B130" s="21" t="str">
        <f t="shared" si="6"/>
        <v>2016/11/17 05:08:25.758</v>
      </c>
      <c r="C130" s="21">
        <f t="shared" si="4"/>
        <v>9.1319452621974051E-6</v>
      </c>
    </row>
    <row r="131" spans="1:3" x14ac:dyDescent="0.25">
      <c r="A131" t="s">
        <v>834</v>
      </c>
      <c r="B131" s="21" t="str">
        <f t="shared" si="6"/>
        <v>2016/11/17 06:01:14.882</v>
      </c>
      <c r="C131" s="21">
        <f t="shared" ref="C131:C135" si="7">ABS(B131-B130)</f>
        <v>3.6679675926279742E-2</v>
      </c>
    </row>
    <row r="132" spans="1:3" x14ac:dyDescent="0.25">
      <c r="A132" t="s">
        <v>835</v>
      </c>
      <c r="B132" s="21" t="str">
        <f t="shared" si="6"/>
        <v>2016/11/17 06:01:15.844</v>
      </c>
      <c r="C132" s="21">
        <f t="shared" si="7"/>
        <v>1.1134259693790227E-5</v>
      </c>
    </row>
    <row r="133" spans="1:3" x14ac:dyDescent="0.25">
      <c r="A133" t="s">
        <v>900</v>
      </c>
      <c r="B133" s="21" t="str">
        <f t="shared" si="6"/>
        <v>2016/11/17 06:03:03.208</v>
      </c>
      <c r="C133" s="21">
        <f t="shared" si="7"/>
        <v>1.242638893018011E-3</v>
      </c>
    </row>
    <row r="134" spans="1:3" x14ac:dyDescent="0.25">
      <c r="A134" t="s">
        <v>901</v>
      </c>
      <c r="B134" s="21" t="str">
        <f t="shared" si="6"/>
        <v>2016/11/17 06:03:03.389</v>
      </c>
      <c r="C134" s="21">
        <f t="shared" si="7"/>
        <v>2.0949009922333062E-6</v>
      </c>
    </row>
    <row r="135" spans="1:3" x14ac:dyDescent="0.25">
      <c r="A135" t="s">
        <v>899</v>
      </c>
      <c r="B135" s="21" t="str">
        <f t="shared" si="6"/>
        <v>2016/11/17 06:03:03.495</v>
      </c>
      <c r="C135" s="21">
        <f t="shared" si="7"/>
        <v>1.2268574209883809E-6</v>
      </c>
    </row>
    <row r="136" spans="1:3" x14ac:dyDescent="0.25">
      <c r="B136" s="21"/>
      <c r="C136" s="21"/>
    </row>
    <row r="137" spans="1:3" x14ac:dyDescent="0.25">
      <c r="B137" s="21"/>
      <c r="C137" s="21"/>
    </row>
    <row r="138" spans="1:3" x14ac:dyDescent="0.25">
      <c r="B138" s="21"/>
      <c r="C138" s="21"/>
    </row>
    <row r="139" spans="1:3" x14ac:dyDescent="0.25">
      <c r="B139" s="21"/>
      <c r="C139" s="21"/>
    </row>
    <row r="140" spans="1:3" x14ac:dyDescent="0.25">
      <c r="B140" s="21"/>
      <c r="C140" s="21"/>
    </row>
    <row r="141" spans="1:3" x14ac:dyDescent="0.25">
      <c r="B141" s="21"/>
      <c r="C141" s="21"/>
    </row>
    <row r="142" spans="1:3" x14ac:dyDescent="0.25">
      <c r="B142" s="21"/>
      <c r="C142" s="21"/>
    </row>
    <row r="143" spans="1:3" x14ac:dyDescent="0.25">
      <c r="B143" s="21"/>
      <c r="C143" s="21"/>
    </row>
    <row r="144" spans="1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</sheetData>
  <sortState ref="A1:C135">
    <sortCondition ref="A1:A135"/>
  </sortState>
  <conditionalFormatting sqref="C1:C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2016-11-17T18:29:45Z</dcterms:modified>
</cp:coreProperties>
</file>