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Trips'!$A$2:$J$99</definedName>
    <definedName name="_xlnm._FilterDatabase" localSheetId="0" hidden="1">'Train Runs'!$A$12:$AG$269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49" i="3" l="1"/>
  <c r="AC17" i="3" l="1"/>
  <c r="AC14" i="3"/>
  <c r="AC12" i="3"/>
  <c r="AC10" i="3"/>
  <c r="AC9" i="3"/>
  <c r="M23" i="5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AA15" i="1" s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R19" i="3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T19" i="1"/>
  <c r="V19" i="1"/>
  <c r="Y19" i="1"/>
  <c r="Z19" i="1"/>
  <c r="AB19" i="1"/>
  <c r="AC19" i="1"/>
  <c r="AD19" i="1"/>
  <c r="AE19" i="1"/>
  <c r="AF19" i="1"/>
  <c r="AG19" i="1"/>
  <c r="AH19" i="1"/>
  <c r="AM19" i="1"/>
  <c r="AN19" i="1"/>
  <c r="K20" i="1"/>
  <c r="L20" i="1"/>
  <c r="M20" i="1"/>
  <c r="N20" i="1" s="1"/>
  <c r="T20" i="1"/>
  <c r="V20" i="1"/>
  <c r="Y20" i="1"/>
  <c r="Z20" i="1"/>
  <c r="AB20" i="1"/>
  <c r="AC20" i="1"/>
  <c r="AD20" i="1"/>
  <c r="X20" i="1" s="1"/>
  <c r="AE20" i="1"/>
  <c r="AF20" i="1"/>
  <c r="AH20" i="1"/>
  <c r="AM20" i="1"/>
  <c r="AN20" i="1"/>
  <c r="K21" i="1"/>
  <c r="L21" i="1"/>
  <c r="M21" i="1"/>
  <c r="N21" i="1" s="1"/>
  <c r="V21" i="1"/>
  <c r="S35" i="3" s="1"/>
  <c r="Y21" i="1"/>
  <c r="Z21" i="1"/>
  <c r="AB21" i="1"/>
  <c r="AC21" i="1"/>
  <c r="AD21" i="1"/>
  <c r="T21" i="1" s="1"/>
  <c r="AE21" i="1"/>
  <c r="R35" i="3" s="1"/>
  <c r="AF21" i="1"/>
  <c r="AH21" i="1"/>
  <c r="AM21" i="1"/>
  <c r="AN21" i="1"/>
  <c r="K22" i="1"/>
  <c r="L22" i="1"/>
  <c r="M22" i="1"/>
  <c r="N22" i="1" s="1"/>
  <c r="V22" i="1"/>
  <c r="S25" i="3" s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S36" i="3" s="1"/>
  <c r="Y25" i="1"/>
  <c r="Z25" i="1"/>
  <c r="AB25" i="1"/>
  <c r="AC25" i="1"/>
  <c r="AD25" i="1"/>
  <c r="T25" i="1" s="1"/>
  <c r="AE25" i="1"/>
  <c r="R36" i="3" s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S11" i="3" s="1"/>
  <c r="Y31" i="1"/>
  <c r="Z31" i="1"/>
  <c r="AA31" i="1" s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T50" i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P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R29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S30" i="3" s="1"/>
  <c r="Y72" i="1"/>
  <c r="Z72" i="1"/>
  <c r="AI72" i="1" s="1"/>
  <c r="AB72" i="1"/>
  <c r="AC72" i="1"/>
  <c r="AD72" i="1"/>
  <c r="AG72" i="1" s="1"/>
  <c r="AE72" i="1"/>
  <c r="R30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S31" i="3" s="1"/>
  <c r="Y76" i="1"/>
  <c r="Z76" i="1"/>
  <c r="AB76" i="1"/>
  <c r="AC76" i="1"/>
  <c r="AD76" i="1"/>
  <c r="AG76" i="1" s="1"/>
  <c r="AI76" i="1" s="1"/>
  <c r="AE76" i="1"/>
  <c r="R31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S20" i="3" s="1"/>
  <c r="Y78" i="1"/>
  <c r="Z78" i="1"/>
  <c r="AB78" i="1"/>
  <c r="AC78" i="1"/>
  <c r="AD78" i="1"/>
  <c r="AE78" i="1"/>
  <c r="R20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S14" i="3" s="1"/>
  <c r="Y84" i="1"/>
  <c r="Z84" i="1"/>
  <c r="AB84" i="1"/>
  <c r="AC84" i="1"/>
  <c r="AD84" i="1"/>
  <c r="AE84" i="1"/>
  <c r="R14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P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V87" i="1"/>
  <c r="Y87" i="1"/>
  <c r="Z87" i="1"/>
  <c r="AB87" i="1"/>
  <c r="AC87" i="1"/>
  <c r="AD87" i="1"/>
  <c r="AE87" i="1"/>
  <c r="R28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S37" i="3" s="1"/>
  <c r="Y90" i="1"/>
  <c r="Z90" i="1"/>
  <c r="AB90" i="1"/>
  <c r="AC90" i="1"/>
  <c r="AD90" i="1"/>
  <c r="AG90" i="1" s="1"/>
  <c r="AE90" i="1"/>
  <c r="R37" i="3" s="1"/>
  <c r="AF90" i="1"/>
  <c r="AH90" i="1"/>
  <c r="AM90" i="1"/>
  <c r="AN90" i="1"/>
  <c r="K91" i="1"/>
  <c r="L91" i="1"/>
  <c r="M91" i="1"/>
  <c r="N91" i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S38" i="3" s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R7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R32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I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R18" i="3" s="1"/>
  <c r="AF103" i="1"/>
  <c r="AH103" i="1"/>
  <c r="AM103" i="1"/>
  <c r="AN103" i="1"/>
  <c r="K104" i="1"/>
  <c r="L104" i="1"/>
  <c r="M104" i="1"/>
  <c r="N104" i="1" s="1"/>
  <c r="V104" i="1"/>
  <c r="S39" i="3" s="1"/>
  <c r="Y104" i="1"/>
  <c r="Z104" i="1"/>
  <c r="AB104" i="1"/>
  <c r="AC104" i="1"/>
  <c r="AD104" i="1"/>
  <c r="X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X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S22" i="3" s="1"/>
  <c r="Y113" i="1"/>
  <c r="Z113" i="1"/>
  <c r="AB113" i="1"/>
  <c r="AC113" i="1"/>
  <c r="AD113" i="1"/>
  <c r="T113" i="1" s="1"/>
  <c r="AE113" i="1"/>
  <c r="R22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AA117" i="1" s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S24" i="3" s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S12" i="3" s="1"/>
  <c r="Y127" i="1"/>
  <c r="Z127" i="1"/>
  <c r="AB127" i="1"/>
  <c r="AC127" i="1"/>
  <c r="AD127" i="1"/>
  <c r="AE127" i="1"/>
  <c r="R12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R13" i="3" s="1"/>
  <c r="AF130" i="1"/>
  <c r="AH130" i="1"/>
  <c r="AM130" i="1"/>
  <c r="AN130" i="1"/>
  <c r="K131" i="1"/>
  <c r="L131" i="1"/>
  <c r="M131" i="1"/>
  <c r="P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V133" i="1"/>
  <c r="S17" i="3" s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S41" i="3" s="1"/>
  <c r="Y136" i="1"/>
  <c r="Z136" i="1"/>
  <c r="AA136" i="1" s="1"/>
  <c r="AB136" i="1"/>
  <c r="AC136" i="1"/>
  <c r="AD136" i="1"/>
  <c r="AE136" i="1"/>
  <c r="R41" i="3" s="1"/>
  <c r="AF136" i="1"/>
  <c r="AH136" i="1"/>
  <c r="AM136" i="1"/>
  <c r="AN136" i="1"/>
  <c r="K137" i="1"/>
  <c r="L137" i="1"/>
  <c r="M137" i="1"/>
  <c r="N137" i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/>
  <c r="W145" i="1" s="1"/>
  <c r="AB145" i="1"/>
  <c r="AC145" i="1"/>
  <c r="AD145" i="1"/>
  <c r="AG145" i="1" s="1"/>
  <c r="AE145" i="1"/>
  <c r="AF145" i="1"/>
  <c r="AH145" i="1"/>
  <c r="AI145" i="1"/>
  <c r="AM145" i="1"/>
  <c r="AN145" i="1"/>
  <c r="K146" i="1"/>
  <c r="L146" i="1"/>
  <c r="M146" i="1"/>
  <c r="N146" i="1" s="1"/>
  <c r="V146" i="1"/>
  <c r="Y146" i="1"/>
  <c r="Z146" i="1"/>
  <c r="AI146" i="1" s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P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V154" i="1"/>
  <c r="Y154" i="1"/>
  <c r="Z154" i="1"/>
  <c r="AB154" i="1"/>
  <c r="AC154" i="1"/>
  <c r="AD154" i="1"/>
  <c r="AE154" i="1"/>
  <c r="R34" i="3" s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X159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AM160" i="1"/>
  <c r="AN160" i="1"/>
  <c r="K161" i="1"/>
  <c r="L161" i="1"/>
  <c r="M161" i="1"/>
  <c r="N161" i="1"/>
  <c r="V161" i="1"/>
  <c r="Y161" i="1"/>
  <c r="Z161" i="1"/>
  <c r="AA161" i="1"/>
  <c r="W161" i="1" s="1"/>
  <c r="AB161" i="1"/>
  <c r="AC161" i="1"/>
  <c r="AD161" i="1"/>
  <c r="AG161" i="1" s="1"/>
  <c r="AE161" i="1"/>
  <c r="AF161" i="1"/>
  <c r="AH161" i="1"/>
  <c r="AI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172" i="1"/>
  <c r="AM172" i="1"/>
  <c r="AN172" i="1"/>
  <c r="K220" i="1"/>
  <c r="L220" i="1"/>
  <c r="M220" i="1"/>
  <c r="N220" i="1"/>
  <c r="V220" i="1"/>
  <c r="Y220" i="1"/>
  <c r="Z220" i="1"/>
  <c r="AB220" i="1"/>
  <c r="AC220" i="1"/>
  <c r="AD220" i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5" i="1"/>
  <c r="AM175" i="1"/>
  <c r="AN175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6" i="1"/>
  <c r="AM176" i="1"/>
  <c r="AN176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G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/>
  <c r="V237" i="1"/>
  <c r="Y237" i="1"/>
  <c r="Z237" i="1"/>
  <c r="AB237" i="1"/>
  <c r="AC237" i="1"/>
  <c r="AD237" i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AH189" i="1"/>
  <c r="AM189" i="1"/>
  <c r="AN189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0" i="1"/>
  <c r="AM190" i="1"/>
  <c r="AN190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1" i="1"/>
  <c r="AM191" i="1"/>
  <c r="AN191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192" i="1"/>
  <c r="AM192" i="1"/>
  <c r="AN192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193" i="1"/>
  <c r="AM193" i="1"/>
  <c r="AN193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4" i="1"/>
  <c r="AM194" i="1"/>
  <c r="AN194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5" i="1"/>
  <c r="AM195" i="1"/>
  <c r="AN195" i="1"/>
  <c r="K249" i="1"/>
  <c r="L249" i="1"/>
  <c r="M249" i="1"/>
  <c r="N249" i="1" s="1"/>
  <c r="V249" i="1"/>
  <c r="Y249" i="1"/>
  <c r="Z249" i="1"/>
  <c r="AB249" i="1"/>
  <c r="AC249" i="1"/>
  <c r="AD249" i="1"/>
  <c r="AG249" i="1" s="1"/>
  <c r="AE249" i="1"/>
  <c r="AF249" i="1"/>
  <c r="AH196" i="1"/>
  <c r="AM196" i="1"/>
  <c r="AN196" i="1"/>
  <c r="K250" i="1"/>
  <c r="L250" i="1"/>
  <c r="M250" i="1"/>
  <c r="N250" i="1" s="1"/>
  <c r="V250" i="1"/>
  <c r="Y250" i="1"/>
  <c r="Z250" i="1"/>
  <c r="AB250" i="1"/>
  <c r="AC250" i="1"/>
  <c r="AD250" i="1"/>
  <c r="AG250" i="1" s="1"/>
  <c r="AE250" i="1"/>
  <c r="AF250" i="1"/>
  <c r="AH197" i="1"/>
  <c r="AM197" i="1"/>
  <c r="AN197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8" i="1"/>
  <c r="AM198" i="1"/>
  <c r="AN198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199" i="1"/>
  <c r="AM199" i="1"/>
  <c r="AN199" i="1"/>
  <c r="K253" i="1"/>
  <c r="L253" i="1"/>
  <c r="M253" i="1"/>
  <c r="N253" i="1" s="1"/>
  <c r="V253" i="1"/>
  <c r="Y253" i="1"/>
  <c r="Z253" i="1"/>
  <c r="AB253" i="1"/>
  <c r="AC253" i="1"/>
  <c r="AD253" i="1"/>
  <c r="AE253" i="1"/>
  <c r="AF253" i="1"/>
  <c r="AH200" i="1"/>
  <c r="AM200" i="1"/>
  <c r="AN200" i="1"/>
  <c r="K254" i="1"/>
  <c r="L254" i="1"/>
  <c r="M254" i="1"/>
  <c r="N254" i="1" s="1"/>
  <c r="V254" i="1"/>
  <c r="Y254" i="1"/>
  <c r="Z254" i="1"/>
  <c r="AB254" i="1"/>
  <c r="AC254" i="1"/>
  <c r="AD254" i="1"/>
  <c r="AG254" i="1" s="1"/>
  <c r="AE254" i="1"/>
  <c r="AF254" i="1"/>
  <c r="AH201" i="1"/>
  <c r="AM201" i="1"/>
  <c r="AN201" i="1"/>
  <c r="K255" i="1"/>
  <c r="L255" i="1"/>
  <c r="M255" i="1"/>
  <c r="N255" i="1" s="1"/>
  <c r="V255" i="1"/>
  <c r="Y255" i="1"/>
  <c r="Z255" i="1"/>
  <c r="AB255" i="1"/>
  <c r="AC255" i="1"/>
  <c r="AD255" i="1"/>
  <c r="AE255" i="1"/>
  <c r="AF255" i="1"/>
  <c r="AH202" i="1"/>
  <c r="AM202" i="1"/>
  <c r="AN202" i="1"/>
  <c r="K256" i="1"/>
  <c r="L256" i="1"/>
  <c r="M256" i="1"/>
  <c r="N256" i="1" s="1"/>
  <c r="V256" i="1"/>
  <c r="Y256" i="1"/>
  <c r="Z256" i="1"/>
  <c r="AB256" i="1"/>
  <c r="AC256" i="1"/>
  <c r="AD256" i="1"/>
  <c r="T256" i="1" s="1"/>
  <c r="AE256" i="1"/>
  <c r="AF256" i="1"/>
  <c r="AH203" i="1"/>
  <c r="AM203" i="1"/>
  <c r="AN203" i="1"/>
  <c r="K257" i="1"/>
  <c r="L257" i="1"/>
  <c r="M257" i="1"/>
  <c r="N257" i="1" s="1"/>
  <c r="V257" i="1"/>
  <c r="Y257" i="1"/>
  <c r="Z257" i="1"/>
  <c r="AA257" i="1" s="1"/>
  <c r="W257" i="1" s="1"/>
  <c r="AB257" i="1"/>
  <c r="AC257" i="1"/>
  <c r="AD257" i="1"/>
  <c r="AG257" i="1" s="1"/>
  <c r="AE257" i="1"/>
  <c r="AF257" i="1"/>
  <c r="AH204" i="1"/>
  <c r="AM204" i="1"/>
  <c r="AN204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205" i="1"/>
  <c r="AM205" i="1"/>
  <c r="AN20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06" i="1"/>
  <c r="AM206" i="1"/>
  <c r="AN20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7" i="1"/>
  <c r="AM207" i="1"/>
  <c r="AN207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208" i="1"/>
  <c r="AM208" i="1"/>
  <c r="AN208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209" i="1"/>
  <c r="AM209" i="1"/>
  <c r="AN20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10" i="1"/>
  <c r="AM210" i="1"/>
  <c r="AN21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11" i="1"/>
  <c r="AM211" i="1"/>
  <c r="AN211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12" i="1"/>
  <c r="AM212" i="1"/>
  <c r="AN212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213" i="1"/>
  <c r="AM213" i="1"/>
  <c r="AN21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4" i="1"/>
  <c r="AM214" i="1"/>
  <c r="AN214" i="1"/>
  <c r="K258" i="1"/>
  <c r="L258" i="1"/>
  <c r="M258" i="1"/>
  <c r="N258" i="1" s="1"/>
  <c r="V258" i="1"/>
  <c r="Y258" i="1"/>
  <c r="Z258" i="1"/>
  <c r="AB258" i="1"/>
  <c r="AC258" i="1"/>
  <c r="AD258" i="1"/>
  <c r="AE258" i="1"/>
  <c r="AF258" i="1"/>
  <c r="AH215" i="1"/>
  <c r="AM215" i="1"/>
  <c r="AN215" i="1"/>
  <c r="K259" i="1"/>
  <c r="L259" i="1"/>
  <c r="M259" i="1"/>
  <c r="N259" i="1" s="1"/>
  <c r="V259" i="1"/>
  <c r="Y259" i="1"/>
  <c r="Z259" i="1"/>
  <c r="AB259" i="1"/>
  <c r="AC259" i="1"/>
  <c r="AD259" i="1"/>
  <c r="AE259" i="1"/>
  <c r="AF259" i="1"/>
  <c r="AH216" i="1"/>
  <c r="AM216" i="1"/>
  <c r="AN216" i="1"/>
  <c r="K260" i="1"/>
  <c r="L260" i="1"/>
  <c r="M260" i="1"/>
  <c r="N260" i="1" s="1"/>
  <c r="V260" i="1"/>
  <c r="Y260" i="1"/>
  <c r="Z260" i="1"/>
  <c r="AB260" i="1"/>
  <c r="AC260" i="1"/>
  <c r="AD260" i="1"/>
  <c r="AG260" i="1" s="1"/>
  <c r="AE260" i="1"/>
  <c r="AF260" i="1"/>
  <c r="AH217" i="1"/>
  <c r="AM217" i="1"/>
  <c r="AN217" i="1"/>
  <c r="K261" i="1"/>
  <c r="L261" i="1"/>
  <c r="M261" i="1"/>
  <c r="N261" i="1" s="1"/>
  <c r="V261" i="1"/>
  <c r="Y261" i="1"/>
  <c r="AA261" i="1" s="1"/>
  <c r="Z261" i="1"/>
  <c r="AB261" i="1"/>
  <c r="AC261" i="1"/>
  <c r="AD261" i="1"/>
  <c r="AE261" i="1"/>
  <c r="AF261" i="1"/>
  <c r="AH218" i="1"/>
  <c r="AM218" i="1"/>
  <c r="AN218" i="1"/>
  <c r="K262" i="1"/>
  <c r="L262" i="1"/>
  <c r="M262" i="1"/>
  <c r="N262" i="1" s="1"/>
  <c r="V262" i="1"/>
  <c r="Y262" i="1"/>
  <c r="Z262" i="1"/>
  <c r="AB262" i="1"/>
  <c r="AC262" i="1"/>
  <c r="AD262" i="1"/>
  <c r="AE262" i="1"/>
  <c r="AF262" i="1"/>
  <c r="AH219" i="1"/>
  <c r="AM219" i="1"/>
  <c r="AN219" i="1"/>
  <c r="K263" i="1"/>
  <c r="L263" i="1"/>
  <c r="M263" i="1"/>
  <c r="N263" i="1" s="1"/>
  <c r="V263" i="1"/>
  <c r="Y263" i="1"/>
  <c r="AA263" i="1" s="1"/>
  <c r="Z263" i="1"/>
  <c r="AB263" i="1"/>
  <c r="AC263" i="1"/>
  <c r="AD263" i="1"/>
  <c r="AG263" i="1" s="1"/>
  <c r="AI263" i="1" s="1"/>
  <c r="AE263" i="1"/>
  <c r="AF263" i="1"/>
  <c r="AH220" i="1"/>
  <c r="AM220" i="1"/>
  <c r="AN220" i="1"/>
  <c r="K264" i="1"/>
  <c r="L264" i="1"/>
  <c r="M264" i="1"/>
  <c r="N264" i="1" s="1"/>
  <c r="V264" i="1"/>
  <c r="Y264" i="1"/>
  <c r="Z264" i="1"/>
  <c r="AA264" i="1" s="1"/>
  <c r="W264" i="1" s="1"/>
  <c r="AB264" i="1"/>
  <c r="AC264" i="1"/>
  <c r="AD264" i="1"/>
  <c r="AG264" i="1" s="1"/>
  <c r="AE264" i="1"/>
  <c r="AF264" i="1"/>
  <c r="AH221" i="1"/>
  <c r="AM221" i="1"/>
  <c r="AN221" i="1"/>
  <c r="K265" i="1"/>
  <c r="L265" i="1"/>
  <c r="M265" i="1"/>
  <c r="N265" i="1" s="1"/>
  <c r="V265" i="1"/>
  <c r="Y265" i="1"/>
  <c r="Z265" i="1"/>
  <c r="AB265" i="1"/>
  <c r="AC265" i="1"/>
  <c r="AD265" i="1"/>
  <c r="AG265" i="1" s="1"/>
  <c r="AE265" i="1"/>
  <c r="AF265" i="1"/>
  <c r="AH222" i="1"/>
  <c r="AM222" i="1"/>
  <c r="AN22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23" i="1"/>
  <c r="AM223" i="1"/>
  <c r="AN22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24" i="1"/>
  <c r="AM224" i="1"/>
  <c r="AN224" i="1"/>
  <c r="K175" i="1"/>
  <c r="L175" i="1"/>
  <c r="M175" i="1"/>
  <c r="N175" i="1" s="1"/>
  <c r="V175" i="1"/>
  <c r="Y175" i="1"/>
  <c r="Z175" i="1"/>
  <c r="AA175" i="1" s="1"/>
  <c r="W175" i="1" s="1"/>
  <c r="AB175" i="1"/>
  <c r="AC175" i="1"/>
  <c r="AD175" i="1"/>
  <c r="AG175" i="1" s="1"/>
  <c r="AE175" i="1"/>
  <c r="AF175" i="1"/>
  <c r="AH225" i="1"/>
  <c r="AM225" i="1"/>
  <c r="AN22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26" i="1"/>
  <c r="AM226" i="1"/>
  <c r="AN22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27" i="1"/>
  <c r="AM227" i="1"/>
  <c r="AN22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28" i="1"/>
  <c r="AM228" i="1"/>
  <c r="AN22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29" i="1"/>
  <c r="AM229" i="1"/>
  <c r="AN22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30" i="1"/>
  <c r="AM230" i="1"/>
  <c r="AN23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31" i="1"/>
  <c r="AM231" i="1"/>
  <c r="AN23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32" i="1"/>
  <c r="AM232" i="1"/>
  <c r="AN232" i="1"/>
  <c r="K266" i="1"/>
  <c r="L266" i="1"/>
  <c r="M266" i="1"/>
  <c r="N266" i="1" s="1"/>
  <c r="V266" i="1"/>
  <c r="Y266" i="1"/>
  <c r="Z266" i="1"/>
  <c r="AB266" i="1"/>
  <c r="AC266" i="1"/>
  <c r="AD266" i="1"/>
  <c r="T266" i="1" s="1"/>
  <c r="AE266" i="1"/>
  <c r="AF266" i="1"/>
  <c r="AH233" i="1"/>
  <c r="AM233" i="1"/>
  <c r="AN233" i="1"/>
  <c r="K267" i="1"/>
  <c r="L267" i="1"/>
  <c r="M267" i="1"/>
  <c r="N267" i="1" s="1"/>
  <c r="V267" i="1"/>
  <c r="Y267" i="1"/>
  <c r="Z267" i="1"/>
  <c r="AB267" i="1"/>
  <c r="AC267" i="1"/>
  <c r="AD267" i="1"/>
  <c r="AE267" i="1"/>
  <c r="AF267" i="1"/>
  <c r="AH234" i="1"/>
  <c r="AM234" i="1"/>
  <c r="AN234" i="1"/>
  <c r="K268" i="1"/>
  <c r="L268" i="1"/>
  <c r="M268" i="1"/>
  <c r="N268" i="1" s="1"/>
  <c r="V268" i="1"/>
  <c r="Y268" i="1"/>
  <c r="Z268" i="1"/>
  <c r="AB268" i="1"/>
  <c r="AC268" i="1"/>
  <c r="AD268" i="1"/>
  <c r="AG268" i="1" s="1"/>
  <c r="AE268" i="1"/>
  <c r="AF268" i="1"/>
  <c r="AH235" i="1"/>
  <c r="AM235" i="1"/>
  <c r="AN235" i="1"/>
  <c r="K269" i="1"/>
  <c r="L269" i="1"/>
  <c r="M269" i="1"/>
  <c r="N269" i="1" s="1"/>
  <c r="V269" i="1"/>
  <c r="Y269" i="1"/>
  <c r="Z269" i="1"/>
  <c r="AB269" i="1"/>
  <c r="AC269" i="1"/>
  <c r="AD269" i="1"/>
  <c r="AE269" i="1"/>
  <c r="AF269" i="1"/>
  <c r="AH236" i="1"/>
  <c r="AM236" i="1"/>
  <c r="AN23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37" i="1"/>
  <c r="AM237" i="1"/>
  <c r="AN23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38" i="1"/>
  <c r="AM238" i="1"/>
  <c r="AN23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39" i="1"/>
  <c r="AM239" i="1"/>
  <c r="AN23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40" i="1"/>
  <c r="AM240" i="1"/>
  <c r="AN240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41" i="1"/>
  <c r="AM241" i="1"/>
  <c r="AN24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42" i="1"/>
  <c r="AM242" i="1"/>
  <c r="AN242" i="1"/>
  <c r="K189" i="1"/>
  <c r="L189" i="1"/>
  <c r="M189" i="1"/>
  <c r="N189" i="1" s="1"/>
  <c r="V189" i="1"/>
  <c r="Y189" i="1"/>
  <c r="Z189" i="1"/>
  <c r="AA189" i="1" s="1"/>
  <c r="AB189" i="1"/>
  <c r="AC189" i="1"/>
  <c r="AD189" i="1"/>
  <c r="T189" i="1" s="1"/>
  <c r="AE189" i="1"/>
  <c r="AF189" i="1"/>
  <c r="AH243" i="1"/>
  <c r="AM243" i="1"/>
  <c r="AN24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44" i="1"/>
  <c r="AM244" i="1"/>
  <c r="AN24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45" i="1"/>
  <c r="AM245" i="1"/>
  <c r="AN24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46" i="1"/>
  <c r="AM246" i="1"/>
  <c r="AN246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47" i="1"/>
  <c r="AM247" i="1"/>
  <c r="AN247" i="1"/>
  <c r="K194" i="1"/>
  <c r="L194" i="1"/>
  <c r="M194" i="1"/>
  <c r="N194" i="1" s="1"/>
  <c r="T194" i="1"/>
  <c r="V194" i="1"/>
  <c r="Y194" i="1"/>
  <c r="Z194" i="1"/>
  <c r="AB194" i="1"/>
  <c r="AC194" i="1"/>
  <c r="AD194" i="1"/>
  <c r="AG194" i="1" s="1"/>
  <c r="AE194" i="1"/>
  <c r="AF194" i="1"/>
  <c r="AH248" i="1"/>
  <c r="AM248" i="1"/>
  <c r="AN24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49" i="1"/>
  <c r="AM249" i="1"/>
  <c r="AN249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50" i="1"/>
  <c r="AM250" i="1"/>
  <c r="AN250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51" i="1"/>
  <c r="AM251" i="1"/>
  <c r="AN251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52" i="1"/>
  <c r="AM252" i="1"/>
  <c r="AN25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53" i="1"/>
  <c r="AM253" i="1"/>
  <c r="AN25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54" i="1"/>
  <c r="AM254" i="1"/>
  <c r="AN254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55" i="1"/>
  <c r="AM255" i="1"/>
  <c r="AN255" i="1"/>
  <c r="K202" i="1"/>
  <c r="L202" i="1"/>
  <c r="M202" i="1"/>
  <c r="N202" i="1" s="1"/>
  <c r="T202" i="1"/>
  <c r="V202" i="1"/>
  <c r="Y202" i="1"/>
  <c r="Z202" i="1"/>
  <c r="AA202" i="1" s="1"/>
  <c r="AB202" i="1"/>
  <c r="AC202" i="1"/>
  <c r="AD202" i="1"/>
  <c r="AE202" i="1"/>
  <c r="AF202" i="1"/>
  <c r="AH256" i="1"/>
  <c r="AM256" i="1"/>
  <c r="AN25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57" i="1"/>
  <c r="AM257" i="1"/>
  <c r="AN25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58" i="1"/>
  <c r="AM258" i="1"/>
  <c r="AN258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59" i="1"/>
  <c r="AM259" i="1"/>
  <c r="AN25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60" i="1"/>
  <c r="AM260" i="1"/>
  <c r="AN26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61" i="1"/>
  <c r="AM261" i="1"/>
  <c r="AN261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62" i="1"/>
  <c r="AM262" i="1"/>
  <c r="AN26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63" i="1"/>
  <c r="AM263" i="1"/>
  <c r="AN263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64" i="1"/>
  <c r="AM264" i="1"/>
  <c r="AN264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65" i="1"/>
  <c r="AM265" i="1"/>
  <c r="AN265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66" i="1"/>
  <c r="AM266" i="1"/>
  <c r="AN266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267" i="1"/>
  <c r="AM267" i="1"/>
  <c r="AN267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68" i="1"/>
  <c r="AM268" i="1"/>
  <c r="AN268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269" i="1"/>
  <c r="AM269" i="1"/>
  <c r="AN269" i="1"/>
  <c r="M19" i="3"/>
  <c r="S19" i="3"/>
  <c r="U19" i="3"/>
  <c r="T19" i="3" s="1"/>
  <c r="V19" i="3"/>
  <c r="W19" i="3"/>
  <c r="X19" i="3"/>
  <c r="Y19" i="3"/>
  <c r="M35" i="3"/>
  <c r="U35" i="3"/>
  <c r="AD35" i="3" s="1"/>
  <c r="V35" i="3"/>
  <c r="W35" i="3"/>
  <c r="X35" i="3"/>
  <c r="M25" i="3"/>
  <c r="R25" i="3"/>
  <c r="U25" i="3"/>
  <c r="AC25" i="3" s="1"/>
  <c r="V25" i="3"/>
  <c r="W25" i="3"/>
  <c r="Y25" i="3" s="1"/>
  <c r="X25" i="3"/>
  <c r="M36" i="3"/>
  <c r="U36" i="3"/>
  <c r="V36" i="3"/>
  <c r="W36" i="3"/>
  <c r="X36" i="3"/>
  <c r="AC36" i="3"/>
  <c r="M11" i="3"/>
  <c r="R11" i="3"/>
  <c r="U11" i="3"/>
  <c r="T11" i="3" s="1"/>
  <c r="V11" i="3"/>
  <c r="W11" i="3"/>
  <c r="Y11" i="3" s="1"/>
  <c r="X11" i="3"/>
  <c r="M10" i="3"/>
  <c r="R10" i="3"/>
  <c r="S10" i="3"/>
  <c r="U10" i="3"/>
  <c r="V10" i="3"/>
  <c r="W10" i="3"/>
  <c r="Y10" i="3" s="1"/>
  <c r="X10" i="3"/>
  <c r="M52" i="3"/>
  <c r="R52" i="3"/>
  <c r="S52" i="3"/>
  <c r="U52" i="3"/>
  <c r="AC52" i="3" s="1"/>
  <c r="V52" i="3"/>
  <c r="W52" i="3"/>
  <c r="X52" i="3"/>
  <c r="M50" i="3"/>
  <c r="R50" i="3"/>
  <c r="S50" i="3"/>
  <c r="U50" i="3"/>
  <c r="V50" i="3"/>
  <c r="W50" i="3"/>
  <c r="X50" i="3"/>
  <c r="AC50" i="3"/>
  <c r="M43" i="3"/>
  <c r="R43" i="3"/>
  <c r="S43" i="3"/>
  <c r="U43" i="3"/>
  <c r="T43" i="3" s="1"/>
  <c r="V43" i="3"/>
  <c r="W43" i="3"/>
  <c r="X43" i="3"/>
  <c r="M47" i="3"/>
  <c r="R47" i="3"/>
  <c r="S47" i="3"/>
  <c r="U47" i="3"/>
  <c r="V47" i="3"/>
  <c r="W47" i="3"/>
  <c r="X47" i="3"/>
  <c r="M44" i="3"/>
  <c r="R44" i="3"/>
  <c r="S44" i="3"/>
  <c r="U44" i="3"/>
  <c r="AC44" i="3" s="1"/>
  <c r="V44" i="3"/>
  <c r="W44" i="3"/>
  <c r="X44" i="3"/>
  <c r="M29" i="3"/>
  <c r="S29" i="3"/>
  <c r="U29" i="3"/>
  <c r="V29" i="3"/>
  <c r="W29" i="3"/>
  <c r="X29" i="3"/>
  <c r="AC29" i="3"/>
  <c r="M48" i="3"/>
  <c r="R48" i="3"/>
  <c r="S48" i="3"/>
  <c r="U48" i="3"/>
  <c r="T48" i="3" s="1"/>
  <c r="V48" i="3"/>
  <c r="W48" i="3"/>
  <c r="X48" i="3"/>
  <c r="M42" i="3"/>
  <c r="R42" i="3"/>
  <c r="S42" i="3"/>
  <c r="U42" i="3"/>
  <c r="AD42" i="3" s="1"/>
  <c r="V42" i="3"/>
  <c r="W42" i="3"/>
  <c r="X42" i="3"/>
  <c r="Y42" i="3"/>
  <c r="M30" i="3"/>
  <c r="T30" i="3"/>
  <c r="U30" i="3"/>
  <c r="AC30" i="3" s="1"/>
  <c r="V30" i="3"/>
  <c r="W30" i="3"/>
  <c r="Y30" i="3" s="1"/>
  <c r="X30" i="3"/>
  <c r="M20" i="3"/>
  <c r="U20" i="3"/>
  <c r="T20" i="3" s="1"/>
  <c r="V20" i="3"/>
  <c r="W20" i="3"/>
  <c r="X20" i="3"/>
  <c r="AC20" i="3"/>
  <c r="M31" i="3"/>
  <c r="U31" i="3"/>
  <c r="T31" i="3" s="1"/>
  <c r="V31" i="3"/>
  <c r="W31" i="3"/>
  <c r="X31" i="3"/>
  <c r="Y31" i="3"/>
  <c r="M28" i="3"/>
  <c r="S28" i="3"/>
  <c r="U28" i="3"/>
  <c r="AD25" i="3" s="1"/>
  <c r="V28" i="3"/>
  <c r="W28" i="3"/>
  <c r="X28" i="3"/>
  <c r="M37" i="3"/>
  <c r="U37" i="3"/>
  <c r="AC37" i="3" s="1"/>
  <c r="V37" i="3"/>
  <c r="W37" i="3"/>
  <c r="X37" i="3"/>
  <c r="M14" i="3"/>
  <c r="U14" i="3"/>
  <c r="V14" i="3"/>
  <c r="W14" i="3"/>
  <c r="X14" i="3"/>
  <c r="M45" i="3"/>
  <c r="R45" i="3"/>
  <c r="S45" i="3"/>
  <c r="U45" i="3"/>
  <c r="T45" i="3" s="1"/>
  <c r="V45" i="3"/>
  <c r="W45" i="3"/>
  <c r="X45" i="3"/>
  <c r="M38" i="3"/>
  <c r="R38" i="3"/>
  <c r="U38" i="3"/>
  <c r="AD29" i="3" s="1"/>
  <c r="V38" i="3"/>
  <c r="W38" i="3"/>
  <c r="Y38" i="3" s="1"/>
  <c r="X38" i="3"/>
  <c r="M39" i="3"/>
  <c r="R39" i="3"/>
  <c r="U39" i="3"/>
  <c r="AC39" i="3" s="1"/>
  <c r="V39" i="3"/>
  <c r="W39" i="3"/>
  <c r="X39" i="3"/>
  <c r="AD30" i="3"/>
  <c r="AE30" i="3"/>
  <c r="M7" i="3"/>
  <c r="U7" i="3"/>
  <c r="T7" i="3" s="1"/>
  <c r="V7" i="3"/>
  <c r="W7" i="3"/>
  <c r="Y7" i="3" s="1"/>
  <c r="X7" i="3"/>
  <c r="AC7" i="3"/>
  <c r="M8" i="3"/>
  <c r="R8" i="3"/>
  <c r="U8" i="3"/>
  <c r="T8" i="3" s="1"/>
  <c r="V8" i="3"/>
  <c r="W8" i="3"/>
  <c r="Y8" i="3" s="1"/>
  <c r="X8" i="3"/>
  <c r="M18" i="3"/>
  <c r="S18" i="3"/>
  <c r="U18" i="3"/>
  <c r="V18" i="3"/>
  <c r="W18" i="3"/>
  <c r="X18" i="3"/>
  <c r="M32" i="3"/>
  <c r="S32" i="3"/>
  <c r="U32" i="3"/>
  <c r="AC32" i="3" s="1"/>
  <c r="V32" i="3"/>
  <c r="W32" i="3"/>
  <c r="X32" i="3"/>
  <c r="AD34" i="3"/>
  <c r="M22" i="3"/>
  <c r="U22" i="3"/>
  <c r="T22" i="3" s="1"/>
  <c r="V22" i="3"/>
  <c r="W22" i="3"/>
  <c r="X22" i="3"/>
  <c r="AC22" i="3"/>
  <c r="M46" i="3"/>
  <c r="R46" i="3"/>
  <c r="S46" i="3"/>
  <c r="U46" i="3"/>
  <c r="T46" i="3" s="1"/>
  <c r="V46" i="3"/>
  <c r="AE46" i="3" s="1"/>
  <c r="W46" i="3"/>
  <c r="Y46" i="3" s="1"/>
  <c r="X46" i="3"/>
  <c r="M24" i="3"/>
  <c r="R24" i="3"/>
  <c r="U24" i="3"/>
  <c r="V24" i="3"/>
  <c r="W24" i="3"/>
  <c r="Y24" i="3" s="1"/>
  <c r="X24" i="3"/>
  <c r="M23" i="3"/>
  <c r="R23" i="3"/>
  <c r="U23" i="3"/>
  <c r="AC23" i="3" s="1"/>
  <c r="V23" i="3"/>
  <c r="W23" i="3"/>
  <c r="X23" i="3"/>
  <c r="AD38" i="3"/>
  <c r="M49" i="3"/>
  <c r="R49" i="3"/>
  <c r="S49" i="3"/>
  <c r="U49" i="3"/>
  <c r="V49" i="3"/>
  <c r="W49" i="3"/>
  <c r="X49" i="3"/>
  <c r="M16" i="3"/>
  <c r="R16" i="3"/>
  <c r="U16" i="3"/>
  <c r="T16" i="3" s="1"/>
  <c r="V16" i="3"/>
  <c r="W16" i="3"/>
  <c r="Y16" i="3" s="1"/>
  <c r="X16" i="3"/>
  <c r="M51" i="3"/>
  <c r="R51" i="3"/>
  <c r="S51" i="3"/>
  <c r="U51" i="3"/>
  <c r="V51" i="3"/>
  <c r="W51" i="3"/>
  <c r="X51" i="3"/>
  <c r="M13" i="3"/>
  <c r="U13" i="3"/>
  <c r="AC13" i="3" s="1"/>
  <c r="V13" i="3"/>
  <c r="W13" i="3"/>
  <c r="X13" i="3"/>
  <c r="M15" i="3"/>
  <c r="U15" i="3"/>
  <c r="T15" i="3" s="1"/>
  <c r="V15" i="3"/>
  <c r="W15" i="3"/>
  <c r="X15" i="3"/>
  <c r="AC15" i="3"/>
  <c r="M40" i="3"/>
  <c r="R40" i="3"/>
  <c r="S40" i="3"/>
  <c r="U40" i="3"/>
  <c r="T40" i="3" s="1"/>
  <c r="V40" i="3"/>
  <c r="W40" i="3"/>
  <c r="X40" i="3"/>
  <c r="M12" i="3"/>
  <c r="U12" i="3"/>
  <c r="AD45" i="3" s="1"/>
  <c r="V12" i="3"/>
  <c r="W12" i="3"/>
  <c r="X12" i="3"/>
  <c r="Y12" i="3"/>
  <c r="M41" i="3"/>
  <c r="U41" i="3"/>
  <c r="AC41" i="3" s="1"/>
  <c r="V41" i="3"/>
  <c r="W41" i="3"/>
  <c r="X41" i="3"/>
  <c r="M17" i="3"/>
  <c r="U17" i="3"/>
  <c r="T17" i="3" s="1"/>
  <c r="V17" i="3"/>
  <c r="W17" i="3"/>
  <c r="X17" i="3"/>
  <c r="M33" i="3"/>
  <c r="S33" i="3"/>
  <c r="U33" i="3"/>
  <c r="T33" i="3" s="1"/>
  <c r="V33" i="3"/>
  <c r="W33" i="3"/>
  <c r="X33" i="3"/>
  <c r="M53" i="3"/>
  <c r="R53" i="3"/>
  <c r="S53" i="3"/>
  <c r="U53" i="3"/>
  <c r="V53" i="3"/>
  <c r="W53" i="3"/>
  <c r="X53" i="3"/>
  <c r="M26" i="3"/>
  <c r="S26" i="3"/>
  <c r="U26" i="3"/>
  <c r="AC26" i="3" s="1"/>
  <c r="V26" i="3"/>
  <c r="W26" i="3"/>
  <c r="X26" i="3"/>
  <c r="M27" i="3"/>
  <c r="R27" i="3"/>
  <c r="S27" i="3"/>
  <c r="U27" i="3"/>
  <c r="T27" i="3" s="1"/>
  <c r="V27" i="3"/>
  <c r="W27" i="3"/>
  <c r="X27" i="3"/>
  <c r="AC27" i="3"/>
  <c r="AD51" i="3"/>
  <c r="M34" i="3"/>
  <c r="S34" i="3"/>
  <c r="U34" i="3"/>
  <c r="T34" i="3" s="1"/>
  <c r="V34" i="3"/>
  <c r="W34" i="3"/>
  <c r="Y34" i="3" s="1"/>
  <c r="X34" i="3"/>
  <c r="AC34" i="3"/>
  <c r="M21" i="3"/>
  <c r="R21" i="3"/>
  <c r="S21" i="3"/>
  <c r="U21" i="3"/>
  <c r="V21" i="3"/>
  <c r="W21" i="3"/>
  <c r="X21" i="3"/>
  <c r="R15" i="3" l="1"/>
  <c r="AA228" i="1"/>
  <c r="W228" i="1" s="1"/>
  <c r="AA250" i="1"/>
  <c r="W250" i="1" s="1"/>
  <c r="T146" i="1"/>
  <c r="AI140" i="1"/>
  <c r="AA125" i="1"/>
  <c r="AA87" i="1"/>
  <c r="AI79" i="1"/>
  <c r="T76" i="1"/>
  <c r="AI75" i="1"/>
  <c r="T72" i="1"/>
  <c r="U72" i="1" s="1"/>
  <c r="S72" i="1" s="1"/>
  <c r="AA71" i="1"/>
  <c r="AA57" i="1"/>
  <c r="W57" i="1" s="1"/>
  <c r="AI46" i="1"/>
  <c r="T24" i="1"/>
  <c r="AA23" i="1"/>
  <c r="W23" i="1" s="1"/>
  <c r="AA72" i="1"/>
  <c r="W72" i="1" s="1"/>
  <c r="X202" i="1"/>
  <c r="X181" i="1"/>
  <c r="X258" i="1"/>
  <c r="AA224" i="1"/>
  <c r="W224" i="1" s="1"/>
  <c r="AA126" i="1"/>
  <c r="AA122" i="1"/>
  <c r="AA116" i="1"/>
  <c r="AA114" i="1"/>
  <c r="AA110" i="1"/>
  <c r="AA108" i="1"/>
  <c r="AA97" i="1"/>
  <c r="AA78" i="1"/>
  <c r="AG73" i="1"/>
  <c r="X73" i="1"/>
  <c r="X54" i="1"/>
  <c r="T53" i="1"/>
  <c r="AA50" i="1"/>
  <c r="W50" i="1" s="1"/>
  <c r="AG21" i="1"/>
  <c r="U21" i="1" s="1"/>
  <c r="S21" i="1" s="1"/>
  <c r="AA20" i="1"/>
  <c r="X69" i="1"/>
  <c r="AG126" i="1"/>
  <c r="AI126" i="1" s="1"/>
  <c r="AG88" i="1"/>
  <c r="AI88" i="1" s="1"/>
  <c r="AG69" i="1"/>
  <c r="AI69" i="1" s="1"/>
  <c r="AA65" i="1"/>
  <c r="AA51" i="1"/>
  <c r="AG25" i="1"/>
  <c r="U25" i="1" s="1"/>
  <c r="X68" i="1"/>
  <c r="S16" i="3"/>
  <c r="S23" i="3"/>
  <c r="AG202" i="1"/>
  <c r="U202" i="1" s="1"/>
  <c r="S202" i="1" s="1"/>
  <c r="AA200" i="1"/>
  <c r="AA196" i="1"/>
  <c r="AA194" i="1"/>
  <c r="AA178" i="1"/>
  <c r="W178" i="1" s="1"/>
  <c r="AA171" i="1"/>
  <c r="W171" i="1" s="1"/>
  <c r="AA246" i="1"/>
  <c r="W246" i="1" s="1"/>
  <c r="AA137" i="1"/>
  <c r="W137" i="1" s="1"/>
  <c r="X96" i="1"/>
  <c r="X81" i="1"/>
  <c r="T54" i="1"/>
  <c r="AG51" i="1"/>
  <c r="AI51" i="1" s="1"/>
  <c r="T43" i="1"/>
  <c r="U43" i="1" s="1"/>
  <c r="S43" i="1" s="1"/>
  <c r="T38" i="1"/>
  <c r="AG176" i="1"/>
  <c r="AI166" i="1"/>
  <c r="AA208" i="1"/>
  <c r="X198" i="1"/>
  <c r="AA192" i="1"/>
  <c r="AA188" i="1"/>
  <c r="AA259" i="1"/>
  <c r="AA253" i="1"/>
  <c r="AA214" i="1"/>
  <c r="AA113" i="1"/>
  <c r="AA109" i="1"/>
  <c r="AA107" i="1"/>
  <c r="AA95" i="1"/>
  <c r="W95" i="1" s="1"/>
  <c r="AA82" i="1"/>
  <c r="AA80" i="1"/>
  <c r="AA54" i="1"/>
  <c r="AG20" i="1"/>
  <c r="AA19" i="1"/>
  <c r="X70" i="1"/>
  <c r="T50" i="3"/>
  <c r="AD50" i="3"/>
  <c r="T118" i="1"/>
  <c r="X118" i="1"/>
  <c r="T65" i="1"/>
  <c r="X65" i="1"/>
  <c r="AG65" i="1"/>
  <c r="T61" i="1"/>
  <c r="AG61" i="1"/>
  <c r="AG15" i="1"/>
  <c r="AI15" i="1" s="1"/>
  <c r="T15" i="1"/>
  <c r="AD53" i="3"/>
  <c r="T41" i="3"/>
  <c r="T37" i="3"/>
  <c r="X235" i="1"/>
  <c r="T235" i="1"/>
  <c r="AG162" i="1"/>
  <c r="U162" i="1" s="1"/>
  <c r="S162" i="1" s="1"/>
  <c r="T162" i="1"/>
  <c r="R26" i="3"/>
  <c r="AD43" i="3"/>
  <c r="AE43" i="3"/>
  <c r="AA227" i="1"/>
  <c r="AG247" i="1"/>
  <c r="AI247" i="1" s="1"/>
  <c r="T247" i="1"/>
  <c r="U247" i="1" s="1"/>
  <c r="S247" i="1" s="1"/>
  <c r="AA234" i="1"/>
  <c r="AA221" i="1"/>
  <c r="AG216" i="1"/>
  <c r="T216" i="1"/>
  <c r="U216" i="1" s="1"/>
  <c r="S216" i="1" s="1"/>
  <c r="AG149" i="1"/>
  <c r="AI149" i="1" s="1"/>
  <c r="T149" i="1"/>
  <c r="AA149" i="1"/>
  <c r="AA135" i="1"/>
  <c r="W135" i="1" s="1"/>
  <c r="R17" i="3"/>
  <c r="R33" i="3"/>
  <c r="AA133" i="1"/>
  <c r="T108" i="1"/>
  <c r="AG108" i="1"/>
  <c r="AI108" i="1" s="1"/>
  <c r="T92" i="1"/>
  <c r="AG92" i="1"/>
  <c r="AG168" i="1"/>
  <c r="U168" i="1" s="1"/>
  <c r="S168" i="1" s="1"/>
  <c r="T168" i="1"/>
  <c r="AG234" i="1"/>
  <c r="T234" i="1"/>
  <c r="U234" i="1" s="1"/>
  <c r="S234" i="1" s="1"/>
  <c r="T135" i="1"/>
  <c r="U135" i="1" s="1"/>
  <c r="S135" i="1" s="1"/>
  <c r="AG135" i="1"/>
  <c r="S13" i="3"/>
  <c r="S15" i="3"/>
  <c r="S7" i="3"/>
  <c r="S8" i="3"/>
  <c r="AG83" i="1"/>
  <c r="AI83" i="1" s="1"/>
  <c r="T83" i="1"/>
  <c r="AG66" i="1"/>
  <c r="X66" i="1"/>
  <c r="AI53" i="1"/>
  <c r="T31" i="1"/>
  <c r="AG31" i="1"/>
  <c r="AI31" i="1" s="1"/>
  <c r="AI185" i="1"/>
  <c r="AA185" i="1"/>
  <c r="X182" i="1"/>
  <c r="T182" i="1"/>
  <c r="AA167" i="1"/>
  <c r="W167" i="1" s="1"/>
  <c r="AA211" i="1"/>
  <c r="W126" i="1"/>
  <c r="AA118" i="1"/>
  <c r="T100" i="1"/>
  <c r="AG100" i="1"/>
  <c r="X84" i="1"/>
  <c r="AA84" i="1"/>
  <c r="Y41" i="3"/>
  <c r="Y51" i="3"/>
  <c r="AA180" i="1"/>
  <c r="W180" i="1" s="1"/>
  <c r="X217" i="1"/>
  <c r="X214" i="1"/>
  <c r="AA152" i="1"/>
  <c r="AA129" i="1"/>
  <c r="AI106" i="1"/>
  <c r="X62" i="1"/>
  <c r="AA53" i="1"/>
  <c r="W53" i="1" s="1"/>
  <c r="AA37" i="1"/>
  <c r="AA24" i="1"/>
  <c r="W24" i="1" s="1"/>
  <c r="AI23" i="1"/>
  <c r="X16" i="1"/>
  <c r="Y33" i="3"/>
  <c r="Y22" i="3"/>
  <c r="Y28" i="3"/>
  <c r="Y53" i="3"/>
  <c r="AE38" i="3"/>
  <c r="AD37" i="3"/>
  <c r="AE35" i="3"/>
  <c r="Y45" i="3"/>
  <c r="AD19" i="3"/>
  <c r="T44" i="3"/>
  <c r="Y43" i="3"/>
  <c r="Y50" i="3"/>
  <c r="AE10" i="3"/>
  <c r="AD11" i="3"/>
  <c r="AA226" i="1"/>
  <c r="AA209" i="1"/>
  <c r="AA186" i="1"/>
  <c r="AA181" i="1"/>
  <c r="X256" i="1"/>
  <c r="AA255" i="1"/>
  <c r="X252" i="1"/>
  <c r="X221" i="1"/>
  <c r="AA215" i="1"/>
  <c r="AA213" i="1"/>
  <c r="AG159" i="1"/>
  <c r="AI159" i="1" s="1"/>
  <c r="X107" i="1"/>
  <c r="AA94" i="1"/>
  <c r="AA76" i="1"/>
  <c r="W76" i="1" s="1"/>
  <c r="AA68" i="1"/>
  <c r="AA66" i="1"/>
  <c r="X35" i="1"/>
  <c r="AA17" i="1"/>
  <c r="AA14" i="1"/>
  <c r="AA52" i="1"/>
  <c r="W51" i="1"/>
  <c r="AA34" i="1"/>
  <c r="AA30" i="1"/>
  <c r="U24" i="1"/>
  <c r="S24" i="1" s="1"/>
  <c r="U19" i="1"/>
  <c r="S19" i="1" s="1"/>
  <c r="X229" i="1"/>
  <c r="AG225" i="1"/>
  <c r="AI225" i="1" s="1"/>
  <c r="X225" i="1"/>
  <c r="X205" i="1"/>
  <c r="AA203" i="1"/>
  <c r="AA195" i="1"/>
  <c r="X193" i="1"/>
  <c r="AG190" i="1"/>
  <c r="X190" i="1"/>
  <c r="X269" i="1"/>
  <c r="AA267" i="1"/>
  <c r="AA176" i="1"/>
  <c r="AG165" i="1"/>
  <c r="U165" i="1" s="1"/>
  <c r="X165" i="1"/>
  <c r="AG256" i="1"/>
  <c r="U256" i="1" s="1"/>
  <c r="S256" i="1" s="1"/>
  <c r="AG244" i="1"/>
  <c r="X244" i="1"/>
  <c r="AG239" i="1"/>
  <c r="U239" i="1" s="1"/>
  <c r="S239" i="1" s="1"/>
  <c r="AA238" i="1"/>
  <c r="AA237" i="1"/>
  <c r="AG221" i="1"/>
  <c r="U221" i="1" s="1"/>
  <c r="AA220" i="1"/>
  <c r="AA150" i="1"/>
  <c r="T138" i="1"/>
  <c r="AA85" i="1"/>
  <c r="AA81" i="1"/>
  <c r="AA79" i="1"/>
  <c r="W79" i="1" s="1"/>
  <c r="AA75" i="1"/>
  <c r="W75" i="1" s="1"/>
  <c r="AA70" i="1"/>
  <c r="W65" i="1"/>
  <c r="AA61" i="1"/>
  <c r="X50" i="1"/>
  <c r="X47" i="1"/>
  <c r="AA32" i="1"/>
  <c r="T32" i="1"/>
  <c r="AA28" i="1"/>
  <c r="T28" i="1"/>
  <c r="T27" i="1"/>
  <c r="U27" i="1" s="1"/>
  <c r="S27" i="1" s="1"/>
  <c r="AA26" i="1"/>
  <c r="X24" i="1"/>
  <c r="T23" i="1"/>
  <c r="U23" i="1" s="1"/>
  <c r="S23" i="1" s="1"/>
  <c r="AA22" i="1"/>
  <c r="W19" i="1"/>
  <c r="W263" i="1"/>
  <c r="AA132" i="1"/>
  <c r="X131" i="1"/>
  <c r="AG115" i="1"/>
  <c r="U115" i="1" s="1"/>
  <c r="S115" i="1" s="1"/>
  <c r="X115" i="1"/>
  <c r="AA102" i="1"/>
  <c r="W102" i="1" s="1"/>
  <c r="AA99" i="1"/>
  <c r="AI95" i="1"/>
  <c r="AA225" i="1"/>
  <c r="AG209" i="1"/>
  <c r="W209" i="1" s="1"/>
  <c r="AA205" i="1"/>
  <c r="W205" i="1" s="1"/>
  <c r="AA204" i="1"/>
  <c r="AG201" i="1"/>
  <c r="W201" i="1" s="1"/>
  <c r="AA197" i="1"/>
  <c r="AA187" i="1"/>
  <c r="AG266" i="1"/>
  <c r="U266" i="1" s="1"/>
  <c r="S266" i="1" s="1"/>
  <c r="AA179" i="1"/>
  <c r="AA260" i="1"/>
  <c r="W260" i="1" s="1"/>
  <c r="AA172" i="1"/>
  <c r="AA164" i="1"/>
  <c r="AA254" i="1"/>
  <c r="W254" i="1" s="1"/>
  <c r="AA251" i="1"/>
  <c r="AA243" i="1"/>
  <c r="AG236" i="1"/>
  <c r="U236" i="1" s="1"/>
  <c r="S236" i="1" s="1"/>
  <c r="AG231" i="1"/>
  <c r="AA216" i="1"/>
  <c r="W216" i="1" s="1"/>
  <c r="AA212" i="1"/>
  <c r="AA158" i="1"/>
  <c r="AA104" i="1"/>
  <c r="AG85" i="1"/>
  <c r="AI85" i="1" s="1"/>
  <c r="X85" i="1"/>
  <c r="AG80" i="1"/>
  <c r="AI80" i="1" s="1"/>
  <c r="X75" i="1"/>
  <c r="AG68" i="1"/>
  <c r="AA60" i="1"/>
  <c r="AA47" i="1"/>
  <c r="AA46" i="1"/>
  <c r="W46" i="1" s="1"/>
  <c r="AA39" i="1"/>
  <c r="AG32" i="1"/>
  <c r="AG28" i="1"/>
  <c r="AI28" i="1" s="1"/>
  <c r="AA27" i="1"/>
  <c r="W27" i="1" s="1"/>
  <c r="W20" i="1"/>
  <c r="X228" i="1"/>
  <c r="X197" i="1"/>
  <c r="W194" i="1"/>
  <c r="U232" i="1"/>
  <c r="AI156" i="1"/>
  <c r="AA156" i="1"/>
  <c r="W156" i="1" s="1"/>
  <c r="AA154" i="1"/>
  <c r="AA139" i="1"/>
  <c r="T137" i="1"/>
  <c r="AA134" i="1"/>
  <c r="T131" i="1"/>
  <c r="AA130" i="1"/>
  <c r="X126" i="1"/>
  <c r="AG122" i="1"/>
  <c r="AI122" i="1" s="1"/>
  <c r="AA121" i="1"/>
  <c r="AG114" i="1"/>
  <c r="AI114" i="1" s="1"/>
  <c r="X110" i="1"/>
  <c r="AG109" i="1"/>
  <c r="AI109" i="1" s="1"/>
  <c r="X109" i="1"/>
  <c r="AA103" i="1"/>
  <c r="X91" i="1"/>
  <c r="AA67" i="1"/>
  <c r="AG54" i="1"/>
  <c r="U54" i="1" s="1"/>
  <c r="AA38" i="1"/>
  <c r="W38" i="1" s="1"/>
  <c r="AA35" i="1"/>
  <c r="AG33" i="1"/>
  <c r="U33" i="1" s="1"/>
  <c r="S33" i="1" s="1"/>
  <c r="AG29" i="1"/>
  <c r="U29" i="1" s="1"/>
  <c r="AG17" i="1"/>
  <c r="U17" i="1" s="1"/>
  <c r="AI205" i="1"/>
  <c r="T228" i="1"/>
  <c r="U228" i="1" s="1"/>
  <c r="S228" i="1" s="1"/>
  <c r="T197" i="1"/>
  <c r="AA230" i="1"/>
  <c r="AA229" i="1"/>
  <c r="T229" i="1"/>
  <c r="X209" i="1"/>
  <c r="AG206" i="1"/>
  <c r="U206" i="1" s="1"/>
  <c r="X206" i="1"/>
  <c r="AA199" i="1"/>
  <c r="AA198" i="1"/>
  <c r="T198" i="1"/>
  <c r="AG197" i="1"/>
  <c r="W197" i="1" s="1"/>
  <c r="X194" i="1"/>
  <c r="AA193" i="1"/>
  <c r="T193" i="1"/>
  <c r="AA191" i="1"/>
  <c r="AA190" i="1"/>
  <c r="W190" i="1" s="1"/>
  <c r="AG189" i="1"/>
  <c r="AI189" i="1" s="1"/>
  <c r="X189" i="1"/>
  <c r="X185" i="1"/>
  <c r="T262" i="1"/>
  <c r="U262" i="1" s="1"/>
  <c r="S262" i="1" s="1"/>
  <c r="X262" i="1"/>
  <c r="AG262" i="1"/>
  <c r="X172" i="1"/>
  <c r="AG172" i="1"/>
  <c r="U172" i="1" s="1"/>
  <c r="S172" i="1" s="1"/>
  <c r="T164" i="1"/>
  <c r="AG164" i="1"/>
  <c r="X251" i="1"/>
  <c r="AG251" i="1"/>
  <c r="W251" i="1" s="1"/>
  <c r="T243" i="1"/>
  <c r="AG243" i="1"/>
  <c r="AA241" i="1"/>
  <c r="T222" i="1"/>
  <c r="AG222" i="1"/>
  <c r="AI222" i="1" s="1"/>
  <c r="AI221" i="1"/>
  <c r="X154" i="1"/>
  <c r="AG154" i="1"/>
  <c r="T154" i="1"/>
  <c r="X151" i="1"/>
  <c r="X130" i="1"/>
  <c r="AG130" i="1"/>
  <c r="T205" i="1"/>
  <c r="U205" i="1" s="1"/>
  <c r="S205" i="1" s="1"/>
  <c r="U201" i="1"/>
  <c r="S201" i="1" s="1"/>
  <c r="AI201" i="1"/>
  <c r="U194" i="1"/>
  <c r="S194" i="1" s="1"/>
  <c r="U190" i="1"/>
  <c r="S190" i="1" s="1"/>
  <c r="X171" i="1"/>
  <c r="X250" i="1"/>
  <c r="AG238" i="1"/>
  <c r="X238" i="1"/>
  <c r="X239" i="1"/>
  <c r="AA153" i="1"/>
  <c r="W153" i="1" s="1"/>
  <c r="AI153" i="1"/>
  <c r="X127" i="1"/>
  <c r="AG127" i="1"/>
  <c r="T127" i="1"/>
  <c r="X119" i="1"/>
  <c r="AG119" i="1"/>
  <c r="T119" i="1"/>
  <c r="T230" i="1"/>
  <c r="X231" i="1"/>
  <c r="U225" i="1"/>
  <c r="AG229" i="1"/>
  <c r="AA207" i="1"/>
  <c r="AA206" i="1"/>
  <c r="W206" i="1" s="1"/>
  <c r="X201" i="1"/>
  <c r="AG198" i="1"/>
  <c r="AG193" i="1"/>
  <c r="T185" i="1"/>
  <c r="U185" i="1" s="1"/>
  <c r="S185" i="1" s="1"/>
  <c r="AA268" i="1"/>
  <c r="W268" i="1" s="1"/>
  <c r="T173" i="1"/>
  <c r="U173" i="1" s="1"/>
  <c r="S173" i="1" s="1"/>
  <c r="X173" i="1"/>
  <c r="AG173" i="1"/>
  <c r="AI173" i="1" s="1"/>
  <c r="X261" i="1"/>
  <c r="AG261" i="1"/>
  <c r="W261" i="1" s="1"/>
  <c r="T261" i="1"/>
  <c r="X255" i="1"/>
  <c r="AG255" i="1"/>
  <c r="T255" i="1"/>
  <c r="W213" i="1"/>
  <c r="T155" i="1"/>
  <c r="X155" i="1"/>
  <c r="AG155" i="1"/>
  <c r="AI155" i="1" s="1"/>
  <c r="X150" i="1"/>
  <c r="AG150" i="1"/>
  <c r="T143" i="1"/>
  <c r="X143" i="1"/>
  <c r="AG143" i="1"/>
  <c r="AI143" i="1" s="1"/>
  <c r="X186" i="1"/>
  <c r="AG186" i="1"/>
  <c r="U186" i="1" s="1"/>
  <c r="AG179" i="1"/>
  <c r="W179" i="1" s="1"/>
  <c r="T179" i="1"/>
  <c r="U179" i="1" s="1"/>
  <c r="S179" i="1" s="1"/>
  <c r="X180" i="1"/>
  <c r="AG220" i="1"/>
  <c r="T220" i="1"/>
  <c r="AI213" i="1"/>
  <c r="AI165" i="1"/>
  <c r="AG212" i="1"/>
  <c r="W212" i="1" s="1"/>
  <c r="T212" i="1"/>
  <c r="X213" i="1"/>
  <c r="T158" i="1"/>
  <c r="AG158" i="1"/>
  <c r="X134" i="1"/>
  <c r="AG134" i="1"/>
  <c r="X135" i="1"/>
  <c r="T268" i="1"/>
  <c r="U268" i="1" s="1"/>
  <c r="S268" i="1" s="1"/>
  <c r="W176" i="1"/>
  <c r="AA174" i="1"/>
  <c r="W174" i="1" s="1"/>
  <c r="T265" i="1"/>
  <c r="U265" i="1" s="1"/>
  <c r="S265" i="1" s="1"/>
  <c r="AA262" i="1"/>
  <c r="T260" i="1"/>
  <c r="U260" i="1" s="1"/>
  <c r="S260" i="1" s="1"/>
  <c r="AA258" i="1"/>
  <c r="W258" i="1" s="1"/>
  <c r="AA170" i="1"/>
  <c r="AA163" i="1"/>
  <c r="W163" i="1" s="1"/>
  <c r="T254" i="1"/>
  <c r="AA252" i="1"/>
  <c r="AA249" i="1"/>
  <c r="W249" i="1" s="1"/>
  <c r="AA242" i="1"/>
  <c r="W242" i="1" s="1"/>
  <c r="U231" i="1"/>
  <c r="S231" i="1" s="1"/>
  <c r="AA223" i="1"/>
  <c r="AA155" i="1"/>
  <c r="T153" i="1"/>
  <c r="U153" i="1" s="1"/>
  <c r="S153" i="1" s="1"/>
  <c r="AA151" i="1"/>
  <c r="AA144" i="1"/>
  <c r="W144" i="1" s="1"/>
  <c r="T142" i="1"/>
  <c r="U142" i="1" s="1"/>
  <c r="S142" i="1" s="1"/>
  <c r="AA141" i="1"/>
  <c r="AG131" i="1"/>
  <c r="X123" i="1"/>
  <c r="AG123" i="1"/>
  <c r="U123" i="1" s="1"/>
  <c r="T121" i="1"/>
  <c r="X122" i="1"/>
  <c r="AA269" i="1"/>
  <c r="T269" i="1"/>
  <c r="X268" i="1"/>
  <c r="AA182" i="1"/>
  <c r="T180" i="1"/>
  <c r="U180" i="1" s="1"/>
  <c r="S180" i="1" s="1"/>
  <c r="AA265" i="1"/>
  <c r="W265" i="1" s="1"/>
  <c r="AA235" i="1"/>
  <c r="AA217" i="1"/>
  <c r="T213" i="1"/>
  <c r="U213" i="1" s="1"/>
  <c r="S213" i="1" s="1"/>
  <c r="X212" i="1"/>
  <c r="AA162" i="1"/>
  <c r="AA142" i="1"/>
  <c r="AA140" i="1"/>
  <c r="W140" i="1" s="1"/>
  <c r="AA138" i="1"/>
  <c r="AI57" i="1"/>
  <c r="AA184" i="1"/>
  <c r="AG269" i="1"/>
  <c r="AG182" i="1"/>
  <c r="T171" i="1"/>
  <c r="AA168" i="1"/>
  <c r="AA166" i="1"/>
  <c r="W166" i="1" s="1"/>
  <c r="AA256" i="1"/>
  <c r="T250" i="1"/>
  <c r="AA247" i="1"/>
  <c r="W247" i="1" s="1"/>
  <c r="AA245" i="1"/>
  <c r="W245" i="1" s="1"/>
  <c r="AA239" i="1"/>
  <c r="W239" i="1" s="1"/>
  <c r="AG235" i="1"/>
  <c r="AA233" i="1"/>
  <c r="AA231" i="1"/>
  <c r="W231" i="1" s="1"/>
  <c r="T224" i="1"/>
  <c r="U224" i="1" s="1"/>
  <c r="S224" i="1" s="1"/>
  <c r="AG218" i="1"/>
  <c r="U218" i="1" s="1"/>
  <c r="AG217" i="1"/>
  <c r="AA157" i="1"/>
  <c r="AA148" i="1"/>
  <c r="AA146" i="1"/>
  <c r="W146" i="1" s="1"/>
  <c r="AG139" i="1"/>
  <c r="AI139" i="1" s="1"/>
  <c r="X139" i="1"/>
  <c r="AG138" i="1"/>
  <c r="AI137" i="1"/>
  <c r="AA128" i="1"/>
  <c r="AA127" i="1"/>
  <c r="AA124" i="1"/>
  <c r="AA123" i="1"/>
  <c r="AA120" i="1"/>
  <c r="W120" i="1" s="1"/>
  <c r="AG118" i="1"/>
  <c r="X114" i="1"/>
  <c r="AA111" i="1"/>
  <c r="U109" i="1"/>
  <c r="S109" i="1" s="1"/>
  <c r="AA106" i="1"/>
  <c r="W106" i="1" s="1"/>
  <c r="X105" i="1"/>
  <c r="T104" i="1"/>
  <c r="AG101" i="1"/>
  <c r="AI101" i="1" s="1"/>
  <c r="X101" i="1"/>
  <c r="AA100" i="1"/>
  <c r="AG96" i="1"/>
  <c r="AG93" i="1"/>
  <c r="U93" i="1" s="1"/>
  <c r="S93" i="1" s="1"/>
  <c r="X93" i="1"/>
  <c r="AA92" i="1"/>
  <c r="AG89" i="1"/>
  <c r="X89" i="1"/>
  <c r="AA88" i="1"/>
  <c r="AA86" i="1"/>
  <c r="X80" i="1"/>
  <c r="T79" i="1"/>
  <c r="U79" i="1" s="1"/>
  <c r="S79" i="1" s="1"/>
  <c r="AA62" i="1"/>
  <c r="AG58" i="1"/>
  <c r="U58" i="1" s="1"/>
  <c r="X58" i="1"/>
  <c r="T57" i="1"/>
  <c r="U57" i="1" s="1"/>
  <c r="S57" i="1" s="1"/>
  <c r="AA56" i="1"/>
  <c r="X51" i="1"/>
  <c r="AI50" i="1"/>
  <c r="AA49" i="1"/>
  <c r="AG47" i="1"/>
  <c r="AG44" i="1"/>
  <c r="X44" i="1"/>
  <c r="AA43" i="1"/>
  <c r="W43" i="1" s="1"/>
  <c r="AG40" i="1"/>
  <c r="U40" i="1" s="1"/>
  <c r="X40" i="1"/>
  <c r="AG39" i="1"/>
  <c r="U39" i="1" s="1"/>
  <c r="X39" i="1"/>
  <c r="AI38" i="1"/>
  <c r="AG35" i="1"/>
  <c r="W35" i="1" s="1"/>
  <c r="AA33" i="1"/>
  <c r="AA25" i="1"/>
  <c r="W25" i="1" s="1"/>
  <c r="AA16" i="1"/>
  <c r="T16" i="1"/>
  <c r="T110" i="1"/>
  <c r="T95" i="1"/>
  <c r="U95" i="1" s="1"/>
  <c r="S95" i="1" s="1"/>
  <c r="T84" i="1"/>
  <c r="T62" i="1"/>
  <c r="T46" i="1"/>
  <c r="U46" i="1" s="1"/>
  <c r="S46" i="1" s="1"/>
  <c r="AA112" i="1"/>
  <c r="AG110" i="1"/>
  <c r="W110" i="1" s="1"/>
  <c r="AG104" i="1"/>
  <c r="AA101" i="1"/>
  <c r="AA98" i="1"/>
  <c r="AA91" i="1"/>
  <c r="AG84" i="1"/>
  <c r="AA83" i="1"/>
  <c r="W83" i="1" s="1"/>
  <c r="X72" i="1"/>
  <c r="AG62" i="1"/>
  <c r="AA58" i="1"/>
  <c r="AG55" i="1"/>
  <c r="AI55" i="1" s="1"/>
  <c r="AA42" i="1"/>
  <c r="AA41" i="1"/>
  <c r="W41" i="1" s="1"/>
  <c r="AA40" i="1"/>
  <c r="AA36" i="1"/>
  <c r="AA29" i="1"/>
  <c r="AA21" i="1"/>
  <c r="AG16" i="1"/>
  <c r="U114" i="1"/>
  <c r="S114" i="1" s="1"/>
  <c r="U101" i="1"/>
  <c r="S101" i="1" s="1"/>
  <c r="X95" i="1"/>
  <c r="U76" i="1"/>
  <c r="S76" i="1" s="1"/>
  <c r="AI68" i="1"/>
  <c r="AI65" i="1"/>
  <c r="U53" i="1"/>
  <c r="S53" i="1" s="1"/>
  <c r="U51" i="1"/>
  <c r="S51" i="1" s="1"/>
  <c r="X46" i="1"/>
  <c r="W32" i="1"/>
  <c r="AI27" i="1"/>
  <c r="U20" i="1"/>
  <c r="AI19" i="1"/>
  <c r="U189" i="1"/>
  <c r="S189" i="1" s="1"/>
  <c r="AI243" i="1"/>
  <c r="W185" i="1"/>
  <c r="AI239" i="1"/>
  <c r="W189" i="1"/>
  <c r="AG226" i="1"/>
  <c r="W226" i="1" s="1"/>
  <c r="AG207" i="1"/>
  <c r="AG203" i="1"/>
  <c r="W203" i="1" s="1"/>
  <c r="AG199" i="1"/>
  <c r="AG195" i="1"/>
  <c r="AG191" i="1"/>
  <c r="W191" i="1" s="1"/>
  <c r="AG187" i="1"/>
  <c r="AI187" i="1" s="1"/>
  <c r="T184" i="1"/>
  <c r="X184" i="1"/>
  <c r="T183" i="1"/>
  <c r="X183" i="1"/>
  <c r="T178" i="1"/>
  <c r="X178" i="1"/>
  <c r="AG178" i="1"/>
  <c r="AI178" i="1" s="1"/>
  <c r="AI212" i="1"/>
  <c r="U244" i="1"/>
  <c r="AG230" i="1"/>
  <c r="AI230" i="1" s="1"/>
  <c r="X230" i="1"/>
  <c r="AI268" i="1"/>
  <c r="AG227" i="1"/>
  <c r="X226" i="1"/>
  <c r="AI264" i="1"/>
  <c r="S225" i="1"/>
  <c r="AG208" i="1"/>
  <c r="AI208" i="1" s="1"/>
  <c r="X207" i="1"/>
  <c r="AI260" i="1"/>
  <c r="S206" i="1"/>
  <c r="AG204" i="1"/>
  <c r="AI204" i="1" s="1"/>
  <c r="X203" i="1"/>
  <c r="AG200" i="1"/>
  <c r="X199" i="1"/>
  <c r="AG196" i="1"/>
  <c r="AI196" i="1" s="1"/>
  <c r="X195" i="1"/>
  <c r="AG192" i="1"/>
  <c r="AI192" i="1" s="1"/>
  <c r="X191" i="1"/>
  <c r="AI244" i="1"/>
  <c r="AG188" i="1"/>
  <c r="X187" i="1"/>
  <c r="AI240" i="1"/>
  <c r="S186" i="1"/>
  <c r="AG184" i="1"/>
  <c r="AG183" i="1"/>
  <c r="X227" i="1"/>
  <c r="X208" i="1"/>
  <c r="X204" i="1"/>
  <c r="X200" i="1"/>
  <c r="X196" i="1"/>
  <c r="X192" i="1"/>
  <c r="X188" i="1"/>
  <c r="AA266" i="1"/>
  <c r="AA183" i="1"/>
  <c r="T267" i="1"/>
  <c r="X267" i="1"/>
  <c r="AG267" i="1"/>
  <c r="AI267" i="1" s="1"/>
  <c r="X179" i="1"/>
  <c r="W170" i="1"/>
  <c r="X266" i="1"/>
  <c r="AI232" i="1"/>
  <c r="T181" i="1"/>
  <c r="AG177" i="1"/>
  <c r="AI177" i="1" s="1"/>
  <c r="X177" i="1"/>
  <c r="U176" i="1"/>
  <c r="S176" i="1" s="1"/>
  <c r="X265" i="1"/>
  <c r="T264" i="1"/>
  <c r="U264" i="1" s="1"/>
  <c r="S264" i="1" s="1"/>
  <c r="W262" i="1"/>
  <c r="AI218" i="1"/>
  <c r="X260" i="1"/>
  <c r="T259" i="1"/>
  <c r="X259" i="1"/>
  <c r="T258" i="1"/>
  <c r="AG169" i="1"/>
  <c r="AI169" i="1" s="1"/>
  <c r="X169" i="1"/>
  <c r="X164" i="1"/>
  <c r="T163" i="1"/>
  <c r="U163" i="1" s="1"/>
  <c r="S163" i="1" s="1"/>
  <c r="X254" i="1"/>
  <c r="T253" i="1"/>
  <c r="X253" i="1"/>
  <c r="T252" i="1"/>
  <c r="AG248" i="1"/>
  <c r="AI248" i="1" s="1"/>
  <c r="X248" i="1"/>
  <c r="X243" i="1"/>
  <c r="T242" i="1"/>
  <c r="U242" i="1" s="1"/>
  <c r="S242" i="1" s="1"/>
  <c r="T241" i="1"/>
  <c r="X241" i="1"/>
  <c r="AG241" i="1"/>
  <c r="T148" i="1"/>
  <c r="X148" i="1"/>
  <c r="AG148" i="1"/>
  <c r="AI144" i="1"/>
  <c r="AI131" i="1"/>
  <c r="AG181" i="1"/>
  <c r="AI181" i="1" s="1"/>
  <c r="X176" i="1"/>
  <c r="T175" i="1"/>
  <c r="U175" i="1" s="1"/>
  <c r="S175" i="1" s="1"/>
  <c r="AI224" i="1"/>
  <c r="AA173" i="1"/>
  <c r="W173" i="1" s="1"/>
  <c r="X264" i="1"/>
  <c r="T263" i="1"/>
  <c r="U263" i="1" s="1"/>
  <c r="S263" i="1" s="1"/>
  <c r="X263" i="1"/>
  <c r="AG259" i="1"/>
  <c r="AI259" i="1" s="1"/>
  <c r="AG258" i="1"/>
  <c r="U171" i="1"/>
  <c r="S171" i="1" s="1"/>
  <c r="X168" i="1"/>
  <c r="T167" i="1"/>
  <c r="U167" i="1" s="1"/>
  <c r="S167" i="1" s="1"/>
  <c r="AA165" i="1"/>
  <c r="AI206" i="1"/>
  <c r="X163" i="1"/>
  <c r="T257" i="1"/>
  <c r="U257" i="1" s="1"/>
  <c r="S257" i="1" s="1"/>
  <c r="X257" i="1"/>
  <c r="AG253" i="1"/>
  <c r="AG252" i="1"/>
  <c r="U250" i="1"/>
  <c r="S250" i="1" s="1"/>
  <c r="X247" i="1"/>
  <c r="T246" i="1"/>
  <c r="U246" i="1" s="1"/>
  <c r="S246" i="1" s="1"/>
  <c r="AA244" i="1"/>
  <c r="W244" i="1" s="1"/>
  <c r="AI190" i="1"/>
  <c r="X242" i="1"/>
  <c r="AI186" i="1"/>
  <c r="AA236" i="1"/>
  <c r="AA232" i="1"/>
  <c r="W232" i="1" s="1"/>
  <c r="AA222" i="1"/>
  <c r="AA218" i="1"/>
  <c r="W218" i="1" s="1"/>
  <c r="AA160" i="1"/>
  <c r="W160" i="1" s="1"/>
  <c r="AG157" i="1"/>
  <c r="X157" i="1"/>
  <c r="T157" i="1"/>
  <c r="X158" i="1"/>
  <c r="W142" i="1"/>
  <c r="U138" i="1"/>
  <c r="T120" i="1"/>
  <c r="X120" i="1"/>
  <c r="AG120" i="1"/>
  <c r="AA177" i="1"/>
  <c r="AI226" i="1"/>
  <c r="X175" i="1"/>
  <c r="T174" i="1"/>
  <c r="U174" i="1" s="1"/>
  <c r="S174" i="1" s="1"/>
  <c r="X174" i="1"/>
  <c r="AA169" i="1"/>
  <c r="X167" i="1"/>
  <c r="T166" i="1"/>
  <c r="U166" i="1" s="1"/>
  <c r="S166" i="1" s="1"/>
  <c r="X166" i="1"/>
  <c r="U254" i="1"/>
  <c r="S254" i="1" s="1"/>
  <c r="AA248" i="1"/>
  <c r="AI194" i="1"/>
  <c r="X246" i="1"/>
  <c r="T245" i="1"/>
  <c r="U245" i="1" s="1"/>
  <c r="S245" i="1" s="1"/>
  <c r="X245" i="1"/>
  <c r="AA240" i="1"/>
  <c r="W240" i="1" s="1"/>
  <c r="U238" i="1"/>
  <c r="S238" i="1" s="1"/>
  <c r="T237" i="1"/>
  <c r="X237" i="1"/>
  <c r="AG237" i="1"/>
  <c r="W237" i="1" s="1"/>
  <c r="X234" i="1"/>
  <c r="T233" i="1"/>
  <c r="X233" i="1"/>
  <c r="AG233" i="1"/>
  <c r="AI233" i="1" s="1"/>
  <c r="X224" i="1"/>
  <c r="T223" i="1"/>
  <c r="X223" i="1"/>
  <c r="AG223" i="1"/>
  <c r="W223" i="1" s="1"/>
  <c r="X220" i="1"/>
  <c r="T219" i="1"/>
  <c r="X219" i="1"/>
  <c r="AG219" i="1"/>
  <c r="AI219" i="1" s="1"/>
  <c r="X210" i="1"/>
  <c r="AG210" i="1"/>
  <c r="AI210" i="1" s="1"/>
  <c r="AI142" i="1"/>
  <c r="AG141" i="1"/>
  <c r="X141" i="1"/>
  <c r="T141" i="1"/>
  <c r="X142" i="1"/>
  <c r="AI104" i="1"/>
  <c r="U104" i="1"/>
  <c r="S104" i="1" s="1"/>
  <c r="T170" i="1"/>
  <c r="U170" i="1" s="1"/>
  <c r="S170" i="1" s="1"/>
  <c r="X170" i="1"/>
  <c r="AI207" i="1"/>
  <c r="T249" i="1"/>
  <c r="U249" i="1" s="1"/>
  <c r="S249" i="1" s="1"/>
  <c r="X249" i="1"/>
  <c r="S244" i="1"/>
  <c r="AI191" i="1"/>
  <c r="T240" i="1"/>
  <c r="U240" i="1" s="1"/>
  <c r="S240" i="1" s="1"/>
  <c r="X240" i="1"/>
  <c r="AI183" i="1"/>
  <c r="S232" i="1"/>
  <c r="AI175" i="1"/>
  <c r="S218" i="1"/>
  <c r="AI171" i="1"/>
  <c r="T211" i="1"/>
  <c r="X211" i="1"/>
  <c r="AG211" i="1"/>
  <c r="W211" i="1" s="1"/>
  <c r="AI160" i="1"/>
  <c r="X149" i="1"/>
  <c r="W148" i="1"/>
  <c r="X147" i="1"/>
  <c r="AG147" i="1"/>
  <c r="T78" i="1"/>
  <c r="X78" i="1"/>
  <c r="AG78" i="1"/>
  <c r="X79" i="1"/>
  <c r="T60" i="1"/>
  <c r="X60" i="1"/>
  <c r="AG60" i="1"/>
  <c r="X61" i="1"/>
  <c r="X236" i="1"/>
  <c r="AI182" i="1"/>
  <c r="X232" i="1"/>
  <c r="X222" i="1"/>
  <c r="AI174" i="1"/>
  <c r="X218" i="1"/>
  <c r="AI170" i="1"/>
  <c r="X216" i="1"/>
  <c r="T215" i="1"/>
  <c r="X215" i="1"/>
  <c r="T214" i="1"/>
  <c r="AI154" i="1"/>
  <c r="X153" i="1"/>
  <c r="T152" i="1"/>
  <c r="X152" i="1"/>
  <c r="T151" i="1"/>
  <c r="U146" i="1"/>
  <c r="S146" i="1" s="1"/>
  <c r="AI138" i="1"/>
  <c r="S138" i="1"/>
  <c r="X137" i="1"/>
  <c r="T136" i="1"/>
  <c r="X136" i="1"/>
  <c r="T124" i="1"/>
  <c r="X124" i="1"/>
  <c r="AG124" i="1"/>
  <c r="W124" i="1" s="1"/>
  <c r="AI119" i="1"/>
  <c r="AI86" i="1"/>
  <c r="W86" i="1"/>
  <c r="AG215" i="1"/>
  <c r="W215" i="1" s="1"/>
  <c r="AG214" i="1"/>
  <c r="X162" i="1"/>
  <c r="T161" i="1"/>
  <c r="U161" i="1" s="1"/>
  <c r="S161" i="1" s="1"/>
  <c r="AA159" i="1"/>
  <c r="W159" i="1" s="1"/>
  <c r="T156" i="1"/>
  <c r="U156" i="1" s="1"/>
  <c r="S156" i="1" s="1"/>
  <c r="X156" i="1"/>
  <c r="AG152" i="1"/>
  <c r="AG151" i="1"/>
  <c r="X146" i="1"/>
  <c r="T145" i="1"/>
  <c r="U145" i="1" s="1"/>
  <c r="S145" i="1" s="1"/>
  <c r="AA143" i="1"/>
  <c r="T140" i="1"/>
  <c r="U140" i="1" s="1"/>
  <c r="S140" i="1" s="1"/>
  <c r="X140" i="1"/>
  <c r="AG136" i="1"/>
  <c r="W136" i="1" s="1"/>
  <c r="AA131" i="1"/>
  <c r="T128" i="1"/>
  <c r="X128" i="1"/>
  <c r="AG128" i="1"/>
  <c r="U126" i="1"/>
  <c r="S126" i="1" s="1"/>
  <c r="AA115" i="1"/>
  <c r="T112" i="1"/>
  <c r="X112" i="1"/>
  <c r="AG112" i="1"/>
  <c r="W100" i="1"/>
  <c r="AI93" i="1"/>
  <c r="W92" i="1"/>
  <c r="U69" i="1"/>
  <c r="S69" i="1" s="1"/>
  <c r="AA210" i="1"/>
  <c r="X161" i="1"/>
  <c r="T160" i="1"/>
  <c r="U160" i="1" s="1"/>
  <c r="S160" i="1" s="1"/>
  <c r="X160" i="1"/>
  <c r="AA147" i="1"/>
  <c r="X145" i="1"/>
  <c r="T144" i="1"/>
  <c r="U144" i="1" s="1"/>
  <c r="S144" i="1" s="1"/>
  <c r="X144" i="1"/>
  <c r="U137" i="1"/>
  <c r="S137" i="1" s="1"/>
  <c r="AI135" i="1"/>
  <c r="T132" i="1"/>
  <c r="X132" i="1"/>
  <c r="AG132" i="1"/>
  <c r="W132" i="1" s="1"/>
  <c r="AI127" i="1"/>
  <c r="AA119" i="1"/>
  <c r="T116" i="1"/>
  <c r="X116" i="1"/>
  <c r="AG116" i="1"/>
  <c r="AI100" i="1"/>
  <c r="AG99" i="1"/>
  <c r="W99" i="1" s="1"/>
  <c r="T99" i="1"/>
  <c r="X99" i="1"/>
  <c r="X100" i="1"/>
  <c r="U92" i="1"/>
  <c r="S92" i="1" s="1"/>
  <c r="AI92" i="1"/>
  <c r="AI90" i="1"/>
  <c r="T111" i="1"/>
  <c r="AG103" i="1"/>
  <c r="X103" i="1"/>
  <c r="T103" i="1"/>
  <c r="X97" i="1"/>
  <c r="AG97" i="1"/>
  <c r="T94" i="1"/>
  <c r="X94" i="1"/>
  <c r="AG87" i="1"/>
  <c r="W87" i="1" s="1"/>
  <c r="X87" i="1"/>
  <c r="T87" i="1"/>
  <c r="X88" i="1"/>
  <c r="T63" i="1"/>
  <c r="X63" i="1"/>
  <c r="AG63" i="1"/>
  <c r="AG133" i="1"/>
  <c r="W133" i="1" s="1"/>
  <c r="AG129" i="1"/>
  <c r="AG125" i="1"/>
  <c r="AG121" i="1"/>
  <c r="AG117" i="1"/>
  <c r="AG113" i="1"/>
  <c r="AG111" i="1"/>
  <c r="AG107" i="1"/>
  <c r="W107" i="1" s="1"/>
  <c r="T107" i="1"/>
  <c r="X108" i="1"/>
  <c r="T106" i="1"/>
  <c r="U106" i="1" s="1"/>
  <c r="S106" i="1" s="1"/>
  <c r="X106" i="1"/>
  <c r="AG105" i="1"/>
  <c r="AG94" i="1"/>
  <c r="AA93" i="1"/>
  <c r="AA90" i="1"/>
  <c r="W90" i="1" s="1"/>
  <c r="U85" i="1"/>
  <c r="S85" i="1" s="1"/>
  <c r="W84" i="1"/>
  <c r="AI74" i="1"/>
  <c r="AI59" i="1"/>
  <c r="X133" i="1"/>
  <c r="X129" i="1"/>
  <c r="X125" i="1"/>
  <c r="X121" i="1"/>
  <c r="X117" i="1"/>
  <c r="X113" i="1"/>
  <c r="W104" i="1"/>
  <c r="T98" i="1"/>
  <c r="X98" i="1"/>
  <c r="AG98" i="1"/>
  <c r="AG91" i="1"/>
  <c r="W91" i="1" s="1"/>
  <c r="T91" i="1"/>
  <c r="X92" i="1"/>
  <c r="T90" i="1"/>
  <c r="U90" i="1" s="1"/>
  <c r="S90" i="1" s="1"/>
  <c r="X90" i="1"/>
  <c r="AI89" i="1"/>
  <c r="U89" i="1"/>
  <c r="S89" i="1" s="1"/>
  <c r="AI84" i="1"/>
  <c r="W78" i="1"/>
  <c r="X77" i="1"/>
  <c r="AG77" i="1"/>
  <c r="U73" i="1"/>
  <c r="S73" i="1" s="1"/>
  <c r="U55" i="1"/>
  <c r="S55" i="1" s="1"/>
  <c r="X83" i="1"/>
  <c r="T82" i="1"/>
  <c r="X82" i="1"/>
  <c r="T81" i="1"/>
  <c r="AI73" i="1"/>
  <c r="W70" i="1"/>
  <c r="T67" i="1"/>
  <c r="T64" i="1"/>
  <c r="X64" i="1"/>
  <c r="AG64" i="1"/>
  <c r="X48" i="1"/>
  <c r="AG48" i="1"/>
  <c r="AI45" i="1"/>
  <c r="AI44" i="1"/>
  <c r="U44" i="1"/>
  <c r="S44" i="1" s="1"/>
  <c r="AA105" i="1"/>
  <c r="T102" i="1"/>
  <c r="U102" i="1" s="1"/>
  <c r="S102" i="1" s="1"/>
  <c r="X102" i="1"/>
  <c r="AA89" i="1"/>
  <c r="W89" i="1" s="1"/>
  <c r="T86" i="1"/>
  <c r="U86" i="1" s="1"/>
  <c r="S86" i="1" s="1"/>
  <c r="X86" i="1"/>
  <c r="AG82" i="1"/>
  <c r="W82" i="1" s="1"/>
  <c r="AG81" i="1"/>
  <c r="X76" i="1"/>
  <c r="T75" i="1"/>
  <c r="U75" i="1" s="1"/>
  <c r="S75" i="1" s="1"/>
  <c r="AA74" i="1"/>
  <c r="W74" i="1" s="1"/>
  <c r="T70" i="1"/>
  <c r="U70" i="1" s="1"/>
  <c r="S70" i="1" s="1"/>
  <c r="AA69" i="1"/>
  <c r="W69" i="1" s="1"/>
  <c r="AG67" i="1"/>
  <c r="AI62" i="1"/>
  <c r="AA59" i="1"/>
  <c r="W59" i="1" s="1"/>
  <c r="AA55" i="1"/>
  <c r="W55" i="1" s="1"/>
  <c r="T49" i="1"/>
  <c r="X49" i="1"/>
  <c r="AG49" i="1"/>
  <c r="AI43" i="1"/>
  <c r="AG42" i="1"/>
  <c r="X42" i="1"/>
  <c r="T42" i="1"/>
  <c r="X43" i="1"/>
  <c r="U15" i="1"/>
  <c r="S15" i="1"/>
  <c r="U83" i="1"/>
  <c r="S83" i="1" s="1"/>
  <c r="AA77" i="1"/>
  <c r="W77" i="1" s="1"/>
  <c r="T74" i="1"/>
  <c r="U74" i="1" s="1"/>
  <c r="S74" i="1" s="1"/>
  <c r="X74" i="1"/>
  <c r="AA73" i="1"/>
  <c r="W73" i="1" s="1"/>
  <c r="T71" i="1"/>
  <c r="X71" i="1"/>
  <c r="AG71" i="1"/>
  <c r="AI70" i="1"/>
  <c r="AA63" i="1"/>
  <c r="T59" i="1"/>
  <c r="U59" i="1" s="1"/>
  <c r="S59" i="1" s="1"/>
  <c r="X59" i="1"/>
  <c r="X57" i="1"/>
  <c r="T56" i="1"/>
  <c r="X56" i="1"/>
  <c r="AG56" i="1"/>
  <c r="W56" i="1" s="1"/>
  <c r="X53" i="1"/>
  <c r="X52" i="1"/>
  <c r="T52" i="1"/>
  <c r="AG52" i="1"/>
  <c r="T48" i="1"/>
  <c r="AA45" i="1"/>
  <c r="W45" i="1" s="1"/>
  <c r="AI58" i="1"/>
  <c r="S58" i="1"/>
  <c r="X55" i="1"/>
  <c r="AI54" i="1"/>
  <c r="S54" i="1"/>
  <c r="AI41" i="1"/>
  <c r="AI39" i="1"/>
  <c r="S39" i="1"/>
  <c r="X38" i="1"/>
  <c r="T37" i="1"/>
  <c r="X37" i="1"/>
  <c r="T36" i="1"/>
  <c r="U50" i="1"/>
  <c r="S50" i="1" s="1"/>
  <c r="AA44" i="1"/>
  <c r="W44" i="1" s="1"/>
  <c r="T41" i="1"/>
  <c r="U41" i="1" s="1"/>
  <c r="S41" i="1" s="1"/>
  <c r="X41" i="1"/>
  <c r="AG37" i="1"/>
  <c r="AG36" i="1"/>
  <c r="W36" i="1" s="1"/>
  <c r="T34" i="1"/>
  <c r="X34" i="1"/>
  <c r="AG34" i="1"/>
  <c r="W33" i="1"/>
  <c r="X31" i="1"/>
  <c r="T30" i="1"/>
  <c r="X30" i="1"/>
  <c r="AG30" i="1"/>
  <c r="X27" i="1"/>
  <c r="T26" i="1"/>
  <c r="X26" i="1"/>
  <c r="AG26" i="1"/>
  <c r="X23" i="1"/>
  <c r="T22" i="1"/>
  <c r="X22" i="1"/>
  <c r="AG22" i="1"/>
  <c r="X19" i="1"/>
  <c r="T18" i="1"/>
  <c r="X18" i="1"/>
  <c r="AG18" i="1"/>
  <c r="X15" i="1"/>
  <c r="T14" i="1"/>
  <c r="AG14" i="1"/>
  <c r="AA48" i="1"/>
  <c r="T45" i="1"/>
  <c r="U45" i="1" s="1"/>
  <c r="S45" i="1" s="1"/>
  <c r="X45" i="1"/>
  <c r="U38" i="1"/>
  <c r="S38" i="1" s="1"/>
  <c r="S29" i="1"/>
  <c r="AI29" i="1"/>
  <c r="X33" i="1"/>
  <c r="AI32" i="1"/>
  <c r="X29" i="1"/>
  <c r="X25" i="1"/>
  <c r="AI24" i="1"/>
  <c r="X21" i="1"/>
  <c r="AI20" i="1"/>
  <c r="S20" i="1"/>
  <c r="X17" i="1"/>
  <c r="AD33" i="3"/>
  <c r="Y21" i="3"/>
  <c r="Y27" i="3"/>
  <c r="AD49" i="3"/>
  <c r="Y17" i="3"/>
  <c r="AD46" i="3"/>
  <c r="AD41" i="3"/>
  <c r="T23" i="3"/>
  <c r="T39" i="3"/>
  <c r="AD26" i="3"/>
  <c r="AE22" i="3"/>
  <c r="T52" i="3"/>
  <c r="Y35" i="3"/>
  <c r="AE51" i="3"/>
  <c r="Y40" i="3"/>
  <c r="Y13" i="3"/>
  <c r="AD39" i="3"/>
  <c r="Y23" i="3"/>
  <c r="Y18" i="3"/>
  <c r="Y39" i="3"/>
  <c r="Y20" i="3"/>
  <c r="AD22" i="3"/>
  <c r="Y48" i="3"/>
  <c r="AE18" i="3"/>
  <c r="Y47" i="3"/>
  <c r="Y52" i="3"/>
  <c r="AD13" i="3"/>
  <c r="AD10" i="3"/>
  <c r="AC40" i="3"/>
  <c r="AC46" i="3"/>
  <c r="AD27" i="3"/>
  <c r="AD18" i="3"/>
  <c r="AE14" i="3"/>
  <c r="T25" i="3"/>
  <c r="AE26" i="3"/>
  <c r="AD21" i="3"/>
  <c r="AD17" i="3"/>
  <c r="AD14" i="3"/>
  <c r="T26" i="3"/>
  <c r="AD47" i="3"/>
  <c r="AE47" i="3"/>
  <c r="Y15" i="3"/>
  <c r="AE42" i="3"/>
  <c r="AC16" i="3"/>
  <c r="T49" i="3"/>
  <c r="T32" i="3"/>
  <c r="AD31" i="3"/>
  <c r="AE31" i="3"/>
  <c r="T38" i="3"/>
  <c r="T14" i="3"/>
  <c r="Y37" i="3"/>
  <c r="AE25" i="3"/>
  <c r="AD23" i="3"/>
  <c r="AE23" i="3"/>
  <c r="T42" i="3"/>
  <c r="T29" i="3"/>
  <c r="Y44" i="3"/>
  <c r="AE17" i="3"/>
  <c r="AD15" i="3"/>
  <c r="AE15" i="3"/>
  <c r="T10" i="3"/>
  <c r="T36" i="3"/>
  <c r="Y26" i="3"/>
  <c r="Y32" i="3"/>
  <c r="Y14" i="3"/>
  <c r="Y29" i="3"/>
  <c r="Y36" i="3"/>
  <c r="Y49" i="3"/>
  <c r="AE50" i="3"/>
  <c r="AC33" i="3"/>
  <c r="T13" i="3"/>
  <c r="AE39" i="3"/>
  <c r="AE34" i="3"/>
  <c r="AC8" i="3"/>
  <c r="AE29" i="3"/>
  <c r="AE27" i="3"/>
  <c r="T28" i="3"/>
  <c r="AE21" i="3"/>
  <c r="AE19" i="3"/>
  <c r="T47" i="3"/>
  <c r="AE13" i="3"/>
  <c r="AE11" i="3"/>
  <c r="T35" i="3"/>
  <c r="AE49" i="3"/>
  <c r="T53" i="3"/>
  <c r="AE37" i="3"/>
  <c r="T24" i="3"/>
  <c r="AE33" i="3"/>
  <c r="T18" i="3"/>
  <c r="AC21" i="3"/>
  <c r="AD52" i="3"/>
  <c r="AC53" i="3"/>
  <c r="AD48" i="3"/>
  <c r="AD44" i="3"/>
  <c r="AC51" i="3"/>
  <c r="AD40" i="3"/>
  <c r="AC24" i="3"/>
  <c r="AD36" i="3"/>
  <c r="AC18" i="3"/>
  <c r="AD32" i="3"/>
  <c r="AC38" i="3"/>
  <c r="AD28" i="3"/>
  <c r="AC28" i="3"/>
  <c r="AD24" i="3"/>
  <c r="AC42" i="3"/>
  <c r="AD20" i="3"/>
  <c r="AC47" i="3"/>
  <c r="AD16" i="3"/>
  <c r="AD12" i="3"/>
  <c r="AC35" i="3"/>
  <c r="AD8" i="3"/>
  <c r="AC45" i="3"/>
  <c r="AC31" i="3"/>
  <c r="AC48" i="3"/>
  <c r="AC43" i="3"/>
  <c r="AC11" i="3"/>
  <c r="AC19" i="3"/>
  <c r="AE53" i="3"/>
  <c r="T21" i="3"/>
  <c r="AE45" i="3"/>
  <c r="T12" i="3"/>
  <c r="AE41" i="3"/>
  <c r="T51" i="3"/>
  <c r="AE52" i="3"/>
  <c r="AE48" i="3"/>
  <c r="AE44" i="3"/>
  <c r="AE40" i="3"/>
  <c r="AE36" i="3"/>
  <c r="AE32" i="3"/>
  <c r="AE28" i="3"/>
  <c r="AE24" i="3"/>
  <c r="AE20" i="3"/>
  <c r="AE16" i="3"/>
  <c r="AE12" i="3"/>
  <c r="AE8" i="3"/>
  <c r="W66" i="1" l="1"/>
  <c r="W109" i="1"/>
  <c r="AI33" i="1"/>
  <c r="W131" i="1"/>
  <c r="W143" i="1"/>
  <c r="AI115" i="1"/>
  <c r="W252" i="1"/>
  <c r="W48" i="1"/>
  <c r="W21" i="1"/>
  <c r="W42" i="1"/>
  <c r="W93" i="1"/>
  <c r="U139" i="1"/>
  <c r="S139" i="1" s="1"/>
  <c r="W222" i="1"/>
  <c r="AI236" i="1"/>
  <c r="U66" i="1"/>
  <c r="S66" i="1" s="1"/>
  <c r="W88" i="1"/>
  <c r="W127" i="1"/>
  <c r="W238" i="1"/>
  <c r="W164" i="1"/>
  <c r="W225" i="1"/>
  <c r="U131" i="1"/>
  <c r="S131" i="1" s="1"/>
  <c r="U61" i="1"/>
  <c r="U65" i="1"/>
  <c r="S65" i="1" s="1"/>
  <c r="W54" i="1"/>
  <c r="W52" i="1"/>
  <c r="W49" i="1"/>
  <c r="W147" i="1"/>
  <c r="W115" i="1"/>
  <c r="U122" i="1"/>
  <c r="S122" i="1" s="1"/>
  <c r="W236" i="1"/>
  <c r="W256" i="1"/>
  <c r="AI202" i="1"/>
  <c r="U32" i="1"/>
  <c r="W60" i="1"/>
  <c r="W172" i="1"/>
  <c r="AI21" i="1"/>
  <c r="W112" i="1"/>
  <c r="W266" i="1"/>
  <c r="AI256" i="1"/>
  <c r="W207" i="1"/>
  <c r="W39" i="1"/>
  <c r="U80" i="1"/>
  <c r="S80" i="1" s="1"/>
  <c r="U182" i="1"/>
  <c r="W155" i="1"/>
  <c r="W158" i="1"/>
  <c r="W202" i="1"/>
  <c r="W130" i="1"/>
  <c r="W139" i="1"/>
  <c r="U28" i="1"/>
  <c r="S28" i="1" s="1"/>
  <c r="W85" i="1"/>
  <c r="W17" i="1"/>
  <c r="U100" i="1"/>
  <c r="AI40" i="1"/>
  <c r="W141" i="1"/>
  <c r="AI158" i="1"/>
  <c r="U159" i="1"/>
  <c r="S159" i="1" s="1"/>
  <c r="AI162" i="1"/>
  <c r="S40" i="1"/>
  <c r="W14" i="1"/>
  <c r="S100" i="1"/>
  <c r="AI123" i="1"/>
  <c r="S221" i="1"/>
  <c r="S165" i="1"/>
  <c r="W169" i="1"/>
  <c r="U143" i="1"/>
  <c r="S143" i="1" s="1"/>
  <c r="W165" i="1"/>
  <c r="S182" i="1"/>
  <c r="W195" i="1"/>
  <c r="AI61" i="1"/>
  <c r="U108" i="1"/>
  <c r="S108" i="1" s="1"/>
  <c r="W123" i="1"/>
  <c r="W168" i="1"/>
  <c r="W221" i="1"/>
  <c r="W255" i="1"/>
  <c r="W243" i="1"/>
  <c r="AI209" i="1"/>
  <c r="W149" i="1"/>
  <c r="W40" i="1"/>
  <c r="AI203" i="1"/>
  <c r="W177" i="1"/>
  <c r="U84" i="1"/>
  <c r="S84" i="1" s="1"/>
  <c r="W68" i="1"/>
  <c r="W31" i="1"/>
  <c r="AI17" i="1"/>
  <c r="AI25" i="1"/>
  <c r="W119" i="1"/>
  <c r="W210" i="1"/>
  <c r="S32" i="1"/>
  <c r="S17" i="1"/>
  <c r="S25" i="1"/>
  <c r="W29" i="1"/>
  <c r="AI66" i="1"/>
  <c r="U88" i="1"/>
  <c r="S88" i="1" s="1"/>
  <c r="S123" i="1"/>
  <c r="U149" i="1"/>
  <c r="S149" i="1" s="1"/>
  <c r="U212" i="1"/>
  <c r="S212" i="1" s="1"/>
  <c r="AI179" i="1"/>
  <c r="U158" i="1"/>
  <c r="S158" i="1" s="1"/>
  <c r="W208" i="1"/>
  <c r="W199" i="1"/>
  <c r="U31" i="1"/>
  <c r="S31" i="1" s="1"/>
  <c r="U68" i="1"/>
  <c r="S68" i="1" s="1"/>
  <c r="W162" i="1"/>
  <c r="U209" i="1"/>
  <c r="S209" i="1" s="1"/>
  <c r="W61" i="1"/>
  <c r="W58" i="1"/>
  <c r="W108" i="1"/>
  <c r="W15" i="1"/>
  <c r="U154" i="1"/>
  <c r="W234" i="1"/>
  <c r="W101" i="1"/>
  <c r="U119" i="1"/>
  <c r="S119" i="1" s="1"/>
  <c r="U155" i="1"/>
  <c r="S155" i="1" s="1"/>
  <c r="W248" i="1"/>
  <c r="W183" i="1"/>
  <c r="W122" i="1"/>
  <c r="W80" i="1"/>
  <c r="W267" i="1"/>
  <c r="U62" i="1"/>
  <c r="S62" i="1" s="1"/>
  <c r="U269" i="1"/>
  <c r="S269" i="1" s="1"/>
  <c r="U127" i="1"/>
  <c r="S127" i="1" s="1"/>
  <c r="U222" i="1"/>
  <c r="S222" i="1" s="1"/>
  <c r="U243" i="1"/>
  <c r="S243" i="1" s="1"/>
  <c r="W28" i="1"/>
  <c r="W114" i="1"/>
  <c r="W138" i="1"/>
  <c r="U134" i="1"/>
  <c r="S134" i="1" s="1"/>
  <c r="AI134" i="1"/>
  <c r="W134" i="1"/>
  <c r="U150" i="1"/>
  <c r="S150" i="1" s="1"/>
  <c r="AI150" i="1"/>
  <c r="U198" i="1"/>
  <c r="S198" i="1" s="1"/>
  <c r="AI198" i="1"/>
  <c r="U229" i="1"/>
  <c r="S229" i="1" s="1"/>
  <c r="AI229" i="1"/>
  <c r="W150" i="1"/>
  <c r="W193" i="1"/>
  <c r="W198" i="1"/>
  <c r="AI223" i="1"/>
  <c r="W181" i="1"/>
  <c r="U96" i="1"/>
  <c r="S96" i="1" s="1"/>
  <c r="AI96" i="1"/>
  <c r="U217" i="1"/>
  <c r="S217" i="1" s="1"/>
  <c r="AI217" i="1"/>
  <c r="W269" i="1"/>
  <c r="U220" i="1"/>
  <c r="S220" i="1" s="1"/>
  <c r="AI220" i="1"/>
  <c r="W186" i="1"/>
  <c r="W154" i="1"/>
  <c r="U16" i="1"/>
  <c r="S16" i="1" s="1"/>
  <c r="AI16" i="1"/>
  <c r="U35" i="1"/>
  <c r="S35" i="1" s="1"/>
  <c r="AI35" i="1"/>
  <c r="W217" i="1"/>
  <c r="W182" i="1"/>
  <c r="W96" i="1"/>
  <c r="U255" i="1"/>
  <c r="S255" i="1" s="1"/>
  <c r="AI255" i="1"/>
  <c r="U261" i="1"/>
  <c r="S261" i="1" s="1"/>
  <c r="U130" i="1"/>
  <c r="S130" i="1" s="1"/>
  <c r="AI130" i="1"/>
  <c r="U164" i="1"/>
  <c r="S164" i="1" s="1"/>
  <c r="U197" i="1"/>
  <c r="S197" i="1" s="1"/>
  <c r="AI197" i="1"/>
  <c r="W229" i="1"/>
  <c r="W214" i="1"/>
  <c r="AI214" i="1"/>
  <c r="AI252" i="1"/>
  <c r="U110" i="1"/>
  <c r="S110" i="1" s="1"/>
  <c r="AI110" i="1"/>
  <c r="W16" i="1"/>
  <c r="U47" i="1"/>
  <c r="S47" i="1" s="1"/>
  <c r="AI47" i="1"/>
  <c r="W62" i="1"/>
  <c r="U118" i="1"/>
  <c r="S118" i="1" s="1"/>
  <c r="AI118" i="1"/>
  <c r="U235" i="1"/>
  <c r="S235" i="1" s="1"/>
  <c r="AI235" i="1"/>
  <c r="W47" i="1"/>
  <c r="W118" i="1"/>
  <c r="W235" i="1"/>
  <c r="W220" i="1"/>
  <c r="U193" i="1"/>
  <c r="S193" i="1" s="1"/>
  <c r="AI193" i="1"/>
  <c r="U251" i="1"/>
  <c r="S251" i="1" s="1"/>
  <c r="AI251" i="1"/>
  <c r="U71" i="1"/>
  <c r="S71" i="1" s="1"/>
  <c r="AI71" i="1"/>
  <c r="AI48" i="1"/>
  <c r="U48" i="1"/>
  <c r="S48" i="1" s="1"/>
  <c r="U98" i="1"/>
  <c r="S98" i="1" s="1"/>
  <c r="AI98" i="1"/>
  <c r="AI14" i="1"/>
  <c r="U14" i="1"/>
  <c r="S14" i="1" s="1"/>
  <c r="AI18" i="1"/>
  <c r="U18" i="1"/>
  <c r="S18" i="1" s="1"/>
  <c r="U34" i="1"/>
  <c r="S34" i="1" s="1"/>
  <c r="AI34" i="1"/>
  <c r="U37" i="1"/>
  <c r="S37" i="1" s="1"/>
  <c r="AI37" i="1"/>
  <c r="W18" i="1"/>
  <c r="W34" i="1"/>
  <c r="AI52" i="1"/>
  <c r="U52" i="1"/>
  <c r="S52" i="1" s="1"/>
  <c r="AI56" i="1"/>
  <c r="U56" i="1"/>
  <c r="S56" i="1" s="1"/>
  <c r="U42" i="1"/>
  <c r="S42" i="1" s="1"/>
  <c r="AI42" i="1"/>
  <c r="AI49" i="1"/>
  <c r="U49" i="1"/>
  <c r="S49" i="1" s="1"/>
  <c r="AI81" i="1"/>
  <c r="U81" i="1"/>
  <c r="S81" i="1" s="1"/>
  <c r="W105" i="1"/>
  <c r="W81" i="1"/>
  <c r="S111" i="1"/>
  <c r="AI111" i="1"/>
  <c r="U111" i="1"/>
  <c r="U125" i="1"/>
  <c r="S125" i="1"/>
  <c r="AI125" i="1"/>
  <c r="W125" i="1"/>
  <c r="W98" i="1"/>
  <c r="U136" i="1"/>
  <c r="S136" i="1" s="1"/>
  <c r="AI136" i="1"/>
  <c r="AI151" i="1"/>
  <c r="U151" i="1"/>
  <c r="S151" i="1" s="1"/>
  <c r="AI124" i="1"/>
  <c r="U124" i="1"/>
  <c r="S124" i="1" s="1"/>
  <c r="AI78" i="1"/>
  <c r="U78" i="1"/>
  <c r="S78" i="1" s="1"/>
  <c r="U141" i="1"/>
  <c r="S141" i="1" s="1"/>
  <c r="AI141" i="1"/>
  <c r="AI120" i="1"/>
  <c r="U120" i="1"/>
  <c r="S120" i="1" s="1"/>
  <c r="U157" i="1"/>
  <c r="S157" i="1" s="1"/>
  <c r="AI157" i="1"/>
  <c r="AI200" i="1"/>
  <c r="U253" i="1"/>
  <c r="S253" i="1" s="1"/>
  <c r="AI215" i="1"/>
  <c r="U258" i="1"/>
  <c r="S258" i="1" s="1"/>
  <c r="AI148" i="1"/>
  <c r="U148" i="1"/>
  <c r="S148" i="1" s="1"/>
  <c r="U241" i="1"/>
  <c r="S241" i="1" s="1"/>
  <c r="AI188" i="1"/>
  <c r="AI195" i="1"/>
  <c r="U248" i="1"/>
  <c r="S248" i="1" s="1"/>
  <c r="AI211" i="1"/>
  <c r="U169" i="1"/>
  <c r="S169" i="1" s="1"/>
  <c r="AI234" i="1"/>
  <c r="U267" i="1"/>
  <c r="S267" i="1" s="1"/>
  <c r="W241" i="1"/>
  <c r="AI237" i="1"/>
  <c r="U183" i="1"/>
  <c r="S183" i="1" s="1"/>
  <c r="W253" i="1"/>
  <c r="AI228" i="1"/>
  <c r="U178" i="1"/>
  <c r="S178" i="1" s="1"/>
  <c r="AI253" i="1"/>
  <c r="U199" i="1"/>
  <c r="S199" i="1" s="1"/>
  <c r="AI30" i="1"/>
  <c r="U30" i="1"/>
  <c r="S30" i="1" s="1"/>
  <c r="AI36" i="1"/>
  <c r="U36" i="1"/>
  <c r="S36" i="1" s="1"/>
  <c r="W30" i="1"/>
  <c r="AI22" i="1"/>
  <c r="U22" i="1"/>
  <c r="S22" i="1" s="1"/>
  <c r="W22" i="1"/>
  <c r="AI67" i="1"/>
  <c r="U67" i="1"/>
  <c r="S67" i="1" s="1"/>
  <c r="U82" i="1"/>
  <c r="S82" i="1" s="1"/>
  <c r="AI82" i="1"/>
  <c r="AI77" i="1"/>
  <c r="U77" i="1"/>
  <c r="S77" i="1" s="1"/>
  <c r="W37" i="1"/>
  <c r="AI105" i="1"/>
  <c r="U105" i="1"/>
  <c r="S105" i="1" s="1"/>
  <c r="U113" i="1"/>
  <c r="S113" i="1" s="1"/>
  <c r="AI113" i="1"/>
  <c r="U129" i="1"/>
  <c r="S129" i="1" s="1"/>
  <c r="AI129" i="1"/>
  <c r="U103" i="1"/>
  <c r="S103" i="1" s="1"/>
  <c r="AI103" i="1"/>
  <c r="U152" i="1"/>
  <c r="S152" i="1" s="1"/>
  <c r="AI152" i="1"/>
  <c r="AI167" i="1"/>
  <c r="U214" i="1"/>
  <c r="S214" i="1" s="1"/>
  <c r="W113" i="1"/>
  <c r="AI147" i="1"/>
  <c r="U147" i="1"/>
  <c r="S147" i="1" s="1"/>
  <c r="W151" i="1"/>
  <c r="AI164" i="1"/>
  <c r="U211" i="1"/>
  <c r="S211" i="1" s="1"/>
  <c r="AI163" i="1"/>
  <c r="U210" i="1"/>
  <c r="S210" i="1" s="1"/>
  <c r="AI172" i="1"/>
  <c r="U219" i="1"/>
  <c r="S219" i="1" s="1"/>
  <c r="AI176" i="1"/>
  <c r="U223" i="1"/>
  <c r="S223" i="1" s="1"/>
  <c r="AI180" i="1"/>
  <c r="U233" i="1"/>
  <c r="S233" i="1" s="1"/>
  <c r="AI184" i="1"/>
  <c r="U237" i="1"/>
  <c r="S237" i="1" s="1"/>
  <c r="AI216" i="1"/>
  <c r="U259" i="1"/>
  <c r="S259" i="1" s="1"/>
  <c r="U181" i="1"/>
  <c r="S181" i="1" s="1"/>
  <c r="AI231" i="1"/>
  <c r="W157" i="1"/>
  <c r="AI227" i="1"/>
  <c r="U177" i="1"/>
  <c r="S177" i="1" s="1"/>
  <c r="AI238" i="1"/>
  <c r="U184" i="1"/>
  <c r="S184" i="1" s="1"/>
  <c r="AI242" i="1"/>
  <c r="U188" i="1"/>
  <c r="S188" i="1" s="1"/>
  <c r="AI246" i="1"/>
  <c r="U192" i="1"/>
  <c r="S192" i="1" s="1"/>
  <c r="AI250" i="1"/>
  <c r="U196" i="1"/>
  <c r="S196" i="1" s="1"/>
  <c r="AI254" i="1"/>
  <c r="U200" i="1"/>
  <c r="S200" i="1" s="1"/>
  <c r="S204" i="1"/>
  <c r="AI258" i="1"/>
  <c r="U204" i="1"/>
  <c r="AI262" i="1"/>
  <c r="U208" i="1"/>
  <c r="S208" i="1" s="1"/>
  <c r="AI266" i="1"/>
  <c r="U227" i="1"/>
  <c r="S227" i="1" s="1"/>
  <c r="AI269" i="1"/>
  <c r="U230" i="1"/>
  <c r="S230" i="1" s="1"/>
  <c r="AI241" i="1"/>
  <c r="U187" i="1"/>
  <c r="S187" i="1" s="1"/>
  <c r="AI257" i="1"/>
  <c r="U203" i="1"/>
  <c r="S203" i="1" s="1"/>
  <c r="W204" i="1"/>
  <c r="W187" i="1"/>
  <c r="AI26" i="1"/>
  <c r="U26" i="1"/>
  <c r="S26" i="1" s="1"/>
  <c r="W26" i="1"/>
  <c r="W63" i="1"/>
  <c r="U64" i="1"/>
  <c r="S64" i="1" s="1"/>
  <c r="AI64" i="1"/>
  <c r="W67" i="1"/>
  <c r="U91" i="1"/>
  <c r="S91" i="1" s="1"/>
  <c r="AI91" i="1"/>
  <c r="U117" i="1"/>
  <c r="S117" i="1" s="1"/>
  <c r="AI117" i="1"/>
  <c r="U133" i="1"/>
  <c r="AI133" i="1"/>
  <c r="W71" i="1"/>
  <c r="U87" i="1"/>
  <c r="AI87" i="1"/>
  <c r="W111" i="1"/>
  <c r="AI132" i="1"/>
  <c r="U132" i="1"/>
  <c r="W103" i="1"/>
  <c r="U215" i="1"/>
  <c r="S215" i="1" s="1"/>
  <c r="AI168" i="1"/>
  <c r="W64" i="1"/>
  <c r="W117" i="1"/>
  <c r="W219" i="1"/>
  <c r="W233" i="1"/>
  <c r="W259" i="1"/>
  <c r="AI245" i="1"/>
  <c r="U191" i="1"/>
  <c r="S191" i="1" s="1"/>
  <c r="AI261" i="1"/>
  <c r="U207" i="1"/>
  <c r="S207" i="1" s="1"/>
  <c r="W192" i="1"/>
  <c r="W200" i="1"/>
  <c r="W230" i="1"/>
  <c r="W188" i="1"/>
  <c r="U94" i="1"/>
  <c r="S94" i="1" s="1"/>
  <c r="AI94" i="1"/>
  <c r="U107" i="1"/>
  <c r="S107" i="1" s="1"/>
  <c r="AI107" i="1"/>
  <c r="U121" i="1"/>
  <c r="S121" i="1" s="1"/>
  <c r="AI121" i="1"/>
  <c r="W121" i="1"/>
  <c r="AI63" i="1"/>
  <c r="U63" i="1"/>
  <c r="S63" i="1" s="1"/>
  <c r="AI97" i="1"/>
  <c r="U97" i="1"/>
  <c r="S97" i="1" s="1"/>
  <c r="W94" i="1"/>
  <c r="U99" i="1"/>
  <c r="S99" i="1" s="1"/>
  <c r="AI99" i="1"/>
  <c r="AI116" i="1"/>
  <c r="U116" i="1"/>
  <c r="S116" i="1" s="1"/>
  <c r="AI112" i="1"/>
  <c r="U112" i="1"/>
  <c r="S112" i="1" s="1"/>
  <c r="W116" i="1"/>
  <c r="AI128" i="1"/>
  <c r="U128" i="1"/>
  <c r="S128" i="1" s="1"/>
  <c r="W97" i="1"/>
  <c r="W128" i="1"/>
  <c r="U60" i="1"/>
  <c r="AI60" i="1"/>
  <c r="W129" i="1"/>
  <c r="AI199" i="1"/>
  <c r="U252" i="1"/>
  <c r="S252" i="1" s="1"/>
  <c r="W152" i="1"/>
  <c r="AI249" i="1"/>
  <c r="U195" i="1"/>
  <c r="S195" i="1" s="1"/>
  <c r="AI265" i="1"/>
  <c r="U226" i="1"/>
  <c r="S226" i="1" s="1"/>
  <c r="W184" i="1"/>
  <c r="W227" i="1"/>
  <c r="W196" i="1"/>
  <c r="M9" i="3"/>
  <c r="R9" i="3"/>
  <c r="S9" i="3"/>
  <c r="U9" i="3"/>
  <c r="V9" i="3"/>
  <c r="W9" i="3"/>
  <c r="X9" i="3"/>
  <c r="AD9" i="3" l="1"/>
  <c r="AE9" i="3"/>
  <c r="T9" i="3"/>
  <c r="Y9" i="3"/>
  <c r="M28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19" i="3" s="1"/>
  <c r="G23" i="4"/>
  <c r="N35" i="3" s="1"/>
  <c r="G24" i="4"/>
  <c r="G25" i="4"/>
  <c r="G26" i="4"/>
  <c r="G27" i="4"/>
  <c r="G28" i="4"/>
  <c r="N36" i="3" s="1"/>
  <c r="G29" i="4"/>
  <c r="G30" i="4"/>
  <c r="G31" i="4"/>
  <c r="G32" i="4"/>
  <c r="G33" i="4"/>
  <c r="G34" i="4"/>
  <c r="G35" i="4"/>
  <c r="G36" i="4"/>
  <c r="N25" i="3" s="1"/>
  <c r="G37" i="4"/>
  <c r="G38" i="4"/>
  <c r="G39" i="4"/>
  <c r="N11" i="3" s="1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N10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N43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29" i="3" s="1"/>
  <c r="G99" i="4"/>
  <c r="G100" i="4"/>
  <c r="G101" i="4"/>
  <c r="N44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N42" i="3" s="1"/>
  <c r="G122" i="4"/>
  <c r="G123" i="4"/>
  <c r="N30" i="3" s="1"/>
  <c r="G124" i="4"/>
  <c r="G125" i="4"/>
  <c r="G126" i="4"/>
  <c r="G127" i="4"/>
  <c r="G128" i="4"/>
  <c r="G129" i="4"/>
  <c r="G130" i="4"/>
  <c r="G131" i="4"/>
  <c r="N31" i="3" s="1"/>
  <c r="G132" i="4"/>
  <c r="G133" i="4"/>
  <c r="G134" i="4"/>
  <c r="N20" i="3" s="1"/>
  <c r="G135" i="4"/>
  <c r="G136" i="4"/>
  <c r="G137" i="4"/>
  <c r="G138" i="4"/>
  <c r="G139" i="4"/>
  <c r="G140" i="4"/>
  <c r="G141" i="4"/>
  <c r="G142" i="4"/>
  <c r="G143" i="4"/>
  <c r="G144" i="4"/>
  <c r="N37" i="3" s="1"/>
  <c r="G145" i="4"/>
  <c r="N14" i="3" s="1"/>
  <c r="G146" i="4"/>
  <c r="G147" i="4"/>
  <c r="G148" i="4"/>
  <c r="G149" i="4"/>
  <c r="N28" i="3" s="1"/>
  <c r="G150" i="4"/>
  <c r="G151" i="4"/>
  <c r="G152" i="4"/>
  <c r="G153" i="4"/>
  <c r="N45" i="3" s="1"/>
  <c r="G154" i="4"/>
  <c r="G155" i="4"/>
  <c r="G156" i="4"/>
  <c r="G157" i="4"/>
  <c r="G158" i="4"/>
  <c r="G159" i="4"/>
  <c r="N38" i="3" s="1"/>
  <c r="G160" i="4"/>
  <c r="G161" i="4"/>
  <c r="G162" i="4"/>
  <c r="G163" i="4"/>
  <c r="G164" i="4"/>
  <c r="G165" i="4"/>
  <c r="G166" i="4"/>
  <c r="G167" i="4"/>
  <c r="G168" i="4"/>
  <c r="N39" i="3" s="1"/>
  <c r="G169" i="4"/>
  <c r="N32" i="3" s="1"/>
  <c r="G170" i="4"/>
  <c r="G171" i="4"/>
  <c r="G172" i="4"/>
  <c r="N18" i="3" s="1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N22" i="3" s="1"/>
  <c r="G189" i="4"/>
  <c r="G190" i="4"/>
  <c r="N46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N49" i="3" s="1"/>
  <c r="G203" i="4"/>
  <c r="G204" i="4"/>
  <c r="N51" i="3" s="1"/>
  <c r="G205" i="4"/>
  <c r="G206" i="4"/>
  <c r="G207" i="4"/>
  <c r="G208" i="4"/>
  <c r="G209" i="4"/>
  <c r="G210" i="4"/>
  <c r="G211" i="4"/>
  <c r="G212" i="4"/>
  <c r="G213" i="4"/>
  <c r="G214" i="4"/>
  <c r="G215" i="4"/>
  <c r="N12" i="3" s="1"/>
  <c r="G216" i="4"/>
  <c r="N41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N53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4" i="3" l="1"/>
  <c r="N23" i="3"/>
  <c r="N16" i="3"/>
  <c r="N17" i="3"/>
  <c r="N33" i="3"/>
  <c r="N15" i="3"/>
  <c r="N40" i="3"/>
  <c r="N13" i="3"/>
  <c r="N52" i="3"/>
  <c r="N50" i="3"/>
  <c r="N47" i="3"/>
  <c r="N48" i="3"/>
  <c r="N8" i="3"/>
  <c r="N7" i="3"/>
  <c r="N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N21" i="3" s="1"/>
  <c r="G274" i="4"/>
  <c r="G275" i="4"/>
  <c r="G276" i="4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N26" i="3" l="1"/>
  <c r="N27" i="3"/>
  <c r="N34" i="3"/>
  <c r="M14" i="5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H3" i="6"/>
  <c r="J3" i="6"/>
  <c r="G3" i="6"/>
  <c r="B4" i="6" l="1"/>
  <c r="I4" i="6" l="1"/>
  <c r="F4" i="6"/>
  <c r="J4" i="6"/>
  <c r="H4" i="6"/>
  <c r="G4" i="6"/>
  <c r="B5" i="6"/>
  <c r="I5" i="6" l="1"/>
  <c r="F5" i="6"/>
  <c r="B6" i="6"/>
  <c r="G5" i="6"/>
  <c r="H5" i="6"/>
  <c r="J5" i="6"/>
  <c r="I6" i="6" l="1"/>
  <c r="F6" i="6"/>
  <c r="B7" i="6"/>
  <c r="H6" i="6"/>
  <c r="J6" i="6"/>
  <c r="G6" i="6"/>
  <c r="I7" i="6" l="1"/>
  <c r="F7" i="6"/>
  <c r="B8" i="6"/>
  <c r="H7" i="6"/>
  <c r="J7" i="6"/>
  <c r="G7" i="6"/>
  <c r="I8" i="6" l="1"/>
  <c r="F8" i="6"/>
  <c r="G8" i="6"/>
  <c r="J8" i="6"/>
  <c r="H8" i="6"/>
  <c r="B9" i="6"/>
  <c r="I9" i="6" l="1"/>
  <c r="F9" i="6"/>
  <c r="J9" i="6"/>
  <c r="H9" i="6"/>
  <c r="G9" i="6"/>
  <c r="B10" i="6"/>
  <c r="I10" i="6" l="1"/>
  <c r="F10" i="6"/>
  <c r="H10" i="6"/>
  <c r="G10" i="6"/>
  <c r="J10" i="6"/>
  <c r="B11" i="6"/>
  <c r="I11" i="6" l="1"/>
  <c r="F11" i="6"/>
  <c r="B12" i="6"/>
  <c r="G11" i="6"/>
  <c r="H11" i="6"/>
  <c r="J11" i="6"/>
  <c r="I12" i="6" l="1"/>
  <c r="F12" i="6"/>
  <c r="J12" i="6"/>
  <c r="H12" i="6"/>
  <c r="G12" i="6"/>
  <c r="B13" i="6"/>
  <c r="I13" i="6" l="1"/>
  <c r="F13" i="6"/>
  <c r="H13" i="6"/>
  <c r="J13" i="6"/>
  <c r="G13" i="6"/>
  <c r="B14" i="6"/>
  <c r="I14" i="6" l="1"/>
  <c r="F14" i="6"/>
  <c r="H14" i="6"/>
  <c r="J14" i="6"/>
  <c r="G14" i="6"/>
  <c r="B15" i="6"/>
  <c r="I15" i="6" l="1"/>
  <c r="F15" i="6"/>
  <c r="H15" i="6"/>
  <c r="J15" i="6"/>
  <c r="G15" i="6"/>
  <c r="B16" i="6"/>
  <c r="I16" i="6" l="1"/>
  <c r="F16" i="6"/>
  <c r="G16" i="6"/>
  <c r="H16" i="6"/>
  <c r="J16" i="6"/>
  <c r="B17" i="6"/>
  <c r="I17" i="6" l="1"/>
  <c r="F17" i="6"/>
  <c r="B18" i="6"/>
  <c r="J17" i="6"/>
  <c r="G17" i="6"/>
  <c r="H17" i="6"/>
  <c r="I18" i="6" l="1"/>
  <c r="F18" i="6"/>
  <c r="B19" i="6"/>
  <c r="J18" i="6"/>
  <c r="G18" i="6"/>
  <c r="H18" i="6"/>
  <c r="I19" i="6" l="1"/>
  <c r="F19" i="6"/>
  <c r="H19" i="6"/>
  <c r="J19" i="6"/>
  <c r="G19" i="6"/>
  <c r="B20" i="6"/>
  <c r="I20" i="6" l="1"/>
  <c r="F20" i="6"/>
  <c r="B21" i="6"/>
  <c r="G20" i="6"/>
  <c r="J20" i="6"/>
  <c r="H20" i="6"/>
  <c r="I21" i="6" l="1"/>
  <c r="F21" i="6"/>
  <c r="G21" i="6"/>
  <c r="H21" i="6"/>
  <c r="J21" i="6"/>
  <c r="B22" i="6"/>
  <c r="I22" i="6" l="1"/>
  <c r="F22" i="6"/>
  <c r="J22" i="6"/>
  <c r="G22" i="6"/>
  <c r="H22" i="6"/>
  <c r="B23" i="6"/>
  <c r="I23" i="6" l="1"/>
  <c r="F23" i="6"/>
  <c r="G23" i="6"/>
  <c r="H23" i="6"/>
  <c r="J23" i="6"/>
  <c r="B24" i="6"/>
  <c r="I24" i="6" l="1"/>
  <c r="F24" i="6"/>
  <c r="B25" i="6"/>
  <c r="J24" i="6"/>
  <c r="H24" i="6"/>
  <c r="G24" i="6"/>
  <c r="I25" i="6" l="1"/>
  <c r="F25" i="6"/>
  <c r="J25" i="6"/>
  <c r="G25" i="6"/>
  <c r="H25" i="6"/>
  <c r="B26" i="6"/>
  <c r="I26" i="6" l="1"/>
  <c r="F26" i="6"/>
  <c r="B27" i="6"/>
  <c r="G26" i="6"/>
  <c r="J26" i="6"/>
  <c r="H26" i="6"/>
  <c r="I27" i="6" l="1"/>
  <c r="F27" i="6"/>
  <c r="G27" i="6"/>
  <c r="J27" i="6"/>
  <c r="H27" i="6"/>
  <c r="B28" i="6"/>
  <c r="I28" i="6" l="1"/>
  <c r="F28" i="6"/>
  <c r="B29" i="6"/>
  <c r="G28" i="6"/>
  <c r="J28" i="6"/>
  <c r="H28" i="6"/>
  <c r="I29" i="6" l="1"/>
  <c r="F29" i="6"/>
  <c r="G29" i="6"/>
  <c r="H29" i="6"/>
  <c r="J29" i="6"/>
  <c r="B30" i="6"/>
  <c r="I30" i="6" l="1"/>
  <c r="F30" i="6"/>
  <c r="B31" i="6"/>
  <c r="G30" i="6"/>
  <c r="H30" i="6"/>
  <c r="J30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G33" i="6"/>
  <c r="H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B37" i="6"/>
  <c r="G36" i="6"/>
  <c r="J36" i="6"/>
  <c r="H36" i="6"/>
  <c r="I37" i="6" l="1"/>
  <c r="F37" i="6"/>
  <c r="B38" i="6"/>
  <c r="J37" i="6"/>
  <c r="G37" i="6"/>
  <c r="H37" i="6"/>
  <c r="I38" i="6" l="1"/>
  <c r="F38" i="6"/>
  <c r="J38" i="6"/>
  <c r="G38" i="6"/>
  <c r="H38" i="6"/>
  <c r="B39" i="6"/>
  <c r="I39" i="6" l="1"/>
  <c r="F39" i="6"/>
  <c r="H39" i="6"/>
  <c r="J39" i="6"/>
  <c r="G39" i="6"/>
  <c r="B40" i="6"/>
  <c r="I40" i="6" l="1"/>
  <c r="F40" i="6"/>
  <c r="B41" i="6"/>
  <c r="J40" i="6"/>
  <c r="H40" i="6"/>
  <c r="G40" i="6"/>
  <c r="I41" i="6" l="1"/>
  <c r="F41" i="6"/>
  <c r="J41" i="6"/>
  <c r="G41" i="6"/>
  <c r="H41" i="6"/>
  <c r="B42" i="6"/>
  <c r="I42" i="6" l="1"/>
  <c r="F42" i="6"/>
  <c r="G42" i="6"/>
  <c r="H42" i="6"/>
  <c r="J42" i="6"/>
  <c r="B43" i="6"/>
  <c r="I43" i="6" l="1"/>
  <c r="F43" i="6"/>
  <c r="G43" i="6"/>
  <c r="H43" i="6"/>
  <c r="J43" i="6"/>
  <c r="B44" i="6"/>
  <c r="I44" i="6" l="1"/>
  <c r="F44" i="6"/>
  <c r="B45" i="6"/>
  <c r="J44" i="6"/>
  <c r="H44" i="6"/>
  <c r="G44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G47" i="6"/>
  <c r="H47" i="6"/>
  <c r="J47" i="6"/>
  <c r="B48" i="6"/>
  <c r="I48" i="6" l="1"/>
  <c r="F48" i="6"/>
  <c r="B49" i="6"/>
  <c r="J48" i="6"/>
  <c r="H48" i="6"/>
  <c r="G48" i="6"/>
  <c r="I49" i="6" l="1"/>
  <c r="F49" i="6"/>
  <c r="B50" i="6"/>
  <c r="J49" i="6"/>
  <c r="G49" i="6"/>
  <c r="H49" i="6"/>
  <c r="I50" i="6" l="1"/>
  <c r="F50" i="6"/>
  <c r="B51" i="6"/>
  <c r="J50" i="6"/>
  <c r="G50" i="6"/>
  <c r="H50" i="6"/>
  <c r="I51" i="6" l="1"/>
  <c r="F51" i="6"/>
  <c r="J51" i="6"/>
  <c r="H51" i="6"/>
  <c r="G51" i="6"/>
  <c r="B52" i="6"/>
  <c r="I52" i="6" l="1"/>
  <c r="F52" i="6"/>
  <c r="J52" i="6"/>
  <c r="H52" i="6"/>
  <c r="G52" i="6"/>
  <c r="B53" i="6"/>
  <c r="I53" i="6" l="1"/>
  <c r="F53" i="6"/>
  <c r="J53" i="6"/>
  <c r="G53" i="6"/>
  <c r="H53" i="6"/>
  <c r="B54" i="6"/>
  <c r="I54" i="6" l="1"/>
  <c r="F54" i="6"/>
  <c r="B55" i="6"/>
  <c r="G54" i="6"/>
  <c r="H54" i="6"/>
  <c r="J54" i="6"/>
  <c r="I55" i="6" l="1"/>
  <c r="F55" i="6"/>
  <c r="G55" i="6"/>
  <c r="H55" i="6"/>
  <c r="J55" i="6"/>
  <c r="B56" i="6"/>
  <c r="I56" i="6" l="1"/>
  <c r="F56" i="6"/>
  <c r="B57" i="6"/>
  <c r="J56" i="6"/>
  <c r="G56" i="6"/>
  <c r="H56" i="6"/>
  <c r="I57" i="6" l="1"/>
  <c r="F57" i="6"/>
  <c r="H57" i="6"/>
  <c r="G57" i="6"/>
  <c r="J57" i="6"/>
  <c r="B58" i="6"/>
  <c r="I58" i="6" l="1"/>
  <c r="F58" i="6"/>
  <c r="B59" i="6"/>
  <c r="H58" i="6"/>
  <c r="G58" i="6"/>
  <c r="J58" i="6"/>
  <c r="I59" i="6" l="1"/>
  <c r="F59" i="6"/>
  <c r="B60" i="6"/>
  <c r="J59" i="6"/>
  <c r="H59" i="6"/>
  <c r="G59" i="6"/>
  <c r="I60" i="6" l="1"/>
  <c r="F60" i="6"/>
  <c r="J60" i="6"/>
  <c r="H60" i="6"/>
  <c r="G60" i="6"/>
  <c r="B61" i="6"/>
  <c r="I61" i="6" l="1"/>
  <c r="F61" i="6"/>
  <c r="J61" i="6"/>
  <c r="H61" i="6"/>
  <c r="G61" i="6"/>
  <c r="B62" i="6"/>
  <c r="I62" i="6" l="1"/>
  <c r="F62" i="6"/>
  <c r="B63" i="6"/>
  <c r="J62" i="6"/>
  <c r="G62" i="6"/>
  <c r="H62" i="6"/>
  <c r="I63" i="6" l="1"/>
  <c r="F63" i="6"/>
  <c r="B64" i="6"/>
  <c r="G63" i="6"/>
  <c r="H63" i="6"/>
  <c r="J63" i="6"/>
  <c r="I64" i="6" l="1"/>
  <c r="F64" i="6"/>
  <c r="B65" i="6"/>
  <c r="J64" i="6"/>
  <c r="H64" i="6"/>
  <c r="G64" i="6"/>
  <c r="I65" i="6" l="1"/>
  <c r="F65" i="6"/>
  <c r="B66" i="6"/>
  <c r="H65" i="6"/>
  <c r="J65" i="6"/>
  <c r="G65" i="6"/>
  <c r="I66" i="6" l="1"/>
  <c r="F66" i="6"/>
  <c r="G66" i="6"/>
  <c r="H66" i="6"/>
  <c r="J66" i="6"/>
  <c r="B67" i="6"/>
  <c r="I67" i="6" l="1"/>
  <c r="F67" i="6"/>
  <c r="B68" i="6"/>
  <c r="G67" i="6"/>
  <c r="J67" i="6"/>
  <c r="H67" i="6"/>
  <c r="I68" i="6" l="1"/>
  <c r="F68" i="6"/>
  <c r="H68" i="6"/>
  <c r="J68" i="6"/>
  <c r="G68" i="6"/>
  <c r="B69" i="6"/>
  <c r="I69" i="6" l="1"/>
  <c r="F69" i="6"/>
  <c r="H69" i="6"/>
  <c r="G69" i="6"/>
  <c r="J69" i="6"/>
  <c r="B70" i="6"/>
  <c r="I70" i="6" l="1"/>
  <c r="F70" i="6"/>
  <c r="H70" i="6"/>
  <c r="G70" i="6"/>
  <c r="J70" i="6"/>
  <c r="B71" i="6"/>
  <c r="I71" i="6" l="1"/>
  <c r="F71" i="6"/>
  <c r="H71" i="6"/>
  <c r="J71" i="6"/>
  <c r="G71" i="6"/>
  <c r="B72" i="6"/>
  <c r="I72" i="6" l="1"/>
  <c r="F72" i="6"/>
  <c r="J72" i="6"/>
  <c r="G72" i="6"/>
  <c r="H72" i="6"/>
  <c r="B73" i="6"/>
  <c r="I73" i="6" l="1"/>
  <c r="F73" i="6"/>
  <c r="J73" i="6"/>
  <c r="H73" i="6"/>
  <c r="G73" i="6"/>
  <c r="B74" i="6"/>
  <c r="I74" i="6" l="1"/>
  <c r="F74" i="6"/>
  <c r="G74" i="6"/>
  <c r="H74" i="6"/>
  <c r="J74" i="6"/>
  <c r="B75" i="6"/>
  <c r="I75" i="6" l="1"/>
  <c r="F75" i="6"/>
  <c r="B76" i="6"/>
  <c r="J75" i="6"/>
  <c r="G75" i="6"/>
  <c r="H75" i="6"/>
  <c r="I76" i="6" l="1"/>
  <c r="F76" i="6"/>
  <c r="J76" i="6"/>
  <c r="H76" i="6"/>
  <c r="G76" i="6"/>
  <c r="B77" i="6"/>
  <c r="I77" i="6" l="1"/>
  <c r="F77" i="6"/>
  <c r="B78" i="6"/>
  <c r="J77" i="6"/>
  <c r="G77" i="6"/>
  <c r="H77" i="6"/>
  <c r="I78" i="6" l="1"/>
  <c r="F78" i="6"/>
  <c r="B79" i="6"/>
  <c r="H78" i="6"/>
  <c r="G78" i="6"/>
  <c r="J78" i="6"/>
  <c r="I79" i="6" l="1"/>
  <c r="F79" i="6"/>
  <c r="B80" i="6"/>
  <c r="J79" i="6"/>
  <c r="G79" i="6"/>
  <c r="H79" i="6"/>
  <c r="I80" i="6" l="1"/>
  <c r="F80" i="6"/>
  <c r="B81" i="6"/>
  <c r="J80" i="6"/>
  <c r="H80" i="6"/>
  <c r="G80" i="6"/>
  <c r="I81" i="6" l="1"/>
  <c r="F81" i="6"/>
  <c r="G81" i="6"/>
  <c r="H81" i="6"/>
  <c r="J81" i="6"/>
  <c r="B82" i="6"/>
  <c r="I82" i="6" l="1"/>
  <c r="F82" i="6"/>
  <c r="B83" i="6"/>
  <c r="J82" i="6"/>
  <c r="G82" i="6"/>
  <c r="H82" i="6"/>
  <c r="I83" i="6" l="1"/>
  <c r="F83" i="6"/>
  <c r="G83" i="6"/>
  <c r="H83" i="6"/>
  <c r="J83" i="6"/>
  <c r="B84" i="6"/>
  <c r="I84" i="6" l="1"/>
  <c r="F84" i="6"/>
  <c r="H84" i="6"/>
  <c r="G84" i="6"/>
  <c r="J84" i="6"/>
  <c r="B85" i="6"/>
  <c r="I85" i="6" l="1"/>
  <c r="F85" i="6"/>
  <c r="J85" i="6"/>
  <c r="H85" i="6"/>
  <c r="G85" i="6"/>
  <c r="B86" i="6"/>
  <c r="I86" i="6" l="1"/>
  <c r="F86" i="6"/>
  <c r="H86" i="6"/>
  <c r="G86" i="6"/>
  <c r="J86" i="6"/>
  <c r="B87" i="6"/>
  <c r="I87" i="6" l="1"/>
  <c r="F87" i="6"/>
  <c r="H87" i="6"/>
  <c r="G87" i="6"/>
  <c r="J87" i="6"/>
  <c r="B88" i="6"/>
  <c r="I88" i="6" l="1"/>
  <c r="F88" i="6"/>
  <c r="J88" i="6"/>
  <c r="G88" i="6"/>
  <c r="H88" i="6"/>
  <c r="B89" i="6"/>
  <c r="I89" i="6" l="1"/>
  <c r="F89" i="6"/>
  <c r="G89" i="6"/>
  <c r="H89" i="6"/>
  <c r="J89" i="6"/>
  <c r="B90" i="6"/>
  <c r="I90" i="6" l="1"/>
  <c r="F90" i="6"/>
  <c r="B91" i="6"/>
  <c r="H90" i="6"/>
  <c r="G90" i="6"/>
  <c r="J90" i="6"/>
  <c r="I91" i="6" l="1"/>
  <c r="F91" i="6"/>
  <c r="B92" i="6"/>
  <c r="J91" i="6"/>
  <c r="G91" i="6"/>
  <c r="H91" i="6"/>
  <c r="I92" i="6" l="1"/>
  <c r="F92" i="6"/>
  <c r="H92" i="6"/>
  <c r="G92" i="6"/>
  <c r="J92" i="6"/>
  <c r="B93" i="6"/>
  <c r="I93" i="6" l="1"/>
  <c r="F93" i="6"/>
  <c r="H93" i="6"/>
  <c r="J93" i="6"/>
  <c r="G93" i="6"/>
  <c r="B94" i="6"/>
  <c r="I94" i="6" l="1"/>
  <c r="F94" i="6"/>
  <c r="G94" i="6"/>
  <c r="J94" i="6"/>
  <c r="H94" i="6"/>
  <c r="B95" i="6"/>
  <c r="I95" i="6" l="1"/>
  <c r="F95" i="6"/>
  <c r="B96" i="6"/>
  <c r="H95" i="6"/>
  <c r="J95" i="6"/>
  <c r="G95" i="6"/>
  <c r="I96" i="6" l="1"/>
  <c r="F96" i="6"/>
  <c r="B97" i="6"/>
  <c r="J96" i="6"/>
  <c r="H96" i="6"/>
  <c r="G96" i="6"/>
  <c r="I97" i="6" l="1"/>
  <c r="F97" i="6"/>
  <c r="B99" i="6"/>
  <c r="B98" i="6"/>
  <c r="G97" i="6"/>
  <c r="H97" i="6"/>
  <c r="J97" i="6"/>
  <c r="I98" i="6" l="1"/>
  <c r="F98" i="6"/>
  <c r="I99" i="6"/>
  <c r="F99" i="6"/>
  <c r="G98" i="6"/>
  <c r="H98" i="6"/>
  <c r="J98" i="6"/>
  <c r="J99" i="6"/>
  <c r="G99" i="6"/>
  <c r="H99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<sst xmlns="http://schemas.openxmlformats.org/spreadsheetml/2006/main" count="3034" uniqueCount="1030">
  <si>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</si>
  <si>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</si>
  <si>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</si>
  <si>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</si>
  <si>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</si>
  <si>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</si>
  <si>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</si>
  <si>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</si>
  <si>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</si>
  <si>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</si>
  <si>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</si>
  <si>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</si>
  <si>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</si>
  <si>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</si>
  <si>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</si>
  <si>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</si>
  <si>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</si>
  <si>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</si>
  <si>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</si>
  <si>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</si>
  <si>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</si>
  <si>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</si>
  <si>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</si>
  <si>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</si>
  <si>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</si>
  <si>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</si>
  <si>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</si>
  <si>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</si>
  <si>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</si>
  <si>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</si>
  <si>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</si>
  <si>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</si>
  <si>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</si>
  <si>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</si>
  <si>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</si>
  <si>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</si>
  <si>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</si>
  <si>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</si>
  <si>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</si>
  <si>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</si>
  <si>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</si>
  <si>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</si>
  <si>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</si>
  <si>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</si>
  <si>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</si>
  <si>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</si>
  <si>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</si>
  <si>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</si>
  <si>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</si>
  <si>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</si>
  <si>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</si>
  <si>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</si>
  <si>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</si>
  <si>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</si>
  <si>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</si>
  <si>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</si>
  <si>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</si>
  <si>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</si>
  <si>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</si>
  <si>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</si>
  <si>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</si>
  <si>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</si>
  <si>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</si>
  <si>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</si>
  <si>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</si>
  <si>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</si>
  <si>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</si>
  <si>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</si>
  <si>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</si>
  <si>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</si>
  <si>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</si>
  <si>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</si>
  <si>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</si>
  <si>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</si>
  <si>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</si>
  <si>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</si>
  <si>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</si>
  <si>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</si>
  <si>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</si>
  <si>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</si>
  <si>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</si>
  <si>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</si>
  <si>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</si>
  <si>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</si>
  <si>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</si>
  <si>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</si>
  <si>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</si>
  <si>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</si>
  <si>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</si>
  <si>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</si>
  <si>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</si>
  <si>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</si>
  <si>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</si>
  <si>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</si>
  <si>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</si>
  <si>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</si>
  <si>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</si>
  <si>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</si>
  <si>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</si>
  <si>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</si>
  <si>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</si>
  <si>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</si>
  <si>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</si>
  <si>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</si>
  <si>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</si>
  <si>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</si>
  <si>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</si>
  <si>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</si>
  <si>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</si>
  <si>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</si>
  <si>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</si>
  <si>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</si>
  <si>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</si>
  <si>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</si>
  <si>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</si>
  <si>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</si>
  <si>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</si>
  <si>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</si>
  <si>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</si>
  <si>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</si>
  <si>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</si>
  <si>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</si>
  <si>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</si>
  <si>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</si>
  <si>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</si>
  <si>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</si>
  <si>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</si>
  <si>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</si>
  <si>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</si>
  <si>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</si>
  <si>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</si>
  <si>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</si>
  <si>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</si>
  <si>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</si>
  <si>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</si>
  <si>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</si>
  <si>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</si>
  <si>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</si>
  <si>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</si>
  <si>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</si>
  <si>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</si>
  <si>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</si>
  <si>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</si>
  <si>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</si>
  <si>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</si>
  <si>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</si>
  <si>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</si>
  <si>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</si>
  <si>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</si>
  <si>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</si>
  <si>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</si>
  <si>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</si>
  <si>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</si>
  <si>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</si>
  <si>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</si>
  <si>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</si>
  <si>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</si>
  <si>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</si>
  <si>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</si>
  <si>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</si>
  <si>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</si>
  <si>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</si>
  <si>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</si>
  <si>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</si>
  <si>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</si>
  <si>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</si>
  <si>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</si>
  <si>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</si>
  <si>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</si>
  <si>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</si>
  <si>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</si>
  <si>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</si>
  <si>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</si>
  <si>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</si>
  <si>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</si>
  <si>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</si>
  <si>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</si>
  <si>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</si>
  <si>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</si>
  <si>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</si>
  <si>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</si>
  <si>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</si>
  <si>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</si>
  <si>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</si>
  <si>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</si>
  <si>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</si>
  <si>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</si>
  <si>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</si>
  <si>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</si>
  <si>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</si>
  <si>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</si>
  <si>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</si>
  <si>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</si>
  <si>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</si>
  <si>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</si>
  <si>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</si>
  <si>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</si>
  <si>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</si>
  <si>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</si>
  <si>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</si>
  <si>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</si>
  <si>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</si>
  <si>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</si>
  <si>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</si>
  <si>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</si>
  <si>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</si>
  <si>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</si>
  <si>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</si>
  <si>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</si>
  <si>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</si>
  <si>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</si>
  <si>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</si>
  <si>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</si>
  <si>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</si>
  <si>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</si>
  <si>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CHANDLER</t>
  </si>
  <si>
    <t>KELVIN</t>
  </si>
  <si>
    <t>204:446</t>
  </si>
  <si>
    <t>204:455</t>
  </si>
  <si>
    <t>204:139</t>
  </si>
  <si>
    <t>204:141</t>
  </si>
  <si>
    <t>204:440</t>
  </si>
  <si>
    <t>rtdc.l.rtdc.4012:itc</t>
  </si>
  <si>
    <t>204:156</t>
  </si>
  <si>
    <t>204:233310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</si>
  <si>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</si>
  <si>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</si>
  <si>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</si>
  <si>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</si>
  <si>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</si>
  <si>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</si>
  <si>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</si>
  <si>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</si>
  <si>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</si>
  <si>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</si>
  <si>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204:233314</t>
  </si>
  <si>
    <t>204:233297</t>
  </si>
  <si>
    <t>204:233289</t>
  </si>
  <si>
    <t>204:233299</t>
  </si>
  <si>
    <t>rtdc.l.rtdc.4013:itc</t>
  </si>
  <si>
    <t>rtdc.l.rtdc.4014:itc</t>
  </si>
  <si>
    <t>204:233312</t>
  </si>
  <si>
    <t>204:467</t>
  </si>
  <si>
    <t>204:473</t>
  </si>
  <si>
    <t>204:233000</t>
  </si>
  <si>
    <t>204:233004</t>
  </si>
  <si>
    <t>204:442</t>
  </si>
  <si>
    <t>204:161</t>
  </si>
  <si>
    <t>204:233295</t>
  </si>
  <si>
    <t>204:449</t>
  </si>
  <si>
    <t>204:232971</t>
  </si>
  <si>
    <t>rtdc.l.rtdc.4020:itc</t>
  </si>
  <si>
    <t>MOSES</t>
  </si>
  <si>
    <t>BRADLEY</t>
  </si>
  <si>
    <t>204:469</t>
  </si>
  <si>
    <t>204:233303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</si>
  <si>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</si>
  <si>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</si>
  <si>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</si>
  <si>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</si>
  <si>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</si>
  <si>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</si>
  <si>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</si>
  <si>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</si>
  <si>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</si>
  <si>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</si>
  <si>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</si>
  <si>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</si>
  <si>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</si>
  <si>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</si>
  <si>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</si>
  <si>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</si>
  <si>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</si>
  <si>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</si>
  <si>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</si>
  <si>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</si>
  <si>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</si>
  <si>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</si>
  <si>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</si>
  <si>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</si>
  <si>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</si>
  <si>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</si>
  <si>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</si>
  <si>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</si>
  <si>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</si>
  <si>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</si>
  <si>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</si>
  <si>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</si>
  <si>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</si>
  <si>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</si>
  <si>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</si>
  <si>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</si>
  <si>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</si>
  <si>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</si>
  <si>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</si>
  <si>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</si>
  <si>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</si>
  <si>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</si>
  <si>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</si>
  <si>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</si>
  <si>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</si>
  <si>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</si>
  <si>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</si>
  <si>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</si>
  <si>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</si>
  <si>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</si>
  <si>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</si>
  <si>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</si>
  <si>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</si>
  <si>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</si>
  <si>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</si>
  <si>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</si>
  <si>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</si>
  <si>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</si>
  <si>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</si>
  <si>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</si>
  <si>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</si>
  <si>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</si>
  <si>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</si>
  <si>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</si>
  <si>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</si>
  <si>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</si>
  <si>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</si>
  <si>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</si>
  <si>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</si>
  <si>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</si>
  <si>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</si>
  <si>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</si>
  <si>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</si>
  <si>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</si>
  <si>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</si>
  <si>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</si>
  <si>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</si>
  <si>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</si>
  <si>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</si>
  <si>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</si>
  <si>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</si>
  <si>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</si>
  <si>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</si>
  <si>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</si>
  <si>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</si>
  <si>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</si>
  <si>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</si>
  <si>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</si>
  <si>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</si>
  <si>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</si>
  <si>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</si>
  <si>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</si>
  <si>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</si>
  <si>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</si>
  <si>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</si>
  <si>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</si>
  <si>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</si>
  <si>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</si>
  <si>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</si>
  <si>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</si>
  <si>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</si>
  <si>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</si>
  <si>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</si>
  <si>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</si>
  <si>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</si>
  <si>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</si>
  <si>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</si>
  <si>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</si>
  <si>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</si>
  <si>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</si>
  <si>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</si>
  <si>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</si>
  <si>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</si>
  <si>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</si>
  <si>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</si>
  <si>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</si>
  <si>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</si>
  <si>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</si>
  <si>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</si>
  <si>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</si>
  <si>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</si>
  <si>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</si>
  <si>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</si>
  <si>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</si>
  <si>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</si>
  <si>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</si>
  <si>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</si>
  <si>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</si>
  <si>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</si>
  <si>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</si>
  <si>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</si>
  <si>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</si>
  <si>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204:232982</t>
  </si>
  <si>
    <t>rtdc.l.rtdc.4029:itc</t>
  </si>
  <si>
    <t>rtdc.l.rtdc.4009:itc</t>
  </si>
  <si>
    <t>partly-cloudy-night</t>
  </si>
  <si>
    <t>Partly Cloudy</t>
  </si>
  <si>
    <t>partly-cloudy-day</t>
  </si>
  <si>
    <t>204:160</t>
  </si>
  <si>
    <t>204:232993</t>
  </si>
  <si>
    <t>204:232980</t>
  </si>
  <si>
    <t>204:232989</t>
  </si>
  <si>
    <t>SIGNAL</t>
  </si>
  <si>
    <t>Signal based authority (5)</t>
  </si>
  <si>
    <t>rtdc.l.rtdc.4051:itc</t>
  </si>
  <si>
    <t>Y</t>
  </si>
  <si>
    <t>STORY</t>
  </si>
  <si>
    <t>SAMANTHA</t>
  </si>
  <si>
    <t>204:233307</t>
  </si>
  <si>
    <t>204:475</t>
  </si>
  <si>
    <t>204:232981</t>
  </si>
  <si>
    <t>204:232974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</si>
  <si>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</si>
  <si>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</si>
  <si>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</si>
  <si>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</si>
  <si>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</si>
  <si>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</si>
  <si>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</si>
  <si>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</si>
  <si>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</si>
  <si>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</si>
  <si>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</si>
  <si>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</si>
  <si>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</si>
  <si>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</si>
  <si>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</si>
  <si>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</si>
  <si>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</si>
  <si>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</si>
  <si>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</si>
  <si>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</si>
  <si>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</si>
  <si>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</si>
  <si>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</si>
  <si>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</si>
  <si>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</si>
  <si>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rtdc.l.rtdc.4039:itc</t>
  </si>
  <si>
    <t>rtdc.l.rtdc.4063:itc</t>
  </si>
  <si>
    <t>rtdc.l.rtdc.4040:itc</t>
  </si>
  <si>
    <t>SWANSON</t>
  </si>
  <si>
    <t>BRYCE</t>
  </si>
  <si>
    <t>204:464</t>
  </si>
  <si>
    <t>204:233306</t>
  </si>
  <si>
    <t>204:233002</t>
  </si>
  <si>
    <t>204:232996</t>
  </si>
  <si>
    <t>204:232984</t>
  </si>
  <si>
    <t>204:233293</t>
  </si>
  <si>
    <t>204:165</t>
  </si>
  <si>
    <t>204:438</t>
  </si>
  <si>
    <t>rtdc.l.rtdc.4021:itc</t>
  </si>
  <si>
    <t>rtdc.l.rtdc.4018:itc</t>
  </si>
  <si>
    <t>rtdc.l.rtdc.4017:itc</t>
  </si>
  <si>
    <t>rtdc.l.rtdc.4022:itc</t>
  </si>
  <si>
    <t>SMITH</t>
  </si>
  <si>
    <t>204:232985</t>
  </si>
  <si>
    <t>204:233323</t>
  </si>
  <si>
    <t>204:480</t>
  </si>
  <si>
    <t>204:232983</t>
  </si>
  <si>
    <t>204:233278</t>
  </si>
  <si>
    <t>204:462</t>
  </si>
  <si>
    <t>300:23346</t>
  </si>
  <si>
    <t>300:58929</t>
  </si>
  <si>
    <t>204:138</t>
  </si>
  <si>
    <t>300:58611</t>
  </si>
  <si>
    <t>rtdc.l.rtdc.4053:itc</t>
  </si>
  <si>
    <t>rtdc.l.rtdc.4054:itc</t>
  </si>
  <si>
    <t>rtdc.l.rtdc.4028:itc</t>
  </si>
  <si>
    <t>rtdc.l.rtdc.4025:itc</t>
  </si>
  <si>
    <t>SWITCH UNKNOWN</t>
  </si>
  <si>
    <t>Track device (7)</t>
  </si>
  <si>
    <t>SANTIZO</t>
  </si>
  <si>
    <t>D. EDY</t>
  </si>
  <si>
    <t>rtdc.l.rtdc.4027:itc</t>
  </si>
  <si>
    <t>DAVIS</t>
  </si>
  <si>
    <t>WENDY</t>
  </si>
  <si>
    <t>HOLCOMB</t>
  </si>
  <si>
    <t>KAMDEN</t>
  </si>
  <si>
    <t>MAELZER</t>
  </si>
  <si>
    <t>KURT</t>
  </si>
  <si>
    <t>ROMERO</t>
  </si>
  <si>
    <t>CHAD</t>
  </si>
  <si>
    <t>LEVIN</t>
  </si>
  <si>
    <t>SCOTT</t>
  </si>
  <si>
    <t>STAMBAUGH</t>
  </si>
  <si>
    <t>SAFIEF</t>
  </si>
  <si>
    <t>AEIMEN</t>
  </si>
  <si>
    <t>204:232960</t>
  </si>
  <si>
    <t>204:232998</t>
  </si>
  <si>
    <t>204:232975</t>
  </si>
  <si>
    <t>204:169</t>
  </si>
  <si>
    <t>204:232977</t>
  </si>
  <si>
    <t>204:233334</t>
  </si>
  <si>
    <t>204:132</t>
  </si>
  <si>
    <t>204:992</t>
  </si>
  <si>
    <t>300:58939</t>
  </si>
  <si>
    <t>300:58623</t>
  </si>
  <si>
    <t>300:58931</t>
  </si>
  <si>
    <t>204:232987</t>
  </si>
  <si>
    <t>Early arrival</t>
  </si>
  <si>
    <t>Onboard in-route failure</t>
  </si>
  <si>
    <t>Wi-MAX data drop</t>
  </si>
  <si>
    <t>rtdc.l.rtdc.4010:itc</t>
  </si>
  <si>
    <t>242-13</t>
  </si>
  <si>
    <t>BONDS</t>
  </si>
  <si>
    <t>REYNALDO</t>
  </si>
  <si>
    <t>ROCHA</t>
  </si>
  <si>
    <t>YAOTL</t>
  </si>
  <si>
    <t>YANAI</t>
  </si>
  <si>
    <t>IAN</t>
  </si>
  <si>
    <t>CLARK</t>
  </si>
  <si>
    <t>KATHLEEN</t>
  </si>
  <si>
    <t>LEVERE</t>
  </si>
  <si>
    <t>CRAIG</t>
  </si>
  <si>
    <t>DUNCAN</t>
  </si>
  <si>
    <t>SHEILA</t>
  </si>
  <si>
    <t>81-13</t>
  </si>
  <si>
    <t>309-13</t>
  </si>
  <si>
    <t>244-13</t>
  </si>
  <si>
    <t>311-13</t>
  </si>
  <si>
    <t>313-13</t>
  </si>
  <si>
    <t>204:233301</t>
  </si>
  <si>
    <t>204:710</t>
  </si>
  <si>
    <t>204:233353</t>
  </si>
  <si>
    <t>204:233302</t>
  </si>
  <si>
    <t>204:232994</t>
  </si>
  <si>
    <t>204:232965</t>
  </si>
  <si>
    <t>204:233291</t>
  </si>
  <si>
    <t>204:180</t>
  </si>
  <si>
    <t>204:471</t>
  </si>
  <si>
    <t>204:233257</t>
  </si>
  <si>
    <t>204:233288</t>
  </si>
  <si>
    <t>204:233319</t>
  </si>
  <si>
    <t>204:232969</t>
  </si>
  <si>
    <t>204:203</t>
  </si>
  <si>
    <t>204:482</t>
  </si>
  <si>
    <t>204:433</t>
  </si>
  <si>
    <t>204:110</t>
  </si>
  <si>
    <t>204:233300</t>
  </si>
  <si>
    <t>204:123</t>
  </si>
  <si>
    <t>204:232968</t>
  </si>
  <si>
    <t>204:183</t>
  </si>
  <si>
    <t>204:233272</t>
  </si>
  <si>
    <t>204:232955</t>
  </si>
  <si>
    <t>300:23304</t>
  </si>
  <si>
    <t>204:687</t>
  </si>
  <si>
    <t>204:673</t>
  </si>
  <si>
    <t>204:951</t>
  </si>
  <si>
    <t>204:107437</t>
  </si>
  <si>
    <t>204:964</t>
  </si>
  <si>
    <t>204:953</t>
  </si>
  <si>
    <t>204:962</t>
  </si>
  <si>
    <t>300:58653</t>
  </si>
  <si>
    <t>204:1039</t>
  </si>
  <si>
    <t>300:58933</t>
  </si>
  <si>
    <t>204:701</t>
  </si>
  <si>
    <t>300:58928</t>
  </si>
  <si>
    <t>300:58924</t>
  </si>
  <si>
    <t>300:58615</t>
  </si>
  <si>
    <t>204:958</t>
  </si>
  <si>
    <t>300:58609</t>
  </si>
  <si>
    <t>204:659</t>
  </si>
  <si>
    <t>204:943</t>
  </si>
  <si>
    <t>204:656</t>
  </si>
  <si>
    <t>start /low /b %USERPROFILE%\Documents\GitHub\eaglep3\Utilities\DownloadLogsFromS3.py --loco 4017 --day 2017-03-14</t>
  </si>
  <si>
    <t>109-14</t>
  </si>
  <si>
    <t>104-14</t>
  </si>
  <si>
    <t>110-14</t>
  </si>
  <si>
    <t>113-14</t>
  </si>
  <si>
    <t>119-14</t>
  </si>
  <si>
    <t>137-14</t>
  </si>
  <si>
    <t>rtdc.l.rtdc.4023:itc</t>
  </si>
  <si>
    <t>50-14</t>
  </si>
  <si>
    <t>814-14</t>
  </si>
  <si>
    <t>rtdc.l.rtdc.4024:itc</t>
  </si>
  <si>
    <t>816-14</t>
  </si>
  <si>
    <t>148-14</t>
  </si>
  <si>
    <t>818-14</t>
  </si>
  <si>
    <t>158-14</t>
  </si>
  <si>
    <t>rtdc.l.rtdc.4032:itc</t>
  </si>
  <si>
    <t>164-14</t>
  </si>
  <si>
    <t>162-14</t>
  </si>
  <si>
    <t>172-14</t>
  </si>
  <si>
    <t>175-14</t>
  </si>
  <si>
    <t>170-14</t>
  </si>
  <si>
    <t>822-14</t>
  </si>
  <si>
    <t>183-14</t>
  </si>
  <si>
    <t>189-14</t>
  </si>
  <si>
    <t>184-14</t>
  </si>
  <si>
    <t>188-14</t>
  </si>
  <si>
    <t>186-14</t>
  </si>
  <si>
    <t>198-14</t>
  </si>
  <si>
    <t>830-14</t>
  </si>
  <si>
    <t>204-14</t>
  </si>
  <si>
    <t>71-14</t>
  </si>
  <si>
    <t>56-14</t>
  </si>
  <si>
    <t>215-14</t>
  </si>
  <si>
    <t>212-14</t>
  </si>
  <si>
    <t>rtdc.l.rtdc.4031:itc</t>
  </si>
  <si>
    <t>219-14</t>
  </si>
  <si>
    <t>216-14</t>
  </si>
  <si>
    <t>80-14</t>
  </si>
  <si>
    <t>236-14</t>
  </si>
  <si>
    <t>244-14</t>
  </si>
  <si>
    <t>302-14</t>
  </si>
  <si>
    <t>101-14</t>
  </si>
  <si>
    <t>304-14</t>
  </si>
  <si>
    <t>103-14</t>
  </si>
  <si>
    <t>rtdc.l.rtdc.4026:itc</t>
  </si>
  <si>
    <t>306-14</t>
  </si>
  <si>
    <t>STARKS</t>
  </si>
  <si>
    <t>ANGELINA</t>
  </si>
  <si>
    <t>102-14</t>
  </si>
  <si>
    <t>308-14</t>
  </si>
  <si>
    <t>105-14</t>
  </si>
  <si>
    <t>310-14</t>
  </si>
  <si>
    <t>107-14</t>
  </si>
  <si>
    <t>901-14</t>
  </si>
  <si>
    <t>YORK</t>
  </si>
  <si>
    <t>EDGAR</t>
  </si>
  <si>
    <t>111-14</t>
  </si>
  <si>
    <t>LOZA</t>
  </si>
  <si>
    <t>FIDEL</t>
  </si>
  <si>
    <t>106-14</t>
  </si>
  <si>
    <t>800-14</t>
  </si>
  <si>
    <t>108-14</t>
  </si>
  <si>
    <t>115-14</t>
  </si>
  <si>
    <t>801-14</t>
  </si>
  <si>
    <t>117-14</t>
  </si>
  <si>
    <t>902-14</t>
  </si>
  <si>
    <t>rtdc.l.rtdc.4052:itc</t>
  </si>
  <si>
    <t>112-14</t>
  </si>
  <si>
    <t>114-14</t>
  </si>
  <si>
    <t>802-14</t>
  </si>
  <si>
    <t>121-14</t>
  </si>
  <si>
    <t>803-14</t>
  </si>
  <si>
    <t>116-14</t>
  </si>
  <si>
    <t>123-14</t>
  </si>
  <si>
    <t>805-14</t>
  </si>
  <si>
    <t>118-14</t>
  </si>
  <si>
    <t>804-14</t>
  </si>
  <si>
    <t>125-14</t>
  </si>
  <si>
    <t>120-14</t>
  </si>
  <si>
    <t>127-14</t>
  </si>
  <si>
    <t>806-14</t>
  </si>
  <si>
    <t>122-14</t>
  </si>
  <si>
    <t>129-14</t>
  </si>
  <si>
    <t>807-14</t>
  </si>
  <si>
    <t>124-14</t>
  </si>
  <si>
    <t>131-14</t>
  </si>
  <si>
    <t>809-14</t>
  </si>
  <si>
    <t>808-14</t>
  </si>
  <si>
    <t>126-14</t>
  </si>
  <si>
    <t>128-14</t>
  </si>
  <si>
    <t>133-14</t>
  </si>
  <si>
    <t>135-14</t>
  </si>
  <si>
    <t>810-14</t>
  </si>
  <si>
    <t>130-14</t>
  </si>
  <si>
    <t>132-14</t>
  </si>
  <si>
    <t>811-14</t>
  </si>
  <si>
    <t>139-14</t>
  </si>
  <si>
    <t>903-14</t>
  </si>
  <si>
    <t>141-14</t>
  </si>
  <si>
    <t>812-14</t>
  </si>
  <si>
    <t>134-14</t>
  </si>
  <si>
    <t>136-14</t>
  </si>
  <si>
    <t>143-14</t>
  </si>
  <si>
    <t>ARNOLD</t>
  </si>
  <si>
    <t>PAUL</t>
  </si>
  <si>
    <t>138-14</t>
  </si>
  <si>
    <t>145-14</t>
  </si>
  <si>
    <t>813-14</t>
  </si>
  <si>
    <t>140-14</t>
  </si>
  <si>
    <t>142-14</t>
  </si>
  <si>
    <t>147-14</t>
  </si>
  <si>
    <t>149-14</t>
  </si>
  <si>
    <t>151-14</t>
  </si>
  <si>
    <t>144-14</t>
  </si>
  <si>
    <t>52-14</t>
  </si>
  <si>
    <t>BEAM</t>
  </si>
  <si>
    <t>ROSS</t>
  </si>
  <si>
    <t>146-14</t>
  </si>
  <si>
    <t>153-14</t>
  </si>
  <si>
    <t>815-14</t>
  </si>
  <si>
    <t>155-14</t>
  </si>
  <si>
    <t>150-14</t>
  </si>
  <si>
    <t>157-14</t>
  </si>
  <si>
    <t>152-14</t>
  </si>
  <si>
    <t>54-14</t>
  </si>
  <si>
    <t>159-14</t>
  </si>
  <si>
    <t>154-14</t>
  </si>
  <si>
    <t>156-14</t>
  </si>
  <si>
    <t>161-14</t>
  </si>
  <si>
    <t>STRICKLAND</t>
  </si>
  <si>
    <t>EVAN</t>
  </si>
  <si>
    <t>817-14</t>
  </si>
  <si>
    <t>163-14</t>
  </si>
  <si>
    <t>165-14</t>
  </si>
  <si>
    <t>55-14</t>
  </si>
  <si>
    <t>160-14</t>
  </si>
  <si>
    <t>167-14</t>
  </si>
  <si>
    <t>169-14</t>
  </si>
  <si>
    <t>819-14</t>
  </si>
  <si>
    <t>171-14</t>
  </si>
  <si>
    <t>LALONDE</t>
  </si>
  <si>
    <t>GREGORY</t>
  </si>
  <si>
    <t>166-14</t>
  </si>
  <si>
    <t>820-14</t>
  </si>
  <si>
    <t>173-14</t>
  </si>
  <si>
    <t>168-14</t>
  </si>
  <si>
    <t>177-14</t>
  </si>
  <si>
    <t>821-14</t>
  </si>
  <si>
    <t>179-14</t>
  </si>
  <si>
    <t>174-14</t>
  </si>
  <si>
    <t>181-14</t>
  </si>
  <si>
    <t>176-14</t>
  </si>
  <si>
    <t>178-14</t>
  </si>
  <si>
    <t>185-14</t>
  </si>
  <si>
    <t>823-14</t>
  </si>
  <si>
    <t>180-14</t>
  </si>
  <si>
    <t>187-14</t>
  </si>
  <si>
    <t>182-14</t>
  </si>
  <si>
    <t>824-14</t>
  </si>
  <si>
    <t>191-14</t>
  </si>
  <si>
    <t>193-14</t>
  </si>
  <si>
    <t>825-14</t>
  </si>
  <si>
    <t>195-14</t>
  </si>
  <si>
    <t>904-14</t>
  </si>
  <si>
    <t>190-14</t>
  </si>
  <si>
    <t>826-14</t>
  </si>
  <si>
    <t>197-14</t>
  </si>
  <si>
    <t>827-14</t>
  </si>
  <si>
    <t>192-14</t>
  </si>
  <si>
    <t>199-14</t>
  </si>
  <si>
    <t>194-14</t>
  </si>
  <si>
    <t>828-14</t>
  </si>
  <si>
    <t>201-14</t>
  </si>
  <si>
    <t>829-14</t>
  </si>
  <si>
    <t>196-14</t>
  </si>
  <si>
    <t>203-14</t>
  </si>
  <si>
    <t>831-14</t>
  </si>
  <si>
    <t>205-14</t>
  </si>
  <si>
    <t>200-14</t>
  </si>
  <si>
    <t>207-14</t>
  </si>
  <si>
    <t>832-14</t>
  </si>
  <si>
    <t>202-14</t>
  </si>
  <si>
    <t>209-14</t>
  </si>
  <si>
    <t>833-14</t>
  </si>
  <si>
    <t>211-14</t>
  </si>
  <si>
    <t>835-14</t>
  </si>
  <si>
    <t>206-14</t>
  </si>
  <si>
    <t>MAYBERRY</t>
  </si>
  <si>
    <t>BILL</t>
  </si>
  <si>
    <t>834-14</t>
  </si>
  <si>
    <t>213-14</t>
  </si>
  <si>
    <t>ALONZO</t>
  </si>
  <si>
    <t>MATTHEW</t>
  </si>
  <si>
    <t>208-14</t>
  </si>
  <si>
    <t>58-14</t>
  </si>
  <si>
    <t>836-14</t>
  </si>
  <si>
    <t>210-14</t>
  </si>
  <si>
    <t>217-14</t>
  </si>
  <si>
    <t>837-14</t>
  </si>
  <si>
    <t>51-14</t>
  </si>
  <si>
    <t>214-14</t>
  </si>
  <si>
    <t>839-14</t>
  </si>
  <si>
    <t>838-14</t>
  </si>
  <si>
    <t>303-14</t>
  </si>
  <si>
    <t>221-14</t>
  </si>
  <si>
    <t>906-14</t>
  </si>
  <si>
    <t>218-14</t>
  </si>
  <si>
    <t>305-14</t>
  </si>
  <si>
    <t>220-14</t>
  </si>
  <si>
    <t>841-14</t>
  </si>
  <si>
    <t>223-14</t>
  </si>
  <si>
    <t>840-14</t>
  </si>
  <si>
    <t>307-14</t>
  </si>
  <si>
    <t>222-14</t>
  </si>
  <si>
    <t>225-14</t>
  </si>
  <si>
    <t>227-14</t>
  </si>
  <si>
    <t>843-14</t>
  </si>
  <si>
    <t>224-14</t>
  </si>
  <si>
    <t>81-14</t>
  </si>
  <si>
    <t>842-14</t>
  </si>
  <si>
    <t>226-14</t>
  </si>
  <si>
    <t>229-14</t>
  </si>
  <si>
    <t>845-14</t>
  </si>
  <si>
    <t>82-14</t>
  </si>
  <si>
    <t>228-14</t>
  </si>
  <si>
    <t>231-14</t>
  </si>
  <si>
    <t>844-14</t>
  </si>
  <si>
    <t>230-14</t>
  </si>
  <si>
    <t>233-14</t>
  </si>
  <si>
    <t>847-14</t>
  </si>
  <si>
    <t>235-14</t>
  </si>
  <si>
    <t>232-14</t>
  </si>
  <si>
    <t>908-14</t>
  </si>
  <si>
    <t>234-14</t>
  </si>
  <si>
    <t>237-14</t>
  </si>
  <si>
    <t>239-14</t>
  </si>
  <si>
    <t>241-14</t>
  </si>
  <si>
    <t>238-14</t>
  </si>
  <si>
    <t>243-14</t>
  </si>
  <si>
    <t>240-14</t>
  </si>
  <si>
    <t>242-14</t>
  </si>
  <si>
    <t>315-14</t>
  </si>
  <si>
    <t>309-14</t>
  </si>
  <si>
    <t>311-14</t>
  </si>
  <si>
    <t>313-14</t>
  </si>
  <si>
    <t>302-15</t>
  </si>
  <si>
    <t>BADERTSCHER</t>
  </si>
  <si>
    <t>DIANE</t>
  </si>
  <si>
    <t>clear-day</t>
  </si>
  <si>
    <t>Clear</t>
  </si>
  <si>
    <t>clear-night</t>
  </si>
  <si>
    <t>204:752</t>
  </si>
  <si>
    <t>204:232648</t>
  </si>
  <si>
    <t>204:233346</t>
  </si>
  <si>
    <t>204:232724</t>
  </si>
  <si>
    <t>204:737</t>
  </si>
  <si>
    <t>204:232644</t>
  </si>
  <si>
    <t>204:233276</t>
  </si>
  <si>
    <t>204:232957</t>
  </si>
  <si>
    <t>204:728</t>
  </si>
  <si>
    <t>204:233030</t>
  </si>
  <si>
    <t>204:233255</t>
  </si>
  <si>
    <t>204:812</t>
  </si>
  <si>
    <t>204:708</t>
  </si>
  <si>
    <t>204:233422</t>
  </si>
  <si>
    <t>204:233107</t>
  </si>
  <si>
    <t>204:145</t>
  </si>
  <si>
    <t>204:233351</t>
  </si>
  <si>
    <t>204:233032</t>
  </si>
  <si>
    <t>204:185</t>
  </si>
  <si>
    <t>204:528</t>
  </si>
  <si>
    <t>204:232988</t>
  </si>
  <si>
    <t>204:233042</t>
  </si>
  <si>
    <t>204:427</t>
  </si>
  <si>
    <t>204:233339</t>
  </si>
  <si>
    <t>204:233019</t>
  </si>
  <si>
    <t>204:19099</t>
  </si>
  <si>
    <t>204:176</t>
  </si>
  <si>
    <t>204:1340</t>
  </si>
  <si>
    <t>204:233305</t>
  </si>
  <si>
    <t>204:233259</t>
  </si>
  <si>
    <t>204:163</t>
  </si>
  <si>
    <t>204:178</t>
  </si>
  <si>
    <t>204:233403</t>
  </si>
  <si>
    <t>204:233067</t>
  </si>
  <si>
    <t>204:118</t>
  </si>
  <si>
    <t>204:233385</t>
  </si>
  <si>
    <t>204:153991</t>
  </si>
  <si>
    <t>204:233085</t>
  </si>
  <si>
    <t>204:217717</t>
  </si>
  <si>
    <t>204:486</t>
  </si>
  <si>
    <t>204:233395</t>
  </si>
  <si>
    <t>204:233093</t>
  </si>
  <si>
    <t>204:233364</t>
  </si>
  <si>
    <t>204:233025</t>
  </si>
  <si>
    <t>204:431</t>
  </si>
  <si>
    <t>204:233391</t>
  </si>
  <si>
    <t>204:233055</t>
  </si>
  <si>
    <t>204:233309</t>
  </si>
  <si>
    <t>204:233003</t>
  </si>
  <si>
    <t>204:424</t>
  </si>
  <si>
    <t>204:258</t>
  </si>
  <si>
    <t>204:233113</t>
  </si>
  <si>
    <t>204:107</t>
  </si>
  <si>
    <t>204:233421</t>
  </si>
  <si>
    <t>204:233100</t>
  </si>
  <si>
    <t>204:233001</t>
  </si>
  <si>
    <t>204:233015</t>
  </si>
  <si>
    <t>204:232967</t>
  </si>
  <si>
    <t>204:566</t>
  </si>
  <si>
    <t>204:232970</t>
  </si>
  <si>
    <t>204:273</t>
  </si>
  <si>
    <t>204:416</t>
  </si>
  <si>
    <t>204:435</t>
  </si>
  <si>
    <t>204:154018</t>
  </si>
  <si>
    <t>204:233347</t>
  </si>
  <si>
    <t>204:233011</t>
  </si>
  <si>
    <t>204:233400</t>
  </si>
  <si>
    <t>204:233094</t>
  </si>
  <si>
    <t>204:232942</t>
  </si>
  <si>
    <t>204:233444</t>
  </si>
  <si>
    <t>204:233089</t>
  </si>
  <si>
    <t>204:233266</t>
  </si>
  <si>
    <t>204:233321</t>
  </si>
  <si>
    <t>204:233405</t>
  </si>
  <si>
    <t>204:154009</t>
  </si>
  <si>
    <t>204:233065</t>
  </si>
  <si>
    <t>204:232973</t>
  </si>
  <si>
    <t>204:662</t>
  </si>
  <si>
    <t>204:233036</t>
  </si>
  <si>
    <t>204:167</t>
  </si>
  <si>
    <t>204:233370</t>
  </si>
  <si>
    <t>204:233072</t>
  </si>
  <si>
    <t>300:19509</t>
  </si>
  <si>
    <t>300:23101</t>
  </si>
  <si>
    <t>300:23625</t>
  </si>
  <si>
    <t>204:515</t>
  </si>
  <si>
    <t>300:23271</t>
  </si>
  <si>
    <t>300:22106</t>
  </si>
  <si>
    <t>300:23312</t>
  </si>
  <si>
    <t>300:23646</t>
  </si>
  <si>
    <t>300:23308</t>
  </si>
  <si>
    <t>204:1286</t>
  </si>
  <si>
    <t>300:23224</t>
  </si>
  <si>
    <t>204:897</t>
  </si>
  <si>
    <t>300:38960</t>
  </si>
  <si>
    <t>204:982</t>
  </si>
  <si>
    <t>300:39110</t>
  </si>
  <si>
    <t>204:945</t>
  </si>
  <si>
    <t>300:39237</t>
  </si>
  <si>
    <t>204:1071</t>
  </si>
  <si>
    <t>300:42046</t>
  </si>
  <si>
    <t>204:984</t>
  </si>
  <si>
    <t>300:42169</t>
  </si>
  <si>
    <t>204:390</t>
  </si>
  <si>
    <t>300:42510</t>
  </si>
  <si>
    <t>204:1212</t>
  </si>
  <si>
    <t>300:39424</t>
  </si>
  <si>
    <t>204:1268</t>
  </si>
  <si>
    <t>300:42356</t>
  </si>
  <si>
    <t>204:1274</t>
  </si>
  <si>
    <t>300:39545</t>
  </si>
  <si>
    <t>204:1285</t>
  </si>
  <si>
    <t>300:42782</t>
  </si>
  <si>
    <t>204:1307</t>
  </si>
  <si>
    <t>300:42495</t>
  </si>
  <si>
    <t>204:1381</t>
  </si>
  <si>
    <t>300:24214</t>
  </si>
  <si>
    <t>204:649</t>
  </si>
  <si>
    <t>300:39301</t>
  </si>
  <si>
    <t>204:386</t>
  </si>
  <si>
    <t>204:1233</t>
  </si>
  <si>
    <t>300:58971</t>
  </si>
  <si>
    <t>300:22286</t>
  </si>
  <si>
    <t>204:921</t>
  </si>
  <si>
    <t>300:22017</t>
  </si>
  <si>
    <t>204:377</t>
  </si>
  <si>
    <t>300:24212</t>
  </si>
  <si>
    <t>300:23228</t>
  </si>
  <si>
    <t>204:81</t>
  </si>
  <si>
    <t>300:21992</t>
  </si>
  <si>
    <t>204:2176</t>
  </si>
  <si>
    <t>204:1486</t>
  </si>
  <si>
    <t>204:1841</t>
  </si>
  <si>
    <t>300:7691</t>
  </si>
  <si>
    <t>300:21952</t>
  </si>
  <si>
    <t>204:924</t>
  </si>
  <si>
    <t>300:58621</t>
  </si>
  <si>
    <t>204:754</t>
  </si>
  <si>
    <t>204:1032</t>
  </si>
  <si>
    <t>204:761</t>
  </si>
  <si>
    <t>204:1013</t>
  </si>
  <si>
    <t>300:58632</t>
  </si>
  <si>
    <t>204:729</t>
  </si>
  <si>
    <t>204:759</t>
  </si>
  <si>
    <t>300:58950</t>
  </si>
  <si>
    <t>300:58636</t>
  </si>
  <si>
    <t>204:734</t>
  </si>
  <si>
    <t>204:1053</t>
  </si>
  <si>
    <t>300:58941</t>
  </si>
  <si>
    <t>204:107107</t>
  </si>
  <si>
    <t>204:171</t>
  </si>
  <si>
    <t>204:10546</t>
  </si>
  <si>
    <t>204:128268</t>
  </si>
  <si>
    <t>204:10550</t>
  </si>
  <si>
    <t>204:128272</t>
  </si>
  <si>
    <t>204:1244</t>
  </si>
  <si>
    <t>300:23310</t>
  </si>
  <si>
    <t>204:128271</t>
  </si>
  <si>
    <t>204:843</t>
  </si>
  <si>
    <t>204:1006</t>
  </si>
  <si>
    <t>300:58961</t>
  </si>
  <si>
    <t>300:58645</t>
  </si>
  <si>
    <t>204:740</t>
  </si>
  <si>
    <t>204:1018</t>
  </si>
  <si>
    <t>204:722</t>
  </si>
  <si>
    <t>204:1016</t>
  </si>
  <si>
    <t>300:58956</t>
  </si>
  <si>
    <t>300:58641</t>
  </si>
  <si>
    <t>204:747</t>
  </si>
  <si>
    <t>204:1030</t>
  </si>
  <si>
    <t>300:58954</t>
  </si>
  <si>
    <t>204:738</t>
  </si>
  <si>
    <t>204:128005</t>
  </si>
  <si>
    <t>204:128008</t>
  </si>
  <si>
    <t>204:10313</t>
  </si>
  <si>
    <t>204:128019</t>
  </si>
  <si>
    <t>204:10307</t>
  </si>
  <si>
    <t>204:128021</t>
  </si>
  <si>
    <t>300:58640</t>
  </si>
  <si>
    <t>204:1046</t>
  </si>
  <si>
    <t>300:58604</t>
  </si>
  <si>
    <t>204:986</t>
  </si>
  <si>
    <t>204:670</t>
  </si>
  <si>
    <t>204:965</t>
  </si>
  <si>
    <t>300:58617</t>
  </si>
  <si>
    <t>204:726</t>
  </si>
  <si>
    <t>204:666</t>
  </si>
  <si>
    <t>204:1021</t>
  </si>
  <si>
    <t>204:654</t>
  </si>
  <si>
    <t>204:705</t>
  </si>
  <si>
    <t>204:955</t>
  </si>
  <si>
    <t>204:979</t>
  </si>
  <si>
    <t>300:29925</t>
  </si>
  <si>
    <t>300:23372</t>
  </si>
  <si>
    <t>204:1133</t>
  </si>
  <si>
    <t>300:24254</t>
  </si>
  <si>
    <t>300:23207</t>
  </si>
  <si>
    <t>204:677</t>
  </si>
  <si>
    <t>300:21486</t>
  </si>
  <si>
    <t>300:58602</t>
  </si>
  <si>
    <t>300:21373</t>
  </si>
  <si>
    <t>start /low /b %USERPROFILE%\Documents\GitHub\eaglep3\Utilities\DownloadLogsFromS3.py --loco 4009 --day 2017-03-14</t>
  </si>
  <si>
    <t>start /low /b %USERPROFILE%\Documents\GitHub\eaglep3\Utilities\DownloadLogsFromS3.py --loco 4028 --day 2017-03-14</t>
  </si>
  <si>
    <t>start /low /b %USERPROFILE%\Documents\GitHub\eaglep3\Utilities\DownloadLogsFromS3.py --loco 4021 --day 2017-03-14</t>
  </si>
  <si>
    <t>start /low /b %USERPROFILE%\Documents\GitHub\eaglep3\Utilities\DownloadLogsFromS3.py --loco 4032 --day 2017-03-14</t>
  </si>
  <si>
    <t>start /low /b %USERPROFILE%\Documents\GitHub\eaglep3\Utilities\DownloadLogsFromS3.py --loco 4053 --day 2017-03-14</t>
  </si>
  <si>
    <t>start /low /b %USERPROFILE%\Documents\GitHub\eaglep3\Utilities\DownloadLogsFromS3.py --loco 4017 --day 2017-03-15</t>
  </si>
  <si>
    <t>start /low /b %USERPROFILE%\Documents\GitHub\eaglep3\Utilities\DownloadLogsFromS3.py --loco 4022 --day 2017-03-15</t>
  </si>
  <si>
    <t>start /low /b %USERPROFILE%\Documents\GitHub\eaglep3\Utilities\DownloadLogsFromS3.py --loco 4010 --day 2017-03-14</t>
  </si>
  <si>
    <t>start /low /b %USERPROFILE%\Documents\GitHub\eaglep3\Utilities\DownloadLogsFromS3.py --loco 4021 --day 2017-03-15</t>
  </si>
  <si>
    <t>start /low /b %USERPROFILE%\Documents\GitHub\eaglep3\Utilities\DownloadLogsFromS3.py --loco 4032 --day 2017-03-15</t>
  </si>
  <si>
    <t>start /low /b %USERPROFILE%\Documents\GitHub\eaglep3\Utilities\DownloadLogsFromS3.py --loco 4054 --day 2017-03-14</t>
  </si>
  <si>
    <t>start /low /b %USERPROFILE%\Documents\GitHub\eaglep3\Utilities\DownloadLogsFromS3.py --loco 4018 --day 2017-03-14</t>
  </si>
  <si>
    <t>start /low /b %USERPROFILE%\Documents\GitHub\eaglep3\Utilities\DownloadLogsFromS3.py --loco 4031 --day 2017-03-15</t>
  </si>
  <si>
    <t>start /low /b %USERPROFILE%\Documents\GitHub\eaglep3\Utilities\DownloadLogsFromS3.py --loco 4012 --day 2017-03-14</t>
  </si>
  <si>
    <t>http://stevetu21.github.io/eaglep3/load_kml.html?kml=http://rtdc.gmaps-snips.s3.amazonaws.com/0caf0d4b-a8e6-47a5-98d6-33c94845f704.kml</t>
  </si>
  <si>
    <t>Selected wrong track</t>
  </si>
  <si>
    <t>Went active too close to signal</t>
  </si>
  <si>
    <t>Unhealthy at Holly due to early arrival enforcement at previous xing (Ulster)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</si>
</sst>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topLeftCell="A54" workbookViewId="0">
      <selection activeCell="F89" sqref="F89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42808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42808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COUNTIFS($N$13:$N$9334,"&gt;0",$AG$13:$AG$9334,I1)</f>
        <v>140</v>
      </c>
      <c r="K5" s="40"/>
      <c r="L5" s="40"/>
      <c r="M5" s="41">
        <f>AVERAGEIFS($N$13:$N$9334,$AG$13:$AG$9334,I1)</f>
        <v>44.75702381005145</v>
      </c>
      <c r="N5" s="39">
        <f t="array" ref="N5">MIN(IF($AG$13:$AG$9334=I1,IF(ISNUMBER($N$13:$N$9334),IF($N$13:$N$9334&gt;0,$N$13:$N$9334))))</f>
        <v>35.400000008521602</v>
      </c>
      <c r="O5" s="3">
        <f t="array" ref="O5">MAX(IF($AG$13:$AG$9334=I1,IF(ISNUMBER($N$13:$N$9334),IF($N$13:$N$9334&gt;0,$N$13:$N$9334))))</f>
        <v>59.866666663438082</v>
      </c>
      <c r="P5" s="2"/>
      <c r="R5" s="74" t="s">
        <v>17</v>
      </c>
      <c r="S5" s="50">
        <f>COUNTIFS($N$13:$N$9334,"&gt;0",$AG$13:$AG$9334,R1)</f>
        <v>47</v>
      </c>
      <c r="T5" s="40"/>
      <c r="U5" s="177"/>
      <c r="V5" s="174">
        <f>AVERAGEIFS($N$13:$N$9334,$AG$13:$AG$9334,R1)</f>
        <v>20.71879432717477</v>
      </c>
      <c r="W5" s="175">
        <f t="array" ref="W5">MIN(IF($AG$13:$AG$9334=R1,IF(ISNUMBER($N$13:$N$9334),IF($N$13:$N$9334&gt;0,$N$13:$N$9334))))</f>
        <v>14.533333336003125</v>
      </c>
      <c r="X5" s="176">
        <f t="array" ref="X5">MAX(IF($AG$13:$AG$9334=R1,IF(ISNUMBER($N$13:$N$9334),IF($N$13:$N$9334&gt;0,$N$13:$N$9334))))</f>
        <v>36.950000004144385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COUNT($O$13:$O$115)</f>
        <v>0</v>
      </c>
      <c r="K6" s="40"/>
      <c r="L6" s="40"/>
      <c r="M6" s="41">
        <f>IFERROR(AVERAGE($O$13:$O$115),0)</f>
        <v>0</v>
      </c>
      <c r="N6" s="39">
        <f>MIN($O$13:$O$115)</f>
        <v>0</v>
      </c>
      <c r="O6" s="3">
        <f>MAX($O$13:$O$115)</f>
        <v>0</v>
      </c>
      <c r="P6" s="2"/>
      <c r="R6" s="75" t="s">
        <v>43</v>
      </c>
      <c r="S6" s="50">
        <f>COUNT($O$13:$O$115)</f>
        <v>0</v>
      </c>
      <c r="T6" s="40"/>
      <c r="U6" s="177"/>
      <c r="V6" s="174">
        <f>IFERROR(AVERAGE($O$13:$O$115),0)</f>
        <v>0</v>
      </c>
      <c r="W6" s="175">
        <f>MIN($O$13:$O$115)</f>
        <v>0</v>
      </c>
      <c r="X6" s="176">
        <f>MAX($O$13:$O$115)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COUNTIFS($P$13:$P$9334,"&gt;0",$AG$13:$AG$9334,I1)</f>
        <v>4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COUNTIFS($P$13:$P$9334,"&gt;0",$AG$13:$AG$9334,R1)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140</v>
      </c>
      <c r="K8" s="40"/>
      <c r="L8" s="40"/>
      <c r="M8" s="41">
        <f>M5</f>
        <v>44.75702381005145</v>
      </c>
      <c r="N8" s="39">
        <f>N5</f>
        <v>35.400000008521602</v>
      </c>
      <c r="O8" s="3">
        <f>O5</f>
        <v>59.866666663438082</v>
      </c>
      <c r="P8" s="2"/>
      <c r="R8" s="74" t="s">
        <v>16</v>
      </c>
      <c r="S8" s="50">
        <f>S5</f>
        <v>47</v>
      </c>
      <c r="T8" s="40"/>
      <c r="U8" s="177"/>
      <c r="V8" s="174">
        <f>V5</f>
        <v>20.71879432717477</v>
      </c>
      <c r="W8" s="175">
        <f>W5</f>
        <v>14.533333336003125</v>
      </c>
      <c r="X8" s="176">
        <f>X5</f>
        <v>36.950000004144385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0.97222222222222221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- 2017-03-14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AVERAGE(S13:S84)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204</v>
      </c>
      <c r="AN12" s="47" t="s">
        <v>208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601</v>
      </c>
      <c r="B13" s="7">
        <v>4051</v>
      </c>
      <c r="C13" s="21" t="s">
        <v>233</v>
      </c>
      <c r="D13" s="21" t="s">
        <v>811</v>
      </c>
      <c r="E13" s="13">
        <v>42808.129583333335</v>
      </c>
      <c r="F13" s="13">
        <v>42808.13113425926</v>
      </c>
      <c r="G13" s="7">
        <v>2</v>
      </c>
      <c r="H13" s="21" t="s">
        <v>238</v>
      </c>
      <c r="I13" s="13">
        <v>42808.16064814815</v>
      </c>
      <c r="J13" s="7">
        <v>0</v>
      </c>
      <c r="K13" s="98" t="str">
        <f t="shared" ref="K13:K76" si="0">IF(ISEVEN(B13),(B13-1)&amp;"/"&amp;B13,B13&amp;"/"&amp;(B13+1))</f>
        <v>4051/4052</v>
      </c>
      <c r="L13" s="21" t="str">
        <f>VLOOKUP(A13,'Trips&amp;Operators'!$C$1:$G$99999,5,FALSE)</f>
        <v>SANTIZO D. EDY</v>
      </c>
      <c r="M13" s="6">
        <f t="shared" ref="M13:M76" si="1">I13-F13</f>
        <v>2.9513888890505768E-2</v>
      </c>
      <c r="N13" s="7">
        <f t="shared" ref="N13:N58" si="2">24*60*SUM($M13:$M13)</f>
        <v>42.500000002328306</v>
      </c>
      <c r="O13" s="7"/>
      <c r="P13" s="7"/>
      <c r="Q13" s="22"/>
      <c r="R13" s="22"/>
      <c r="S13" s="31">
        <f t="shared" ref="S13:S59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-14T02:06:36-0600',mode:absolute,to:'2017-03-14T04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7.5200000000000003E-2</v>
      </c>
      <c r="Z13" s="62">
        <f t="shared" ref="Z13:Z44" si="9">RIGHT(H13,LEN(H13)-4)/10000</f>
        <v>23.329899999999999</v>
      </c>
      <c r="AA13" s="62">
        <f t="shared" ref="AA13:AA76" si="10">ABS(Z13-Y13)</f>
        <v>23.2547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0101-14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/stypes="app*4051*20170314*"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4051 --swversion DE.1.0.9.0 --startMP 204:752 --initTime 2017-03-14T03:06:36 --startdatetime 2017-03-14T03:08:50 --delay 2 --endMP 204:233299 --enddatetime 2017-03-14T03:51:20 --enforcementcount 0 &gt;&gt;C:\Users\stu\Documents\GitHub\eaglep3-reporting\EC\2017-03-14-refined-times.txt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{"issue":{"subject":"","project_id":79,"tracker_id":40,"status_id":1,"priority_id":2,"assigned_to_id":23,"start_date":"2017-03-14","description":"","custom_fields":[{"id":1,"name":"Subdivision","value":"EC"},{"id":4,"name":"Milepost","value":"23.3299"},{"id":17,"name":"Train ID","value":"101-14"},{"id":16,"name":"Locomotive ID","value":"4051"},{"id":130,"name":"Impact","value":""},{"id":150,"name":"Time of Event (Mountain Time)","value":"03:51:20"},{"id":151,"name":"Denver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4051 --day 2017-03-14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"%USERPROFILE%\AppData\Local\Temp\OnboardLogs"\RTDC4051\*4051*20170314* | grep -SE "(Enforcement Action)|(\[TIMEOUT)|(CHR.+\|PRM\|1\|D.+(SWITCH|SIGNAL).+UNKNOWN)" - &gt;&gt; 2017-03-14-UncaughtWiMAX.txt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608</v>
      </c>
      <c r="B14" s="7">
        <v>4017</v>
      </c>
      <c r="C14" s="21" t="s">
        <v>233</v>
      </c>
      <c r="D14" s="21" t="s">
        <v>812</v>
      </c>
      <c r="E14" s="13">
        <v>42808.167141203703</v>
      </c>
      <c r="F14" s="13">
        <v>42808.167928240742</v>
      </c>
      <c r="G14" s="7">
        <v>1</v>
      </c>
      <c r="H14" s="21" t="s">
        <v>394</v>
      </c>
      <c r="I14" s="13">
        <v>42808.202662037038</v>
      </c>
      <c r="J14" s="7">
        <v>0</v>
      </c>
      <c r="K14" s="98" t="str">
        <f t="shared" si="0"/>
        <v>4017/4018</v>
      </c>
      <c r="L14" s="21" t="str">
        <f>VLOOKUP(A14,'Trips&amp;Operators'!$C$1:$G$99999,5,FALSE)</f>
        <v>SANTIZO D. EDY</v>
      </c>
      <c r="M14" s="6">
        <f t="shared" si="1"/>
        <v>3.4733796295768116E-2</v>
      </c>
      <c r="N14" s="7">
        <f t="shared" si="2"/>
        <v>50.016666665906087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-14T03:00:41-0600',mode:absolute,to:'2017-03-14T05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23.264800000000001</v>
      </c>
      <c r="Z14" s="62">
        <f t="shared" si="9"/>
        <v>1.6E-2</v>
      </c>
      <c r="AA14" s="62">
        <f t="shared" si="10"/>
        <v>23.248800000000003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0102-14</v>
      </c>
      <c r="AE14" s="85" t="str">
        <f t="shared" si="12"/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AF14" s="82" t="str">
        <f t="shared" si="13"/>
        <v>"C:\Program Files (x86)\AstroGrep\AstroGrep.exe" /e /r /s /spath="%USERPROFILE%\AppData\Local\Temp\OnboardLogs" /stypes="app*4017*20170314*"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4017 --swversion DE.1.0.9.0 --startMP 204:232648 --initTime 2017-03-14T04:00:41 --startdatetime 2017-03-14T04:01:49 --delay 1 --endMP 204:160 --enddatetime 2017-03-14T04:51:50 --enforcementcount 0 &gt;&gt;C:\Users\stu\Documents\GitHub\eaglep3-reporting\EC\2017-03-14-refined-times.txt</v>
      </c>
      <c r="AI14" s="108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{"issue":{"subject":"","project_id":79,"tracker_id":40,"status_id":1,"priority_id":2,"assigned_to_id":23,"start_date":"2017-03-14","description":"","custom_fields":[{"id":1,"name":"Subdivision","value":"EC"},{"id":4,"name":"Milepost","value":"0.016"},{"id":17,"name":"Train ID","value":"102-14"},{"id":16,"name":"Locomotive ID","value":"4017"},{"id":130,"name":"Impact","value":""},{"id":150,"name":"Time of Event (Mountain Time)","value":"04:51:50"},{"id":151,"name":"Denver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6" si="20">"start /low /b "&amp;dls3logs&amp;" --loco "&amp;B14&amp;" --day "&amp;TEXT(F14,"YYYY-MM-DD")</f>
        <v>start /low /b %USERPROFILE%\Documents\GitHub\eaglep3\Utilities\DownloadLogsFromS3.py --loco 4017 --day 2017-03-14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"%USERPROFILE%\AppData\Local\Temp\OnboardLogs"\RTDC4017\*4017*20170314* | grep -SE "(Enforcement Action)|(\[TIMEOUT)|(CHR.+\|PRM\|1\|D.+(SWITCH|SIGNAL).+UNKNOWN)" - &gt;&gt; 2017-03-14-UncaughtWiMAX.txt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603</v>
      </c>
      <c r="B15" s="7">
        <v>4027</v>
      </c>
      <c r="C15" s="21" t="s">
        <v>233</v>
      </c>
      <c r="D15" s="21" t="s">
        <v>551</v>
      </c>
      <c r="E15" s="13">
        <v>42808.152696759258</v>
      </c>
      <c r="F15" s="13">
        <v>42808.153668981482</v>
      </c>
      <c r="G15" s="7">
        <v>1</v>
      </c>
      <c r="H15" s="21" t="s">
        <v>813</v>
      </c>
      <c r="I15" s="13">
        <v>42808.182025462964</v>
      </c>
      <c r="J15" s="7">
        <v>0</v>
      </c>
      <c r="K15" s="98" t="str">
        <f t="shared" si="0"/>
        <v>4027/4028</v>
      </c>
      <c r="L15" s="21" t="str">
        <f>VLOOKUP(A15,'Trips&amp;Operators'!$C$1:$G$99999,5,FALSE)</f>
        <v>MAELZER KURT</v>
      </c>
      <c r="M15" s="6">
        <f t="shared" si="1"/>
        <v>2.8356481481750961E-2</v>
      </c>
      <c r="N15" s="7">
        <f t="shared" si="2"/>
        <v>40.833333333721384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-14T02:39:53-0600',mode:absolute,to:'2017-03-14T05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7.0099999999999996E-2</v>
      </c>
      <c r="Z15" s="62">
        <f t="shared" si="9"/>
        <v>23.334599999999998</v>
      </c>
      <c r="AA15" s="62">
        <f t="shared" si="10"/>
        <v>23.264499999999998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0103-14</v>
      </c>
      <c r="AE15" s="85" t="str">
        <f t="shared" si="12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15" s="82" t="str">
        <f t="shared" si="13"/>
        <v>"C:\Program Files (x86)\AstroGrep\AstroGrep.exe" /e /r /s /spath="%USERPROFILE%\AppData\Local\Temp\OnboardLogs" /stypes="app*4027*20170314*"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103-14 --locoid 4027 --swversion DE.1.0.9.0 --startMP 204:701 --initTime 2017-03-14T03:39:53 --startdatetime 2017-03-14T03:41:17 --delay 1 --endMP 204:233346 --enddatetime 2017-03-14T04:22:07 --enforcementcount 0 &gt;&gt;C:\Users\stu\Documents\GitHub\eaglep3-reporting\EC\2017-03-14-refined-times.txt</v>
      </c>
      <c r="AI15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{"issue":{"subject":"","project_id":79,"tracker_id":40,"status_id":1,"priority_id":2,"assigned_to_id":23,"start_date":"2017-03-14","description":"","custom_fields":[{"id":1,"name":"Subdivision","value":"EC"},{"id":4,"name":"Milepost","value":"23.3346"},{"id":17,"name":"Train ID","value":"103-14"},{"id":16,"name":"Locomotive ID","value":"4027"},{"id":130,"name":"Impact","value":""},{"id":150,"name":"Time of Event (Mountain Time)","value":"04:22:07"},{"id":151,"name":"Denver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4027 --day 2017-03-14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"%USERPROFILE%\AppData\Local\Temp\OnboardLogs"\RTDC4027\*4027*20170314* | grep -SE "(Enforcement Action)|(\[TIMEOUT)|(CHR.+\|PRM\|1\|D.+(SWITCH|SIGNAL).+UNKNOWN)" - &gt;&gt; 2017-03-14-UncaughtWiMAX.txt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562</v>
      </c>
      <c r="B16" s="7">
        <v>4021</v>
      </c>
      <c r="C16" s="21" t="s">
        <v>233</v>
      </c>
      <c r="D16" s="21" t="s">
        <v>814</v>
      </c>
      <c r="E16" s="13">
        <v>42808.187847222223</v>
      </c>
      <c r="F16" s="13">
        <v>42808.188668981478</v>
      </c>
      <c r="G16" s="7">
        <v>1</v>
      </c>
      <c r="H16" s="21" t="s">
        <v>247</v>
      </c>
      <c r="I16" s="13">
        <v>42808.224456018521</v>
      </c>
      <c r="J16" s="7">
        <v>0</v>
      </c>
      <c r="K16" s="98" t="str">
        <f t="shared" si="0"/>
        <v>4021/4022</v>
      </c>
      <c r="L16" s="21" t="str">
        <f>VLOOKUP(A16,'Trips&amp;Operators'!$C$1:$G$99999,5,FALSE)</f>
        <v>MAELZER KURT</v>
      </c>
      <c r="M16" s="6">
        <f t="shared" si="1"/>
        <v>3.5787037042609882E-2</v>
      </c>
      <c r="N16" s="7">
        <f t="shared" si="2"/>
        <v>51.53333334135823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-14T03:30:30-0600',mode:absolute,to:'2017-03-14T06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23.272400000000001</v>
      </c>
      <c r="Z16" s="62">
        <f t="shared" si="9"/>
        <v>1.61E-2</v>
      </c>
      <c r="AA16" s="62">
        <f t="shared" si="10"/>
        <v>23.2563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0104-14</v>
      </c>
      <c r="AE16" s="85" t="str">
        <f t="shared" si="12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16" s="82" t="str">
        <f t="shared" si="13"/>
        <v>"C:\Program Files (x86)\AstroGrep\AstroGrep.exe" /e /r /s /spath="%USERPROFILE%\AppData\Local\Temp\OnboardLogs" /stypes="app*4021*20170314*"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104-14 --locoid 4021 --swversion DE.1.0.9.0 --startMP 204:232724 --initTime 2017-03-14T04:30:30 --startdatetime 2017-03-14T04:31:41 --delay 1 --endMP 204:161 --enddatetime 2017-03-14T05:23:13 --enforcementcount 0 &gt;&gt;C:\Users\stu\Documents\GitHub\eaglep3-reporting\EC\2017-03-14-refined-times.txt</v>
      </c>
      <c r="AI16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{"issue":{"subject":"","project_id":79,"tracker_id":40,"status_id":1,"priority_id":2,"assigned_to_id":23,"start_date":"2017-03-14","description":"","custom_fields":[{"id":1,"name":"Subdivision","value":"EC"},{"id":4,"name":"Milepost","value":"0.0161"},{"id":17,"name":"Train ID","value":"104-14"},{"id":16,"name":"Locomotive ID","value":"4021"},{"id":130,"name":"Impact","value":""},{"id":150,"name":"Time of Event (Mountain Time)","value":"05:23:13"},{"id":151,"name":"Denver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4021 --day 2017-03-14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"%USERPROFILE%\AppData\Local\Temp\OnboardLogs"\RTDC4021\*4021*20170314* | grep -SE "(Enforcement Action)|(\[TIMEOUT)|(CHR.+\|PRM\|1\|D.+(SWITCH|SIGNAL).+UNKNOWN)" - &gt;&gt; 2017-03-14-UncaughtWiMAX.txt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610</v>
      </c>
      <c r="B17" s="7">
        <v>4009</v>
      </c>
      <c r="C17" s="21" t="s">
        <v>233</v>
      </c>
      <c r="D17" s="21" t="s">
        <v>815</v>
      </c>
      <c r="E17" s="13">
        <v>42808.172835648147</v>
      </c>
      <c r="F17" s="13">
        <v>42808.175219907411</v>
      </c>
      <c r="G17" s="7">
        <v>3</v>
      </c>
      <c r="H17" s="21" t="s">
        <v>238</v>
      </c>
      <c r="I17" s="13">
        <v>42808.204097222224</v>
      </c>
      <c r="J17" s="7">
        <v>0</v>
      </c>
      <c r="K17" s="98" t="str">
        <f t="shared" si="0"/>
        <v>4009/4010</v>
      </c>
      <c r="L17" s="21" t="str">
        <f>VLOOKUP(A17,'Trips&amp;Operators'!$C$1:$G$99999,5,FALSE)</f>
        <v>STARKS ANGELINA</v>
      </c>
      <c r="M17" s="6">
        <f t="shared" si="1"/>
        <v>2.8877314813144039E-2</v>
      </c>
      <c r="N17" s="7">
        <f t="shared" si="2"/>
        <v>41.583333330927417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-14T03:08:53-0600',mode:absolute,to:'2017-03-14T05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7.3700000000000002E-2</v>
      </c>
      <c r="Z17" s="62">
        <f t="shared" si="9"/>
        <v>23.329899999999999</v>
      </c>
      <c r="AA17" s="62">
        <f t="shared" si="10"/>
        <v>23.2562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0105-14</v>
      </c>
      <c r="AE17" s="85" t="str">
        <f t="shared" si="12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17" s="82" t="str">
        <f t="shared" si="13"/>
        <v>"C:\Program Files (x86)\AstroGrep\AstroGrep.exe" /e /r /s /spath="%USERPROFILE%\AppData\Local\Temp\OnboardLogs" /stypes="app*4009*20170314*"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105-14 --locoid 4009 --swversion DE.1.0.9.0 --startMP 204:737 --initTime 2017-03-14T04:08:53 --startdatetime 2017-03-14T04:12:19 --delay 3 --endMP 204:233299 --enddatetime 2017-03-14T04:53:54 --enforcementcount 0 &gt;&gt;C:\Users\stu\Documents\GitHub\eaglep3-reporting\EC\2017-03-14-refined-times.txt</v>
      </c>
      <c r="AI17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{"issue":{"subject":"","project_id":79,"tracker_id":40,"status_id":1,"priority_id":2,"assigned_to_id":23,"start_date":"2017-03-14","description":"","custom_fields":[{"id":1,"name":"Subdivision","value":"EC"},{"id":4,"name":"Milepost","value":"23.3299"},{"id":17,"name":"Train ID","value":"105-14"},{"id":16,"name":"Locomotive ID","value":"4009"},{"id":130,"name":"Impact","value":""},{"id":150,"name":"Time of Event (Mountain Time)","value":"04:53:54"},{"id":151,"name":"Denver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4009 --day 2017-03-14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"%USERPROFILE%\AppData\Local\Temp\OnboardLogs"\RTDC4009\*4009*20170314* | grep -SE "(Enforcement Action)|(\[TIMEOUT)|(CHR.+\|PRM\|1\|D.+(SWITCH|SIGNAL).+UNKNOWN)" - &gt;&gt; 2017-03-14-UncaughtWiMAX.txt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619</v>
      </c>
      <c r="B18" s="7">
        <v>4026</v>
      </c>
      <c r="C18" s="21" t="s">
        <v>233</v>
      </c>
      <c r="D18" s="21" t="s">
        <v>816</v>
      </c>
      <c r="E18" s="13">
        <v>42808.213391203702</v>
      </c>
      <c r="F18" s="13">
        <v>42808.214166666665</v>
      </c>
      <c r="G18" s="7">
        <v>1</v>
      </c>
      <c r="H18" s="21" t="s">
        <v>226</v>
      </c>
      <c r="I18" s="13">
        <v>42808.244652777779</v>
      </c>
      <c r="J18" s="7">
        <v>0</v>
      </c>
      <c r="K18" s="98" t="str">
        <f t="shared" si="0"/>
        <v>4025/4026</v>
      </c>
      <c r="L18" s="21" t="str">
        <f>VLOOKUP(A18,'Trips&amp;Operators'!$C$1:$G$99999,5,FALSE)</f>
        <v>STARKS ANGELINA</v>
      </c>
      <c r="M18" s="6">
        <f t="shared" si="1"/>
        <v>3.0486111114441883E-2</v>
      </c>
      <c r="N18" s="7">
        <f t="shared" si="2"/>
        <v>43.900000004796311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-14T04:07:17-0600',mode:absolute,to:'2017-03-14T06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23.264399999999998</v>
      </c>
      <c r="Z18" s="62">
        <f t="shared" si="9"/>
        <v>1.47E-2</v>
      </c>
      <c r="AA18" s="62">
        <f t="shared" si="10"/>
        <v>23.249699999999997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0106-14</v>
      </c>
      <c r="AE18" s="85" t="str">
        <f t="shared" si="12"/>
        <v>aws s3 cp s3://rtdc.mdm.uploadarchive.raw/RTDC4026/ "%USERPROFILE%\AppData\Local\Temp\OnboardLogs"\RTDC4026\2017-03-14 --exclude "*" --recursive --include "*20170314*" &amp; "%USERPROFILE%\Documents\GitHub\mrs-test-scripts\Headless Mode &amp; Sideloading\WalkAndUnGZ.bat" "%USERPROFILE%\AppData\Local\Temp\OnboardLogs"\RTDC4026\2017-03-14 &amp; 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</v>
      </c>
      <c r="AF18" s="82" t="str">
        <f t="shared" si="13"/>
        <v>"C:\Program Files (x86)\AstroGrep\AstroGrep.exe" /e /r /s /spath="%USERPROFILE%\AppData\Local\Temp\OnboardLogs" /stypes="app*4026*20170314*"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106-14 --locoid 4026 --swversion DE.1.0.9.0 --startMP 204:232644 --initTime 2017-03-14T05:07:17 --startdatetime 2017-03-14T05:08:24 --delay 1 --endMP 204:147 --enddatetime 2017-03-14T05:52:18 --enforcementcount 0 &gt;&gt;C:\Users\stu\Documents\GitHub\eaglep3-reporting\EC\2017-03-14-refined-times.txt</v>
      </c>
      <c r="AI18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{"issue":{"subject":"","project_id":79,"tracker_id":40,"status_id":1,"priority_id":2,"assigned_to_id":23,"start_date":"2017-03-14","description":"","custom_fields":[{"id":1,"name":"Subdivision","value":"EC"},{"id":4,"name":"Milepost","value":"0.0147"},{"id":17,"name":"Train ID","value":"106-14"},{"id":16,"name":"Locomotive ID","value":"4026"},{"id":130,"name":"Impact","value":""},{"id":150,"name":"Time of Event (Mountain Time)","value":"05:52:18"},{"id":151,"name":"Denver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4026 --day 2017-03-14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"%USERPROFILE%\AppData\Local\Temp\OnboardLogs"\RTDC4026\*4026*20170314* | grep -SE "(Enforcement Action)|(\[TIMEOUT)|(CHR.+\|PRM\|1\|D.+(SWITCH|SIGNAL).+UNKNOWN)" - &gt;&gt; 2017-03-14-UncaughtWiMAX.txt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612</v>
      </c>
      <c r="B19" s="7">
        <v>4031</v>
      </c>
      <c r="C19" s="21" t="s">
        <v>233</v>
      </c>
      <c r="D19" s="21" t="s">
        <v>234</v>
      </c>
      <c r="E19" s="13">
        <v>42808.179872685185</v>
      </c>
      <c r="F19" s="13">
        <v>42808.180706018517</v>
      </c>
      <c r="G19" s="7">
        <v>1</v>
      </c>
      <c r="H19" s="21" t="s">
        <v>520</v>
      </c>
      <c r="I19" s="13">
        <v>42808.214467592596</v>
      </c>
      <c r="J19" s="7">
        <v>0</v>
      </c>
      <c r="K19" s="98" t="str">
        <f t="shared" si="0"/>
        <v>4031/4032</v>
      </c>
      <c r="L19" s="21" t="str">
        <f>VLOOKUP(A19,'Trips&amp;Operators'!$C$1:$G$99999,5,FALSE)</f>
        <v>BONDS REYNALDO</v>
      </c>
      <c r="M19" s="6">
        <f t="shared" si="1"/>
        <v>3.3761574079107959E-2</v>
      </c>
      <c r="N19" s="7">
        <f t="shared" si="2"/>
        <v>48.616666673915461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-14T03:19:01-0600',mode:absolute,to:'2017-03-14T06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4.58E-2</v>
      </c>
      <c r="Z19" s="62">
        <f t="shared" si="9"/>
        <v>23.330200000000001</v>
      </c>
      <c r="AA19" s="62">
        <f t="shared" si="10"/>
        <v>23.284400000000002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0107-14</v>
      </c>
      <c r="AE19" s="85" t="str">
        <f t="shared" si="12"/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AF19" s="82" t="str">
        <f t="shared" si="13"/>
        <v>"C:\Program Files (x86)\AstroGrep\AstroGrep.exe" /e /r /s /spath="%USERPROFILE%\AppData\Local\Temp\OnboardLogs" /stypes="app*4031*20170314*"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107-14 --locoid 4031 --swversion DE.1.0.9.0 --startMP 204:458 --initTime 2017-03-14T04:19:01 --startdatetime 2017-03-14T04:20:13 --delay 1 --endMP 204:233302 --enddatetime 2017-03-14T05:08:50 --enforcementcount 0 &gt;&gt;C:\Users\stu\Documents\GitHub\eaglep3-reporting\EC\2017-03-14-refined-times.txt</v>
      </c>
      <c r="AI19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{"issue":{"subject":"","project_id":79,"tracker_id":40,"status_id":1,"priority_id":2,"assigned_to_id":23,"start_date":"2017-03-14","description":"","custom_fields":[{"id":1,"name":"Subdivision","value":"EC"},{"id":4,"name":"Milepost","value":"23.3302"},{"id":17,"name":"Train ID","value":"107-14"},{"id":16,"name":"Locomotive ID","value":"4031"},{"id":130,"name":"Impact","value":""},{"id":150,"name":"Time of Event (Mountain Time)","value":"05:08:50"},{"id":151,"name":"Denver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4031 --day 2017-03-14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"%USERPROFILE%\AppData\Local\Temp\OnboardLogs"\RTDC4031\*4031*20170314* | grep -SE "(Enforcement Action)|(\[TIMEOUT)|(CHR.+\|PRM\|1\|D.+(SWITCH|SIGNAL).+UNKNOWN)" - &gt;&gt; 2017-03-14-UncaughtWiMAX.txt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621</v>
      </c>
      <c r="B20" s="7">
        <v>4032</v>
      </c>
      <c r="C20" s="21" t="s">
        <v>233</v>
      </c>
      <c r="D20" s="21" t="s">
        <v>395</v>
      </c>
      <c r="E20" s="13">
        <v>42808.22314814815</v>
      </c>
      <c r="F20" s="13">
        <v>42808.224039351851</v>
      </c>
      <c r="G20" s="7">
        <v>1</v>
      </c>
      <c r="H20" s="21" t="s">
        <v>192</v>
      </c>
      <c r="I20" s="13">
        <v>42808.255416666667</v>
      </c>
      <c r="J20" s="7">
        <v>0</v>
      </c>
      <c r="K20" s="98" t="str">
        <f t="shared" si="0"/>
        <v>4031/4032</v>
      </c>
      <c r="L20" s="21" t="str">
        <f>VLOOKUP(A20,'Trips&amp;Operators'!$C$1:$G$99999,5,FALSE)</f>
        <v>BONDS REYNALDO</v>
      </c>
      <c r="M20" s="6">
        <f t="shared" si="1"/>
        <v>3.1377314815472346E-2</v>
      </c>
      <c r="N20" s="7">
        <f t="shared" si="2"/>
        <v>45.183333334280178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-14T04:21:20-0600',mode:absolute,to:'2017-03-14T07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23.299299999999999</v>
      </c>
      <c r="Z20" s="62">
        <f t="shared" si="9"/>
        <v>1.4999999999999999E-2</v>
      </c>
      <c r="AA20" s="62">
        <f t="shared" si="10"/>
        <v>23.284299999999998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0108-14</v>
      </c>
      <c r="AE20" s="85" t="str">
        <f t="shared" si="12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20" s="82" t="str">
        <f t="shared" si="13"/>
        <v>"C:\Program Files (x86)\AstroGrep\AstroGrep.exe" /e /r /s /spath="%USERPROFILE%\AppData\Local\Temp\OnboardLogs" /stypes="app*4032*20170314*"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108-14 --locoid 4032 --swversion DE.1.0.9.0 --startMP 204:232993 --initTime 2017-03-14T05:21:20 --startdatetime 2017-03-14T05:22:37 --delay 1 --endMP 204:150 --enddatetime 2017-03-14T06:07:48 --enforcementcount 0 &gt;&gt;C:\Users\stu\Documents\GitHub\eaglep3-reporting\EC\2017-03-14-refined-times.txt</v>
      </c>
      <c r="AI20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{"issue":{"subject":"","project_id":79,"tracker_id":40,"status_id":1,"priority_id":2,"assigned_to_id":23,"start_date":"2017-03-14","description":"","custom_fields":[{"id":1,"name":"Subdivision","value":"EC"},{"id":4,"name":"Milepost","value":"0.015"},{"id":17,"name":"Train ID","value":"108-14"},{"id":16,"name":"Locomotive ID","value":"4032"},{"id":130,"name":"Impact","value":""},{"id":150,"name":"Time of Event (Mountain Time)","value":"06:07:48"},{"id":151,"name":"Denver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4032 --day 2017-03-14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"%USERPROFILE%\AppData\Local\Temp\OnboardLogs"\RTDC4032\*4032*20170314* | grep -SE "(Enforcement Action)|(\[TIMEOUT)|(CHR.+\|PRM\|1\|D.+(SWITCH|SIGNAL).+UNKNOWN)" - &gt;&gt; 2017-03-14-UncaughtWiMAX.txt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561</v>
      </c>
      <c r="B21" s="7">
        <v>4053</v>
      </c>
      <c r="C21" s="21" t="s">
        <v>233</v>
      </c>
      <c r="D21" s="21" t="s">
        <v>254</v>
      </c>
      <c r="E21" s="13">
        <v>42808.193912037037</v>
      </c>
      <c r="F21" s="13">
        <v>42808.194872685184</v>
      </c>
      <c r="G21" s="7">
        <v>1</v>
      </c>
      <c r="H21" s="21" t="s">
        <v>817</v>
      </c>
      <c r="I21" s="13">
        <v>42808.225162037037</v>
      </c>
      <c r="J21" s="7">
        <v>0</v>
      </c>
      <c r="K21" s="98" t="str">
        <f t="shared" si="0"/>
        <v>4053/4054</v>
      </c>
      <c r="L21" s="21" t="str">
        <f>VLOOKUP(A21,'Trips&amp;Operators'!$C$1:$G$99999,5,FALSE)</f>
        <v>DAVIS WENDY</v>
      </c>
      <c r="M21" s="6">
        <f t="shared" si="1"/>
        <v>3.0289351852843538E-2</v>
      </c>
      <c r="N21" s="7">
        <f t="shared" si="2"/>
        <v>43.616666668094695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-14T03:39:14-0600',mode:absolute,to:'2017-03-14T06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4.6899999999999997E-2</v>
      </c>
      <c r="Z21" s="62">
        <f t="shared" si="9"/>
        <v>23.3276</v>
      </c>
      <c r="AA21" s="62">
        <f t="shared" si="10"/>
        <v>23.2807</v>
      </c>
      <c r="AB21" s="59" t="str">
        <f>VLOOKUP(A21,Enforcements!$C$7:$K$13,8,0)</f>
        <v>Bulletin (2)</v>
      </c>
      <c r="AC21" s="55" t="str">
        <f>VLOOKUP(A21,Enforcements!$C$7:$E$13,3,0)</f>
        <v>GRADE CROSSING</v>
      </c>
      <c r="AD21" s="56" t="str">
        <f t="shared" si="11"/>
        <v>0109-14</v>
      </c>
      <c r="AE21" s="85" t="str">
        <f t="shared" si="12"/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AF21" s="82" t="str">
        <f t="shared" si="13"/>
        <v>"C:\Program Files (x86)\AstroGrep\AstroGrep.exe" /e /r /s /spath="%USERPROFILE%\AppData\Local\Temp\OnboardLogs" /stypes="app*4053*20170314*"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109-14 --locoid 4053 --swversion DE.1.0.9.0 --startMP 204:469 --initTime 2017-03-14T04:39:14 --startdatetime 2017-03-14T04:40:37 --delay 1 --endMP 204:233276 --enddatetime 2017-03-14T05:24:14 --enforcementcount 0 &gt;&gt;C:\Users\stu\Documents\GitHub\eaglep3-reporting\EC\2017-03-14-refined-times.txt</v>
      </c>
      <c r="AI21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{"issue":{"subject":"","project_id":79,"tracker_id":40,"status_id":1,"priority_id":2,"assigned_to_id":23,"start_date":"2017-03-14","description":"","custom_fields":[{"id":1,"name":"Subdivision","value":"EC"},{"id":4,"name":"Milepost","value":"23.3276"},{"id":17,"name":"Train ID","value":"109-14"},{"id":16,"name":"Locomotive ID","value":"4053"},{"id":130,"name":"Impact","value":""},{"id":150,"name":"Time of Event (Mountain Time)","value":"05:24:14"},{"id":151,"name":"Denver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4053 --day 2017-03-14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"%USERPROFILE%\AppData\Local\Temp\OnboardLogs"\RTDC4053\*4053*20170314* | grep -SE "(Enforcement Action)|(\[TIMEOUT)|(CHR.+\|PRM\|1\|D.+(SWITCH|SIGNAL).+UNKNOWN)" - &gt;&gt; 2017-03-14-UncaughtWiMAX.txt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563</v>
      </c>
      <c r="B22" s="7">
        <v>4054</v>
      </c>
      <c r="C22" s="21" t="s">
        <v>233</v>
      </c>
      <c r="D22" s="21" t="s">
        <v>818</v>
      </c>
      <c r="E22" s="13">
        <v>42808.233784722222</v>
      </c>
      <c r="F22" s="13">
        <v>42808.234780092593</v>
      </c>
      <c r="G22" s="7">
        <v>1</v>
      </c>
      <c r="H22" s="21" t="s">
        <v>201</v>
      </c>
      <c r="I22" s="13">
        <v>42808.267268518517</v>
      </c>
      <c r="J22" s="7">
        <v>0</v>
      </c>
      <c r="K22" s="98" t="str">
        <f t="shared" si="0"/>
        <v>4053/4054</v>
      </c>
      <c r="L22" s="21" t="str">
        <f>VLOOKUP(A22,'Trips&amp;Operators'!$C$1:$G$99999,5,FALSE)</f>
        <v>DAVIS WENDY</v>
      </c>
      <c r="M22" s="6">
        <f t="shared" si="1"/>
        <v>3.2488425924384501E-2</v>
      </c>
      <c r="N22" s="7">
        <f t="shared" si="2"/>
        <v>46.783333331113681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-14T04:36:39-0600',mode:absolute,to:'2017-03-14T07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23.2957</v>
      </c>
      <c r="Z22" s="62">
        <f t="shared" si="9"/>
        <v>1.52E-2</v>
      </c>
      <c r="AA22" s="62">
        <f t="shared" si="10"/>
        <v>23.2805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0110-14</v>
      </c>
      <c r="AE22" s="85" t="str">
        <f t="shared" si="12"/>
        <v>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 &amp; 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</v>
      </c>
      <c r="AF22" s="82" t="str">
        <f t="shared" si="13"/>
        <v>"C:\Program Files (x86)\AstroGrep\AstroGrep.exe" /e /r /s /spath="%USERPROFILE%\AppData\Local\Temp\OnboardLogs" /stypes="app*4054*20170314*"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110-14 --locoid 4054 --swversion DE.1.0.9.0 --startMP 204:232957 --initTime 2017-03-14T05:36:39 --startdatetime 2017-03-14T05:38:05 --delay 1 --endMP 204:152 --enddatetime 2017-03-14T06:24:52 --enforcementcount 0 &gt;&gt;C:\Users\stu\Documents\GitHub\eaglep3-reporting\EC\2017-03-14-refined-times.txt</v>
      </c>
      <c r="AI22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{"issue":{"subject":"","project_id":79,"tracker_id":40,"status_id":1,"priority_id":2,"assigned_to_id":23,"start_date":"2017-03-14","description":"","custom_fields":[{"id":1,"name":"Subdivision","value":"EC"},{"id":4,"name":"Milepost","value":"0.0152"},{"id":17,"name":"Train ID","value":"110-14"},{"id":16,"name":"Locomotive ID","value":"4054"},{"id":130,"name":"Impact","value":""},{"id":150,"name":"Time of Event (Mountain Time)","value":"06:24:52"},{"id":151,"name":"Denver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4054 --day 2017-03-14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"%USERPROFILE%\AppData\Local\Temp\OnboardLogs"\RTDC4054\*4054*20170314* | grep -SE "(Enforcement Action)|(\[TIMEOUT)|(CHR.+\|PRM\|1\|D.+(SWITCH|SIGNAL).+UNKNOWN)" - &gt;&gt; 2017-03-14-UncaughtWiMAX.txt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616</v>
      </c>
      <c r="B23" s="7">
        <v>4051</v>
      </c>
      <c r="C23" s="21" t="s">
        <v>233</v>
      </c>
      <c r="D23" s="21" t="s">
        <v>819</v>
      </c>
      <c r="E23" s="13">
        <v>42808.20484953704</v>
      </c>
      <c r="F23" s="13">
        <v>42808.206967592596</v>
      </c>
      <c r="G23" s="7">
        <v>3</v>
      </c>
      <c r="H23" s="21" t="s">
        <v>488</v>
      </c>
      <c r="I23" s="13">
        <v>42808.233981481484</v>
      </c>
      <c r="J23" s="7">
        <v>0</v>
      </c>
      <c r="K23" s="98" t="str">
        <f t="shared" si="0"/>
        <v>4051/4052</v>
      </c>
      <c r="L23" s="21" t="str">
        <f>VLOOKUP(A23,'Trips&amp;Operators'!$C$1:$G$99999,5,FALSE)</f>
        <v>LOZA FIDEL</v>
      </c>
      <c r="M23" s="6">
        <f t="shared" si="1"/>
        <v>2.7013888888177462E-2</v>
      </c>
      <c r="N23" s="7">
        <f t="shared" si="2"/>
        <v>38.899999998975545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-14T03:54:59-0600',mode:absolute,to:'2017-03-14T06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7.2800000000000004E-2</v>
      </c>
      <c r="Z23" s="62">
        <f t="shared" si="9"/>
        <v>23.333400000000001</v>
      </c>
      <c r="AA23" s="62">
        <f t="shared" si="10"/>
        <v>23.2606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0111-14</v>
      </c>
      <c r="AE23" s="85" t="str">
        <f t="shared" si="12"/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23" s="82" t="str">
        <f t="shared" si="13"/>
        <v>"C:\Program Files (x86)\AstroGrep\AstroGrep.exe" /e /r /s /spath="%USERPROFILE%\AppData\Local\Temp\OnboardLogs" /stypes="app*4051*20170314*"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111-14 --locoid 4051 --swversion DE.1.0.9.0 --startMP 204:728 --initTime 2017-03-14T04:54:59 --startdatetime 2017-03-14T04:58:02 --delay 3 --endMP 204:233334 --enddatetime 2017-03-14T05:36:56 --enforcementcount 0 &gt;&gt;C:\Users\stu\Documents\GitHub\eaglep3-reporting\EC\2017-03-14-refined-times.txt</v>
      </c>
      <c r="AI23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{"issue":{"subject":"","project_id":79,"tracker_id":40,"status_id":1,"priority_id":2,"assigned_to_id":23,"start_date":"2017-03-14","description":"","custom_fields":[{"id":1,"name":"Subdivision","value":"EC"},{"id":4,"name":"Milepost","value":"23.3334"},{"id":17,"name":"Train ID","value":"111-14"},{"id":16,"name":"Locomotive ID","value":"4051"},{"id":130,"name":"Impact","value":""},{"id":150,"name":"Time of Event (Mountain Time)","value":"05:36:56"},{"id":151,"name":"Denver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4051 --day 2017-03-14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"%USERPROFILE%\AppData\Local\Temp\OnboardLogs"\RTDC4051\*4051*20170314* | grep -SE "(Enforcement Action)|(\[TIMEOUT)|(CHR.+\|PRM\|1\|D.+(SWITCH|SIGNAL).+UNKNOWN)" - &gt;&gt; 2017-03-14-UncaughtWiMAX.txt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627</v>
      </c>
      <c r="B24" s="7">
        <v>4052</v>
      </c>
      <c r="C24" s="21" t="s">
        <v>233</v>
      </c>
      <c r="D24" s="21" t="s">
        <v>820</v>
      </c>
      <c r="E24" s="13">
        <v>42808.245023148149</v>
      </c>
      <c r="F24" s="13">
        <v>42808.246145833335</v>
      </c>
      <c r="G24" s="7">
        <v>1</v>
      </c>
      <c r="H24" s="21" t="s">
        <v>201</v>
      </c>
      <c r="I24" s="13">
        <v>42808.275590277779</v>
      </c>
      <c r="J24" s="7">
        <v>0</v>
      </c>
      <c r="K24" s="98" t="str">
        <f t="shared" si="0"/>
        <v>4051/4052</v>
      </c>
      <c r="L24" s="21" t="str">
        <f>VLOOKUP(A24,'Trips&amp;Operators'!$C$1:$G$99999,5,FALSE)</f>
        <v>LOZA FIDEL</v>
      </c>
      <c r="M24" s="6">
        <f t="shared" si="1"/>
        <v>2.9444444444379769E-2</v>
      </c>
      <c r="N24" s="7">
        <f t="shared" si="2"/>
        <v>42.399999999906868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-14T04:52:50-0600',mode:absolute,to:'2017-03-14T07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23.303000000000001</v>
      </c>
      <c r="Z24" s="62">
        <f t="shared" si="9"/>
        <v>1.52E-2</v>
      </c>
      <c r="AA24" s="62">
        <f t="shared" si="10"/>
        <v>23.287800000000001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0112-14</v>
      </c>
      <c r="AE24" s="85" t="str">
        <f t="shared" si="12"/>
        <v>aws s3 cp s3://rtdc.mdm.uploadarchive.raw/RTDC4052/ "%USERPROFILE%\AppData\Local\Temp\OnboardLogs"\RTDC4052\2017-03-14 --exclude "*" --recursive --include "*20170314*" &amp; "%USERPROFILE%\Documents\GitHub\mrs-test-scripts\Headless Mode &amp; Sideloading\WalkAndUnGZ.bat" "%USERPROFILE%\AppData\Local\Temp\OnboardLogs"\RTDC4052\2017-03-14 &amp; 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</v>
      </c>
      <c r="AF24" s="82" t="str">
        <f t="shared" si="13"/>
        <v>"C:\Program Files (x86)\AstroGrep\AstroGrep.exe" /e /r /s /spath="%USERPROFILE%\AppData\Local\Temp\OnboardLogs" /stypes="app*4052*20170314*"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112-14 --locoid 4052 --swversion DE.1.0.9.0 --startMP 204:233030 --initTime 2017-03-14T05:52:50 --startdatetime 2017-03-14T05:54:27 --delay 1 --endMP 204:152 --enddatetime 2017-03-14T06:36:51 --enforcementcount 0 &gt;&gt;C:\Users\stu\Documents\GitHub\eaglep3-reporting\EC\2017-03-14-refined-times.txt</v>
      </c>
      <c r="AI24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{"issue":{"subject":"","project_id":79,"tracker_id":40,"status_id":1,"priority_id":2,"assigned_to_id":23,"start_date":"2017-03-14","description":"","custom_fields":[{"id":1,"name":"Subdivision","value":"EC"},{"id":4,"name":"Milepost","value":"0.0152"},{"id":17,"name":"Train ID","value":"112-14"},{"id":16,"name":"Locomotive ID","value":"4052"},{"id":130,"name":"Impact","value":""},{"id":150,"name":"Time of Event (Mountain Time)","value":"06:36:51"},{"id":151,"name":"Denver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4052 --day 2017-03-14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"%USERPROFILE%\AppData\Local\Temp\OnboardLogs"\RTDC4052\*4052*20170314* | grep -SE "(Enforcement Action)|(\[TIMEOUT)|(CHR.+\|PRM\|1\|D.+(SWITCH|SIGNAL).+UNKNOWN)" - &gt;&gt; 2017-03-14-UncaughtWiMAX.txt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564</v>
      </c>
      <c r="B25" s="7">
        <v>4018</v>
      </c>
      <c r="C25" s="21" t="s">
        <v>233</v>
      </c>
      <c r="D25" s="21" t="s">
        <v>525</v>
      </c>
      <c r="E25" s="13">
        <v>42808.204780092594</v>
      </c>
      <c r="F25" s="13">
        <v>42808.205682870372</v>
      </c>
      <c r="G25" s="7">
        <v>1</v>
      </c>
      <c r="H25" s="21" t="s">
        <v>821</v>
      </c>
      <c r="I25" s="13">
        <v>42808.246898148151</v>
      </c>
      <c r="J25" s="7">
        <v>0</v>
      </c>
      <c r="K25" s="98" t="str">
        <f t="shared" si="0"/>
        <v>4017/4018</v>
      </c>
      <c r="L25" s="21" t="str">
        <f>VLOOKUP(A25,'Trips&amp;Operators'!$C$1:$G$99999,5,FALSE)</f>
        <v>SANTIZO D. EDY</v>
      </c>
      <c r="M25" s="6">
        <f t="shared" si="1"/>
        <v>4.1215277778974269E-2</v>
      </c>
      <c r="N25" s="7">
        <f t="shared" si="2"/>
        <v>59.350000001722947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-14T03:54:53-0600',mode:absolute,to:'2017-03-14T06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4.7100000000000003E-2</v>
      </c>
      <c r="Z25" s="62">
        <f t="shared" si="9"/>
        <v>23.325500000000002</v>
      </c>
      <c r="AA25" s="62">
        <f t="shared" si="10"/>
        <v>23.278400000000001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0113-14</v>
      </c>
      <c r="AE25" s="85" t="str">
        <f t="shared" si="12"/>
        <v>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 &amp; aws s3 cp s3://rtdc.mdm.uploadarchive.raw/RTDC4018/ "%USERPROFILE%\AppData\Local\Temp\OnboardLogs"\RTDC4018\2017-03-15 --exclude "*" --recursive --include "*20170315*" &amp; "%USERPROFILE%\Documents\GitHub\mrs-test-scripts\Headless Mode &amp; Sideloading\WalkAndUnGZ.bat" "%USERPROFILE%\AppData\Local\Temp\OnboardLogs"\RTDC4018\2017-03-15</v>
      </c>
      <c r="AF25" s="82" t="str">
        <f t="shared" si="13"/>
        <v>"C:\Program Files (x86)\AstroGrep\AstroGrep.exe" /e /r /s /spath="%USERPROFILE%\AppData\Local\Temp\OnboardLogs" /stypes="app*4018*20170314*"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113-14 --locoid 4018 --swversion DE.1.0.9.0 --startMP 204:471 --initTime 2017-03-14T04:54:53 --startdatetime 2017-03-14T04:56:11 --delay 1 --endMP 204:233255 --enddatetime 2017-03-14T05:55:32 --enforcementcount 0 &gt;&gt;C:\Users\stu\Documents\GitHub\eaglep3-reporting\EC\2017-03-14-refined-times.txt</v>
      </c>
      <c r="AI25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{"issue":{"subject":"","project_id":79,"tracker_id":40,"status_id":1,"priority_id":2,"assigned_to_id":23,"start_date":"2017-03-14","description":"","custom_fields":[{"id":1,"name":"Subdivision","value":"EC"},{"id":4,"name":"Milepost","value":"23.3255"},{"id":17,"name":"Train ID","value":"113-14"},{"id":16,"name":"Locomotive ID","value":"4018"},{"id":130,"name":"Impact","value":""},{"id":150,"name":"Time of Event (Mountain Time)","value":"05:55:32"},{"id":151,"name":"Denver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4018 --day 2017-03-14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"%USERPROFILE%\AppData\Local\Temp\OnboardLogs"\RTDC4018\*4018*20170314* | grep -SE "(Enforcement Action)|(\[TIMEOUT)|(CHR.+\|PRM\|1\|D.+(SWITCH|SIGNAL).+UNKNOWN)" - &gt;&gt; 2017-03-14-UncaughtWiMAX.txt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628</v>
      </c>
      <c r="B26" s="7">
        <v>4017</v>
      </c>
      <c r="C26" s="21" t="s">
        <v>233</v>
      </c>
      <c r="D26" s="21" t="s">
        <v>396</v>
      </c>
      <c r="E26" s="13">
        <v>42808.248645833337</v>
      </c>
      <c r="F26" s="13">
        <v>42808.249502314815</v>
      </c>
      <c r="G26" s="7">
        <v>1</v>
      </c>
      <c r="H26" s="21" t="s">
        <v>201</v>
      </c>
      <c r="I26" s="13">
        <v>42808.285578703704</v>
      </c>
      <c r="J26" s="7">
        <v>0</v>
      </c>
      <c r="K26" s="98" t="str">
        <f t="shared" si="0"/>
        <v>4017/4018</v>
      </c>
      <c r="L26" s="21" t="str">
        <f>VLOOKUP(A26,'Trips&amp;Operators'!$C$1:$G$99999,5,FALSE)</f>
        <v>SANTIZO D. EDY</v>
      </c>
      <c r="M26" s="6">
        <f t="shared" si="1"/>
        <v>3.6076388889341615E-2</v>
      </c>
      <c r="N26" s="7">
        <f t="shared" si="2"/>
        <v>51.950000000651926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-14T04:58:03-0600',mode:absolute,to:'2017-03-14T07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23.297999999999998</v>
      </c>
      <c r="Z26" s="62">
        <f t="shared" si="9"/>
        <v>1.52E-2</v>
      </c>
      <c r="AA26" s="62">
        <f t="shared" si="10"/>
        <v>23.282799999999998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0114-14</v>
      </c>
      <c r="AE26" s="85" t="str">
        <f t="shared" si="12"/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AF26" s="82" t="str">
        <f t="shared" si="13"/>
        <v>"C:\Program Files (x86)\AstroGrep\AstroGrep.exe" /e /r /s /spath="%USERPROFILE%\AppData\Local\Temp\OnboardLogs" /stypes="app*4017*20170314*"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114-14 --locoid 4017 --swversion DE.1.0.9.0 --startMP 204:232980 --initTime 2017-03-14T05:58:03 --startdatetime 2017-03-14T05:59:17 --delay 1 --endMP 204:152 --enddatetime 2017-03-14T06:51:14 --enforcementcount 0 &gt;&gt;C:\Users\stu\Documents\GitHub\eaglep3-reporting\EC\2017-03-14-refined-times.txt</v>
      </c>
      <c r="AI26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{"issue":{"subject":"","project_id":79,"tracker_id":40,"status_id":1,"priority_id":2,"assigned_to_id":23,"start_date":"2017-03-14","description":"","custom_fields":[{"id":1,"name":"Subdivision","value":"EC"},{"id":4,"name":"Milepost","value":"0.0152"},{"id":17,"name":"Train ID","value":"114-14"},{"id":16,"name":"Locomotive ID","value":"4017"},{"id":130,"name":"Impact","value":""},{"id":150,"name":"Time of Event (Mountain Time)","value":"06:51:14"},{"id":151,"name":"Denver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4017 --day 2017-03-14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"%USERPROFILE%\AppData\Local\Temp\OnboardLogs"\RTDC4017\*4017*20170314* | grep -SE "(Enforcement Action)|(\[TIMEOUT)|(CHR.+\|PRM\|1\|D.+(SWITCH|SIGNAL).+UNKNOWN)" - &gt;&gt; 2017-03-14-UncaughtWiMAX.txt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622</v>
      </c>
      <c r="B27" s="7">
        <v>4027</v>
      </c>
      <c r="C27" s="21" t="s">
        <v>233</v>
      </c>
      <c r="D27" s="21" t="s">
        <v>822</v>
      </c>
      <c r="E27" s="13">
        <v>42808.22761574074</v>
      </c>
      <c r="F27" s="13">
        <v>42808.228645833333</v>
      </c>
      <c r="G27" s="7">
        <v>1</v>
      </c>
      <c r="H27" s="21" t="s">
        <v>534</v>
      </c>
      <c r="I27" s="13">
        <v>42808.254224537035</v>
      </c>
      <c r="J27" s="7">
        <v>0</v>
      </c>
      <c r="K27" s="98" t="str">
        <f t="shared" si="0"/>
        <v>4027/4028</v>
      </c>
      <c r="L27" s="21" t="str">
        <f>VLOOKUP(A27,'Trips&amp;Operators'!$C$1:$G$99999,5,FALSE)</f>
        <v>ROCHA YAOTL</v>
      </c>
      <c r="M27" s="6">
        <f t="shared" si="1"/>
        <v>2.5578703702194616E-2</v>
      </c>
      <c r="N27" s="7">
        <f t="shared" si="2"/>
        <v>36.833333331160247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-14T04:27:46-0600',mode:absolute,to:'2017-03-14T07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8.1199999999999994E-2</v>
      </c>
      <c r="Z27" s="62">
        <f t="shared" si="9"/>
        <v>23.33</v>
      </c>
      <c r="AA27" s="62">
        <f t="shared" si="10"/>
        <v>23.248799999999999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0115-14</v>
      </c>
      <c r="AE27" s="85" t="str">
        <f t="shared" si="12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27" s="82" t="str">
        <f t="shared" si="13"/>
        <v>"C:\Program Files (x86)\AstroGrep\AstroGrep.exe" /e /r /s /spath="%USERPROFILE%\AppData\Local\Temp\OnboardLogs" /stypes="app*4027*20170314*"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115-14 --locoid 4027 --swversion DE.1.0.9.0 --startMP 204:812 --initTime 2017-03-14T05:27:46 --startdatetime 2017-03-14T05:29:15 --delay 1 --endMP 204:233300 --enddatetime 2017-03-14T06:06:05 --enforcementcount 0 &gt;&gt;C:\Users\stu\Documents\GitHub\eaglep3-reporting\EC\2017-03-14-refined-times.txt</v>
      </c>
      <c r="AI27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{"issue":{"subject":"","project_id":79,"tracker_id":40,"status_id":1,"priority_id":2,"assigned_to_id":23,"start_date":"2017-03-14","description":"","custom_fields":[{"id":1,"name":"Subdivision","value":"EC"},{"id":4,"name":"Milepost","value":"23.33"},{"id":17,"name":"Train ID","value":"115-14"},{"id":16,"name":"Locomotive ID","value":"4027"},{"id":130,"name":"Impact","value":""},{"id":150,"name":"Time of Event (Mountain Time)","value":"06:06:05"},{"id":151,"name":"Denver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4027 --day 2017-03-14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"%USERPROFILE%\AppData\Local\Temp\OnboardLogs"\RTDC4027\*4027*20170314* | grep -SE "(Enforcement Action)|(\[TIMEOUT)|(CHR.+\|PRM\|1\|D.+(SWITCH|SIGNAL).+UNKNOWN)" - &gt;&gt; 2017-03-14-UncaughtWiMAX.txt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632</v>
      </c>
      <c r="B28" s="7">
        <v>4028</v>
      </c>
      <c r="C28" s="21" t="s">
        <v>233</v>
      </c>
      <c r="D28" s="21" t="s">
        <v>406</v>
      </c>
      <c r="E28" s="13">
        <v>42808.267581018517</v>
      </c>
      <c r="F28" s="13">
        <v>42808.268495370372</v>
      </c>
      <c r="G28" s="7">
        <v>1</v>
      </c>
      <c r="H28" s="21" t="s">
        <v>219</v>
      </c>
      <c r="I28" s="13">
        <v>42808.297013888892</v>
      </c>
      <c r="J28" s="7">
        <v>0</v>
      </c>
      <c r="K28" s="98" t="str">
        <f t="shared" si="0"/>
        <v>4027/4028</v>
      </c>
      <c r="L28" s="21" t="str">
        <f>VLOOKUP(A28,'Trips&amp;Operators'!$C$1:$G$99999,5,FALSE)</f>
        <v>ROCHA YAOTL</v>
      </c>
      <c r="M28" s="6">
        <f t="shared" si="1"/>
        <v>2.8518518520286307E-2</v>
      </c>
      <c r="N28" s="7">
        <f t="shared" si="2"/>
        <v>41.066666669212282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-14T05:25:19-0600',mode:absolute,to:'2017-03-14T08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23.298100000000002</v>
      </c>
      <c r="Z28" s="62">
        <f t="shared" si="9"/>
        <v>1.3899999999999999E-2</v>
      </c>
      <c r="AA28" s="62">
        <f t="shared" si="10"/>
        <v>23.284200000000002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0116-14</v>
      </c>
      <c r="AE28" s="85" t="str">
        <f t="shared" si="12"/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AF28" s="82" t="str">
        <f t="shared" si="13"/>
        <v>"C:\Program Files (x86)\AstroGrep\AstroGrep.exe" /e /r /s /spath="%USERPROFILE%\AppData\Local\Temp\OnboardLogs" /stypes="app*4028*20170314*"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116-14 --locoid 4028 --swversion DE.1.0.9.0 --startMP 204:232981 --initTime 2017-03-14T06:25:19 --startdatetime 2017-03-14T06:26:38 --delay 1 --endMP 204:139 --enddatetime 2017-03-14T07:07:42 --enforcementcount 0 &gt;&gt;C:\Users\stu\Documents\GitHub\eaglep3-reporting\EC\2017-03-14-refined-times.txt</v>
      </c>
      <c r="AI28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{"issue":{"subject":"","project_id":79,"tracker_id":40,"status_id":1,"priority_id":2,"assigned_to_id":23,"start_date":"2017-03-14","description":"","custom_fields":[{"id":1,"name":"Subdivision","value":"EC"},{"id":4,"name":"Milepost","value":"0.0139"},{"id":17,"name":"Train ID","value":"116-14"},{"id":16,"name":"Locomotive ID","value":"4028"},{"id":130,"name":"Impact","value":""},{"id":150,"name":"Time of Event (Mountain Time)","value":"07:07:42"},{"id":151,"name":"Denver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4028 --day 2017-03-14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"%USERPROFILE%\AppData\Local\Temp\OnboardLogs"\RTDC4028\*4028*20170314* | grep -SE "(Enforcement Action)|(\[TIMEOUT)|(CHR.+\|PRM\|1\|D.+(SWITCH|SIGNAL).+UNKNOWN)" - &gt;&gt; 2017-03-14-UncaughtWiMAX.txt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624</v>
      </c>
      <c r="B29" s="7">
        <v>4022</v>
      </c>
      <c r="C29" s="21" t="s">
        <v>233</v>
      </c>
      <c r="D29" s="21" t="s">
        <v>214</v>
      </c>
      <c r="E29" s="13">
        <v>42808.228865740741</v>
      </c>
      <c r="F29" s="13">
        <v>42808.22960648148</v>
      </c>
      <c r="G29" s="7">
        <v>1</v>
      </c>
      <c r="H29" s="21" t="s">
        <v>443</v>
      </c>
      <c r="I29" s="13">
        <v>42808.265243055554</v>
      </c>
      <c r="J29" s="7">
        <v>0</v>
      </c>
      <c r="K29" s="98" t="str">
        <f t="shared" si="0"/>
        <v>4021/4022</v>
      </c>
      <c r="L29" s="21" t="str">
        <f>VLOOKUP(A29,'Trips&amp;Operators'!$C$1:$G$99999,5,FALSE)</f>
        <v>MAELZER KURT</v>
      </c>
      <c r="M29" s="6">
        <f t="shared" si="1"/>
        <v>3.5636574073578231E-2</v>
      </c>
      <c r="N29" s="7">
        <f t="shared" si="2"/>
        <v>51.316666665952653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-14T04:29:34-0600',mode:absolute,to:'2017-03-14T07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4.53E-2</v>
      </c>
      <c r="Z29" s="62">
        <f t="shared" si="9"/>
        <v>23.3293</v>
      </c>
      <c r="AA29" s="62">
        <f t="shared" si="10"/>
        <v>23.283999999999999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0117-14</v>
      </c>
      <c r="AE29" s="85" t="str">
        <f t="shared" si="12"/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AF29" s="82" t="str">
        <f t="shared" si="13"/>
        <v>"C:\Program Files (x86)\AstroGrep\AstroGrep.exe" /e /r /s /spath="%USERPROFILE%\AppData\Local\Temp\OnboardLogs" /stypes="app*4022*20170314*"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117-14 --locoid 4022 --swversion DE.1.0.9.0 --startMP 204:453 --initTime 2017-03-14T05:29:34 --startdatetime 2017-03-14T05:30:38 --delay 1 --endMP 204:233293 --enddatetime 2017-03-14T06:21:57 --enforcementcount 0 &gt;&gt;C:\Users\stu\Documents\GitHub\eaglep3-reporting\EC\2017-03-14-refined-times.txt</v>
      </c>
      <c r="AI29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{"issue":{"subject":"","project_id":79,"tracker_id":40,"status_id":1,"priority_id":2,"assigned_to_id":23,"start_date":"2017-03-14","description":"","custom_fields":[{"id":1,"name":"Subdivision","value":"EC"},{"id":4,"name":"Milepost","value":"23.3293"},{"id":17,"name":"Train ID","value":"117-14"},{"id":16,"name":"Locomotive ID","value":"4022"},{"id":130,"name":"Impact","value":""},{"id":150,"name":"Time of Event (Mountain Time)","value":"06:21:57"},{"id":151,"name":"Denver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4022 --day 2017-03-14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"%USERPROFILE%\AppData\Local\Temp\OnboardLogs"\RTDC4022\*4022*20170314* | grep -SE "(Enforcement Action)|(\[TIMEOUT)|(CHR.+\|PRM\|1\|D.+(SWITCH|SIGNAL).+UNKNOWN)" - &gt;&gt; 2017-03-14-UncaughtWiMAX.txt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635</v>
      </c>
      <c r="B30" s="7">
        <v>4021</v>
      </c>
      <c r="C30" s="21" t="s">
        <v>233</v>
      </c>
      <c r="D30" s="21" t="s">
        <v>250</v>
      </c>
      <c r="E30" s="13">
        <v>42808.273113425923</v>
      </c>
      <c r="F30" s="13">
        <v>42808.273784722223</v>
      </c>
      <c r="G30" s="7">
        <v>0</v>
      </c>
      <c r="H30" s="21" t="s">
        <v>223</v>
      </c>
      <c r="I30" s="13">
        <v>42808.30667824074</v>
      </c>
      <c r="J30" s="7">
        <v>0</v>
      </c>
      <c r="K30" s="98" t="str">
        <f t="shared" si="0"/>
        <v>4021/4022</v>
      </c>
      <c r="L30" s="21" t="str">
        <f>VLOOKUP(A30,'Trips&amp;Operators'!$C$1:$G$99999,5,FALSE)</f>
        <v>MAELZER KURT</v>
      </c>
      <c r="M30" s="6">
        <f t="shared" si="1"/>
        <v>3.2893518517084885E-2</v>
      </c>
      <c r="N30" s="7">
        <f t="shared" si="2"/>
        <v>47.366666664602235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-14T05:33:17-0600',mode:absolute,to:'2017-03-14T08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23.2971</v>
      </c>
      <c r="Z30" s="62">
        <f t="shared" si="9"/>
        <v>1.5599999999999999E-2</v>
      </c>
      <c r="AA30" s="62">
        <f t="shared" si="10"/>
        <v>23.281500000000001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0118-14</v>
      </c>
      <c r="AE30" s="85" t="str">
        <f t="shared" si="12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30" s="82" t="str">
        <f t="shared" si="13"/>
        <v>"C:\Program Files (x86)\AstroGrep\AstroGrep.exe" /e /r /s /spath="%USERPROFILE%\AppData\Local\Temp\OnboardLogs" /stypes="app*4021*20170314*"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118-14 --locoid 4021 --swversion DE.1.0.9.0 --startMP 204:232971 --initTime 2017-03-14T06:33:17 --startdatetime 2017-03-14T06:34:15 --delay 0 --endMP 204:156 --enddatetime 2017-03-14T07:21:37 --enforcementcount 0 &gt;&gt;C:\Users\stu\Documents\GitHub\eaglep3-reporting\EC\2017-03-14-refined-times.txt</v>
      </c>
      <c r="AI30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{"issue":{"subject":"","project_id":79,"tracker_id":40,"status_id":1,"priority_id":2,"assigned_to_id":23,"start_date":"2017-03-14","description":"","custom_fields":[{"id":1,"name":"Subdivision","value":"EC"},{"id":4,"name":"Milepost","value":"0.0156"},{"id":17,"name":"Train ID","value":"118-14"},{"id":16,"name":"Locomotive ID","value":"4021"},{"id":130,"name":"Impact","value":""},{"id":150,"name":"Time of Event (Mountain Time)","value":"07:21:37"},{"id":151,"name":"Denver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4021 --day 2017-03-14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"%USERPROFILE%\AppData\Local\Temp\OnboardLogs"\RTDC4021\*4021*20170314* | grep -SE "(Enforcement Action)|(\[TIMEOUT)|(CHR.+\|PRM\|1\|D.+(SWITCH|SIGNAL).+UNKNOWN)" - &gt;&gt; 2017-03-14-UncaughtWiMAX.txt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565</v>
      </c>
      <c r="B31" s="7">
        <v>4009</v>
      </c>
      <c r="C31" s="21" t="s">
        <v>233</v>
      </c>
      <c r="D31" s="21" t="s">
        <v>823</v>
      </c>
      <c r="E31" s="13">
        <v>42808.247361111113</v>
      </c>
      <c r="F31" s="13">
        <v>42808.249027777776</v>
      </c>
      <c r="G31" s="7">
        <v>2</v>
      </c>
      <c r="H31" s="21" t="s">
        <v>523</v>
      </c>
      <c r="I31" s="13">
        <v>42808.277488425927</v>
      </c>
      <c r="J31" s="7">
        <v>0</v>
      </c>
      <c r="K31" s="98" t="str">
        <f t="shared" si="0"/>
        <v>4009/4010</v>
      </c>
      <c r="L31" s="21" t="str">
        <f>VLOOKUP(A31,'Trips&amp;Operators'!$C$1:$G$99999,5,FALSE)</f>
        <v>STARKS ANGELINA</v>
      </c>
      <c r="M31" s="6">
        <f t="shared" si="1"/>
        <v>2.846064815093996E-2</v>
      </c>
      <c r="N31" s="7">
        <f t="shared" si="2"/>
        <v>40.983333337353542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-14T04:56:12-0600',mode:absolute,to:'2017-03-14T07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7.0800000000000002E-2</v>
      </c>
      <c r="Z31" s="62">
        <f t="shared" si="9"/>
        <v>23.3291</v>
      </c>
      <c r="AA31" s="62">
        <f t="shared" si="10"/>
        <v>23.258300000000002</v>
      </c>
      <c r="AB31" s="59" t="str">
        <f>VLOOKUP(A31,Enforcements!$C$7:$K$13,8,0)</f>
        <v>Bulletin (2)</v>
      </c>
      <c r="AC31" s="55" t="str">
        <f>VLOOKUP(A31,Enforcements!$C$7:$E$13,3,0)</f>
        <v>GRADE CROSSING</v>
      </c>
      <c r="AD31" s="56" t="str">
        <f t="shared" si="11"/>
        <v>0119-14</v>
      </c>
      <c r="AE31" s="85" t="str">
        <f t="shared" si="12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31" s="82" t="str">
        <f t="shared" si="13"/>
        <v>"C:\Program Files (x86)\AstroGrep\AstroGrep.exe" /e /r /s /spath="%USERPROFILE%\AppData\Local\Temp\OnboardLogs" /stypes="app*4009*20170314*"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119-14 --locoid 4009 --swversion DE.1.0.9.0 --startMP 204:708 --initTime 2017-03-14T05:56:12 --startdatetime 2017-03-14T05:58:36 --delay 2 --endMP 204:233291 --enddatetime 2017-03-14T06:39:35 --enforcementcount 0 &gt;&gt;C:\Users\stu\Documents\GitHub\eaglep3-reporting\EC\2017-03-14-refined-times.txt</v>
      </c>
      <c r="AI31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{"issue":{"subject":"","project_id":79,"tracker_id":40,"status_id":1,"priority_id":2,"assigned_to_id":23,"start_date":"2017-03-14","description":"","custom_fields":[{"id":1,"name":"Subdivision","value":"EC"},{"id":4,"name":"Milepost","value":"23.3291"},{"id":17,"name":"Train ID","value":"119-14"},{"id":16,"name":"Locomotive ID","value":"4009"},{"id":130,"name":"Impact","value":""},{"id":150,"name":"Time of Event (Mountain Time)","value":"06:39:35"},{"id":151,"name":"Denver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4009 --day 2017-03-14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"%USERPROFILE%\AppData\Local\Temp\OnboardLogs"\RTDC4009\*4009*20170314* | grep -SE "(Enforcement Action)|(\[TIMEOUT)|(CHR.+\|PRM\|1\|D.+(SWITCH|SIGNAL).+UNKNOWN)" - &gt;&gt; 2017-03-14-UncaughtWiMAX.txt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638</v>
      </c>
      <c r="B32" s="7">
        <v>4010</v>
      </c>
      <c r="C32" s="21" t="s">
        <v>233</v>
      </c>
      <c r="D32" s="21" t="s">
        <v>406</v>
      </c>
      <c r="E32" s="13">
        <v>42808.286296296297</v>
      </c>
      <c r="F32" s="13">
        <v>42808.287303240744</v>
      </c>
      <c r="G32" s="7">
        <v>1</v>
      </c>
      <c r="H32" s="21" t="s">
        <v>247</v>
      </c>
      <c r="I32" s="13">
        <v>42808.317685185182</v>
      </c>
      <c r="J32" s="7">
        <v>0</v>
      </c>
      <c r="K32" s="98" t="str">
        <f t="shared" si="0"/>
        <v>4009/4010</v>
      </c>
      <c r="L32" s="21" t="str">
        <f>VLOOKUP(A32,'Trips&amp;Operators'!$C$1:$G$99999,5,FALSE)</f>
        <v>STARKS ANGELINA</v>
      </c>
      <c r="M32" s="6">
        <f t="shared" si="1"/>
        <v>3.0381944437976927E-2</v>
      </c>
      <c r="N32" s="7">
        <f t="shared" si="2"/>
        <v>43.749999990686774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-14T05:52:16-0600',mode:absolute,to:'2017-03-14T08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23.298100000000002</v>
      </c>
      <c r="Z32" s="62">
        <f t="shared" si="9"/>
        <v>1.61E-2</v>
      </c>
      <c r="AA32" s="62">
        <f t="shared" si="10"/>
        <v>23.282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0120-14</v>
      </c>
      <c r="AE32" s="85" t="str">
        <f t="shared" si="12"/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AF32" s="82" t="str">
        <f t="shared" si="13"/>
        <v>"C:\Program Files (x86)\AstroGrep\AstroGrep.exe" /e /r /s /spath="%USERPROFILE%\AppData\Local\Temp\OnboardLogs" /stypes="app*4010*20170314*"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120-14 --locoid 4010 --swversion DE.1.0.9.0 --startMP 204:232981 --initTime 2017-03-14T06:52:16 --startdatetime 2017-03-14T06:53:43 --delay 1 --endMP 204:161 --enddatetime 2017-03-14T07:37:28 --enforcementcount 0 &gt;&gt;C:\Users\stu\Documents\GitHub\eaglep3-reporting\EC\2017-03-14-refined-times.txt</v>
      </c>
      <c r="AI32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{"issue":{"subject":"","project_id":79,"tracker_id":40,"status_id":1,"priority_id":2,"assigned_to_id":23,"start_date":"2017-03-14","description":"","custom_fields":[{"id":1,"name":"Subdivision","value":"EC"},{"id":4,"name":"Milepost","value":"0.0161"},{"id":17,"name":"Train ID","value":"120-14"},{"id":16,"name":"Locomotive ID","value":"4010"},{"id":130,"name":"Impact","value":""},{"id":150,"name":"Time of Event (Mountain Time)","value":"07:37:28"},{"id":151,"name":"Denver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4010 --day 2017-03-14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"%USERPROFILE%\AppData\Local\Temp\OnboardLogs"\RTDC4010\*4010*20170314* | grep -SE "(Enforcement Action)|(\[TIMEOUT)|(CHR.+\|PRM\|1\|D.+(SWITCH|SIGNAL).+UNKNOWN)" - &gt;&gt; 2017-03-14-UncaughtWiMAX.txt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630</v>
      </c>
      <c r="B33" s="7">
        <v>4031</v>
      </c>
      <c r="C33" s="21" t="s">
        <v>233</v>
      </c>
      <c r="D33" s="21" t="s">
        <v>227</v>
      </c>
      <c r="E33" s="13">
        <v>42808.256956018522</v>
      </c>
      <c r="F33" s="13">
        <v>42808.2578587963</v>
      </c>
      <c r="G33" s="7">
        <v>1</v>
      </c>
      <c r="H33" s="21" t="s">
        <v>404</v>
      </c>
      <c r="I33" s="13">
        <v>42808.286979166667</v>
      </c>
      <c r="J33" s="7">
        <v>0</v>
      </c>
      <c r="K33" s="98" t="str">
        <f t="shared" si="0"/>
        <v>4031/4032</v>
      </c>
      <c r="L33" s="21" t="str">
        <f>VLOOKUP(A33,'Trips&amp;Operators'!$C$1:$G$99999,5,FALSE)</f>
        <v>BONDS REYNALDO</v>
      </c>
      <c r="M33" s="6">
        <f t="shared" si="1"/>
        <v>2.9120370367309079E-2</v>
      </c>
      <c r="N33" s="7">
        <f t="shared" si="2"/>
        <v>41.933333328925073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-14T05:10:01-0600',mode:absolute,to:'2017-03-14T07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4.4699999999999997E-2</v>
      </c>
      <c r="Z33" s="62">
        <f t="shared" si="9"/>
        <v>23.3307</v>
      </c>
      <c r="AA33" s="62">
        <f t="shared" si="10"/>
        <v>23.286000000000001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0121-14</v>
      </c>
      <c r="AE33" s="85" t="str">
        <f t="shared" si="12"/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AF33" s="82" t="str">
        <f t="shared" si="13"/>
        <v>"C:\Program Files (x86)\AstroGrep\AstroGrep.exe" /e /r /s /spath="%USERPROFILE%\AppData\Local\Temp\OnboardLogs" /stypes="app*4031*20170314*"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121-14 --locoid 4031 --swversion DE.1.0.9.0 --startMP 204:447 --initTime 2017-03-14T06:10:01 --startdatetime 2017-03-14T06:11:19 --delay 1 --endMP 204:233307 --enddatetime 2017-03-14T06:53:15 --enforcementcount 0 &gt;&gt;C:\Users\stu\Documents\GitHub\eaglep3-reporting\EC\2017-03-14-refined-times.txt</v>
      </c>
      <c r="AI33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{"issue":{"subject":"","project_id":79,"tracker_id":40,"status_id":1,"priority_id":2,"assigned_to_id":23,"start_date":"2017-03-14","description":"","custom_fields":[{"id":1,"name":"Subdivision","value":"EC"},{"id":4,"name":"Milepost","value":"23.3307"},{"id":17,"name":"Train ID","value":"121-14"},{"id":16,"name":"Locomotive ID","value":"4031"},{"id":130,"name":"Impact","value":""},{"id":150,"name":"Time of Event (Mountain Time)","value":"06:53:15"},{"id":151,"name":"Denver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4031 --day 2017-03-14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"%USERPROFILE%\AppData\Local\Temp\OnboardLogs"\RTDC4031\*4031*20170314* | grep -SE "(Enforcement Action)|(\[TIMEOUT)|(CHR.+\|PRM\|1\|D.+(SWITCH|SIGNAL).+UNKNOWN)" - &gt;&gt; 2017-03-14-UncaughtWiMAX.txt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641</v>
      </c>
      <c r="B34" s="7">
        <v>4032</v>
      </c>
      <c r="C34" s="21" t="s">
        <v>233</v>
      </c>
      <c r="D34" s="21" t="s">
        <v>388</v>
      </c>
      <c r="E34" s="13">
        <v>42808.296064814815</v>
      </c>
      <c r="F34" s="13">
        <v>42808.296990740739</v>
      </c>
      <c r="G34" s="7">
        <v>1</v>
      </c>
      <c r="H34" s="21" t="s">
        <v>226</v>
      </c>
      <c r="I34" s="13">
        <v>42808.327372685184</v>
      </c>
      <c r="J34" s="7">
        <v>0</v>
      </c>
      <c r="K34" s="98" t="str">
        <f t="shared" si="0"/>
        <v>4031/4032</v>
      </c>
      <c r="L34" s="21" t="str">
        <f>VLOOKUP(A34,'Trips&amp;Operators'!$C$1:$G$99999,5,FALSE)</f>
        <v>BONDS REYNALDO</v>
      </c>
      <c r="M34" s="6">
        <f t="shared" si="1"/>
        <v>3.0381944445252884E-2</v>
      </c>
      <c r="N34" s="7">
        <f t="shared" si="2"/>
        <v>43.750000001164153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-14T06:06:20-0600',mode:absolute,to:'2017-03-14T08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23.298200000000001</v>
      </c>
      <c r="Z34" s="62">
        <f t="shared" si="9"/>
        <v>1.47E-2</v>
      </c>
      <c r="AA34" s="62">
        <f t="shared" si="10"/>
        <v>23.2835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0122-14</v>
      </c>
      <c r="AE34" s="85" t="str">
        <f t="shared" si="12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34" s="82" t="str">
        <f t="shared" si="13"/>
        <v>"C:\Program Files (x86)\AstroGrep\AstroGrep.exe" /e /r /s /spath="%USERPROFILE%\AppData\Local\Temp\OnboardLogs" /stypes="app*4032*20170314*"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122-14 --locoid 4032 --swversion DE.1.0.9.0 --startMP 204:232982 --initTime 2017-03-14T07:06:20 --startdatetime 2017-03-14T07:07:40 --delay 1 --endMP 204:147 --enddatetime 2017-03-14T07:51:25 --enforcementcount 0 &gt;&gt;C:\Users\stu\Documents\GitHub\eaglep3-reporting\EC\2017-03-14-refined-times.txt</v>
      </c>
      <c r="AI34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{"issue":{"subject":"","project_id":79,"tracker_id":40,"status_id":1,"priority_id":2,"assigned_to_id":23,"start_date":"2017-03-14","description":"","custom_fields":[{"id":1,"name":"Subdivision","value":"EC"},{"id":4,"name":"Milepost","value":"0.0147"},{"id":17,"name":"Train ID","value":"122-14"},{"id":16,"name":"Locomotive ID","value":"4032"},{"id":130,"name":"Impact","value":""},{"id":150,"name":"Time of Event (Mountain Time)","value":"07:51:25"},{"id":151,"name":"Denver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4032 --day 2017-03-14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"%USERPROFILE%\AppData\Local\Temp\OnboardLogs"\RTDC4032\*4032*20170314* | grep -SE "(Enforcement Action)|(\[TIMEOUT)|(CHR.+\|PRM\|1\|D.+(SWITCH|SIGNAL).+UNKNOWN)" - &gt;&gt; 2017-03-14-UncaughtWiMAX.txt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633</v>
      </c>
      <c r="B35" s="7">
        <v>4053</v>
      </c>
      <c r="C35" s="21" t="s">
        <v>233</v>
      </c>
      <c r="D35" s="21" t="s">
        <v>209</v>
      </c>
      <c r="E35" s="13">
        <v>42808.268819444442</v>
      </c>
      <c r="F35" s="13">
        <v>42808.269756944443</v>
      </c>
      <c r="G35" s="7">
        <v>1</v>
      </c>
      <c r="H35" s="21" t="s">
        <v>439</v>
      </c>
      <c r="I35" s="13">
        <v>42808.297986111109</v>
      </c>
      <c r="J35" s="7">
        <v>0</v>
      </c>
      <c r="K35" s="98" t="str">
        <f t="shared" si="0"/>
        <v>4053/4054</v>
      </c>
      <c r="L35" s="21" t="str">
        <f>VLOOKUP(A35,'Trips&amp;Operators'!$C$1:$G$99999,5,FALSE)</f>
        <v>DAVIS WENDY</v>
      </c>
      <c r="M35" s="6">
        <f t="shared" si="1"/>
        <v>2.8229166666278616E-2</v>
      </c>
      <c r="N35" s="7">
        <f t="shared" si="2"/>
        <v>40.649999999441206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-14T05:27:06-0600',mode:absolute,to:'2017-03-14T08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4.5100000000000001E-2</v>
      </c>
      <c r="Z35" s="62">
        <f t="shared" si="9"/>
        <v>23.3306</v>
      </c>
      <c r="AA35" s="62">
        <f t="shared" si="10"/>
        <v>23.285499999999999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0123-14</v>
      </c>
      <c r="AE35" s="85" t="str">
        <f t="shared" si="12"/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AF35" s="82" t="str">
        <f t="shared" si="13"/>
        <v>"C:\Program Files (x86)\AstroGrep\AstroGrep.exe" /e /r /s /spath="%USERPROFILE%\AppData\Local\Temp\OnboardLogs" /stypes="app*4053*20170314*"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123-14 --locoid 4053 --swversion DE.1.0.9.0 --startMP 204:451 --initTime 2017-03-14T06:27:06 --startdatetime 2017-03-14T06:28:27 --delay 1 --endMP 204:233306 --enddatetime 2017-03-14T07:09:06 --enforcementcount 0 &gt;&gt;C:\Users\stu\Documents\GitHub\eaglep3-reporting\EC\2017-03-14-refined-times.txt</v>
      </c>
      <c r="AI35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{"issue":{"subject":"","project_id":79,"tracker_id":40,"status_id":1,"priority_id":2,"assigned_to_id":23,"start_date":"2017-03-14","description":"","custom_fields":[{"id":1,"name":"Subdivision","value":"EC"},{"id":4,"name":"Milepost","value":"23.3306"},{"id":17,"name":"Train ID","value":"123-14"},{"id":16,"name":"Locomotive ID","value":"4053"},{"id":130,"name":"Impact","value":""},{"id":150,"name":"Time of Event (Mountain Time)","value":"07:09:06"},{"id":151,"name":"Denver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4053 --day 2017-03-14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"%USERPROFILE%\AppData\Local\Temp\OnboardLogs"\RTDC4053\*4053*20170314* | grep -SE "(Enforcement Action)|(\[TIMEOUT)|(CHR.+\|PRM\|1\|D.+(SWITCH|SIGNAL).+UNKNOWN)" - &gt;&gt; 2017-03-14-UncaughtWiMAX.txt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644</v>
      </c>
      <c r="B36" s="7">
        <v>4054</v>
      </c>
      <c r="C36" s="21" t="s">
        <v>233</v>
      </c>
      <c r="D36" s="21" t="s">
        <v>451</v>
      </c>
      <c r="E36" s="13">
        <v>42808.306203703702</v>
      </c>
      <c r="F36" s="13">
        <v>42808.307337962964</v>
      </c>
      <c r="G36" s="7">
        <v>1</v>
      </c>
      <c r="H36" s="21" t="s">
        <v>444</v>
      </c>
      <c r="I36" s="13">
        <v>42808.337858796294</v>
      </c>
      <c r="J36" s="7">
        <v>0</v>
      </c>
      <c r="K36" s="98" t="str">
        <f t="shared" si="0"/>
        <v>4053/4054</v>
      </c>
      <c r="L36" s="21" t="str">
        <f>VLOOKUP(A36,'Trips&amp;Operators'!$C$1:$G$99999,5,FALSE)</f>
        <v>DAVIS WENDY</v>
      </c>
      <c r="M36" s="6">
        <f t="shared" si="1"/>
        <v>3.0520833330228925E-2</v>
      </c>
      <c r="N36" s="7">
        <f t="shared" si="2"/>
        <v>43.949999995529652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-14T06:20:56-0600',mode:absolute,to:'2017-03-14T09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23.298500000000001</v>
      </c>
      <c r="Z36" s="62">
        <f t="shared" si="9"/>
        <v>1.6500000000000001E-2</v>
      </c>
      <c r="AA36" s="62">
        <f t="shared" si="10"/>
        <v>23.282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0124-14</v>
      </c>
      <c r="AE36" s="85" t="str">
        <f t="shared" si="12"/>
        <v>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 &amp; 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</v>
      </c>
      <c r="AF36" s="82" t="str">
        <f t="shared" si="13"/>
        <v>"C:\Program Files (x86)\AstroGrep\AstroGrep.exe" /e /r /s /spath="%USERPROFILE%\AppData\Local\Temp\OnboardLogs" /stypes="app*4054*20170314*"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124-14 --locoid 4054 --swversion DE.1.0.9.0 --startMP 204:232985 --initTime 2017-03-14T07:20:56 --startdatetime 2017-03-14T07:22:34 --delay 1 --endMP 204:165 --enddatetime 2017-03-14T08:06:31 --enforcementcount 0 &gt;&gt;C:\Users\stu\Documents\GitHub\eaglep3-reporting\EC\2017-03-14-refined-times.txt</v>
      </c>
      <c r="AI36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{"issue":{"subject":"","project_id":79,"tracker_id":40,"status_id":1,"priority_id":2,"assigned_to_id":23,"start_date":"2017-03-14","description":"","custom_fields":[{"id":1,"name":"Subdivision","value":"EC"},{"id":4,"name":"Milepost","value":"0.0165"},{"id":17,"name":"Train ID","value":"124-14"},{"id":16,"name":"Locomotive ID","value":"4054"},{"id":130,"name":"Impact","value":""},{"id":150,"name":"Time of Event (Mountain Time)","value":"08:06:31"},{"id":151,"name":"Denver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4054 --day 2017-03-14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"%USERPROFILE%\AppData\Local\Temp\OnboardLogs"\RTDC4054\*4054*20170314* | grep -SE "(Enforcement Action)|(\[TIMEOUT)|(CHR.+\|PRM\|1\|D.+(SWITCH|SIGNAL).+UNKNOWN)" - &gt;&gt; 2017-03-14-UncaughtWiMAX.txt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637</v>
      </c>
      <c r="B37" s="7">
        <v>4051</v>
      </c>
      <c r="C37" s="21" t="s">
        <v>233</v>
      </c>
      <c r="D37" s="21" t="s">
        <v>211</v>
      </c>
      <c r="E37" s="13">
        <v>42808.279687499999</v>
      </c>
      <c r="F37" s="13">
        <v>42808.280740740738</v>
      </c>
      <c r="G37" s="7">
        <v>1</v>
      </c>
      <c r="H37" s="21" t="s">
        <v>824</v>
      </c>
      <c r="I37" s="13">
        <v>42808.306250000001</v>
      </c>
      <c r="J37" s="7">
        <v>0</v>
      </c>
      <c r="K37" s="98" t="str">
        <f t="shared" si="0"/>
        <v>4051/4052</v>
      </c>
      <c r="L37" s="21" t="str">
        <f>VLOOKUP(A37,'Trips&amp;Operators'!$C$1:$G$99999,5,FALSE)</f>
        <v>LOZA FIDEL</v>
      </c>
      <c r="M37" s="6">
        <f t="shared" si="1"/>
        <v>2.5509259263344575E-2</v>
      </c>
      <c r="N37" s="7">
        <f t="shared" si="2"/>
        <v>36.733333339216188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-14T05:42:45-0600',mode:absolute,to:'2017-03-14T08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4.5999999999999999E-2</v>
      </c>
      <c r="Z37" s="62">
        <f t="shared" si="9"/>
        <v>23.342199999999998</v>
      </c>
      <c r="AA37" s="62">
        <f t="shared" si="10"/>
        <v>23.296199999999999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0125-14</v>
      </c>
      <c r="AE37" s="85" t="str">
        <f t="shared" si="12"/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37" s="82" t="str">
        <f t="shared" si="13"/>
        <v>"C:\Program Files (x86)\AstroGrep\AstroGrep.exe" /e /r /s /spath="%USERPROFILE%\AppData\Local\Temp\OnboardLogs" /stypes="app*4051*20170314*"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125-14 --locoid 4051 --swversion DE.1.0.9.0 --startMP 204:460 --initTime 2017-03-14T06:42:45 --startdatetime 2017-03-14T06:44:16 --delay 1 --endMP 204:233422 --enddatetime 2017-03-14T07:21:00 --enforcementcount 0 &gt;&gt;C:\Users\stu\Documents\GitHub\eaglep3-reporting\EC\2017-03-14-refined-times.txt</v>
      </c>
      <c r="AI37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{"issue":{"subject":"","project_id":79,"tracker_id":40,"status_id":1,"priority_id":2,"assigned_to_id":23,"start_date":"2017-03-14","description":"","custom_fields":[{"id":1,"name":"Subdivision","value":"EC"},{"id":4,"name":"Milepost","value":"23.3422"},{"id":17,"name":"Train ID","value":"125-14"},{"id":16,"name":"Locomotive ID","value":"4051"},{"id":130,"name":"Impact","value":""},{"id":150,"name":"Time of Event (Mountain Time)","value":"07:21:00"},{"id":151,"name":"Denver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4051 --day 2017-03-14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"%USERPROFILE%\AppData\Local\Temp\OnboardLogs"\RTDC4051\*4051*20170314* | grep -SE "(Enforcement Action)|(\[TIMEOUT)|(CHR.+\|PRM\|1\|D.+(SWITCH|SIGNAL).+UNKNOWN)" - &gt;&gt; 2017-03-14-UncaughtWiMAX.txt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648</v>
      </c>
      <c r="B38" s="7">
        <v>4052</v>
      </c>
      <c r="C38" s="21" t="s">
        <v>233</v>
      </c>
      <c r="D38" s="21" t="s">
        <v>825</v>
      </c>
      <c r="E38" s="13">
        <v>42808.317708333336</v>
      </c>
      <c r="F38" s="13">
        <v>42808.318738425929</v>
      </c>
      <c r="G38" s="7">
        <v>1</v>
      </c>
      <c r="H38" s="21" t="s">
        <v>826</v>
      </c>
      <c r="I38" s="13">
        <v>42808.346875000003</v>
      </c>
      <c r="J38" s="7">
        <v>0</v>
      </c>
      <c r="K38" s="98" t="str">
        <f t="shared" si="0"/>
        <v>4051/4052</v>
      </c>
      <c r="L38" s="21" t="str">
        <f>VLOOKUP(A38,'Trips&amp;Operators'!$C$1:$G$99999,5,FALSE)</f>
        <v>LOZA FIDEL</v>
      </c>
      <c r="M38" s="6">
        <f t="shared" si="1"/>
        <v>2.8136574073869269E-2</v>
      </c>
      <c r="N38" s="7">
        <f t="shared" si="2"/>
        <v>40.516666666371748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-14T06:37:30-0600',mode:absolute,to:'2017-03-14T09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23.310700000000001</v>
      </c>
      <c r="Z38" s="62">
        <f t="shared" si="9"/>
        <v>1.4500000000000001E-2</v>
      </c>
      <c r="AA38" s="62">
        <f t="shared" si="10"/>
        <v>23.296199999999999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0126-14</v>
      </c>
      <c r="AE38" s="85" t="str">
        <f t="shared" si="12"/>
        <v>aws s3 cp s3://rtdc.mdm.uploadarchive.raw/RTDC4052/ "%USERPROFILE%\AppData\Local\Temp\OnboardLogs"\RTDC4052\2017-03-14 --exclude "*" --recursive --include "*20170314*" &amp; "%USERPROFILE%\Documents\GitHub\mrs-test-scripts\Headless Mode &amp; Sideloading\WalkAndUnGZ.bat" "%USERPROFILE%\AppData\Local\Temp\OnboardLogs"\RTDC4052\2017-03-14 &amp; 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</v>
      </c>
      <c r="AF38" s="82" t="str">
        <f t="shared" si="13"/>
        <v>"C:\Program Files (x86)\AstroGrep\AstroGrep.exe" /e /r /s /spath="%USERPROFILE%\AppData\Local\Temp\OnboardLogs" /stypes="app*4052*20170314*"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126-14 --locoid 4052 --swversion DE.1.0.9.0 --startMP 204:233107 --initTime 2017-03-14T07:37:30 --startdatetime 2017-03-14T07:38:59 --delay 1 --endMP 204:145 --enddatetime 2017-03-14T08:19:30 --enforcementcount 0 &gt;&gt;C:\Users\stu\Documents\GitHub\eaglep3-reporting\EC\2017-03-14-refined-times.txt</v>
      </c>
      <c r="AI38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{"issue":{"subject":"","project_id":79,"tracker_id":40,"status_id":1,"priority_id":2,"assigned_to_id":23,"start_date":"2017-03-14","description":"","custom_fields":[{"id":1,"name":"Subdivision","value":"EC"},{"id":4,"name":"Milepost","value":"0.0145"},{"id":17,"name":"Train ID","value":"126-14"},{"id":16,"name":"Locomotive ID","value":"4052"},{"id":130,"name":"Impact","value":""},{"id":150,"name":"Time of Event (Mountain Time)","value":"08:19:30"},{"id":151,"name":"Denver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4052 --day 2017-03-14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"%USERPROFILE%\AppData\Local\Temp\OnboardLogs"\RTDC4052\*4052*20170314* | grep -SE "(Enforcement Action)|(\[TIMEOUT)|(CHR.+\|PRM\|1\|D.+(SWITCH|SIGNAL).+UNKNOWN)" - &gt;&gt; 2017-03-14-UncaughtWiMAX.txt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639</v>
      </c>
      <c r="B39" s="7">
        <v>4018</v>
      </c>
      <c r="C39" s="21" t="s">
        <v>233</v>
      </c>
      <c r="D39" s="21" t="s">
        <v>210</v>
      </c>
      <c r="E39" s="13">
        <v>42808.286793981482</v>
      </c>
      <c r="F39" s="13">
        <v>42808.287743055553</v>
      </c>
      <c r="G39" s="7">
        <v>1</v>
      </c>
      <c r="H39" s="21" t="s">
        <v>827</v>
      </c>
      <c r="I39" s="13">
        <v>42808.317118055558</v>
      </c>
      <c r="J39" s="7">
        <v>0</v>
      </c>
      <c r="K39" s="98" t="str">
        <f t="shared" si="0"/>
        <v>4017/4018</v>
      </c>
      <c r="L39" s="21" t="str">
        <f>VLOOKUP(A39,'Trips&amp;Operators'!$C$1:$G$99999,5,FALSE)</f>
        <v>SANTIZO D. EDY</v>
      </c>
      <c r="M39" s="6">
        <f t="shared" si="1"/>
        <v>2.9375000005529728E-2</v>
      </c>
      <c r="N39" s="7">
        <f t="shared" si="2"/>
        <v>42.300000007962808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-14T05:52:59-0600',mode:absolute,to:'2017-03-14T08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4.5699999999999998E-2</v>
      </c>
      <c r="Z39" s="62">
        <f t="shared" si="9"/>
        <v>23.335100000000001</v>
      </c>
      <c r="AA39" s="62">
        <f t="shared" si="10"/>
        <v>23.289400000000001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0127-14</v>
      </c>
      <c r="AE39" s="85" t="str">
        <f t="shared" si="12"/>
        <v>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 &amp; aws s3 cp s3://rtdc.mdm.uploadarchive.raw/RTDC4018/ "%USERPROFILE%\AppData\Local\Temp\OnboardLogs"\RTDC4018\2017-03-15 --exclude "*" --recursive --include "*20170315*" &amp; "%USERPROFILE%\Documents\GitHub\mrs-test-scripts\Headless Mode &amp; Sideloading\WalkAndUnGZ.bat" "%USERPROFILE%\AppData\Local\Temp\OnboardLogs"\RTDC4018\2017-03-15</v>
      </c>
      <c r="AF39" s="82" t="str">
        <f t="shared" si="13"/>
        <v>"C:\Program Files (x86)\AstroGrep\AstroGrep.exe" /e /r /s /spath="%USERPROFILE%\AppData\Local\Temp\OnboardLogs" /stypes="app*4018*20170314*"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127-14 --locoid 4018 --swversion DE.1.0.9.0 --startMP 204:457 --initTime 2017-03-14T06:52:59 --startdatetime 2017-03-14T06:54:21 --delay 1 --endMP 204:233351 --enddatetime 2017-03-14T07:36:39 --enforcementcount 0 &gt;&gt;C:\Users\stu\Documents\GitHub\eaglep3-reporting\EC\2017-03-14-refined-times.txt</v>
      </c>
      <c r="AI39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{"issue":{"subject":"","project_id":79,"tracker_id":40,"status_id":1,"priority_id":2,"assigned_to_id":23,"start_date":"2017-03-14","description":"","custom_fields":[{"id":1,"name":"Subdivision","value":"EC"},{"id":4,"name":"Milepost","value":"23.3351"},{"id":17,"name":"Train ID","value":"127-14"},{"id":16,"name":"Locomotive ID","value":"4018"},{"id":130,"name":"Impact","value":""},{"id":150,"name":"Time of Event (Mountain Time)","value":"07:36:39"},{"id":151,"name":"Denver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4018 --day 2017-03-14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"%USERPROFILE%\AppData\Local\Temp\OnboardLogs"\RTDC4018\*4018*20170314* | grep -SE "(Enforcement Action)|(\[TIMEOUT)|(CHR.+\|PRM\|1\|D.+(SWITCH|SIGNAL).+UNKNOWN)" - &gt;&gt; 2017-03-14-UncaughtWiMAX.txt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649</v>
      </c>
      <c r="B40" s="7">
        <v>4017</v>
      </c>
      <c r="C40" s="21" t="s">
        <v>233</v>
      </c>
      <c r="D40" s="21" t="s">
        <v>828</v>
      </c>
      <c r="E40" s="13">
        <v>42808.318055555559</v>
      </c>
      <c r="F40" s="13">
        <v>42808.318680555552</v>
      </c>
      <c r="G40" s="7">
        <v>0</v>
      </c>
      <c r="H40" s="21" t="s">
        <v>829</v>
      </c>
      <c r="I40" s="13">
        <v>42808.356944444444</v>
      </c>
      <c r="J40" s="7">
        <v>0</v>
      </c>
      <c r="K40" s="98" t="str">
        <f t="shared" si="0"/>
        <v>4017/4018</v>
      </c>
      <c r="L40" s="21" t="str">
        <f>VLOOKUP(A40,'Trips&amp;Operators'!$C$1:$G$99999,5,FALSE)</f>
        <v>SANTIZO D. EDY</v>
      </c>
      <c r="M40" s="6">
        <f t="shared" si="1"/>
        <v>3.8263888891378883E-2</v>
      </c>
      <c r="N40" s="7">
        <f t="shared" si="2"/>
        <v>55.100000003585592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-14T06:38:00-0600',mode:absolute,to:'2017-03-14T09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23.3032</v>
      </c>
      <c r="Z40" s="62">
        <f t="shared" si="9"/>
        <v>1.8499999999999999E-2</v>
      </c>
      <c r="AA40" s="62">
        <f t="shared" si="10"/>
        <v>23.284700000000001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0128-14</v>
      </c>
      <c r="AE40" s="85" t="str">
        <f t="shared" si="12"/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AF40" s="82" t="str">
        <f t="shared" si="13"/>
        <v>"C:\Program Files (x86)\AstroGrep\AstroGrep.exe" /e /r /s /spath="%USERPROFILE%\AppData\Local\Temp\OnboardLogs" /stypes="app*4017*20170314*"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128-14 --locoid 4017 --swversion DE.1.0.9.0 --startMP 204:233032 --initTime 2017-03-14T07:38:00 --startdatetime 2017-03-14T07:38:54 --delay 0 --endMP 204:185 --enddatetime 2017-03-14T08:34:00 --enforcementcount 0 &gt;&gt;C:\Users\stu\Documents\GitHub\eaglep3-reporting\EC\2017-03-14-refined-times.txt</v>
      </c>
      <c r="AI40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{"issue":{"subject":"","project_id":79,"tracker_id":40,"status_id":1,"priority_id":2,"assigned_to_id":23,"start_date":"2017-03-14","description":"","custom_fields":[{"id":1,"name":"Subdivision","value":"EC"},{"id":4,"name":"Milepost","value":"0.0185"},{"id":17,"name":"Train ID","value":"128-14"},{"id":16,"name":"Locomotive ID","value":"4017"},{"id":130,"name":"Impact","value":""},{"id":150,"name":"Time of Event (Mountain Time)","value":"08:34:00"},{"id":151,"name":"Denver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4017 --day 2017-03-14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"%USERPROFILE%\AppData\Local\Temp\OnboardLogs"\RTDC4017\*4017*20170314* | grep -SE "(Enforcement Action)|(\[TIMEOUT)|(CHR.+\|PRM\|1\|D.+(SWITCH|SIGNAL).+UNKNOWN)" - &gt;&gt; 2017-03-14-UncaughtWiMAX.txt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642</v>
      </c>
      <c r="B41" s="7">
        <v>4027</v>
      </c>
      <c r="C41" s="21" t="s">
        <v>233</v>
      </c>
      <c r="D41" s="21" t="s">
        <v>217</v>
      </c>
      <c r="E41" s="13">
        <v>42808.300706018519</v>
      </c>
      <c r="F41" s="13">
        <v>42808.301435185182</v>
      </c>
      <c r="G41" s="7">
        <v>1</v>
      </c>
      <c r="H41" s="21" t="s">
        <v>248</v>
      </c>
      <c r="I41" s="13">
        <v>42808.327048611114</v>
      </c>
      <c r="J41" s="7">
        <v>0</v>
      </c>
      <c r="K41" s="98" t="str">
        <f t="shared" si="0"/>
        <v>4027/4028</v>
      </c>
      <c r="L41" s="21" t="str">
        <f>VLOOKUP(A41,'Trips&amp;Operators'!$C$1:$G$99999,5,FALSE)</f>
        <v>ROCHA YAOTL</v>
      </c>
      <c r="M41" s="6">
        <f t="shared" si="1"/>
        <v>2.5613425932533573E-2</v>
      </c>
      <c r="N41" s="7">
        <f t="shared" si="2"/>
        <v>36.883333342848346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-14T06:13:01-0600',mode:absolute,to:'2017-03-14T08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4.4600000000000001E-2</v>
      </c>
      <c r="Z41" s="62">
        <f t="shared" si="9"/>
        <v>23.329499999999999</v>
      </c>
      <c r="AA41" s="62">
        <f t="shared" si="10"/>
        <v>23.2849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0129-14</v>
      </c>
      <c r="AE41" s="85" t="str">
        <f t="shared" si="12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41" s="82" t="str">
        <f t="shared" si="13"/>
        <v>"C:\Program Files (x86)\AstroGrep\AstroGrep.exe" /e /r /s /spath="%USERPROFILE%\AppData\Local\Temp\OnboardLogs" /stypes="app*4027*20170314*"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129-14 --locoid 4027 --swversion DE.1.0.9.0 --startMP 204:446 --initTime 2017-03-14T07:13:01 --startdatetime 2017-03-14T07:14:04 --delay 1 --endMP 204:233295 --enddatetime 2017-03-14T07:50:57 --enforcementcount 0 &gt;&gt;C:\Users\stu\Documents\GitHub\eaglep3-reporting\EC\2017-03-14-refined-times.txt</v>
      </c>
      <c r="AI41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{"issue":{"subject":"","project_id":79,"tracker_id":40,"status_id":1,"priority_id":2,"assigned_to_id":23,"start_date":"2017-03-14","description":"","custom_fields":[{"id":1,"name":"Subdivision","value":"EC"},{"id":4,"name":"Milepost","value":"23.3295"},{"id":17,"name":"Train ID","value":"129-14"},{"id":16,"name":"Locomotive ID","value":"4027"},{"id":130,"name":"Impact","value":""},{"id":150,"name":"Time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4027 --day 2017-03-14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"%USERPROFILE%\AppData\Local\Temp\OnboardLogs"\RTDC4027\*4027*20170314* | grep -SE "(Enforcement Action)|(\[TIMEOUT)|(CHR.+\|PRM\|1\|D.+(SWITCH|SIGNAL).+UNKNOWN)" - &gt;&gt; 2017-03-14-UncaughtWiMAX.txt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653</v>
      </c>
      <c r="B42" s="7">
        <v>4028</v>
      </c>
      <c r="C42" s="21" t="s">
        <v>233</v>
      </c>
      <c r="D42" s="21" t="s">
        <v>396</v>
      </c>
      <c r="E42" s="13">
        <v>42808.33934027778</v>
      </c>
      <c r="F42" s="13">
        <v>42808.340208333335</v>
      </c>
      <c r="G42" s="7">
        <v>1</v>
      </c>
      <c r="H42" s="21" t="s">
        <v>223</v>
      </c>
      <c r="I42" s="13">
        <v>42808.367662037039</v>
      </c>
      <c r="J42" s="7">
        <v>0</v>
      </c>
      <c r="K42" s="98" t="str">
        <f t="shared" si="0"/>
        <v>4027/4028</v>
      </c>
      <c r="L42" s="21" t="str">
        <f>VLOOKUP(A42,'Trips&amp;Operators'!$C$1:$G$99999,5,FALSE)</f>
        <v>ROCHA YAOTL</v>
      </c>
      <c r="M42" s="6">
        <f t="shared" si="1"/>
        <v>2.7453703703940846E-2</v>
      </c>
      <c r="N42" s="7">
        <f t="shared" si="2"/>
        <v>39.533333333674818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-14T07:08:39-0600',mode:absolute,to:'2017-03-14T09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23.297999999999998</v>
      </c>
      <c r="Z42" s="62">
        <f t="shared" si="9"/>
        <v>1.5599999999999999E-2</v>
      </c>
      <c r="AA42" s="62">
        <f t="shared" si="10"/>
        <v>23.282399999999999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0130-14</v>
      </c>
      <c r="AE42" s="85" t="str">
        <f t="shared" si="12"/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AF42" s="82" t="str">
        <f t="shared" si="13"/>
        <v>"C:\Program Files (x86)\AstroGrep\AstroGrep.exe" /e /r /s /spath="%USERPROFILE%\AppData\Local\Temp\OnboardLogs" /stypes="app*4028*20170314*"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130-14 --locoid 4028 --swversion DE.1.0.9.0 --startMP 204:232980 --initTime 2017-03-14T08:08:39 --startdatetime 2017-03-14T08:09:54 --delay 1 --endMP 204:156 --enddatetime 2017-03-14T08:49:26 --enforcementcount 0 &gt;&gt;C:\Users\stu\Documents\GitHub\eaglep3-reporting\EC\2017-03-14-refined-times.txt</v>
      </c>
      <c r="AI42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{"issue":{"subject":"","project_id":79,"tracker_id":40,"status_id":1,"priority_id":2,"assigned_to_id":23,"start_date":"2017-03-14","description":"","custom_fields":[{"id":1,"name":"Subdivision","value":"EC"},{"id":4,"name":"Milepost","value":"0.0156"},{"id":17,"name":"Train ID","value":"130-14"},{"id":16,"name":"Locomotive ID","value":"4028"},{"id":130,"name":"Impact","value":""},{"id":150,"name":"Time of Event (Mountain Time)","value":"08:49:26"},{"id":151,"name":"Denver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4028 --day 2017-03-14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"%USERPROFILE%\AppData\Local\Temp\OnboardLogs"\RTDC4028\*4028*20170314* | grep -SE "(Enforcement Action)|(\[TIMEOUT)|(CHR.+\|PRM\|1\|D.+(SWITCH|SIGNAL).+UNKNOWN)" - &gt;&gt; 2017-03-14-UncaughtWiMAX.txt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645</v>
      </c>
      <c r="B43" s="7">
        <v>4022</v>
      </c>
      <c r="C43" s="21" t="s">
        <v>233</v>
      </c>
      <c r="D43" s="21" t="s">
        <v>456</v>
      </c>
      <c r="E43" s="13">
        <v>42808.309039351851</v>
      </c>
      <c r="F43" s="13">
        <v>42808.309884259259</v>
      </c>
      <c r="G43" s="7">
        <v>1</v>
      </c>
      <c r="H43" s="21" t="s">
        <v>241</v>
      </c>
      <c r="I43" s="13">
        <v>42808.33792824074</v>
      </c>
      <c r="J43" s="7">
        <v>0</v>
      </c>
      <c r="K43" s="98" t="str">
        <f t="shared" si="0"/>
        <v>4021/4022</v>
      </c>
      <c r="L43" s="21" t="str">
        <f>VLOOKUP(A43,'Trips&amp;Operators'!$C$1:$G$99999,5,FALSE)</f>
        <v>MAELZER KURT</v>
      </c>
      <c r="M43" s="6">
        <f t="shared" si="1"/>
        <v>2.8043981481459923E-2</v>
      </c>
      <c r="N43" s="7">
        <f t="shared" si="2"/>
        <v>40.383333333302289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-14T06:25:01-0600',mode:absolute,to:'2017-03-14T09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4.6199999999999998E-2</v>
      </c>
      <c r="Z43" s="62">
        <f t="shared" si="9"/>
        <v>23.331199999999999</v>
      </c>
      <c r="AA43" s="62">
        <f t="shared" si="10"/>
        <v>23.285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0131-14</v>
      </c>
      <c r="AE43" s="85" t="str">
        <f t="shared" si="12"/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AF43" s="82" t="str">
        <f t="shared" si="13"/>
        <v>"C:\Program Files (x86)\AstroGrep\AstroGrep.exe" /e /r /s /spath="%USERPROFILE%\AppData\Local\Temp\OnboardLogs" /stypes="app*4022*20170314*"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131-14 --locoid 4022 --swversion DE.1.0.9.0 --startMP 204:462 --initTime 2017-03-14T07:25:01 --startdatetime 2017-03-14T07:26:14 --delay 1 --endMP 204:233312 --enddatetime 2017-03-14T08:06:37 --enforcementcount 0 &gt;&gt;C:\Users\stu\Documents\GitHub\eaglep3-reporting\EC\2017-03-14-refined-times.txt</v>
      </c>
      <c r="AI43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{"issue":{"subject":"","project_id":79,"tracker_id":40,"status_id":1,"priority_id":2,"assigned_to_id":23,"start_date":"2017-03-14","description":"","custom_fields":[{"id":1,"name":"Subdivision","value":"EC"},{"id":4,"name":"Milepost","value":"23.3312"},{"id":17,"name":"Train ID","value":"131-14"},{"id":16,"name":"Locomotive ID","value":"4022"},{"id":130,"name":"Impact","value":""},{"id":150,"name":"Time of Event (Mountain Time)","value":"08:06:37"},{"id":151,"name":"Denver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4022 --day 2017-03-14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"%USERPROFILE%\AppData\Local\Temp\OnboardLogs"\RTDC4022\*4022*20170314* | grep -SE "(Enforcement Action)|(\[TIMEOUT)|(CHR.+\|PRM\|1\|D.+(SWITCH|SIGNAL).+UNKNOWN)" - &gt;&gt; 2017-03-14-UncaughtWiMAX.txt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654</v>
      </c>
      <c r="B44" s="7">
        <v>4021</v>
      </c>
      <c r="C44" s="21" t="s">
        <v>233</v>
      </c>
      <c r="D44" s="21" t="s">
        <v>244</v>
      </c>
      <c r="E44" s="13">
        <v>42808.343148148146</v>
      </c>
      <c r="F44" s="13">
        <v>42808.343726851854</v>
      </c>
      <c r="G44" s="7">
        <v>0</v>
      </c>
      <c r="H44" s="21" t="s">
        <v>201</v>
      </c>
      <c r="I44" s="13">
        <v>42808.379490740743</v>
      </c>
      <c r="J44" s="7">
        <v>0</v>
      </c>
      <c r="K44" s="98" t="str">
        <f t="shared" si="0"/>
        <v>4021/4022</v>
      </c>
      <c r="L44" s="21" t="str">
        <f>VLOOKUP(A44,'Trips&amp;Operators'!$C$1:$G$99999,5,FALSE)</f>
        <v>MAELZER KURT</v>
      </c>
      <c r="M44" s="6">
        <f t="shared" si="1"/>
        <v>3.5763888889050577E-2</v>
      </c>
      <c r="N44" s="7">
        <f t="shared" si="2"/>
        <v>51.500000000232831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-14T07:14:08-0600',mode:absolute,to:'2017-03-14T10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23.3</v>
      </c>
      <c r="Z44" s="62">
        <f t="shared" si="9"/>
        <v>1.52E-2</v>
      </c>
      <c r="AA44" s="62">
        <f t="shared" si="10"/>
        <v>23.284800000000001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0132-14</v>
      </c>
      <c r="AE44" s="85" t="str">
        <f t="shared" si="12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44" s="82" t="str">
        <f t="shared" si="13"/>
        <v>"C:\Program Files (x86)\AstroGrep\AstroGrep.exe" /e /r /s /spath="%USERPROFILE%\AppData\Local\Temp\OnboardLogs" /stypes="app*4021*20170314*"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132-14 --locoid 4021 --swversion DE.1.0.9.0 --startMP 204:233000 --initTime 2017-03-14T08:14:08 --startdatetime 2017-03-14T08:14:58 --delay 0 --endMP 204:152 --enddatetime 2017-03-14T09:06:28 --enforcementcount 0 &gt;&gt;C:\Users\stu\Documents\GitHub\eaglep3-reporting\EC\2017-03-14-refined-times.txt</v>
      </c>
      <c r="AI44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{"issue":{"subject":"","project_id":79,"tracker_id":40,"status_id":1,"priority_id":2,"assigned_to_id":23,"start_date":"2017-03-14","description":"","custom_fields":[{"id":1,"name":"Subdivision","value":"EC"},{"id":4,"name":"Milepost","value":"0.0152"},{"id":17,"name":"Train ID","value":"132-14"},{"id":16,"name":"Locomotive ID","value":"4021"},{"id":130,"name":"Impact","value":""},{"id":150,"name":"Time of Event (Mountain Time)","value":"09:06:28"},{"id":151,"name":"Denver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4021 --day 2017-03-14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"%USERPROFILE%\AppData\Local\Temp\OnboardLogs"\RTDC4021\*4021*20170314* | grep -SE "(Enforcement Action)|(\[TIMEOUT)|(CHR.+\|PRM\|1\|D.+(SWITCH|SIGNAL).+UNKNOWN)" - &gt;&gt; 2017-03-14-UncaughtWiMAX.txt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650</v>
      </c>
      <c r="B45" s="7">
        <v>4009</v>
      </c>
      <c r="C45" s="21" t="s">
        <v>233</v>
      </c>
      <c r="D45" s="21" t="s">
        <v>254</v>
      </c>
      <c r="E45" s="13">
        <v>42808.320486111108</v>
      </c>
      <c r="F45" s="13">
        <v>42808.321192129632</v>
      </c>
      <c r="G45" s="7">
        <v>1</v>
      </c>
      <c r="H45" s="21" t="s">
        <v>527</v>
      </c>
      <c r="I45" s="13">
        <v>42808.347916666666</v>
      </c>
      <c r="J45" s="7">
        <v>0</v>
      </c>
      <c r="K45" s="98" t="str">
        <f t="shared" si="0"/>
        <v>4009/4010</v>
      </c>
      <c r="L45" s="21" t="str">
        <f>VLOOKUP(A45,'Trips&amp;Operators'!$C$1:$G$99999,5,FALSE)</f>
        <v>STARKS ANGELINA</v>
      </c>
      <c r="M45" s="6">
        <f t="shared" si="1"/>
        <v>2.6724537034169771E-2</v>
      </c>
      <c r="N45" s="7">
        <f t="shared" si="2"/>
        <v>38.48333332920447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-14T06:41:30-0600',mode:absolute,to:'2017-03-14T09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5" s="187" t="str">
        <f t="shared" si="6"/>
        <v>N</v>
      </c>
      <c r="X45" s="187">
        <f t="shared" ref="X45:X66" si="21">VALUE(LEFT(AD45,4))-VALUE(LEFT(AD44,4))</f>
        <v>1</v>
      </c>
      <c r="Y45" s="62">
        <f t="shared" si="8"/>
        <v>4.6899999999999997E-2</v>
      </c>
      <c r="Z45" s="62">
        <f t="shared" ref="Z45:Z76" si="22">RIGHT(H45,LEN(H45)-4)/10000</f>
        <v>23.328800000000001</v>
      </c>
      <c r="AA45" s="62">
        <f t="shared" si="10"/>
        <v>23.2819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0133-14</v>
      </c>
      <c r="AE45" s="85" t="str">
        <f t="shared" si="12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45" s="82" t="str">
        <f t="shared" si="13"/>
        <v>"C:\Program Files (x86)\AstroGrep\AstroGrep.exe" /e /r /s /spath="%USERPROFILE%\AppData\Local\Temp\OnboardLogs" /stypes="app*4009*20170314*"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133-14 --locoid 4009 --swversion DE.1.0.9.0 --startMP 204:469 --initTime 2017-03-14T07:41:30 --startdatetime 2017-03-14T07:42:31 --delay 1 --endMP 204:233288 --enddatetime 2017-03-14T08:21:00 --enforcementcount 0 &gt;&gt;C:\Users\stu\Documents\GitHub\eaglep3-reporting\EC\2017-03-14-refined-times.txt</v>
      </c>
      <c r="AI45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{"issue":{"subject":"","project_id":79,"tracker_id":40,"status_id":1,"priority_id":2,"assigned_to_id":23,"start_date":"2017-03-14","description":"","custom_fields":[{"id":1,"name":"Subdivision","value":"EC"},{"id":4,"name":"Milepost","value":"23.3288"},{"id":17,"name":"Train ID","value":"133-14"},{"id":16,"name":"Locomotive ID","value":"4009"},{"id":130,"name":"Impact","value":""},{"id":150,"name":"Time of Event (Mountain Time)","value":"08:21:00"},{"id":151,"name":"Denver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4009 --day 2017-03-14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"%USERPROFILE%\AppData\Local\Temp\OnboardLogs"\RTDC4009\*4009*20170314* | grep -SE "(Enforcement Action)|(\[TIMEOUT)|(CHR.+\|PRM\|1\|D.+(SWITCH|SIGNAL).+UNKNOWN)" - &gt;&gt; 2017-03-14-UncaughtWiMAX.txt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660</v>
      </c>
      <c r="B46" s="7">
        <v>4010</v>
      </c>
      <c r="C46" s="21" t="s">
        <v>233</v>
      </c>
      <c r="D46" s="21" t="s">
        <v>485</v>
      </c>
      <c r="E46" s="13">
        <v>42808.359976851854</v>
      </c>
      <c r="F46" s="13">
        <v>42808.361076388886</v>
      </c>
      <c r="G46" s="7">
        <v>1</v>
      </c>
      <c r="H46" s="21" t="s">
        <v>220</v>
      </c>
      <c r="I46" s="13">
        <v>42808.390601851854</v>
      </c>
      <c r="J46" s="7">
        <v>0</v>
      </c>
      <c r="K46" s="98" t="str">
        <f t="shared" si="0"/>
        <v>4009/4010</v>
      </c>
      <c r="L46" s="21" t="str">
        <f>VLOOKUP(A46,'Trips&amp;Operators'!$C$1:$G$99999,5,FALSE)</f>
        <v>STARKS ANGELINA</v>
      </c>
      <c r="M46" s="6">
        <f t="shared" si="1"/>
        <v>2.9525462967285421E-2</v>
      </c>
      <c r="N46" s="7">
        <f t="shared" si="2"/>
        <v>42.516666672891006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-14T07:38:22-0600',mode:absolute,to:'2017-03-14T10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6" s="187" t="str">
        <f t="shared" si="6"/>
        <v>N</v>
      </c>
      <c r="X46" s="187">
        <f t="shared" si="21"/>
        <v>1</v>
      </c>
      <c r="Y46" s="62">
        <f t="shared" si="8"/>
        <v>23.297499999999999</v>
      </c>
      <c r="Z46" s="62">
        <f t="shared" si="22"/>
        <v>1.41E-2</v>
      </c>
      <c r="AA46" s="62">
        <f t="shared" si="10"/>
        <v>23.2834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0134-14</v>
      </c>
      <c r="AE46" s="85" t="str">
        <f t="shared" si="12"/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AF46" s="82" t="str">
        <f t="shared" si="13"/>
        <v>"C:\Program Files (x86)\AstroGrep\AstroGrep.exe" /e /r /s /spath="%USERPROFILE%\AppData\Local\Temp\OnboardLogs" /stypes="app*4010*20170314*"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134-14 --locoid 4010 --swversion DE.1.0.9.0 --startMP 204:232975 --initTime 2017-03-14T08:38:22 --startdatetime 2017-03-14T08:39:57 --delay 1 --endMP 204:141 --enddatetime 2017-03-14T09:22:28 --enforcementcount 0 &gt;&gt;C:\Users\stu\Documents\GitHub\eaglep3-reporting\EC\2017-03-14-refined-times.txt</v>
      </c>
      <c r="AI46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{"issue":{"subject":"","project_id":79,"tracker_id":40,"status_id":1,"priority_id":2,"assigned_to_id":23,"start_date":"2017-03-14","description":"","custom_fields":[{"id":1,"name":"Subdivision","value":"EC"},{"id":4,"name":"Milepost","value":"0.0141"},{"id":17,"name":"Train ID","value":"134-14"},{"id":16,"name":"Locomotive ID","value":"4010"},{"id":130,"name":"Impact","value":""},{"id":150,"name":"Time of Event (Mountain Time)","value":"09:22:28"},{"id":151,"name":"Denver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4010 --day 2017-03-14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"%USERPROFILE%\AppData\Local\Temp\OnboardLogs"\RTDC4010\*4010*20170314* | grep -SE "(Enforcement Action)|(\[TIMEOUT)|(CHR.+\|PRM\|1\|D.+(SWITCH|SIGNAL).+UNKNOWN)" - &gt;&gt; 2017-03-14-UncaughtWiMAX.txt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651</v>
      </c>
      <c r="B47" s="7">
        <v>4031</v>
      </c>
      <c r="C47" s="21" t="s">
        <v>233</v>
      </c>
      <c r="D47" s="21" t="s">
        <v>445</v>
      </c>
      <c r="E47" s="13">
        <v>42808.329317129632</v>
      </c>
      <c r="F47" s="13">
        <v>42808.330428240741</v>
      </c>
      <c r="G47" s="7">
        <v>1</v>
      </c>
      <c r="H47" s="21" t="s">
        <v>236</v>
      </c>
      <c r="I47" s="13">
        <v>42808.358483796299</v>
      </c>
      <c r="J47" s="7">
        <v>0</v>
      </c>
      <c r="K47" s="98" t="str">
        <f t="shared" si="0"/>
        <v>4031/4032</v>
      </c>
      <c r="L47" s="21" t="str">
        <f>VLOOKUP(A47,'Trips&amp;Operators'!$C$1:$G$99999,5,FALSE)</f>
        <v>YANAI IAN</v>
      </c>
      <c r="M47" s="6">
        <f t="shared" si="1"/>
        <v>2.8055555558239575E-2</v>
      </c>
      <c r="N47" s="7">
        <f t="shared" si="2"/>
        <v>40.400000003864989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-14T06:54:13-0600',mode:absolute,to:'2017-03-14T09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7" s="187" t="str">
        <f t="shared" si="6"/>
        <v>N</v>
      </c>
      <c r="X47" s="187">
        <f t="shared" si="21"/>
        <v>1</v>
      </c>
      <c r="Y47" s="62">
        <f t="shared" si="8"/>
        <v>4.3799999999999999E-2</v>
      </c>
      <c r="Z47" s="62">
        <f t="shared" si="22"/>
        <v>23.329699999999999</v>
      </c>
      <c r="AA47" s="62">
        <f t="shared" si="10"/>
        <v>23.285899999999998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0135-14</v>
      </c>
      <c r="AE47" s="85" t="str">
        <f t="shared" si="12"/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AF47" s="82" t="str">
        <f t="shared" si="13"/>
        <v>"C:\Program Files (x86)\AstroGrep\AstroGrep.exe" /e /r /s /spath="%USERPROFILE%\AppData\Local\Temp\OnboardLogs" /stypes="app*4031*20170314*"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135-14 --locoid 4031 --swversion DE.1.0.9.0 --startMP 204:438 --initTime 2017-03-14T07:54:13 --startdatetime 2017-03-14T07:55:49 --delay 1 --endMP 204:233297 --enddatetime 2017-03-14T08:36:13 --enforcementcount 0 &gt;&gt;C:\Users\stu\Documents\GitHub\eaglep3-reporting\EC\2017-03-14-refined-times.txt</v>
      </c>
      <c r="AI47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{"issue":{"subject":"","project_id":79,"tracker_id":40,"status_id":1,"priority_id":2,"assigned_to_id":23,"start_date":"2017-03-14","description":"","custom_fields":[{"id":1,"name":"Subdivision","value":"EC"},{"id":4,"name":"Milepost","value":"23.3297"},{"id":17,"name":"Train ID","value":"135-14"},{"id":16,"name":"Locomotive ID","value":"4031"},{"id":130,"name":"Impact","value":""},{"id":150,"name":"Time of Event (Mountain Time)","value":"08:36:13"},{"id":151,"name":"Denver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4031 --day 2017-03-14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"%USERPROFILE%\AppData\Local\Temp\OnboardLogs"\RTDC4031\*4031*20170314* | grep -SE "(Enforcement Action)|(\[TIMEOUT)|(CHR.+\|PRM\|1\|D.+(SWITCH|SIGNAL).+UNKNOWN)" - &gt;&gt; 2017-03-14-UncaughtWiMAX.txt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661</v>
      </c>
      <c r="B48" s="7">
        <v>4032</v>
      </c>
      <c r="C48" s="21" t="s">
        <v>233</v>
      </c>
      <c r="D48" s="21" t="s">
        <v>536</v>
      </c>
      <c r="E48" s="13">
        <v>42808.363020833334</v>
      </c>
      <c r="F48" s="13">
        <v>42808.364201388889</v>
      </c>
      <c r="G48" s="7">
        <v>1</v>
      </c>
      <c r="H48" s="21" t="s">
        <v>201</v>
      </c>
      <c r="I48" s="13">
        <v>42808.399212962962</v>
      </c>
      <c r="J48" s="7">
        <v>0</v>
      </c>
      <c r="K48" s="98" t="str">
        <f t="shared" si="0"/>
        <v>4031/4032</v>
      </c>
      <c r="L48" s="21" t="str">
        <f>VLOOKUP(A48,'Trips&amp;Operators'!$C$1:$G$99999,5,FALSE)</f>
        <v>YANAI IAN</v>
      </c>
      <c r="M48" s="6">
        <f t="shared" si="1"/>
        <v>3.5011574072996154E-2</v>
      </c>
      <c r="N48" s="7">
        <f t="shared" si="2"/>
        <v>50.416666665114462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-14T07:42:45-0600',mode:absolute,to:'2017-03-14T10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8" s="187" t="str">
        <f t="shared" si="6"/>
        <v>N</v>
      </c>
      <c r="X48" s="187">
        <f t="shared" si="21"/>
        <v>1</v>
      </c>
      <c r="Y48" s="62">
        <f t="shared" si="8"/>
        <v>23.296800000000001</v>
      </c>
      <c r="Z48" s="62">
        <f t="shared" si="22"/>
        <v>1.52E-2</v>
      </c>
      <c r="AA48" s="62">
        <f t="shared" si="10"/>
        <v>23.281600000000001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0136-14</v>
      </c>
      <c r="AE48" s="85" t="str">
        <f t="shared" si="12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48" s="82" t="str">
        <f t="shared" si="13"/>
        <v>"C:\Program Files (x86)\AstroGrep\AstroGrep.exe" /e /r /s /spath="%USERPROFILE%\AppData\Local\Temp\OnboardLogs" /stypes="app*4032*20170314*"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136-14 --locoid 4032 --swversion DE.1.0.9.0 --startMP 204:232968 --initTime 2017-03-14T08:42:45 --startdatetime 2017-03-14T08:44:27 --delay 1 --endMP 204:152 --enddatetime 2017-03-14T09:34:52 --enforcementcount 0 &gt;&gt;C:\Users\stu\Documents\GitHub\eaglep3-reporting\EC\2017-03-14-refined-times.txt</v>
      </c>
      <c r="AI48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{"issue":{"subject":"","project_id":79,"tracker_id":40,"status_id":1,"priority_id":2,"assigned_to_id":23,"start_date":"2017-03-14","description":"","custom_fields":[{"id":1,"name":"Subdivision","value":"EC"},{"id":4,"name":"Milepost","value":"0.0152"},{"id":17,"name":"Train ID","value":"136-14"},{"id":16,"name":"Locomotive ID","value":"4032"},{"id":130,"name":"Impact","value":""},{"id":150,"name":"Time of Event (Mountain Time)","value":"09:34:52"},{"id":151,"name":"Denver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4032 --day 2017-03-14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"%USERPROFILE%\AppData\Local\Temp\OnboardLogs"\RTDC4032\*4032*20170314* | grep -SE "(Enforcement Action)|(\[TIMEOUT)|(CHR.+\|PRM\|1\|D.+(SWITCH|SIGNAL).+UNKNOWN)" - &gt;&gt; 2017-03-14-UncaughtWiMAX.txt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566</v>
      </c>
      <c r="B49" s="7">
        <v>4053</v>
      </c>
      <c r="C49" s="21" t="s">
        <v>233</v>
      </c>
      <c r="D49" s="21" t="s">
        <v>218</v>
      </c>
      <c r="E49" s="13">
        <v>42808.339097222219</v>
      </c>
      <c r="F49" s="13">
        <v>42808.339861111112</v>
      </c>
      <c r="G49" s="7">
        <v>1</v>
      </c>
      <c r="H49" s="21" t="s">
        <v>248</v>
      </c>
      <c r="I49" s="13">
        <v>42808.370162037034</v>
      </c>
      <c r="J49" s="7">
        <v>0</v>
      </c>
      <c r="K49" s="98" t="str">
        <f t="shared" si="0"/>
        <v>4053/4054</v>
      </c>
      <c r="L49" s="21" t="str">
        <f>VLOOKUP(A49,'Trips&amp;Operators'!$C$1:$G$99999,5,FALSE)</f>
        <v>DAVIS WENDY</v>
      </c>
      <c r="M49" s="6">
        <f t="shared" si="1"/>
        <v>3.0300925922347233E-2</v>
      </c>
      <c r="N49" s="7">
        <f t="shared" si="2"/>
        <v>43.633333328180015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-14T07:08:18-0600',mode:absolute,to:'2017-03-14T09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9" s="187" t="str">
        <f t="shared" si="6"/>
        <v>N</v>
      </c>
      <c r="X49" s="187">
        <f t="shared" si="21"/>
        <v>1</v>
      </c>
      <c r="Y49" s="62">
        <f t="shared" si="8"/>
        <v>4.5499999999999999E-2</v>
      </c>
      <c r="Z49" s="62">
        <f t="shared" si="22"/>
        <v>23.329499999999999</v>
      </c>
      <c r="AA49" s="62">
        <f t="shared" si="10"/>
        <v>23.283999999999999</v>
      </c>
      <c r="AB49" s="59" t="str">
        <f>VLOOKUP(A49,Enforcements!$C$7:$K$13,8,0)</f>
        <v>Bulletin (2)</v>
      </c>
      <c r="AC49" s="55" t="str">
        <f>VLOOKUP(A49,Enforcements!$C$7:$E$13,3,0)</f>
        <v>GRADE CROSSING</v>
      </c>
      <c r="AD49" s="56" t="str">
        <f t="shared" si="11"/>
        <v>0137-14</v>
      </c>
      <c r="AE49" s="85" t="str">
        <f t="shared" si="12"/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AF49" s="82" t="str">
        <f t="shared" si="13"/>
        <v>"C:\Program Files (x86)\AstroGrep\AstroGrep.exe" /e /r /s /spath="%USERPROFILE%\AppData\Local\Temp\OnboardLogs" /stypes="app*4053*20170314*"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137-14 --locoid 4053 --swversion DE.1.0.9.0 --startMP 204:455 --initTime 2017-03-14T08:08:18 --startdatetime 2017-03-14T08:09:24 --delay 1 --endMP 204:233295 --enddatetime 2017-03-14T08:53:02 --enforcementcount 0 &gt;&gt;C:\Users\stu\Documents\GitHub\eaglep3-reporting\EC\2017-03-14-refined-times.txt</v>
      </c>
      <c r="AI49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{"issue":{"subject":"","project_id":79,"tracker_id":40,"status_id":1,"priority_id":2,"assigned_to_id":23,"start_date":"2017-03-14","description":"","custom_fields":[{"id":1,"name":"Subdivision","value":"EC"},{"id":4,"name":"Milepost","value":"23.3295"},{"id":17,"name":"Train ID","value":"137-14"},{"id":16,"name":"Locomotive ID","value":"4053"},{"id":130,"name":"Impact","value":""},{"id":150,"name":"Time of Event (Mountain Time)","value":"08:53:02"},{"id":151,"name":"Denver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4053 --day 2017-03-14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"%USERPROFILE%\AppData\Local\Temp\OnboardLogs"\RTDC4053\*4053*20170314* | grep -SE "(Enforcement Action)|(\[TIMEOUT)|(CHR.+\|PRM\|1\|D.+(SWITCH|SIGNAL).+UNKNOWN)" - &gt;&gt; 2017-03-14-UncaughtWiMAX.txt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665</v>
      </c>
      <c r="B50" s="7">
        <v>4054</v>
      </c>
      <c r="C50" s="21" t="s">
        <v>233</v>
      </c>
      <c r="D50" s="21" t="s">
        <v>388</v>
      </c>
      <c r="E50" s="13">
        <v>42808.380729166667</v>
      </c>
      <c r="F50" s="13">
        <v>42808.381296296298</v>
      </c>
      <c r="G50" s="7">
        <v>0</v>
      </c>
      <c r="H50" s="21" t="s">
        <v>207</v>
      </c>
      <c r="I50" s="13">
        <v>42808.410868055558</v>
      </c>
      <c r="J50" s="7">
        <v>0</v>
      </c>
      <c r="K50" s="98" t="str">
        <f t="shared" si="0"/>
        <v>4053/4054</v>
      </c>
      <c r="L50" s="21" t="str">
        <f>VLOOKUP(A50,'Trips&amp;Operators'!$C$1:$G$99999,5,FALSE)</f>
        <v>DAVIS WENDY</v>
      </c>
      <c r="M50" s="6">
        <f t="shared" si="1"/>
        <v>2.9571759259852115E-2</v>
      </c>
      <c r="N50" s="7">
        <f t="shared" si="2"/>
        <v>42.583333334187046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-14T08:08:15-0600',mode:absolute,to:'2017-03-14T10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0" s="187" t="str">
        <f t="shared" si="6"/>
        <v>N</v>
      </c>
      <c r="X50" s="187">
        <f t="shared" si="21"/>
        <v>1</v>
      </c>
      <c r="Y50" s="62">
        <f t="shared" si="8"/>
        <v>23.298200000000001</v>
      </c>
      <c r="Z50" s="62">
        <f t="shared" si="22"/>
        <v>1.54E-2</v>
      </c>
      <c r="AA50" s="62">
        <f t="shared" si="10"/>
        <v>23.282800000000002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0138-14</v>
      </c>
      <c r="AE50" s="85" t="str">
        <f t="shared" si="12"/>
        <v>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 &amp; 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</v>
      </c>
      <c r="AF50" s="82" t="str">
        <f t="shared" si="13"/>
        <v>"C:\Program Files (x86)\AstroGrep\AstroGrep.exe" /e /r /s /spath="%USERPROFILE%\AppData\Local\Temp\OnboardLogs" /stypes="app*4054*20170314*"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138-14 --locoid 4054 --swversion DE.1.0.9.0 --startMP 204:232982 --initTime 2017-03-14T09:08:15 --startdatetime 2017-03-14T09:09:04 --delay 0 --endMP 204:154 --enddatetime 2017-03-14T09:51:39 --enforcementcount 0 &gt;&gt;C:\Users\stu\Documents\GitHub\eaglep3-reporting\EC\2017-03-14-refined-times.txt</v>
      </c>
      <c r="AI50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{"issue":{"subject":"","project_id":79,"tracker_id":40,"status_id":1,"priority_id":2,"assigned_to_id":23,"start_date":"2017-03-14","description":"","custom_fields":[{"id":1,"name":"Subdivision","value":"EC"},{"id":4,"name":"Milepost","value":"0.0154"},{"id":17,"name":"Train ID","value":"138-14"},{"id":16,"name":"Locomotive ID","value":"4054"},{"id":130,"name":"Impact","value":""},{"id":150,"name":"Time of Event (Mountain Time)","value":"09:51:39"},{"id":151,"name":"Denver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4054 --day 2017-03-14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"%USERPROFILE%\AppData\Local\Temp\OnboardLogs"\RTDC4054\*4054*20170314* | grep -SE "(Enforcement Action)|(\[TIMEOUT)|(CHR.+\|PRM\|1\|D.+(SWITCH|SIGNAL).+UNKNOWN)" - &gt;&gt; 2017-03-14-UncaughtWiMAX.txt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656</v>
      </c>
      <c r="B51" s="7">
        <v>4051</v>
      </c>
      <c r="C51" s="21" t="s">
        <v>233</v>
      </c>
      <c r="D51" s="21" t="s">
        <v>225</v>
      </c>
      <c r="E51" s="13">
        <v>42808.350763888891</v>
      </c>
      <c r="F51" s="13">
        <v>42808.352129629631</v>
      </c>
      <c r="G51" s="7">
        <v>1</v>
      </c>
      <c r="H51" s="21" t="s">
        <v>241</v>
      </c>
      <c r="I51" s="13">
        <v>42808.379895833335</v>
      </c>
      <c r="J51" s="7">
        <v>0</v>
      </c>
      <c r="K51" s="98" t="str">
        <f t="shared" si="0"/>
        <v>4051/4052</v>
      </c>
      <c r="L51" s="21" t="str">
        <f>VLOOKUP(A51,'Trips&amp;Operators'!$C$1:$G$99999,5,FALSE)</f>
        <v>LOZA FIDEL</v>
      </c>
      <c r="M51" s="6">
        <f t="shared" si="1"/>
        <v>2.7766203704231884E-2</v>
      </c>
      <c r="N51" s="7">
        <f t="shared" si="2"/>
        <v>39.983333334093913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-14T07:25:06-0600',mode:absolute,to:'2017-03-14T10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187" t="str">
        <f t="shared" si="6"/>
        <v>N</v>
      </c>
      <c r="X51" s="187">
        <f t="shared" si="21"/>
        <v>1</v>
      </c>
      <c r="Y51" s="62">
        <f t="shared" si="8"/>
        <v>4.4400000000000002E-2</v>
      </c>
      <c r="Z51" s="62">
        <f t="shared" si="22"/>
        <v>23.331199999999999</v>
      </c>
      <c r="AA51" s="62">
        <f t="shared" si="10"/>
        <v>23.286799999999999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0139-14</v>
      </c>
      <c r="AE51" s="85" t="str">
        <f t="shared" si="12"/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51" s="82" t="str">
        <f t="shared" si="13"/>
        <v>"C:\Program Files (x86)\AstroGrep\AstroGrep.exe" /e /r /s /spath="%USERPROFILE%\AppData\Local\Temp\OnboardLogs" /stypes="app*4051*20170314*"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139-14 --locoid 4051 --swversion DE.1.0.9.0 --startMP 204:444 --initTime 2017-03-14T08:25:06 --startdatetime 2017-03-14T08:27:04 --delay 1 --endMP 204:233312 --enddatetime 2017-03-14T09:07:03 --enforcementcount 0 &gt;&gt;C:\Users\stu\Documents\GitHub\eaglep3-reporting\EC\2017-03-14-refined-times.txt</v>
      </c>
      <c r="AI51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{"issue":{"subject":"","project_id":79,"tracker_id":40,"status_id":1,"priority_id":2,"assigned_to_id":23,"start_date":"2017-03-14","description":"","custom_fields":[{"id":1,"name":"Subdivision","value":"EC"},{"id":4,"name":"Milepost","value":"23.3312"},{"id":17,"name":"Train ID","value":"139-14"},{"id":16,"name":"Locomotive ID","value":"4051"},{"id":130,"name":"Impact","value":""},{"id":150,"name":"Time of Event (Mountain Time)","value":"09:07:03"},{"id":151,"name":"Denver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4051 --day 2017-03-14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"%USERPROFILE%\AppData\Local\Temp\OnboardLogs"\RTDC4051\*4051*20170314* | grep -SE "(Enforcement Action)|(\[TIMEOUT)|(CHR.+\|PRM\|1\|D.+(SWITCH|SIGNAL).+UNKNOWN)" - &gt;&gt; 2017-03-14-UncaughtWiMAX.txt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668</v>
      </c>
      <c r="B52" s="7">
        <v>4052</v>
      </c>
      <c r="C52" s="21" t="s">
        <v>233</v>
      </c>
      <c r="D52" s="21" t="s">
        <v>451</v>
      </c>
      <c r="E52" s="13">
        <v>42808.389814814815</v>
      </c>
      <c r="F52" s="13">
        <v>42808.3909375</v>
      </c>
      <c r="G52" s="7">
        <v>1</v>
      </c>
      <c r="H52" s="21" t="s">
        <v>220</v>
      </c>
      <c r="I52" s="13">
        <v>42808.420393518521</v>
      </c>
      <c r="J52" s="7">
        <v>0</v>
      </c>
      <c r="K52" s="98" t="str">
        <f t="shared" si="0"/>
        <v>4051/4052</v>
      </c>
      <c r="L52" s="21" t="str">
        <f>VLOOKUP(A52,'Trips&amp;Operators'!$C$1:$G$99999,5,FALSE)</f>
        <v>LOZA FIDEL</v>
      </c>
      <c r="M52" s="6">
        <f t="shared" si="1"/>
        <v>2.9456018521159422E-2</v>
      </c>
      <c r="N52" s="7">
        <f t="shared" si="2"/>
        <v>42.416666670469567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-14T08:21:20-0600',mode:absolute,to:'2017-03-14T11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187" t="str">
        <f t="shared" si="6"/>
        <v>N</v>
      </c>
      <c r="X52" s="187">
        <f t="shared" si="21"/>
        <v>1</v>
      </c>
      <c r="Y52" s="62">
        <f t="shared" si="8"/>
        <v>23.298500000000001</v>
      </c>
      <c r="Z52" s="62">
        <f t="shared" si="22"/>
        <v>1.41E-2</v>
      </c>
      <c r="AA52" s="62">
        <f t="shared" si="10"/>
        <v>23.284400000000002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0140-14</v>
      </c>
      <c r="AE52" s="85" t="str">
        <f t="shared" si="12"/>
        <v>aws s3 cp s3://rtdc.mdm.uploadarchive.raw/RTDC4052/ "%USERPROFILE%\AppData\Local\Temp\OnboardLogs"\RTDC4052\2017-03-14 --exclude "*" --recursive --include "*20170314*" &amp; "%USERPROFILE%\Documents\GitHub\mrs-test-scripts\Headless Mode &amp; Sideloading\WalkAndUnGZ.bat" "%USERPROFILE%\AppData\Local\Temp\OnboardLogs"\RTDC4052\2017-03-14 &amp; 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</v>
      </c>
      <c r="AF52" s="82" t="str">
        <f t="shared" si="13"/>
        <v>"C:\Program Files (x86)\AstroGrep\AstroGrep.exe" /e /r /s /spath="%USERPROFILE%\AppData\Local\Temp\OnboardLogs" /stypes="app*4052*20170314*"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140-14 --locoid 4052 --swversion DE.1.0.9.0 --startMP 204:232985 --initTime 2017-03-14T09:21:20 --startdatetime 2017-03-14T09:22:57 --delay 1 --endMP 204:141 --enddatetime 2017-03-14T10:05:22 --enforcementcount 0 &gt;&gt;C:\Users\stu\Documents\GitHub\eaglep3-reporting\EC\2017-03-14-refined-times.txt</v>
      </c>
      <c r="AI52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{"issue":{"subject":"","project_id":79,"tracker_id":40,"status_id":1,"priority_id":2,"assigned_to_id":23,"start_date":"2017-03-14","description":"","custom_fields":[{"id":1,"name":"Subdivision","value":"EC"},{"id":4,"name":"Milepost","value":"0.0141"},{"id":17,"name":"Train ID","value":"140-14"},{"id":16,"name":"Locomotive ID","value":"4052"},{"id":130,"name":"Impact","value":""},{"id":150,"name":"Time of Event (Mountain Time)","value":"10:05:22"},{"id":151,"name":"Denver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4052 --day 2017-03-14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"%USERPROFILE%\AppData\Local\Temp\OnboardLogs"\RTDC4052\*4052*20170314* | grep -SE "(Enforcement Action)|(\[TIMEOUT)|(CHR.+\|PRM\|1\|D.+(SWITCH|SIGNAL).+UNKNOWN)" - &gt;&gt; 2017-03-14-UncaughtWiMAX.txt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658</v>
      </c>
      <c r="B53" s="7">
        <v>4018</v>
      </c>
      <c r="C53" s="21" t="s">
        <v>233</v>
      </c>
      <c r="D53" s="21" t="s">
        <v>830</v>
      </c>
      <c r="E53" s="13">
        <v>42808.358217592591</v>
      </c>
      <c r="F53" s="13">
        <v>42808.359236111108</v>
      </c>
      <c r="G53" s="7">
        <v>1</v>
      </c>
      <c r="H53" s="21" t="s">
        <v>255</v>
      </c>
      <c r="I53" s="13">
        <v>42808.389421296299</v>
      </c>
      <c r="J53" s="7">
        <v>0</v>
      </c>
      <c r="K53" s="98" t="str">
        <f t="shared" si="0"/>
        <v>4017/4018</v>
      </c>
      <c r="L53" s="21" t="str">
        <f>VLOOKUP(A53,'Trips&amp;Operators'!$C$1:$G$99999,5,FALSE)</f>
        <v>SANTIZO D. EDY</v>
      </c>
      <c r="M53" s="6">
        <f t="shared" si="1"/>
        <v>3.0185185190930497E-2</v>
      </c>
      <c r="N53" s="7">
        <f t="shared" si="2"/>
        <v>43.466666674939916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-14T07:35:50-0600',mode:absolute,to:'2017-03-14T10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87" t="str">
        <f t="shared" si="6"/>
        <v>N</v>
      </c>
      <c r="X53" s="187">
        <f t="shared" si="21"/>
        <v>1</v>
      </c>
      <c r="Y53" s="62">
        <f t="shared" si="8"/>
        <v>5.28E-2</v>
      </c>
      <c r="Z53" s="62">
        <f t="shared" si="22"/>
        <v>23.330300000000001</v>
      </c>
      <c r="AA53" s="62">
        <f t="shared" si="10"/>
        <v>23.2775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0141-14</v>
      </c>
      <c r="AE53" s="85" t="str">
        <f t="shared" si="12"/>
        <v>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 &amp; aws s3 cp s3://rtdc.mdm.uploadarchive.raw/RTDC4018/ "%USERPROFILE%\AppData\Local\Temp\OnboardLogs"\RTDC4018\2017-03-15 --exclude "*" --recursive --include "*20170315*" &amp; "%USERPROFILE%\Documents\GitHub\mrs-test-scripts\Headless Mode &amp; Sideloading\WalkAndUnGZ.bat" "%USERPROFILE%\AppData\Local\Temp\OnboardLogs"\RTDC4018\2017-03-15</v>
      </c>
      <c r="AF53" s="82" t="str">
        <f t="shared" si="13"/>
        <v>"C:\Program Files (x86)\AstroGrep\AstroGrep.exe" /e /r /s /spath="%USERPROFILE%\AppData\Local\Temp\OnboardLogs" /stypes="app*4018*20170314*"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141-14 --locoid 4018 --swversion DE.1.0.9.0 --startMP 204:528 --initTime 2017-03-14T08:35:50 --startdatetime 2017-03-14T08:37:18 --delay 1 --endMP 204:233303 --enddatetime 2017-03-14T09:20:46 --enforcementcount 0 &gt;&gt;C:\Users\stu\Documents\GitHub\eaglep3-reporting\EC\2017-03-14-refined-times.txt</v>
      </c>
      <c r="AI53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{"issue":{"subject":"","project_id":79,"tracker_id":40,"status_id":1,"priority_id":2,"assigned_to_id":23,"start_date":"2017-03-14","description":"","custom_fields":[{"id":1,"name":"Subdivision","value":"EC"},{"id":4,"name":"Milepost","value":"23.3303"},{"id":17,"name":"Train ID","value":"141-14"},{"id":16,"name":"Locomotive ID","value":"4018"},{"id":130,"name":"Impact","value":""},{"id":150,"name":"Time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4018 --day 2017-03-14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"%USERPROFILE%\AppData\Local\Temp\OnboardLogs"\RTDC4018\*4018*20170314* | grep -SE "(Enforcement Action)|(\[TIMEOUT)|(CHR.+\|PRM\|1\|D.+(SWITCH|SIGNAL).+UNKNOWN)" - &gt;&gt; 2017-03-14-UncaughtWiMAX.txt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669</v>
      </c>
      <c r="B54" s="7">
        <v>4017</v>
      </c>
      <c r="C54" s="21" t="s">
        <v>233</v>
      </c>
      <c r="D54" s="21" t="s">
        <v>831</v>
      </c>
      <c r="E54" s="13">
        <v>42808.390879629631</v>
      </c>
      <c r="F54" s="13">
        <v>42808.391631944447</v>
      </c>
      <c r="G54" s="7">
        <v>1</v>
      </c>
      <c r="H54" s="21" t="s">
        <v>826</v>
      </c>
      <c r="I54" s="13">
        <v>42808.433206018519</v>
      </c>
      <c r="J54" s="7">
        <v>0</v>
      </c>
      <c r="K54" s="98" t="str">
        <f t="shared" si="0"/>
        <v>4017/4018</v>
      </c>
      <c r="L54" s="21" t="str">
        <f>VLOOKUP(A54,'Trips&amp;Operators'!$C$1:$G$99999,5,FALSE)</f>
        <v>SANTIZO D. EDY</v>
      </c>
      <c r="M54" s="6">
        <f t="shared" si="1"/>
        <v>4.1574074071832001E-2</v>
      </c>
      <c r="N54" s="7">
        <f t="shared" si="2"/>
        <v>59.866666663438082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-14T08:22:52-0600',mode:absolute,to:'2017-03-14T11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87" t="str">
        <f t="shared" si="6"/>
        <v>N</v>
      </c>
      <c r="X54" s="187">
        <f t="shared" si="21"/>
        <v>1</v>
      </c>
      <c r="Y54" s="62">
        <f t="shared" si="8"/>
        <v>23.2988</v>
      </c>
      <c r="Z54" s="62">
        <f t="shared" si="22"/>
        <v>1.4500000000000001E-2</v>
      </c>
      <c r="AA54" s="62">
        <f t="shared" si="10"/>
        <v>23.284299999999998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0142-14</v>
      </c>
      <c r="AE54" s="85" t="str">
        <f t="shared" si="12"/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AF54" s="82" t="str">
        <f t="shared" si="13"/>
        <v>"C:\Program Files (x86)\AstroGrep\AstroGrep.exe" /e /r /s /spath="%USERPROFILE%\AppData\Local\Temp\OnboardLogs" /stypes="app*4017*20170314*"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142-14 --locoid 4017 --swversion DE.1.0.9.0 --startMP 204:232988 --initTime 2017-03-14T09:22:52 --startdatetime 2017-03-14T09:23:57 --delay 1 --endMP 204:145 --enddatetime 2017-03-14T10:23:49 --enforcementcount 0 &gt;&gt;C:\Users\stu\Documents\GitHub\eaglep3-reporting\EC\2017-03-14-refined-times.txt</v>
      </c>
      <c r="AI54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{"issue":{"subject":"","project_id":79,"tracker_id":40,"status_id":1,"priority_id":2,"assigned_to_id":23,"start_date":"2017-03-14","description":"","custom_fields":[{"id":1,"name":"Subdivision","value":"EC"},{"id":4,"name":"Milepost","value":"0.0145"},{"id":17,"name":"Train ID","value":"142-14"},{"id":16,"name":"Locomotive ID","value":"4017"},{"id":130,"name":"Impact","value":""},{"id":150,"name":"Time of Event (Mountain Time)","value":"10:23:49"},{"id":151,"name":"Denver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4017 --day 2017-03-14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"%USERPROFILE%\AppData\Local\Temp\OnboardLogs"\RTDC4017\*4017*20170314* | grep -SE "(Enforcement Action)|(\[TIMEOUT)|(CHR.+\|PRM\|1\|D.+(SWITCH|SIGNAL).+UNKNOWN)" - &gt;&gt; 2017-03-14-UncaughtWiMAX.txt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662</v>
      </c>
      <c r="B55" s="7">
        <v>4027</v>
      </c>
      <c r="C55" s="21" t="s">
        <v>233</v>
      </c>
      <c r="D55" s="21" t="s">
        <v>221</v>
      </c>
      <c r="E55" s="13">
        <v>42808.373067129629</v>
      </c>
      <c r="F55" s="13">
        <v>42808.373993055553</v>
      </c>
      <c r="G55" s="7">
        <v>1</v>
      </c>
      <c r="H55" s="21" t="s">
        <v>827</v>
      </c>
      <c r="I55" s="13">
        <v>42808.400717592594</v>
      </c>
      <c r="J55" s="7">
        <v>0</v>
      </c>
      <c r="K55" s="98" t="str">
        <f t="shared" si="0"/>
        <v>4027/4028</v>
      </c>
      <c r="L55" s="21" t="str">
        <f>VLOOKUP(A55,'Trips&amp;Operators'!$C$1:$G$99999,5,FALSE)</f>
        <v>ROCHA YAOTL</v>
      </c>
      <c r="M55" s="6">
        <f t="shared" si="1"/>
        <v>2.6724537041445728E-2</v>
      </c>
      <c r="N55" s="7">
        <f t="shared" si="2"/>
        <v>38.483333339681849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-14T07:57:13-0600',mode:absolute,to:'2017-03-14T10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5" s="187" t="str">
        <f t="shared" si="6"/>
        <v>N</v>
      </c>
      <c r="X55" s="187">
        <f t="shared" si="21"/>
        <v>1</v>
      </c>
      <c r="Y55" s="62">
        <f t="shared" si="8"/>
        <v>4.3999999999999997E-2</v>
      </c>
      <c r="Z55" s="62">
        <f t="shared" si="22"/>
        <v>23.335100000000001</v>
      </c>
      <c r="AA55" s="62">
        <f t="shared" si="10"/>
        <v>23.2911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0143-14</v>
      </c>
      <c r="AE55" s="85" t="str">
        <f t="shared" si="12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55" s="82" t="str">
        <f t="shared" si="13"/>
        <v>"C:\Program Files (x86)\AstroGrep\AstroGrep.exe" /e /r /s /spath="%USERPROFILE%\AppData\Local\Temp\OnboardLogs" /stypes="app*4027*20170314*"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143-14 --locoid 4027 --swversion DE.1.0.9.0 --startMP 204:440 --initTime 2017-03-14T08:57:13 --startdatetime 2017-03-14T08:58:33 --delay 1 --endMP 204:233351 --enddatetime 2017-03-14T09:37:02 --enforcementcount 0 &gt;&gt;C:\Users\stu\Documents\GitHub\eaglep3-reporting\EC\2017-03-14-refined-times.txt</v>
      </c>
      <c r="AI55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{"issue":{"subject":"","project_id":79,"tracker_id":40,"status_id":1,"priority_id":2,"assigned_to_id":23,"start_date":"2017-03-14","description":"","custom_fields":[{"id":1,"name":"Subdivision","value":"EC"},{"id":4,"name":"Milepost","value":"23.3351"},{"id":17,"name":"Train ID","value":"143-14"},{"id":16,"name":"Locomotive ID","value":"4027"},{"id":130,"name":"Impact","value":""},{"id":150,"name":"Time of Event (Mountain Time)","value":"09:37:02"},{"id":151,"name":"Denver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4027 --day 2017-03-14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"%USERPROFILE%\AppData\Local\Temp\OnboardLogs"\RTDC4027\*4027*20170314* | grep -SE "(Enforcement Action)|(\[TIMEOUT)|(CHR.+\|PRM\|1\|D.+(SWITCH|SIGNAL).+UNKNOWN)" - &gt;&gt; 2017-03-14-UncaughtWiMAX.txt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673</v>
      </c>
      <c r="B56" s="7">
        <v>4028</v>
      </c>
      <c r="C56" s="21" t="s">
        <v>233</v>
      </c>
      <c r="D56" s="21" t="s">
        <v>832</v>
      </c>
      <c r="E56" s="13">
        <v>42808.413437499999</v>
      </c>
      <c r="F56" s="13">
        <v>42808.414270833331</v>
      </c>
      <c r="G56" s="7">
        <v>1</v>
      </c>
      <c r="H56" s="21" t="s">
        <v>223</v>
      </c>
      <c r="I56" s="13">
        <v>42808.440381944441</v>
      </c>
      <c r="J56" s="7">
        <v>0</v>
      </c>
      <c r="K56" s="98" t="str">
        <f t="shared" si="0"/>
        <v>4027/4028</v>
      </c>
      <c r="L56" s="21" t="str">
        <f>VLOOKUP(A56,'Trips&amp;Operators'!$C$1:$G$99999,5,FALSE)</f>
        <v>ROCHA YAOTL</v>
      </c>
      <c r="M56" s="6">
        <f t="shared" si="1"/>
        <v>2.6111111110367347E-2</v>
      </c>
      <c r="N56" s="7">
        <f t="shared" si="2"/>
        <v>37.599999998928979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-14T08:55:21-0600',mode:absolute,to:'2017-03-14T11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6" s="187" t="str">
        <f t="shared" si="6"/>
        <v>N</v>
      </c>
      <c r="X56" s="187">
        <f t="shared" si="21"/>
        <v>1</v>
      </c>
      <c r="Y56" s="62">
        <f t="shared" si="8"/>
        <v>23.304200000000002</v>
      </c>
      <c r="Z56" s="62">
        <f t="shared" si="22"/>
        <v>1.5599999999999999E-2</v>
      </c>
      <c r="AA56" s="62">
        <f t="shared" si="10"/>
        <v>23.288600000000002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0144-14</v>
      </c>
      <c r="AE56" s="85" t="str">
        <f t="shared" si="12"/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AF56" s="82" t="str">
        <f t="shared" si="13"/>
        <v>"C:\Program Files (x86)\AstroGrep\AstroGrep.exe" /e /r /s /spath="%USERPROFILE%\AppData\Local\Temp\OnboardLogs" /stypes="app*4028*20170314*"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144-14 --locoid 4028 --swversion DE.1.0.9.0 --startMP 204:233042 --initTime 2017-03-14T09:55:21 --startdatetime 2017-03-14T09:56:33 --delay 1 --endMP 204:156 --enddatetime 2017-03-14T10:34:09 --enforcementcount 0 &gt;&gt;C:\Users\stu\Documents\GitHub\eaglep3-reporting\EC\2017-03-14-refined-times.txt</v>
      </c>
      <c r="AI56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{"issue":{"subject":"","project_id":79,"tracker_id":40,"status_id":1,"priority_id":2,"assigned_to_id":23,"start_date":"2017-03-14","description":"","custom_fields":[{"id":1,"name":"Subdivision","value":"EC"},{"id":4,"name":"Milepost","value":"0.0156"},{"id":17,"name":"Train ID","value":"144-14"},{"id":16,"name":"Locomotive ID","value":"4028"},{"id":130,"name":"Impact","value":""},{"id":150,"name":"Time of Event (Mountain Time)","value":"10:34:09"},{"id":151,"name":"Denver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4028 --day 2017-03-14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"%USERPROFILE%\AppData\Local\Temp\OnboardLogs"\RTDC4028\*4028*20170314* | grep -SE "(Enforcement Action)|(\[TIMEOUT)|(CHR.+\|PRM\|1\|D.+(SWITCH|SIGNAL).+UNKNOWN)" - &gt;&gt; 2017-03-14-UncaughtWiMAX.txt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666</v>
      </c>
      <c r="B57" s="7">
        <v>4022</v>
      </c>
      <c r="C57" s="21" t="s">
        <v>233</v>
      </c>
      <c r="D57" s="21" t="s">
        <v>833</v>
      </c>
      <c r="E57" s="13">
        <v>42808.382592592592</v>
      </c>
      <c r="F57" s="13">
        <v>42808.383518518516</v>
      </c>
      <c r="G57" s="7">
        <v>1</v>
      </c>
      <c r="H57" s="21" t="s">
        <v>834</v>
      </c>
      <c r="I57" s="13">
        <v>42808.410370370373</v>
      </c>
      <c r="J57" s="7">
        <v>0</v>
      </c>
      <c r="K57" s="98" t="str">
        <f t="shared" si="0"/>
        <v>4021/4022</v>
      </c>
      <c r="L57" s="21" t="str">
        <f>VLOOKUP(A57,'Trips&amp;Operators'!$C$1:$G$99999,5,FALSE)</f>
        <v>MAELZER KURT</v>
      </c>
      <c r="M57" s="6">
        <f t="shared" si="1"/>
        <v>2.6851851856918074E-2</v>
      </c>
      <c r="N57" s="7">
        <f t="shared" si="2"/>
        <v>38.666666673962027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-14T08:10:56-0600',mode:absolute,to:'2017-03-14T10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7" s="187" t="str">
        <f t="shared" si="6"/>
        <v>N</v>
      </c>
      <c r="X57" s="187">
        <f t="shared" si="21"/>
        <v>1</v>
      </c>
      <c r="Y57" s="62">
        <f t="shared" si="8"/>
        <v>4.2700000000000002E-2</v>
      </c>
      <c r="Z57" s="62">
        <f t="shared" si="22"/>
        <v>23.3339</v>
      </c>
      <c r="AA57" s="62">
        <f t="shared" si="10"/>
        <v>23.2912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0145-14</v>
      </c>
      <c r="AE57" s="85" t="str">
        <f t="shared" si="12"/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AF57" s="82" t="str">
        <f t="shared" si="13"/>
        <v>"C:\Program Files (x86)\AstroGrep\AstroGrep.exe" /e /r /s /spath="%USERPROFILE%\AppData\Local\Temp\OnboardLogs" /stypes="app*4022*20170314*"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145-14 --locoid 4022 --swversion DE.1.0.9.0 --startMP 204:427 --initTime 2017-03-14T09:10:56 --startdatetime 2017-03-14T09:12:16 --delay 1 --endMP 204:233339 --enddatetime 2017-03-14T09:50:56 --enforcementcount 0 &gt;&gt;C:\Users\stu\Documents\GitHub\eaglep3-reporting\EC\2017-03-14-refined-times.txt</v>
      </c>
      <c r="AI57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{"issue":{"subject":"","project_id":79,"tracker_id":40,"status_id":1,"priority_id":2,"assigned_to_id":23,"start_date":"2017-03-14","description":"","custom_fields":[{"id":1,"name":"Subdivision","value":"EC"},{"id":4,"name":"Milepost","value":"23.3339"},{"id":17,"name":"Train ID","value":"145-14"},{"id":16,"name":"Locomotive ID","value":"4022"},{"id":130,"name":"Impact","value":""},{"id":150,"name":"Time of Event (Mountain Time)","value":"09:50:56"},{"id":151,"name":"Denver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4022 --day 2017-03-14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"%USERPROFILE%\AppData\Local\Temp\OnboardLogs"\RTDC4022\*4022*20170314* | grep -SE "(Enforcement Action)|(\[TIMEOUT)|(CHR.+\|PRM\|1\|D.+(SWITCH|SIGNAL).+UNKNOWN)" - &gt;&gt; 2017-03-14-UncaughtWiMAX.txt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677</v>
      </c>
      <c r="B58" s="7">
        <v>4021</v>
      </c>
      <c r="C58" s="21" t="s">
        <v>233</v>
      </c>
      <c r="D58" s="21" t="s">
        <v>835</v>
      </c>
      <c r="E58" s="13">
        <v>42808.418854166666</v>
      </c>
      <c r="F58" s="13">
        <v>42808.419664351852</v>
      </c>
      <c r="G58" s="7">
        <v>1</v>
      </c>
      <c r="H58" s="21" t="s">
        <v>223</v>
      </c>
      <c r="I58" s="13">
        <v>42808.452696759261</v>
      </c>
      <c r="J58" s="7">
        <v>0</v>
      </c>
      <c r="K58" s="98" t="str">
        <f t="shared" si="0"/>
        <v>4021/4022</v>
      </c>
      <c r="L58" s="21" t="str">
        <f>VLOOKUP(A58,'Trips&amp;Operators'!$C$1:$G$99999,5,FALSE)</f>
        <v>MAELZER KURT</v>
      </c>
      <c r="M58" s="6">
        <f t="shared" si="1"/>
        <v>3.3032407409336884E-2</v>
      </c>
      <c r="N58" s="7">
        <f t="shared" si="2"/>
        <v>47.566666669445112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-14T09:03:09-0600',mode:absolute,to:'2017-03-14T11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8" s="187" t="str">
        <f t="shared" si="6"/>
        <v>N</v>
      </c>
      <c r="X58" s="187">
        <f t="shared" si="21"/>
        <v>1</v>
      </c>
      <c r="Y58" s="62">
        <f t="shared" si="8"/>
        <v>23.3019</v>
      </c>
      <c r="Z58" s="62">
        <f t="shared" si="22"/>
        <v>1.5599999999999999E-2</v>
      </c>
      <c r="AA58" s="62">
        <f t="shared" si="10"/>
        <v>23.286300000000001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0146-14</v>
      </c>
      <c r="AE58" s="85" t="str">
        <f t="shared" si="12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58" s="82" t="str">
        <f t="shared" si="13"/>
        <v>"C:\Program Files (x86)\AstroGrep\AstroGrep.exe" /e /r /s /spath="%USERPROFILE%\AppData\Local\Temp\OnboardLogs" /stypes="app*4021*20170314*"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146-14 --locoid 4021 --swversion DE.1.0.9.0 --startMP 204:233019 --initTime 2017-03-14T10:03:09 --startdatetime 2017-03-14T10:04:19 --delay 1 --endMP 204:156 --enddatetime 2017-03-14T10:51:53 --enforcementcount 0 &gt;&gt;C:\Users\stu\Documents\GitHub\eaglep3-reporting\EC\2017-03-14-refined-times.txt</v>
      </c>
      <c r="AI58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{"issue":{"subject":"","project_id":79,"tracker_id":40,"status_id":1,"priority_id":2,"assigned_to_id":23,"start_date":"2017-03-14","description":"","custom_fields":[{"id":1,"name":"Subdivision","value":"EC"},{"id":4,"name":"Milepost","value":"0.0156"},{"id":17,"name":"Train ID","value":"146-14"},{"id":16,"name":"Locomotive ID","value":"4021"},{"id":130,"name":"Impact","value":""},{"id":150,"name":"Time of Event (Mountain Time)","value":"10:51:53"},{"id":151,"name":"Denver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4021 --day 2017-03-14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"%USERPROFILE%\AppData\Local\Temp\OnboardLogs"\RTDC4021\*4021*20170314* | grep -SE "(Enforcement Action)|(\[TIMEOUT)|(CHR.+\|PRM\|1\|D.+(SWITCH|SIGNAL).+UNKNOWN)" - &gt;&gt; 2017-03-14-UncaughtWiMAX.txt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670</v>
      </c>
      <c r="B59" s="7">
        <v>4009</v>
      </c>
      <c r="C59" s="21" t="s">
        <v>233</v>
      </c>
      <c r="D59" s="21" t="s">
        <v>836</v>
      </c>
      <c r="E59" s="13">
        <v>42808.401585648149</v>
      </c>
      <c r="F59" s="13">
        <v>42808.403240740743</v>
      </c>
      <c r="G59" s="7">
        <v>2</v>
      </c>
      <c r="H59" s="21" t="s">
        <v>534</v>
      </c>
      <c r="I59" s="13">
        <v>42808.428229166668</v>
      </c>
      <c r="J59" s="7">
        <v>0</v>
      </c>
      <c r="K59" s="98" t="str">
        <f t="shared" si="0"/>
        <v>4009/4010</v>
      </c>
      <c r="L59" s="21" t="str">
        <f>VLOOKUP(A59,'Trips&amp;Operators'!$C$1:$G$99999,5,FALSE)</f>
        <v>STARKS ANGELINA</v>
      </c>
      <c r="M59" s="6">
        <f t="shared" si="1"/>
        <v>2.4988425924675539E-2</v>
      </c>
      <c r="N59" s="7"/>
      <c r="O59" s="7"/>
      <c r="P59" s="7">
        <f>24*60*SUM($M59:$M59)</f>
        <v>35.983333331532776</v>
      </c>
      <c r="Q59" s="22"/>
      <c r="R59" s="22" t="s">
        <v>496</v>
      </c>
      <c r="S59" s="31">
        <f t="shared" si="3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-14T08:38:17-0600',mode:absolute,to:'2017-03-14T11:16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9" s="187" t="str">
        <f t="shared" si="6"/>
        <v>Y</v>
      </c>
      <c r="X59" s="187">
        <f t="shared" si="21"/>
        <v>1</v>
      </c>
      <c r="Y59" s="62">
        <f t="shared" si="8"/>
        <v>1.9098999999999999</v>
      </c>
      <c r="Z59" s="62">
        <f t="shared" si="22"/>
        <v>23.33</v>
      </c>
      <c r="AA59" s="62">
        <f t="shared" si="10"/>
        <v>21.420099999999998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0147-14</v>
      </c>
      <c r="AE59" s="85" t="str">
        <f t="shared" si="12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59" s="82" t="str">
        <f t="shared" si="13"/>
        <v>"C:\Program Files (x86)\AstroGrep\AstroGrep.exe" /e /r /s /spath="%USERPROFILE%\AppData\Local\Temp\OnboardLogs" /stypes="app*4009*20170314*"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147-14 --locoid 4009 --swversion DE.1.0.9.0 --startMP 204:19099 --initTime 2017-03-14T09:38:17 --startdatetime 2017-03-14T09:40:40 --delay 2 --endMP 204:233300 --enddatetime 2017-03-14T10:16:39 --enforcementcount 0 &gt;&gt;C:\Users\stu\Documents\GitHub\eaglep3-reporting\EC\2017-03-14-refined-times.txt</v>
      </c>
      <c r="AI59" s="108" t="str">
        <f t="shared" si="19"/>
        <v>echo {"issue":{"subject":"Onboard in-route failure","project_id":79,"tracker_id":40,"status_id":1,"priority_id":2,"assigned_to_id":23,"start_date":"2017-03-14","description":"","custom_fields":[{"id":1,"name":"Subdivision","value":"EC"},{"id":4,"name":"Milepost","value":"23.33"},{"id":17,"name":"Train ID","value":"147-14"},{"id":16,"name":"Locomotive ID","value":"4009"},{"id":130,"name":"Impact","value":""},{"id":150,"name":"Time of Event (Mountain Time)","value":"10:16:39"},{"id":151,"name":"Denver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4009 --day 2017-03-14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"%USERPROFILE%\AppData\Local\Temp\OnboardLogs"\RTDC4009\*4009*20170314* | grep -SE "(Enforcement Action)|(\[TIMEOUT)|(CHR.+\|PRM\|1\|D.+(SWITCH|SIGNAL).+UNKNOWN)" - &gt;&gt; 2017-03-14-UncaughtWiMAX.txt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670</v>
      </c>
      <c r="B60" s="7">
        <v>4009</v>
      </c>
      <c r="C60" s="21" t="s">
        <v>233</v>
      </c>
      <c r="D60" s="21" t="s">
        <v>242</v>
      </c>
      <c r="E60" s="13">
        <v>42808.392500000002</v>
      </c>
      <c r="F60" s="13">
        <v>42808.394293981481</v>
      </c>
      <c r="G60" s="7">
        <v>2</v>
      </c>
      <c r="H60" s="21" t="s">
        <v>534</v>
      </c>
      <c r="I60" s="13">
        <v>42808.428229166668</v>
      </c>
      <c r="J60" s="7">
        <v>0</v>
      </c>
      <c r="K60" s="98" t="str">
        <f t="shared" si="0"/>
        <v>4009/4010</v>
      </c>
      <c r="L60" s="21" t="str">
        <f>VLOOKUP(A60,'Trips&amp;Operators'!$C$1:$G$99999,5,FALSE)</f>
        <v>STARKS ANGELINA</v>
      </c>
      <c r="M60" s="6">
        <f t="shared" si="1"/>
        <v>3.3935185187146999E-2</v>
      </c>
      <c r="N60" s="7"/>
      <c r="O60" s="7"/>
      <c r="P60" s="7"/>
      <c r="Q60" s="22"/>
      <c r="R60" s="22"/>
      <c r="S60" s="31"/>
      <c r="T60" s="46" t="str">
        <f t="shared" si="4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-14T08:25:12-0600',mode:absolute,to:'2017-03-14T11:16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187" t="str">
        <f t="shared" si="6"/>
        <v>N</v>
      </c>
      <c r="X60" s="187">
        <f t="shared" si="21"/>
        <v>0</v>
      </c>
      <c r="Y60" s="62">
        <f t="shared" si="8"/>
        <v>4.6699999999999998E-2</v>
      </c>
      <c r="Z60" s="62">
        <f t="shared" si="22"/>
        <v>23.33</v>
      </c>
      <c r="AA60" s="62">
        <f t="shared" si="10"/>
        <v>23.283299999999997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0147-14</v>
      </c>
      <c r="AE60" s="85" t="str">
        <f t="shared" si="12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60" s="82" t="str">
        <f t="shared" si="13"/>
        <v>"C:\Program Files (x86)\AstroGrep\AstroGrep.exe" /e /r /s /spath="%USERPROFILE%\AppData\Local\Temp\OnboardLogs" /stypes="app*4009*20170314*"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147-14 --locoid 4009 --swversion DE.1.0.9.0 --startMP 204:467 --initTime 2017-03-14T09:25:12 --startdatetime 2017-03-14T09:27:47 --delay 2 --endMP 204:233300 --enddatetime 2017-03-14T10:16:39 --enforcementcount 0 &gt;&gt;C:\Users\stu\Documents\GitHub\eaglep3-reporting\EC\2017-03-14-refined-times.txt</v>
      </c>
      <c r="AI60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{"issue":{"subject":"","project_id":79,"tracker_id":40,"status_id":1,"priority_id":2,"assigned_to_id":23,"start_date":"2017-03-14","description":"","custom_fields":[{"id":1,"name":"Subdivision","value":"EC"},{"id":4,"name":"Milepost","value":"23.33"},{"id":17,"name":"Train ID","value":"147-14"},{"id":16,"name":"Locomotive ID","value":"4009"},{"id":130,"name":"Impact","value":""},{"id":150,"name":"Time of Event (Mountain Time)","value":"10:16:39"},{"id":151,"name":"Denver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4009 --day 2017-03-14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"%USERPROFILE%\AppData\Local\Temp\OnboardLogs"\RTDC4009\*4009*20170314* | grep -SE "(Enforcement Action)|(\[TIMEOUT)|(CHR.+\|PRM\|1\|D.+(SWITCH|SIGNAL).+UNKNOWN)" - &gt;&gt; 2017-03-14-UncaughtWiMAX.txt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670</v>
      </c>
      <c r="B61" s="7">
        <v>4009</v>
      </c>
      <c r="C61" s="21" t="s">
        <v>233</v>
      </c>
      <c r="D61" s="21" t="s">
        <v>242</v>
      </c>
      <c r="E61" s="13">
        <v>42808.392500000002</v>
      </c>
      <c r="F61" s="13">
        <v>42808.394652777781</v>
      </c>
      <c r="G61" s="7">
        <v>3</v>
      </c>
      <c r="H61" s="21" t="s">
        <v>534</v>
      </c>
      <c r="I61" s="13">
        <v>42808.428229166668</v>
      </c>
      <c r="J61" s="7">
        <v>0</v>
      </c>
      <c r="K61" s="98" t="str">
        <f t="shared" si="0"/>
        <v>4009/4010</v>
      </c>
      <c r="L61" s="21" t="str">
        <f>VLOOKUP(A61,'Trips&amp;Operators'!$C$1:$G$99999,5,FALSE)</f>
        <v>STARKS ANGELINA</v>
      </c>
      <c r="M61" s="6">
        <f t="shared" si="1"/>
        <v>3.3576388887013309E-2</v>
      </c>
      <c r="N61" s="7"/>
      <c r="O61" s="7"/>
      <c r="P61" s="7"/>
      <c r="Q61" s="22"/>
      <c r="R61" s="22"/>
      <c r="S61" s="31"/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-14T08:25:12-0600',mode:absolute,to:'2017-03-14T11:16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1" s="187" t="str">
        <f t="shared" si="6"/>
        <v>N</v>
      </c>
      <c r="X61" s="187">
        <f t="shared" si="21"/>
        <v>0</v>
      </c>
      <c r="Y61" s="62">
        <f t="shared" si="8"/>
        <v>4.6699999999999998E-2</v>
      </c>
      <c r="Z61" s="62">
        <f t="shared" si="22"/>
        <v>23.33</v>
      </c>
      <c r="AA61" s="62">
        <f t="shared" si="10"/>
        <v>23.283299999999997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0147-14</v>
      </c>
      <c r="AE61" s="85" t="str">
        <f t="shared" si="12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61" s="82" t="str">
        <f t="shared" si="13"/>
        <v>"C:\Program Files (x86)\AstroGrep\AstroGrep.exe" /e /r /s /spath="%USERPROFILE%\AppData\Local\Temp\OnboardLogs" /stypes="app*4009*20170314*"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147-14 --locoid 4009 --swversion DE.1.0.9.0 --startMP 204:467 --initTime 2017-03-14T09:25:12 --startdatetime 2017-03-14T09:28:18 --delay 3 --endMP 204:233300 --enddatetime 2017-03-14T10:16:39 --enforcementcount 0 &gt;&gt;C:\Users\stu\Documents\GitHub\eaglep3-reporting\EC\2017-03-14-refined-times.txt</v>
      </c>
      <c r="AI61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{"issue":{"subject":"","project_id":79,"tracker_id":40,"status_id":1,"priority_id":2,"assigned_to_id":23,"start_date":"2017-03-14","description":"","custom_fields":[{"id":1,"name":"Subdivision","value":"EC"},{"id":4,"name":"Milepost","value":"23.33"},{"id":17,"name":"Train ID","value":"147-14"},{"id":16,"name":"Locomotive ID","value":"4009"},{"id":130,"name":"Impact","value":""},{"id":150,"name":"Time of Event (Mountain Time)","value":"10:16:39"},{"id":151,"name":"Denver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4009 --day 2017-03-14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"%USERPROFILE%\AppData\Local\Temp\OnboardLogs"\RTDC4009\*4009*20170314* | grep -SE "(Enforcement Action)|(\[TIMEOUT)|(CHR.+\|PRM\|1\|D.+(SWITCH|SIGNAL).+UNKNOWN)" - &gt;&gt; 2017-03-14-UncaughtWiMAX.txt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572</v>
      </c>
      <c r="B62" s="7">
        <v>4010</v>
      </c>
      <c r="C62" s="21" t="s">
        <v>233</v>
      </c>
      <c r="D62" s="21" t="s">
        <v>451</v>
      </c>
      <c r="E62" s="13">
        <v>42808.429363425923</v>
      </c>
      <c r="F62" s="13">
        <v>42808.430069444446</v>
      </c>
      <c r="G62" s="7">
        <v>1</v>
      </c>
      <c r="H62" s="21" t="s">
        <v>837</v>
      </c>
      <c r="I62" s="13">
        <v>42808.462638888886</v>
      </c>
      <c r="J62" s="7">
        <v>0</v>
      </c>
      <c r="K62" s="98" t="str">
        <f t="shared" si="0"/>
        <v>4009/4010</v>
      </c>
      <c r="L62" s="21" t="str">
        <f>VLOOKUP(A62,'Trips&amp;Operators'!$C$1:$G$99999,5,FALSE)</f>
        <v>STARKS ANGELINA</v>
      </c>
      <c r="M62" s="6">
        <f t="shared" si="1"/>
        <v>3.2569444440014195E-2</v>
      </c>
      <c r="N62" s="7">
        <f t="shared" ref="N62:N85" si="23">24*60*SUM($M62:$M62)</f>
        <v>46.89999999362044</v>
      </c>
      <c r="O62" s="7"/>
      <c r="P62" s="7"/>
      <c r="Q62" s="22"/>
      <c r="R62" s="22"/>
      <c r="S62" s="31">
        <f t="shared" ref="S62:S86" si="24">SUM(U62:U62)/IF(AG62="EC",12,1)</f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-14T09:18:17-0600',mode:absolute,to:'2017-03-14T12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2" s="187" t="str">
        <f t="shared" si="6"/>
        <v>N</v>
      </c>
      <c r="X62" s="187">
        <f t="shared" si="21"/>
        <v>1</v>
      </c>
      <c r="Y62" s="62">
        <f t="shared" si="8"/>
        <v>23.298500000000001</v>
      </c>
      <c r="Z62" s="62">
        <f t="shared" si="22"/>
        <v>1.7600000000000001E-2</v>
      </c>
      <c r="AA62" s="62">
        <f t="shared" si="10"/>
        <v>23.280899999999999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0148-14</v>
      </c>
      <c r="AE62" s="85" t="str">
        <f t="shared" si="12"/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AF62" s="82" t="str">
        <f t="shared" si="13"/>
        <v>"C:\Program Files (x86)\AstroGrep\AstroGrep.exe" /e /r /s /spath="%USERPROFILE%\AppData\Local\Temp\OnboardLogs" /stypes="app*4010*20170314*"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148-14 --locoid 4010 --swversion DE.1.0.9.0 --startMP 204:232985 --initTime 2017-03-14T10:18:17 --startdatetime 2017-03-14T10:19:18 --delay 1 --endMP 204:176 --enddatetime 2017-03-14T11:06:12 --enforcementcount 0 &gt;&gt;C:\Users\stu\Documents\GitHub\eaglep3-reporting\EC\2017-03-14-refined-times.txt</v>
      </c>
      <c r="AI62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{"issue":{"subject":"","project_id":79,"tracker_id":40,"status_id":1,"priority_id":2,"assigned_to_id":23,"start_date":"2017-03-14","description":"","custom_fields":[{"id":1,"name":"Subdivision","value":"EC"},{"id":4,"name":"Milepost","value":"0.0176"},{"id":17,"name":"Train ID","value":"148-14"},{"id":16,"name":"Locomotive ID","value":"4010"},{"id":130,"name":"Impact","value":""},{"id":150,"name":"Time of Event (Mountain Time)","value":"11:06:12"},{"id":151,"name":"Denver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4010 --day 2017-03-14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"%USERPROFILE%\AppData\Local\Temp\OnboardLogs"\RTDC4010\*4010*20170314* | grep -SE "(Enforcement Action)|(\[TIMEOUT)|(CHR.+\|PRM\|1\|D.+(SWITCH|SIGNAL).+UNKNOWN)" - &gt;&gt; 2017-03-14-UncaughtWiMAX.txt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671</v>
      </c>
      <c r="B63" s="7">
        <v>4031</v>
      </c>
      <c r="C63" s="21" t="s">
        <v>233</v>
      </c>
      <c r="D63" s="21" t="s">
        <v>211</v>
      </c>
      <c r="E63" s="13">
        <v>42808.401250000003</v>
      </c>
      <c r="F63" s="13">
        <v>42808.402291666665</v>
      </c>
      <c r="G63" s="7">
        <v>1</v>
      </c>
      <c r="H63" s="21" t="s">
        <v>236</v>
      </c>
      <c r="I63" s="13">
        <v>42808.433807870373</v>
      </c>
      <c r="J63" s="7">
        <v>0</v>
      </c>
      <c r="K63" s="98" t="str">
        <f t="shared" si="0"/>
        <v>4031/4032</v>
      </c>
      <c r="L63" s="21" t="str">
        <f>VLOOKUP(A63,'Trips&amp;Operators'!$C$1:$G$99999,5,FALSE)</f>
        <v>BONDS REYNALDO</v>
      </c>
      <c r="M63" s="6">
        <f t="shared" si="1"/>
        <v>3.1516203707724344E-2</v>
      </c>
      <c r="N63" s="7">
        <f t="shared" si="23"/>
        <v>45.383333339123055</v>
      </c>
      <c r="O63" s="7"/>
      <c r="P63" s="7"/>
      <c r="Q63" s="22"/>
      <c r="R63" s="22"/>
      <c r="S63" s="31">
        <f t="shared" si="24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-14T08:37:48-0600',mode:absolute,to:'2017-03-14T11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3" s="187" t="str">
        <f t="shared" si="6"/>
        <v>N</v>
      </c>
      <c r="X63" s="187">
        <f t="shared" si="21"/>
        <v>1</v>
      </c>
      <c r="Y63" s="62">
        <f t="shared" si="8"/>
        <v>4.5999999999999999E-2</v>
      </c>
      <c r="Z63" s="62">
        <f t="shared" si="22"/>
        <v>23.329699999999999</v>
      </c>
      <c r="AA63" s="62">
        <f t="shared" si="10"/>
        <v>23.2837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0149-14</v>
      </c>
      <c r="AE63" s="85" t="str">
        <f t="shared" si="12"/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AF63" s="82" t="str">
        <f t="shared" si="13"/>
        <v>"C:\Program Files (x86)\AstroGrep\AstroGrep.exe" /e /r /s /spath="%USERPROFILE%\AppData\Local\Temp\OnboardLogs" /stypes="app*4031*20170314*"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149-14 --locoid 4031 --swversion DE.1.0.9.0 --startMP 204:460 --initTime 2017-03-14T09:37:48 --startdatetime 2017-03-14T09:39:18 --delay 1 --endMP 204:233297 --enddatetime 2017-03-14T10:24:41 --enforcementcount 0 &gt;&gt;C:\Users\stu\Documents\GitHub\eaglep3-reporting\EC\2017-03-14-refined-times.txt</v>
      </c>
      <c r="AI63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{"issue":{"subject":"","project_id":79,"tracker_id":40,"status_id":1,"priority_id":2,"assigned_to_id":23,"start_date":"2017-03-14","description":"","custom_fields":[{"id":1,"name":"Subdivision","value":"EC"},{"id":4,"name":"Milepost","value":"23.3297"},{"id":17,"name":"Train ID","value":"149-14"},{"id":16,"name":"Locomotive ID","value":"4031"},{"id":130,"name":"Impact","value":""},{"id":150,"name":"Time of Event (Mountain Time)","value":"10:24:41"},{"id":151,"name":"Denver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4031 --day 2017-03-14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"%USERPROFILE%\AppData\Local\Temp\OnboardLogs"\RTDC4031\*4031*20170314* | grep -SE "(Enforcement Action)|(\[TIMEOUT)|(CHR.+\|PRM\|1\|D.+(SWITCH|SIGNAL).+UNKNOWN)" - &gt;&gt; 2017-03-14-UncaughtWiMAX.txt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681</v>
      </c>
      <c r="B64" s="7">
        <v>4032</v>
      </c>
      <c r="C64" s="21" t="s">
        <v>233</v>
      </c>
      <c r="D64" s="21" t="s">
        <v>442</v>
      </c>
      <c r="E64" s="13">
        <v>42808.443425925929</v>
      </c>
      <c r="F64" s="13">
        <v>42808.444641203707</v>
      </c>
      <c r="G64" s="7">
        <v>1</v>
      </c>
      <c r="H64" s="21" t="s">
        <v>459</v>
      </c>
      <c r="I64" s="13">
        <v>42808.473124999997</v>
      </c>
      <c r="J64" s="7">
        <v>0</v>
      </c>
      <c r="K64" s="98" t="str">
        <f t="shared" si="0"/>
        <v>4031/4032</v>
      </c>
      <c r="L64" s="21" t="str">
        <f>VLOOKUP(A64,'Trips&amp;Operators'!$C$1:$G$99999,5,FALSE)</f>
        <v>BONDS REYNALDO</v>
      </c>
      <c r="M64" s="6">
        <f t="shared" si="1"/>
        <v>2.848379628994735E-2</v>
      </c>
      <c r="N64" s="7">
        <f t="shared" si="23"/>
        <v>41.016666657524183</v>
      </c>
      <c r="O64" s="7"/>
      <c r="P64" s="7"/>
      <c r="Q64" s="22"/>
      <c r="R64" s="22"/>
      <c r="S64" s="31">
        <f t="shared" si="24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-14T09:38:32-0600',mode:absolute,to:'2017-03-14T12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187" t="str">
        <f t="shared" si="6"/>
        <v>N</v>
      </c>
      <c r="X64" s="187">
        <f t="shared" si="21"/>
        <v>1</v>
      </c>
      <c r="Y64" s="62">
        <f t="shared" si="8"/>
        <v>23.298400000000001</v>
      </c>
      <c r="Z64" s="62">
        <f t="shared" si="22"/>
        <v>1.38E-2</v>
      </c>
      <c r="AA64" s="62">
        <f t="shared" si="10"/>
        <v>23.284600000000001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0150-14</v>
      </c>
      <c r="AE64" s="85" t="str">
        <f t="shared" si="12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64" s="82" t="str">
        <f t="shared" si="13"/>
        <v>"C:\Program Files (x86)\AstroGrep\AstroGrep.exe" /e /r /s /spath="%USERPROFILE%\AppData\Local\Temp\OnboardLogs" /stypes="app*4032*20170314*"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150-14 --locoid 4032 --swversion DE.1.0.9.0 --startMP 204:232984 --initTime 2017-03-14T10:38:32 --startdatetime 2017-03-14T10:40:17 --delay 1 --endMP 204:138 --enddatetime 2017-03-14T11:21:18 --enforcementcount 0 &gt;&gt;C:\Users\stu\Documents\GitHub\eaglep3-reporting\EC\2017-03-14-refined-times.txt</v>
      </c>
      <c r="AI64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{"issue":{"subject":"","project_id":79,"tracker_id":40,"status_id":1,"priority_id":2,"assigned_to_id":23,"start_date":"2017-03-14","description":"","custom_fields":[{"id":1,"name":"Subdivision","value":"EC"},{"id":4,"name":"Milepost","value":"0.0138"},{"id":17,"name":"Train ID","value":"150-14"},{"id":16,"name":"Locomotive ID","value":"4032"},{"id":130,"name":"Impact","value":""},{"id":150,"name":"Time of Event (Mountain Time)","value":"11:21:18"},{"id":151,"name":"Denver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4032 --day 2017-03-14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"%USERPROFILE%\AppData\Local\Temp\OnboardLogs"\RTDC4032\*4032*20170314* | grep -SE "(Enforcement Action)|(\[TIMEOUT)|(CHR.+\|PRM\|1\|D.+(SWITCH|SIGNAL).+UNKNOWN)" - &gt;&gt; 2017-03-14-UncaughtWiMAX.txt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672</v>
      </c>
      <c r="B65" s="7">
        <v>4053</v>
      </c>
      <c r="C65" s="21" t="s">
        <v>233</v>
      </c>
      <c r="D65" s="21" t="s">
        <v>211</v>
      </c>
      <c r="E65" s="13">
        <v>42808.412233796298</v>
      </c>
      <c r="F65" s="13">
        <v>42808.412881944445</v>
      </c>
      <c r="G65" s="7">
        <v>0</v>
      </c>
      <c r="H65" s="21" t="s">
        <v>520</v>
      </c>
      <c r="I65" s="13">
        <v>42808.443124999998</v>
      </c>
      <c r="J65" s="7">
        <v>0</v>
      </c>
      <c r="K65" s="98" t="str">
        <f t="shared" si="0"/>
        <v>4053/4054</v>
      </c>
      <c r="L65" s="21" t="str">
        <f>VLOOKUP(A65,'Trips&amp;Operators'!$C$1:$G$99999,5,FALSE)</f>
        <v>DAVIS WENDY</v>
      </c>
      <c r="M65" s="6">
        <f t="shared" si="1"/>
        <v>3.0243055553000886E-2</v>
      </c>
      <c r="N65" s="7">
        <f t="shared" si="23"/>
        <v>43.549999996321276</v>
      </c>
      <c r="O65" s="7"/>
      <c r="P65" s="7"/>
      <c r="Q65" s="22"/>
      <c r="R65" s="22"/>
      <c r="S65" s="31">
        <f t="shared" si="24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-14T08:53:37-0600',mode:absolute,to:'2017-03-14T11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5" s="187" t="str">
        <f t="shared" si="6"/>
        <v>N</v>
      </c>
      <c r="X65" s="187">
        <f t="shared" si="21"/>
        <v>1</v>
      </c>
      <c r="Y65" s="62">
        <f t="shared" si="8"/>
        <v>4.5999999999999999E-2</v>
      </c>
      <c r="Z65" s="62">
        <f t="shared" si="22"/>
        <v>23.330200000000001</v>
      </c>
      <c r="AA65" s="62">
        <f t="shared" si="10"/>
        <v>23.284200000000002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0151-14</v>
      </c>
      <c r="AE65" s="85" t="str">
        <f t="shared" si="12"/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AF65" s="82" t="str">
        <f t="shared" si="13"/>
        <v>"C:\Program Files (x86)\AstroGrep\AstroGrep.exe" /e /r /s /spath="%USERPROFILE%\AppData\Local\Temp\OnboardLogs" /stypes="app*4053*20170314*"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151-14 --locoid 4053 --swversion DE.1.0.9.0 --startMP 204:460 --initTime 2017-03-14T09:53:37 --startdatetime 2017-03-14T09:54:33 --delay 0 --endMP 204:233302 --enddatetime 2017-03-14T10:38:06 --enforcementcount 0 &gt;&gt;C:\Users\stu\Documents\GitHub\eaglep3-reporting\EC\2017-03-14-refined-times.txt</v>
      </c>
      <c r="AI65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{"issue":{"subject":"","project_id":79,"tracker_id":40,"status_id":1,"priority_id":2,"assigned_to_id":23,"start_date":"2017-03-14","description":"","custom_fields":[{"id":1,"name":"Subdivision","value":"EC"},{"id":4,"name":"Milepost","value":"23.3302"},{"id":17,"name":"Train ID","value":"151-14"},{"id":16,"name":"Locomotive ID","value":"4053"},{"id":130,"name":"Impact","value":""},{"id":150,"name":"Time of Event (Mountain Time)","value":"10:38:06"},{"id":151,"name":"Denver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4053 --day 2017-03-14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"%USERPROFILE%\AppData\Local\Temp\OnboardLogs"\RTDC4053\*4053*20170314* | grep -SE "(Enforcement Action)|(\[TIMEOUT)|(CHR.+\|PRM\|1\|D.+(SWITCH|SIGNAL).+UNKNOWN)" - &gt;&gt; 2017-03-14-UncaughtWiMAX.txt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683</v>
      </c>
      <c r="B66" s="7">
        <v>4054</v>
      </c>
      <c r="C66" s="21" t="s">
        <v>233</v>
      </c>
      <c r="D66" s="21" t="s">
        <v>441</v>
      </c>
      <c r="E66" s="13">
        <v>42808.451840277776</v>
      </c>
      <c r="F66" s="13">
        <v>42808.452615740738</v>
      </c>
      <c r="G66" s="7">
        <v>1</v>
      </c>
      <c r="H66" s="21" t="s">
        <v>223</v>
      </c>
      <c r="I66" s="13">
        <v>42808.483425925922</v>
      </c>
      <c r="J66" s="7">
        <v>0</v>
      </c>
      <c r="K66" s="98" t="str">
        <f t="shared" si="0"/>
        <v>4053/4054</v>
      </c>
      <c r="L66" s="21" t="str">
        <f>VLOOKUP(A66,'Trips&amp;Operators'!$C$1:$G$99999,5,FALSE)</f>
        <v>DAVIS WENDY</v>
      </c>
      <c r="M66" s="6">
        <f t="shared" si="1"/>
        <v>3.0810185184236616E-2</v>
      </c>
      <c r="N66" s="7">
        <f t="shared" si="23"/>
        <v>44.366666665300727</v>
      </c>
      <c r="O66" s="7"/>
      <c r="P66" s="7"/>
      <c r="Q66" s="22"/>
      <c r="R66" s="22"/>
      <c r="S66" s="31">
        <f t="shared" si="24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-14T09:50:39-0600',mode:absolute,to:'2017-03-14T12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187" t="str">
        <f t="shared" si="6"/>
        <v>N</v>
      </c>
      <c r="X66" s="187">
        <f t="shared" si="21"/>
        <v>1</v>
      </c>
      <c r="Y66" s="62">
        <f t="shared" si="8"/>
        <v>23.299600000000002</v>
      </c>
      <c r="Z66" s="62">
        <f t="shared" si="22"/>
        <v>1.5599999999999999E-2</v>
      </c>
      <c r="AA66" s="62">
        <f t="shared" si="10"/>
        <v>23.284000000000002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0152-14</v>
      </c>
      <c r="AE66" s="85" t="str">
        <f t="shared" si="12"/>
        <v>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 &amp; 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</v>
      </c>
      <c r="AF66" s="82" t="str">
        <f t="shared" si="13"/>
        <v>"C:\Program Files (x86)\AstroGrep\AstroGrep.exe" /e /r /s /spath="%USERPROFILE%\AppData\Local\Temp\OnboardLogs" /stypes="app*4054*20170314*"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152-14 --locoid 4054 --swversion DE.1.0.9.0 --startMP 204:232996 --initTime 2017-03-14T10:50:39 --startdatetime 2017-03-14T10:51:46 --delay 1 --endMP 204:156 --enddatetime 2017-03-14T11:36:08 --enforcementcount 0 &gt;&gt;C:\Users\stu\Documents\GitHub\eaglep3-reporting\EC\2017-03-14-refined-times.txt</v>
      </c>
      <c r="AI66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{"issue":{"subject":"","project_id":79,"tracker_id":40,"status_id":1,"priority_id":2,"assigned_to_id":23,"start_date":"2017-03-14","description":"","custom_fields":[{"id":1,"name":"Subdivision","value":"EC"},{"id":4,"name":"Milepost","value":"0.0156"},{"id":17,"name":"Train ID","value":"152-14"},{"id":16,"name":"Locomotive ID","value":"4054"},{"id":130,"name":"Impact","value":""},{"id":150,"name":"Time of Event (Mountain Time)","value":"11:36:08"},{"id":151,"name":"Denver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4054 --day 2017-03-14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"%USERPROFILE%\AppData\Local\Temp\OnboardLogs"\RTDC4054\*4054*20170314* | grep -SE "(Enforcement Action)|(\[TIMEOUT)|(CHR.+\|PRM\|1\|D.+(SWITCH|SIGNAL).+UNKNOWN)" - &gt;&gt; 2017-03-14-UncaughtWiMAX.txt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678</v>
      </c>
      <c r="B67" s="7">
        <v>4051</v>
      </c>
      <c r="C67" s="21" t="s">
        <v>233</v>
      </c>
      <c r="D67" s="21" t="s">
        <v>838</v>
      </c>
      <c r="E67" s="13">
        <v>42808.424062500002</v>
      </c>
      <c r="F67" s="13">
        <v>42808.427777777775</v>
      </c>
      <c r="G67" s="7">
        <v>5</v>
      </c>
      <c r="H67" s="21" t="s">
        <v>523</v>
      </c>
      <c r="I67" s="13">
        <v>42808.452361111114</v>
      </c>
      <c r="J67" s="7">
        <v>0</v>
      </c>
      <c r="K67" s="98" t="str">
        <f t="shared" si="0"/>
        <v>4051/4052</v>
      </c>
      <c r="L67" s="21" t="str">
        <f>VLOOKUP(A67,'Trips&amp;Operators'!$C$1:$G$99999,5,FALSE)</f>
        <v>LOZA FIDEL</v>
      </c>
      <c r="M67" s="6">
        <f t="shared" si="1"/>
        <v>2.4583333339251112E-2</v>
      </c>
      <c r="N67" s="7">
        <f t="shared" si="23"/>
        <v>35.400000008521602</v>
      </c>
      <c r="O67" s="7"/>
      <c r="P67" s="7"/>
      <c r="Q67" s="22"/>
      <c r="R67" s="22"/>
      <c r="S67" s="31">
        <f t="shared" si="24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-14T09:10:39-0600',mode:absolute,to:'2017-03-14T11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7" s="187" t="str">
        <f t="shared" si="6"/>
        <v>N</v>
      </c>
      <c r="X67" s="187">
        <f t="shared" ref="X67:X70" si="25">VALUE(LEFT(AD67,4))-VALUE(LEFT(AD66,4))</f>
        <v>1</v>
      </c>
      <c r="Y67" s="62">
        <f t="shared" si="8"/>
        <v>0.13400000000000001</v>
      </c>
      <c r="Z67" s="62">
        <f t="shared" si="22"/>
        <v>23.3291</v>
      </c>
      <c r="AA67" s="62">
        <f t="shared" si="10"/>
        <v>23.1951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0153-14</v>
      </c>
      <c r="AE67" s="85" t="str">
        <f t="shared" si="12"/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67" s="82" t="str">
        <f t="shared" si="13"/>
        <v>"C:\Program Files (x86)\AstroGrep\AstroGrep.exe" /e /r /s /spath="%USERPROFILE%\AppData\Local\Temp\OnboardLogs" /stypes="app*4051*20170314*" /stext=" 16:.+((SYSTEM_STATE.+slice.+state.+changed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153-14 --locoid 4051 --swversion DE.1.0.9.0 --startMP 204:1340 --initTime 2017-03-14T10:10:39 --startdatetime 2017-03-14T10:16:00 --delay 5 --endMP 204:233291 --enddatetime 2017-03-14T10:51:24 --enforcementcount 0 &gt;&gt;C:\Users\stu\Documents\GitHub\eaglep3-reporting\EC\2017-03-14-refined-times.txt</v>
      </c>
      <c r="AI67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{"issue":{"subject":"","project_id":79,"tracker_id":40,"status_id":1,"priority_id":2,"assigned_to_id":23,"start_date":"2017-03-14","description":"","custom_fields":[{"id":1,"name":"Subdivision","value":"EC"},{"id":4,"name":"Milepost","value":"23.3291"},{"id":17,"name":"Train ID","value":"153-14"},{"id":16,"name":"Locomotive ID","value":"4051"},{"id":130,"name":"Impact","value":""},{"id":150,"name":"Time of Event (Mountain Time)","value":"10:51:24"},{"id":151,"name":"Denver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4051 --day 2017-03-14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"%USERPROFILE%\AppData\Local\Temp\OnboardLogs"\RTDC4051\*4051*20170314* | grep -SE "(Enforcement Action)|(\[TIMEOUT)|(CHR.+\|PRM\|1\|D.+(SWITCH|SIGNAL).+UNKNOWN)" - &gt;&gt; 2017-03-14-UncaughtWiMAX.txt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686</v>
      </c>
      <c r="B68" s="7">
        <v>4052</v>
      </c>
      <c r="C68" s="21" t="s">
        <v>233</v>
      </c>
      <c r="D68" s="21" t="s">
        <v>529</v>
      </c>
      <c r="E68" s="13">
        <v>42808.463101851848</v>
      </c>
      <c r="F68" s="13">
        <v>42808.464270833334</v>
      </c>
      <c r="G68" s="7">
        <v>1</v>
      </c>
      <c r="H68" s="21" t="s">
        <v>220</v>
      </c>
      <c r="I68" s="13">
        <v>42808.493750000001</v>
      </c>
      <c r="J68" s="7">
        <v>0</v>
      </c>
      <c r="K68" s="98" t="str">
        <f t="shared" si="0"/>
        <v>4051/4052</v>
      </c>
      <c r="L68" s="21" t="str">
        <f>VLOOKUP(A68,'Trips&amp;Operators'!$C$1:$G$99999,5,FALSE)</f>
        <v>LOZA FIDEL</v>
      </c>
      <c r="M68" s="6">
        <f t="shared" si="1"/>
        <v>2.9479166667442769E-2</v>
      </c>
      <c r="N68" s="7">
        <f t="shared" si="23"/>
        <v>42.450000001117587</v>
      </c>
      <c r="O68" s="7"/>
      <c r="P68" s="7"/>
      <c r="Q68" s="22"/>
      <c r="R68" s="22"/>
      <c r="S68" s="31">
        <f t="shared" si="24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-14T10:06:52-0600',mode:absolute,to:'2017-03-14T12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8" s="187" t="str">
        <f t="shared" si="6"/>
        <v>N</v>
      </c>
      <c r="X68" s="187">
        <f t="shared" si="25"/>
        <v>1</v>
      </c>
      <c r="Y68" s="62">
        <f t="shared" si="8"/>
        <v>23.296900000000001</v>
      </c>
      <c r="Z68" s="62">
        <f t="shared" si="22"/>
        <v>1.41E-2</v>
      </c>
      <c r="AA68" s="62">
        <f t="shared" si="10"/>
        <v>23.282800000000002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0154-14</v>
      </c>
      <c r="AE68" s="85" t="str">
        <f t="shared" si="12"/>
        <v>aws s3 cp s3://rtdc.mdm.uploadarchive.raw/RTDC4052/ "%USERPROFILE%\AppData\Local\Temp\OnboardLogs"\RTDC4052\2017-03-14 --exclude "*" --recursive --include "*20170314*" &amp; "%USERPROFILE%\Documents\GitHub\mrs-test-scripts\Headless Mode &amp; Sideloading\WalkAndUnGZ.bat" "%USERPROFILE%\AppData\Local\Temp\OnboardLogs"\RTDC4052\2017-03-14 &amp; 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</v>
      </c>
      <c r="AF68" s="82" t="str">
        <f t="shared" si="13"/>
        <v>"C:\Program Files (x86)\AstroGrep\AstroGrep.exe" /e /r /s /spath="%USERPROFILE%\AppData\Local\Temp\OnboardLogs" /stypes="app*4052*20170314*" /stext=" 17:.+((SYSTEM_STATE.+slice.+state.+changed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154-14 --locoid 4052 --swversion DE.1.0.9.0 --startMP 204:232969 --initTime 2017-03-14T11:06:52 --startdatetime 2017-03-14T11:08:33 --delay 1 --endMP 204:141 --enddatetime 2017-03-14T11:51:00 --enforcementcount 0 &gt;&gt;C:\Users\stu\Documents\GitHub\eaglep3-reporting\EC\2017-03-14-refined-times.txt</v>
      </c>
      <c r="AI68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{"issue":{"subject":"","project_id":79,"tracker_id":40,"status_id":1,"priority_id":2,"assigned_to_id":23,"start_date":"2017-03-14","description":"","custom_fields":[{"id":1,"name":"Subdivision","value":"EC"},{"id":4,"name":"Milepost","value":"0.0141"},{"id":17,"name":"Train ID","value":"154-14"},{"id":16,"name":"Locomotive ID","value":"4052"},{"id":130,"name":"Impact","value":""},{"id":150,"name":"Time of Event (Mountain Time)","value":"11:51:00"},{"id":151,"name":"Denver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4052 --day 2017-03-14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"%USERPROFILE%\AppData\Local\Temp\OnboardLogs"\RTDC4052\*4052*20170314* | grep -SE "(Enforcement Action)|(\[TIMEOUT)|(CHR.+\|PRM\|1\|D.+(SWITCH|SIGNAL).+UNKNOWN)" - &gt;&gt; 2017-03-14-UncaughtWiMAX.txt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680</v>
      </c>
      <c r="B69" s="7">
        <v>4018</v>
      </c>
      <c r="C69" s="21" t="s">
        <v>233</v>
      </c>
      <c r="D69" s="21" t="s">
        <v>228</v>
      </c>
      <c r="E69" s="13">
        <v>42808.435567129629</v>
      </c>
      <c r="F69" s="13">
        <v>42808.437210648146</v>
      </c>
      <c r="G69" s="7">
        <v>2</v>
      </c>
      <c r="H69" s="21" t="s">
        <v>241</v>
      </c>
      <c r="I69" s="13">
        <v>42808.462314814817</v>
      </c>
      <c r="J69" s="7">
        <v>0</v>
      </c>
      <c r="K69" s="98" t="str">
        <f t="shared" si="0"/>
        <v>4017/4018</v>
      </c>
      <c r="L69" s="21" t="str">
        <f>VLOOKUP(A69,'Trips&amp;Operators'!$C$1:$G$99999,5,FALSE)</f>
        <v>YORK EDGAR</v>
      </c>
      <c r="M69" s="6">
        <f t="shared" si="1"/>
        <v>2.510416667064419E-2</v>
      </c>
      <c r="N69" s="7">
        <f t="shared" si="23"/>
        <v>36.150000005727634</v>
      </c>
      <c r="O69" s="7"/>
      <c r="P69" s="7"/>
      <c r="Q69" s="22"/>
      <c r="R69" s="22"/>
      <c r="S69" s="31">
        <f t="shared" si="24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-14T09:27:13-0600',mode:absolute,to:'2017-03-14T12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9" s="187" t="str">
        <f t="shared" si="6"/>
        <v>N</v>
      </c>
      <c r="X69" s="187">
        <f t="shared" si="25"/>
        <v>1</v>
      </c>
      <c r="Y69" s="62">
        <f t="shared" si="8"/>
        <v>4.6600000000000003E-2</v>
      </c>
      <c r="Z69" s="62">
        <f t="shared" si="22"/>
        <v>23.331199999999999</v>
      </c>
      <c r="AA69" s="62">
        <f t="shared" si="10"/>
        <v>23.284599999999998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0155-14</v>
      </c>
      <c r="AE69" s="85" t="str">
        <f t="shared" si="12"/>
        <v>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 &amp; aws s3 cp s3://rtdc.mdm.uploadarchive.raw/RTDC4018/ "%USERPROFILE%\AppData\Local\Temp\OnboardLogs"\RTDC4018\2017-03-15 --exclude "*" --recursive --include "*20170315*" &amp; "%USERPROFILE%\Documents\GitHub\mrs-test-scripts\Headless Mode &amp; Sideloading\WalkAndUnGZ.bat" "%USERPROFILE%\AppData\Local\Temp\OnboardLogs"\RTDC4018\2017-03-15</v>
      </c>
      <c r="AF69" s="82" t="str">
        <f t="shared" si="13"/>
        <v>"C:\Program Files (x86)\AstroGrep\AstroGrep.exe" /e /r /s /spath="%USERPROFILE%\AppData\Local\Temp\OnboardLogs" /stypes="app*4018*20170314*"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155-14 --locoid 4018 --swversion DE.1.0.9.0 --startMP 204:466 --initTime 2017-03-14T10:27:13 --startdatetime 2017-03-14T10:29:35 --delay 2 --endMP 204:233312 --enddatetime 2017-03-14T11:05:44 --enforcementcount 0 &gt;&gt;C:\Users\stu\Documents\GitHub\eaglep3-reporting\EC\2017-03-14-refined-times.txt</v>
      </c>
      <c r="AI69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{"issue":{"subject":"","project_id":79,"tracker_id":40,"status_id":1,"priority_id":2,"assigned_to_id":23,"start_date":"2017-03-14","description":"","custom_fields":[{"id":1,"name":"Subdivision","value":"EC"},{"id":4,"name":"Milepost","value":"23.3312"},{"id":17,"name":"Train ID","value":"155-14"},{"id":16,"name":"Locomotive ID","value":"4018"},{"id":130,"name":"Impact","value":""},{"id":150,"name":"Time of Event (Mountain Time)","value":"11:05:44"},{"id":151,"name":"Denver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4018 --day 2017-03-14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"%USERPROFILE%\AppData\Local\Temp\OnboardLogs"\RTDC4018\*4018*20170314* | grep -SE "(Enforcement Action)|(\[TIMEOUT)|(CHR.+\|PRM\|1\|D.+(SWITCH|SIGNAL).+UNKNOWN)" - &gt;&gt; 2017-03-14-UncaughtWiMAX.txt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687</v>
      </c>
      <c r="B70" s="7">
        <v>4017</v>
      </c>
      <c r="C70" s="21" t="s">
        <v>233</v>
      </c>
      <c r="D70" s="21" t="s">
        <v>494</v>
      </c>
      <c r="E70" s="13">
        <v>42808.463437500002</v>
      </c>
      <c r="F70" s="13">
        <v>42808.46435185185</v>
      </c>
      <c r="G70" s="7">
        <v>1</v>
      </c>
      <c r="H70" s="21" t="s">
        <v>201</v>
      </c>
      <c r="I70" s="13">
        <v>42808.504513888889</v>
      </c>
      <c r="J70" s="7">
        <v>0</v>
      </c>
      <c r="K70" s="98" t="str">
        <f t="shared" si="0"/>
        <v>4017/4018</v>
      </c>
      <c r="L70" s="21" t="str">
        <f>VLOOKUP(A70,'Trips&amp;Operators'!$C$1:$G$99999,5,FALSE)</f>
        <v>YORK EDGAR</v>
      </c>
      <c r="M70" s="6">
        <f t="shared" si="1"/>
        <v>4.016203703940846E-2</v>
      </c>
      <c r="N70" s="7">
        <f t="shared" si="23"/>
        <v>57.833333336748183</v>
      </c>
      <c r="O70" s="7"/>
      <c r="P70" s="7"/>
      <c r="Q70" s="22"/>
      <c r="R70" s="22"/>
      <c r="S70" s="31">
        <f t="shared" si="24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-14T10:07:21-0600',mode:absolute,to:'2017-03-14T13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0" s="187" t="str">
        <f t="shared" si="6"/>
        <v>N</v>
      </c>
      <c r="X70" s="187">
        <f t="shared" si="25"/>
        <v>1</v>
      </c>
      <c r="Y70" s="62">
        <f t="shared" si="8"/>
        <v>23.2987</v>
      </c>
      <c r="Z70" s="62">
        <f t="shared" si="22"/>
        <v>1.52E-2</v>
      </c>
      <c r="AA70" s="62">
        <f t="shared" si="10"/>
        <v>23.2835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0156-14</v>
      </c>
      <c r="AE70" s="85" t="str">
        <f t="shared" si="12"/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AF70" s="82" t="str">
        <f t="shared" si="13"/>
        <v>"C:\Program Files (x86)\AstroGrep\AstroGrep.exe" /e /r /s /spath="%USERPROFILE%\AppData\Local\Temp\OnboardLogs" /stypes="app*4017*20170314*"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156-14 --locoid 4017 --swversion DE.1.0.9.0 --startMP 204:232987 --initTime 2017-03-14T11:07:21 --startdatetime 2017-03-14T11:08:40 --delay 1 --endMP 204:152 --enddatetime 2017-03-14T12:06:30 --enforcementcount 0 &gt;&gt;C:\Users\stu\Documents\GitHub\eaglep3-reporting\EC\2017-03-14-refined-times.txt</v>
      </c>
      <c r="AI70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{"issue":{"subject":"","project_id":79,"tracker_id":40,"status_id":1,"priority_id":2,"assigned_to_id":23,"start_date":"2017-03-14","description":"","custom_fields":[{"id":1,"name":"Subdivision","value":"EC"},{"id":4,"name":"Milepost","value":"0.0152"},{"id":17,"name":"Train ID","value":"156-14"},{"id":16,"name":"Locomotive ID","value":"4017"},{"id":130,"name":"Impact","value":""},{"id":150,"name":"Time of Event (Mountain Time)","value":"12:06:30"},{"id":151,"name":"Denver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4017 --day 2017-03-14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"%USERPROFILE%\AppData\Local\Temp\OnboardLogs"\RTDC4017\*4017*20170314* | grep -SE "(Enforcement Action)|(\[TIMEOUT)|(CHR.+\|PRM\|1\|D.+(SWITCH|SIGNAL).+UNKNOWN)" - &gt;&gt; 2017-03-14-UncaughtWiMAX.txt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682</v>
      </c>
      <c r="B71" s="7">
        <v>4027</v>
      </c>
      <c r="C71" s="21" t="s">
        <v>233</v>
      </c>
      <c r="D71" s="21" t="s">
        <v>210</v>
      </c>
      <c r="E71" s="13">
        <v>42808.445370370369</v>
      </c>
      <c r="F71" s="13">
        <v>42808.446319444447</v>
      </c>
      <c r="G71" s="7">
        <v>1</v>
      </c>
      <c r="H71" s="21" t="s">
        <v>839</v>
      </c>
      <c r="I71" s="13">
        <v>42808.472662037035</v>
      </c>
      <c r="J71" s="7">
        <v>0</v>
      </c>
      <c r="K71" s="98" t="str">
        <f t="shared" si="0"/>
        <v>4027/4028</v>
      </c>
      <c r="L71" s="21" t="str">
        <f>VLOOKUP(A71,'Trips&amp;Operators'!$C$1:$G$99999,5,FALSE)</f>
        <v>ROCHA YAOTL</v>
      </c>
      <c r="M71" s="6">
        <f t="shared" si="1"/>
        <v>2.6342592587752733E-2</v>
      </c>
      <c r="N71" s="7">
        <f t="shared" si="23"/>
        <v>37.933333326363936</v>
      </c>
      <c r="O71" s="7"/>
      <c r="P71" s="7"/>
      <c r="Q71" s="22"/>
      <c r="R71" s="22"/>
      <c r="S71" s="31">
        <f t="shared" si="24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-14T09:41:20-0600',mode:absolute,to:'2017-03-14T12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1" s="187" t="str">
        <f t="shared" si="6"/>
        <v>N</v>
      </c>
      <c r="X71" s="187">
        <f t="shared" ref="X71:X102" si="26">VALUE(LEFT(AD71,4))-VALUE(LEFT(AD70,4))</f>
        <v>1</v>
      </c>
      <c r="Y71" s="62">
        <f t="shared" si="8"/>
        <v>4.5699999999999998E-2</v>
      </c>
      <c r="Z71" s="62">
        <f t="shared" si="22"/>
        <v>23.330500000000001</v>
      </c>
      <c r="AA71" s="62">
        <f t="shared" si="10"/>
        <v>23.284800000000001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0157-14</v>
      </c>
      <c r="AE71" s="85" t="str">
        <f t="shared" si="12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71" s="82" t="str">
        <f t="shared" si="13"/>
        <v>"C:\Program Files (x86)\AstroGrep\AstroGrep.exe" /e /r /s /spath="%USERPROFILE%\AppData\Local\Temp\OnboardLogs" /stypes="app*4027*20170314*"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157-14 --locoid 4027 --swversion DE.1.0.9.0 --startMP 204:457 --initTime 2017-03-14T10:41:20 --startdatetime 2017-03-14T10:42:42 --delay 1 --endMP 204:233305 --enddatetime 2017-03-14T11:20:38 --enforcementcount 0 &gt;&gt;C:\Users\stu\Documents\GitHub\eaglep3-reporting\EC\2017-03-14-refined-times.txt</v>
      </c>
      <c r="AI71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{"issue":{"subject":"","project_id":79,"tracker_id":40,"status_id":1,"priority_id":2,"assigned_to_id":23,"start_date":"2017-03-14","description":"","custom_fields":[{"id":1,"name":"Subdivision","value":"EC"},{"id":4,"name":"Milepost","value":"23.3305"},{"id":17,"name":"Train ID","value":"157-14"},{"id":16,"name":"Locomotive ID","value":"4027"},{"id":130,"name":"Impact","value":""},{"id":150,"name":"Time of Event (Mountain Time)","value":"11:20:38"},{"id":151,"name":"Denver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4027 --day 2017-03-14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"%USERPROFILE%\AppData\Local\Temp\OnboardLogs"\RTDC4027\*4027*20170314* | grep -SE "(Enforcement Action)|(\[TIMEOUT)|(CHR.+\|PRM\|1\|D.+(SWITCH|SIGNAL).+UNKNOWN)" - &gt;&gt; 2017-03-14-UncaughtWiMAX.txt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574</v>
      </c>
      <c r="B72" s="7">
        <v>4028</v>
      </c>
      <c r="C72" s="21" t="s">
        <v>233</v>
      </c>
      <c r="D72" s="21" t="s">
        <v>396</v>
      </c>
      <c r="E72" s="13">
        <v>42808.48537037037</v>
      </c>
      <c r="F72" s="13">
        <v>42808.486331018517</v>
      </c>
      <c r="G72" s="7">
        <v>1</v>
      </c>
      <c r="H72" s="21" t="s">
        <v>826</v>
      </c>
      <c r="I72" s="13">
        <v>42808.513854166667</v>
      </c>
      <c r="J72" s="7">
        <v>0</v>
      </c>
      <c r="K72" s="98" t="str">
        <f t="shared" si="0"/>
        <v>4027/4028</v>
      </c>
      <c r="L72" s="21" t="str">
        <f>VLOOKUP(A72,'Trips&amp;Operators'!$C$1:$G$99999,5,FALSE)</f>
        <v>ROCHA YAOTL</v>
      </c>
      <c r="M72" s="6">
        <f t="shared" si="1"/>
        <v>2.7523148150066845E-2</v>
      </c>
      <c r="N72" s="7">
        <f t="shared" si="23"/>
        <v>39.633333336096257</v>
      </c>
      <c r="O72" s="7"/>
      <c r="P72" s="7"/>
      <c r="Q72" s="22"/>
      <c r="R72" s="22"/>
      <c r="S72" s="31">
        <f t="shared" si="24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-14T10:38:56-0600',mode:absolute,to:'2017-03-14T13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2" s="187" t="str">
        <f t="shared" si="6"/>
        <v>N</v>
      </c>
      <c r="X72" s="187">
        <f t="shared" si="26"/>
        <v>1</v>
      </c>
      <c r="Y72" s="62">
        <f t="shared" si="8"/>
        <v>23.297999999999998</v>
      </c>
      <c r="Z72" s="62">
        <f t="shared" si="22"/>
        <v>1.4500000000000001E-2</v>
      </c>
      <c r="AA72" s="62">
        <f t="shared" si="10"/>
        <v>23.283499999999997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0158-14</v>
      </c>
      <c r="AE72" s="85" t="str">
        <f t="shared" si="12"/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AF72" s="82" t="str">
        <f t="shared" si="13"/>
        <v>"C:\Program Files (x86)\AstroGrep\AstroGrep.exe" /e /r /s /spath="%USERPROFILE%\AppData\Local\Temp\OnboardLogs" /stypes="app*4028*20170314*"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158-14 --locoid 4028 --swversion DE.1.0.9.0 --startMP 204:232980 --initTime 2017-03-14T11:38:56 --startdatetime 2017-03-14T11:40:19 --delay 1 --endMP 204:145 --enddatetime 2017-03-14T12:19:57 --enforcementcount 0 &gt;&gt;C:\Users\stu\Documents\GitHub\eaglep3-reporting\EC\2017-03-14-refined-times.txt</v>
      </c>
      <c r="AI72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{"issue":{"subject":"","project_id":79,"tracker_id":40,"status_id":1,"priority_id":2,"assigned_to_id":23,"start_date":"2017-03-14","description":"","custom_fields":[{"id":1,"name":"Subdivision","value":"EC"},{"id":4,"name":"Milepost","value":"0.0145"},{"id":17,"name":"Train ID","value":"158-14"},{"id":16,"name":"Locomotive ID","value":"4028"},{"id":130,"name":"Impact","value":""},{"id":150,"name":"Time of Event (Mountain Time)","value":"12:19:57"},{"id":151,"name":"Denver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4028 --day 2017-03-14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"%USERPROFILE%\AppData\Local\Temp\OnboardLogs"\RTDC4028\*4028*20170314* | grep -SE "(Enforcement Action)|(\[TIMEOUT)|(CHR.+\|PRM\|1\|D.+(SWITCH|SIGNAL).+UNKNOWN)" - &gt;&gt; 2017-03-14-UncaughtWiMAX.txt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685</v>
      </c>
      <c r="B73" s="7">
        <v>4022</v>
      </c>
      <c r="C73" s="21" t="s">
        <v>233</v>
      </c>
      <c r="D73" s="21" t="s">
        <v>438</v>
      </c>
      <c r="E73" s="13">
        <v>42808.454780092594</v>
      </c>
      <c r="F73" s="13">
        <v>42808.456064814818</v>
      </c>
      <c r="G73" s="7">
        <v>1</v>
      </c>
      <c r="H73" s="21" t="s">
        <v>488</v>
      </c>
      <c r="I73" s="13">
        <v>42808.486435185187</v>
      </c>
      <c r="J73" s="7">
        <v>0</v>
      </c>
      <c r="K73" s="98" t="str">
        <f t="shared" si="0"/>
        <v>4021/4022</v>
      </c>
      <c r="L73" s="21" t="str">
        <f>VLOOKUP(A73,'Trips&amp;Operators'!$C$1:$G$99999,5,FALSE)</f>
        <v>DAVIS MICHAEL</v>
      </c>
      <c r="M73" s="6">
        <f t="shared" si="1"/>
        <v>3.0370370368473232E-2</v>
      </c>
      <c r="N73" s="7">
        <f t="shared" si="23"/>
        <v>43.733333330601454</v>
      </c>
      <c r="O73" s="7"/>
      <c r="P73" s="7"/>
      <c r="Q73" s="22"/>
      <c r="R73" s="22"/>
      <c r="S73" s="31">
        <f t="shared" si="24"/>
        <v>1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-14T09:54:53-0600',mode:absolute,to:'2017-03-14T12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3" s="187" t="str">
        <f t="shared" si="6"/>
        <v>N</v>
      </c>
      <c r="X73" s="187">
        <f t="shared" si="26"/>
        <v>1</v>
      </c>
      <c r="Y73" s="62">
        <f t="shared" si="8"/>
        <v>4.6399999999999997E-2</v>
      </c>
      <c r="Z73" s="62">
        <f t="shared" si="22"/>
        <v>23.333400000000001</v>
      </c>
      <c r="AA73" s="62">
        <f t="shared" si="10"/>
        <v>23.287000000000003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0159-14</v>
      </c>
      <c r="AE73" s="85" t="str">
        <f t="shared" si="12"/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AF73" s="82" t="str">
        <f t="shared" si="13"/>
        <v>"C:\Program Files (x86)\AstroGrep\AstroGrep.exe" /e /r /s /spath="%USERPROFILE%\AppData\Local\Temp\OnboardLogs" /stypes="app*4022*20170314*"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159-14 --locoid 4022 --swversion DE.1.0.9.0 --startMP 204:464 --initTime 2017-03-14T10:54:53 --startdatetime 2017-03-14T10:56:44 --delay 1 --endMP 204:233334 --enddatetime 2017-03-14T11:40:28 --enforcementcount 0 &gt;&gt;C:\Users\stu\Documents\GitHub\eaglep3-reporting\EC\2017-03-14-refined-times.txt</v>
      </c>
      <c r="AI73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{"issue":{"subject":"","project_id":79,"tracker_id":40,"status_id":1,"priority_id":2,"assigned_to_id":23,"start_date":"2017-03-14","description":"","custom_fields":[{"id":1,"name":"Subdivision","value":"EC"},{"id":4,"name":"Milepost","value":"23.3334"},{"id":17,"name":"Train ID","value":"159-14"},{"id":16,"name":"Locomotive ID","value":"4022"},{"id":130,"name":"Impact","value":""},{"id":150,"name":"Time of Event (Mountain Time)","value":"11:40:28"},{"id":151,"name":"Denver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4022 --day 2017-03-14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"%USERPROFILE%\AppData\Local\Temp\OnboardLogs"\RTDC4022\*4022*20170314* | grep -SE "(Enforcement Action)|(\[TIMEOUT)|(CHR.+\|PRM\|1\|D.+(SWITCH|SIGNAL).+UNKNOWN)" - &gt;&gt; 2017-03-14-UncaughtWiMAX.txt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695</v>
      </c>
      <c r="B74" s="7">
        <v>4021</v>
      </c>
      <c r="C74" s="21" t="s">
        <v>233</v>
      </c>
      <c r="D74" s="21" t="s">
        <v>440</v>
      </c>
      <c r="E74" s="13">
        <v>42808.496180555558</v>
      </c>
      <c r="F74" s="13">
        <v>42808.497256944444</v>
      </c>
      <c r="G74" s="7">
        <v>1</v>
      </c>
      <c r="H74" s="21" t="s">
        <v>226</v>
      </c>
      <c r="I74" s="13">
        <v>42808.52652777778</v>
      </c>
      <c r="J74" s="7">
        <v>0</v>
      </c>
      <c r="K74" s="98" t="str">
        <f t="shared" si="0"/>
        <v>4021/4022</v>
      </c>
      <c r="L74" s="21" t="str">
        <f>VLOOKUP(A74,'Trips&amp;Operators'!$C$1:$G$99999,5,FALSE)</f>
        <v>DAVIS MICHAEL</v>
      </c>
      <c r="M74" s="6">
        <f t="shared" si="1"/>
        <v>2.9270833336340729E-2</v>
      </c>
      <c r="N74" s="7">
        <f t="shared" si="23"/>
        <v>42.15000000433065</v>
      </c>
      <c r="O74" s="7"/>
      <c r="P74" s="7"/>
      <c r="Q74" s="22"/>
      <c r="R74" s="22"/>
      <c r="S74" s="31">
        <f t="shared" si="24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-14T10:54:30-0600',mode:absolute,to:'2017-03-14T13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4" s="187" t="str">
        <f t="shared" si="6"/>
        <v>N</v>
      </c>
      <c r="X74" s="187">
        <f t="shared" si="26"/>
        <v>1</v>
      </c>
      <c r="Y74" s="62">
        <f t="shared" si="8"/>
        <v>23.3002</v>
      </c>
      <c r="Z74" s="62">
        <f t="shared" si="22"/>
        <v>1.47E-2</v>
      </c>
      <c r="AA74" s="62">
        <f t="shared" si="10"/>
        <v>23.285499999999999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0160-14</v>
      </c>
      <c r="AE74" s="85" t="str">
        <f t="shared" si="12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74" s="82" t="str">
        <f t="shared" si="13"/>
        <v>"C:\Program Files (x86)\AstroGrep\AstroGrep.exe" /e /r /s /spath="%USERPROFILE%\AppData\Local\Temp\OnboardLogs" /stypes="app*4021*20170314*"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160-14 --locoid 4021 --swversion DE.1.0.9.0 --startMP 204:233002 --initTime 2017-03-14T11:54:30 --startdatetime 2017-03-14T11:56:03 --delay 1 --endMP 204:147 --enddatetime 2017-03-14T12:38:12 --enforcementcount 0 &gt;&gt;C:\Users\stu\Documents\GitHub\eaglep3-reporting\EC\2017-03-14-refined-times.txt</v>
      </c>
      <c r="AI74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{"issue":{"subject":"","project_id":79,"tracker_id":40,"status_id":1,"priority_id":2,"assigned_to_id":23,"start_date":"2017-03-14","description":"","custom_fields":[{"id":1,"name":"Subdivision","value":"EC"},{"id":4,"name":"Milepost","value":"0.0147"},{"id":17,"name":"Train ID","value":"160-14"},{"id":16,"name":"Locomotive ID","value":"4021"},{"id":130,"name":"Impact","value":""},{"id":150,"name":"Time of Event (Mountain Time)","value":"12:38:12"},{"id":151,"name":"Denver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4021 --day 2017-03-14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"%USERPROFILE%\AppData\Local\Temp\OnboardLogs"\RTDC4021\*4021*20170314* | grep -SE "(Enforcement Action)|(\[TIMEOUT)|(CHR.+\|PRM\|1\|D.+(SWITCH|SIGNAL).+UNKNOWN)" - &gt;&gt; 2017-03-14-UncaughtWiMAX.txt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688</v>
      </c>
      <c r="B75" s="7">
        <v>4009</v>
      </c>
      <c r="C75" s="21" t="s">
        <v>233</v>
      </c>
      <c r="D75" s="21" t="s">
        <v>453</v>
      </c>
      <c r="E75" s="13">
        <v>42808.465300925927</v>
      </c>
      <c r="F75" s="13">
        <v>42808.466307870367</v>
      </c>
      <c r="G75" s="7">
        <v>1</v>
      </c>
      <c r="H75" s="21" t="s">
        <v>840</v>
      </c>
      <c r="I75" s="13">
        <v>42808.495162037034</v>
      </c>
      <c r="J75" s="7">
        <v>0</v>
      </c>
      <c r="K75" s="98" t="str">
        <f t="shared" si="0"/>
        <v>4009/4010</v>
      </c>
      <c r="L75" s="21" t="str">
        <f>VLOOKUP(A75,'Trips&amp;Operators'!$C$1:$G$99999,5,FALSE)</f>
        <v>STRICKLAND EVAN</v>
      </c>
      <c r="M75" s="6">
        <f t="shared" si="1"/>
        <v>2.8854166666860692E-2</v>
      </c>
      <c r="N75" s="7">
        <f t="shared" si="23"/>
        <v>41.550000000279397</v>
      </c>
      <c r="O75" s="7"/>
      <c r="P75" s="7"/>
      <c r="Q75" s="22"/>
      <c r="R75" s="22"/>
      <c r="S75" s="31">
        <f t="shared" si="24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-14T10:10:02-0600',mode:absolute,to:'2017-03-14T12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5" s="187" t="str">
        <f t="shared" si="6"/>
        <v>N</v>
      </c>
      <c r="X75" s="187">
        <f t="shared" si="26"/>
        <v>1</v>
      </c>
      <c r="Y75" s="62">
        <f t="shared" si="8"/>
        <v>4.8000000000000001E-2</v>
      </c>
      <c r="Z75" s="62">
        <f t="shared" si="22"/>
        <v>23.325900000000001</v>
      </c>
      <c r="AA75" s="62">
        <f t="shared" si="10"/>
        <v>23.277900000000002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0161-14</v>
      </c>
      <c r="AE75" s="85" t="str">
        <f t="shared" si="12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75" s="82" t="str">
        <f t="shared" si="13"/>
        <v>"C:\Program Files (x86)\AstroGrep\AstroGrep.exe" /e /r /s /spath="%USERPROFILE%\AppData\Local\Temp\OnboardLogs" /stypes="app*4009*20170314*" /stext=" 17:.+((SYSTEM_STATE.+slice.+state.+changed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161-14 --locoid 4009 --swversion DE.1.0.9.0 --startMP 204:480 --initTime 2017-03-14T11:10:02 --startdatetime 2017-03-14T11:11:29 --delay 1 --endMP 204:233259 --enddatetime 2017-03-14T11:53:02 --enforcementcount 0 &gt;&gt;C:\Users\stu\Documents\GitHub\eaglep3-reporting\EC\2017-03-14-refined-times.txt</v>
      </c>
      <c r="AI75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{"issue":{"subject":"","project_id":79,"tracker_id":40,"status_id":1,"priority_id":2,"assigned_to_id":23,"start_date":"2017-03-14","description":"","custom_fields":[{"id":1,"name":"Subdivision","value":"EC"},{"id":4,"name":"Milepost","value":"23.3259"},{"id":17,"name":"Train ID","value":"161-14"},{"id":16,"name":"Locomotive ID","value":"4009"},{"id":130,"name":"Impact","value":""},{"id":150,"name":"Time of Event (Mountain Time)","value":"11:53:02"},{"id":151,"name":"Denver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4009 --day 2017-03-14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"%USERPROFILE%\AppData\Local\Temp\OnboardLogs"\RTDC4009\*4009*20170314* | grep -SE "(Enforcement Action)|(\[TIMEOUT)|(CHR.+\|PRM\|1\|D.+(SWITCH|SIGNAL).+UNKNOWN)" - &gt;&gt; 2017-03-14-UncaughtWiMAX.txt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577</v>
      </c>
      <c r="B76" s="7">
        <v>4010</v>
      </c>
      <c r="C76" s="21" t="s">
        <v>233</v>
      </c>
      <c r="D76" s="21" t="s">
        <v>484</v>
      </c>
      <c r="E76" s="13">
        <v>42808.496689814812</v>
      </c>
      <c r="F76" s="13">
        <v>42808.498437499999</v>
      </c>
      <c r="G76" s="7">
        <v>2</v>
      </c>
      <c r="H76" s="21" t="s">
        <v>486</v>
      </c>
      <c r="I76" s="13">
        <v>42808.536203703705</v>
      </c>
      <c r="J76" s="7">
        <v>0</v>
      </c>
      <c r="K76" s="98" t="str">
        <f t="shared" si="0"/>
        <v>4009/4010</v>
      </c>
      <c r="L76" s="21" t="str">
        <f>VLOOKUP(A76,'Trips&amp;Operators'!$C$1:$G$99999,5,FALSE)</f>
        <v>STRICKLAND EVAN</v>
      </c>
      <c r="M76" s="6">
        <f t="shared" si="1"/>
        <v>3.7766203706269152E-2</v>
      </c>
      <c r="N76" s="7">
        <f t="shared" si="23"/>
        <v>54.38333333702758</v>
      </c>
      <c r="O76" s="7"/>
      <c r="P76" s="7"/>
      <c r="Q76" s="22"/>
      <c r="R76" s="22"/>
      <c r="S76" s="31">
        <f t="shared" si="24"/>
        <v>1</v>
      </c>
      <c r="T76" s="46" t="str">
        <f t="shared" si="4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-14T10:55:14-0600',mode:absolute,to:'2017-03-14T13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6" s="187" t="str">
        <f t="shared" si="6"/>
        <v>N</v>
      </c>
      <c r="X76" s="187">
        <f t="shared" si="26"/>
        <v>1</v>
      </c>
      <c r="Y76" s="62">
        <f t="shared" si="8"/>
        <v>23.299800000000001</v>
      </c>
      <c r="Z76" s="62">
        <f t="shared" si="22"/>
        <v>1.6899999999999998E-2</v>
      </c>
      <c r="AA76" s="62">
        <f t="shared" si="10"/>
        <v>23.282900000000001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0162-14</v>
      </c>
      <c r="AE76" s="85" t="str">
        <f t="shared" si="12"/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AF76" s="82" t="str">
        <f t="shared" si="13"/>
        <v>"C:\Program Files (x86)\AstroGrep\AstroGrep.exe" /e /r /s /spath="%USERPROFILE%\AppData\Local\Temp\OnboardLogs" /stypes="app*4010*20170314*" /stext=" 18:.+((SYSTEM_STATE.+slice.+state.+changed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162-14 --locoid 4010 --swversion DE.1.0.9.0 --startMP 204:232998 --initTime 2017-03-14T11:55:14 --startdatetime 2017-03-14T11:57:45 --delay 2 --endMP 204:169 --enddatetime 2017-03-14T12:52:08 --enforcementcount 0 &gt;&gt;C:\Users\stu\Documents\GitHub\eaglep3-reporting\EC\2017-03-14-refined-times.txt</v>
      </c>
      <c r="AI76" s="108" t="str">
        <f t="shared" si="19"/>
        <v>echo {"issue":{"subject":"","project_id":79,"tracker_id":40,"status_id":1,"priority_id":2,"assigned_to_id":23,"start_date":"2017-03-14","description":"","custom_fields":[{"id":1,"name":"Subdivision","value":"EC"},{"id":4,"name":"Milepost","value":"0.0169"},{"id":17,"name":"Train ID","value":"162-14"},{"id":16,"name":"Locomotive ID","value":"4010"},{"id":130,"name":"Impact","value":""},{"id":150,"name":"Time of Event (Mountain Time)","value":"12:52:08"},{"id":151,"name":"Denver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4010 --day 2017-03-14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"%USERPROFILE%\AppData\Local\Temp\OnboardLogs"\RTDC4010\*4010*20170314* | grep -SE "(Enforcement Action)|(\[TIMEOUT)|(CHR.+\|PRM\|1\|D.+(SWITCH|SIGNAL).+UNKNOWN)" - &gt;&gt; 2017-03-14-UncaughtWiMAX.txt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692</v>
      </c>
      <c r="B77" s="7">
        <v>4031</v>
      </c>
      <c r="C77" s="21" t="s">
        <v>233</v>
      </c>
      <c r="D77" s="21" t="s">
        <v>246</v>
      </c>
      <c r="E77" s="13">
        <v>42808.475925925923</v>
      </c>
      <c r="F77" s="13">
        <v>42808.47693287037</v>
      </c>
      <c r="G77" s="7">
        <v>1</v>
      </c>
      <c r="H77" s="21" t="s">
        <v>224</v>
      </c>
      <c r="I77" s="13">
        <v>42808.505486111113</v>
      </c>
      <c r="J77" s="7">
        <v>0</v>
      </c>
      <c r="K77" s="98" t="str">
        <f t="shared" ref="K77:K140" si="27">IF(ISEVEN(B77),(B77-1)&amp;"/"&amp;B77,B77&amp;"/"&amp;(B77+1))</f>
        <v>4031/4032</v>
      </c>
      <c r="L77" s="21" t="str">
        <f>VLOOKUP(A77,'Trips&amp;Operators'!$C$1:$G$99999,5,FALSE)</f>
        <v>LEVERE CRAIG</v>
      </c>
      <c r="M77" s="6">
        <f t="shared" ref="M77:M140" si="28">I77-F77</f>
        <v>2.8553240743349306E-2</v>
      </c>
      <c r="N77" s="7">
        <f t="shared" si="23"/>
        <v>41.116666670423001</v>
      </c>
      <c r="O77" s="7"/>
      <c r="P77" s="7"/>
      <c r="Q77" s="22"/>
      <c r="R77" s="22"/>
      <c r="S77" s="31">
        <f t="shared" si="24"/>
        <v>1</v>
      </c>
      <c r="T77" s="46" t="str">
        <f t="shared" ref="T77:T140" si="29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-14T10:25:20-0600',mode:absolute,to:'2017-03-14T13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7" s="187" t="str">
        <f t="shared" ref="W77:W140" si="31">IF(AA77&lt;IF(AG77="EC",23,5.65),"Y","N")</f>
        <v>N</v>
      </c>
      <c r="X77" s="187">
        <f t="shared" si="26"/>
        <v>1</v>
      </c>
      <c r="Y77" s="62">
        <f t="shared" ref="Y77:Y140" si="32">RIGHT(D77,LEN(D77)-4)/10000</f>
        <v>4.4200000000000003E-2</v>
      </c>
      <c r="Z77" s="62">
        <f t="shared" ref="Z77:Z108" si="33">RIGHT(H77,LEN(H77)-4)/10000</f>
        <v>23.331</v>
      </c>
      <c r="AA77" s="62">
        <f t="shared" ref="AA77:AA140" si="34">ABS(Z77-Y77)</f>
        <v>23.286799999999999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5">IF(LEN(A77)=6,"0"&amp;A77,A77)</f>
        <v>0163-14</v>
      </c>
      <c r="AE77" s="8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AF77" s="82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/stypes="app*4031*20170314*" /stext=" 18:.+((SYSTEM_STATE.+slice.+state.+changed )|(ment ac)|(multiple cpu faults)|(system.+state.+changed )|(\[timeout)|(PRM\|1\|D)|(kpr)|(kdp)|(\|lc)|(penalty))"</v>
      </c>
      <c r="AG77" s="1" t="str">
        <f t="shared" ref="AG77:AG140" si="38">IFERROR(IF(VALUE(LEFT(AD77,2))&lt;=2,"EC",IF(OR(VALUE(LEFT(AD77,2))=8,VALUE(LEFT(AD77,2))=18),"NW","Other")),"Other")</f>
        <v>EC</v>
      </c>
      <c r="AH77" s="86" t="str">
        <f t="shared" ref="AH77:AH140" si="3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163-14 --locoid 4031 --swversion DE.1.0.9.0 --startMP 204:442 --initTime 2017-03-14T11:25:20 --startdatetime 2017-03-14T11:26:47 --delay 1 --endMP 204:233310 --enddatetime 2017-03-14T12:07:54 --enforcementcount 0 &gt;&gt;C:\Users\stu\Documents\GitHub\eaglep3-reporting\EC\2017-03-14-refined-times.txt</v>
      </c>
      <c r="AI77" s="108" t="str">
        <f t="shared" ref="AI77:AI140" si="4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{"issue":{"subject":"","project_id":79,"tracker_id":40,"status_id":1,"priority_id":2,"assigned_to_id":23,"start_date":"2017-03-14","description":"","custom_fields":[{"id":1,"name":"Subdivision","value":"EC"},{"id":4,"name":"Milepost","value":"23.331"},{"id":17,"name":"Train ID","value":"163-14"},{"id":16,"name":"Locomotive ID","value":"4031"},{"id":130,"name":"Impact","value":""},{"id":150,"name":"Time of Event (Mountain Time)","value":"12:07:54"},{"id":151,"name":"Denver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ref="AM77:AM140" si="41">"start /low /b "&amp;dls3logs&amp;" --loco "&amp;B77&amp;" --day "&amp;TEXT(F77,"YYYY-MM-DD")</f>
        <v>start /low /b %USERPROFILE%\Documents\GitHub\eaglep3\Utilities\DownloadLogsFromS3.py --loco 4031 --day 2017-03-14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"%USERPROFILE%\AppData\Local\Temp\OnboardLogs"\RTDC4031\*4031*20170314* | grep -SE "(Enforcement Action)|(\[TIMEOUT)|(CHR.+\|PRM\|1\|D.+(SWITCH|SIGNAL).+UNKNOWN)" - &gt;&gt; 2017-03-14-UncaughtWiMAX.txt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576</v>
      </c>
      <c r="B78" s="7">
        <v>4032</v>
      </c>
      <c r="C78" s="21" t="s">
        <v>233</v>
      </c>
      <c r="D78" s="21" t="s">
        <v>440</v>
      </c>
      <c r="E78" s="13">
        <v>42808.512731481482</v>
      </c>
      <c r="F78" s="13">
        <v>42808.513738425929</v>
      </c>
      <c r="G78" s="7">
        <v>1</v>
      </c>
      <c r="H78" s="21" t="s">
        <v>841</v>
      </c>
      <c r="I78" s="13">
        <v>42808.5466087963</v>
      </c>
      <c r="J78" s="7">
        <v>0</v>
      </c>
      <c r="K78" s="98" t="str">
        <f t="shared" si="27"/>
        <v>4031/4032</v>
      </c>
      <c r="L78" s="21" t="str">
        <f>VLOOKUP(A78,'Trips&amp;Operators'!$C$1:$G$99999,5,FALSE)</f>
        <v>LEVERE CRAIG</v>
      </c>
      <c r="M78" s="6">
        <f t="shared" si="28"/>
        <v>3.2870370370801538E-2</v>
      </c>
      <c r="N78" s="7">
        <f t="shared" si="23"/>
        <v>47.333333333954215</v>
      </c>
      <c r="O78" s="7"/>
      <c r="P78" s="7"/>
      <c r="Q78" s="22"/>
      <c r="R78" s="22"/>
      <c r="S78" s="31">
        <f t="shared" si="24"/>
        <v>1</v>
      </c>
      <c r="T78" s="46" t="str">
        <f t="shared" si="29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0"/>
        <v>https://d0f6bd738d7f1b3e5a7ca70fe4ff75f0.us-east-1.aws.found.io/app/kibana#/discover/Steve-Slow-Train-Analysis-(2080s-and-2083s)?_g=(refreshInterval:(display:Off,pause:!f,section:0,value:0),time:(from:'2017-03-14T11:18:20-0600',mode:absolute,to:'2017-03-14T14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8" s="187" t="str">
        <f t="shared" si="31"/>
        <v>N</v>
      </c>
      <c r="X78" s="187">
        <f t="shared" si="26"/>
        <v>1</v>
      </c>
      <c r="Y78" s="62">
        <f t="shared" si="32"/>
        <v>23.3002</v>
      </c>
      <c r="Z78" s="62">
        <f t="shared" si="33"/>
        <v>1.6299999999999999E-2</v>
      </c>
      <c r="AA78" s="62">
        <f t="shared" si="34"/>
        <v>23.283899999999999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5"/>
        <v>0164-14</v>
      </c>
      <c r="AE78" s="85" t="str">
        <f t="shared" si="36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78" s="82" t="str">
        <f t="shared" si="37"/>
        <v>"C:\Program Files (x86)\AstroGrep\AstroGrep.exe" /e /r /s /spath="%USERPROFILE%\AppData\Local\Temp\OnboardLogs" /stypes="app*4032*20170314*" /stext=" 19:.+((SYSTEM_STATE.+slice.+state.+changed )|(ment ac)|(multiple cpu faults)|(system.+state.+changed )|(\[timeout)|(PRM\|1\|D)|(kpr)|(kdp)|(\|lc)|(penalty))"</v>
      </c>
      <c r="AG78" s="1" t="str">
        <f t="shared" si="38"/>
        <v>EC</v>
      </c>
      <c r="AH78" s="86" t="str">
        <f t="shared" si="39"/>
        <v>"%USERPROFILE%\Documents\GitHub\eaglep3\Utilities\RefineRTDCRunTimes.py" --tripid 164-14 --locoid 4032 --swversion DE.1.0.9.0 --startMP 204:233002 --initTime 2017-03-14T12:18:20 --startdatetime 2017-03-14T12:19:47 --delay 1 --endMP 204:163 --enddatetime 2017-03-14T13:07:07 --enforcementcount 0 &gt;&gt;C:\Users\stu\Documents\GitHub\eaglep3-reporting\EC\2017-03-14-refined-times.txt</v>
      </c>
      <c r="AI78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{"issue":{"subject":"","project_id":79,"tracker_id":40,"status_id":1,"priority_id":2,"assigned_to_id":23,"start_date":"2017-03-14","description":"","custom_fields":[{"id":1,"name":"Subdivision","value":"EC"},{"id":4,"name":"Milepost","value":"0.0163"},{"id":17,"name":"Train ID","value":"164-14"},{"id":16,"name":"Locomotive ID","value":"4032"},{"id":130,"name":"Impact","value":""},{"id":150,"name":"Time of Event (Mountain Time)","value":"13:07:07"},{"id":151,"name":"Denver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41"/>
        <v>start /low /b %USERPROFILE%\Documents\GitHub\eaglep3\Utilities\DownloadLogsFromS3.py --loco 4032 --day 2017-03-14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"%USERPROFILE%\AppData\Local\Temp\OnboardLogs"\RTDC4032\*4032*20170314* | grep -SE "(Enforcement Action)|(\[TIMEOUT)|(CHR.+\|PRM\|1\|D.+(SWITCH|SIGNAL).+UNKNOWN)" - &gt;&gt; 2017-03-14-UncaughtWiMAX.txt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693</v>
      </c>
      <c r="B79" s="7">
        <v>4053</v>
      </c>
      <c r="C79" s="21" t="s">
        <v>233</v>
      </c>
      <c r="D79" s="21" t="s">
        <v>214</v>
      </c>
      <c r="E79" s="13">
        <v>42808.484664351854</v>
      </c>
      <c r="F79" s="13">
        <v>42808.485671296294</v>
      </c>
      <c r="G79" s="7">
        <v>1</v>
      </c>
      <c r="H79" s="21" t="s">
        <v>238</v>
      </c>
      <c r="I79" s="13">
        <v>42808.516527777778</v>
      </c>
      <c r="J79" s="7">
        <v>0</v>
      </c>
      <c r="K79" s="98" t="str">
        <f t="shared" si="27"/>
        <v>4053/4054</v>
      </c>
      <c r="L79" s="21" t="str">
        <f>VLOOKUP(A79,'Trips&amp;Operators'!$C$1:$G$99999,5,FALSE)</f>
        <v>CLARK KATHLEEN</v>
      </c>
      <c r="M79" s="6">
        <f t="shared" si="28"/>
        <v>3.0856481484079268E-2</v>
      </c>
      <c r="N79" s="7">
        <f t="shared" si="23"/>
        <v>44.433333337074146</v>
      </c>
      <c r="O79" s="7"/>
      <c r="P79" s="7"/>
      <c r="Q79" s="22"/>
      <c r="R79" s="22"/>
      <c r="S79" s="31">
        <f t="shared" si="24"/>
        <v>1</v>
      </c>
      <c r="T79" s="46" t="str">
        <f t="shared" si="29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0"/>
        <v>https://d0f6bd738d7f1b3e5a7ca70fe4ff75f0.us-east-1.aws.found.io/app/kibana#/discover/Steve-Slow-Train-Analysis-(2080s-and-2083s)?_g=(refreshInterval:(display:Off,pause:!f,section:0,value:0),time:(from:'2017-03-14T10:37:55-0600',mode:absolute,to:'2017-03-14T13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9" s="187" t="str">
        <f t="shared" si="31"/>
        <v>N</v>
      </c>
      <c r="X79" s="187">
        <f t="shared" si="26"/>
        <v>1</v>
      </c>
      <c r="Y79" s="62">
        <f t="shared" si="32"/>
        <v>4.53E-2</v>
      </c>
      <c r="Z79" s="62">
        <f t="shared" si="33"/>
        <v>23.329899999999999</v>
      </c>
      <c r="AA79" s="62">
        <f t="shared" si="34"/>
        <v>23.284599999999998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5"/>
        <v>0165-14</v>
      </c>
      <c r="AE79" s="85" t="str">
        <f t="shared" si="36"/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AF79" s="82" t="str">
        <f t="shared" si="37"/>
        <v>"C:\Program Files (x86)\AstroGrep\AstroGrep.exe" /e /r /s /spath="%USERPROFILE%\AppData\Local\Temp\OnboardLogs" /stypes="app*4053*20170314*" /stext=" 18:.+((SYSTEM_STATE.+slice.+state.+changed )|(ment ac)|(multiple cpu faults)|(system.+state.+changed )|(\[timeout)|(PRM\|1\|D)|(kpr)|(kdp)|(\|lc)|(penalty))"</v>
      </c>
      <c r="AG79" s="1" t="str">
        <f t="shared" si="38"/>
        <v>EC</v>
      </c>
      <c r="AH79" s="86" t="str">
        <f t="shared" si="39"/>
        <v>"%USERPROFILE%\Documents\GitHub\eaglep3\Utilities\RefineRTDCRunTimes.py" --tripid 165-14 --locoid 4053 --swversion DE.1.0.9.0 --startMP 204:453 --initTime 2017-03-14T11:37:55 --startdatetime 2017-03-14T11:39:22 --delay 1 --endMP 204:233299 --enddatetime 2017-03-14T12:23:48 --enforcementcount 0 &gt;&gt;C:\Users\stu\Documents\GitHub\eaglep3-reporting\EC\2017-03-14-refined-times.txt</v>
      </c>
      <c r="AI79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{"issue":{"subject":"","project_id":79,"tracker_id":40,"status_id":1,"priority_id":2,"assigned_to_id":23,"start_date":"2017-03-14","description":"","custom_fields":[{"id":1,"name":"Subdivision","value":"EC"},{"id":4,"name":"Milepost","value":"23.3299"},{"id":17,"name":"Train ID","value":"165-14"},{"id":16,"name":"Locomotive ID","value":"4053"},{"id":130,"name":"Impact","value":""},{"id":150,"name":"Time of Event (Mountain Time)","value":"12:23:48"},{"id":151,"name":"Denver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1"/>
        <v>start /low /b %USERPROFILE%\Documents\GitHub\eaglep3\Utilities\DownloadLogsFromS3.py --loco 4053 --day 2017-03-14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"%USERPROFILE%\AppData\Local\Temp\OnboardLogs"\RTDC4053\*4053*20170314* | grep -SE "(Enforcement Action)|(\[TIMEOUT)|(CHR.+\|PRM\|1\|D.+(SWITCH|SIGNAL).+UNKNOWN)" - &gt;&gt; 2017-03-14-UncaughtWiMAX.txt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702</v>
      </c>
      <c r="B80" s="7">
        <v>4054</v>
      </c>
      <c r="C80" s="21" t="s">
        <v>233</v>
      </c>
      <c r="D80" s="21" t="s">
        <v>487</v>
      </c>
      <c r="E80" s="13">
        <v>42808.524027777778</v>
      </c>
      <c r="F80" s="13">
        <v>42808.524942129632</v>
      </c>
      <c r="G80" s="7">
        <v>1</v>
      </c>
      <c r="H80" s="21" t="s">
        <v>394</v>
      </c>
      <c r="I80" s="13">
        <v>42808.556689814817</v>
      </c>
      <c r="J80" s="7">
        <v>0</v>
      </c>
      <c r="K80" s="98" t="str">
        <f t="shared" si="27"/>
        <v>4053/4054</v>
      </c>
      <c r="L80" s="21" t="str">
        <f>VLOOKUP(A80,'Trips&amp;Operators'!$C$1:$G$99999,5,FALSE)</f>
        <v>CLARK KATHLEEN</v>
      </c>
      <c r="M80" s="6">
        <f t="shared" si="28"/>
        <v>3.1747685185109731E-2</v>
      </c>
      <c r="N80" s="7">
        <f t="shared" si="23"/>
        <v>45.716666666558012</v>
      </c>
      <c r="O80" s="7"/>
      <c r="P80" s="7"/>
      <c r="Q80" s="22"/>
      <c r="R80" s="22"/>
      <c r="S80" s="31">
        <f t="shared" si="24"/>
        <v>1</v>
      </c>
      <c r="T80" s="46" t="str">
        <f t="shared" si="29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0"/>
        <v>https://d0f6bd738d7f1b3e5a7ca70fe4ff75f0.us-east-1.aws.found.io/app/kibana#/discover/Steve-Slow-Train-Analysis-(2080s-and-2083s)?_g=(refreshInterval:(display:Off,pause:!f,section:0,value:0),time:(from:'2017-03-14T11:34:36-0600',mode:absolute,to:'2017-03-14T14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187" t="str">
        <f t="shared" si="31"/>
        <v>N</v>
      </c>
      <c r="X80" s="187">
        <f t="shared" si="26"/>
        <v>1</v>
      </c>
      <c r="Y80" s="62">
        <f t="shared" si="32"/>
        <v>23.297699999999999</v>
      </c>
      <c r="Z80" s="62">
        <f t="shared" si="33"/>
        <v>1.6E-2</v>
      </c>
      <c r="AA80" s="62">
        <f t="shared" si="34"/>
        <v>23.281700000000001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5"/>
        <v>0166-14</v>
      </c>
      <c r="AE80" s="85" t="str">
        <f t="shared" si="36"/>
        <v>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 &amp; 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</v>
      </c>
      <c r="AF80" s="82" t="str">
        <f t="shared" si="37"/>
        <v>"C:\Program Files (x86)\AstroGrep\AstroGrep.exe" /e /r /s /spath="%USERPROFILE%\AppData\Local\Temp\OnboardLogs" /stypes="app*4054*20170314*" /stext=" 19:.+((SYSTEM_STATE.+slice.+state.+changed )|(ment ac)|(multiple cpu faults)|(system.+state.+changed )|(\[timeout)|(PRM\|1\|D)|(kpr)|(kdp)|(\|lc)|(penalty))"</v>
      </c>
      <c r="AG80" s="1" t="str">
        <f t="shared" si="38"/>
        <v>EC</v>
      </c>
      <c r="AH80" s="86" t="str">
        <f t="shared" si="39"/>
        <v>"%USERPROFILE%\Documents\GitHub\eaglep3\Utilities\RefineRTDCRunTimes.py" --tripid 166-14 --locoid 4054 --swversion DE.1.0.9.0 --startMP 204:232977 --initTime 2017-03-14T12:34:36 --startdatetime 2017-03-14T12:35:55 --delay 1 --endMP 204:160 --enddatetime 2017-03-14T13:21:38 --enforcementcount 0 &gt;&gt;C:\Users\stu\Documents\GitHub\eaglep3-reporting\EC\2017-03-14-refined-times.txt</v>
      </c>
      <c r="AI80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{"issue":{"subject":"","project_id":79,"tracker_id":40,"status_id":1,"priority_id":2,"assigned_to_id":23,"start_date":"2017-03-14","description":"","custom_fields":[{"id":1,"name":"Subdivision","value":"EC"},{"id":4,"name":"Milepost","value":"0.016"},{"id":17,"name":"Train ID","value":"166-14"},{"id":16,"name":"Locomotive ID","value":"4054"},{"id":130,"name":"Impact","value":""},{"id":150,"name":"Time of Event (Mountain Time)","value":"13:21:38"},{"id":151,"name":"Denver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1"/>
        <v>start /low /b %USERPROFILE%\Documents\GitHub\eaglep3\Utilities\DownloadLogsFromS3.py --loco 4054 --day 2017-03-14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"%USERPROFILE%\AppData\Local\Temp\OnboardLogs"\RTDC4054\*4054*20170314* | grep -SE "(Enforcement Action)|(\[TIMEOUT)|(CHR.+\|PRM\|1\|D.+(SWITCH|SIGNAL).+UNKNOWN)" - &gt;&gt; 2017-03-14-UncaughtWiMAX.txt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696</v>
      </c>
      <c r="B81" s="7">
        <v>4051</v>
      </c>
      <c r="C81" s="21" t="s">
        <v>233</v>
      </c>
      <c r="D81" s="21" t="s">
        <v>214</v>
      </c>
      <c r="E81" s="13">
        <v>42808.496307870373</v>
      </c>
      <c r="F81" s="13">
        <v>42808.49790509259</v>
      </c>
      <c r="G81" s="7">
        <v>2</v>
      </c>
      <c r="H81" s="21" t="s">
        <v>248</v>
      </c>
      <c r="I81" s="13">
        <v>42808.52584490741</v>
      </c>
      <c r="J81" s="7">
        <v>0</v>
      </c>
      <c r="K81" s="98" t="str">
        <f t="shared" si="27"/>
        <v>4051/4052</v>
      </c>
      <c r="L81" s="21" t="str">
        <f>VLOOKUP(A81,'Trips&amp;Operators'!$C$1:$G$99999,5,FALSE)</f>
        <v>MOSES BRADLEY</v>
      </c>
      <c r="M81" s="6">
        <f t="shared" si="28"/>
        <v>2.7939814819546882E-2</v>
      </c>
      <c r="N81" s="7">
        <f t="shared" si="23"/>
        <v>40.23333334014751</v>
      </c>
      <c r="O81" s="7"/>
      <c r="P81" s="7"/>
      <c r="Q81" s="22"/>
      <c r="R81" s="22"/>
      <c r="S81" s="31">
        <f t="shared" si="24"/>
        <v>1</v>
      </c>
      <c r="T81" s="46" t="str">
        <f t="shared" si="29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0"/>
        <v>https://d0f6bd738d7f1b3e5a7ca70fe4ff75f0.us-east-1.aws.found.io/app/kibana#/discover/Steve-Slow-Train-Analysis-(2080s-and-2083s)?_g=(refreshInterval:(display:Off,pause:!f,section:0,value:0),time:(from:'2017-03-14T10:54:41-0600',mode:absolute,to:'2017-03-14T13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1" s="187" t="str">
        <f t="shared" si="31"/>
        <v>N</v>
      </c>
      <c r="X81" s="187">
        <f t="shared" si="26"/>
        <v>1</v>
      </c>
      <c r="Y81" s="62">
        <f t="shared" si="32"/>
        <v>4.53E-2</v>
      </c>
      <c r="Z81" s="62">
        <f t="shared" si="33"/>
        <v>23.329499999999999</v>
      </c>
      <c r="AA81" s="62">
        <f t="shared" si="34"/>
        <v>23.284199999999998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5"/>
        <v>0167-14</v>
      </c>
      <c r="AE81" s="85" t="str">
        <f t="shared" si="36"/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81" s="82" t="str">
        <f t="shared" si="37"/>
        <v>"C:\Program Files (x86)\AstroGrep\AstroGrep.exe" /e /r /s /spath="%USERPROFILE%\AppData\Local\Temp\OnboardLogs" /stypes="app*4051*20170314*" /stext=" 18:.+((SYSTEM_STATE.+slice.+state.+changed )|(ment ac)|(multiple cpu faults)|(system.+state.+changed )|(\[timeout)|(PRM\|1\|D)|(kpr)|(kdp)|(\|lc)|(penalty))"</v>
      </c>
      <c r="AG81" s="1" t="str">
        <f t="shared" si="38"/>
        <v>EC</v>
      </c>
      <c r="AH81" s="86" t="str">
        <f t="shared" si="39"/>
        <v>"%USERPROFILE%\Documents\GitHub\eaglep3\Utilities\RefineRTDCRunTimes.py" --tripid 167-14 --locoid 4051 --swversion DE.1.0.9.0 --startMP 204:453 --initTime 2017-03-14T11:54:41 --startdatetime 2017-03-14T11:56:59 --delay 2 --endMP 204:233295 --enddatetime 2017-03-14T12:37:13 --enforcementcount 0 &gt;&gt;C:\Users\stu\Documents\GitHub\eaglep3-reporting\EC\2017-03-14-refined-times.txt</v>
      </c>
      <c r="AI81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{"issue":{"subject":"","project_id":79,"tracker_id":40,"status_id":1,"priority_id":2,"assigned_to_id":23,"start_date":"2017-03-14","description":"","custom_fields":[{"id":1,"name":"Subdivision","value":"EC"},{"id":4,"name":"Milepost","value":"23.3295"},{"id":17,"name":"Train ID","value":"167-14"},{"id":16,"name":"Locomotive ID","value":"4051"},{"id":130,"name":"Impact","value":""},{"id":150,"name":"Time of Event (Mountain Time)","value":"12:37:13"},{"id":151,"name":"Denver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1"/>
        <v>start /low /b %USERPROFILE%\Documents\GitHub\eaglep3\Utilities\DownloadLogsFromS3.py --loco 4051 --day 2017-03-14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"%USERPROFILE%\AppData\Local\Temp\OnboardLogs"\RTDC4051\*4051*20170314* | grep -SE "(Enforcement Action)|(\[TIMEOUT)|(CHR.+\|PRM\|1\|D.+(SWITCH|SIGNAL).+UNKNOWN)" - &gt;&gt; 2017-03-14-UncaughtWiMAX.txt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x14ac:dyDescent="0.25">
      <c r="A82" s="33" t="s">
        <v>705</v>
      </c>
      <c r="B82" s="7">
        <v>4052</v>
      </c>
      <c r="C82" s="21" t="s">
        <v>233</v>
      </c>
      <c r="D82" s="21" t="s">
        <v>406</v>
      </c>
      <c r="E82" s="13">
        <v>42808.534861111111</v>
      </c>
      <c r="F82" s="13">
        <v>42808.536469907405</v>
      </c>
      <c r="G82" s="7">
        <v>2</v>
      </c>
      <c r="H82" s="21" t="s">
        <v>842</v>
      </c>
      <c r="I82" s="13">
        <v>42808.567071759258</v>
      </c>
      <c r="J82" s="7">
        <v>0</v>
      </c>
      <c r="K82" s="98" t="str">
        <f t="shared" si="27"/>
        <v>4051/4052</v>
      </c>
      <c r="L82" s="21" t="str">
        <f>VLOOKUP(A82,'Trips&amp;Operators'!$C$1:$G$99999,5,FALSE)</f>
        <v>MOSES BRADLEY</v>
      </c>
      <c r="M82" s="6">
        <f t="shared" si="28"/>
        <v>3.0601851853134576E-2</v>
      </c>
      <c r="N82" s="7">
        <f t="shared" si="23"/>
        <v>44.06666666851379</v>
      </c>
      <c r="O82" s="7"/>
      <c r="P82" s="7"/>
      <c r="Q82" s="22"/>
      <c r="R82" s="22"/>
      <c r="S82" s="31">
        <f t="shared" si="24"/>
        <v>1</v>
      </c>
      <c r="T82" s="46" t="str">
        <f t="shared" si="29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0"/>
        <v>https://d0f6bd738d7f1b3e5a7ca70fe4ff75f0.us-east-1.aws.found.io/app/kibana#/discover/Steve-Slow-Train-Analysis-(2080s-and-2083s)?_g=(refreshInterval:(display:Off,pause:!f,section:0,value:0),time:(from:'2017-03-14T11:50:12-0600',mode:absolute,to:'2017-03-14T14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2" s="187" t="str">
        <f t="shared" si="31"/>
        <v>N</v>
      </c>
      <c r="X82" s="187">
        <f t="shared" si="26"/>
        <v>1</v>
      </c>
      <c r="Y82" s="62">
        <f t="shared" si="32"/>
        <v>23.298100000000002</v>
      </c>
      <c r="Z82" s="62">
        <f t="shared" si="33"/>
        <v>1.78E-2</v>
      </c>
      <c r="AA82" s="62">
        <f t="shared" si="34"/>
        <v>23.2803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5"/>
        <v>0168-14</v>
      </c>
      <c r="AE82" s="85" t="str">
        <f t="shared" si="36"/>
        <v>aws s3 cp s3://rtdc.mdm.uploadarchive.raw/RTDC4052/ "%USERPROFILE%\AppData\Local\Temp\OnboardLogs"\RTDC4052\2017-03-14 --exclude "*" --recursive --include "*20170314*" &amp; "%USERPROFILE%\Documents\GitHub\mrs-test-scripts\Headless Mode &amp; Sideloading\WalkAndUnGZ.bat" "%USERPROFILE%\AppData\Local\Temp\OnboardLogs"\RTDC4052\2017-03-14 &amp; 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</v>
      </c>
      <c r="AF82" s="82" t="str">
        <f t="shared" si="37"/>
        <v>"C:\Program Files (x86)\AstroGrep\AstroGrep.exe" /e /r /s /spath="%USERPROFILE%\AppData\Local\Temp\OnboardLogs" /stypes="app*4052*20170314*" /stext=" 19:.+((SYSTEM_STATE.+slice.+state.+changed )|(ment ac)|(multiple cpu faults)|(system.+state.+changed )|(\[timeout)|(PRM\|1\|D)|(kpr)|(kdp)|(\|lc)|(penalty))"</v>
      </c>
      <c r="AG82" s="1" t="str">
        <f t="shared" si="38"/>
        <v>EC</v>
      </c>
      <c r="AH82" s="86" t="str">
        <f t="shared" si="39"/>
        <v>"%USERPROFILE%\Documents\GitHub\eaglep3\Utilities\RefineRTDCRunTimes.py" --tripid 168-14 --locoid 4052 --swversion DE.1.0.9.0 --startMP 204:232981 --initTime 2017-03-14T12:50:12 --startdatetime 2017-03-14T12:52:31 --delay 2 --endMP 204:178 --enddatetime 2017-03-14T13:36:35 --enforcementcount 0 &gt;&gt;C:\Users\stu\Documents\GitHub\eaglep3-reporting\EC\2017-03-14-refined-times.txt</v>
      </c>
      <c r="AI82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{"issue":{"subject":"","project_id":79,"tracker_id":40,"status_id":1,"priority_id":2,"assigned_to_id":23,"start_date":"2017-03-14","description":"","custom_fields":[{"id":1,"name":"Subdivision","value":"EC"},{"id":4,"name":"Milepost","value":"0.0178"},{"id":17,"name":"Train ID","value":"168-14"},{"id":16,"name":"Locomotive ID","value":"4052"},{"id":130,"name":"Impact","value":""},{"id":150,"name":"Time of Event (Mountain Time)","value":"13:36:35"},{"id":151,"name":"Denver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1"/>
        <v>start /low /b %USERPROFILE%\Documents\GitHub\eaglep3\Utilities\DownloadLogsFromS3.py --loco 4052 --day 2017-03-14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"%USERPROFILE%\AppData\Local\Temp\OnboardLogs"\RTDC4052\*4052*20170314* | grep -SE "(Enforcement Action)|(\[TIMEOUT)|(CHR.+\|PRM\|1\|D.+(SWITCH|SIGNAL).+UNKNOWN)" - &gt;&gt; 2017-03-14-UncaughtWiMAX.txt</v>
      </c>
    </row>
    <row r="83" spans="1:91" s="20" customFormat="1" x14ac:dyDescent="0.25">
      <c r="A83" s="33" t="s">
        <v>697</v>
      </c>
      <c r="B83" s="7">
        <v>4018</v>
      </c>
      <c r="C83" s="21" t="s">
        <v>233</v>
      </c>
      <c r="D83" s="21" t="s">
        <v>438</v>
      </c>
      <c r="E83" s="13">
        <v>42808.507893518516</v>
      </c>
      <c r="F83" s="13">
        <v>42808.509212962963</v>
      </c>
      <c r="G83" s="7">
        <v>1</v>
      </c>
      <c r="H83" s="21" t="s">
        <v>843</v>
      </c>
      <c r="I83" s="13">
        <v>42808.53466435185</v>
      </c>
      <c r="J83" s="7">
        <v>0</v>
      </c>
      <c r="K83" s="98" t="str">
        <f t="shared" si="27"/>
        <v>4017/4018</v>
      </c>
      <c r="L83" s="21" t="str">
        <f>VLOOKUP(A83,'Trips&amp;Operators'!$C$1:$G$99999,5,FALSE)</f>
        <v>ROMERO CHAD</v>
      </c>
      <c r="M83" s="6">
        <f t="shared" si="28"/>
        <v>2.545138888672227E-2</v>
      </c>
      <c r="N83" s="7">
        <f t="shared" si="23"/>
        <v>36.649999996880069</v>
      </c>
      <c r="O83" s="7"/>
      <c r="P83" s="7"/>
      <c r="Q83" s="22"/>
      <c r="R83" s="22"/>
      <c r="S83" s="31">
        <f t="shared" si="24"/>
        <v>1</v>
      </c>
      <c r="T83" s="46" t="str">
        <f t="shared" si="29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0"/>
        <v>https://d0f6bd738d7f1b3e5a7ca70fe4ff75f0.us-east-1.aws.found.io/app/kibana#/discover/Steve-Slow-Train-Analysis-(2080s-and-2083s)?_g=(refreshInterval:(display:Off,pause:!f,section:0,value:0),time:(from:'2017-03-14T11:11:22-0600',mode:absolute,to:'2017-03-14T13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3" s="187" t="str">
        <f t="shared" si="31"/>
        <v>N</v>
      </c>
      <c r="X83" s="187">
        <f t="shared" si="26"/>
        <v>1</v>
      </c>
      <c r="Y83" s="62">
        <f t="shared" si="32"/>
        <v>4.6399999999999997E-2</v>
      </c>
      <c r="Z83" s="62">
        <f t="shared" si="33"/>
        <v>23.340299999999999</v>
      </c>
      <c r="AA83" s="62">
        <f t="shared" si="34"/>
        <v>23.293900000000001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5"/>
        <v>0169-14</v>
      </c>
      <c r="AE83" s="85" t="str">
        <f t="shared" si="36"/>
        <v>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 &amp; aws s3 cp s3://rtdc.mdm.uploadarchive.raw/RTDC4018/ "%USERPROFILE%\AppData\Local\Temp\OnboardLogs"\RTDC4018\2017-03-15 --exclude "*" --recursive --include "*20170315*" &amp; "%USERPROFILE%\Documents\GitHub\mrs-test-scripts\Headless Mode &amp; Sideloading\WalkAndUnGZ.bat" "%USERPROFILE%\AppData\Local\Temp\OnboardLogs"\RTDC4018\2017-03-15</v>
      </c>
      <c r="AF83" s="82" t="str">
        <f t="shared" si="37"/>
        <v>"C:\Program Files (x86)\AstroGrep\AstroGrep.exe" /e /r /s /spath="%USERPROFILE%\AppData\Local\Temp\OnboardLogs" /stypes="app*4018*20170314*" /stext=" 18:.+((SYSTEM_STATE.+slice.+state.+changed )|(ment ac)|(multiple cpu faults)|(system.+state.+changed )|(\[timeout)|(PRM\|1\|D)|(kpr)|(kdp)|(\|lc)|(penalty))"</v>
      </c>
      <c r="AG83" s="1" t="str">
        <f t="shared" si="38"/>
        <v>EC</v>
      </c>
      <c r="AH83" s="86" t="str">
        <f t="shared" si="39"/>
        <v>"%USERPROFILE%\Documents\GitHub\eaglep3\Utilities\RefineRTDCRunTimes.py" --tripid 169-14 --locoid 4018 --swversion DE.1.0.9.0 --startMP 204:464 --initTime 2017-03-14T12:11:22 --startdatetime 2017-03-14T12:13:16 --delay 1 --endMP 204:233403 --enddatetime 2017-03-14T12:49:55 --enforcementcount 0 &gt;&gt;C:\Users\stu\Documents\GitHub\eaglep3-reporting\EC\2017-03-14-refined-times.txt</v>
      </c>
      <c r="AI83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{"issue":{"subject":"","project_id":79,"tracker_id":40,"status_id":1,"priority_id":2,"assigned_to_id":23,"start_date":"2017-03-14","description":"","custom_fields":[{"id":1,"name":"Subdivision","value":"EC"},{"id":4,"name":"Milepost","value":"23.3403"},{"id":17,"name":"Train ID","value":"169-14"},{"id":16,"name":"Locomotive ID","value":"4018"},{"id":130,"name":"Impact","value":""},{"id":150,"name":"Time of Event (Mountain Time)","value":"12:49:55"},{"id":151,"name":"Denver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1"/>
        <v>start /low /b %USERPROFILE%\Documents\GitHub\eaglep3\Utilities\DownloadLogsFromS3.py --loco 4018 --day 2017-03-14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"%USERPROFILE%\AppData\Local\Temp\OnboardLogs"\RTDC4018\*4018*20170314* | grep -SE "(Enforcement Action)|(\[TIMEOUT)|(CHR.+\|PRM\|1\|D.+(SWITCH|SIGNAL).+UNKNOWN)" - &gt;&gt; 2017-03-14-UncaughtWiMAX.txt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580</v>
      </c>
      <c r="B84" s="7">
        <v>4017</v>
      </c>
      <c r="C84" s="21" t="s">
        <v>233</v>
      </c>
      <c r="D84" s="21" t="s">
        <v>844</v>
      </c>
      <c r="E84" s="13">
        <v>42808.538229166668</v>
      </c>
      <c r="F84" s="13">
        <v>42808.539131944446</v>
      </c>
      <c r="G84" s="7">
        <v>1</v>
      </c>
      <c r="H84" s="21" t="s">
        <v>845</v>
      </c>
      <c r="I84" s="13">
        <v>42808.577465277776</v>
      </c>
      <c r="J84" s="7">
        <v>0</v>
      </c>
      <c r="K84" s="98" t="str">
        <f t="shared" si="27"/>
        <v>4017/4018</v>
      </c>
      <c r="L84" s="21" t="str">
        <f>VLOOKUP(A84,'Trips&amp;Operators'!$C$1:$G$99999,5,FALSE)</f>
        <v>ROMERO CHAD</v>
      </c>
      <c r="M84" s="6">
        <f t="shared" si="28"/>
        <v>3.8333333330228925E-2</v>
      </c>
      <c r="N84" s="7">
        <f t="shared" si="23"/>
        <v>55.199999995529652</v>
      </c>
      <c r="O84" s="7"/>
      <c r="P84" s="7"/>
      <c r="Q84" s="22"/>
      <c r="R84" s="22"/>
      <c r="S84" s="31">
        <f t="shared" si="24"/>
        <v>1</v>
      </c>
      <c r="T84" s="46" t="str">
        <f t="shared" si="29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0"/>
        <v>https://d0f6bd738d7f1b3e5a7ca70fe4ff75f0.us-east-1.aws.found.io/app/kibana#/discover/Steve-Slow-Train-Analysis-(2080s-and-2083s)?_g=(refreshInterval:(display:Off,pause:!f,section:0,value:0),time:(from:'2017-03-14T11:55:03-0600',mode:absolute,to:'2017-03-14T14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4" s="187" t="str">
        <f t="shared" si="31"/>
        <v>N</v>
      </c>
      <c r="X84" s="187">
        <f t="shared" si="26"/>
        <v>1</v>
      </c>
      <c r="Y84" s="62">
        <f t="shared" si="32"/>
        <v>23.306699999999999</v>
      </c>
      <c r="Z84" s="62">
        <f t="shared" si="33"/>
        <v>1.18E-2</v>
      </c>
      <c r="AA84" s="62">
        <f t="shared" si="34"/>
        <v>23.294899999999998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5"/>
        <v>0170-14</v>
      </c>
      <c r="AE84" s="85" t="str">
        <f t="shared" si="36"/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AF84" s="82" t="str">
        <f t="shared" si="37"/>
        <v>"C:\Program Files (x86)\AstroGrep\AstroGrep.exe" /e /r /s /spath="%USERPROFILE%\AppData\Local\Temp\OnboardLogs" /stypes="app*4017*20170314*" /stext=" 19:.+((SYSTEM_STATE.+slice.+state.+changed )|(ment ac)|(multiple cpu faults)|(system.+state.+changed )|(\[timeout)|(PRM\|1\|D)|(kpr)|(kdp)|(\|lc)|(penalty))"</v>
      </c>
      <c r="AG84" s="1" t="str">
        <f t="shared" si="38"/>
        <v>EC</v>
      </c>
      <c r="AH84" s="86" t="str">
        <f t="shared" si="39"/>
        <v>"%USERPROFILE%\Documents\GitHub\eaglep3\Utilities\RefineRTDCRunTimes.py" --tripid 170-14 --locoid 4017 --swversion DE.1.0.9.0 --startMP 204:233067 --initTime 2017-03-14T12:55:03 --startdatetime 2017-03-14T12:56:21 --delay 1 --endMP 204:118 --enddatetime 2017-03-14T13:51:33 --enforcementcount 0 &gt;&gt;C:\Users\stu\Documents\GitHub\eaglep3-reporting\EC\2017-03-14-refined-times.txt</v>
      </c>
      <c r="AI84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{"issue":{"subject":"","project_id":79,"tracker_id":40,"status_id":1,"priority_id":2,"assigned_to_id":23,"start_date":"2017-03-14","description":"","custom_fields":[{"id":1,"name":"Subdivision","value":"EC"},{"id":4,"name":"Milepost","value":"0.0118"},{"id":17,"name":"Train ID","value":"170-14"},{"id":16,"name":"Locomotive ID","value":"4017"},{"id":130,"name":"Impact","value":""},{"id":150,"name":"Time of Event (Mountain Time)","value":"13:51:33"},{"id":151,"name":"Denver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1"/>
        <v>start /low /b %USERPROFILE%\Documents\GitHub\eaglep3\Utilities\DownloadLogsFromS3.py --loco 4017 --day 2017-03-14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"%USERPROFILE%\AppData\Local\Temp\OnboardLogs"\RTDC4017\*4017*20170314* | grep -SE "(Enforcement Action)|(\[TIMEOUT)|(CHR.+\|PRM\|1\|D.+(SWITCH|SIGNAL).+UNKNOWN)" - &gt;&gt; 2017-03-14-UncaughtWiMAX.txt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699</v>
      </c>
      <c r="B85" s="7">
        <v>4027</v>
      </c>
      <c r="C85" s="21" t="s">
        <v>233</v>
      </c>
      <c r="D85" s="21" t="s">
        <v>242</v>
      </c>
      <c r="E85" s="13">
        <v>42808.51871527778</v>
      </c>
      <c r="F85" s="13">
        <v>42808.519583333335</v>
      </c>
      <c r="G85" s="7">
        <v>1</v>
      </c>
      <c r="H85" s="21" t="s">
        <v>846</v>
      </c>
      <c r="I85" s="13">
        <v>42808.545937499999</v>
      </c>
      <c r="J85" s="7">
        <v>0</v>
      </c>
      <c r="K85" s="98" t="str">
        <f t="shared" si="27"/>
        <v>4027/4028</v>
      </c>
      <c r="L85" s="21" t="str">
        <f>VLOOKUP(A85,'Trips&amp;Operators'!$C$1:$G$99999,5,FALSE)</f>
        <v>LALONDE GREGORY</v>
      </c>
      <c r="M85" s="6">
        <f t="shared" si="28"/>
        <v>2.6354166664532386E-2</v>
      </c>
      <c r="N85" s="7">
        <f t="shared" si="23"/>
        <v>37.949999996926636</v>
      </c>
      <c r="O85" s="7"/>
      <c r="P85" s="7"/>
      <c r="Q85" s="22"/>
      <c r="R85" s="22"/>
      <c r="S85" s="31">
        <f t="shared" si="24"/>
        <v>1</v>
      </c>
      <c r="T85" s="46" t="str">
        <f t="shared" si="29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0"/>
        <v>https://d0f6bd738d7f1b3e5a7ca70fe4ff75f0.us-east-1.aws.found.io/app/kibana#/discover/Steve-Slow-Train-Analysis-(2080s-and-2083s)?_g=(refreshInterval:(display:Off,pause:!f,section:0,value:0),time:(from:'2017-03-14T11:26:57-0600',mode:absolute,to:'2017-03-14T14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5" s="187" t="str">
        <f t="shared" si="31"/>
        <v>N</v>
      </c>
      <c r="X85" s="187">
        <f t="shared" si="26"/>
        <v>1</v>
      </c>
      <c r="Y85" s="62">
        <f t="shared" si="32"/>
        <v>4.6699999999999998E-2</v>
      </c>
      <c r="Z85" s="62">
        <f t="shared" si="33"/>
        <v>23.3385</v>
      </c>
      <c r="AA85" s="62">
        <f t="shared" si="34"/>
        <v>23.291799999999999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5"/>
        <v>0171-14</v>
      </c>
      <c r="AE85" s="85" t="str">
        <f t="shared" si="36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85" s="82" t="str">
        <f t="shared" si="37"/>
        <v>"C:\Program Files (x86)\AstroGrep\AstroGrep.exe" /e /r /s /spath="%USERPROFILE%\AppData\Local\Temp\OnboardLogs" /stypes="app*4027*20170314*" /stext=" 19:.+((SYSTEM_STATE.+slice.+state.+changed )|(ment ac)|(multiple cpu faults)|(system.+state.+changed )|(\[timeout)|(PRM\|1\|D)|(kpr)|(kdp)|(\|lc)|(penalty))"</v>
      </c>
      <c r="AG85" s="1" t="str">
        <f t="shared" si="38"/>
        <v>EC</v>
      </c>
      <c r="AH85" s="86" t="str">
        <f t="shared" si="39"/>
        <v>"%USERPROFILE%\Documents\GitHub\eaglep3\Utilities\RefineRTDCRunTimes.py" --tripid 171-14 --locoid 4027 --swversion DE.1.0.9.0 --startMP 204:467 --initTime 2017-03-14T12:26:57 --startdatetime 2017-03-14T12:28:12 --delay 1 --endMP 204:233385 --enddatetime 2017-03-14T13:06:09 --enforcementcount 0 &gt;&gt;C:\Users\stu\Documents\GitHub\eaglep3-reporting\EC\2017-03-14-refined-times.txt</v>
      </c>
      <c r="AI85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{"issue":{"subject":"","project_id":79,"tracker_id":40,"status_id":1,"priority_id":2,"assigned_to_id":23,"start_date":"2017-03-14","description":"","custom_fields":[{"id":1,"name":"Subdivision","value":"EC"},{"id":4,"name":"Milepost","value":"23.3385"},{"id":17,"name":"Train ID","value":"171-14"},{"id":16,"name":"Locomotive ID","value":"4027"},{"id":130,"name":"Impact","value":""},{"id":150,"name":"Time of Event (Mountain Time)","value":"13:06:09"},{"id":151,"name":"Denver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1"/>
        <v>start /low /b %USERPROFILE%\Documents\GitHub\eaglep3\Utilities\DownloadLogsFromS3.py --loco 4027 --day 2017-03-14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"%USERPROFILE%\AppData\Local\Temp\OnboardLogs"\RTDC4027\*4027*20170314* | grep -SE "(Enforcement Action)|(\[TIMEOUT)|(CHR.+\|PRM\|1\|D.+(SWITCH|SIGNAL).+UNKNOWN)" - &gt;&gt; 2017-03-14-UncaughtWiMAX.txt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578</v>
      </c>
      <c r="B86" s="7">
        <v>4028</v>
      </c>
      <c r="C86" s="21" t="s">
        <v>233</v>
      </c>
      <c r="D86" s="21" t="s">
        <v>847</v>
      </c>
      <c r="E86" s="13">
        <v>42808.568206018521</v>
      </c>
      <c r="F86" s="13">
        <v>42808.568761574075</v>
      </c>
      <c r="G86" s="7">
        <v>0</v>
      </c>
      <c r="H86" s="21" t="s">
        <v>192</v>
      </c>
      <c r="I86" s="13">
        <v>42808.588993055557</v>
      </c>
      <c r="J86" s="7">
        <v>0</v>
      </c>
      <c r="K86" s="98" t="str">
        <f t="shared" si="27"/>
        <v>4027/4028</v>
      </c>
      <c r="L86" s="21" t="str">
        <f>VLOOKUP(A86,'Trips&amp;Operators'!$C$1:$G$99999,5,FALSE)</f>
        <v>LALONDE GREGORY</v>
      </c>
      <c r="M86" s="6">
        <f t="shared" si="28"/>
        <v>2.0231481481459923E-2</v>
      </c>
      <c r="N86" s="7"/>
      <c r="O86" s="7"/>
      <c r="P86" s="7">
        <f>24*60*SUM($M86:$M86)</f>
        <v>29.133333333302289</v>
      </c>
      <c r="Q86" s="22"/>
      <c r="R86" s="22" t="s">
        <v>497</v>
      </c>
      <c r="S86" s="31">
        <f t="shared" si="24"/>
        <v>1</v>
      </c>
      <c r="T86" s="46" t="str">
        <f t="shared" si="29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0"/>
        <v>https://d0f6bd738d7f1b3e5a7ca70fe4ff75f0.us-east-1.aws.found.io/app/kibana#/discover/Steve-Slow-Train-Analysis-(2080s-and-2083s)?_g=(refreshInterval:(display:Off,pause:!f,section:0,value:0),time:(from:'2017-03-14T12:38:13-0600',mode:absolute,to:'2017-03-14T15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6" s="187" t="str">
        <f t="shared" si="31"/>
        <v>Y</v>
      </c>
      <c r="X86" s="187">
        <f t="shared" si="26"/>
        <v>1</v>
      </c>
      <c r="Y86" s="62">
        <f t="shared" si="32"/>
        <v>15.399100000000001</v>
      </c>
      <c r="Z86" s="62">
        <f t="shared" si="33"/>
        <v>1.4999999999999999E-2</v>
      </c>
      <c r="AA86" s="62">
        <f t="shared" si="34"/>
        <v>15.3841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5"/>
        <v>0172-14</v>
      </c>
      <c r="AE86" s="85" t="str">
        <f t="shared" si="36"/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AF86" s="82" t="str">
        <f t="shared" si="37"/>
        <v>"C:\Program Files (x86)\AstroGrep\AstroGrep.exe" /e /r /s /spath="%USERPROFILE%\AppData\Local\Temp\OnboardLogs" /stypes="app*4028*20170314*" /stext=" 20:.+((SYSTEM_STATE.+slice.+state.+changed )|(ment ac)|(multiple cpu faults)|(system.+state.+changed )|(\[timeout)|(PRM\|1\|D)|(kpr)|(kdp)|(\|lc)|(penalty))"</v>
      </c>
      <c r="AG86" s="1" t="str">
        <f t="shared" si="38"/>
        <v>EC</v>
      </c>
      <c r="AH86" s="86" t="str">
        <f t="shared" si="39"/>
        <v>"%USERPROFILE%\Documents\GitHub\eaglep3\Utilities\RefineRTDCRunTimes.py" --tripid 172-14 --locoid 4028 --swversion DE.1.0.9.0 --startMP 204:153991 --initTime 2017-03-14T13:38:13 --startdatetime 2017-03-14T13:39:01 --delay 0 --endMP 204:150 --enddatetime 2017-03-14T14:08:09 --enforcementcount 0 &gt;&gt;C:\Users\stu\Documents\GitHub\eaglep3-reporting\EC\2017-03-14-refined-times.txt</v>
      </c>
      <c r="AI86" s="108" t="str">
        <f t="shared" si="40"/>
        <v>echo {"issue":{"subject":"Wi-MAX data drop","project_id":79,"tracker_id":40,"status_id":1,"priority_id":2,"assigned_to_id":23,"start_date":"2017-03-14","description":"http://stevetu21.github.io/eaglep3/load_kml.html?kml=http://rtdc.gmaps-snips.s3.amazonaws.com/0caf0d4b-a8e6-47a5-98d6-33c94845f704.kml","custom_fields":[{"id":1,"name":"Subdivision","value":"EC"},{"id":4,"name":"Milepost","value":"0.015"},{"id":17,"name":"Train ID","value":"172-14"},{"id":16,"name":"Locomotive ID","value":"4028"},{"id":130,"name":"Impact","value":"Enforcement"},{"id":150,"name":"Time of Event (Mountain Time)","value":"14:08:09"},{"id":151,"name":"Denver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86" t="s">
        <v>1026</v>
      </c>
      <c r="AK86" s="48" t="s">
        <v>124</v>
      </c>
      <c r="AL86" s="48" t="s">
        <v>137</v>
      </c>
      <c r="AM86" s="154" t="str">
        <f t="shared" si="41"/>
        <v>start /low /b %USERPROFILE%\Documents\GitHub\eaglep3\Utilities\DownloadLogsFromS3.py --loco 4028 --day 2017-03-14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"%USERPROFILE%\AppData\Local\Temp\OnboardLogs"\RTDC4028\*4028*20170314* | grep -SE "(Enforcement Action)|(\[TIMEOUT)|(CHR.+\|PRM\|1\|D.+(SWITCH|SIGNAL).+UNKNOWN)" - &gt;&gt; 2017-03-14-UncaughtWiMAX.txt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3" t="s">
        <v>578</v>
      </c>
      <c r="B87" s="7">
        <v>4028</v>
      </c>
      <c r="C87" s="21" t="s">
        <v>233</v>
      </c>
      <c r="D87" s="21" t="s">
        <v>848</v>
      </c>
      <c r="E87" s="13">
        <v>42808.550011574072</v>
      </c>
      <c r="F87" s="13">
        <v>42808.550902777781</v>
      </c>
      <c r="G87" s="7">
        <v>1</v>
      </c>
      <c r="H87" s="21" t="s">
        <v>849</v>
      </c>
      <c r="I87" s="13">
        <v>42808.563078703701</v>
      </c>
      <c r="J87" s="7">
        <v>0</v>
      </c>
      <c r="K87" s="98" t="str">
        <f t="shared" si="27"/>
        <v>4027/4028</v>
      </c>
      <c r="L87" s="21" t="str">
        <f>VLOOKUP(A87,'Trips&amp;Operators'!$C$1:$G$99999,5,FALSE)</f>
        <v>LALONDE GREGORY</v>
      </c>
      <c r="M87" s="6">
        <f t="shared" si="28"/>
        <v>1.2175925920018926E-2</v>
      </c>
      <c r="N87" s="7"/>
      <c r="O87" s="7"/>
      <c r="P87" s="7"/>
      <c r="Q87" s="22"/>
      <c r="R87" s="22"/>
      <c r="S87" s="31"/>
      <c r="T87" s="46" t="str">
        <f t="shared" si="29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0</v>
      </c>
      <c r="V87" s="186" t="str">
        <f t="shared" si="30"/>
        <v>https://d0f6bd738d7f1b3e5a7ca70fe4ff75f0.us-east-1.aws.found.io/app/kibana#/discover/Steve-Slow-Train-Analysis-(2080s-and-2083s)?_g=(refreshInterval:(display:Off,pause:!f,section:0,value:0),time:(from:'2017-03-14T12:12:01-0600',mode:absolute,to:'2017-03-14T14:30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87" t="str">
        <f t="shared" si="31"/>
        <v>Y</v>
      </c>
      <c r="X87" s="187">
        <f t="shared" si="26"/>
        <v>0</v>
      </c>
      <c r="Y87" s="62">
        <f t="shared" si="32"/>
        <v>23.308499999999999</v>
      </c>
      <c r="Z87" s="62">
        <f t="shared" si="33"/>
        <v>21.771699999999999</v>
      </c>
      <c r="AA87" s="62">
        <f t="shared" si="34"/>
        <v>1.5367999999999995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5"/>
        <v>0172-14</v>
      </c>
      <c r="AE87" s="85" t="str">
        <f t="shared" si="36"/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AF87" s="82" t="str">
        <f t="shared" si="37"/>
        <v>"C:\Program Files (x86)\AstroGrep\AstroGrep.exe" /e /r /s /spath="%USERPROFILE%\AppData\Local\Temp\OnboardLogs" /stypes="app*4028*20170314*" /stext=" 19:.+((SYSTEM_STATE.+slice.+state.+changed )|(ment ac)|(multiple cpu faults)|(system.+state.+changed )|(\[timeout)|(PRM\|1\|D)|(kpr)|(kdp)|(\|lc)|(penalty))"</v>
      </c>
      <c r="AG87" s="1" t="str">
        <f t="shared" si="38"/>
        <v>EC</v>
      </c>
      <c r="AH87" s="86" t="str">
        <f t="shared" si="39"/>
        <v>"%USERPROFILE%\Documents\GitHub\eaglep3\Utilities\RefineRTDCRunTimes.py" --tripid 172-14 --locoid 4028 --swversion DE.1.0.9.0 --startMP 204:233085 --initTime 2017-03-14T13:12:01 --startdatetime 2017-03-14T13:13:18 --delay 1 --endMP 204:217717 --enddatetime 2017-03-14T13:30:50 --enforcementcount 0 &gt;&gt;C:\Users\stu\Documents\GitHub\eaglep3-reporting\EC\2017-03-14-refined-times.txt</v>
      </c>
      <c r="AI87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{"issue":{"subject":"","project_id":79,"tracker_id":40,"status_id":1,"priority_id":2,"assigned_to_id":23,"start_date":"2017-03-14","description":"","custom_fields":[{"id":1,"name":"Subdivision","value":"EC"},{"id":4,"name":"Milepost","value":"21.7717"},{"id":17,"name":"Train ID","value":"172-14"},{"id":16,"name":"Locomotive ID","value":"4028"},{"id":130,"name":"Impact","value":""},{"id":150,"name":"Time of Event (Mountain Time)","value":"13:30:50"},{"id":151,"name":"Denver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1"/>
        <v>start /low /b %USERPROFILE%\Documents\GitHub\eaglep3\Utilities\DownloadLogsFromS3.py --loco 4028 --day 2017-03-14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"%USERPROFILE%\AppData\Local\Temp\OnboardLogs"\RTDC4028\*4028*20170314* | grep -SE "(Enforcement Action)|(\[TIMEOUT)|(CHR.+\|PRM\|1\|D.+(SWITCH|SIGNAL).+UNKNOWN)" - &gt;&gt; 2017-03-14-UncaughtWiMAX.txt</v>
      </c>
    </row>
    <row r="88" spans="1:91" s="20" customFormat="1" x14ac:dyDescent="0.25">
      <c r="A88" s="33" t="s">
        <v>704</v>
      </c>
      <c r="B88" s="7">
        <v>4022</v>
      </c>
      <c r="C88" s="21" t="s">
        <v>233</v>
      </c>
      <c r="D88" s="21" t="s">
        <v>445</v>
      </c>
      <c r="E88" s="13">
        <v>42808.52888888889</v>
      </c>
      <c r="F88" s="13">
        <v>42808.529907407406</v>
      </c>
      <c r="G88" s="7">
        <v>1</v>
      </c>
      <c r="H88" s="21" t="s">
        <v>517</v>
      </c>
      <c r="I88" s="13">
        <v>42808.558738425927</v>
      </c>
      <c r="J88" s="7">
        <v>0</v>
      </c>
      <c r="K88" s="98" t="str">
        <f t="shared" si="27"/>
        <v>4021/4022</v>
      </c>
      <c r="L88" s="21" t="str">
        <f>VLOOKUP(A88,'Trips&amp;Operators'!$C$1:$G$99999,5,FALSE)</f>
        <v>DAVIS MICHAEL</v>
      </c>
      <c r="M88" s="6">
        <f t="shared" si="28"/>
        <v>2.8831018520577345E-2</v>
      </c>
      <c r="N88" s="7">
        <f t="shared" ref="N88:N130" si="42">24*60*SUM($M88:$M88)</f>
        <v>41.516666669631377</v>
      </c>
      <c r="O88" s="7"/>
      <c r="P88" s="7"/>
      <c r="Q88" s="22"/>
      <c r="R88" s="22"/>
      <c r="S88" s="31">
        <f t="shared" ref="S88:S131" si="43">SUM(U88:U88)/IF(AG88="EC",12,1)</f>
        <v>1</v>
      </c>
      <c r="T88" s="46" t="str">
        <f t="shared" si="29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0"/>
        <v>https://d0f6bd738d7f1b3e5a7ca70fe4ff75f0.us-east-1.aws.found.io/app/kibana#/discover/Steve-Slow-Train-Analysis-(2080s-and-2083s)?_g=(refreshInterval:(display:Off,pause:!f,section:0,value:0),time:(from:'2017-03-14T11:41:36-0600',mode:absolute,to:'2017-03-14T14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8" s="187" t="str">
        <f t="shared" si="31"/>
        <v>N</v>
      </c>
      <c r="X88" s="187">
        <f t="shared" si="26"/>
        <v>1</v>
      </c>
      <c r="Y88" s="62">
        <f t="shared" si="32"/>
        <v>4.3799999999999999E-2</v>
      </c>
      <c r="Z88" s="62">
        <f t="shared" si="33"/>
        <v>23.330100000000002</v>
      </c>
      <c r="AA88" s="62">
        <f t="shared" si="34"/>
        <v>23.286300000000001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5"/>
        <v>0173-14</v>
      </c>
      <c r="AE88" s="85" t="str">
        <f t="shared" si="36"/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AF88" s="82" t="str">
        <f t="shared" si="37"/>
        <v>"C:\Program Files (x86)\AstroGrep\AstroGrep.exe" /e /r /s /spath="%USERPROFILE%\AppData\Local\Temp\OnboardLogs" /stypes="app*4022*20170314*" /stext=" 19:.+((SYSTEM_STATE.+slice.+state.+changed )|(ment ac)|(multiple cpu faults)|(system.+state.+changed )|(\[timeout)|(PRM\|1\|D)|(kpr)|(kdp)|(\|lc)|(penalty))"</v>
      </c>
      <c r="AG88" s="1" t="str">
        <f t="shared" si="38"/>
        <v>EC</v>
      </c>
      <c r="AH88" s="86" t="str">
        <f t="shared" si="39"/>
        <v>"%USERPROFILE%\Documents\GitHub\eaglep3\Utilities\RefineRTDCRunTimes.py" --tripid 173-14 --locoid 4022 --swversion DE.1.0.9.0 --startMP 204:438 --initTime 2017-03-14T12:41:36 --startdatetime 2017-03-14T12:43:04 --delay 1 --endMP 204:233301 --enddatetime 2017-03-14T13:24:35 --enforcementcount 0 &gt;&gt;C:\Users\stu\Documents\GitHub\eaglep3-reporting\EC\2017-03-14-refined-times.txt</v>
      </c>
      <c r="AI88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{"issue":{"subject":"","project_id":79,"tracker_id":40,"status_id":1,"priority_id":2,"assigned_to_id":23,"start_date":"2017-03-14","description":"","custom_fields":[{"id":1,"name":"Subdivision","value":"EC"},{"id":4,"name":"Milepost","value":"23.3301"},{"id":17,"name":"Train ID","value":"173-14"},{"id":16,"name":"Locomotive ID","value":"4022"},{"id":130,"name":"Impact","value":""},{"id":150,"name":"Time of Event (Mountain Time)","value":"13:24:35"},{"id":151,"name":"Denver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1"/>
        <v>start /low /b %USERPROFILE%\Documents\GitHub\eaglep3\Utilities\DownloadLogsFromS3.py --loco 4022 --day 2017-03-14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"%USERPROFILE%\AppData\Local\Temp\OnboardLogs"\RTDC4022\*4022*20170314* | grep -SE "(Enforcement Action)|(\[TIMEOUT)|(CHR.+\|PRM\|1\|D.+(SWITCH|SIGNAL).+UNKNOWN)" - &gt;&gt; 2017-03-14-UncaughtWiMAX.txt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709</v>
      </c>
      <c r="B89" s="7">
        <v>4021</v>
      </c>
      <c r="C89" s="21" t="s">
        <v>233</v>
      </c>
      <c r="D89" s="21" t="s">
        <v>831</v>
      </c>
      <c r="E89" s="13">
        <v>42808.568495370368</v>
      </c>
      <c r="F89" s="13">
        <v>42808.569444444445</v>
      </c>
      <c r="G89" s="7">
        <v>1</v>
      </c>
      <c r="H89" s="21" t="s">
        <v>841</v>
      </c>
      <c r="I89" s="13">
        <v>42808.599247685182</v>
      </c>
      <c r="J89" s="7">
        <v>0</v>
      </c>
      <c r="K89" s="98" t="str">
        <f t="shared" si="27"/>
        <v>4021/4022</v>
      </c>
      <c r="L89" s="21" t="str">
        <f>VLOOKUP(A89,'Trips&amp;Operators'!$C$1:$G$99999,5,FALSE)</f>
        <v>DAVIS MICHAEL</v>
      </c>
      <c r="M89" s="6">
        <f t="shared" si="28"/>
        <v>2.9803240737237502E-2</v>
      </c>
      <c r="N89" s="7">
        <f t="shared" si="42"/>
        <v>42.916666661622003</v>
      </c>
      <c r="O89" s="7"/>
      <c r="P89" s="7"/>
      <c r="Q89" s="22"/>
      <c r="R89" s="22"/>
      <c r="S89" s="31">
        <f t="shared" si="43"/>
        <v>1</v>
      </c>
      <c r="T89" s="46" t="str">
        <f t="shared" si="29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0"/>
        <v>https://d0f6bd738d7f1b3e5a7ca70fe4ff75f0.us-east-1.aws.found.io/app/kibana#/discover/Steve-Slow-Train-Analysis-(2080s-and-2083s)?_g=(refreshInterval:(display:Off,pause:!f,section:0,value:0),time:(from:'2017-03-14T12:38:38-0600',mode:absolute,to:'2017-03-14T15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9" s="187" t="str">
        <f t="shared" si="31"/>
        <v>N</v>
      </c>
      <c r="X89" s="187">
        <f t="shared" si="26"/>
        <v>1</v>
      </c>
      <c r="Y89" s="62">
        <f t="shared" si="32"/>
        <v>23.2988</v>
      </c>
      <c r="Z89" s="62">
        <f t="shared" si="33"/>
        <v>1.6299999999999999E-2</v>
      </c>
      <c r="AA89" s="62">
        <f t="shared" si="34"/>
        <v>23.282499999999999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5"/>
        <v>0174-14</v>
      </c>
      <c r="AE89" s="85" t="str">
        <f t="shared" si="36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89" s="82" t="str">
        <f t="shared" si="37"/>
        <v>"C:\Program Files (x86)\AstroGrep\AstroGrep.exe" /e /r /s /spath="%USERPROFILE%\AppData\Local\Temp\OnboardLogs" /stypes="app*4021*20170314*" /stext=" 20:.+((SYSTEM_STATE.+slice.+state.+changed )|(ment ac)|(multiple cpu faults)|(system.+state.+changed )|(\[timeout)|(PRM\|1\|D)|(kpr)|(kdp)|(\|lc)|(penalty))"</v>
      </c>
      <c r="AG89" s="1" t="str">
        <f t="shared" si="38"/>
        <v>EC</v>
      </c>
      <c r="AH89" s="86" t="str">
        <f t="shared" si="39"/>
        <v>"%USERPROFILE%\Documents\GitHub\eaglep3\Utilities\RefineRTDCRunTimes.py" --tripid 174-14 --locoid 4021 --swversion DE.1.0.9.0 --startMP 204:232988 --initTime 2017-03-14T13:38:38 --startdatetime 2017-03-14T13:40:00 --delay 1 --endMP 204:163 --enddatetime 2017-03-14T14:22:55 --enforcementcount 0 &gt;&gt;C:\Users\stu\Documents\GitHub\eaglep3-reporting\EC\2017-03-14-refined-times.txt</v>
      </c>
      <c r="AI89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{"issue":{"subject":"","project_id":79,"tracker_id":40,"status_id":1,"priority_id":2,"assigned_to_id":23,"start_date":"2017-03-14","description":"","custom_fields":[{"id":1,"name":"Subdivision","value":"EC"},{"id":4,"name":"Milepost","value":"0.0163"},{"id":17,"name":"Train ID","value":"174-14"},{"id":16,"name":"Locomotive ID","value":"4021"},{"id":130,"name":"Impact","value":""},{"id":150,"name":"Time of Event (Mountain Time)","value":"14:22:55"},{"id":151,"name":"Denver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1"/>
        <v>start /low /b %USERPROFILE%\Documents\GitHub\eaglep3\Utilities\DownloadLogsFromS3.py --loco 4021 --day 2017-03-14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"%USERPROFILE%\AppData\Local\Temp\OnboardLogs"\RTDC4021\*4021*20170314* | grep -SE "(Enforcement Action)|(\[TIMEOUT)|(CHR.+\|PRM\|1\|D.+(SWITCH|SIGNAL).+UNKNOWN)" - &gt;&gt; 2017-03-14-UncaughtWiMAX.txt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579</v>
      </c>
      <c r="B90" s="7">
        <v>4009</v>
      </c>
      <c r="C90" s="21" t="s">
        <v>233</v>
      </c>
      <c r="D90" s="21" t="s">
        <v>243</v>
      </c>
      <c r="E90" s="13">
        <v>42808.537939814814</v>
      </c>
      <c r="F90" s="13">
        <v>42808.539340277777</v>
      </c>
      <c r="G90" s="7">
        <v>2</v>
      </c>
      <c r="H90" s="21" t="s">
        <v>439</v>
      </c>
      <c r="I90" s="13">
        <v>42808.568935185183</v>
      </c>
      <c r="J90" s="7">
        <v>0</v>
      </c>
      <c r="K90" s="98" t="str">
        <f t="shared" si="27"/>
        <v>4009/4010</v>
      </c>
      <c r="L90" s="21" t="str">
        <f>VLOOKUP(A90,'Trips&amp;Operators'!$C$1:$G$99999,5,FALSE)</f>
        <v>STRICKLAND EVAN</v>
      </c>
      <c r="M90" s="6">
        <f t="shared" si="28"/>
        <v>2.9594907406135462E-2</v>
      </c>
      <c r="N90" s="7">
        <f t="shared" si="42"/>
        <v>42.616666664835066</v>
      </c>
      <c r="O90" s="7"/>
      <c r="P90" s="7"/>
      <c r="Q90" s="22"/>
      <c r="R90" s="22"/>
      <c r="S90" s="31">
        <f t="shared" si="43"/>
        <v>1</v>
      </c>
      <c r="T90" s="46" t="str">
        <f t="shared" si="29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0"/>
        <v>https://d0f6bd738d7f1b3e5a7ca70fe4ff75f0.us-east-1.aws.found.io/app/kibana#/discover/Steve-Slow-Train-Analysis-(2080s-and-2083s)?_g=(refreshInterval:(display:Off,pause:!f,section:0,value:0),time:(from:'2017-03-14T11:54:38-0600',mode:absolute,to:'2017-03-14T14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0" s="187" t="str">
        <f t="shared" si="31"/>
        <v>N</v>
      </c>
      <c r="X90" s="187">
        <f t="shared" si="26"/>
        <v>1</v>
      </c>
      <c r="Y90" s="62">
        <f t="shared" si="32"/>
        <v>4.7300000000000002E-2</v>
      </c>
      <c r="Z90" s="62">
        <f t="shared" si="33"/>
        <v>23.3306</v>
      </c>
      <c r="AA90" s="62">
        <f t="shared" si="34"/>
        <v>23.283300000000001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5"/>
        <v>0175-14</v>
      </c>
      <c r="AE90" s="85" t="str">
        <f t="shared" si="36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90" s="82" t="str">
        <f t="shared" si="37"/>
        <v>"C:\Program Files (x86)\AstroGrep\AstroGrep.exe" /e /r /s /spath="%USERPROFILE%\AppData\Local\Temp\OnboardLogs" /stypes="app*4009*20170314*" /stext=" 19:.+((SYSTEM_STATE.+slice.+state.+changed )|(ment ac)|(multiple cpu faults)|(system.+state.+changed )|(\[timeout)|(PRM\|1\|D)|(kpr)|(kdp)|(\|lc)|(penalty))"</v>
      </c>
      <c r="AG90" s="1" t="str">
        <f t="shared" si="38"/>
        <v>EC</v>
      </c>
      <c r="AH90" s="86" t="str">
        <f t="shared" si="39"/>
        <v>"%USERPROFILE%\Documents\GitHub\eaglep3\Utilities\RefineRTDCRunTimes.py" --tripid 175-14 --locoid 4009 --swversion DE.1.0.9.0 --startMP 204:473 --initTime 2017-03-14T12:54:38 --startdatetime 2017-03-14T12:56:39 --delay 2 --endMP 204:233306 --enddatetime 2017-03-14T13:39:16 --enforcementcount 0 &gt;&gt;C:\Users\stu\Documents\GitHub\eaglep3-reporting\EC\2017-03-14-refined-times.txt</v>
      </c>
      <c r="AI90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{"issue":{"subject":"","project_id":79,"tracker_id":40,"status_id":1,"priority_id":2,"assigned_to_id":23,"start_date":"2017-03-14","description":"","custom_fields":[{"id":1,"name":"Subdivision","value":"EC"},{"id":4,"name":"Milepost","value":"23.3306"},{"id":17,"name":"Train ID","value":"175-14"},{"id":16,"name":"Locomotive ID","value":"4009"},{"id":130,"name":"Impact","value":""},{"id":150,"name":"Time of Event (Mountain Time)","value":"13:39:16"},{"id":151,"name":"Denver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1"/>
        <v>start /low /b %USERPROFILE%\Documents\GitHub\eaglep3\Utilities\DownloadLogsFromS3.py --loco 4009 --day 2017-03-14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"%USERPROFILE%\AppData\Local\Temp\OnboardLogs"\RTDC4009\*4009*20170314* | grep -SE "(Enforcement Action)|(\[TIMEOUT)|(CHR.+\|PRM\|1\|D.+(SWITCH|SIGNAL).+UNKNOWN)" - &gt;&gt; 2017-03-14-UncaughtWiMAX.txt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711</v>
      </c>
      <c r="B91" s="7">
        <v>4010</v>
      </c>
      <c r="C91" s="21" t="s">
        <v>233</v>
      </c>
      <c r="D91" s="21" t="s">
        <v>521</v>
      </c>
      <c r="E91" s="13">
        <v>42808.570486111108</v>
      </c>
      <c r="F91" s="13">
        <v>42808.571331018517</v>
      </c>
      <c r="G91" s="7">
        <v>1</v>
      </c>
      <c r="H91" s="21" t="s">
        <v>202</v>
      </c>
      <c r="I91" s="13">
        <v>42808.60837962963</v>
      </c>
      <c r="J91" s="7">
        <v>0</v>
      </c>
      <c r="K91" s="98" t="str">
        <f t="shared" si="27"/>
        <v>4009/4010</v>
      </c>
      <c r="L91" s="21" t="str">
        <f>VLOOKUP(A91,'Trips&amp;Operators'!$C$1:$G$99999,5,FALSE)</f>
        <v>STRICKLAND EVAN</v>
      </c>
      <c r="M91" s="6">
        <f t="shared" si="28"/>
        <v>3.704861111327773E-2</v>
      </c>
      <c r="N91" s="7">
        <f t="shared" si="42"/>
        <v>53.350000003119931</v>
      </c>
      <c r="O91" s="7"/>
      <c r="P91" s="7"/>
      <c r="Q91" s="22"/>
      <c r="R91" s="22"/>
      <c r="S91" s="31">
        <f t="shared" si="43"/>
        <v>1</v>
      </c>
      <c r="T91" s="46" t="str">
        <f t="shared" si="29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0"/>
        <v>https://d0f6bd738d7f1b3e5a7ca70fe4ff75f0.us-east-1.aws.found.io/app/kibana#/discover/Steve-Slow-Train-Analysis-(2080s-and-2083s)?_g=(refreshInterval:(display:Off,pause:!f,section:0,value:0),time:(from:'2017-03-14T12:41:30-0600',mode:absolute,to:'2017-03-14T15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1" s="187" t="str">
        <f t="shared" si="31"/>
        <v>N</v>
      </c>
      <c r="X91" s="187">
        <f t="shared" si="26"/>
        <v>1</v>
      </c>
      <c r="Y91" s="62">
        <f t="shared" si="32"/>
        <v>23.299399999999999</v>
      </c>
      <c r="Z91" s="62">
        <f t="shared" si="33"/>
        <v>1.5800000000000002E-2</v>
      </c>
      <c r="AA91" s="62">
        <f t="shared" si="34"/>
        <v>23.2836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5"/>
        <v>0176-14</v>
      </c>
      <c r="AE91" s="85" t="str">
        <f t="shared" si="36"/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AF91" s="82" t="str">
        <f t="shared" si="37"/>
        <v>"C:\Program Files (x86)\AstroGrep\AstroGrep.exe" /e /r /s /spath="%USERPROFILE%\AppData\Local\Temp\OnboardLogs" /stypes="app*4010*20170314*" /stext=" 20:.+((SYSTEM_STATE.+slice.+state.+changed )|(ment ac)|(multiple cpu faults)|(system.+state.+changed )|(\[timeout)|(PRM\|1\|D)|(kpr)|(kdp)|(\|lc)|(penalty))"</v>
      </c>
      <c r="AG91" s="1" t="str">
        <f t="shared" si="38"/>
        <v>EC</v>
      </c>
      <c r="AH91" s="86" t="str">
        <f t="shared" si="39"/>
        <v>"%USERPROFILE%\Documents\GitHub\eaglep3\Utilities\RefineRTDCRunTimes.py" --tripid 176-14 --locoid 4010 --swversion DE.1.0.9.0 --startMP 204:232994 --initTime 2017-03-14T13:41:30 --startdatetime 2017-03-14T13:42:43 --delay 1 --endMP 204:158 --enddatetime 2017-03-14T14:36:04 --enforcementcount 0 &gt;&gt;C:\Users\stu\Documents\GitHub\eaglep3-reporting\EC\2017-03-14-refined-times.txt</v>
      </c>
      <c r="AI91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{"issue":{"subject":"","project_id":79,"tracker_id":40,"status_id":1,"priority_id":2,"assigned_to_id":23,"start_date":"2017-03-14","description":"","custom_fields":[{"id":1,"name":"Subdivision","value":"EC"},{"id":4,"name":"Milepost","value":"0.0158"},{"id":17,"name":"Train ID","value":"176-14"},{"id":16,"name":"Locomotive ID","value":"4010"},{"id":130,"name":"Impact","value":""},{"id":150,"name":"Time of Event (Mountain Time)","value":"14:36:04"},{"id":151,"name":"Denver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1"/>
        <v>start /low /b %USERPROFILE%\Documents\GitHub\eaglep3\Utilities\DownloadLogsFromS3.py --loco 4010 --day 2017-03-14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"%USERPROFILE%\AppData\Local\Temp\OnboardLogs"\RTDC4010\*4010*20170314* | grep -SE "(Enforcement Action)|(\[TIMEOUT)|(CHR.+\|PRM\|1\|D.+(SWITCH|SIGNAL).+UNKNOWN)" - &gt;&gt; 2017-03-14-UncaughtWiMAX.txt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706</v>
      </c>
      <c r="B92" s="7">
        <v>4031</v>
      </c>
      <c r="C92" s="21" t="s">
        <v>233</v>
      </c>
      <c r="D92" s="21" t="s">
        <v>254</v>
      </c>
      <c r="E92" s="13">
        <v>42808.548182870371</v>
      </c>
      <c r="F92" s="13">
        <v>42808.549212962964</v>
      </c>
      <c r="G92" s="7">
        <v>1</v>
      </c>
      <c r="H92" s="21" t="s">
        <v>523</v>
      </c>
      <c r="I92" s="13">
        <v>42808.5780787037</v>
      </c>
      <c r="J92" s="7">
        <v>0</v>
      </c>
      <c r="K92" s="98" t="str">
        <f t="shared" si="27"/>
        <v>4031/4032</v>
      </c>
      <c r="L92" s="21" t="str">
        <f>VLOOKUP(A92,'Trips&amp;Operators'!$C$1:$G$99999,5,FALSE)</f>
        <v>LEVERE CRAIG</v>
      </c>
      <c r="M92" s="6">
        <f t="shared" si="28"/>
        <v>2.8865740736364387E-2</v>
      </c>
      <c r="N92" s="7">
        <f t="shared" si="42"/>
        <v>41.566666660364717</v>
      </c>
      <c r="O92" s="7"/>
      <c r="P92" s="7"/>
      <c r="Q92" s="22"/>
      <c r="R92" s="22"/>
      <c r="S92" s="31">
        <f t="shared" si="43"/>
        <v>1</v>
      </c>
      <c r="T92" s="46" t="str">
        <f t="shared" si="29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0"/>
        <v>https://d0f6bd738d7f1b3e5a7ca70fe4ff75f0.us-east-1.aws.found.io/app/kibana#/discover/Steve-Slow-Train-Analysis-(2080s-and-2083s)?_g=(refreshInterval:(display:Off,pause:!f,section:0,value:0),time:(from:'2017-03-14T12:09:23-0600',mode:absolute,to:'2017-03-14T14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187" t="str">
        <f t="shared" si="31"/>
        <v>N</v>
      </c>
      <c r="X92" s="187">
        <f t="shared" si="26"/>
        <v>1</v>
      </c>
      <c r="Y92" s="62">
        <f t="shared" si="32"/>
        <v>4.6899999999999997E-2</v>
      </c>
      <c r="Z92" s="62">
        <f t="shared" si="33"/>
        <v>23.3291</v>
      </c>
      <c r="AA92" s="62">
        <f t="shared" si="34"/>
        <v>23.2822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5"/>
        <v>0177-14</v>
      </c>
      <c r="AE92" s="85" t="str">
        <f t="shared" si="36"/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AF92" s="82" t="str">
        <f t="shared" si="37"/>
        <v>"C:\Program Files (x86)\AstroGrep\AstroGrep.exe" /e /r /s /spath="%USERPROFILE%\AppData\Local\Temp\OnboardLogs" /stypes="app*4031*20170314*" /stext=" 19:.+((SYSTEM_STATE.+slice.+state.+changed )|(ment ac)|(multiple cpu faults)|(system.+state.+changed )|(\[timeout)|(PRM\|1\|D)|(kpr)|(kdp)|(\|lc)|(penalty))"</v>
      </c>
      <c r="AG92" s="1" t="str">
        <f t="shared" si="38"/>
        <v>EC</v>
      </c>
      <c r="AH92" s="86" t="str">
        <f t="shared" si="39"/>
        <v>"%USERPROFILE%\Documents\GitHub\eaglep3\Utilities\RefineRTDCRunTimes.py" --tripid 177-14 --locoid 4031 --swversion DE.1.0.9.0 --startMP 204:469 --initTime 2017-03-14T13:09:23 --startdatetime 2017-03-14T13:10:52 --delay 1 --endMP 204:233291 --enddatetime 2017-03-14T13:52:26 --enforcementcount 0 &gt;&gt;C:\Users\stu\Documents\GitHub\eaglep3-reporting\EC\2017-03-14-refined-times.txt</v>
      </c>
      <c r="AI92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{"issue":{"subject":"","project_id":79,"tracker_id":40,"status_id":1,"priority_id":2,"assigned_to_id":23,"start_date":"2017-03-14","description":"","custom_fields":[{"id":1,"name":"Subdivision","value":"EC"},{"id":4,"name":"Milepost","value":"23.3291"},{"id":17,"name":"Train ID","value":"177-14"},{"id":16,"name":"Locomotive ID","value":"4031"},{"id":130,"name":"Impact","value":""},{"id":150,"name":"Time of Event (Mountain Time)","value":"13:52:26"},{"id":151,"name":"Denver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1"/>
        <v>start /low /b %USERPROFILE%\Documents\GitHub\eaglep3\Utilities\DownloadLogsFromS3.py --loco 4031 --day 2017-03-14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"%USERPROFILE%\AppData\Local\Temp\OnboardLogs"\RTDC4031\*4031*20170314* | grep -SE "(Enforcement Action)|(\[TIMEOUT)|(CHR.+\|PRM\|1\|D.+(SWITCH|SIGNAL).+UNKNOWN)" - &gt;&gt; 2017-03-14-UncaughtWiMAX.txt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712</v>
      </c>
      <c r="B93" s="7">
        <v>4032</v>
      </c>
      <c r="C93" s="21" t="s">
        <v>233</v>
      </c>
      <c r="D93" s="21" t="s">
        <v>522</v>
      </c>
      <c r="E93" s="13">
        <v>42808.583564814813</v>
      </c>
      <c r="F93" s="13">
        <v>42808.584432870368</v>
      </c>
      <c r="G93" s="7">
        <v>1</v>
      </c>
      <c r="H93" s="21" t="s">
        <v>201</v>
      </c>
      <c r="I93" s="13">
        <v>42808.619710648149</v>
      </c>
      <c r="J93" s="7">
        <v>0</v>
      </c>
      <c r="K93" s="98" t="str">
        <f t="shared" si="27"/>
        <v>4031/4032</v>
      </c>
      <c r="L93" s="21" t="str">
        <f>VLOOKUP(A93,'Trips&amp;Operators'!$C$1:$G$99999,5,FALSE)</f>
        <v>LEVERE CRAIG</v>
      </c>
      <c r="M93" s="6">
        <f t="shared" si="28"/>
        <v>3.5277777780720498E-2</v>
      </c>
      <c r="N93" s="7">
        <f t="shared" si="42"/>
        <v>50.800000004237518</v>
      </c>
      <c r="O93" s="7"/>
      <c r="P93" s="7"/>
      <c r="Q93" s="22"/>
      <c r="R93" s="22"/>
      <c r="S93" s="31">
        <f t="shared" si="43"/>
        <v>1</v>
      </c>
      <c r="T93" s="46" t="str">
        <f t="shared" si="29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0"/>
        <v>https://d0f6bd738d7f1b3e5a7ca70fe4ff75f0.us-east-1.aws.found.io/app/kibana#/discover/Steve-Slow-Train-Analysis-(2080s-and-2083s)?_g=(refreshInterval:(display:Off,pause:!f,section:0,value:0),time:(from:'2017-03-14T13:00:20-0600',mode:absolute,to:'2017-03-14T15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3" s="187" t="str">
        <f t="shared" si="31"/>
        <v>N</v>
      </c>
      <c r="X93" s="187">
        <f t="shared" si="26"/>
        <v>1</v>
      </c>
      <c r="Y93" s="62">
        <f t="shared" si="32"/>
        <v>23.296500000000002</v>
      </c>
      <c r="Z93" s="62">
        <f t="shared" si="33"/>
        <v>1.52E-2</v>
      </c>
      <c r="AA93" s="62">
        <f t="shared" si="34"/>
        <v>23.281300000000002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5"/>
        <v>0178-14</v>
      </c>
      <c r="AE93" s="85" t="str">
        <f t="shared" si="36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93" s="82" t="str">
        <f t="shared" si="37"/>
        <v>"C:\Program Files (x86)\AstroGrep\AstroGrep.exe" /e /r /s /spath="%USERPROFILE%\AppData\Local\Temp\OnboardLogs" /stypes="app*4032*20170314*" /stext=" 20:.+((SYSTEM_STATE.+slice.+state.+changed )|(ment ac)|(multiple cpu faults)|(system.+state.+changed )|(\[timeout)|(PRM\|1\|D)|(kpr)|(kdp)|(\|lc)|(penalty))"</v>
      </c>
      <c r="AG93" s="1" t="str">
        <f t="shared" si="38"/>
        <v>EC</v>
      </c>
      <c r="AH93" s="86" t="str">
        <f t="shared" si="39"/>
        <v>"%USERPROFILE%\Documents\GitHub\eaglep3\Utilities\RefineRTDCRunTimes.py" --tripid 178-14 --locoid 4032 --swversion DE.1.0.9.0 --startMP 204:232965 --initTime 2017-03-14T14:00:20 --startdatetime 2017-03-14T14:01:35 --delay 1 --endMP 204:152 --enddatetime 2017-03-14T14:52:23 --enforcementcount 0 &gt;&gt;C:\Users\stu\Documents\GitHub\eaglep3-reporting\EC\2017-03-14-refined-times.txt</v>
      </c>
      <c r="AI93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{"issue":{"subject":"","project_id":79,"tracker_id":40,"status_id":1,"priority_id":2,"assigned_to_id":23,"start_date":"2017-03-14","description":"","custom_fields":[{"id":1,"name":"Subdivision","value":"EC"},{"id":4,"name":"Milepost","value":"0.0152"},{"id":17,"name":"Train ID","value":"178-14"},{"id":16,"name":"Locomotive ID","value":"4032"},{"id":130,"name":"Impact","value":""},{"id":150,"name":"Time of Event (Mountain Time)","value":"14:52:23"},{"id":151,"name":"Denver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1"/>
        <v>start /low /b %USERPROFILE%\Documents\GitHub\eaglep3\Utilities\DownloadLogsFromS3.py --loco 4032 --day 2017-03-14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"%USERPROFILE%\AppData\Local\Temp\OnboardLogs"\RTDC4032\*4032*20170314* | grep -SE "(Enforcement Action)|(\[TIMEOUT)|(CHR.+\|PRM\|1\|D.+(SWITCH|SIGNAL).+UNKNOWN)" - &gt;&gt; 2017-03-14-UncaughtWiMAX.txt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708</v>
      </c>
      <c r="B94" s="7">
        <v>4053</v>
      </c>
      <c r="C94" s="21" t="s">
        <v>233</v>
      </c>
      <c r="D94" s="21" t="s">
        <v>210</v>
      </c>
      <c r="E94" s="13">
        <v>42808.557974537034</v>
      </c>
      <c r="F94" s="13">
        <v>42808.558900462966</v>
      </c>
      <c r="G94" s="7">
        <v>1</v>
      </c>
      <c r="H94" s="21" t="s">
        <v>236</v>
      </c>
      <c r="I94" s="13">
        <v>42808.589247685188</v>
      </c>
      <c r="J94" s="7">
        <v>0</v>
      </c>
      <c r="K94" s="98" t="str">
        <f t="shared" si="27"/>
        <v>4053/4054</v>
      </c>
      <c r="L94" s="21" t="str">
        <f>VLOOKUP(A94,'Trips&amp;Operators'!$C$1:$G$99999,5,FALSE)</f>
        <v>CLARK KATHLEEN</v>
      </c>
      <c r="M94" s="6">
        <f t="shared" si="28"/>
        <v>3.0347222222189885E-2</v>
      </c>
      <c r="N94" s="7">
        <f t="shared" si="42"/>
        <v>43.699999999953434</v>
      </c>
      <c r="O94" s="7"/>
      <c r="P94" s="7"/>
      <c r="Q94" s="22"/>
      <c r="R94" s="22"/>
      <c r="S94" s="31">
        <f t="shared" si="43"/>
        <v>1</v>
      </c>
      <c r="T94" s="46" t="str">
        <f t="shared" si="29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0"/>
        <v>https://d0f6bd738d7f1b3e5a7ca70fe4ff75f0.us-east-1.aws.found.io/app/kibana#/discover/Steve-Slow-Train-Analysis-(2080s-and-2083s)?_g=(refreshInterval:(display:Off,pause:!f,section:0,value:0),time:(from:'2017-03-14T12:23:29-0600',mode:absolute,to:'2017-03-14T15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4" s="187" t="str">
        <f t="shared" si="31"/>
        <v>N</v>
      </c>
      <c r="X94" s="187">
        <f t="shared" si="26"/>
        <v>1</v>
      </c>
      <c r="Y94" s="62">
        <f t="shared" si="32"/>
        <v>4.5699999999999998E-2</v>
      </c>
      <c r="Z94" s="62">
        <f t="shared" si="33"/>
        <v>23.329699999999999</v>
      </c>
      <c r="AA94" s="62">
        <f t="shared" si="34"/>
        <v>23.283999999999999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5"/>
        <v>0179-14</v>
      </c>
      <c r="AE94" s="85" t="str">
        <f t="shared" si="36"/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AF94" s="82" t="str">
        <f t="shared" si="37"/>
        <v>"C:\Program Files (x86)\AstroGrep\AstroGrep.exe" /e /r /s /spath="%USERPROFILE%\AppData\Local\Temp\OnboardLogs" /stypes="app*4053*20170314*" /stext=" 20:.+((SYSTEM_STATE.+slice.+state.+changed )|(ment ac)|(multiple cpu faults)|(system.+state.+changed )|(\[timeout)|(PRM\|1\|D)|(kpr)|(kdp)|(\|lc)|(penalty))"</v>
      </c>
      <c r="AG94" s="1" t="str">
        <f t="shared" si="38"/>
        <v>EC</v>
      </c>
      <c r="AH94" s="86" t="str">
        <f t="shared" si="39"/>
        <v>"%USERPROFILE%\Documents\GitHub\eaglep3\Utilities\RefineRTDCRunTimes.py" --tripid 179-14 --locoid 4053 --swversion DE.1.0.9.0 --startMP 204:457 --initTime 2017-03-14T13:23:29 --startdatetime 2017-03-14T13:24:49 --delay 1 --endMP 204:233297 --enddatetime 2017-03-14T14:08:31 --enforcementcount 0 &gt;&gt;C:\Users\stu\Documents\GitHub\eaglep3-reporting\EC\2017-03-14-refined-times.txt</v>
      </c>
      <c r="AI94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{"issue":{"subject":"","project_id":79,"tracker_id":40,"status_id":1,"priority_id":2,"assigned_to_id":23,"start_date":"2017-03-14","description":"","custom_fields":[{"id":1,"name":"Subdivision","value":"EC"},{"id":4,"name":"Milepost","value":"23.3297"},{"id":17,"name":"Train ID","value":"179-14"},{"id":16,"name":"Locomotive ID","value":"4053"},{"id":130,"name":"Impact","value":""},{"id":150,"name":"Time of Event (Mountain Time)","value":"14:08:31"},{"id":151,"name":"Denver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1"/>
        <v>start /low /b %USERPROFILE%\Documents\GitHub\eaglep3\Utilities\DownloadLogsFromS3.py --loco 4053 --day 2017-03-14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"%USERPROFILE%\AppData\Local\Temp\OnboardLogs"\RTDC4053\*4053*20170314* | grep -SE "(Enforcement Action)|(\[TIMEOUT)|(CHR.+\|PRM\|1\|D.+(SWITCH|SIGNAL).+UNKNOWN)" - &gt;&gt; 2017-03-14-UncaughtWiMAX.txt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3" t="s">
        <v>715</v>
      </c>
      <c r="B95" s="7">
        <v>4054</v>
      </c>
      <c r="C95" s="21" t="s">
        <v>233</v>
      </c>
      <c r="D95" s="21" t="s">
        <v>397</v>
      </c>
      <c r="E95" s="13">
        <v>42808.595312500001</v>
      </c>
      <c r="F95" s="13">
        <v>42808.596064814818</v>
      </c>
      <c r="G95" s="7">
        <v>1</v>
      </c>
      <c r="H95" s="21" t="s">
        <v>444</v>
      </c>
      <c r="I95" s="13">
        <v>42808.629016203704</v>
      </c>
      <c r="J95" s="7">
        <v>0</v>
      </c>
      <c r="K95" s="98" t="str">
        <f t="shared" si="27"/>
        <v>4053/4054</v>
      </c>
      <c r="L95" s="21" t="str">
        <f>VLOOKUP(A95,'Trips&amp;Operators'!$C$1:$G$99999,5,FALSE)</f>
        <v>CLARK KATHLEEN</v>
      </c>
      <c r="M95" s="6">
        <f t="shared" si="28"/>
        <v>3.2951388886431232E-2</v>
      </c>
      <c r="N95" s="7">
        <f t="shared" si="42"/>
        <v>47.449999996460974</v>
      </c>
      <c r="O95" s="7"/>
      <c r="P95" s="7"/>
      <c r="Q95" s="22"/>
      <c r="R95" s="22"/>
      <c r="S95" s="31">
        <f t="shared" si="43"/>
        <v>1</v>
      </c>
      <c r="T95" s="46" t="str">
        <f t="shared" si="29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0"/>
        <v>https://d0f6bd738d7f1b3e5a7ca70fe4ff75f0.us-east-1.aws.found.io/app/kibana#/discover/Steve-Slow-Train-Analysis-(2080s-and-2083s)?_g=(refreshInterval:(display:Off,pause:!f,section:0,value:0),time:(from:'2017-03-14T13:17:15-0600',mode:absolute,to:'2017-03-14T16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187" t="str">
        <f t="shared" si="31"/>
        <v>N</v>
      </c>
      <c r="X95" s="187">
        <f t="shared" si="26"/>
        <v>1</v>
      </c>
      <c r="Y95" s="62">
        <f t="shared" si="32"/>
        <v>23.2989</v>
      </c>
      <c r="Z95" s="62">
        <f t="shared" si="33"/>
        <v>1.6500000000000001E-2</v>
      </c>
      <c r="AA95" s="62">
        <f t="shared" si="34"/>
        <v>23.282399999999999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5"/>
        <v>0180-14</v>
      </c>
      <c r="AE95" s="85" t="str">
        <f t="shared" si="36"/>
        <v>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 &amp; 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</v>
      </c>
      <c r="AF95" s="82" t="str">
        <f t="shared" si="37"/>
        <v>"C:\Program Files (x86)\AstroGrep\AstroGrep.exe" /e /r /s /spath="%USERPROFILE%\AppData\Local\Temp\OnboardLogs" /stypes="app*4054*20170314*" /stext=" 21:.+((SYSTEM_STATE.+slice.+state.+changed )|(ment ac)|(multiple cpu faults)|(system.+state.+changed )|(\[timeout)|(PRM\|1\|D)|(kpr)|(kdp)|(\|lc)|(penalty))"</v>
      </c>
      <c r="AG95" s="1" t="str">
        <f t="shared" si="38"/>
        <v>EC</v>
      </c>
      <c r="AH95" s="86" t="str">
        <f t="shared" si="39"/>
        <v>"%USERPROFILE%\Documents\GitHub\eaglep3\Utilities\RefineRTDCRunTimes.py" --tripid 180-14 --locoid 4054 --swversion DE.1.0.9.0 --startMP 204:232989 --initTime 2017-03-14T14:17:15 --startdatetime 2017-03-14T14:18:20 --delay 1 --endMP 204:165 --enddatetime 2017-03-14T15:05:47 --enforcementcount 0 &gt;&gt;C:\Users\stu\Documents\GitHub\eaglep3-reporting\EC\2017-03-14-refined-times.txt</v>
      </c>
      <c r="AI95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{"issue":{"subject":"","project_id":79,"tracker_id":40,"status_id":1,"priority_id":2,"assigned_to_id":23,"start_date":"2017-03-14","description":"","custom_fields":[{"id":1,"name":"Subdivision","value":"EC"},{"id":4,"name":"Milepost","value":"0.0165"},{"id":17,"name":"Train ID","value":"180-14"},{"id":16,"name":"Locomotive ID","value":"4054"},{"id":130,"name":"Impact","value":""},{"id":150,"name":"Time of Event (Mountain Time)","value":"15:05:47"},{"id":151,"name":"Denver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1"/>
        <v>start /low /b %USERPROFILE%\Documents\GitHub\eaglep3\Utilities\DownloadLogsFromS3.py --loco 4054 --day 2017-03-14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"%USERPROFILE%\AppData\Local\Temp\OnboardLogs"\RTDC4054\*4054*20170314* | grep -SE "(Enforcement Action)|(\[TIMEOUT)|(CHR.+\|PRM\|1\|D.+(SWITCH|SIGNAL).+UNKNOWN)" - &gt;&gt; 2017-03-14-UncaughtWiMAX.txt</v>
      </c>
    </row>
    <row r="96" spans="1:91" s="20" customFormat="1" x14ac:dyDescent="0.25">
      <c r="A96" s="33" t="s">
        <v>710</v>
      </c>
      <c r="B96" s="7">
        <v>4051</v>
      </c>
      <c r="C96" s="21" t="s">
        <v>233</v>
      </c>
      <c r="D96" s="21" t="s">
        <v>850</v>
      </c>
      <c r="E96" s="13">
        <v>42808.570567129631</v>
      </c>
      <c r="F96" s="13">
        <v>42808.571527777778</v>
      </c>
      <c r="G96" s="7">
        <v>1</v>
      </c>
      <c r="H96" s="21" t="s">
        <v>443</v>
      </c>
      <c r="I96" s="13">
        <v>42808.597638888888</v>
      </c>
      <c r="J96" s="7">
        <v>0</v>
      </c>
      <c r="K96" s="98" t="str">
        <f t="shared" si="27"/>
        <v>4051/4052</v>
      </c>
      <c r="L96" s="21" t="str">
        <f>VLOOKUP(A96,'Trips&amp;Operators'!$C$1:$G$99999,5,FALSE)</f>
        <v>MOSES BRADLEY</v>
      </c>
      <c r="M96" s="6">
        <f t="shared" si="28"/>
        <v>2.6111111110367347E-2</v>
      </c>
      <c r="N96" s="7">
        <f t="shared" si="42"/>
        <v>37.599999998928979</v>
      </c>
      <c r="O96" s="7"/>
      <c r="P96" s="7"/>
      <c r="Q96" s="22"/>
      <c r="R96" s="22"/>
      <c r="S96" s="31">
        <f t="shared" si="43"/>
        <v>1</v>
      </c>
      <c r="T96" s="46" t="str">
        <f t="shared" si="29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0"/>
        <v>https://d0f6bd738d7f1b3e5a7ca70fe4ff75f0.us-east-1.aws.found.io/app/kibana#/discover/Steve-Slow-Train-Analysis-(2080s-and-2083s)?_g=(refreshInterval:(display:Off,pause:!f,section:0,value:0),time:(from:'2017-03-14T12:41:37-0600',mode:absolute,to:'2017-03-14T15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6" s="187" t="str">
        <f t="shared" si="31"/>
        <v>N</v>
      </c>
      <c r="X96" s="187">
        <f t="shared" si="26"/>
        <v>1</v>
      </c>
      <c r="Y96" s="62">
        <f t="shared" si="32"/>
        <v>4.8599999999999997E-2</v>
      </c>
      <c r="Z96" s="62">
        <f t="shared" si="33"/>
        <v>23.3293</v>
      </c>
      <c r="AA96" s="62">
        <f t="shared" si="34"/>
        <v>23.2807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5"/>
        <v>0181-14</v>
      </c>
      <c r="AE96" s="85" t="str">
        <f t="shared" si="36"/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96" s="82" t="str">
        <f t="shared" si="37"/>
        <v>"C:\Program Files (x86)\AstroGrep\AstroGrep.exe" /e /r /s /spath="%USERPROFILE%\AppData\Local\Temp\OnboardLogs" /stypes="app*4051*20170314*" /stext=" 20:.+((SYSTEM_STATE.+slice.+state.+changed )|(ment ac)|(multiple cpu faults)|(system.+state.+changed )|(\[timeout)|(PRM\|1\|D)|(kpr)|(kdp)|(\|lc)|(penalty))"</v>
      </c>
      <c r="AG96" s="1" t="str">
        <f t="shared" si="38"/>
        <v>EC</v>
      </c>
      <c r="AH96" s="86" t="str">
        <f t="shared" si="39"/>
        <v>"%USERPROFILE%\Documents\GitHub\eaglep3\Utilities\RefineRTDCRunTimes.py" --tripid 181-14 --locoid 4051 --swversion DE.1.0.9.0 --startMP 204:486 --initTime 2017-03-14T13:41:37 --startdatetime 2017-03-14T13:43:00 --delay 1 --endMP 204:233293 --enddatetime 2017-03-14T14:20:36 --enforcementcount 0 &gt;&gt;C:\Users\stu\Documents\GitHub\eaglep3-reporting\EC\2017-03-14-refined-times.txt</v>
      </c>
      <c r="AI96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{"issue":{"subject":"","project_id":79,"tracker_id":40,"status_id":1,"priority_id":2,"assigned_to_id":23,"start_date":"2017-03-14","description":"","custom_fields":[{"id":1,"name":"Subdivision","value":"EC"},{"id":4,"name":"Milepost","value":"23.3293"},{"id":17,"name":"Train ID","value":"181-14"},{"id":16,"name":"Locomotive ID","value":"4051"},{"id":130,"name":"Impact","value":""},{"id":150,"name":"Time of Event (Mountain Time)","value":"14:20:36"},{"id":151,"name":"Denver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1"/>
        <v>start /low /b %USERPROFILE%\Documents\GitHub\eaglep3\Utilities\DownloadLogsFromS3.py --loco 4051 --day 2017-03-14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"%USERPROFILE%\AppData\Local\Temp\OnboardLogs"\RTDC4051\*4051*20170314* | grep -SE "(Enforcement Action)|(\[TIMEOUT)|(CHR.+\|PRM\|1\|D.+(SWITCH|SIGNAL).+UNKNOWN)" - &gt;&gt; 2017-03-14-UncaughtWiMAX.txt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717</v>
      </c>
      <c r="B97" s="7">
        <v>4052</v>
      </c>
      <c r="C97" s="21" t="s">
        <v>233</v>
      </c>
      <c r="D97" s="21" t="s">
        <v>522</v>
      </c>
      <c r="E97" s="13">
        <v>42808.607245370367</v>
      </c>
      <c r="F97" s="13">
        <v>42808.608414351853</v>
      </c>
      <c r="G97" s="7">
        <v>1</v>
      </c>
      <c r="H97" s="21" t="s">
        <v>524</v>
      </c>
      <c r="I97" s="13">
        <v>42808.638912037037</v>
      </c>
      <c r="J97" s="7">
        <v>0</v>
      </c>
      <c r="K97" s="98" t="str">
        <f t="shared" si="27"/>
        <v>4051/4052</v>
      </c>
      <c r="L97" s="21" t="str">
        <f>VLOOKUP(A97,'Trips&amp;Operators'!$C$1:$G$99999,5,FALSE)</f>
        <v>MOSES BRADLEY</v>
      </c>
      <c r="M97" s="6">
        <f t="shared" si="28"/>
        <v>3.0497685183945578E-2</v>
      </c>
      <c r="N97" s="7">
        <f t="shared" si="42"/>
        <v>43.916666664881632</v>
      </c>
      <c r="O97" s="7"/>
      <c r="P97" s="7"/>
      <c r="Q97" s="22"/>
      <c r="R97" s="22"/>
      <c r="S97" s="31">
        <f t="shared" si="43"/>
        <v>1</v>
      </c>
      <c r="T97" s="46" t="str">
        <f t="shared" si="29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0"/>
        <v>https://d0f6bd738d7f1b3e5a7ca70fe4ff75f0.us-east-1.aws.found.io/app/kibana#/discover/Steve-Slow-Train-Analysis-(2080s-and-2083s)?_g=(refreshInterval:(display:Off,pause:!f,section:0,value:0),time:(from:'2017-03-14T13:34:26-0600',mode:absolute,to:'2017-03-14T16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7" s="187" t="str">
        <f t="shared" si="31"/>
        <v>N</v>
      </c>
      <c r="X97" s="187">
        <f t="shared" si="26"/>
        <v>1</v>
      </c>
      <c r="Y97" s="62">
        <f t="shared" si="32"/>
        <v>23.296500000000002</v>
      </c>
      <c r="Z97" s="62">
        <f t="shared" si="33"/>
        <v>1.7999999999999999E-2</v>
      </c>
      <c r="AA97" s="62">
        <f t="shared" si="34"/>
        <v>23.278500000000001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5"/>
        <v>0182-14</v>
      </c>
      <c r="AE97" s="85" t="str">
        <f t="shared" si="36"/>
        <v>aws s3 cp s3://rtdc.mdm.uploadarchive.raw/RTDC4052/ "%USERPROFILE%\AppData\Local\Temp\OnboardLogs"\RTDC4052\2017-03-14 --exclude "*" --recursive --include "*20170314*" &amp; "%USERPROFILE%\Documents\GitHub\mrs-test-scripts\Headless Mode &amp; Sideloading\WalkAndUnGZ.bat" "%USERPROFILE%\AppData\Local\Temp\OnboardLogs"\RTDC4052\2017-03-14 &amp; 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</v>
      </c>
      <c r="AF97" s="82" t="str">
        <f t="shared" si="37"/>
        <v>"C:\Program Files (x86)\AstroGrep\AstroGrep.exe" /e /r /s /spath="%USERPROFILE%\AppData\Local\Temp\OnboardLogs" /stypes="app*4052*20170314*" /stext=" 21:.+((SYSTEM_STATE.+slice.+state.+changed )|(ment ac)|(multiple cpu faults)|(system.+state.+changed )|(\[timeout)|(PRM\|1\|D)|(kpr)|(kdp)|(\|lc)|(penalty))"</v>
      </c>
      <c r="AG97" s="1" t="str">
        <f t="shared" si="38"/>
        <v>EC</v>
      </c>
      <c r="AH97" s="86" t="str">
        <f t="shared" si="39"/>
        <v>"%USERPROFILE%\Documents\GitHub\eaglep3\Utilities\RefineRTDCRunTimes.py" --tripid 182-14 --locoid 4052 --swversion DE.1.0.9.0 --startMP 204:232965 --initTime 2017-03-14T14:34:26 --startdatetime 2017-03-14T14:36:07 --delay 1 --endMP 204:180 --enddatetime 2017-03-14T15:20:02 --enforcementcount 0 &gt;&gt;C:\Users\stu\Documents\GitHub\eaglep3-reporting\EC\2017-03-14-refined-times.txt</v>
      </c>
      <c r="AI97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{"issue":{"subject":"","project_id":79,"tracker_id":40,"status_id":1,"priority_id":2,"assigned_to_id":23,"start_date":"2017-03-14","description":"","custom_fields":[{"id":1,"name":"Subdivision","value":"EC"},{"id":4,"name":"Milepost","value":"0.018"},{"id":17,"name":"Train ID","value":"182-14"},{"id":16,"name":"Locomotive ID","value":"4052"},{"id":130,"name":"Impact","value":""},{"id":150,"name":"Time of Event (Mountain Time)","value":"15:20:02"},{"id":151,"name":"Denver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1"/>
        <v>start /low /b %USERPROFILE%\Documents\GitHub\eaglep3\Utilities\DownloadLogsFromS3.py --loco 4052 --day 2017-03-14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"%USERPROFILE%\AppData\Local\Temp\OnboardLogs"\RTDC4052\*4052*20170314* | grep -SE "(Enforcement Action)|(\[TIMEOUT)|(CHR.+\|PRM\|1\|D.+(SWITCH|SIGNAL).+UNKNOWN)" - &gt;&gt; 2017-03-14-UncaughtWiMAX.txt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582</v>
      </c>
      <c r="B98" s="7">
        <v>4018</v>
      </c>
      <c r="C98" s="21" t="s">
        <v>233</v>
      </c>
      <c r="D98" s="21" t="s">
        <v>221</v>
      </c>
      <c r="E98" s="13">
        <v>42808.579421296294</v>
      </c>
      <c r="F98" s="13">
        <v>42808.580358796295</v>
      </c>
      <c r="G98" s="7">
        <v>1</v>
      </c>
      <c r="H98" s="21" t="s">
        <v>851</v>
      </c>
      <c r="I98" s="13">
        <v>42808.608437499999</v>
      </c>
      <c r="J98" s="7">
        <v>0</v>
      </c>
      <c r="K98" s="98" t="str">
        <f t="shared" si="27"/>
        <v>4017/4018</v>
      </c>
      <c r="L98" s="21" t="str">
        <f>VLOOKUP(A98,'Trips&amp;Operators'!$C$1:$G$99999,5,FALSE)</f>
        <v>ROMERO CHAD</v>
      </c>
      <c r="M98" s="6">
        <f t="shared" si="28"/>
        <v>2.8078703704522923E-2</v>
      </c>
      <c r="N98" s="7">
        <f t="shared" si="42"/>
        <v>40.433333334513009</v>
      </c>
      <c r="O98" s="7"/>
      <c r="P98" s="7"/>
      <c r="Q98" s="22"/>
      <c r="R98" s="22"/>
      <c r="S98" s="31">
        <f t="shared" si="43"/>
        <v>1</v>
      </c>
      <c r="T98" s="46" t="str">
        <f t="shared" si="29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0"/>
        <v>https://d0f6bd738d7f1b3e5a7ca70fe4ff75f0.us-east-1.aws.found.io/app/kibana#/discover/Steve-Slow-Train-Analysis-(2080s-and-2083s)?_g=(refreshInterval:(display:Off,pause:!f,section:0,value:0),time:(from:'2017-03-14T12:54:22-0600',mode:absolute,to:'2017-03-14T15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8" s="187" t="str">
        <f t="shared" si="31"/>
        <v>N</v>
      </c>
      <c r="X98" s="187">
        <f t="shared" si="26"/>
        <v>1</v>
      </c>
      <c r="Y98" s="62">
        <f t="shared" si="32"/>
        <v>4.3999999999999997E-2</v>
      </c>
      <c r="Z98" s="62">
        <f t="shared" si="33"/>
        <v>23.339500000000001</v>
      </c>
      <c r="AA98" s="62">
        <f t="shared" si="34"/>
        <v>23.295500000000001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5"/>
        <v>0183-14</v>
      </c>
      <c r="AE98" s="85" t="str">
        <f t="shared" si="36"/>
        <v>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 &amp; aws s3 cp s3://rtdc.mdm.uploadarchive.raw/RTDC4018/ "%USERPROFILE%\AppData\Local\Temp\OnboardLogs"\RTDC4018\2017-03-15 --exclude "*" --recursive --include "*20170315*" &amp; "%USERPROFILE%\Documents\GitHub\mrs-test-scripts\Headless Mode &amp; Sideloading\WalkAndUnGZ.bat" "%USERPROFILE%\AppData\Local\Temp\OnboardLogs"\RTDC4018\2017-03-15</v>
      </c>
      <c r="AF98" s="82" t="str">
        <f t="shared" si="37"/>
        <v>"C:\Program Files (x86)\AstroGrep\AstroGrep.exe" /e /r /s /spath="%USERPROFILE%\AppData\Local\Temp\OnboardLogs" /stypes="app*4018*20170314*" /stext=" 20:.+((SYSTEM_STATE.+slice.+state.+changed )|(ment ac)|(multiple cpu faults)|(system.+state.+changed )|(\[timeout)|(PRM\|1\|D)|(kpr)|(kdp)|(\|lc)|(penalty))"</v>
      </c>
      <c r="AG98" s="1" t="str">
        <f t="shared" si="38"/>
        <v>EC</v>
      </c>
      <c r="AH98" s="86" t="str">
        <f t="shared" si="39"/>
        <v>"%USERPROFILE%\Documents\GitHub\eaglep3\Utilities\RefineRTDCRunTimes.py" --tripid 183-14 --locoid 4018 --swversion DE.1.0.9.0 --startMP 204:440 --initTime 2017-03-14T13:54:22 --startdatetime 2017-03-14T13:55:43 --delay 1 --endMP 204:233395 --enddatetime 2017-03-14T14:36:09 --enforcementcount 0 &gt;&gt;C:\Users\stu\Documents\GitHub\eaglep3-reporting\EC\2017-03-14-refined-times.txt</v>
      </c>
      <c r="AI98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{"issue":{"subject":"","project_id":79,"tracker_id":40,"status_id":1,"priority_id":2,"assigned_to_id":23,"start_date":"2017-03-14","description":"","custom_fields":[{"id":1,"name":"Subdivision","value":"EC"},{"id":4,"name":"Milepost","value":"23.3395"},{"id":17,"name":"Train ID","value":"183-14"},{"id":16,"name":"Locomotive ID","value":"4018"},{"id":130,"name":"Impact","value":""},{"id":150,"name":"Time of Event (Mountain Time)","value":"14:36:09"},{"id":151,"name":"Denver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1"/>
        <v>start /low /b %USERPROFILE%\Documents\GitHub\eaglep3\Utilities\DownloadLogsFromS3.py --loco 4018 --day 2017-03-14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"%USERPROFILE%\AppData\Local\Temp\OnboardLogs"\RTDC4018\*4018*20170314* | grep -SE "(Enforcement Action)|(\[TIMEOUT)|(CHR.+\|PRM\|1\|D.+(SWITCH|SIGNAL).+UNKNOWN)" - &gt;&gt; 2017-03-14-UncaughtWiMAX.txt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584</v>
      </c>
      <c r="B99" s="7">
        <v>4017</v>
      </c>
      <c r="C99" s="21" t="s">
        <v>233</v>
      </c>
      <c r="D99" s="21" t="s">
        <v>852</v>
      </c>
      <c r="E99" s="13">
        <v>42808.609548611108</v>
      </c>
      <c r="F99" s="13">
        <v>42808.610381944447</v>
      </c>
      <c r="G99" s="7">
        <v>1</v>
      </c>
      <c r="H99" s="21" t="s">
        <v>459</v>
      </c>
      <c r="I99" s="13">
        <v>42808.651064814818</v>
      </c>
      <c r="J99" s="7">
        <v>0</v>
      </c>
      <c r="K99" s="98" t="str">
        <f t="shared" si="27"/>
        <v>4017/4018</v>
      </c>
      <c r="L99" s="21" t="str">
        <f>VLOOKUP(A99,'Trips&amp;Operators'!$C$1:$G$99999,5,FALSE)</f>
        <v>ROMERO CHAD</v>
      </c>
      <c r="M99" s="6">
        <f t="shared" si="28"/>
        <v>4.0682870370801538E-2</v>
      </c>
      <c r="N99" s="7">
        <f t="shared" si="42"/>
        <v>58.583333333954215</v>
      </c>
      <c r="O99" s="7"/>
      <c r="P99" s="7"/>
      <c r="Q99" s="22"/>
      <c r="R99" s="22"/>
      <c r="S99" s="31">
        <f t="shared" si="43"/>
        <v>1</v>
      </c>
      <c r="T99" s="46" t="str">
        <f t="shared" si="29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0"/>
        <v>https://d0f6bd738d7f1b3e5a7ca70fe4ff75f0.us-east-1.aws.found.io/app/kibana#/discover/Steve-Slow-Train-Analysis-(2080s-and-2083s)?_g=(refreshInterval:(display:Off,pause:!f,section:0,value:0),time:(from:'2017-03-14T13:37:45-0600',mode:absolute,to:'2017-03-14T16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9" s="187" t="str">
        <f t="shared" si="31"/>
        <v>N</v>
      </c>
      <c r="X99" s="187">
        <f t="shared" si="26"/>
        <v>1</v>
      </c>
      <c r="Y99" s="62">
        <f t="shared" si="32"/>
        <v>23.3093</v>
      </c>
      <c r="Z99" s="62">
        <f t="shared" si="33"/>
        <v>1.38E-2</v>
      </c>
      <c r="AA99" s="62">
        <f t="shared" si="34"/>
        <v>23.295500000000001</v>
      </c>
      <c r="AB99" s="59" t="str">
        <f>VLOOKUP(A99,Enforcements!$C$7:$K$13,8,0)</f>
        <v>Bulletin (2)</v>
      </c>
      <c r="AC99" s="55" t="str">
        <f>VLOOKUP(A99,Enforcements!$C$7:$E$13,3,0)</f>
        <v>GRADE CROSSING</v>
      </c>
      <c r="AD99" s="56" t="str">
        <f t="shared" si="35"/>
        <v>0184-14</v>
      </c>
      <c r="AE99" s="85" t="str">
        <f t="shared" si="36"/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AF99" s="82" t="str">
        <f t="shared" si="37"/>
        <v>"C:\Program Files (x86)\AstroGrep\AstroGrep.exe" /e /r /s /spath="%USERPROFILE%\AppData\Local\Temp\OnboardLogs" /stypes="app*4017*20170314*" /stext=" 21:.+((SYSTEM_STATE.+slice.+state.+changed )|(ment ac)|(multiple cpu faults)|(system.+state.+changed )|(\[timeout)|(PRM\|1\|D)|(kpr)|(kdp)|(\|lc)|(penalty))"</v>
      </c>
      <c r="AG99" s="1" t="str">
        <f t="shared" si="38"/>
        <v>EC</v>
      </c>
      <c r="AH99" s="86" t="str">
        <f t="shared" si="39"/>
        <v>"%USERPROFILE%\Documents\GitHub\eaglep3\Utilities\RefineRTDCRunTimes.py" --tripid 184-14 --locoid 4017 --swversion DE.1.0.9.0 --startMP 204:233093 --initTime 2017-03-14T14:37:45 --startdatetime 2017-03-14T14:38:57 --delay 1 --endMP 204:138 --enddatetime 2017-03-14T15:37:32 --enforcementcount 0 &gt;&gt;C:\Users\stu\Documents\GitHub\eaglep3-reporting\EC\2017-03-14-refined-times.txt</v>
      </c>
      <c r="AI99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{"issue":{"subject":"","project_id":79,"tracker_id":40,"status_id":1,"priority_id":2,"assigned_to_id":23,"start_date":"2017-03-14","description":"","custom_fields":[{"id":1,"name":"Subdivision","value":"EC"},{"id":4,"name":"Milepost","value":"0.0138"},{"id":17,"name":"Train ID","value":"184-14"},{"id":16,"name":"Locomotive ID","value":"4017"},{"id":130,"name":"Impact","value":""},{"id":150,"name":"Time of Event (Mountain Time)","value":"15:37:32"},{"id":151,"name":"Denver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1"/>
        <v>start /low /b %USERPROFILE%\Documents\GitHub\eaglep3\Utilities\DownloadLogsFromS3.py --loco 4017 --day 2017-03-14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"%USERPROFILE%\AppData\Local\Temp\OnboardLogs"\RTDC4017\*4017*20170314* | grep -SE "(Enforcement Action)|(\[TIMEOUT)|(CHR.+\|PRM\|1\|D.+(SWITCH|SIGNAL).+UNKNOWN)" - &gt;&gt; 2017-03-14-UncaughtWiMAX.txt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713</v>
      </c>
      <c r="B100" s="7">
        <v>4027</v>
      </c>
      <c r="C100" s="21" t="s">
        <v>233</v>
      </c>
      <c r="D100" s="21" t="s">
        <v>210</v>
      </c>
      <c r="E100" s="13">
        <v>42808.590497685182</v>
      </c>
      <c r="F100" s="13">
        <v>42808.592152777775</v>
      </c>
      <c r="G100" s="7">
        <v>2</v>
      </c>
      <c r="H100" s="21" t="s">
        <v>853</v>
      </c>
      <c r="I100" s="13">
        <v>42808.619155092594</v>
      </c>
      <c r="J100" s="7">
        <v>0</v>
      </c>
      <c r="K100" s="98" t="str">
        <f t="shared" si="27"/>
        <v>4027/4028</v>
      </c>
      <c r="L100" s="21" t="str">
        <f>VLOOKUP(A100,'Trips&amp;Operators'!$C$1:$G$99999,5,FALSE)</f>
        <v>HOLCOMB KAMDEN</v>
      </c>
      <c r="M100" s="6">
        <f t="shared" si="28"/>
        <v>2.7002314818673767E-2</v>
      </c>
      <c r="N100" s="7">
        <f t="shared" si="42"/>
        <v>38.883333338890225</v>
      </c>
      <c r="O100" s="7"/>
      <c r="P100" s="7"/>
      <c r="Q100" s="22"/>
      <c r="R100" s="22"/>
      <c r="S100" s="31">
        <f t="shared" si="43"/>
        <v>1</v>
      </c>
      <c r="T100" s="46" t="str">
        <f t="shared" si="29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0"/>
        <v>https://d0f6bd738d7f1b3e5a7ca70fe4ff75f0.us-east-1.aws.found.io/app/kibana#/discover/Steve-Slow-Train-Analysis-(2080s-and-2083s)?_g=(refreshInterval:(display:Off,pause:!f,section:0,value:0),time:(from:'2017-03-14T13:10:19-0600',mode:absolute,to:'2017-03-14T15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0" s="187" t="str">
        <f t="shared" si="31"/>
        <v>N</v>
      </c>
      <c r="X100" s="187">
        <f t="shared" si="26"/>
        <v>1</v>
      </c>
      <c r="Y100" s="62">
        <f t="shared" si="32"/>
        <v>4.5699999999999998E-2</v>
      </c>
      <c r="Z100" s="62">
        <f t="shared" si="33"/>
        <v>23.336400000000001</v>
      </c>
      <c r="AA100" s="62">
        <f t="shared" si="34"/>
        <v>23.290700000000001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5"/>
        <v>0185-14</v>
      </c>
      <c r="AE100" s="85" t="str">
        <f t="shared" si="36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100" s="82" t="str">
        <f t="shared" si="37"/>
        <v>"C:\Program Files (x86)\AstroGrep\AstroGrep.exe" /e /r /s /spath="%USERPROFILE%\AppData\Local\Temp\OnboardLogs" /stypes="app*4027*20170314*" /stext=" 20:.+((SYSTEM_STATE.+slice.+state.+changed )|(ment ac)|(multiple cpu faults)|(system.+state.+changed )|(\[timeout)|(PRM\|1\|D)|(kpr)|(kdp)|(\|lc)|(penalty))"</v>
      </c>
      <c r="AG100" s="1" t="str">
        <f t="shared" si="38"/>
        <v>EC</v>
      </c>
      <c r="AH100" s="86" t="str">
        <f t="shared" si="39"/>
        <v>"%USERPROFILE%\Documents\GitHub\eaglep3\Utilities\RefineRTDCRunTimes.py" --tripid 185-14 --locoid 4027 --swversion DE.1.0.9.0 --startMP 204:457 --initTime 2017-03-14T14:10:19 --startdatetime 2017-03-14T14:12:42 --delay 2 --endMP 204:233364 --enddatetime 2017-03-14T14:51:35 --enforcementcount 0 &gt;&gt;C:\Users\stu\Documents\GitHub\eaglep3-reporting\EC\2017-03-14-refined-times.txt</v>
      </c>
      <c r="AI100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{"issue":{"subject":"","project_id":79,"tracker_id":40,"status_id":1,"priority_id":2,"assigned_to_id":23,"start_date":"2017-03-14","description":"","custom_fields":[{"id":1,"name":"Subdivision","value":"EC"},{"id":4,"name":"Milepost","value":"23.3364"},{"id":17,"name":"Train ID","value":"185-14"},{"id":16,"name":"Locomotive ID","value":"4027"},{"id":130,"name":"Impact","value":""},{"id":150,"name":"Time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1"/>
        <v>start /low /b %USERPROFILE%\Documents\GitHub\eaglep3\Utilities\DownloadLogsFromS3.py --loco 4027 --day 2017-03-14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"%USERPROFILE%\AppData\Local\Temp\OnboardLogs"\RTDC4027\*4027*20170314* | grep -SE "(Enforcement Action)|(\[TIMEOUT)|(CHR.+\|PRM\|1\|D.+(SWITCH|SIGNAL).+UNKNOWN)" - &gt;&gt; 2017-03-14-UncaughtWiMAX.txt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586</v>
      </c>
      <c r="B101" s="7">
        <v>4028</v>
      </c>
      <c r="C101" s="21" t="s">
        <v>233</v>
      </c>
      <c r="D101" s="21" t="s">
        <v>854</v>
      </c>
      <c r="E101" s="13">
        <v>42808.620995370373</v>
      </c>
      <c r="F101" s="13">
        <v>42808.622060185182</v>
      </c>
      <c r="G101" s="7">
        <v>1</v>
      </c>
      <c r="H101" s="21" t="s">
        <v>207</v>
      </c>
      <c r="I101" s="13">
        <v>42808.661689814813</v>
      </c>
      <c r="J101" s="7">
        <v>0</v>
      </c>
      <c r="K101" s="98" t="str">
        <f t="shared" si="27"/>
        <v>4027/4028</v>
      </c>
      <c r="L101" s="21" t="str">
        <f>VLOOKUP(A101,'Trips&amp;Operators'!$C$1:$G$99999,5,FALSE)</f>
        <v>HOLCOMB KAMDEN</v>
      </c>
      <c r="M101" s="6">
        <f t="shared" si="28"/>
        <v>3.962962963123573E-2</v>
      </c>
      <c r="N101" s="7">
        <f t="shared" si="42"/>
        <v>57.066666668979451</v>
      </c>
      <c r="O101" s="7"/>
      <c r="P101" s="7"/>
      <c r="Q101" s="22"/>
      <c r="R101" s="22"/>
      <c r="S101" s="31">
        <f t="shared" si="43"/>
        <v>1</v>
      </c>
      <c r="T101" s="46" t="str">
        <f t="shared" si="29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0"/>
        <v>https://d0f6bd738d7f1b3e5a7ca70fe4ff75f0.us-east-1.aws.found.io/app/kibana#/discover/Steve-Slow-Train-Analysis-(2080s-and-2083s)?_g=(refreshInterval:(display:Off,pause:!f,section:0,value:0),time:(from:'2017-03-14T13:54:14-0600',mode:absolute,to:'2017-03-14T16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187" t="str">
        <f t="shared" si="31"/>
        <v>N</v>
      </c>
      <c r="X101" s="187">
        <f t="shared" si="26"/>
        <v>1</v>
      </c>
      <c r="Y101" s="62">
        <f t="shared" si="32"/>
        <v>23.302499999999998</v>
      </c>
      <c r="Z101" s="62">
        <f t="shared" si="33"/>
        <v>1.54E-2</v>
      </c>
      <c r="AA101" s="62">
        <f t="shared" si="34"/>
        <v>23.287099999999999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5"/>
        <v>0186-14</v>
      </c>
      <c r="AE101" s="85" t="str">
        <f t="shared" si="36"/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AF101" s="82" t="str">
        <f t="shared" si="37"/>
        <v>"C:\Program Files (x86)\AstroGrep\AstroGrep.exe" /e /r /s /spath="%USERPROFILE%\AppData\Local\Temp\OnboardLogs" /stypes="app*4028*20170314*" /stext=" 21:.+((SYSTEM_STATE.+slice.+state.+changed )|(ment ac)|(multiple cpu faults)|(system.+state.+changed )|(\[timeout)|(PRM\|1\|D)|(kpr)|(kdp)|(\|lc)|(penalty))"</v>
      </c>
      <c r="AG101" s="1" t="str">
        <f t="shared" si="38"/>
        <v>EC</v>
      </c>
      <c r="AH101" s="86" t="str">
        <f t="shared" si="39"/>
        <v>"%USERPROFILE%\Documents\GitHub\eaglep3\Utilities\RefineRTDCRunTimes.py" --tripid 186-14 --locoid 4028 --swversion DE.1.0.9.0 --startMP 204:233025 --initTime 2017-03-14T14:54:14 --startdatetime 2017-03-14T14:55:46 --delay 1 --endMP 204:154 --enddatetime 2017-03-14T15:52:50 --enforcementcount 0 &gt;&gt;C:\Users\stu\Documents\GitHub\eaglep3-reporting\EC\2017-03-14-refined-times.txt</v>
      </c>
      <c r="AI101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{"issue":{"subject":"","project_id":79,"tracker_id":40,"status_id":1,"priority_id":2,"assigned_to_id":23,"start_date":"2017-03-14","description":"","custom_fields":[{"id":1,"name":"Subdivision","value":"EC"},{"id":4,"name":"Milepost","value":"0.0154"},{"id":17,"name":"Train ID","value":"186-14"},{"id":16,"name":"Locomotive ID","value":"4028"},{"id":130,"name":"Impact","value":""},{"id":150,"name":"Time of Event (Mountain Time)","value":"15:52:50"},{"id":151,"name":"Denver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1"/>
        <v>start /low /b %USERPROFILE%\Documents\GitHub\eaglep3\Utilities\DownloadLogsFromS3.py --loco 4028 --day 2017-03-14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"%USERPROFILE%\AppData\Local\Temp\OnboardLogs"\RTDC4028\*4028*20170314* | grep -SE "(Enforcement Action)|(\[TIMEOUT)|(CHR.+\|PRM\|1\|D.+(SWITCH|SIGNAL).+UNKNOWN)" - &gt;&gt; 2017-03-14-UncaughtWiMAX.txt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716</v>
      </c>
      <c r="B102" s="7">
        <v>4022</v>
      </c>
      <c r="C102" s="21" t="s">
        <v>233</v>
      </c>
      <c r="D102" s="21" t="s">
        <v>855</v>
      </c>
      <c r="E102" s="13">
        <v>42808.602430555555</v>
      </c>
      <c r="F102" s="13">
        <v>42808.603310185186</v>
      </c>
      <c r="G102" s="7">
        <v>1</v>
      </c>
      <c r="H102" s="21" t="s">
        <v>856</v>
      </c>
      <c r="I102" s="13">
        <v>42808.629270833335</v>
      </c>
      <c r="J102" s="7">
        <v>0</v>
      </c>
      <c r="K102" s="98" t="str">
        <f t="shared" si="27"/>
        <v>4021/4022</v>
      </c>
      <c r="L102" s="21" t="str">
        <f>VLOOKUP(A102,'Trips&amp;Operators'!$C$1:$G$99999,5,FALSE)</f>
        <v>LALONDE GREGORY</v>
      </c>
      <c r="M102" s="6">
        <f t="shared" si="28"/>
        <v>2.5960648148611654E-2</v>
      </c>
      <c r="N102" s="7">
        <f t="shared" si="42"/>
        <v>37.383333334000781</v>
      </c>
      <c r="O102" s="7"/>
      <c r="P102" s="7"/>
      <c r="Q102" s="22"/>
      <c r="R102" s="22"/>
      <c r="S102" s="31">
        <f t="shared" si="43"/>
        <v>1</v>
      </c>
      <c r="T102" s="46" t="str">
        <f t="shared" si="29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0"/>
        <v>https://d0f6bd738d7f1b3e5a7ca70fe4ff75f0.us-east-1.aws.found.io/app/kibana#/discover/Steve-Slow-Train-Analysis-(2080s-and-2083s)?_g=(refreshInterval:(display:Off,pause:!f,section:0,value:0),time:(from:'2017-03-14T13:27:30-0600',mode:absolute,to:'2017-03-14T16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2" s="187" t="str">
        <f t="shared" si="31"/>
        <v>N</v>
      </c>
      <c r="X102" s="187">
        <f t="shared" si="26"/>
        <v>1</v>
      </c>
      <c r="Y102" s="62">
        <f t="shared" si="32"/>
        <v>4.3099999999999999E-2</v>
      </c>
      <c r="Z102" s="62">
        <f t="shared" si="33"/>
        <v>23.339099999999998</v>
      </c>
      <c r="AA102" s="62">
        <f t="shared" si="34"/>
        <v>23.295999999999999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5"/>
        <v>0187-14</v>
      </c>
      <c r="AE102" s="85" t="str">
        <f t="shared" si="36"/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AF102" s="82" t="str">
        <f t="shared" si="37"/>
        <v>"C:\Program Files (x86)\AstroGrep\AstroGrep.exe" /e /r /s /spath="%USERPROFILE%\AppData\Local\Temp\OnboardLogs" /stypes="app*4022*20170314*" /stext=" 21:.+((SYSTEM_STATE.+slice.+state.+changed )|(ment ac)|(multiple cpu faults)|(system.+state.+changed )|(\[timeout)|(PRM\|1\|D)|(kpr)|(kdp)|(\|lc)|(penalty))"</v>
      </c>
      <c r="AG102" s="1" t="str">
        <f t="shared" si="38"/>
        <v>EC</v>
      </c>
      <c r="AH102" s="86" t="str">
        <f t="shared" si="39"/>
        <v>"%USERPROFILE%\Documents\GitHub\eaglep3\Utilities\RefineRTDCRunTimes.py" --tripid 187-14 --locoid 4022 --swversion DE.1.0.9.0 --startMP 204:431 --initTime 2017-03-14T14:27:30 --startdatetime 2017-03-14T14:28:46 --delay 1 --endMP 204:233391 --enddatetime 2017-03-14T15:06:09 --enforcementcount 0 &gt;&gt;C:\Users\stu\Documents\GitHub\eaglep3-reporting\EC\2017-03-14-refined-times.txt</v>
      </c>
      <c r="AI102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{"issue":{"subject":"","project_id":79,"tracker_id":40,"status_id":1,"priority_id":2,"assigned_to_id":23,"start_date":"2017-03-14","description":"","custom_fields":[{"id":1,"name":"Subdivision","value":"EC"},{"id":4,"name":"Milepost","value":"23.3391"},{"id":17,"name":"Train ID","value":"187-14"},{"id":16,"name":"Locomotive ID","value":"4022"},{"id":130,"name":"Impact","value":""},{"id":150,"name":"Time of Event (Mountain Time)","value":"15:06:09"},{"id":151,"name":"Denver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1"/>
        <v>start /low /b %USERPROFILE%\Documents\GitHub\eaglep3\Utilities\DownloadLogsFromS3.py --loco 4022 --day 2017-03-14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"%USERPROFILE%\AppData\Local\Temp\OnboardLogs"\RTDC4022\*4022*20170314* | grep -SE "(Enforcement Action)|(\[TIMEOUT)|(CHR.+\|PRM\|1\|D.+(SWITCH|SIGNAL).+UNKNOWN)" - &gt;&gt; 2017-03-14-UncaughtWiMAX.txt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585</v>
      </c>
      <c r="B103" s="7">
        <v>4021</v>
      </c>
      <c r="C103" s="21" t="s">
        <v>233</v>
      </c>
      <c r="D103" s="21" t="s">
        <v>857</v>
      </c>
      <c r="E103" s="13">
        <v>42808.631990740738</v>
      </c>
      <c r="F103" s="13">
        <v>42808.633043981485</v>
      </c>
      <c r="G103" s="7">
        <v>1</v>
      </c>
      <c r="H103" s="21" t="s">
        <v>220</v>
      </c>
      <c r="I103" s="13">
        <v>42808.672939814816</v>
      </c>
      <c r="J103" s="7">
        <v>0</v>
      </c>
      <c r="K103" s="98" t="str">
        <f t="shared" si="27"/>
        <v>4021/4022</v>
      </c>
      <c r="L103" s="21" t="str">
        <f>VLOOKUP(A103,'Trips&amp;Operators'!$C$1:$G$99999,5,FALSE)</f>
        <v>LALONDE GREGORY</v>
      </c>
      <c r="M103" s="6">
        <f t="shared" si="28"/>
        <v>3.9895833331684116E-2</v>
      </c>
      <c r="N103" s="7">
        <f t="shared" si="42"/>
        <v>57.449999997625127</v>
      </c>
      <c r="O103" s="7"/>
      <c r="P103" s="7"/>
      <c r="Q103" s="22"/>
      <c r="R103" s="22"/>
      <c r="S103" s="31">
        <f t="shared" si="43"/>
        <v>1</v>
      </c>
      <c r="T103" s="46" t="str">
        <f t="shared" si="29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0"/>
        <v>https://d0f6bd738d7f1b3e5a7ca70fe4ff75f0.us-east-1.aws.found.io/app/kibana#/discover/Steve-Slow-Train-Analysis-(2080s-and-2083s)?_g=(refreshInterval:(display:Off,pause:!f,section:0,value:0),time:(from:'2017-03-14T14:10:04-0600',mode:absolute,to:'2017-03-14T17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3" s="187" t="str">
        <f t="shared" si="31"/>
        <v>N</v>
      </c>
      <c r="X103" s="187">
        <f t="shared" ref="X103:X134" si="44">VALUE(LEFT(AD103,4))-VALUE(LEFT(AD102,4))</f>
        <v>1</v>
      </c>
      <c r="Y103" s="62">
        <f t="shared" si="32"/>
        <v>23.305499999999999</v>
      </c>
      <c r="Z103" s="62">
        <f t="shared" si="33"/>
        <v>1.41E-2</v>
      </c>
      <c r="AA103" s="62">
        <f t="shared" si="34"/>
        <v>23.291399999999999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5"/>
        <v>0188-14</v>
      </c>
      <c r="AE103" s="85" t="str">
        <f t="shared" si="36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103" s="82" t="str">
        <f t="shared" si="37"/>
        <v>"C:\Program Files (x86)\AstroGrep\AstroGrep.exe" /e /r /s /spath="%USERPROFILE%\AppData\Local\Temp\OnboardLogs" /stypes="app*4021*20170314*" /stext=" 22:.+((SYSTEM_STATE.+slice.+state.+changed )|(ment ac)|(multiple cpu faults)|(system.+state.+changed )|(\[timeout)|(PRM\|1\|D)|(kpr)|(kdp)|(\|lc)|(penalty))"</v>
      </c>
      <c r="AG103" s="1" t="str">
        <f t="shared" si="38"/>
        <v>EC</v>
      </c>
      <c r="AH103" s="86" t="str">
        <f t="shared" si="39"/>
        <v>"%USERPROFILE%\Documents\GitHub\eaglep3\Utilities\RefineRTDCRunTimes.py" --tripid 188-14 --locoid 4021 --swversion DE.1.0.9.0 --startMP 204:233055 --initTime 2017-03-14T15:10:04 --startdatetime 2017-03-14T15:11:35 --delay 1 --endMP 204:141 --enddatetime 2017-03-14T16:09:02 --enforcementcount 0 &gt;&gt;C:\Users\stu\Documents\GitHub\eaglep3-reporting\EC\2017-03-14-refined-times.txt</v>
      </c>
      <c r="AI103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{"issue":{"subject":"","project_id":79,"tracker_id":40,"status_id":1,"priority_id":2,"assigned_to_id":23,"start_date":"2017-03-14","description":"","custom_fields":[{"id":1,"name":"Subdivision","value":"EC"},{"id":4,"name":"Milepost","value":"0.0141"},{"id":17,"name":"Train ID","value":"188-14"},{"id":16,"name":"Locomotive ID","value":"4021"},{"id":130,"name":"Impact","value":""},{"id":150,"name":"Time of Event (Mountain Time)","value":"16:09:02"},{"id":151,"name":"Denver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1"/>
        <v>start /low /b %USERPROFILE%\Documents\GitHub\eaglep3\Utilities\DownloadLogsFromS3.py --loco 4021 --day 2017-03-14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"%USERPROFILE%\AppData\Local\Temp\OnboardLogs"\RTDC4021\*4021*20170314* | grep -SE "(Enforcement Action)|(\[TIMEOUT)|(CHR.+\|PRM\|1\|D.+(SWITCH|SIGNAL).+UNKNOWN)" - &gt;&gt; 2017-03-14-UncaughtWiMAX.txt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583</v>
      </c>
      <c r="B104" s="7">
        <v>4009</v>
      </c>
      <c r="C104" s="21" t="s">
        <v>233</v>
      </c>
      <c r="D104" s="21" t="s">
        <v>438</v>
      </c>
      <c r="E104" s="13">
        <v>42808.610752314817</v>
      </c>
      <c r="F104" s="13">
        <v>42808.611956018518</v>
      </c>
      <c r="G104" s="7">
        <v>1</v>
      </c>
      <c r="H104" s="21" t="s">
        <v>858</v>
      </c>
      <c r="I104" s="13">
        <v>42808.640648148146</v>
      </c>
      <c r="J104" s="7">
        <v>0</v>
      </c>
      <c r="K104" s="98" t="str">
        <f t="shared" si="27"/>
        <v>4009/4010</v>
      </c>
      <c r="L104" s="21" t="str">
        <f>VLOOKUP(A104,'Trips&amp;Operators'!$C$1:$G$99999,5,FALSE)</f>
        <v>STRICKLAND EVAN</v>
      </c>
      <c r="M104" s="6">
        <f t="shared" si="28"/>
        <v>2.8692129628325347E-2</v>
      </c>
      <c r="N104" s="7">
        <f t="shared" si="42"/>
        <v>41.316666664788499</v>
      </c>
      <c r="O104" s="7"/>
      <c r="P104" s="7"/>
      <c r="Q104" s="22"/>
      <c r="R104" s="22"/>
      <c r="S104" s="31">
        <f t="shared" si="43"/>
        <v>1</v>
      </c>
      <c r="T104" s="46" t="str">
        <f t="shared" si="29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0"/>
        <v>https://d0f6bd738d7f1b3e5a7ca70fe4ff75f0.us-east-1.aws.found.io/app/kibana#/discover/Steve-Slow-Train-Analysis-(2080s-and-2083s)?_g=(refreshInterval:(display:Off,pause:!f,section:0,value:0),time:(from:'2017-03-14T13:39:29-0600',mode:absolute,to:'2017-03-14T16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4" s="187" t="str">
        <f t="shared" si="31"/>
        <v>N</v>
      </c>
      <c r="X104" s="187">
        <f t="shared" si="44"/>
        <v>1</v>
      </c>
      <c r="Y104" s="62">
        <f t="shared" si="32"/>
        <v>4.6399999999999997E-2</v>
      </c>
      <c r="Z104" s="62">
        <f t="shared" si="33"/>
        <v>23.3309</v>
      </c>
      <c r="AA104" s="62">
        <f t="shared" si="34"/>
        <v>23.284500000000001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5"/>
        <v>0189-14</v>
      </c>
      <c r="AE104" s="85" t="str">
        <f t="shared" si="36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104" s="82" t="str">
        <f t="shared" si="37"/>
        <v>"C:\Program Files (x86)\AstroGrep\AstroGrep.exe" /e /r /s /spath="%USERPROFILE%\AppData\Local\Temp\OnboardLogs" /stypes="app*4009*20170314*" /stext=" 21:.+((SYSTEM_STATE.+slice.+state.+changed )|(ment ac)|(multiple cpu faults)|(system.+state.+changed )|(\[timeout)|(PRM\|1\|D)|(kpr)|(kdp)|(\|lc)|(penalty))"</v>
      </c>
      <c r="AG104" s="1" t="str">
        <f t="shared" si="38"/>
        <v>EC</v>
      </c>
      <c r="AH104" s="86" t="str">
        <f t="shared" si="39"/>
        <v>"%USERPROFILE%\Documents\GitHub\eaglep3\Utilities\RefineRTDCRunTimes.py" --tripid 189-14 --locoid 4009 --swversion DE.1.0.9.0 --startMP 204:464 --initTime 2017-03-14T14:39:29 --startdatetime 2017-03-14T14:41:13 --delay 1 --endMP 204:233309 --enddatetime 2017-03-14T15:22:32 --enforcementcount 0 &gt;&gt;C:\Users\stu\Documents\GitHub\eaglep3-reporting\EC\2017-03-14-refined-times.txt</v>
      </c>
      <c r="AI104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{"issue":{"subject":"","project_id":79,"tracker_id":40,"status_id":1,"priority_id":2,"assigned_to_id":23,"start_date":"2017-03-14","description":"","custom_fields":[{"id":1,"name":"Subdivision","value":"EC"},{"id":4,"name":"Milepost","value":"23.3309"},{"id":17,"name":"Train ID","value":"189-14"},{"id":16,"name":"Locomotive ID","value":"4009"},{"id":130,"name":"Impact","value":""},{"id":150,"name":"Time of Event (Mountain Time)","value":"15:22:32"},{"id":151,"name":"Denver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1"/>
        <v>start /low /b %USERPROFILE%\Documents\GitHub\eaglep3\Utilities\DownloadLogsFromS3.py --loco 4009 --day 2017-03-14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"%USERPROFILE%\AppData\Local\Temp\OnboardLogs"\RTDC4009\*4009*20170314* | grep -SE "(Enforcement Action)|(\[TIMEOUT)|(CHR.+\|PRM\|1\|D.+(SWITCH|SIGNAL).+UNKNOWN)" - &gt;&gt; 2017-03-14-UncaughtWiMAX.txt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724</v>
      </c>
      <c r="B105" s="7">
        <v>4010</v>
      </c>
      <c r="C105" s="21" t="s">
        <v>233</v>
      </c>
      <c r="D105" s="21" t="s">
        <v>859</v>
      </c>
      <c r="E105" s="13">
        <v>42808.645613425928</v>
      </c>
      <c r="F105" s="13">
        <v>42808.646435185183</v>
      </c>
      <c r="G105" s="7">
        <v>1</v>
      </c>
      <c r="H105" s="21" t="s">
        <v>459</v>
      </c>
      <c r="I105" s="13">
        <v>42808.683344907404</v>
      </c>
      <c r="J105" s="7">
        <v>0</v>
      </c>
      <c r="K105" s="98" t="str">
        <f t="shared" si="27"/>
        <v>4009/4010</v>
      </c>
      <c r="L105" s="21" t="str">
        <f>VLOOKUP(A105,'Trips&amp;Operators'!$C$1:$G$99999,5,FALSE)</f>
        <v>STRICKLAND EVAN</v>
      </c>
      <c r="M105" s="6">
        <f t="shared" si="28"/>
        <v>3.6909722221025731E-2</v>
      </c>
      <c r="N105" s="7">
        <f t="shared" si="42"/>
        <v>53.149999998277053</v>
      </c>
      <c r="O105" s="7"/>
      <c r="P105" s="7"/>
      <c r="Q105" s="22"/>
      <c r="R105" s="22"/>
      <c r="S105" s="31">
        <f t="shared" si="43"/>
        <v>1</v>
      </c>
      <c r="T105" s="46" t="str">
        <f t="shared" si="29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0"/>
        <v>https://d0f6bd738d7f1b3e5a7ca70fe4ff75f0.us-east-1.aws.found.io/app/kibana#/discover/Steve-Slow-Train-Analysis-(2080s-and-2083s)?_g=(refreshInterval:(display:Off,pause:!f,section:0,value:0),time:(from:'2017-03-14T14:29:41-0600',mode:absolute,to:'2017-03-14T17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5" s="187" t="str">
        <f t="shared" si="31"/>
        <v>N</v>
      </c>
      <c r="X105" s="187">
        <f t="shared" si="44"/>
        <v>1</v>
      </c>
      <c r="Y105" s="62">
        <f t="shared" si="32"/>
        <v>23.3003</v>
      </c>
      <c r="Z105" s="62">
        <f t="shared" si="33"/>
        <v>1.38E-2</v>
      </c>
      <c r="AA105" s="62">
        <f t="shared" si="34"/>
        <v>23.2865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5"/>
        <v>0190-14</v>
      </c>
      <c r="AE105" s="85" t="str">
        <f t="shared" si="36"/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AF105" s="82" t="str">
        <f t="shared" si="37"/>
        <v>"C:\Program Files (x86)\AstroGrep\AstroGrep.exe" /e /r /s /spath="%USERPROFILE%\AppData\Local\Temp\OnboardLogs" /stypes="app*4010*20170314*" /stext=" 22:.+((SYSTEM_STATE.+slice.+state.+changed )|(ment ac)|(multiple cpu faults)|(system.+state.+changed )|(\[timeout)|(PRM\|1\|D)|(kpr)|(kdp)|(\|lc)|(penalty))"</v>
      </c>
      <c r="AG105" s="1" t="str">
        <f t="shared" si="38"/>
        <v>EC</v>
      </c>
      <c r="AH105" s="86" t="str">
        <f t="shared" si="39"/>
        <v>"%USERPROFILE%\Documents\GitHub\eaglep3\Utilities\RefineRTDCRunTimes.py" --tripid 190-14 --locoid 4010 --swversion DE.1.0.9.0 --startMP 204:233003 --initTime 2017-03-14T15:29:41 --startdatetime 2017-03-14T15:30:52 --delay 1 --endMP 204:138 --enddatetime 2017-03-14T16:24:01 --enforcementcount 0 &gt;&gt;C:\Users\stu\Documents\GitHub\eaglep3-reporting\EC\2017-03-14-refined-times.txt</v>
      </c>
      <c r="AI105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{"issue":{"subject":"","project_id":79,"tracker_id":40,"status_id":1,"priority_id":2,"assigned_to_id":23,"start_date":"2017-03-14","description":"","custom_fields":[{"id":1,"name":"Subdivision","value":"EC"},{"id":4,"name":"Milepost","value":"0.0138"},{"id":17,"name":"Train ID","value":"190-14"},{"id":16,"name":"Locomotive ID","value":"4010"},{"id":130,"name":"Impact","value":""},{"id":150,"name":"Time of Event (Mountain Time)","value":"16:24:01"},{"id":151,"name":"Denver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1"/>
        <v>start /low /b %USERPROFILE%\Documents\GitHub\eaglep3\Utilities\DownloadLogsFromS3.py --loco 4010 --day 2017-03-14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"%USERPROFILE%\AppData\Local\Temp\OnboardLogs"\RTDC4010\*4010*20170314* | grep -SE "(Enforcement Action)|(\[TIMEOUT)|(CHR.+\|PRM\|1\|D.+(SWITCH|SIGNAL).+UNKNOWN)" - &gt;&gt; 2017-03-14-UncaughtWiMAX.txt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719</v>
      </c>
      <c r="B106" s="7">
        <v>4031</v>
      </c>
      <c r="C106" s="21" t="s">
        <v>233</v>
      </c>
      <c r="D106" s="21" t="s">
        <v>860</v>
      </c>
      <c r="E106" s="13">
        <v>42808.621064814812</v>
      </c>
      <c r="F106" s="13">
        <v>42808.622129629628</v>
      </c>
      <c r="G106" s="7">
        <v>1</v>
      </c>
      <c r="H106" s="21" t="s">
        <v>235</v>
      </c>
      <c r="I106" s="13">
        <v>42808.651006944441</v>
      </c>
      <c r="J106" s="7">
        <v>0</v>
      </c>
      <c r="K106" s="98" t="str">
        <f t="shared" si="27"/>
        <v>4031/4032</v>
      </c>
      <c r="L106" s="21" t="str">
        <f>VLOOKUP(A106,'Trips&amp;Operators'!$C$1:$G$99999,5,FALSE)</f>
        <v>LEVERE CRAIG</v>
      </c>
      <c r="M106" s="6">
        <f t="shared" si="28"/>
        <v>2.8877314813144039E-2</v>
      </c>
      <c r="N106" s="7">
        <f t="shared" si="42"/>
        <v>41.583333330927417</v>
      </c>
      <c r="O106" s="7"/>
      <c r="P106" s="7"/>
      <c r="Q106" s="22"/>
      <c r="R106" s="22"/>
      <c r="S106" s="31">
        <f t="shared" si="43"/>
        <v>1</v>
      </c>
      <c r="T106" s="46" t="str">
        <f t="shared" si="29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0"/>
        <v>https://d0f6bd738d7f1b3e5a7ca70fe4ff75f0.us-east-1.aws.found.io/app/kibana#/discover/Steve-Slow-Train-Analysis-(2080s-and-2083s)?_g=(refreshInterval:(display:Off,pause:!f,section:0,value:0),time:(from:'2017-03-14T13:54:20-0600',mode:absolute,to:'2017-03-14T16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6" s="187" t="str">
        <f t="shared" si="31"/>
        <v>N</v>
      </c>
      <c r="X106" s="187">
        <f t="shared" si="44"/>
        <v>1</v>
      </c>
      <c r="Y106" s="62">
        <f t="shared" si="32"/>
        <v>4.24E-2</v>
      </c>
      <c r="Z106" s="62">
        <f t="shared" si="33"/>
        <v>23.331399999999999</v>
      </c>
      <c r="AA106" s="62">
        <f t="shared" si="34"/>
        <v>23.288999999999998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5"/>
        <v>0191-14</v>
      </c>
      <c r="AE106" s="85" t="str">
        <f t="shared" si="36"/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AF106" s="82" t="str">
        <f t="shared" si="37"/>
        <v>"C:\Program Files (x86)\AstroGrep\AstroGrep.exe" /e /r /s /spath="%USERPROFILE%\AppData\Local\Temp\OnboardLogs" /stypes="app*4031*20170314*" /stext=" 21:.+((SYSTEM_STATE.+slice.+state.+changed )|(ment ac)|(multiple cpu faults)|(system.+state.+changed )|(\[timeout)|(PRM\|1\|D)|(kpr)|(kdp)|(\|lc)|(penalty))"</v>
      </c>
      <c r="AG106" s="1" t="str">
        <f t="shared" si="38"/>
        <v>EC</v>
      </c>
      <c r="AH106" s="86" t="str">
        <f t="shared" si="39"/>
        <v>"%USERPROFILE%\Documents\GitHub\eaglep3\Utilities\RefineRTDCRunTimes.py" --tripid 191-14 --locoid 4031 --swversion DE.1.0.9.0 --startMP 204:424 --initTime 2017-03-14T14:54:20 --startdatetime 2017-03-14T14:55:52 --delay 1 --endMP 204:233314 --enddatetime 2017-03-14T15:37:27 --enforcementcount 0 &gt;&gt;C:\Users\stu\Documents\GitHub\eaglep3-reporting\EC\2017-03-14-refined-times.txt</v>
      </c>
      <c r="AI106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{"issue":{"subject":"","project_id":79,"tracker_id":40,"status_id":1,"priority_id":2,"assigned_to_id":23,"start_date":"2017-03-14","description":"","custom_fields":[{"id":1,"name":"Subdivision","value":"EC"},{"id":4,"name":"Milepost","value":"23.3314"},{"id":17,"name":"Train ID","value":"191-14"},{"id":16,"name":"Locomotive ID","value":"4031"},{"id":130,"name":"Impact","value":""},{"id":150,"name":"Time of Event (Mountain Time)","value":"15:37:27"},{"id":151,"name":"Denver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1"/>
        <v>start /low /b %USERPROFILE%\Documents\GitHub\eaglep3\Utilities\DownloadLogsFromS3.py --loco 4031 --day 2017-03-14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"%USERPROFILE%\AppData\Local\Temp\OnboardLogs"\RTDC4031\*4031*20170314* | grep -SE "(Enforcement Action)|(\[TIMEOUT)|(CHR.+\|PRM\|1\|D.+(SWITCH|SIGNAL).+UNKNOWN)" - &gt;&gt; 2017-03-14-UncaughtWiMAX.txt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728</v>
      </c>
      <c r="B107" s="7">
        <v>4032</v>
      </c>
      <c r="C107" s="21" t="s">
        <v>233</v>
      </c>
      <c r="D107" s="21" t="s">
        <v>484</v>
      </c>
      <c r="E107" s="13">
        <v>42808.657187500001</v>
      </c>
      <c r="F107" s="13">
        <v>42808.657893518517</v>
      </c>
      <c r="G107" s="7">
        <v>1</v>
      </c>
      <c r="H107" s="21" t="s">
        <v>223</v>
      </c>
      <c r="I107" s="13">
        <v>42808.694282407407</v>
      </c>
      <c r="J107" s="7">
        <v>0</v>
      </c>
      <c r="K107" s="98" t="str">
        <f t="shared" si="27"/>
        <v>4031/4032</v>
      </c>
      <c r="L107" s="21" t="str">
        <f>VLOOKUP(A107,'Trips&amp;Operators'!$C$1:$G$99999,5,FALSE)</f>
        <v>LEVERE CRAIG</v>
      </c>
      <c r="M107" s="6">
        <f t="shared" si="28"/>
        <v>3.6388888889632653E-2</v>
      </c>
      <c r="N107" s="7">
        <f t="shared" si="42"/>
        <v>52.400000001071021</v>
      </c>
      <c r="O107" s="7"/>
      <c r="P107" s="7"/>
      <c r="Q107" s="22"/>
      <c r="R107" s="22"/>
      <c r="S107" s="31">
        <f t="shared" si="43"/>
        <v>1</v>
      </c>
      <c r="T107" s="46" t="str">
        <f t="shared" si="29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0"/>
        <v>https://d0f6bd738d7f1b3e5a7ca70fe4ff75f0.us-east-1.aws.found.io/app/kibana#/discover/Steve-Slow-Train-Analysis-(2080s-and-2083s)?_g=(refreshInterval:(display:Off,pause:!f,section:0,value:0),time:(from:'2017-03-14T14:46:21-0600',mode:absolute,to:'2017-03-14T17:39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187" t="str">
        <f t="shared" si="31"/>
        <v>N</v>
      </c>
      <c r="X107" s="187">
        <f t="shared" si="44"/>
        <v>1</v>
      </c>
      <c r="Y107" s="62">
        <f t="shared" si="32"/>
        <v>23.299800000000001</v>
      </c>
      <c r="Z107" s="62">
        <f t="shared" si="33"/>
        <v>1.5599999999999999E-2</v>
      </c>
      <c r="AA107" s="62">
        <f t="shared" si="34"/>
        <v>23.284200000000002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5"/>
        <v>0192-14</v>
      </c>
      <c r="AE107" s="85" t="str">
        <f t="shared" si="36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107" s="82" t="str">
        <f t="shared" si="37"/>
        <v>"C:\Program Files (x86)\AstroGrep\AstroGrep.exe" /e /r /s /spath="%USERPROFILE%\AppData\Local\Temp\OnboardLogs" /stypes="app*4032*20170314*" /stext=" 22:.+((SYSTEM_STATE.+slice.+state.+changed )|(ment ac)|(multiple cpu faults)|(system.+state.+changed )|(\[timeout)|(PRM\|1\|D)|(kpr)|(kdp)|(\|lc)|(penalty))"</v>
      </c>
      <c r="AG107" s="1" t="str">
        <f t="shared" si="38"/>
        <v>EC</v>
      </c>
      <c r="AH107" s="86" t="str">
        <f t="shared" si="39"/>
        <v>"%USERPROFILE%\Documents\GitHub\eaglep3\Utilities\RefineRTDCRunTimes.py" --tripid 192-14 --locoid 4032 --swversion DE.1.0.9.0 --startMP 204:232998 --initTime 2017-03-14T15:46:21 --startdatetime 2017-03-14T15:47:22 --delay 1 --endMP 204:156 --enddatetime 2017-03-14T16:39:46 --enforcementcount 0 &gt;&gt;C:\Users\stu\Documents\GitHub\eaglep3-reporting\EC\2017-03-14-refined-times.txt</v>
      </c>
      <c r="AI107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{"issue":{"subject":"","project_id":79,"tracker_id":40,"status_id":1,"priority_id":2,"assigned_to_id":23,"start_date":"2017-03-14","description":"","custom_fields":[{"id":1,"name":"Subdivision","value":"EC"},{"id":4,"name":"Milepost","value":"0.0156"},{"id":17,"name":"Train ID","value":"192-14"},{"id":16,"name":"Locomotive ID","value":"4032"},{"id":130,"name":"Impact","value":""},{"id":150,"name":"Time of Event (Mountain Time)","value":"16:39:46"},{"id":151,"name":"Denver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1"/>
        <v>start /low /b %USERPROFILE%\Documents\GitHub\eaglep3\Utilities\DownloadLogsFromS3.py --loco 4032 --day 2017-03-14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"%USERPROFILE%\AppData\Local\Temp\OnboardLogs"\RTDC4032\*4032*20170314* | grep -SE "(Enforcement Action)|(\[TIMEOUT)|(CHR.+\|PRM\|1\|D.+(SWITCH|SIGNAL).+UNKNOWN)" - &gt;&gt; 2017-03-14-UncaughtWiMAX.txt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720</v>
      </c>
      <c r="B108" s="7">
        <v>4053</v>
      </c>
      <c r="C108" s="21" t="s">
        <v>233</v>
      </c>
      <c r="D108" s="21" t="s">
        <v>243</v>
      </c>
      <c r="E108" s="13">
        <v>42808.63082175926</v>
      </c>
      <c r="F108" s="13">
        <v>42808.631597222222</v>
      </c>
      <c r="G108" s="7">
        <v>1</v>
      </c>
      <c r="H108" s="21" t="s">
        <v>538</v>
      </c>
      <c r="I108" s="13">
        <v>42808.66777777778</v>
      </c>
      <c r="J108" s="7">
        <v>0</v>
      </c>
      <c r="K108" s="98" t="str">
        <f t="shared" si="27"/>
        <v>4053/4054</v>
      </c>
      <c r="L108" s="21" t="str">
        <f>VLOOKUP(A108,'Trips&amp;Operators'!$C$1:$G$99999,5,FALSE)</f>
        <v>CLARK KATHLEEN</v>
      </c>
      <c r="M108" s="6">
        <f t="shared" si="28"/>
        <v>3.6180555558530614E-2</v>
      </c>
      <c r="N108" s="7">
        <f t="shared" si="42"/>
        <v>52.100000004284084</v>
      </c>
      <c r="O108" s="7"/>
      <c r="P108" s="7"/>
      <c r="Q108" s="22"/>
      <c r="R108" s="22"/>
      <c r="S108" s="31">
        <f t="shared" si="43"/>
        <v>1</v>
      </c>
      <c r="T108" s="46" t="str">
        <f t="shared" si="29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0"/>
        <v>https://d0f6bd738d7f1b3e5a7ca70fe4ff75f0.us-east-1.aws.found.io/app/kibana#/discover/Steve-Slow-Train-Analysis-(2080s-and-2083s)?_g=(refreshInterval:(display:Off,pause:!f,section:0,value:0),time:(from:'2017-03-14T14:08:23-0600',mode:absolute,to:'2017-03-14T17:01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8" s="187" t="str">
        <f t="shared" si="31"/>
        <v>N</v>
      </c>
      <c r="X108" s="187">
        <f t="shared" si="44"/>
        <v>1</v>
      </c>
      <c r="Y108" s="62">
        <f t="shared" si="32"/>
        <v>4.7300000000000002E-2</v>
      </c>
      <c r="Z108" s="62">
        <f t="shared" si="33"/>
        <v>23.327200000000001</v>
      </c>
      <c r="AA108" s="62">
        <f t="shared" si="34"/>
        <v>23.279900000000001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5"/>
        <v>0193-14</v>
      </c>
      <c r="AE108" s="85" t="str">
        <f t="shared" si="36"/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AF108" s="82" t="str">
        <f t="shared" si="37"/>
        <v>"C:\Program Files (x86)\AstroGrep\AstroGrep.exe" /e /r /s /spath="%USERPROFILE%\AppData\Local\Temp\OnboardLogs" /stypes="app*4053*20170314*" /stext=" 22:.+((SYSTEM_STATE.+slice.+state.+changed )|(ment ac)|(multiple cpu faults)|(system.+state.+changed )|(\[timeout)|(PRM\|1\|D)|(kpr)|(kdp)|(\|lc)|(penalty))"</v>
      </c>
      <c r="AG108" s="1" t="str">
        <f t="shared" si="38"/>
        <v>EC</v>
      </c>
      <c r="AH108" s="86" t="str">
        <f t="shared" si="39"/>
        <v>"%USERPROFILE%\Documents\GitHub\eaglep3\Utilities\RefineRTDCRunTimes.py" --tripid 193-14 --locoid 4053 --swversion DE.1.0.9.0 --startMP 204:473 --initTime 2017-03-14T15:08:23 --startdatetime 2017-03-14T15:09:30 --delay 1 --endMP 204:233272 --enddatetime 2017-03-14T16:01:36 --enforcementcount 0 &gt;&gt;C:\Users\stu\Documents\GitHub\eaglep3-reporting\EC\2017-03-14-refined-times.txt</v>
      </c>
      <c r="AI108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{"issue":{"subject":"","project_id":79,"tracker_id":40,"status_id":1,"priority_id":2,"assigned_to_id":23,"start_date":"2017-03-14","description":"","custom_fields":[{"id":1,"name":"Subdivision","value":"EC"},{"id":4,"name":"Milepost","value":"23.3272"},{"id":17,"name":"Train ID","value":"193-14"},{"id":16,"name":"Locomotive ID","value":"4053"},{"id":130,"name":"Impact","value":""},{"id":150,"name":"Time of Event (Mountain Time)","value":"16:01:36"},{"id":151,"name":"Denver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1"/>
        <v>start /low /b %USERPROFILE%\Documents\GitHub\eaglep3\Utilities\DownloadLogsFromS3.py --loco 4053 --day 2017-03-14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"%USERPROFILE%\AppData\Local\Temp\OnboardLogs"\RTDC4053\*4053*20170314* | grep -SE "(Enforcement Action)|(\[TIMEOUT)|(CHR.+\|PRM\|1\|D.+(SWITCH|SIGNAL).+UNKNOWN)" - &gt;&gt; 2017-03-14-UncaughtWiMAX.txt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730</v>
      </c>
      <c r="B109" s="7">
        <v>4054</v>
      </c>
      <c r="C109" s="21" t="s">
        <v>233</v>
      </c>
      <c r="D109" s="21" t="s">
        <v>539</v>
      </c>
      <c r="E109" s="13">
        <v>42808.671087962961</v>
      </c>
      <c r="F109" s="13">
        <v>42808.671909722223</v>
      </c>
      <c r="G109" s="7">
        <v>1</v>
      </c>
      <c r="H109" s="21" t="s">
        <v>861</v>
      </c>
      <c r="I109" s="13">
        <v>42808.703553240739</v>
      </c>
      <c r="J109" s="7">
        <v>0</v>
      </c>
      <c r="K109" s="98" t="str">
        <f t="shared" si="27"/>
        <v>4053/4054</v>
      </c>
      <c r="L109" s="21" t="str">
        <f>VLOOKUP(A109,'Trips&amp;Operators'!$C$1:$G$99999,5,FALSE)</f>
        <v>CLARK KATHLEEN</v>
      </c>
      <c r="M109" s="6">
        <f t="shared" si="28"/>
        <v>3.1643518515920732E-2</v>
      </c>
      <c r="N109" s="7">
        <f t="shared" si="42"/>
        <v>45.566666662925854</v>
      </c>
      <c r="O109" s="7"/>
      <c r="P109" s="7"/>
      <c r="Q109" s="22"/>
      <c r="R109" s="22"/>
      <c r="S109" s="31">
        <f t="shared" si="43"/>
        <v>1</v>
      </c>
      <c r="T109" s="46" t="str">
        <f t="shared" si="29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0"/>
        <v>https://d0f6bd738d7f1b3e5a7ca70fe4ff75f0.us-east-1.aws.found.io/app/kibana#/discover/Steve-Slow-Train-Analysis-(2080s-and-2083s)?_g=(refreshInterval:(display:Off,pause:!f,section:0,value:0),time:(from:'2017-03-14T15:06:22-0600',mode:absolute,to:'2017-03-14T17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187" t="str">
        <f t="shared" si="31"/>
        <v>N</v>
      </c>
      <c r="X109" s="187">
        <f t="shared" si="44"/>
        <v>1</v>
      </c>
      <c r="Y109" s="62">
        <f t="shared" si="32"/>
        <v>23.295500000000001</v>
      </c>
      <c r="Z109" s="62">
        <f t="shared" ref="Z109:Z140" si="45">RIGHT(H109,LEN(H109)-4)/10000</f>
        <v>2.58E-2</v>
      </c>
      <c r="AA109" s="62">
        <f t="shared" si="34"/>
        <v>23.2697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5"/>
        <v>0194-14</v>
      </c>
      <c r="AE109" s="85" t="str">
        <f t="shared" si="36"/>
        <v>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 &amp; 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</v>
      </c>
      <c r="AF109" s="82" t="str">
        <f t="shared" si="37"/>
        <v>"C:\Program Files (x86)\AstroGrep\AstroGrep.exe" /e /r /s /spath="%USERPROFILE%\AppData\Local\Temp\OnboardLogs" /stypes="app*4054*20170314*" /stext=" 22:.+((SYSTEM_STATE.+slice.+state.+changed )|(ment ac)|(multiple cpu faults)|(system.+state.+changed )|(\[timeout)|(PRM\|1\|D)|(kpr)|(kdp)|(\|lc)|(penalty))"</v>
      </c>
      <c r="AG109" s="1" t="str">
        <f t="shared" si="38"/>
        <v>EC</v>
      </c>
      <c r="AH109" s="86" t="str">
        <f t="shared" si="39"/>
        <v>"%USERPROFILE%\Documents\GitHub\eaglep3\Utilities\RefineRTDCRunTimes.py" --tripid 194-14 --locoid 4054 --swversion DE.1.0.9.0 --startMP 204:232955 --initTime 2017-03-14T16:06:22 --startdatetime 2017-03-14T16:07:33 --delay 1 --endMP 204:258 --enddatetime 2017-03-14T16:53:07 --enforcementcount 0 &gt;&gt;C:\Users\stu\Documents\GitHub\eaglep3-reporting\EC\2017-03-14-refined-times.txt</v>
      </c>
      <c r="AI109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{"issue":{"subject":"","project_id":79,"tracker_id":40,"status_id":1,"priority_id":2,"assigned_to_id":23,"start_date":"2017-03-14","description":"","custom_fields":[{"id":1,"name":"Subdivision","value":"EC"},{"id":4,"name":"Milepost","value":"0.0258"},{"id":17,"name":"Train ID","value":"194-14"},{"id":16,"name":"Locomotive ID","value":"4054"},{"id":130,"name":"Impact","value":""},{"id":150,"name":"Time of Event (Mountain Time)","value":"16:53:07"},{"id":151,"name":"Denver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1"/>
        <v>start /low /b %USERPROFILE%\Documents\GitHub\eaglep3\Utilities\DownloadLogsFromS3.py --loco 4054 --day 2017-03-14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"%USERPROFILE%\AppData\Local\Temp\OnboardLogs"\RTDC4054\*4054*20170314* | grep -SE "(Enforcement Action)|(\[TIMEOUT)|(CHR.+\|PRM\|1\|D.+(SWITCH|SIGNAL).+UNKNOWN)" - &gt;&gt; 2017-03-14-UncaughtWiMAX.txt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722</v>
      </c>
      <c r="B110" s="7">
        <v>4051</v>
      </c>
      <c r="C110" s="21" t="s">
        <v>233</v>
      </c>
      <c r="D110" s="21" t="s">
        <v>234</v>
      </c>
      <c r="E110" s="13">
        <v>42808.642546296294</v>
      </c>
      <c r="F110" s="13">
        <v>42808.643506944441</v>
      </c>
      <c r="G110" s="7">
        <v>1</v>
      </c>
      <c r="H110" s="21" t="s">
        <v>528</v>
      </c>
      <c r="I110" s="13">
        <v>42808.67150462963</v>
      </c>
      <c r="J110" s="7">
        <v>0</v>
      </c>
      <c r="K110" s="98" t="str">
        <f t="shared" si="27"/>
        <v>4051/4052</v>
      </c>
      <c r="L110" s="21" t="str">
        <f>VLOOKUP(A110,'Trips&amp;Operators'!$C$1:$G$99999,5,FALSE)</f>
        <v>MOSES BRADLEY</v>
      </c>
      <c r="M110" s="6">
        <f t="shared" si="28"/>
        <v>2.7997685188893229E-2</v>
      </c>
      <c r="N110" s="7">
        <f t="shared" si="42"/>
        <v>40.316666672006249</v>
      </c>
      <c r="O110" s="7"/>
      <c r="P110" s="7"/>
      <c r="Q110" s="22"/>
      <c r="R110" s="22"/>
      <c r="S110" s="31">
        <f t="shared" si="43"/>
        <v>1</v>
      </c>
      <c r="T110" s="46" t="str">
        <f t="shared" si="29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0"/>
        <v>https://d0f6bd738d7f1b3e5a7ca70fe4ff75f0.us-east-1.aws.found.io/app/kibana#/discover/Steve-Slow-Train-Analysis-(2080s-and-2083s)?_g=(refreshInterval:(display:Off,pause:!f,section:0,value:0),time:(from:'2017-03-14T14:25:16-0600',mode:absolute,to:'2017-03-14T17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0" s="187" t="str">
        <f t="shared" si="31"/>
        <v>N</v>
      </c>
      <c r="X110" s="187">
        <f t="shared" si="44"/>
        <v>1</v>
      </c>
      <c r="Y110" s="62">
        <f t="shared" si="32"/>
        <v>4.58E-2</v>
      </c>
      <c r="Z110" s="62">
        <f t="shared" si="45"/>
        <v>23.331900000000001</v>
      </c>
      <c r="AA110" s="62">
        <f t="shared" si="34"/>
        <v>23.286100000000001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5"/>
        <v>0195-14</v>
      </c>
      <c r="AE110" s="85" t="str">
        <f t="shared" si="36"/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110" s="82" t="str">
        <f t="shared" si="37"/>
        <v>"C:\Program Files (x86)\AstroGrep\AstroGrep.exe" /e /r /s /spath="%USERPROFILE%\AppData\Local\Temp\OnboardLogs" /stypes="app*4051*20170314*" /stext=" 22:.+((SYSTEM_STATE.+slice.+state.+changed )|(ment ac)|(multiple cpu faults)|(system.+state.+changed )|(\[timeout)|(PRM\|1\|D)|(kpr)|(kdp)|(\|lc)|(penalty))"</v>
      </c>
      <c r="AG110" s="1" t="str">
        <f t="shared" si="38"/>
        <v>EC</v>
      </c>
      <c r="AH110" s="86" t="str">
        <f t="shared" si="39"/>
        <v>"%USERPROFILE%\Documents\GitHub\eaglep3\Utilities\RefineRTDCRunTimes.py" --tripid 195-14 --locoid 4051 --swversion DE.1.0.9.0 --startMP 204:458 --initTime 2017-03-14T15:25:16 --startdatetime 2017-03-14T15:26:39 --delay 1 --endMP 204:233319 --enddatetime 2017-03-14T16:06:58 --enforcementcount 0 &gt;&gt;C:\Users\stu\Documents\GitHub\eaglep3-reporting\EC\2017-03-14-refined-times.txt</v>
      </c>
      <c r="AI110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{"issue":{"subject":"","project_id":79,"tracker_id":40,"status_id":1,"priority_id":2,"assigned_to_id":23,"start_date":"2017-03-14","description":"","custom_fields":[{"id":1,"name":"Subdivision","value":"EC"},{"id":4,"name":"Milepost","value":"23.3319"},{"id":17,"name":"Train ID","value":"195-14"},{"id":16,"name":"Locomotive ID","value":"4051"},{"id":130,"name":"Impact","value":""},{"id":150,"name":"Time of Event (Mountain Time)","value":"16:06:58"},{"id":151,"name":"Denver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1"/>
        <v>start /low /b %USERPROFILE%\Documents\GitHub\eaglep3\Utilities\DownloadLogsFromS3.py --loco 4051 --day 2017-03-14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"%USERPROFILE%\AppData\Local\Temp\OnboardLogs"\RTDC4051\*4051*20170314* | grep -SE "(Enforcement Action)|(\[TIMEOUT)|(CHR.+\|PRM\|1\|D.+(SWITCH|SIGNAL).+UNKNOWN)" - &gt;&gt; 2017-03-14-UncaughtWiMAX.txt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734</v>
      </c>
      <c r="B111" s="7">
        <v>4052</v>
      </c>
      <c r="C111" s="21" t="s">
        <v>233</v>
      </c>
      <c r="D111" s="21" t="s">
        <v>395</v>
      </c>
      <c r="E111" s="13">
        <v>42808.681446759256</v>
      </c>
      <c r="F111" s="13">
        <v>42808.682164351849</v>
      </c>
      <c r="G111" s="7">
        <v>1</v>
      </c>
      <c r="H111" s="21" t="s">
        <v>841</v>
      </c>
      <c r="I111" s="13">
        <v>42808.713101851848</v>
      </c>
      <c r="J111" s="7">
        <v>0</v>
      </c>
      <c r="K111" s="98" t="str">
        <f t="shared" si="27"/>
        <v>4051/4052</v>
      </c>
      <c r="L111" s="21" t="str">
        <f>VLOOKUP(A111,'Trips&amp;Operators'!$C$1:$G$99999,5,FALSE)</f>
        <v>MOSES BRADLEY</v>
      </c>
      <c r="M111" s="6">
        <f t="shared" si="28"/>
        <v>3.0937499999708962E-2</v>
      </c>
      <c r="N111" s="7">
        <f t="shared" si="42"/>
        <v>44.549999999580905</v>
      </c>
      <c r="O111" s="7"/>
      <c r="P111" s="7"/>
      <c r="Q111" s="22"/>
      <c r="R111" s="22"/>
      <c r="S111" s="31">
        <f t="shared" si="43"/>
        <v>1</v>
      </c>
      <c r="T111" s="46" t="str">
        <f t="shared" si="29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0"/>
        <v>https://d0f6bd738d7f1b3e5a7ca70fe4ff75f0.us-east-1.aws.found.io/app/kibana#/discover/Steve-Slow-Train-Analysis-(2080s-and-2083s)?_g=(refreshInterval:(display:Off,pause:!f,section:0,value:0),time:(from:'2017-03-14T15:21:17-0600',mode:absolute,to:'2017-03-14T18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1" s="187" t="str">
        <f t="shared" si="31"/>
        <v>N</v>
      </c>
      <c r="X111" s="187">
        <f t="shared" si="44"/>
        <v>1</v>
      </c>
      <c r="Y111" s="62">
        <f t="shared" si="32"/>
        <v>23.299299999999999</v>
      </c>
      <c r="Z111" s="62">
        <f t="shared" si="45"/>
        <v>1.6299999999999999E-2</v>
      </c>
      <c r="AA111" s="62">
        <f t="shared" si="34"/>
        <v>23.282999999999998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5"/>
        <v>0196-14</v>
      </c>
      <c r="AE111" s="85" t="str">
        <f t="shared" si="36"/>
        <v>aws s3 cp s3://rtdc.mdm.uploadarchive.raw/RTDC4052/ "%USERPROFILE%\AppData\Local\Temp\OnboardLogs"\RTDC4052\2017-03-14 --exclude "*" --recursive --include "*20170314*" &amp; "%USERPROFILE%\Documents\GitHub\mrs-test-scripts\Headless Mode &amp; Sideloading\WalkAndUnGZ.bat" "%USERPROFILE%\AppData\Local\Temp\OnboardLogs"\RTDC4052\2017-03-14 &amp; 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</v>
      </c>
      <c r="AF111" s="82" t="str">
        <f t="shared" si="37"/>
        <v>"C:\Program Files (x86)\AstroGrep\AstroGrep.exe" /e /r /s /spath="%USERPROFILE%\AppData\Local\Temp\OnboardLogs" /stypes="app*4052*20170314*" /stext=" 23:.+((SYSTEM_STATE.+slice.+state.+changed )|(ment ac)|(multiple cpu faults)|(system.+state.+changed )|(\[timeout)|(PRM\|1\|D)|(kpr)|(kdp)|(\|lc)|(penalty))"</v>
      </c>
      <c r="AG111" s="1" t="str">
        <f t="shared" si="38"/>
        <v>EC</v>
      </c>
      <c r="AH111" s="86" t="str">
        <f t="shared" si="39"/>
        <v>"%USERPROFILE%\Documents\GitHub\eaglep3\Utilities\RefineRTDCRunTimes.py" --tripid 196-14 --locoid 4052 --swversion DE.1.0.9.0 --startMP 204:232993 --initTime 2017-03-14T16:21:17 --startdatetime 2017-03-14T16:22:19 --delay 1 --endMP 204:163 --enddatetime 2017-03-14T17:06:52 --enforcementcount 0 &gt;&gt;C:\Users\stu\Documents\GitHub\eaglep3-reporting\EC\2017-03-14-refined-times.txt</v>
      </c>
      <c r="AI111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{"issue":{"subject":"","project_id":79,"tracker_id":40,"status_id":1,"priority_id":2,"assigned_to_id":23,"start_date":"2017-03-14","description":"","custom_fields":[{"id":1,"name":"Subdivision","value":"EC"},{"id":4,"name":"Milepost","value":"0.0163"},{"id":17,"name":"Train ID","value":"196-14"},{"id":16,"name":"Locomotive ID","value":"4052"},{"id":130,"name":"Impact","value":""},{"id":150,"name":"Time of Event (Mountain Time)","value":"17:06:52"},{"id":151,"name":"Denver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1"/>
        <v>start /low /b %USERPROFILE%\Documents\GitHub\eaglep3\Utilities\DownloadLogsFromS3.py --loco 4052 --day 2017-03-14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"%USERPROFILE%\AppData\Local\Temp\OnboardLogs"\RTDC4052\*4052*20170314* | grep -SE "(Enforcement Action)|(\[TIMEOUT)|(CHR.+\|PRM\|1\|D.+(SWITCH|SIGNAL).+UNKNOWN)" - &gt;&gt; 2017-03-14-UncaughtWiMAX.txt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3" t="s">
        <v>726</v>
      </c>
      <c r="B112" s="7">
        <v>4018</v>
      </c>
      <c r="C112" s="21" t="s">
        <v>233</v>
      </c>
      <c r="D112" s="21" t="s">
        <v>227</v>
      </c>
      <c r="E112" s="13">
        <v>42808.652430555558</v>
      </c>
      <c r="F112" s="13">
        <v>42808.653807870367</v>
      </c>
      <c r="G112" s="7">
        <v>1</v>
      </c>
      <c r="H112" s="21" t="s">
        <v>851</v>
      </c>
      <c r="I112" s="13">
        <v>42808.681435185186</v>
      </c>
      <c r="J112" s="7">
        <v>0</v>
      </c>
      <c r="K112" s="98" t="str">
        <f t="shared" si="27"/>
        <v>4017/4018</v>
      </c>
      <c r="L112" s="21" t="str">
        <f>VLOOKUP(A112,'Trips&amp;Operators'!$C$1:$G$99999,5,FALSE)</f>
        <v>ROMERO CHAD</v>
      </c>
      <c r="M112" s="6">
        <f t="shared" si="28"/>
        <v>2.7627314819255844E-2</v>
      </c>
      <c r="N112" s="7">
        <f t="shared" si="42"/>
        <v>39.783333339728415</v>
      </c>
      <c r="O112" s="7"/>
      <c r="P112" s="7"/>
      <c r="Q112" s="22"/>
      <c r="R112" s="22"/>
      <c r="S112" s="31">
        <f t="shared" si="43"/>
        <v>1</v>
      </c>
      <c r="T112" s="46" t="str">
        <f t="shared" si="29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0"/>
        <v>https://d0f6bd738d7f1b3e5a7ca70fe4ff75f0.us-east-1.aws.found.io/app/kibana#/discover/Steve-Slow-Train-Analysis-(2080s-and-2083s)?_g=(refreshInterval:(display:Off,pause:!f,section:0,value:0),time:(from:'2017-03-14T14:39:30-0600',mode:absolute,to:'2017-03-14T17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2" s="187" t="str">
        <f t="shared" si="31"/>
        <v>N</v>
      </c>
      <c r="X112" s="187">
        <f t="shared" si="44"/>
        <v>1</v>
      </c>
      <c r="Y112" s="62">
        <f t="shared" si="32"/>
        <v>4.4699999999999997E-2</v>
      </c>
      <c r="Z112" s="62">
        <f t="shared" si="45"/>
        <v>23.339500000000001</v>
      </c>
      <c r="AA112" s="62">
        <f t="shared" si="34"/>
        <v>23.294800000000002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5"/>
        <v>0197-14</v>
      </c>
      <c r="AE112" s="85" t="str">
        <f t="shared" si="36"/>
        <v>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 &amp; aws s3 cp s3://rtdc.mdm.uploadarchive.raw/RTDC4018/ "%USERPROFILE%\AppData\Local\Temp\OnboardLogs"\RTDC4018\2017-03-15 --exclude "*" --recursive --include "*20170315*" &amp; "%USERPROFILE%\Documents\GitHub\mrs-test-scripts\Headless Mode &amp; Sideloading\WalkAndUnGZ.bat" "%USERPROFILE%\AppData\Local\Temp\OnboardLogs"\RTDC4018\2017-03-15</v>
      </c>
      <c r="AF112" s="82" t="str">
        <f t="shared" si="37"/>
        <v>"C:\Program Files (x86)\AstroGrep\AstroGrep.exe" /e /r /s /spath="%USERPROFILE%\AppData\Local\Temp\OnboardLogs" /stypes="app*4018*20170314*" /stext=" 22:.+((SYSTEM_STATE.+slice.+state.+changed )|(ment ac)|(multiple cpu faults)|(system.+state.+changed )|(\[timeout)|(PRM\|1\|D)|(kpr)|(kdp)|(\|lc)|(penalty))"</v>
      </c>
      <c r="AG112" s="1" t="str">
        <f t="shared" si="38"/>
        <v>EC</v>
      </c>
      <c r="AH112" s="86" t="str">
        <f t="shared" si="39"/>
        <v>"%USERPROFILE%\Documents\GitHub\eaglep3\Utilities\RefineRTDCRunTimes.py" --tripid 197-14 --locoid 4018 --swversion DE.1.0.9.0 --startMP 204:447 --initTime 2017-03-14T15:39:30 --startdatetime 2017-03-14T15:41:29 --delay 1 --endMP 204:233395 --enddatetime 2017-03-14T16:21:16 --enforcementcount 0 &gt;&gt;C:\Users\stu\Documents\GitHub\eaglep3-reporting\EC\2017-03-14-refined-times.txt</v>
      </c>
      <c r="AI112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{"issue":{"subject":"","project_id":79,"tracker_id":40,"status_id":1,"priority_id":2,"assigned_to_id":23,"start_date":"2017-03-14","description":"","custom_fields":[{"id":1,"name":"Subdivision","value":"EC"},{"id":4,"name":"Milepost","value":"23.3395"},{"id":17,"name":"Train ID","value":"197-14"},{"id":16,"name":"Locomotive ID","value":"4018"},{"id":130,"name":"Impact","value":""},{"id":150,"name":"Time of Event (Mountain Time)","value":"16:21:16"},{"id":151,"name":"Denver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1"/>
        <v>start /low /b %USERPROFILE%\Documents\GitHub\eaglep3\Utilities\DownloadLogsFromS3.py --loco 4018 --day 2017-03-14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"%USERPROFILE%\AppData\Local\Temp\OnboardLogs"\RTDC4018\*4018*20170314* | grep -SE "(Enforcement Action)|(\[TIMEOUT)|(CHR.+\|PRM\|1\|D.+(SWITCH|SIGNAL).+UNKNOWN)" - &gt;&gt; 2017-03-14-UncaughtWiMAX.txt</v>
      </c>
    </row>
    <row r="113" spans="1:91" s="20" customFormat="1" x14ac:dyDescent="0.25">
      <c r="A113" s="33" t="s">
        <v>587</v>
      </c>
      <c r="B113" s="7">
        <v>4017</v>
      </c>
      <c r="C113" s="21" t="s">
        <v>233</v>
      </c>
      <c r="D113" s="21" t="s">
        <v>862</v>
      </c>
      <c r="E113" s="13">
        <v>42808.685486111113</v>
      </c>
      <c r="F113" s="13">
        <v>42808.686238425929</v>
      </c>
      <c r="G113" s="7">
        <v>1</v>
      </c>
      <c r="H113" s="21" t="s">
        <v>863</v>
      </c>
      <c r="I113" s="13">
        <v>42808.72246527778</v>
      </c>
      <c r="J113" s="7">
        <v>0</v>
      </c>
      <c r="K113" s="98" t="str">
        <f t="shared" si="27"/>
        <v>4017/4018</v>
      </c>
      <c r="L113" s="21" t="str">
        <f>VLOOKUP(A113,'Trips&amp;Operators'!$C$1:$G$99999,5,FALSE)</f>
        <v>ROMERO CHAD</v>
      </c>
      <c r="M113" s="6">
        <f t="shared" si="28"/>
        <v>3.6226851851097308E-2</v>
      </c>
      <c r="N113" s="7">
        <f t="shared" si="42"/>
        <v>52.166666665580124</v>
      </c>
      <c r="O113" s="7"/>
      <c r="P113" s="7"/>
      <c r="Q113" s="22"/>
      <c r="R113" s="22"/>
      <c r="S113" s="31">
        <f t="shared" si="43"/>
        <v>1</v>
      </c>
      <c r="T113" s="46" t="str">
        <f t="shared" si="29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0"/>
        <v>https://d0f6bd738d7f1b3e5a7ca70fe4ff75f0.us-east-1.aws.found.io/app/kibana#/discover/Steve-Slow-Train-Analysis-(2080s-and-2083s)?_g=(refreshInterval:(display:Off,pause:!f,section:0,value:0),time:(from:'2017-03-14T15:27:06-0600',mode:absolute,to:'2017-03-14T18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3" s="187" t="str">
        <f t="shared" si="31"/>
        <v>N</v>
      </c>
      <c r="X113" s="187">
        <f t="shared" si="44"/>
        <v>1</v>
      </c>
      <c r="Y113" s="62">
        <f t="shared" si="32"/>
        <v>23.311299999999999</v>
      </c>
      <c r="Z113" s="62">
        <f t="shared" si="45"/>
        <v>1.0699999999999999E-2</v>
      </c>
      <c r="AA113" s="62">
        <f t="shared" si="34"/>
        <v>23.300599999999999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5"/>
        <v>0198-14</v>
      </c>
      <c r="AE113" s="85" t="str">
        <f t="shared" si="36"/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AF113" s="82" t="str">
        <f t="shared" si="37"/>
        <v>"C:\Program Files (x86)\AstroGrep\AstroGrep.exe" /e /r /s /spath="%USERPROFILE%\AppData\Local\Temp\OnboardLogs" /stypes="app*4017*20170314*" /stext=" 23:.+((SYSTEM_STATE.+slice.+state.+changed )|(ment ac)|(multiple cpu faults)|(system.+state.+changed )|(\[timeout)|(PRM\|1\|D)|(kpr)|(kdp)|(\|lc)|(penalty))"</v>
      </c>
      <c r="AG113" s="1" t="str">
        <f t="shared" si="38"/>
        <v>EC</v>
      </c>
      <c r="AH113" s="86" t="str">
        <f t="shared" si="39"/>
        <v>"%USERPROFILE%\Documents\GitHub\eaglep3\Utilities\RefineRTDCRunTimes.py" --tripid 198-14 --locoid 4017 --swversion DE.1.0.9.0 --startMP 204:233113 --initTime 2017-03-14T16:27:06 --startdatetime 2017-03-14T16:28:11 --delay 1 --endMP 204:107 --enddatetime 2017-03-14T17:20:21 --enforcementcount 0 &gt;&gt;C:\Users\stu\Documents\GitHub\eaglep3-reporting\EC\2017-03-14-refined-times.txt</v>
      </c>
      <c r="AI113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{"issue":{"subject":"","project_id":79,"tracker_id":40,"status_id":1,"priority_id":2,"assigned_to_id":23,"start_date":"2017-03-14","description":"","custom_fields":[{"id":1,"name":"Subdivision","value":"EC"},{"id":4,"name":"Milepost","value":"0.0107"},{"id":17,"name":"Train ID","value":"198-14"},{"id":16,"name":"Locomotive ID","value":"4017"},{"id":130,"name":"Impact","value":""},{"id":150,"name":"Time of Event (Mountain Time)","value":"17:20:21"},{"id":151,"name":"Denver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1"/>
        <v>start /low /b %USERPROFILE%\Documents\GitHub\eaglep3\Utilities\DownloadLogsFromS3.py --loco 4017 --day 2017-03-14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"%USERPROFILE%\AppData\Local\Temp\OnboardLogs"\RTDC4017\*4017*20170314* | grep -SE "(Enforcement Action)|(\[TIMEOUT)|(CHR.+\|PRM\|1\|D.+(SWITCH|SIGNAL).+UNKNOWN)" - &gt;&gt; 2017-03-14-UncaughtWiMAX.txt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729</v>
      </c>
      <c r="B114" s="7">
        <v>4027</v>
      </c>
      <c r="C114" s="21" t="s">
        <v>233</v>
      </c>
      <c r="D114" s="21" t="s">
        <v>228</v>
      </c>
      <c r="E114" s="13">
        <v>42808.665567129632</v>
      </c>
      <c r="F114" s="13">
        <v>42808.666504629633</v>
      </c>
      <c r="G114" s="7">
        <v>1</v>
      </c>
      <c r="H114" s="21" t="s">
        <v>864</v>
      </c>
      <c r="I114" s="13">
        <v>42808.692997685182</v>
      </c>
      <c r="J114" s="7">
        <v>0</v>
      </c>
      <c r="K114" s="98" t="str">
        <f t="shared" si="27"/>
        <v>4027/4028</v>
      </c>
      <c r="L114" s="21" t="str">
        <f>VLOOKUP(A114,'Trips&amp;Operators'!$C$1:$G$99999,5,FALSE)</f>
        <v>HOLCOMB KAMDEN</v>
      </c>
      <c r="M114" s="6">
        <f t="shared" si="28"/>
        <v>2.6493055549508426E-2</v>
      </c>
      <c r="N114" s="7">
        <f t="shared" si="42"/>
        <v>38.149999991292134</v>
      </c>
      <c r="O114" s="7"/>
      <c r="P114" s="7"/>
      <c r="Q114" s="22"/>
      <c r="R114" s="22"/>
      <c r="S114" s="31">
        <f t="shared" si="43"/>
        <v>1</v>
      </c>
      <c r="T114" s="46" t="str">
        <f t="shared" si="29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0"/>
        <v>https://d0f6bd738d7f1b3e5a7ca70fe4ff75f0.us-east-1.aws.found.io/app/kibana#/discover/Steve-Slow-Train-Analysis-(2080s-and-2083s)?_g=(refreshInterval:(display:Off,pause:!f,section:0,value:0),time:(from:'2017-03-14T14:58:25-0600',mode:absolute,to:'2017-03-14T17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4" s="187" t="str">
        <f t="shared" si="31"/>
        <v>N</v>
      </c>
      <c r="X114" s="187">
        <f t="shared" si="44"/>
        <v>1</v>
      </c>
      <c r="Y114" s="62">
        <f t="shared" si="32"/>
        <v>4.6600000000000003E-2</v>
      </c>
      <c r="Z114" s="62">
        <f t="shared" si="45"/>
        <v>23.342099999999999</v>
      </c>
      <c r="AA114" s="62">
        <f t="shared" si="34"/>
        <v>23.295499999999997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5"/>
        <v>0199-14</v>
      </c>
      <c r="AE114" s="85" t="str">
        <f t="shared" si="36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114" s="82" t="str">
        <f t="shared" si="37"/>
        <v>"C:\Program Files (x86)\AstroGrep\AstroGrep.exe" /e /r /s /spath="%USERPROFILE%\AppData\Local\Temp\OnboardLogs" /stypes="app*4027*20170314*" /stext=" 22:.+((SYSTEM_STATE.+slice.+state.+changed )|(ment ac)|(multiple cpu faults)|(system.+state.+changed )|(\[timeout)|(PRM\|1\|D)|(kpr)|(kdp)|(\|lc)|(penalty))"</v>
      </c>
      <c r="AG114" s="1" t="str">
        <f t="shared" si="38"/>
        <v>EC</v>
      </c>
      <c r="AH114" s="86" t="str">
        <f t="shared" si="39"/>
        <v>"%USERPROFILE%\Documents\GitHub\eaglep3\Utilities\RefineRTDCRunTimes.py" --tripid 199-14 --locoid 4027 --swversion DE.1.0.9.0 --startMP 204:466 --initTime 2017-03-14T15:58:25 --startdatetime 2017-03-14T15:59:46 --delay 1 --endMP 204:233421 --enddatetime 2017-03-14T16:37:55 --enforcementcount 0 &gt;&gt;C:\Users\stu\Documents\GitHub\eaglep3-reporting\EC\2017-03-14-refined-times.txt</v>
      </c>
      <c r="AI114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{"issue":{"subject":"","project_id":79,"tracker_id":40,"status_id":1,"priority_id":2,"assigned_to_id":23,"start_date":"2017-03-14","description":"","custom_fields":[{"id":1,"name":"Subdivision","value":"EC"},{"id":4,"name":"Milepost","value":"23.3421"},{"id":17,"name":"Train ID","value":"199-14"},{"id":16,"name":"Locomotive ID","value":"4027"},{"id":130,"name":"Impact","value":""},{"id":150,"name":"Time of Event (Mountain Time)","value":"16:37:55"},{"id":151,"name":"Denver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1"/>
        <v>start /low /b %USERPROFILE%\Documents\GitHub\eaglep3\Utilities\DownloadLogsFromS3.py --loco 4027 --day 2017-03-14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"%USERPROFILE%\AppData\Local\Temp\OnboardLogs"\RTDC4027\*4027*20170314* | grep -SE "(Enforcement Action)|(\[TIMEOUT)|(CHR.+\|PRM\|1\|D.+(SWITCH|SIGNAL).+UNKNOWN)" - &gt;&gt; 2017-03-14-UncaughtWiMAX.txt</v>
      </c>
    </row>
    <row r="115" spans="1:91" s="20" customFormat="1" x14ac:dyDescent="0.25">
      <c r="A115" s="33" t="s">
        <v>738</v>
      </c>
      <c r="B115" s="7">
        <v>4028</v>
      </c>
      <c r="C115" s="21" t="s">
        <v>233</v>
      </c>
      <c r="D115" s="21" t="s">
        <v>865</v>
      </c>
      <c r="E115" s="13">
        <v>42808.702650462961</v>
      </c>
      <c r="F115" s="13">
        <v>42808.7033912037</v>
      </c>
      <c r="G115" s="7">
        <v>1</v>
      </c>
      <c r="H115" s="21" t="s">
        <v>223</v>
      </c>
      <c r="I115" s="13">
        <v>42808.733773148146</v>
      </c>
      <c r="J115" s="7">
        <v>0</v>
      </c>
      <c r="K115" s="98" t="str">
        <f t="shared" si="27"/>
        <v>4027/4028</v>
      </c>
      <c r="L115" s="21" t="str">
        <f>VLOOKUP(A115,'Trips&amp;Operators'!$C$1:$G$99999,5,FALSE)</f>
        <v>HOLCOMB KAMDEN</v>
      </c>
      <c r="M115" s="6">
        <f t="shared" si="28"/>
        <v>3.0381944445252884E-2</v>
      </c>
      <c r="N115" s="7">
        <f t="shared" si="42"/>
        <v>43.750000001164153</v>
      </c>
      <c r="O115" s="7"/>
      <c r="P115" s="7"/>
      <c r="Q115" s="22"/>
      <c r="R115" s="22"/>
      <c r="S115" s="31">
        <f t="shared" si="43"/>
        <v>1</v>
      </c>
      <c r="T115" s="46" t="str">
        <f t="shared" si="29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0"/>
        <v>https://d0f6bd738d7f1b3e5a7ca70fe4ff75f0.us-east-1.aws.found.io/app/kibana#/discover/Steve-Slow-Train-Analysis-(2080s-and-2083s)?_g=(refreshInterval:(display:Off,pause:!f,section:0,value:0),time:(from:'2017-03-14T15:51:49-0600',mode:absolute,to:'2017-03-14T18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5" s="187" t="str">
        <f t="shared" si="31"/>
        <v>N</v>
      </c>
      <c r="X115" s="187">
        <f t="shared" si="44"/>
        <v>1</v>
      </c>
      <c r="Y115" s="62">
        <f t="shared" si="32"/>
        <v>23.31</v>
      </c>
      <c r="Z115" s="62">
        <f t="shared" si="45"/>
        <v>1.5599999999999999E-2</v>
      </c>
      <c r="AA115" s="62">
        <f t="shared" si="34"/>
        <v>23.2944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5"/>
        <v>0200-14</v>
      </c>
      <c r="AE115" s="85" t="str">
        <f t="shared" si="36"/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AF115" s="82" t="str">
        <f t="shared" si="37"/>
        <v>"C:\Program Files (x86)\AstroGrep\AstroGrep.exe" /e /r /s /spath="%USERPROFILE%\AppData\Local\Temp\OnboardLogs" /stypes="app*4028*20170314*" /stext=" 23:.+((SYSTEM_STATE.+slice.+state.+changed )|(ment ac)|(multiple cpu faults)|(system.+state.+changed )|(\[timeout)|(PRM\|1\|D)|(kpr)|(kdp)|(\|lc)|(penalty))"</v>
      </c>
      <c r="AG115" s="1" t="str">
        <f t="shared" si="38"/>
        <v>EC</v>
      </c>
      <c r="AH115" s="86" t="str">
        <f t="shared" si="39"/>
        <v>"%USERPROFILE%\Documents\GitHub\eaglep3\Utilities\RefineRTDCRunTimes.py" --tripid 200-14 --locoid 4028 --swversion DE.1.0.9.0 --startMP 204:233100 --initTime 2017-03-14T16:51:49 --startdatetime 2017-03-14T16:52:53 --delay 1 --endMP 204:156 --enddatetime 2017-03-14T17:36:38 --enforcementcount 0 &gt;&gt;C:\Users\stu\Documents\GitHub\eaglep3-reporting\EC\2017-03-14-refined-times.txt</v>
      </c>
      <c r="AI115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{"issue":{"subject":"","project_id":79,"tracker_id":40,"status_id":1,"priority_id":2,"assigned_to_id":23,"start_date":"2017-03-14","description":"","custom_fields":[{"id":1,"name":"Subdivision","value":"EC"},{"id":4,"name":"Milepost","value":"0.0156"},{"id":17,"name":"Train ID","value":"200-14"},{"id":16,"name":"Locomotive ID","value":"4028"},{"id":130,"name":"Impact","value":""},{"id":150,"name":"Time of Event (Mountain Time)","value":"17:36:38"},{"id":151,"name":"Denver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1"/>
        <v>start /low /b %USERPROFILE%\Documents\GitHub\eaglep3\Utilities\DownloadLogsFromS3.py --loco 4028 --day 2017-03-14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"%USERPROFILE%\AppData\Local\Temp\OnboardLogs"\RTDC4028\*4028*20170314* | grep -SE "(Enforcement Action)|(\[TIMEOUT)|(CHR.+\|PRM\|1\|D.+(SWITCH|SIGNAL).+UNKNOWN)" - &gt;&gt; 2017-03-14-UncaughtWiMAX.txt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732</v>
      </c>
      <c r="B116" s="7">
        <v>4022</v>
      </c>
      <c r="C116" s="21" t="s">
        <v>233</v>
      </c>
      <c r="D116" s="21" t="s">
        <v>243</v>
      </c>
      <c r="E116" s="13">
        <v>42808.674490740741</v>
      </c>
      <c r="F116" s="13">
        <v>42808.675763888888</v>
      </c>
      <c r="G116" s="7">
        <v>1</v>
      </c>
      <c r="H116" s="21" t="s">
        <v>834</v>
      </c>
      <c r="I116" s="13">
        <v>42808.709872685184</v>
      </c>
      <c r="J116" s="7">
        <v>0</v>
      </c>
      <c r="K116" s="98" t="str">
        <f t="shared" si="27"/>
        <v>4021/4022</v>
      </c>
      <c r="L116" s="21" t="str">
        <f>VLOOKUP(A116,'Trips&amp;Operators'!$C$1:$G$99999,5,FALSE)</f>
        <v>DAVIS MICHAEL</v>
      </c>
      <c r="M116" s="6">
        <f t="shared" si="28"/>
        <v>3.4108796295186039E-2</v>
      </c>
      <c r="N116" s="7">
        <f t="shared" si="42"/>
        <v>49.116666665067896</v>
      </c>
      <c r="O116" s="7"/>
      <c r="P116" s="7"/>
      <c r="Q116" s="22"/>
      <c r="R116" s="22"/>
      <c r="S116" s="31">
        <f t="shared" si="43"/>
        <v>1</v>
      </c>
      <c r="T116" s="46" t="str">
        <f t="shared" si="29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0"/>
        <v>https://d0f6bd738d7f1b3e5a7ca70fe4ff75f0.us-east-1.aws.found.io/app/kibana#/discover/Steve-Slow-Train-Analysis-(2080s-and-2083s)?_g=(refreshInterval:(display:Off,pause:!f,section:0,value:0),time:(from:'2017-03-14T15:11:16-0600',mode:absolute,to:'2017-03-14T18:02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6" s="187" t="str">
        <f t="shared" si="31"/>
        <v>N</v>
      </c>
      <c r="X116" s="187">
        <f t="shared" si="44"/>
        <v>1</v>
      </c>
      <c r="Y116" s="62">
        <f t="shared" si="32"/>
        <v>4.7300000000000002E-2</v>
      </c>
      <c r="Z116" s="62">
        <f t="shared" si="45"/>
        <v>23.3339</v>
      </c>
      <c r="AA116" s="62">
        <f t="shared" si="34"/>
        <v>23.2866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5"/>
        <v>0201-14</v>
      </c>
      <c r="AE116" s="85" t="str">
        <f t="shared" si="36"/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AF116" s="82" t="str">
        <f t="shared" si="37"/>
        <v>"C:\Program Files (x86)\AstroGrep\AstroGrep.exe" /e /r /s /spath="%USERPROFILE%\AppData\Local\Temp\OnboardLogs" /stypes="app*4022*20170314*" /stext=" 23:.+((SYSTEM_STATE.+slice.+state.+changed )|(ment ac)|(multiple cpu faults)|(system.+state.+changed )|(\[timeout)|(PRM\|1\|D)|(kpr)|(kdp)|(\|lc)|(penalty))"</v>
      </c>
      <c r="AG116" s="1" t="str">
        <f t="shared" si="38"/>
        <v>EC</v>
      </c>
      <c r="AH116" s="86" t="str">
        <f t="shared" si="39"/>
        <v>"%USERPROFILE%\Documents\GitHub\eaglep3\Utilities\RefineRTDCRunTimes.py" --tripid 201-14 --locoid 4022 --swversion DE.1.0.9.0 --startMP 204:473 --initTime 2017-03-14T16:11:16 --startdatetime 2017-03-14T16:13:06 --delay 1 --endMP 204:233339 --enddatetime 2017-03-14T17:02:13 --enforcementcount 0 &gt;&gt;C:\Users\stu\Documents\GitHub\eaglep3-reporting\EC\2017-03-14-refined-times.txt</v>
      </c>
      <c r="AI116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{"issue":{"subject":"","project_id":79,"tracker_id":40,"status_id":1,"priority_id":2,"assigned_to_id":23,"start_date":"2017-03-14","description":"","custom_fields":[{"id":1,"name":"Subdivision","value":"EC"},{"id":4,"name":"Milepost","value":"23.3339"},{"id":17,"name":"Train ID","value":"201-14"},{"id":16,"name":"Locomotive ID","value":"4022"},{"id":130,"name":"Impact","value":""},{"id":150,"name":"Time of Event (Mountain Time)","value":"17:02:13"},{"id":151,"name":"Denver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1"/>
        <v>start /low /b %USERPROFILE%\Documents\GitHub\eaglep3\Utilities\DownloadLogsFromS3.py --loco 4022 --day 2017-03-14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"%USERPROFILE%\AppData\Local\Temp\OnboardLogs"\RTDC4022\*4022*20170314* | grep -SE "(Enforcement Action)|(\[TIMEOUT)|(CHR.+\|PRM\|1\|D.+(SWITCH|SIGNAL).+UNKNOWN)" - &gt;&gt; 2017-03-14-UncaughtWiMAX.txt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741</v>
      </c>
      <c r="B117" s="7">
        <v>4021</v>
      </c>
      <c r="C117" s="21" t="s">
        <v>233</v>
      </c>
      <c r="D117" s="21" t="s">
        <v>866</v>
      </c>
      <c r="E117" s="13">
        <v>42808.71434027778</v>
      </c>
      <c r="F117" s="13">
        <v>42808.715486111112</v>
      </c>
      <c r="G117" s="7">
        <v>1</v>
      </c>
      <c r="H117" s="21" t="s">
        <v>223</v>
      </c>
      <c r="I117" s="13">
        <v>42808.745532407411</v>
      </c>
      <c r="J117" s="7">
        <v>0</v>
      </c>
      <c r="K117" s="98" t="str">
        <f t="shared" si="27"/>
        <v>4021/4022</v>
      </c>
      <c r="L117" s="21" t="str">
        <f>VLOOKUP(A117,'Trips&amp;Operators'!$C$1:$G$99999,5,FALSE)</f>
        <v>DAVIS MICHAEL</v>
      </c>
      <c r="M117" s="6">
        <f t="shared" si="28"/>
        <v>3.0046296298678499E-2</v>
      </c>
      <c r="N117" s="7">
        <f t="shared" si="42"/>
        <v>43.266666670097038</v>
      </c>
      <c r="O117" s="7"/>
      <c r="P117" s="7"/>
      <c r="Q117" s="22"/>
      <c r="R117" s="22"/>
      <c r="S117" s="31">
        <f t="shared" si="43"/>
        <v>1</v>
      </c>
      <c r="T117" s="46" t="str">
        <f t="shared" si="29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0"/>
        <v>https://d0f6bd738d7f1b3e5a7ca70fe4ff75f0.us-east-1.aws.found.io/app/kibana#/discover/Steve-Slow-Train-Analysis-(2080s-and-2083s)?_g=(refreshInterval:(display:Off,pause:!f,section:0,value:0),time:(from:'2017-03-14T16:08:39-0600',mode:absolute,to:'2017-03-14T18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7" s="187" t="str">
        <f t="shared" si="31"/>
        <v>N</v>
      </c>
      <c r="X117" s="187">
        <f t="shared" si="44"/>
        <v>1</v>
      </c>
      <c r="Y117" s="62">
        <f t="shared" si="32"/>
        <v>23.3001</v>
      </c>
      <c r="Z117" s="62">
        <f t="shared" si="45"/>
        <v>1.5599999999999999E-2</v>
      </c>
      <c r="AA117" s="62">
        <f t="shared" si="34"/>
        <v>23.284500000000001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5"/>
        <v>0202-14</v>
      </c>
      <c r="AE117" s="85" t="str">
        <f t="shared" si="36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117" s="82" t="str">
        <f t="shared" si="37"/>
        <v>"C:\Program Files (x86)\AstroGrep\AstroGrep.exe" /e /r /s /spath="%USERPROFILE%\AppData\Local\Temp\OnboardLogs" /stypes="app*4021*20170314*" /stext=" 23:.+((SYSTEM_STATE.+slice.+state.+changed )|(ment ac)|(multiple cpu faults)|(system.+state.+changed )|(\[timeout)|(PRM\|1\|D)|(kpr)|(kdp)|(\|lc)|(penalty))"</v>
      </c>
      <c r="AG117" s="1" t="str">
        <f t="shared" si="38"/>
        <v>EC</v>
      </c>
      <c r="AH117" s="86" t="str">
        <f t="shared" si="39"/>
        <v>"%USERPROFILE%\Documents\GitHub\eaglep3\Utilities\RefineRTDCRunTimes.py" --tripid 202-14 --locoid 4021 --swversion DE.1.0.9.0 --startMP 204:233001 --initTime 2017-03-14T17:08:39 --startdatetime 2017-03-14T17:10:18 --delay 1 --endMP 204:156 --enddatetime 2017-03-14T17:53:34 --enforcementcount 0 &gt;&gt;C:\Users\stu\Documents\GitHub\eaglep3-reporting\EC\2017-03-14-refined-times.txt</v>
      </c>
      <c r="AI117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{"issue":{"subject":"","project_id":79,"tracker_id":40,"status_id":1,"priority_id":2,"assigned_to_id":23,"start_date":"2017-03-14","description":"","custom_fields":[{"id":1,"name":"Subdivision","value":"EC"},{"id":4,"name":"Milepost","value":"0.0156"},{"id":17,"name":"Train ID","value":"202-14"},{"id":16,"name":"Locomotive ID","value":"4021"},{"id":130,"name":"Impact","value":""},{"id":150,"name":"Time of Event (Mountain Time)","value":"17:53:34"},{"id":151,"name":"Denver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1"/>
        <v>start /low /b %USERPROFILE%\Documents\GitHub\eaglep3\Utilities\DownloadLogsFromS3.py --loco 4021 --day 2017-03-14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"%USERPROFILE%\AppData\Local\Temp\OnboardLogs"\RTDC4021\*4021*20170314* | grep -SE "(Enforcement Action)|(\[TIMEOUT)|(CHR.+\|PRM\|1\|D.+(SWITCH|SIGNAL).+UNKNOWN)" - &gt;&gt; 2017-03-14-UncaughtWiMAX.txt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735</v>
      </c>
      <c r="B118" s="7">
        <v>4009</v>
      </c>
      <c r="C118" s="21" t="s">
        <v>233</v>
      </c>
      <c r="D118" s="21" t="s">
        <v>246</v>
      </c>
      <c r="E118" s="13">
        <v>42808.685046296298</v>
      </c>
      <c r="F118" s="13">
        <v>42808.685960648145</v>
      </c>
      <c r="G118" s="7">
        <v>1</v>
      </c>
      <c r="H118" s="21" t="s">
        <v>526</v>
      </c>
      <c r="I118" s="13">
        <v>42808.716793981483</v>
      </c>
      <c r="J118" s="7">
        <v>0</v>
      </c>
      <c r="K118" s="98" t="str">
        <f t="shared" si="27"/>
        <v>4009/4010</v>
      </c>
      <c r="L118" s="21" t="str">
        <f>VLOOKUP(A118,'Trips&amp;Operators'!$C$1:$G$99999,5,FALSE)</f>
        <v>STRICKLAND EVAN</v>
      </c>
      <c r="M118" s="6">
        <f t="shared" si="28"/>
        <v>3.0833333337795921E-2</v>
      </c>
      <c r="N118" s="7">
        <f t="shared" si="42"/>
        <v>44.400000006426126</v>
      </c>
      <c r="O118" s="7"/>
      <c r="P118" s="7"/>
      <c r="Q118" s="22"/>
      <c r="R118" s="22"/>
      <c r="S118" s="31">
        <f t="shared" si="43"/>
        <v>1</v>
      </c>
      <c r="T118" s="46" t="str">
        <f t="shared" si="29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0"/>
        <v>https://d0f6bd738d7f1b3e5a7ca70fe4ff75f0.us-east-1.aws.found.io/app/kibana#/discover/Steve-Slow-Train-Analysis-(2080s-and-2083s)?_g=(refreshInterval:(display:Off,pause:!f,section:0,value:0),time:(from:'2017-03-14T15:26:28-0600',mode:absolute,to:'2017-03-14T18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8" s="187" t="str">
        <f t="shared" si="31"/>
        <v>N</v>
      </c>
      <c r="X118" s="187">
        <f t="shared" si="44"/>
        <v>1</v>
      </c>
      <c r="Y118" s="62">
        <f t="shared" si="32"/>
        <v>4.4200000000000003E-2</v>
      </c>
      <c r="Z118" s="62">
        <f t="shared" si="45"/>
        <v>23.325700000000001</v>
      </c>
      <c r="AA118" s="62">
        <f t="shared" si="34"/>
        <v>23.281500000000001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5"/>
        <v>0203-14</v>
      </c>
      <c r="AE118" s="85" t="str">
        <f t="shared" si="36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118" s="82" t="str">
        <f t="shared" si="37"/>
        <v>"C:\Program Files (x86)\AstroGrep\AstroGrep.exe" /e /r /s /spath="%USERPROFILE%\AppData\Local\Temp\OnboardLogs" /stypes="app*4009*20170314*" /stext=" 23:.+((SYSTEM_STATE.+slice.+state.+changed )|(ment ac)|(multiple cpu faults)|(system.+state.+changed )|(\[timeout)|(PRM\|1\|D)|(kpr)|(kdp)|(\|lc)|(penalty))"</v>
      </c>
      <c r="AG118" s="1" t="str">
        <f t="shared" si="38"/>
        <v>EC</v>
      </c>
      <c r="AH118" s="86" t="str">
        <f t="shared" si="39"/>
        <v>"%USERPROFILE%\Documents\GitHub\eaglep3\Utilities\RefineRTDCRunTimes.py" --tripid 203-14 --locoid 4009 --swversion DE.1.0.9.0 --startMP 204:442 --initTime 2017-03-14T16:26:28 --startdatetime 2017-03-14T16:27:47 --delay 1 --endMP 204:233257 --enddatetime 2017-03-14T17:12:11 --enforcementcount 0 &gt;&gt;C:\Users\stu\Documents\GitHub\eaglep3-reporting\EC\2017-03-14-refined-times.txt</v>
      </c>
      <c r="AI118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{"issue":{"subject":"","project_id":79,"tracker_id":40,"status_id":1,"priority_id":2,"assigned_to_id":23,"start_date":"2017-03-14","description":"","custom_fields":[{"id":1,"name":"Subdivision","value":"EC"},{"id":4,"name":"Milepost","value":"23.3257"},{"id":17,"name":"Train ID","value":"203-14"},{"id":16,"name":"Locomotive ID","value":"4009"},{"id":130,"name":"Impact","value":""},{"id":150,"name":"Time of Event (Mountain Time)","value":"17:12:11"},{"id":151,"name":"Denver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1"/>
        <v>start /low /b %USERPROFILE%\Documents\GitHub\eaglep3\Utilities\DownloadLogsFromS3.py --loco 4009 --day 2017-03-14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"%USERPROFILE%\AppData\Local\Temp\OnboardLogs"\RTDC4009\*4009*20170314* | grep -SE "(Enforcement Action)|(\[TIMEOUT)|(CHR.+\|PRM\|1\|D.+(SWITCH|SIGNAL).+UNKNOWN)" - &gt;&gt; 2017-03-14-UncaughtWiMAX.txt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589</v>
      </c>
      <c r="B119" s="7">
        <v>4010</v>
      </c>
      <c r="C119" s="21" t="s">
        <v>233</v>
      </c>
      <c r="D119" s="21" t="s">
        <v>867</v>
      </c>
      <c r="E119" s="13">
        <v>42808.71775462963</v>
      </c>
      <c r="F119" s="13">
        <v>42808.718981481485</v>
      </c>
      <c r="G119" s="7">
        <v>1</v>
      </c>
      <c r="H119" s="21" t="s">
        <v>201</v>
      </c>
      <c r="I119" s="13">
        <v>42808.756273148145</v>
      </c>
      <c r="J119" s="7">
        <v>0</v>
      </c>
      <c r="K119" s="98" t="str">
        <f t="shared" si="27"/>
        <v>4009/4010</v>
      </c>
      <c r="L119" s="21" t="str">
        <f>VLOOKUP(A119,'Trips&amp;Operators'!$C$1:$G$99999,5,FALSE)</f>
        <v>STRICKLAND EVAN</v>
      </c>
      <c r="M119" s="6">
        <f t="shared" si="28"/>
        <v>3.7291666660166811E-2</v>
      </c>
      <c r="N119" s="7">
        <f t="shared" si="42"/>
        <v>53.699999990640208</v>
      </c>
      <c r="O119" s="7"/>
      <c r="P119" s="7"/>
      <c r="Q119" s="22"/>
      <c r="R119" s="22" t="s">
        <v>1029</v>
      </c>
      <c r="S119" s="31">
        <f t="shared" si="43"/>
        <v>1</v>
      </c>
      <c r="T119" s="46" t="str">
        <f t="shared" si="29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0"/>
        <v>https://d0f6bd738d7f1b3e5a7ca70fe4ff75f0.us-east-1.aws.found.io/app/kibana#/discover/Steve-Slow-Train-Analysis-(2080s-and-2083s)?_g=(refreshInterval:(display:Off,pause:!f,section:0,value:0),time:(from:'2017-03-14T16:13:34-0600',mode:absolute,to:'2017-03-14T19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9" s="187" t="str">
        <f t="shared" si="31"/>
        <v>N</v>
      </c>
      <c r="X119" s="187">
        <f t="shared" si="44"/>
        <v>1</v>
      </c>
      <c r="Y119" s="62">
        <f t="shared" si="32"/>
        <v>23.301500000000001</v>
      </c>
      <c r="Z119" s="62">
        <f t="shared" si="45"/>
        <v>1.52E-2</v>
      </c>
      <c r="AA119" s="62">
        <f t="shared" si="34"/>
        <v>23.286300000000001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5"/>
        <v>0204-14</v>
      </c>
      <c r="AE119" s="85" t="str">
        <f t="shared" si="36"/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AF119" s="82" t="str">
        <f t="shared" si="37"/>
        <v>"C:\Program Files (x86)\AstroGrep\AstroGrep.exe" /e /r /s /spath="%USERPROFILE%\AppData\Local\Temp\OnboardLogs" /stypes="app*4010*20170315*" /stext=" 00:.+((SYSTEM_STATE.+slice.+state.+changed )|(ment ac)|(multiple cpu faults)|(system.+state.+changed )|(\[timeout)|(PRM\|1\|D)|(kpr)|(kdp)|(\|lc)|(penalty))"</v>
      </c>
      <c r="AG119" s="1" t="str">
        <f t="shared" si="38"/>
        <v>EC</v>
      </c>
      <c r="AH119" s="86" t="str">
        <f t="shared" si="39"/>
        <v>"%USERPROFILE%\Documents\GitHub\eaglep3\Utilities\RefineRTDCRunTimes.py" --tripid 204-14 --locoid 4010 --swversion DE.1.0.9.0 --startMP 204:233015 --initTime 2017-03-14T17:13:34 --startdatetime 2017-03-14T17:15:20 --delay 1 --endMP 204:152 --enddatetime 2017-03-14T18:09:02 --enforcementcount 0 &gt;&gt;C:\Users\stu\Documents\GitHub\eaglep3-reporting\EC\2017-03-14-refined-times.txt</v>
      </c>
      <c r="AI119" s="108" t="str">
        <f t="shared" si="40"/>
        <v>echo {"issue":{"subject":"Unhealthy at Holly due to early arrival enforcement at previous xing (Ulster)","project_id":79,"tracker_id":40,"status_id":1,"priority_id":2,"assigned_to_id":23,"start_date":"2017-03-14","description":"","custom_fields":[{"id":1,"name":"Subdivision","value":"EC"},{"id":4,"name":"Milepost","value":"0.0152"},{"id":17,"name":"Train ID","value":"204-14"},{"id":16,"name":"Locomotive ID","value":"4010"},{"id":130,"name":"Impact","value":""},{"id":150,"name":"Time of Event (Mountain Time)","value":"18:09:02"},{"id":151,"name":"Denver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1"/>
        <v>start /low /b %USERPROFILE%\Documents\GitHub\eaglep3\Utilities\DownloadLogsFromS3.py --loco 4010 --day 2017-03-14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"%USERPROFILE%\AppData\Local\Temp\OnboardLogs"\RTDC4010\*4010*20170314* | grep -SE "(Enforcement Action)|(\[TIMEOUT)|(CHR.+\|PRM\|1\|D.+(SWITCH|SIGNAL).+UNKNOWN)" - &gt;&gt; 2017-03-14-UncaughtWiMAX.txt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737</v>
      </c>
      <c r="B120" s="7">
        <v>4031</v>
      </c>
      <c r="C120" s="21" t="s">
        <v>233</v>
      </c>
      <c r="D120" s="21" t="s">
        <v>211</v>
      </c>
      <c r="E120" s="13">
        <v>42808.695752314816</v>
      </c>
      <c r="F120" s="13">
        <v>42808.69667824074</v>
      </c>
      <c r="G120" s="7">
        <v>1</v>
      </c>
      <c r="H120" s="21" t="s">
        <v>237</v>
      </c>
      <c r="I120" s="13">
        <v>42808.724143518521</v>
      </c>
      <c r="J120" s="7">
        <v>0</v>
      </c>
      <c r="K120" s="98" t="str">
        <f t="shared" si="27"/>
        <v>4031/4032</v>
      </c>
      <c r="L120" s="21" t="str">
        <f>VLOOKUP(A120,'Trips&amp;Operators'!$C$1:$G$99999,5,FALSE)</f>
        <v>LEVERE CRAIG</v>
      </c>
      <c r="M120" s="6">
        <f t="shared" si="28"/>
        <v>2.7465277780720498E-2</v>
      </c>
      <c r="N120" s="7">
        <f t="shared" si="42"/>
        <v>39.550000004237518</v>
      </c>
      <c r="O120" s="7"/>
      <c r="P120" s="7"/>
      <c r="Q120" s="22"/>
      <c r="R120" s="22"/>
      <c r="S120" s="31">
        <f t="shared" si="43"/>
        <v>1</v>
      </c>
      <c r="T120" s="46" t="str">
        <f t="shared" si="29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0"/>
        <v>https://d0f6bd738d7f1b3e5a7ca70fe4ff75f0.us-east-1.aws.found.io/app/kibana#/discover/Steve-Slow-Train-Analysis-(2080s-and-2083s)?_g=(refreshInterval:(display:Off,pause:!f,section:0,value:0),time:(from:'2017-03-14T15:41:53-0600',mode:absolute,to:'2017-03-14T18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0" s="187" t="str">
        <f t="shared" si="31"/>
        <v>N</v>
      </c>
      <c r="X120" s="187">
        <f t="shared" si="44"/>
        <v>1</v>
      </c>
      <c r="Y120" s="62">
        <f t="shared" si="32"/>
        <v>4.5999999999999999E-2</v>
      </c>
      <c r="Z120" s="62">
        <f t="shared" si="45"/>
        <v>23.328900000000001</v>
      </c>
      <c r="AA120" s="62">
        <f t="shared" si="34"/>
        <v>23.282900000000001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5"/>
        <v>0205-14</v>
      </c>
      <c r="AE120" s="85" t="str">
        <f t="shared" si="36"/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AF120" s="82" t="str">
        <f t="shared" si="37"/>
        <v>"C:\Program Files (x86)\AstroGrep\AstroGrep.exe" /e /r /s /spath="%USERPROFILE%\AppData\Local\Temp\OnboardLogs" /stypes="app*4031*20170314*" /stext=" 23:.+((SYSTEM_STATE.+slice.+state.+changed )|(ment ac)|(multiple cpu faults)|(system.+state.+changed )|(\[timeout)|(PRM\|1\|D)|(kpr)|(kdp)|(\|lc)|(penalty))"</v>
      </c>
      <c r="AG120" s="1" t="str">
        <f t="shared" si="38"/>
        <v>EC</v>
      </c>
      <c r="AH120" s="86" t="str">
        <f t="shared" si="39"/>
        <v>"%USERPROFILE%\Documents\GitHub\eaglep3\Utilities\RefineRTDCRunTimes.py" --tripid 205-14 --locoid 4031 --swversion DE.1.0.9.0 --startMP 204:460 --initTime 2017-03-14T16:41:53 --startdatetime 2017-03-14T16:43:13 --delay 1 --endMP 204:233289 --enddatetime 2017-03-14T17:22:46 --enforcementcount 0 &gt;&gt;C:\Users\stu\Documents\GitHub\eaglep3-reporting\EC\2017-03-14-refined-times.txt</v>
      </c>
      <c r="AI120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{"issue":{"subject":"","project_id":79,"tracker_id":40,"status_id":1,"priority_id":2,"assigned_to_id":23,"start_date":"2017-03-14","description":"","custom_fields":[{"id":1,"name":"Subdivision","value":"EC"},{"id":4,"name":"Milepost","value":"23.3289"},{"id":17,"name":"Train ID","value":"205-14"},{"id":16,"name":"Locomotive ID","value":"4031"},{"id":130,"name":"Impact","value":""},{"id":150,"name":"Time of Event (Mountain Time)","value":"17:22:46"},{"id":151,"name":"Denver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1"/>
        <v>start /low /b %USERPROFILE%\Documents\GitHub\eaglep3\Utilities\DownloadLogsFromS3.py --loco 4031 --day 2017-03-14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"%USERPROFILE%\AppData\Local\Temp\OnboardLogs"\RTDC4031\*4031*20170314* | grep -SE "(Enforcement Action)|(\[TIMEOUT)|(CHR.+\|PRM\|1\|D.+(SWITCH|SIGNAL).+UNKNOWN)" - &gt;&gt; 2017-03-14-UncaughtWiMAX.txt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746</v>
      </c>
      <c r="B121" s="7">
        <v>4032</v>
      </c>
      <c r="C121" s="21" t="s">
        <v>233</v>
      </c>
      <c r="D121" s="21" t="s">
        <v>868</v>
      </c>
      <c r="E121" s="13">
        <v>42808.730925925927</v>
      </c>
      <c r="F121" s="13">
        <v>42808.731770833336</v>
      </c>
      <c r="G121" s="7">
        <v>1</v>
      </c>
      <c r="H121" s="21" t="s">
        <v>192</v>
      </c>
      <c r="I121" s="13">
        <v>42808.765185185184</v>
      </c>
      <c r="J121" s="7">
        <v>0</v>
      </c>
      <c r="K121" s="98" t="str">
        <f t="shared" si="27"/>
        <v>4031/4032</v>
      </c>
      <c r="L121" s="21" t="str">
        <f>VLOOKUP(A121,'Trips&amp;Operators'!$C$1:$G$99999,5,FALSE)</f>
        <v>LEVERE CRAIG</v>
      </c>
      <c r="M121" s="6">
        <f t="shared" si="28"/>
        <v>3.3414351848477963E-2</v>
      </c>
      <c r="N121" s="7">
        <f t="shared" si="42"/>
        <v>48.116666661808267</v>
      </c>
      <c r="O121" s="7"/>
      <c r="P121" s="7"/>
      <c r="Q121" s="22"/>
      <c r="R121" s="22"/>
      <c r="S121" s="31">
        <f t="shared" si="43"/>
        <v>1</v>
      </c>
      <c r="T121" s="46" t="str">
        <f t="shared" si="29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0"/>
        <v>https://d0f6bd738d7f1b3e5a7ca70fe4ff75f0.us-east-1.aws.found.io/app/kibana#/discover/Steve-Slow-Train-Analysis-(2080s-and-2083s)?_g=(refreshInterval:(display:Off,pause:!f,section:0,value:0),time:(from:'2017-03-14T16:32:32-0600',mode:absolute,to:'2017-03-14T19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1" s="187" t="str">
        <f t="shared" si="31"/>
        <v>N</v>
      </c>
      <c r="X121" s="187">
        <f t="shared" si="44"/>
        <v>1</v>
      </c>
      <c r="Y121" s="62">
        <f t="shared" si="32"/>
        <v>23.296700000000001</v>
      </c>
      <c r="Z121" s="62">
        <f t="shared" si="45"/>
        <v>1.4999999999999999E-2</v>
      </c>
      <c r="AA121" s="62">
        <f t="shared" si="34"/>
        <v>23.281700000000001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5"/>
        <v>0206-14</v>
      </c>
      <c r="AE121" s="85" t="str">
        <f t="shared" si="36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121" s="82" t="str">
        <f t="shared" si="37"/>
        <v>"C:\Program Files (x86)\AstroGrep\AstroGrep.exe" /e /r /s /spath="%USERPROFILE%\AppData\Local\Temp\OnboardLogs" /stypes="app*4032*20170315*" /stext=" 00:.+((SYSTEM_STATE.+slice.+state.+changed )|(ment ac)|(multiple cpu faults)|(system.+state.+changed )|(\[timeout)|(PRM\|1\|D)|(kpr)|(kdp)|(\|lc)|(penalty))"</v>
      </c>
      <c r="AG121" s="1" t="str">
        <f t="shared" si="38"/>
        <v>EC</v>
      </c>
      <c r="AH121" s="86" t="str">
        <f t="shared" si="39"/>
        <v>"%USERPROFILE%\Documents\GitHub\eaglep3\Utilities\RefineRTDCRunTimes.py" --tripid 206-14 --locoid 4032 --swversion DE.1.0.9.0 --startMP 204:232967 --initTime 2017-03-14T17:32:32 --startdatetime 2017-03-14T17:33:45 --delay 1 --endMP 204:150 --enddatetime 2017-03-14T18:21:52 --enforcementcount 0 &gt;&gt;C:\Users\stu\Documents\GitHub\eaglep3-reporting\EC\2017-03-14-refined-times.txt</v>
      </c>
      <c r="AI121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{"issue":{"subject":"","project_id":79,"tracker_id":40,"status_id":1,"priority_id":2,"assigned_to_id":23,"start_date":"2017-03-14","description":"","custom_fields":[{"id":1,"name":"Subdivision","value":"EC"},{"id":4,"name":"Milepost","value":"0.015"},{"id":17,"name":"Train ID","value":"206-14"},{"id":16,"name":"Locomotive ID","value":"4032"},{"id":130,"name":"Impact","value":""},{"id":150,"name":"Time of Event (Mountain Time)","value":"18:21:52"},{"id":151,"name":"Denver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1"/>
        <v>start /low /b %USERPROFILE%\Documents\GitHub\eaglep3\Utilities\DownloadLogsFromS3.py --loco 4032 --day 2017-03-14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"%USERPROFILE%\AppData\Local\Temp\OnboardLogs"\RTDC4032\*4032*20170314* | grep -SE "(Enforcement Action)|(\[TIMEOUT)|(CHR.+\|PRM\|1\|D.+(SWITCH|SIGNAL).+UNKNOWN)" - &gt;&gt; 2017-03-14-UncaughtWiMAX.txt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739</v>
      </c>
      <c r="B122" s="7">
        <v>4053</v>
      </c>
      <c r="C122" s="21" t="s">
        <v>233</v>
      </c>
      <c r="D122" s="21" t="s">
        <v>869</v>
      </c>
      <c r="E122" s="13">
        <v>42808.704791666663</v>
      </c>
      <c r="F122" s="13">
        <v>42808.70590277778</v>
      </c>
      <c r="G122" s="7">
        <v>1</v>
      </c>
      <c r="H122" s="21" t="s">
        <v>821</v>
      </c>
      <c r="I122" s="13">
        <v>42808.73505787037</v>
      </c>
      <c r="J122" s="7">
        <v>0</v>
      </c>
      <c r="K122" s="98" t="str">
        <f t="shared" si="27"/>
        <v>4053/4054</v>
      </c>
      <c r="L122" s="21" t="str">
        <f>VLOOKUP(A122,'Trips&amp;Operators'!$C$1:$G$99999,5,FALSE)</f>
        <v>CLARK KATHLEEN</v>
      </c>
      <c r="M122" s="6">
        <f t="shared" si="28"/>
        <v>2.9155092590372078E-2</v>
      </c>
      <c r="N122" s="7">
        <f t="shared" si="42"/>
        <v>41.983333330135792</v>
      </c>
      <c r="O122" s="7"/>
      <c r="P122" s="7"/>
      <c r="Q122" s="22"/>
      <c r="R122" s="22"/>
      <c r="S122" s="31">
        <f t="shared" si="43"/>
        <v>1</v>
      </c>
      <c r="T122" s="46" t="str">
        <f t="shared" si="29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0"/>
        <v>https://d0f6bd738d7f1b3e5a7ca70fe4ff75f0.us-east-1.aws.found.io/app/kibana#/discover/Steve-Slow-Train-Analysis-(2080s-and-2083s)?_g=(refreshInterval:(display:Off,pause:!f,section:0,value:0),time:(from:'2017-03-14T15:54:54-0600',mode:absolute,to:'2017-03-14T18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2" s="187" t="str">
        <f t="shared" si="31"/>
        <v>N</v>
      </c>
      <c r="X122" s="187">
        <f t="shared" si="44"/>
        <v>1</v>
      </c>
      <c r="Y122" s="62">
        <f t="shared" si="32"/>
        <v>5.6599999999999998E-2</v>
      </c>
      <c r="Z122" s="62">
        <f t="shared" si="45"/>
        <v>23.325500000000002</v>
      </c>
      <c r="AA122" s="62">
        <f t="shared" si="34"/>
        <v>23.268900000000002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5"/>
        <v>0207-14</v>
      </c>
      <c r="AE122" s="85" t="str">
        <f t="shared" si="36"/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AF122" s="82" t="str">
        <f t="shared" si="37"/>
        <v>"C:\Program Files (x86)\AstroGrep\AstroGrep.exe" /e /r /s /spath="%USERPROFILE%\AppData\Local\Temp\OnboardLogs" /stypes="app*4053*20170314*" /stext=" 23:.+((SYSTEM_STATE.+slice.+state.+changed )|(ment ac)|(multiple cpu faults)|(system.+state.+changed )|(\[timeout)|(PRM\|1\|D)|(kpr)|(kdp)|(\|lc)|(penalty))"</v>
      </c>
      <c r="AG122" s="1" t="str">
        <f t="shared" si="38"/>
        <v>EC</v>
      </c>
      <c r="AH122" s="86" t="str">
        <f t="shared" si="39"/>
        <v>"%USERPROFILE%\Documents\GitHub\eaglep3\Utilities\RefineRTDCRunTimes.py" --tripid 207-14 --locoid 4053 --swversion DE.1.0.9.0 --startMP 204:566 --initTime 2017-03-14T16:54:54 --startdatetime 2017-03-14T16:56:30 --delay 1 --endMP 204:233255 --enddatetime 2017-03-14T17:38:29 --enforcementcount 0 &gt;&gt;C:\Users\stu\Documents\GitHub\eaglep3-reporting\EC\2017-03-14-refined-times.txt</v>
      </c>
      <c r="AI122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{"issue":{"subject":"","project_id":79,"tracker_id":40,"status_id":1,"priority_id":2,"assigned_to_id":23,"start_date":"2017-03-14","description":"","custom_fields":[{"id":1,"name":"Subdivision","value":"EC"},{"id":4,"name":"Milepost","value":"23.3255"},{"id":17,"name":"Train ID","value":"207-14"},{"id":16,"name":"Locomotive ID","value":"4053"},{"id":130,"name":"Impact","value":""},{"id":150,"name":"Time of Event (Mountain Time)","value":"17:38:29"},{"id":151,"name":"Denver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1"/>
        <v>start /low /b %USERPROFILE%\Documents\GitHub\eaglep3\Utilities\DownloadLogsFromS3.py --loco 4053 --day 2017-03-14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"%USERPROFILE%\AppData\Local\Temp\OnboardLogs"\RTDC4053\*4053*20170314* | grep -SE "(Enforcement Action)|(\[TIMEOUT)|(CHR.+\|PRM\|1\|D.+(SWITCH|SIGNAL).+UNKNOWN)" - &gt;&gt; 2017-03-14-UncaughtWiMAX.txt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753</v>
      </c>
      <c r="B123" s="7">
        <v>4054</v>
      </c>
      <c r="C123" s="21" t="s">
        <v>233</v>
      </c>
      <c r="D123" s="21" t="s">
        <v>870</v>
      </c>
      <c r="E123" s="13">
        <v>42808.742939814816</v>
      </c>
      <c r="F123" s="13">
        <v>42808.743645833332</v>
      </c>
      <c r="G123" s="7">
        <v>1</v>
      </c>
      <c r="H123" s="21" t="s">
        <v>871</v>
      </c>
      <c r="I123" s="13">
        <v>42808.776006944441</v>
      </c>
      <c r="J123" s="7">
        <v>0</v>
      </c>
      <c r="K123" s="98" t="str">
        <f t="shared" si="27"/>
        <v>4053/4054</v>
      </c>
      <c r="L123" s="21" t="str">
        <f>VLOOKUP(A123,'Trips&amp;Operators'!$C$1:$G$99999,5,FALSE)</f>
        <v>CLARK KATHLEEN</v>
      </c>
      <c r="M123" s="6">
        <f t="shared" si="28"/>
        <v>3.2361111108912155E-2</v>
      </c>
      <c r="N123" s="7">
        <f t="shared" si="42"/>
        <v>46.599999996833503</v>
      </c>
      <c r="O123" s="7"/>
      <c r="P123" s="7"/>
      <c r="Q123" s="22"/>
      <c r="R123" s="22"/>
      <c r="S123" s="31">
        <f t="shared" si="43"/>
        <v>1</v>
      </c>
      <c r="T123" s="46" t="str">
        <f t="shared" si="29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0"/>
        <v>https://d0f6bd738d7f1b3e5a7ca70fe4ff75f0.us-east-1.aws.found.io/app/kibana#/discover/Steve-Slow-Train-Analysis-(2080s-and-2083s)?_g=(refreshInterval:(display:Off,pause:!f,section:0,value:0),time:(from:'2017-03-14T16:49:50-0600',mode:absolute,to:'2017-03-14T19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187" t="str">
        <f t="shared" si="31"/>
        <v>N</v>
      </c>
      <c r="X123" s="187">
        <f t="shared" si="44"/>
        <v>1</v>
      </c>
      <c r="Y123" s="62">
        <f t="shared" si="32"/>
        <v>23.297000000000001</v>
      </c>
      <c r="Z123" s="62">
        <f t="shared" si="45"/>
        <v>2.7300000000000001E-2</v>
      </c>
      <c r="AA123" s="62">
        <f t="shared" si="34"/>
        <v>23.2697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5"/>
        <v>0208-14</v>
      </c>
      <c r="AE123" s="85" t="str">
        <f t="shared" si="36"/>
        <v>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 &amp; 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</v>
      </c>
      <c r="AF123" s="82" t="str">
        <f t="shared" si="37"/>
        <v>"C:\Program Files (x86)\AstroGrep\AstroGrep.exe" /e /r /s /spath="%USERPROFILE%\AppData\Local\Temp\OnboardLogs" /stypes="app*4054*20170315*" /stext=" 00:.+((SYSTEM_STATE.+slice.+state.+changed )|(ment ac)|(multiple cpu faults)|(system.+state.+changed )|(\[timeout)|(PRM\|1\|D)|(kpr)|(kdp)|(\|lc)|(penalty))"</v>
      </c>
      <c r="AG123" s="1" t="str">
        <f t="shared" si="38"/>
        <v>EC</v>
      </c>
      <c r="AH123" s="86" t="str">
        <f t="shared" si="39"/>
        <v>"%USERPROFILE%\Documents\GitHub\eaglep3\Utilities\RefineRTDCRunTimes.py" --tripid 208-14 --locoid 4054 --swversion DE.1.0.9.0 --startMP 204:232970 --initTime 2017-03-14T17:49:50 --startdatetime 2017-03-14T17:50:51 --delay 1 --endMP 204:273 --enddatetime 2017-03-14T18:37:27 --enforcementcount 0 &gt;&gt;C:\Users\stu\Documents\GitHub\eaglep3-reporting\EC\2017-03-14-refined-times.txt</v>
      </c>
      <c r="AI123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{"issue":{"subject":"","project_id":79,"tracker_id":40,"status_id":1,"priority_id":2,"assigned_to_id":23,"start_date":"2017-03-14","description":"","custom_fields":[{"id":1,"name":"Subdivision","value":"EC"},{"id":4,"name":"Milepost","value":"0.0273"},{"id":17,"name":"Train ID","value":"208-14"},{"id":16,"name":"Locomotive ID","value":"4054"},{"id":130,"name":"Impact","value":""},{"id":150,"name":"Time of Event (Mountain Time)","value":"18:37:27"},{"id":151,"name":"Denver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1"/>
        <v>start /low /b %USERPROFILE%\Documents\GitHub\eaglep3\Utilities\DownloadLogsFromS3.py --loco 4054 --day 2017-03-14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2017-03-14-UncaughtWiMAX.txt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742</v>
      </c>
      <c r="B124" s="7">
        <v>4051</v>
      </c>
      <c r="C124" s="21" t="s">
        <v>233</v>
      </c>
      <c r="D124" s="21" t="s">
        <v>217</v>
      </c>
      <c r="E124" s="13">
        <v>42808.717291666668</v>
      </c>
      <c r="F124" s="13">
        <v>42808.718240740738</v>
      </c>
      <c r="G124" s="7">
        <v>1</v>
      </c>
      <c r="H124" s="21" t="s">
        <v>236</v>
      </c>
      <c r="I124" s="13">
        <v>42808.744803240741</v>
      </c>
      <c r="J124" s="7">
        <v>0</v>
      </c>
      <c r="K124" s="98" t="str">
        <f t="shared" si="27"/>
        <v>4051/4052</v>
      </c>
      <c r="L124" s="21" t="str">
        <f>VLOOKUP(A124,'Trips&amp;Operators'!$C$1:$G$99999,5,FALSE)</f>
        <v>CHANDLER KELVIN</v>
      </c>
      <c r="M124" s="6">
        <f t="shared" si="28"/>
        <v>2.6562500002910383E-2</v>
      </c>
      <c r="N124" s="7">
        <f t="shared" si="42"/>
        <v>38.250000004190952</v>
      </c>
      <c r="O124" s="7"/>
      <c r="P124" s="7"/>
      <c r="Q124" s="22"/>
      <c r="R124" s="22"/>
      <c r="S124" s="31">
        <f t="shared" si="43"/>
        <v>1</v>
      </c>
      <c r="T124" s="46" t="str">
        <f t="shared" si="29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0"/>
        <v>https://d0f6bd738d7f1b3e5a7ca70fe4ff75f0.us-east-1.aws.found.io/app/kibana#/discover/Steve-Slow-Train-Analysis-(2080s-and-2083s)?_g=(refreshInterval:(display:Off,pause:!f,section:0,value:0),time:(from:'2017-03-14T16:12:54-0600',mode:absolute,to:'2017-03-14T18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4" s="187" t="str">
        <f t="shared" si="31"/>
        <v>N</v>
      </c>
      <c r="X124" s="187">
        <f t="shared" si="44"/>
        <v>1</v>
      </c>
      <c r="Y124" s="62">
        <f t="shared" si="32"/>
        <v>4.4600000000000001E-2</v>
      </c>
      <c r="Z124" s="62">
        <f t="shared" si="45"/>
        <v>23.329699999999999</v>
      </c>
      <c r="AA124" s="62">
        <f t="shared" si="34"/>
        <v>23.2851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5"/>
        <v>0209-14</v>
      </c>
      <c r="AE124" s="85" t="str">
        <f t="shared" si="36"/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124" s="82" t="str">
        <f t="shared" si="37"/>
        <v>"C:\Program Files (x86)\AstroGrep\AstroGrep.exe" /e /r /s /spath="%USERPROFILE%\AppData\Local\Temp\OnboardLogs" /stypes="app*4051*20170314*" /stext=" 23:.+((SYSTEM_STATE.+slice.+state.+changed )|(ment ac)|(multiple cpu faults)|(system.+state.+changed )|(\[timeout)|(PRM\|1\|D)|(kpr)|(kdp)|(\|lc)|(penalty))"</v>
      </c>
      <c r="AG124" s="1" t="str">
        <f t="shared" si="38"/>
        <v>EC</v>
      </c>
      <c r="AH124" s="86" t="str">
        <f t="shared" si="39"/>
        <v>"%USERPROFILE%\Documents\GitHub\eaglep3\Utilities\RefineRTDCRunTimes.py" --tripid 209-14 --locoid 4051 --swversion DE.1.0.9.0 --startMP 204:446 --initTime 2017-03-14T17:12:54 --startdatetime 2017-03-14T17:14:16 --delay 1 --endMP 204:233297 --enddatetime 2017-03-14T17:52:31 --enforcementcount 0 &gt;&gt;C:\Users\stu\Documents\GitHub\eaglep3-reporting\EC\2017-03-14-refined-times.txt</v>
      </c>
      <c r="AI124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{"issue":{"subject":"","project_id":79,"tracker_id":40,"status_id":1,"priority_id":2,"assigned_to_id":23,"start_date":"2017-03-14","description":"","custom_fields":[{"id":1,"name":"Subdivision","value":"EC"},{"id":4,"name":"Milepost","value":"23.3297"},{"id":17,"name":"Train ID","value":"209-14"},{"id":16,"name":"Locomotive ID","value":"4051"},{"id":130,"name":"Impact","value":""},{"id":150,"name":"Time of Event (Mountain Time)","value":"17:52:31"},{"id":151,"name":"Denver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1"/>
        <v>start /low /b %USERPROFILE%\Documents\GitHub\eaglep3\Utilities\DownloadLogsFromS3.py --loco 4051 --day 2017-03-14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"%USERPROFILE%\AppData\Local\Temp\OnboardLogs"\RTDC4051\*4051*20170314* | grep -SE "(Enforcement Action)|(\[TIMEOUT)|(CHR.+\|PRM\|1\|D.+(SWITCH|SIGNAL).+UNKNOWN)" - &gt;&gt; 2017-03-14-UncaughtWiMAX.txt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756</v>
      </c>
      <c r="B125" s="7">
        <v>4052</v>
      </c>
      <c r="C125" s="21" t="s">
        <v>233</v>
      </c>
      <c r="D125" s="21" t="s">
        <v>818</v>
      </c>
      <c r="E125" s="13">
        <v>42808.755671296298</v>
      </c>
      <c r="F125" s="13">
        <v>42808.756527777776</v>
      </c>
      <c r="G125" s="7">
        <v>1</v>
      </c>
      <c r="H125" s="21" t="s">
        <v>223</v>
      </c>
      <c r="I125" s="13">
        <v>42808.787048611113</v>
      </c>
      <c r="J125" s="7">
        <v>0</v>
      </c>
      <c r="K125" s="98" t="str">
        <f t="shared" si="27"/>
        <v>4051/4052</v>
      </c>
      <c r="L125" s="21" t="str">
        <f>VLOOKUP(A125,'Trips&amp;Operators'!$C$1:$G$99999,5,FALSE)</f>
        <v>CHANDLER KELVIN</v>
      </c>
      <c r="M125" s="6">
        <f t="shared" si="28"/>
        <v>3.0520833337504882E-2</v>
      </c>
      <c r="N125" s="7">
        <f t="shared" si="42"/>
        <v>43.950000006007031</v>
      </c>
      <c r="O125" s="7"/>
      <c r="P125" s="7"/>
      <c r="Q125" s="22"/>
      <c r="R125" s="22"/>
      <c r="S125" s="31">
        <f t="shared" si="43"/>
        <v>1</v>
      </c>
      <c r="T125" s="46" t="str">
        <f t="shared" si="29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0"/>
        <v>https://d0f6bd738d7f1b3e5a7ca70fe4ff75f0.us-east-1.aws.found.io/app/kibana#/discover/Steve-Slow-Train-Analysis-(2080s-and-2083s)?_g=(refreshInterval:(display:Off,pause:!f,section:0,value:0),time:(from:'2017-03-14T17:08:10-0600',mode:absolute,to:'2017-03-14T19:53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5" s="187" t="str">
        <f t="shared" si="31"/>
        <v>N</v>
      </c>
      <c r="X125" s="187">
        <f t="shared" si="44"/>
        <v>1</v>
      </c>
      <c r="Y125" s="62">
        <f t="shared" si="32"/>
        <v>23.2957</v>
      </c>
      <c r="Z125" s="62">
        <f t="shared" si="45"/>
        <v>1.5599999999999999E-2</v>
      </c>
      <c r="AA125" s="62">
        <f t="shared" si="34"/>
        <v>23.280100000000001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5"/>
        <v>0210-14</v>
      </c>
      <c r="AE125" s="85" t="str">
        <f t="shared" si="36"/>
        <v>aws s3 cp s3://rtdc.mdm.uploadarchive.raw/RTDC4052/ "%USERPROFILE%\AppData\Local\Temp\OnboardLogs"\RTDC4052\2017-03-14 --exclude "*" --recursive --include "*20170314*" &amp; "%USERPROFILE%\Documents\GitHub\mrs-test-scripts\Headless Mode &amp; Sideloading\WalkAndUnGZ.bat" "%USERPROFILE%\AppData\Local\Temp\OnboardLogs"\RTDC4052\2017-03-14 &amp; 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</v>
      </c>
      <c r="AF125" s="82" t="str">
        <f t="shared" si="37"/>
        <v>"C:\Program Files (x86)\AstroGrep\AstroGrep.exe" /e /r /s /spath="%USERPROFILE%\AppData\Local\Temp\OnboardLogs" /stypes="app*4052*20170315*" /stext=" 00:.+((SYSTEM_STATE.+slice.+state.+changed )|(ment ac)|(multiple cpu faults)|(system.+state.+changed )|(\[timeout)|(PRM\|1\|D)|(kpr)|(kdp)|(\|lc)|(penalty))"</v>
      </c>
      <c r="AG125" s="1" t="str">
        <f t="shared" si="38"/>
        <v>EC</v>
      </c>
      <c r="AH125" s="86" t="str">
        <f t="shared" si="39"/>
        <v>"%USERPROFILE%\Documents\GitHub\eaglep3\Utilities\RefineRTDCRunTimes.py" --tripid 210-14 --locoid 4052 --swversion DE.1.0.9.0 --startMP 204:232957 --initTime 2017-03-14T18:08:10 --startdatetime 2017-03-14T18:09:24 --delay 1 --endMP 204:156 --enddatetime 2017-03-14T18:53:21 --enforcementcount 0 &gt;&gt;C:\Users\stu\Documents\GitHub\eaglep3-reporting\EC\2017-03-14-refined-times.txt</v>
      </c>
      <c r="AI125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{"issue":{"subject":"","project_id":79,"tracker_id":40,"status_id":1,"priority_id":2,"assigned_to_id":23,"start_date":"2017-03-14","description":"","custom_fields":[{"id":1,"name":"Subdivision","value":"EC"},{"id":4,"name":"Milepost","value":"0.0156"},{"id":17,"name":"Train ID","value":"210-14"},{"id":16,"name":"Locomotive ID","value":"4052"},{"id":130,"name":"Impact","value":""},{"id":150,"name":"Time of Event (Mountain Time)","value":"18:53:21"},{"id":151,"name":"Denver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1"/>
        <v>start /low /b %USERPROFILE%\Documents\GitHub\eaglep3\Utilities\DownloadLogsFromS3.py --loco 4052 --day 2017-03-14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2017-03-14-UncaughtWiMAX.txt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744</v>
      </c>
      <c r="B126" s="7">
        <v>4018</v>
      </c>
      <c r="C126" s="21" t="s">
        <v>233</v>
      </c>
      <c r="D126" s="21" t="s">
        <v>872</v>
      </c>
      <c r="E126" s="13">
        <v>42808.724143518521</v>
      </c>
      <c r="F126" s="13">
        <v>42808.725243055553</v>
      </c>
      <c r="G126" s="7">
        <v>1</v>
      </c>
      <c r="H126" s="21" t="s">
        <v>236</v>
      </c>
      <c r="I126" s="13">
        <v>42808.754780092589</v>
      </c>
      <c r="J126" s="7">
        <v>0</v>
      </c>
      <c r="K126" s="98" t="str">
        <f t="shared" si="27"/>
        <v>4017/4018</v>
      </c>
      <c r="L126" s="21" t="str">
        <f>VLOOKUP(A126,'Trips&amp;Operators'!$C$1:$G$99999,5,FALSE)</f>
        <v>MOSES BRADLEY</v>
      </c>
      <c r="M126" s="6">
        <f t="shared" si="28"/>
        <v>2.9537037036789116E-2</v>
      </c>
      <c r="N126" s="7">
        <f t="shared" si="42"/>
        <v>42.533333332976326</v>
      </c>
      <c r="O126" s="7"/>
      <c r="P126" s="7"/>
      <c r="Q126" s="22"/>
      <c r="R126" s="22"/>
      <c r="S126" s="31">
        <f t="shared" si="43"/>
        <v>1</v>
      </c>
      <c r="T126" s="46" t="str">
        <f t="shared" si="29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0"/>
        <v>https://d0f6bd738d7f1b3e5a7ca70fe4ff75f0.us-east-1.aws.found.io/app/kibana#/discover/Steve-Slow-Train-Analysis-(2080s-and-2083s)?_g=(refreshInterval:(display:Off,pause:!f,section:0,value:0),time:(from:'2017-03-14T16:22:46-0600',mode:absolute,to:'2017-03-14T19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6" s="187" t="str">
        <f t="shared" si="31"/>
        <v>N</v>
      </c>
      <c r="X126" s="187">
        <f t="shared" si="44"/>
        <v>1</v>
      </c>
      <c r="Y126" s="62">
        <f t="shared" si="32"/>
        <v>4.1599999999999998E-2</v>
      </c>
      <c r="Z126" s="62">
        <f t="shared" si="45"/>
        <v>23.329699999999999</v>
      </c>
      <c r="AA126" s="62">
        <f t="shared" si="34"/>
        <v>23.2881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5"/>
        <v>0211-14</v>
      </c>
      <c r="AE126" s="85" t="str">
        <f t="shared" si="36"/>
        <v>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 &amp; aws s3 cp s3://rtdc.mdm.uploadarchive.raw/RTDC4018/ "%USERPROFILE%\AppData\Local\Temp\OnboardLogs"\RTDC4018\2017-03-15 --exclude "*" --recursive --include "*20170315*" &amp; "%USERPROFILE%\Documents\GitHub\mrs-test-scripts\Headless Mode &amp; Sideloading\WalkAndUnGZ.bat" "%USERPROFILE%\AppData\Local\Temp\OnboardLogs"\RTDC4018\2017-03-15</v>
      </c>
      <c r="AF126" s="82" t="str">
        <f t="shared" si="37"/>
        <v>"C:\Program Files (x86)\AstroGrep\AstroGrep.exe" /e /r /s /spath="%USERPROFILE%\AppData\Local\Temp\OnboardLogs" /stypes="app*4018*20170315*" /stext=" 00:.+((SYSTEM_STATE.+slice.+state.+changed )|(ment ac)|(multiple cpu faults)|(system.+state.+changed )|(\[timeout)|(PRM\|1\|D)|(kpr)|(kdp)|(\|lc)|(penalty))"</v>
      </c>
      <c r="AG126" s="1" t="str">
        <f t="shared" si="38"/>
        <v>EC</v>
      </c>
      <c r="AH126" s="86" t="str">
        <f t="shared" si="39"/>
        <v>"%USERPROFILE%\Documents\GitHub\eaglep3\Utilities\RefineRTDCRunTimes.py" --tripid 211-14 --locoid 4018 --swversion DE.1.0.9.0 --startMP 204:416 --initTime 2017-03-14T17:22:46 --startdatetime 2017-03-14T17:24:21 --delay 1 --endMP 204:233297 --enddatetime 2017-03-14T18:06:53 --enforcementcount 0 &gt;&gt;C:\Users\stu\Documents\GitHub\eaglep3-reporting\EC\2017-03-14-refined-times.txt</v>
      </c>
      <c r="AI126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{"issue":{"subject":"","project_id":79,"tracker_id":40,"status_id":1,"priority_id":2,"assigned_to_id":23,"start_date":"2017-03-14","description":"","custom_fields":[{"id":1,"name":"Subdivision","value":"EC"},{"id":4,"name":"Milepost","value":"23.3297"},{"id":17,"name":"Train ID","value":"211-14"},{"id":16,"name":"Locomotive ID","value":"4018"},{"id":130,"name":"Impact","value":""},{"id":150,"name":"Time of Event (Mountain Time)","value":"18:06:53"},{"id":151,"name":"Denver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1"/>
        <v>start /low /b %USERPROFILE%\Documents\GitHub\eaglep3\Utilities\DownloadLogsFromS3.py --loco 4018 --day 2017-03-14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"%USERPROFILE%\AppData\Local\Temp\OnboardLogs"\RTDC4018\*4018*20170314* | grep -SE "(Enforcement Action)|(\[TIMEOUT)|(CHR.+\|PRM\|1\|D.+(SWITCH|SIGNAL).+UNKNOWN)" - &gt;&gt; 2017-03-14-UncaughtWiMAX.txt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593</v>
      </c>
      <c r="B127" s="7">
        <v>4017</v>
      </c>
      <c r="C127" s="21" t="s">
        <v>233</v>
      </c>
      <c r="D127" s="21" t="s">
        <v>454</v>
      </c>
      <c r="E127" s="13">
        <v>42808.764756944445</v>
      </c>
      <c r="F127" s="13">
        <v>42808.765636574077</v>
      </c>
      <c r="G127" s="7">
        <v>1</v>
      </c>
      <c r="H127" s="21" t="s">
        <v>530</v>
      </c>
      <c r="I127" s="13">
        <v>42808.796481481484</v>
      </c>
      <c r="J127" s="7">
        <v>0</v>
      </c>
      <c r="K127" s="98" t="str">
        <f t="shared" si="27"/>
        <v>4017/4018</v>
      </c>
      <c r="L127" s="21" t="str">
        <f>VLOOKUP(A127,'Trips&amp;Operators'!$C$1:$G$99999,5,FALSE)</f>
        <v>MOSES BRADLEY</v>
      </c>
      <c r="M127" s="6">
        <f t="shared" si="28"/>
        <v>3.0844907407299615E-2</v>
      </c>
      <c r="N127" s="7">
        <f t="shared" si="42"/>
        <v>44.416666666511446</v>
      </c>
      <c r="O127" s="7"/>
      <c r="P127" s="7"/>
      <c r="Q127" s="22"/>
      <c r="R127" s="22"/>
      <c r="S127" s="31">
        <f t="shared" si="43"/>
        <v>1</v>
      </c>
      <c r="T127" s="46" t="str">
        <f t="shared" si="29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0"/>
        <v>https://d0f6bd738d7f1b3e5a7ca70fe4ff75f0.us-east-1.aws.found.io/app/kibana#/discover/Steve-Slow-Train-Analysis-(2080s-and-2083s)?_g=(refreshInterval:(display:Off,pause:!f,section:0,value:0),time:(from:'2017-03-14T17:21:15-0600',mode:absolute,to:'2017-03-14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7" s="187" t="str">
        <f t="shared" si="31"/>
        <v>N</v>
      </c>
      <c r="X127" s="187">
        <f t="shared" si="44"/>
        <v>1</v>
      </c>
      <c r="Y127" s="62">
        <f t="shared" si="32"/>
        <v>23.298300000000001</v>
      </c>
      <c r="Z127" s="62">
        <f t="shared" si="45"/>
        <v>2.0299999999999999E-2</v>
      </c>
      <c r="AA127" s="62">
        <f t="shared" si="34"/>
        <v>23.278000000000002</v>
      </c>
      <c r="AB127" s="59" t="str">
        <f>VLOOKUP(A127,Enforcements!$C$7:$K$13,8,0)</f>
        <v>Bulletin (2)</v>
      </c>
      <c r="AC127" s="55" t="str">
        <f>VLOOKUP(A127,Enforcements!$C$7:$E$13,3,0)</f>
        <v>GRADE CROSSING</v>
      </c>
      <c r="AD127" s="56" t="str">
        <f t="shared" si="35"/>
        <v>0212-14</v>
      </c>
      <c r="AE127" s="85" t="str">
        <f t="shared" si="36"/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AF127" s="82" t="str">
        <f t="shared" si="37"/>
        <v>"C:\Program Files (x86)\AstroGrep\AstroGrep.exe" /e /r /s /spath="%USERPROFILE%\AppData\Local\Temp\OnboardLogs" /stypes="app*4017*20170315*" /stext=" 01:.+((SYSTEM_STATE.+slice.+state.+changed )|(ment ac)|(multiple cpu faults)|(system.+state.+changed )|(\[timeout)|(PRM\|1\|D)|(kpr)|(kdp)|(\|lc)|(penalty))"</v>
      </c>
      <c r="AG127" s="1" t="str">
        <f t="shared" si="38"/>
        <v>EC</v>
      </c>
      <c r="AH127" s="86" t="str">
        <f t="shared" si="39"/>
        <v>"%USERPROFILE%\Documents\GitHub\eaglep3\Utilities\RefineRTDCRunTimes.py" --tripid 212-14 --locoid 4017 --swversion DE.1.0.9.0 --startMP 204:232983 --initTime 2017-03-14T18:21:15 --startdatetime 2017-03-14T18:22:31 --delay 1 --endMP 204:203 --enddatetime 2017-03-14T19:06:56 --enforcementcount 0 &gt;&gt;C:\Users\stu\Documents\GitHub\eaglep3-reporting\EC\2017-03-14-refined-times.txt</v>
      </c>
      <c r="AI127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{"issue":{"subject":"","project_id":79,"tracker_id":40,"status_id":1,"priority_id":2,"assigned_to_id":23,"start_date":"2017-03-14","description":"","custom_fields":[{"id":1,"name":"Subdivision","value":"EC"},{"id":4,"name":"Milepost","value":"0.0203"},{"id":17,"name":"Train ID","value":"212-14"},{"id":16,"name":"Locomotive ID","value":"4017"},{"id":130,"name":"Impact","value":""},{"id":150,"name":"Time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1"/>
        <v>start /low /b %USERPROFILE%\Documents\GitHub\eaglep3\Utilities\DownloadLogsFromS3.py --loco 4017 --day 2017-03-14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"%USERPROFILE%\AppData\Local\Temp\OnboardLogs"\RTDC4017\*4017*20170315* | grep -SE "(Enforcement Action)|(\[TIMEOUT)|(CHR.+\|PRM\|1\|D.+(SWITCH|SIGNAL).+UNKNOWN)" - &gt;&gt; 2017-03-14-UncaughtWiMAX.txt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750</v>
      </c>
      <c r="B128" s="7">
        <v>4027</v>
      </c>
      <c r="C128" s="21" t="s">
        <v>233</v>
      </c>
      <c r="D128" s="21" t="s">
        <v>873</v>
      </c>
      <c r="E128" s="13">
        <v>42808.739178240743</v>
      </c>
      <c r="F128" s="13">
        <v>42808.740439814814</v>
      </c>
      <c r="G128" s="7">
        <v>1</v>
      </c>
      <c r="H128" s="21" t="s">
        <v>443</v>
      </c>
      <c r="I128" s="13">
        <v>42808.766458333332</v>
      </c>
      <c r="J128" s="7">
        <v>0</v>
      </c>
      <c r="K128" s="98" t="str">
        <f t="shared" si="27"/>
        <v>4027/4028</v>
      </c>
      <c r="L128" s="21" t="str">
        <f>VLOOKUP(A128,'Trips&amp;Operators'!$C$1:$G$99999,5,FALSE)</f>
        <v>ALONZO MATTHEW</v>
      </c>
      <c r="M128" s="6">
        <f t="shared" si="28"/>
        <v>2.6018518517958E-2</v>
      </c>
      <c r="N128" s="7">
        <f t="shared" si="42"/>
        <v>37.46666666585952</v>
      </c>
      <c r="O128" s="7"/>
      <c r="P128" s="7"/>
      <c r="Q128" s="22"/>
      <c r="R128" s="22"/>
      <c r="S128" s="31">
        <f t="shared" si="43"/>
        <v>1</v>
      </c>
      <c r="T128" s="46" t="str">
        <f t="shared" si="29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0"/>
        <v>https://d0f6bd738d7f1b3e5a7ca70fe4ff75f0.us-east-1.aws.found.io/app/kibana#/discover/Steve-Slow-Train-Analysis-(2080s-and-2083s)?_g=(refreshInterval:(display:Off,pause:!f,section:0,value:0),time:(from:'2017-03-14T16:44:25-0600',mode:absolute,to:'2017-03-14T19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8" s="187" t="str">
        <f t="shared" si="31"/>
        <v>N</v>
      </c>
      <c r="X128" s="187">
        <f t="shared" si="44"/>
        <v>1</v>
      </c>
      <c r="Y128" s="62">
        <f t="shared" si="32"/>
        <v>4.3499999999999997E-2</v>
      </c>
      <c r="Z128" s="62">
        <f t="shared" si="45"/>
        <v>23.3293</v>
      </c>
      <c r="AA128" s="62">
        <f t="shared" si="34"/>
        <v>23.285799999999998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5"/>
        <v>0213-14</v>
      </c>
      <c r="AE128" s="85" t="str">
        <f t="shared" si="36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128" s="82" t="str">
        <f t="shared" si="37"/>
        <v>"C:\Program Files (x86)\AstroGrep\AstroGrep.exe" /e /r /s /spath="%USERPROFILE%\AppData\Local\Temp\OnboardLogs" /stypes="app*4027*20170315*" /stext=" 00:.+((SYSTEM_STATE.+slice.+state.+changed )|(ment ac)|(multiple cpu faults)|(system.+state.+changed )|(\[timeout)|(PRM\|1\|D)|(kpr)|(kdp)|(\|lc)|(penalty))"</v>
      </c>
      <c r="AG128" s="1" t="str">
        <f t="shared" si="38"/>
        <v>EC</v>
      </c>
      <c r="AH128" s="86" t="str">
        <f t="shared" si="39"/>
        <v>"%USERPROFILE%\Documents\GitHub\eaglep3\Utilities\RefineRTDCRunTimes.py" --tripid 213-14 --locoid 4027 --swversion DE.1.0.9.0 --startMP 204:435 --initTime 2017-03-14T17:44:25 --startdatetime 2017-03-14T17:46:14 --delay 1 --endMP 204:233293 --enddatetime 2017-03-14T18:23:42 --enforcementcount 0 &gt;&gt;C:\Users\stu\Documents\GitHub\eaglep3-reporting\EC\2017-03-14-refined-times.txt</v>
      </c>
      <c r="AI128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{"issue":{"subject":"","project_id":79,"tracker_id":40,"status_id":1,"priority_id":2,"assigned_to_id":23,"start_date":"2017-03-14","description":"","custom_fields":[{"id":1,"name":"Subdivision","value":"EC"},{"id":4,"name":"Milepost","value":"23.3293"},{"id":17,"name":"Train ID","value":"213-14"},{"id":16,"name":"Locomotive ID","value":"4027"},{"id":130,"name":"Impact","value":""},{"id":150,"name":"Time of Event (Mountain Time)","value":"18:23:42"},{"id":151,"name":"Denver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1"/>
        <v>start /low /b %USERPROFILE%\Documents\GitHub\eaglep3\Utilities\DownloadLogsFromS3.py --loco 4027 --day 2017-03-14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"%USERPROFILE%\AppData\Local\Temp\OnboardLogs"\RTDC4027\*4027*20170315* | grep -SE "(Enforcement Action)|(\[TIMEOUT)|(CHR.+\|PRM\|1\|D.+(SWITCH|SIGNAL).+UNKNOWN)" - &gt;&gt; 2017-03-14-UncaughtWiMAX.txt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760</v>
      </c>
      <c r="B129" s="7">
        <v>4028</v>
      </c>
      <c r="C129" s="21" t="s">
        <v>233</v>
      </c>
      <c r="D129" s="21" t="s">
        <v>487</v>
      </c>
      <c r="E129" s="13">
        <v>42808.771006944444</v>
      </c>
      <c r="F129" s="13">
        <v>42808.772152777776</v>
      </c>
      <c r="G129" s="7">
        <v>1</v>
      </c>
      <c r="H129" s="21" t="s">
        <v>192</v>
      </c>
      <c r="I129" s="13">
        <v>42808.80568287037</v>
      </c>
      <c r="J129" s="7">
        <v>0</v>
      </c>
      <c r="K129" s="98" t="str">
        <f t="shared" si="27"/>
        <v>4027/4028</v>
      </c>
      <c r="L129" s="21" t="str">
        <f>VLOOKUP(A129,'Trips&amp;Operators'!$C$1:$G$99999,5,FALSE)</f>
        <v>NEWELL JAMES</v>
      </c>
      <c r="M129" s="6">
        <f t="shared" si="28"/>
        <v>3.3530092594446614E-2</v>
      </c>
      <c r="N129" s="7">
        <f t="shared" si="42"/>
        <v>48.283333336003125</v>
      </c>
      <c r="O129" s="7"/>
      <c r="P129" s="7"/>
      <c r="Q129" s="22"/>
      <c r="R129" s="22"/>
      <c r="S129" s="31">
        <f t="shared" si="43"/>
        <v>1</v>
      </c>
      <c r="T129" s="46" t="str">
        <f t="shared" si="29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0"/>
        <v>https://d0f6bd738d7f1b3e5a7ca70fe4ff75f0.us-east-1.aws.found.io/app/kibana#/discover/Steve-Slow-Train-Analysis-(2080s-and-2083s)?_g=(refreshInterval:(display:Off,pause:!f,section:0,value:0),time:(from:'2017-03-14T17:30:15-0600',mode:absolute,to:'2017-03-14T20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9" s="187" t="str">
        <f t="shared" si="31"/>
        <v>N</v>
      </c>
      <c r="X129" s="187">
        <f t="shared" si="44"/>
        <v>1</v>
      </c>
      <c r="Y129" s="62">
        <f t="shared" si="32"/>
        <v>23.297699999999999</v>
      </c>
      <c r="Z129" s="62">
        <f t="shared" si="45"/>
        <v>1.4999999999999999E-2</v>
      </c>
      <c r="AA129" s="62">
        <f t="shared" si="34"/>
        <v>23.282699999999998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5"/>
        <v>0214-14</v>
      </c>
      <c r="AE129" s="85" t="str">
        <f t="shared" si="36"/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AF129" s="82" t="str">
        <f t="shared" si="37"/>
        <v>"C:\Program Files (x86)\AstroGrep\AstroGrep.exe" /e /r /s /spath="%USERPROFILE%\AppData\Local\Temp\OnboardLogs" /stypes="app*4028*20170315*" /stext=" 01:.+((SYSTEM_STATE.+slice.+state.+changed )|(ment ac)|(multiple cpu faults)|(system.+state.+changed )|(\[timeout)|(PRM\|1\|D)|(kpr)|(kdp)|(\|lc)|(penalty))"</v>
      </c>
      <c r="AG129" s="1" t="str">
        <f t="shared" si="38"/>
        <v>EC</v>
      </c>
      <c r="AH129" s="86" t="str">
        <f t="shared" si="39"/>
        <v>"%USERPROFILE%\Documents\GitHub\eaglep3\Utilities\RefineRTDCRunTimes.py" --tripid 214-14 --locoid 4028 --swversion DE.1.0.9.0 --startMP 204:232977 --initTime 2017-03-14T18:30:15 --startdatetime 2017-03-14T18:31:54 --delay 1 --endMP 204:150 --enddatetime 2017-03-14T19:20:11 --enforcementcount 0 &gt;&gt;C:\Users\stu\Documents\GitHub\eaglep3-reporting\EC\2017-03-14-refined-times.txt</v>
      </c>
      <c r="AI129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{"issue":{"subject":"","project_id":79,"tracker_id":40,"status_id":1,"priority_id":2,"assigned_to_id":23,"start_date":"2017-03-14","description":"","custom_fields":[{"id":1,"name":"Subdivision","value":"EC"},{"id":4,"name":"Milepost","value":"0.015"},{"id":17,"name":"Train ID","value":"214-14"},{"id":16,"name":"Locomotive ID","value":"4028"},{"id":130,"name":"Impact","value":""},{"id":150,"name":"Time of Event (Mountain Time)","value":"19:20:11"},{"id":151,"name":"Denver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1"/>
        <v>start /low /b %USERPROFILE%\Documents\GitHub\eaglep3\Utilities\DownloadLogsFromS3.py --loco 4028 --day 2017-03-14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"%USERPROFILE%\AppData\Local\Temp\OnboardLogs"\RTDC4028\*4028*20170315* | grep -SE "(Enforcement Action)|(\[TIMEOUT)|(CHR.+\|PRM\|1\|D.+(SWITCH|SIGNAL).+UNKNOWN)" - &gt;&gt; 2017-03-14-UncaughtWiMAX.txt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592</v>
      </c>
      <c r="B130" s="7">
        <v>4022</v>
      </c>
      <c r="C130" s="21" t="s">
        <v>233</v>
      </c>
      <c r="D130" s="21" t="s">
        <v>438</v>
      </c>
      <c r="E130" s="13">
        <v>42808.74732638889</v>
      </c>
      <c r="F130" s="13">
        <v>42808.748553240737</v>
      </c>
      <c r="G130" s="7">
        <v>1</v>
      </c>
      <c r="H130" s="21" t="s">
        <v>528</v>
      </c>
      <c r="I130" s="13">
        <v>42808.776087962964</v>
      </c>
      <c r="J130" s="7">
        <v>0</v>
      </c>
      <c r="K130" s="98" t="str">
        <f t="shared" si="27"/>
        <v>4021/4022</v>
      </c>
      <c r="L130" s="21" t="str">
        <f>VLOOKUP(A130,'Trips&amp;Operators'!$C$1:$G$99999,5,FALSE)</f>
        <v>HOLCOMB KAMDEN</v>
      </c>
      <c r="M130" s="6">
        <f t="shared" si="28"/>
        <v>2.7534722226846498E-2</v>
      </c>
      <c r="N130" s="7">
        <f t="shared" si="42"/>
        <v>39.650000006658956</v>
      </c>
      <c r="O130" s="7"/>
      <c r="P130" s="7"/>
      <c r="Q130" s="22"/>
      <c r="R130" s="22"/>
      <c r="S130" s="31">
        <f t="shared" si="43"/>
        <v>1</v>
      </c>
      <c r="T130" s="46" t="str">
        <f t="shared" si="29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30"/>
        <v>https://d0f6bd738d7f1b3e5a7ca70fe4ff75f0.us-east-1.aws.found.io/app/kibana#/discover/Steve-Slow-Train-Analysis-(2080s-and-2083s)?_g=(refreshInterval:(display:Off,pause:!f,section:0,value:0),time:(from:'2017-03-14T16:56:09-0600',mode:absolute,to:'2017-03-14T19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0" s="187" t="str">
        <f t="shared" si="31"/>
        <v>N</v>
      </c>
      <c r="X130" s="187">
        <f t="shared" si="44"/>
        <v>1</v>
      </c>
      <c r="Y130" s="62">
        <f t="shared" si="32"/>
        <v>4.6399999999999997E-2</v>
      </c>
      <c r="Z130" s="62">
        <f t="shared" si="45"/>
        <v>23.331900000000001</v>
      </c>
      <c r="AA130" s="62">
        <f t="shared" si="34"/>
        <v>23.285500000000003</v>
      </c>
      <c r="AB130" s="59" t="str">
        <f>VLOOKUP(A130,Enforcements!$C$7:$K$13,8,0)</f>
        <v>Bulletin (2)</v>
      </c>
      <c r="AC130" s="55" t="str">
        <f>VLOOKUP(A130,Enforcements!$C$7:$E$13,3,0)</f>
        <v>GRADE CROSSING</v>
      </c>
      <c r="AD130" s="56" t="str">
        <f t="shared" si="35"/>
        <v>0215-14</v>
      </c>
      <c r="AE130" s="85" t="str">
        <f t="shared" si="36"/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AF130" s="82" t="str">
        <f t="shared" si="37"/>
        <v>"C:\Program Files (x86)\AstroGrep\AstroGrep.exe" /e /r /s /spath="%USERPROFILE%\AppData\Local\Temp\OnboardLogs" /stypes="app*4022*20170315*" /stext=" 00:.+((SYSTEM_STATE.+slice.+state.+changed )|(ment ac)|(multiple cpu faults)|(system.+state.+changed )|(\[timeout)|(PRM\|1\|D)|(kpr)|(kdp)|(\|lc)|(penalty))"</v>
      </c>
      <c r="AG130" s="1" t="str">
        <f t="shared" si="38"/>
        <v>EC</v>
      </c>
      <c r="AH130" s="86" t="str">
        <f t="shared" si="39"/>
        <v>"%USERPROFILE%\Documents\GitHub\eaglep3\Utilities\RefineRTDCRunTimes.py" --tripid 215-14 --locoid 4022 --swversion DE.1.0.9.0 --startMP 204:464 --initTime 2017-03-14T17:56:09 --startdatetime 2017-03-14T17:57:55 --delay 1 --endMP 204:233319 --enddatetime 2017-03-14T18:37:34 --enforcementcount 0 &gt;&gt;C:\Users\stu\Documents\GitHub\eaglep3-reporting\EC\2017-03-14-refined-times.txt</v>
      </c>
      <c r="AI130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{"issue":{"subject":"","project_id":79,"tracker_id":40,"status_id":1,"priority_id":2,"assigned_to_id":23,"start_date":"2017-03-14","description":"","custom_fields":[{"id":1,"name":"Subdivision","value":"EC"},{"id":4,"name":"Milepost","value":"23.3319"},{"id":17,"name":"Train ID","value":"215-14"},{"id":16,"name":"Locomotive ID","value":"4022"},{"id":130,"name":"Impact","value":""},{"id":150,"name":"Time of Event (Mountain Time)","value":"18:37:34"},{"id":151,"name":"Denver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1"/>
        <v>start /low /b %USERPROFILE%\Documents\GitHub\eaglep3\Utilities\DownloadLogsFromS3.py --loco 4022 --day 2017-03-14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"%USERPROFILE%\AppData\Local\Temp\OnboardLogs"\RTDC4022\*4022*20170315* | grep -SE "(Enforcement Action)|(\[TIMEOUT)|(CHR.+\|PRM\|1\|D.+(SWITCH|SIGNAL).+UNKNOWN)" - &gt;&gt; 2017-03-14-UncaughtWiMAX.txt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596</v>
      </c>
      <c r="B131" s="7">
        <v>4021</v>
      </c>
      <c r="C131" s="21" t="s">
        <v>233</v>
      </c>
      <c r="D131" s="21" t="s">
        <v>874</v>
      </c>
      <c r="E131" s="13">
        <v>42808.785555555558</v>
      </c>
      <c r="F131" s="13">
        <v>42808.800567129627</v>
      </c>
      <c r="G131" s="7">
        <v>21</v>
      </c>
      <c r="H131" s="21" t="s">
        <v>219</v>
      </c>
      <c r="I131" s="13">
        <v>42808.822974537034</v>
      </c>
      <c r="J131" s="7">
        <v>0</v>
      </c>
      <c r="K131" s="98" t="str">
        <f t="shared" si="27"/>
        <v>4021/4022</v>
      </c>
      <c r="L131" s="21" t="str">
        <f>VLOOKUP(A131,'Trips&amp;Operators'!$C$1:$G$99999,5,FALSE)</f>
        <v>HOLCOMB KAMDEN</v>
      </c>
      <c r="M131" s="6">
        <f t="shared" si="28"/>
        <v>2.2407407406717539E-2</v>
      </c>
      <c r="N131" s="7"/>
      <c r="O131" s="7"/>
      <c r="P131" s="7">
        <f>24*60*SUM($M131:$M131)</f>
        <v>32.266666665673256</v>
      </c>
      <c r="Q131" s="22"/>
      <c r="R131" s="22" t="s">
        <v>496</v>
      </c>
      <c r="S131" s="31">
        <f t="shared" si="43"/>
        <v>1</v>
      </c>
      <c r="T131" s="46" t="str">
        <f t="shared" si="29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0"/>
        <v>https://d0f6bd738d7f1b3e5a7ca70fe4ff75f0.us-east-1.aws.found.io/app/kibana#/discover/Steve-Slow-Train-Analysis-(2080s-and-2083s)?_g=(refreshInterval:(display:Off,pause:!f,section:0,value:0),time:(from:'2017-03-14T17:51:12-0600',mode:absolute,to:'2017-03-14T20:45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1" s="187" t="str">
        <f t="shared" si="31"/>
        <v>Y</v>
      </c>
      <c r="X131" s="187">
        <f t="shared" si="44"/>
        <v>1</v>
      </c>
      <c r="Y131" s="62">
        <f t="shared" si="32"/>
        <v>15.4018</v>
      </c>
      <c r="Z131" s="62">
        <f t="shared" si="45"/>
        <v>1.3899999999999999E-2</v>
      </c>
      <c r="AA131" s="62">
        <f t="shared" si="34"/>
        <v>15.3879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5"/>
        <v>0216-14</v>
      </c>
      <c r="AE131" s="85" t="str">
        <f t="shared" si="36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131" s="82" t="str">
        <f t="shared" si="37"/>
        <v>"C:\Program Files (x86)\AstroGrep\AstroGrep.exe" /e /r /s /spath="%USERPROFILE%\AppData\Local\Temp\OnboardLogs" /stypes="app*4021*20170315*" /stext=" 01:.+((SYSTEM_STATE.+slice.+state.+changed )|(ment ac)|(multiple cpu faults)|(system.+state.+changed )|(\[timeout)|(PRM\|1\|D)|(kpr)|(kdp)|(\|lc)|(penalty))"</v>
      </c>
      <c r="AG131" s="1" t="str">
        <f t="shared" si="38"/>
        <v>EC</v>
      </c>
      <c r="AH131" s="86" t="str">
        <f t="shared" si="39"/>
        <v>"%USERPROFILE%\Documents\GitHub\eaglep3\Utilities\RefineRTDCRunTimes.py" --tripid 216-14 --locoid 4021 --swversion DE.1.0.9.0 --startMP 204:154018 --initTime 2017-03-14T18:51:12 --startdatetime 2017-03-14T19:12:49 --delay 21 --endMP 204:139 --enddatetime 2017-03-14T19:45:05 --enforcementcount 0 &gt;&gt;C:\Users\stu\Documents\GitHub\eaglep3-reporting\EC\2017-03-14-refined-times.txt</v>
      </c>
      <c r="AI131" s="108" t="str">
        <f t="shared" si="40"/>
        <v>echo {"issue":{"subject":"Onboard in-route failure","project_id":79,"tracker_id":40,"status_id":1,"priority_id":2,"assigned_to_id":23,"start_date":"2017-03-14","description":"","custom_fields":[{"id":1,"name":"Subdivision","value":"EC"},{"id":4,"name":"Milepost","value":"0.0139"},{"id":17,"name":"Train ID","value":"216-14"},{"id":16,"name":"Locomotive ID","value":"4021"},{"id":130,"name":"Impact","value":""},{"id":150,"name":"Time of Event (Mountain Time)","value":"19:45:05"},{"id":151,"name":"Denver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1"/>
        <v>start /low /b %USERPROFILE%\Documents\GitHub\eaglep3\Utilities\DownloadLogsFromS3.py --loco 4021 --day 2017-03-14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"%USERPROFILE%\AppData\Local\Temp\OnboardLogs"\RTDC4021\*4021*20170315* | grep -SE "(Enforcement Action)|(\[TIMEOUT)|(CHR.+\|PRM\|1\|D.+(SWITCH|SIGNAL).+UNKNOWN)" - &gt;&gt; 2017-03-14-UncaughtWiMAX.txt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596</v>
      </c>
      <c r="B132" s="7">
        <v>4021</v>
      </c>
      <c r="C132" s="21" t="s">
        <v>233</v>
      </c>
      <c r="D132" s="21" t="s">
        <v>484</v>
      </c>
      <c r="E132" s="13">
        <v>42808.780370370368</v>
      </c>
      <c r="F132" s="13">
        <v>42808.781469907408</v>
      </c>
      <c r="G132" s="7">
        <v>1</v>
      </c>
      <c r="H132" s="21" t="s">
        <v>219</v>
      </c>
      <c r="I132" s="13">
        <v>42808.822974537034</v>
      </c>
      <c r="J132" s="7">
        <v>0</v>
      </c>
      <c r="K132" s="98" t="str">
        <f t="shared" si="27"/>
        <v>4021/4022</v>
      </c>
      <c r="L132" s="21" t="str">
        <f>VLOOKUP(A132,'Trips&amp;Operators'!$C$1:$G$99999,5,FALSE)</f>
        <v>HOLCOMB KAMDEN</v>
      </c>
      <c r="M132" s="6">
        <f t="shared" si="28"/>
        <v>4.1504629625706002E-2</v>
      </c>
      <c r="N132" s="7"/>
      <c r="O132" s="7"/>
      <c r="P132" s="7"/>
      <c r="Q132" s="22"/>
      <c r="R132" s="22"/>
      <c r="S132" s="31"/>
      <c r="T132" s="46" t="str">
        <f t="shared" si="29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0"/>
        <v>https://d0f6bd738d7f1b3e5a7ca70fe4ff75f0.us-east-1.aws.found.io/app/kibana#/discover/Steve-Slow-Train-Analysis-(2080s-and-2083s)?_g=(refreshInterval:(display:Off,pause:!f,section:0,value:0),time:(from:'2017-03-14T17:43:44-0600',mode:absolute,to:'2017-03-14T20:45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187" t="str">
        <f t="shared" si="31"/>
        <v>N</v>
      </c>
      <c r="X132" s="187">
        <f t="shared" si="44"/>
        <v>0</v>
      </c>
      <c r="Y132" s="62">
        <f t="shared" si="32"/>
        <v>23.299800000000001</v>
      </c>
      <c r="Z132" s="62">
        <f t="shared" si="45"/>
        <v>1.3899999999999999E-2</v>
      </c>
      <c r="AA132" s="62">
        <f t="shared" si="34"/>
        <v>23.285900000000002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5"/>
        <v>0216-14</v>
      </c>
      <c r="AE132" s="85" t="str">
        <f t="shared" si="36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132" s="82" t="str">
        <f t="shared" si="37"/>
        <v>"C:\Program Files (x86)\AstroGrep\AstroGrep.exe" /e /r /s /spath="%USERPROFILE%\AppData\Local\Temp\OnboardLogs" /stypes="app*4021*20170315*" /stext=" 01:.+((SYSTEM_STATE.+slice.+state.+changed )|(ment ac)|(multiple cpu faults)|(system.+state.+changed )|(\[timeout)|(PRM\|1\|D)|(kpr)|(kdp)|(\|lc)|(penalty))"</v>
      </c>
      <c r="AG132" s="1" t="str">
        <f t="shared" si="38"/>
        <v>EC</v>
      </c>
      <c r="AH132" s="86" t="str">
        <f t="shared" si="39"/>
        <v>"%USERPROFILE%\Documents\GitHub\eaglep3\Utilities\RefineRTDCRunTimes.py" --tripid 216-14 --locoid 4021 --swversion DE.1.0.9.0 --startMP 204:232998 --initTime 2017-03-14T18:43:44 --startdatetime 2017-03-14T18:45:19 --delay 1 --endMP 204:139 --enddatetime 2017-03-14T19:45:05 --enforcementcount 0 &gt;&gt;C:\Users\stu\Documents\GitHub\eaglep3-reporting\EC\2017-03-14-refined-times.txt</v>
      </c>
      <c r="AI132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{"issue":{"subject":"","project_id":79,"tracker_id":40,"status_id":1,"priority_id":2,"assigned_to_id":23,"start_date":"2017-03-14","description":"","custom_fields":[{"id":1,"name":"Subdivision","value":"EC"},{"id":4,"name":"Milepost","value":"0.0139"},{"id":17,"name":"Train ID","value":"216-14"},{"id":16,"name":"Locomotive ID","value":"4021"},{"id":130,"name":"Impact","value":""},{"id":150,"name":"Time of Event (Mountain Time)","value":"19:45:05"},{"id":151,"name":"Denver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1"/>
        <v>start /low /b %USERPROFILE%\Documents\GitHub\eaglep3\Utilities\DownloadLogsFromS3.py --loco 4021 --day 2017-03-14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"%USERPROFILE%\AppData\Local\Temp\OnboardLogs"\RTDC4021\*4021*20170315* | grep -SE "(Enforcement Action)|(\[TIMEOUT)|(CHR.+\|PRM\|1\|D.+(SWITCH|SIGNAL).+UNKNOWN)" - &gt;&gt; 2017-03-14-UncaughtWiMAX.txt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596</v>
      </c>
      <c r="B133" s="7">
        <v>4021</v>
      </c>
      <c r="C133" s="21" t="s">
        <v>233</v>
      </c>
      <c r="D133" s="21" t="s">
        <v>484</v>
      </c>
      <c r="E133" s="13">
        <v>42808.785555555558</v>
      </c>
      <c r="F133" s="13">
        <v>42808.786469907405</v>
      </c>
      <c r="G133" s="7">
        <v>1</v>
      </c>
      <c r="H133" s="21" t="s">
        <v>219</v>
      </c>
      <c r="I133" s="13">
        <v>42808.822974537034</v>
      </c>
      <c r="J133" s="7">
        <v>0</v>
      </c>
      <c r="K133" s="98" t="str">
        <f t="shared" si="27"/>
        <v>4021/4022</v>
      </c>
      <c r="L133" s="21" t="str">
        <f>VLOOKUP(A133,'Trips&amp;Operators'!$C$1:$G$99999,5,FALSE)</f>
        <v>HOLCOMB KAMDEN</v>
      </c>
      <c r="M133" s="6">
        <f t="shared" si="28"/>
        <v>3.6504629628325347E-2</v>
      </c>
      <c r="N133" s="7"/>
      <c r="O133" s="7"/>
      <c r="P133" s="7"/>
      <c r="Q133" s="22"/>
      <c r="R133" s="22"/>
      <c r="S133" s="31"/>
      <c r="T133" s="46" t="str">
        <f t="shared" si="29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0"/>
        <v>https://d0f6bd738d7f1b3e5a7ca70fe4ff75f0.us-east-1.aws.found.io/app/kibana#/discover/Steve-Slow-Train-Analysis-(2080s-and-2083s)?_g=(refreshInterval:(display:Off,pause:!f,section:0,value:0),time:(from:'2017-03-14T17:51:12-0600',mode:absolute,to:'2017-03-14T20:45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3" s="187" t="str">
        <f t="shared" si="31"/>
        <v>N</v>
      </c>
      <c r="X133" s="187">
        <f t="shared" si="44"/>
        <v>0</v>
      </c>
      <c r="Y133" s="62">
        <f t="shared" si="32"/>
        <v>23.299800000000001</v>
      </c>
      <c r="Z133" s="62">
        <f t="shared" si="45"/>
        <v>1.3899999999999999E-2</v>
      </c>
      <c r="AA133" s="62">
        <f t="shared" si="34"/>
        <v>23.285900000000002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5"/>
        <v>0216-14</v>
      </c>
      <c r="AE133" s="85" t="str">
        <f t="shared" si="36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133" s="82" t="str">
        <f t="shared" si="37"/>
        <v>"C:\Program Files (x86)\AstroGrep\AstroGrep.exe" /e /r /s /spath="%USERPROFILE%\AppData\Local\Temp\OnboardLogs" /stypes="app*4021*20170315*" /stext=" 01:.+((SYSTEM_STATE.+slice.+state.+changed )|(ment ac)|(multiple cpu faults)|(system.+state.+changed )|(\[timeout)|(PRM\|1\|D)|(kpr)|(kdp)|(\|lc)|(penalty))"</v>
      </c>
      <c r="AG133" s="1" t="str">
        <f t="shared" si="38"/>
        <v>EC</v>
      </c>
      <c r="AH133" s="86" t="str">
        <f t="shared" si="39"/>
        <v>"%USERPROFILE%\Documents\GitHub\eaglep3\Utilities\RefineRTDCRunTimes.py" --tripid 216-14 --locoid 4021 --swversion DE.1.0.9.0 --startMP 204:232998 --initTime 2017-03-14T18:51:12 --startdatetime 2017-03-14T18:52:31 --delay 1 --endMP 204:139 --enddatetime 2017-03-14T19:45:05 --enforcementcount 0 &gt;&gt;C:\Users\stu\Documents\GitHub\eaglep3-reporting\EC\2017-03-14-refined-times.txt</v>
      </c>
      <c r="AI133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{"issue":{"subject":"","project_id":79,"tracker_id":40,"status_id":1,"priority_id":2,"assigned_to_id":23,"start_date":"2017-03-14","description":"","custom_fields":[{"id":1,"name":"Subdivision","value":"EC"},{"id":4,"name":"Milepost","value":"0.0139"},{"id":17,"name":"Train ID","value":"216-14"},{"id":16,"name":"Locomotive ID","value":"4021"},{"id":130,"name":"Impact","value":""},{"id":150,"name":"Time of Event (Mountain Time)","value":"19:45:05"},{"id":151,"name":"Denver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1"/>
        <v>start /low /b %USERPROFILE%\Documents\GitHub\eaglep3\Utilities\DownloadLogsFromS3.py --loco 4021 --day 2017-03-14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"%USERPROFILE%\AppData\Local\Temp\OnboardLogs"\RTDC4021\*4021*20170315* | grep -SE "(Enforcement Action)|(\[TIMEOUT)|(CHR.+\|PRM\|1\|D.+(SWITCH|SIGNAL).+UNKNOWN)" - &gt;&gt; 2017-03-14-UncaughtWiMAX.txt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757</v>
      </c>
      <c r="B134" s="7">
        <v>4009</v>
      </c>
      <c r="C134" s="21" t="s">
        <v>233</v>
      </c>
      <c r="D134" s="21" t="s">
        <v>234</v>
      </c>
      <c r="E134" s="13">
        <v>42808.75922453704</v>
      </c>
      <c r="F134" s="13">
        <v>42808.760740740741</v>
      </c>
      <c r="G134" s="7">
        <v>2</v>
      </c>
      <c r="H134" s="21" t="s">
        <v>875</v>
      </c>
      <c r="I134" s="13">
        <v>42808.786678240744</v>
      </c>
      <c r="J134" s="7">
        <v>0</v>
      </c>
      <c r="K134" s="98" t="str">
        <f t="shared" si="27"/>
        <v>4009/4010</v>
      </c>
      <c r="L134" s="21" t="str">
        <f>VLOOKUP(A134,'Trips&amp;Operators'!$C$1:$G$99999,5,FALSE)</f>
        <v>STORY SAMANTHA</v>
      </c>
      <c r="M134" s="6">
        <f t="shared" si="28"/>
        <v>2.5937500002328306E-2</v>
      </c>
      <c r="N134" s="7">
        <f t="shared" ref="N134:N152" si="46">24*60*SUM($M134:$M134)</f>
        <v>37.350000003352761</v>
      </c>
      <c r="O134" s="7"/>
      <c r="P134" s="7"/>
      <c r="Q134" s="22"/>
      <c r="R134" s="22"/>
      <c r="S134" s="31">
        <f t="shared" ref="S134:S153" si="47">SUM(U134:U134)/IF(AG134="EC",12,1)</f>
        <v>1</v>
      </c>
      <c r="T134" s="46" t="str">
        <f t="shared" si="29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0"/>
        <v>https://d0f6bd738d7f1b3e5a7ca70fe4ff75f0.us-east-1.aws.found.io/app/kibana#/discover/Steve-Slow-Train-Analysis-(2080s-and-2083s)?_g=(refreshInterval:(display:Off,pause:!f,section:0,value:0),time:(from:'2017-03-14T17:13:17-0600',mode:absolute,to:'2017-03-14T19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4" s="187" t="str">
        <f t="shared" si="31"/>
        <v>N</v>
      </c>
      <c r="X134" s="187">
        <f t="shared" si="44"/>
        <v>1</v>
      </c>
      <c r="Y134" s="62">
        <f t="shared" si="32"/>
        <v>4.58E-2</v>
      </c>
      <c r="Z134" s="62">
        <f t="shared" si="45"/>
        <v>23.334700000000002</v>
      </c>
      <c r="AA134" s="62">
        <f t="shared" si="34"/>
        <v>23.288900000000002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5"/>
        <v>0217-14</v>
      </c>
      <c r="AE134" s="85" t="str">
        <f t="shared" si="36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134" s="82" t="str">
        <f t="shared" si="37"/>
        <v>"C:\Program Files (x86)\AstroGrep\AstroGrep.exe" /e /r /s /spath="%USERPROFILE%\AppData\Local\Temp\OnboardLogs" /stypes="app*4009*20170315*" /stext=" 00:.+((SYSTEM_STATE.+slice.+state.+changed )|(ment ac)|(multiple cpu faults)|(system.+state.+changed )|(\[timeout)|(PRM\|1\|D)|(kpr)|(kdp)|(\|lc)|(penalty))"</v>
      </c>
      <c r="AG134" s="1" t="str">
        <f t="shared" si="38"/>
        <v>EC</v>
      </c>
      <c r="AH134" s="86" t="str">
        <f t="shared" si="39"/>
        <v>"%USERPROFILE%\Documents\GitHub\eaglep3\Utilities\RefineRTDCRunTimes.py" --tripid 217-14 --locoid 4009 --swversion DE.1.0.9.0 --startMP 204:458 --initTime 2017-03-14T18:13:17 --startdatetime 2017-03-14T18:15:28 --delay 2 --endMP 204:233347 --enddatetime 2017-03-14T18:52:49 --enforcementcount 0 &gt;&gt;C:\Users\stu\Documents\GitHub\eaglep3-reporting\EC\2017-03-14-refined-times.txt</v>
      </c>
      <c r="AI134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{"issue":{"subject":"","project_id":79,"tracker_id":40,"status_id":1,"priority_id":2,"assigned_to_id":23,"start_date":"2017-03-14","description":"","custom_fields":[{"id":1,"name":"Subdivision","value":"EC"},{"id":4,"name":"Milepost","value":"23.3347"},{"id":17,"name":"Train ID","value":"217-14"},{"id":16,"name":"Locomotive ID","value":"4009"},{"id":130,"name":"Impact","value":""},{"id":150,"name":"Time of Event (Mountain Time)","value":"18:52:49"},{"id":151,"name":"Denver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1"/>
        <v>start /low /b %USERPROFILE%\Documents\GitHub\eaglep3\Utilities\DownloadLogsFromS3.py --loco 4009 --day 2017-03-14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"%USERPROFILE%\AppData\Local\Temp\OnboardLogs"\RTDC4009\*4009*20170315* | grep -SE "(Enforcement Action)|(\[TIMEOUT)|(CHR.+\|PRM\|1\|D.+(SWITCH|SIGNAL).+UNKNOWN)" - &gt;&gt; 2017-03-14-UncaughtWiMAX.txt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766</v>
      </c>
      <c r="B135" s="7">
        <v>4010</v>
      </c>
      <c r="C135" s="21" t="s">
        <v>233</v>
      </c>
      <c r="D135" s="21" t="s">
        <v>876</v>
      </c>
      <c r="E135" s="13">
        <v>42808.797488425924</v>
      </c>
      <c r="F135" s="13">
        <v>42808.798483796294</v>
      </c>
      <c r="G135" s="7">
        <v>1</v>
      </c>
      <c r="H135" s="21" t="s">
        <v>486</v>
      </c>
      <c r="I135" s="13">
        <v>42808.828587962962</v>
      </c>
      <c r="J135" s="7">
        <v>0</v>
      </c>
      <c r="K135" s="98" t="str">
        <f t="shared" si="27"/>
        <v>4009/4010</v>
      </c>
      <c r="L135" s="21" t="str">
        <f>VLOOKUP(A135,'Trips&amp;Operators'!$C$1:$G$99999,5,FALSE)</f>
        <v>STORY SAMANTHA</v>
      </c>
      <c r="M135" s="6">
        <f t="shared" si="28"/>
        <v>3.0104166668024845E-2</v>
      </c>
      <c r="N135" s="7">
        <f t="shared" si="46"/>
        <v>43.350000001955777</v>
      </c>
      <c r="O135" s="7"/>
      <c r="P135" s="7"/>
      <c r="Q135" s="22"/>
      <c r="R135" s="22"/>
      <c r="S135" s="31">
        <f t="shared" si="47"/>
        <v>1</v>
      </c>
      <c r="T135" s="46" t="str">
        <f t="shared" si="29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0"/>
        <v>https://d0f6bd738d7f1b3e5a7ca70fe4ff75f0.us-east-1.aws.found.io/app/kibana#/discover/Steve-Slow-Train-Analysis-(2080s-and-2083s)?_g=(refreshInterval:(display:Off,pause:!f,section:0,value:0),time:(from:'2017-03-14T18:08:23-0600',mode:absolute,to:'2017-03-14T20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5" s="187" t="str">
        <f t="shared" si="31"/>
        <v>N</v>
      </c>
      <c r="X135" s="187">
        <f t="shared" ref="X135:X166" si="48">VALUE(LEFT(AD135,4))-VALUE(LEFT(AD134,4))</f>
        <v>1</v>
      </c>
      <c r="Y135" s="62">
        <f t="shared" si="32"/>
        <v>23.301100000000002</v>
      </c>
      <c r="Z135" s="62">
        <f t="shared" si="45"/>
        <v>1.6899999999999998E-2</v>
      </c>
      <c r="AA135" s="62">
        <f t="shared" si="34"/>
        <v>23.284200000000002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5"/>
        <v>0218-14</v>
      </c>
      <c r="AE135" s="85" t="str">
        <f t="shared" si="36"/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AF135" s="82" t="str">
        <f t="shared" si="37"/>
        <v>"C:\Program Files (x86)\AstroGrep\AstroGrep.exe" /e /r /s /spath="%USERPROFILE%\AppData\Local\Temp\OnboardLogs" /stypes="app*4010*20170315*" /stext=" 01:.+((SYSTEM_STATE.+slice.+state.+changed )|(ment ac)|(multiple cpu faults)|(system.+state.+changed )|(\[timeout)|(PRM\|1\|D)|(kpr)|(kdp)|(\|lc)|(penalty))"</v>
      </c>
      <c r="AG135" s="1" t="str">
        <f t="shared" si="38"/>
        <v>EC</v>
      </c>
      <c r="AH135" s="86" t="str">
        <f t="shared" si="39"/>
        <v>"%USERPROFILE%\Documents\GitHub\eaglep3\Utilities\RefineRTDCRunTimes.py" --tripid 218-14 --locoid 4010 --swversion DE.1.0.9.0 --startMP 204:233011 --initTime 2017-03-14T19:08:23 --startdatetime 2017-03-14T19:09:49 --delay 1 --endMP 204:169 --enddatetime 2017-03-14T19:53:10 --enforcementcount 0 &gt;&gt;C:\Users\stu\Documents\GitHub\eaglep3-reporting\EC\2017-03-14-refined-times.txt</v>
      </c>
      <c r="AI135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{"issue":{"subject":"","project_id":79,"tracker_id":40,"status_id":1,"priority_id":2,"assigned_to_id":23,"start_date":"2017-03-14","description":"","custom_fields":[{"id":1,"name":"Subdivision","value":"EC"},{"id":4,"name":"Milepost","value":"0.0169"},{"id":17,"name":"Train ID","value":"218-14"},{"id":16,"name":"Locomotive ID","value":"4010"},{"id":130,"name":"Impact","value":""},{"id":150,"name":"Time of Event (Mountain Time)","value":"19:53:10"},{"id":151,"name":"Denver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1"/>
        <v>start /low /b %USERPROFILE%\Documents\GitHub\eaglep3\Utilities\DownloadLogsFromS3.py --loco 4010 --day 2017-03-14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"%USERPROFILE%\AppData\Local\Temp\OnboardLogs"\RTDC4010\*4010*20170315* | grep -SE "(Enforcement Action)|(\[TIMEOUT)|(CHR.+\|PRM\|1\|D.+(SWITCH|SIGNAL).+UNKNOWN)" - &gt;&gt; 2017-03-14-UncaughtWiMAX.txt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595</v>
      </c>
      <c r="B136" s="7">
        <v>4031</v>
      </c>
      <c r="C136" s="21" t="s">
        <v>233</v>
      </c>
      <c r="D136" s="21" t="s">
        <v>525</v>
      </c>
      <c r="E136" s="13">
        <v>42808.76635416667</v>
      </c>
      <c r="F136" s="13">
        <v>42808.768020833333</v>
      </c>
      <c r="G136" s="7">
        <v>2</v>
      </c>
      <c r="H136" s="21" t="s">
        <v>877</v>
      </c>
      <c r="I136" s="13">
        <v>42808.796701388892</v>
      </c>
      <c r="J136" s="7">
        <v>0</v>
      </c>
      <c r="K136" s="98" t="str">
        <f t="shared" si="27"/>
        <v>4031/4032</v>
      </c>
      <c r="L136" s="21" t="str">
        <f>VLOOKUP(A136,'Trips&amp;Operators'!$C$1:$G$99999,5,FALSE)</f>
        <v>STAMBAUGH JAMES</v>
      </c>
      <c r="M136" s="6">
        <f t="shared" si="28"/>
        <v>2.8680555558821652E-2</v>
      </c>
      <c r="N136" s="7">
        <f t="shared" si="46"/>
        <v>41.300000004703179</v>
      </c>
      <c r="O136" s="7"/>
      <c r="P136" s="7"/>
      <c r="Q136" s="22"/>
      <c r="R136" s="22"/>
      <c r="S136" s="31">
        <f t="shared" si="47"/>
        <v>1</v>
      </c>
      <c r="T136" s="46" t="str">
        <f t="shared" si="29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0"/>
        <v>https://d0f6bd738d7f1b3e5a7ca70fe4ff75f0.us-east-1.aws.found.io/app/kibana#/discover/Steve-Slow-Train-Analysis-(2080s-and-2083s)?_g=(refreshInterval:(display:Off,pause:!f,section:0,value:0),time:(from:'2017-03-14T17:23:33-0600',mode:absolute,to:'2017-03-14T20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6" s="187" t="str">
        <f t="shared" si="31"/>
        <v>N</v>
      </c>
      <c r="X136" s="187">
        <f t="shared" si="48"/>
        <v>1</v>
      </c>
      <c r="Y136" s="62">
        <f t="shared" si="32"/>
        <v>4.7100000000000003E-2</v>
      </c>
      <c r="Z136" s="62">
        <f t="shared" si="45"/>
        <v>23.34</v>
      </c>
      <c r="AA136" s="62">
        <f t="shared" si="34"/>
        <v>23.292899999999999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5"/>
        <v>0219-14</v>
      </c>
      <c r="AE136" s="85" t="str">
        <f t="shared" si="36"/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AF136" s="82" t="str">
        <f t="shared" si="37"/>
        <v>"C:\Program Files (x86)\AstroGrep\AstroGrep.exe" /e /r /s /spath="%USERPROFILE%\AppData\Local\Temp\OnboardLogs" /stypes="app*4031*20170315*" /stext=" 01:.+((SYSTEM_STATE.+slice.+state.+changed )|(ment ac)|(multiple cpu faults)|(system.+state.+changed )|(\[timeout)|(PRM\|1\|D)|(kpr)|(kdp)|(\|lc)|(penalty))"</v>
      </c>
      <c r="AG136" s="1" t="str">
        <f t="shared" si="38"/>
        <v>EC</v>
      </c>
      <c r="AH136" s="86" t="str">
        <f t="shared" si="39"/>
        <v>"%USERPROFILE%\Documents\GitHub\eaglep3\Utilities\RefineRTDCRunTimes.py" --tripid 219-14 --locoid 4031 --swversion DE.1.0.9.0 --startMP 204:471 --initTime 2017-03-14T18:23:33 --startdatetime 2017-03-14T18:25:57 --delay 2 --endMP 204:233400 --enddatetime 2017-03-14T19:07:15 --enforcementcount 0 &gt;&gt;C:\Users\stu\Documents\GitHub\eaglep3-reporting\EC\2017-03-14-refined-times.txt</v>
      </c>
      <c r="AI136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{"issue":{"subject":"","project_id":79,"tracker_id":40,"status_id":1,"priority_id":2,"assigned_to_id":23,"start_date":"2017-03-14","description":"","custom_fields":[{"id":1,"name":"Subdivision","value":"EC"},{"id":4,"name":"Milepost","value":"23.34"},{"id":17,"name":"Train ID","value":"219-14"},{"id":16,"name":"Locomotive ID","value":"4031"},{"id":130,"name":"Impact","value":""},{"id":150,"name":"Time of Event (Mountain Time)","value":"19:07:15"},{"id":151,"name":"Denver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1"/>
        <v>start /low /b %USERPROFILE%\Documents\GitHub\eaglep3\Utilities\DownloadLogsFromS3.py --loco 4031 --day 2017-03-14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"%USERPROFILE%\AppData\Local\Temp\OnboardLogs"\RTDC4031\*4031*20170315* | grep -SE "(Enforcement Action)|(\[TIMEOUT)|(CHR.+\|PRM\|1\|D.+(SWITCH|SIGNAL).+UNKNOWN)" - &gt;&gt; 2017-03-14-UncaughtWiMAX.txt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768</v>
      </c>
      <c r="B137" s="7">
        <v>4032</v>
      </c>
      <c r="C137" s="21" t="s">
        <v>233</v>
      </c>
      <c r="D137" s="21" t="s">
        <v>878</v>
      </c>
      <c r="E137" s="13">
        <v>42808.800000000003</v>
      </c>
      <c r="F137" s="13">
        <v>42808.80091435185</v>
      </c>
      <c r="G137" s="7">
        <v>1</v>
      </c>
      <c r="H137" s="21" t="s">
        <v>489</v>
      </c>
      <c r="I137" s="13">
        <v>42808.838379629633</v>
      </c>
      <c r="J137" s="7">
        <v>0</v>
      </c>
      <c r="K137" s="98" t="str">
        <f t="shared" si="27"/>
        <v>4031/4032</v>
      </c>
      <c r="L137" s="21" t="str">
        <f>VLOOKUP(A137,'Trips&amp;Operators'!$C$1:$G$99999,5,FALSE)</f>
        <v>STAMBAUGH JAMES</v>
      </c>
      <c r="M137" s="6">
        <f t="shared" si="28"/>
        <v>3.7465277782757767E-2</v>
      </c>
      <c r="N137" s="7">
        <f t="shared" si="46"/>
        <v>53.950000007171184</v>
      </c>
      <c r="O137" s="7"/>
      <c r="P137" s="7"/>
      <c r="Q137" s="22"/>
      <c r="R137" s="22"/>
      <c r="S137" s="31">
        <f t="shared" si="47"/>
        <v>1</v>
      </c>
      <c r="T137" s="46" t="str">
        <f t="shared" si="29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0"/>
        <v>https://d0f6bd738d7f1b3e5a7ca70fe4ff75f0.us-east-1.aws.found.io/app/kibana#/discover/Steve-Slow-Train-Analysis-(2080s-and-2083s)?_g=(refreshInterval:(display:Off,pause:!f,section:0,value:0),time:(from:'2017-03-14T18:12:00-0600',mode:absolute,to:'2017-03-14T21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7" s="187" t="str">
        <f t="shared" si="31"/>
        <v>N</v>
      </c>
      <c r="X137" s="187">
        <f t="shared" si="48"/>
        <v>1</v>
      </c>
      <c r="Y137" s="62">
        <f t="shared" si="32"/>
        <v>23.3094</v>
      </c>
      <c r="Z137" s="62">
        <f t="shared" si="45"/>
        <v>1.32E-2</v>
      </c>
      <c r="AA137" s="62">
        <f t="shared" si="34"/>
        <v>23.296199999999999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5"/>
        <v>0220-14</v>
      </c>
      <c r="AE137" s="85" t="str">
        <f t="shared" si="36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137" s="82" t="str">
        <f t="shared" si="37"/>
        <v>"C:\Program Files (x86)\AstroGrep\AstroGrep.exe" /e /r /s /spath="%USERPROFILE%\AppData\Local\Temp\OnboardLogs" /stypes="app*4032*20170315*" /stext=" 02:.+((SYSTEM_STATE.+slice.+state.+changed )|(ment ac)|(multiple cpu faults)|(system.+state.+changed )|(\[timeout)|(PRM\|1\|D)|(kpr)|(kdp)|(\|lc)|(penalty))"</v>
      </c>
      <c r="AG137" s="1" t="str">
        <f t="shared" si="38"/>
        <v>EC</v>
      </c>
      <c r="AH137" s="86" t="str">
        <f t="shared" si="39"/>
        <v>"%USERPROFILE%\Documents\GitHub\eaglep3\Utilities\RefineRTDCRunTimes.py" --tripid 220-14 --locoid 4032 --swversion DE.1.0.9.0 --startMP 204:233094 --initTime 2017-03-14T19:12:00 --startdatetime 2017-03-14T19:13:19 --delay 1 --endMP 204:132 --enddatetime 2017-03-14T20:07:16 --enforcementcount 0 &gt;&gt;C:\Users\stu\Documents\GitHub\eaglep3-reporting\EC\2017-03-14-refined-times.txt</v>
      </c>
      <c r="AI137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{"issue":{"subject":"","project_id":79,"tracker_id":40,"status_id":1,"priority_id":2,"assigned_to_id":23,"start_date":"2017-03-14","description":"","custom_fields":[{"id":1,"name":"Subdivision","value":"EC"},{"id":4,"name":"Milepost","value":"0.0132"},{"id":17,"name":"Train ID","value":"220-14"},{"id":16,"name":"Locomotive ID","value":"4032"},{"id":130,"name":"Impact","value":""},{"id":150,"name":"Time of Event (Mountain Time)","value":"20:07:16"},{"id":151,"name":"Denver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1"/>
        <v>start /low /b %USERPROFILE%\Documents\GitHub\eaglep3\Utilities\DownloadLogsFromS3.py --loco 4032 --day 2017-03-14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"%USERPROFILE%\AppData\Local\Temp\OnboardLogs"\RTDC4032\*4032*20170315* | grep -SE "(Enforcement Action)|(\[TIMEOUT)|(CHR.+\|PRM\|1\|D.+(SWITCH|SIGNAL).+UNKNOWN)" - &gt;&gt; 2017-03-14-UncaughtWiMAX.txt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764</v>
      </c>
      <c r="B138" s="7">
        <v>4051</v>
      </c>
      <c r="C138" s="21" t="s">
        <v>233</v>
      </c>
      <c r="D138" s="21" t="s">
        <v>246</v>
      </c>
      <c r="E138" s="13">
        <v>42808.790069444447</v>
      </c>
      <c r="F138" s="13">
        <v>42808.790671296294</v>
      </c>
      <c r="G138" s="7">
        <v>0</v>
      </c>
      <c r="H138" s="21" t="s">
        <v>821</v>
      </c>
      <c r="I138" s="13">
        <v>42808.819803240738</v>
      </c>
      <c r="J138" s="7">
        <v>0</v>
      </c>
      <c r="K138" s="98" t="str">
        <f t="shared" si="27"/>
        <v>4051/4052</v>
      </c>
      <c r="L138" s="21" t="str">
        <f>VLOOKUP(A138,'Trips&amp;Operators'!$C$1:$G$99999,5,FALSE)</f>
        <v>CHANDLER KELVIN</v>
      </c>
      <c r="M138" s="6">
        <f t="shared" si="28"/>
        <v>2.9131944444088731E-2</v>
      </c>
      <c r="N138" s="7">
        <f t="shared" si="46"/>
        <v>41.949999999487773</v>
      </c>
      <c r="O138" s="7"/>
      <c r="P138" s="7"/>
      <c r="Q138" s="22"/>
      <c r="R138" s="22"/>
      <c r="S138" s="31">
        <f t="shared" si="47"/>
        <v>1</v>
      </c>
      <c r="T138" s="46" t="str">
        <f t="shared" si="29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0"/>
        <v>https://d0f6bd738d7f1b3e5a7ca70fe4ff75f0.us-east-1.aws.found.io/app/kibana#/discover/Steve-Slow-Train-Analysis-(2080s-and-2083s)?_g=(refreshInterval:(display:Off,pause:!f,section:0,value:0),time:(from:'2017-03-14T17:57:42-0600',mode:absolute,to:'2017-03-14T20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8" s="187" t="str">
        <f t="shared" si="31"/>
        <v>N</v>
      </c>
      <c r="X138" s="187">
        <f t="shared" si="48"/>
        <v>1</v>
      </c>
      <c r="Y138" s="62">
        <f t="shared" si="32"/>
        <v>4.4200000000000003E-2</v>
      </c>
      <c r="Z138" s="62">
        <f t="shared" si="45"/>
        <v>23.325500000000002</v>
      </c>
      <c r="AA138" s="62">
        <f t="shared" si="34"/>
        <v>23.281300000000002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5"/>
        <v>0221-14</v>
      </c>
      <c r="AE138" s="85" t="str">
        <f t="shared" si="36"/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138" s="82" t="str">
        <f t="shared" si="37"/>
        <v>"C:\Program Files (x86)\AstroGrep\AstroGrep.exe" /e /r /s /spath="%USERPROFILE%\AppData\Local\Temp\OnboardLogs" /stypes="app*4051*20170315*" /stext=" 01:.+((SYSTEM_STATE.+slice.+state.+changed )|(ment ac)|(multiple cpu faults)|(system.+state.+changed )|(\[timeout)|(PRM\|1\|D)|(kpr)|(kdp)|(\|lc)|(penalty))"</v>
      </c>
      <c r="AG138" s="1" t="str">
        <f t="shared" si="38"/>
        <v>EC</v>
      </c>
      <c r="AH138" s="86" t="str">
        <f t="shared" si="39"/>
        <v>"%USERPROFILE%\Documents\GitHub\eaglep3\Utilities\RefineRTDCRunTimes.py" --tripid 221-14 --locoid 4051 --swversion DE.1.0.9.0 --startMP 204:442 --initTime 2017-03-14T18:57:42 --startdatetime 2017-03-14T18:58:34 --delay 0 --endMP 204:233255 --enddatetime 2017-03-14T19:40:31 --enforcementcount 0 &gt;&gt;C:\Users\stu\Documents\GitHub\eaglep3-reporting\EC\2017-03-14-refined-times.txt</v>
      </c>
      <c r="AI138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{"issue":{"subject":"","project_id":79,"tracker_id":40,"status_id":1,"priority_id":2,"assigned_to_id":23,"start_date":"2017-03-14","description":"","custom_fields":[{"id":1,"name":"Subdivision","value":"EC"},{"id":4,"name":"Milepost","value":"23.3255"},{"id":17,"name":"Train ID","value":"221-14"},{"id":16,"name":"Locomotive ID","value":"4051"},{"id":130,"name":"Impact","value":""},{"id":150,"name":"Time of Event (Mountain Time)","value":"19:40:31"},{"id":151,"name":"Denver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1"/>
        <v>start /low /b %USERPROFILE%\Documents\GitHub\eaglep3\Utilities\DownloadLogsFromS3.py --loco 4051 --day 2017-03-14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2017-03-14-UncaughtWiMAX.txt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773</v>
      </c>
      <c r="B139" s="7">
        <v>4052</v>
      </c>
      <c r="C139" s="21" t="s">
        <v>233</v>
      </c>
      <c r="D139" s="21" t="s">
        <v>879</v>
      </c>
      <c r="E139" s="13">
        <v>42808.829328703701</v>
      </c>
      <c r="F139" s="13">
        <v>42808.830231481479</v>
      </c>
      <c r="G139" s="7">
        <v>1</v>
      </c>
      <c r="H139" s="21" t="s">
        <v>444</v>
      </c>
      <c r="I139" s="13">
        <v>42808.859432870369</v>
      </c>
      <c r="J139" s="7">
        <v>0</v>
      </c>
      <c r="K139" s="98" t="str">
        <f t="shared" si="27"/>
        <v>4051/4052</v>
      </c>
      <c r="L139" s="21" t="str">
        <f>VLOOKUP(A139,'Trips&amp;Operators'!$C$1:$G$99999,5,FALSE)</f>
        <v>CHANDLER KELVIN</v>
      </c>
      <c r="M139" s="6">
        <f t="shared" si="28"/>
        <v>2.920138889021473E-2</v>
      </c>
      <c r="N139" s="7">
        <f t="shared" si="46"/>
        <v>42.050000001909211</v>
      </c>
      <c r="O139" s="7"/>
      <c r="P139" s="7"/>
      <c r="Q139" s="22"/>
      <c r="R139" s="22"/>
      <c r="S139" s="31">
        <f t="shared" si="47"/>
        <v>1</v>
      </c>
      <c r="T139" s="46" t="str">
        <f t="shared" si="29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0"/>
        <v>https://d0f6bd738d7f1b3e5a7ca70fe4ff75f0.us-east-1.aws.found.io/app/kibana#/discover/Steve-Slow-Train-Analysis-(2080s-and-2083s)?_g=(refreshInterval:(display:Off,pause:!f,section:0,value:0),time:(from:'2017-03-14T18:54:14-0600',mode:absolute,to:'2017-03-14T21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9" s="187" t="str">
        <f t="shared" si="31"/>
        <v>N</v>
      </c>
      <c r="X139" s="187">
        <f t="shared" si="48"/>
        <v>1</v>
      </c>
      <c r="Y139" s="62">
        <f t="shared" si="32"/>
        <v>23.2942</v>
      </c>
      <c r="Z139" s="62">
        <f t="shared" si="45"/>
        <v>1.6500000000000001E-2</v>
      </c>
      <c r="AA139" s="62">
        <f t="shared" si="34"/>
        <v>23.277699999999999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5"/>
        <v>0222-14</v>
      </c>
      <c r="AE139" s="85" t="str">
        <f t="shared" si="36"/>
        <v>aws s3 cp s3://rtdc.mdm.uploadarchive.raw/RTDC4052/ "%USERPROFILE%\AppData\Local\Temp\OnboardLogs"\RTDC4052\2017-03-14 --exclude "*" --recursive --include "*20170314*" &amp; "%USERPROFILE%\Documents\GitHub\mrs-test-scripts\Headless Mode &amp; Sideloading\WalkAndUnGZ.bat" "%USERPROFILE%\AppData\Local\Temp\OnboardLogs"\RTDC4052\2017-03-14 &amp; 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</v>
      </c>
      <c r="AF139" s="82" t="str">
        <f t="shared" si="37"/>
        <v>"C:\Program Files (x86)\AstroGrep\AstroGrep.exe" /e /r /s /spath="%USERPROFILE%\AppData\Local\Temp\OnboardLogs" /stypes="app*4052*20170315*" /stext=" 02:.+((SYSTEM_STATE.+slice.+state.+changed )|(ment ac)|(multiple cpu faults)|(system.+state.+changed )|(\[timeout)|(PRM\|1\|D)|(kpr)|(kdp)|(\|lc)|(penalty))"</v>
      </c>
      <c r="AG139" s="1" t="str">
        <f t="shared" si="38"/>
        <v>EC</v>
      </c>
      <c r="AH139" s="86" t="str">
        <f t="shared" si="39"/>
        <v>"%USERPROFILE%\Documents\GitHub\eaglep3\Utilities\RefineRTDCRunTimes.py" --tripid 222-14 --locoid 4052 --swversion DE.1.0.9.0 --startMP 204:232942 --initTime 2017-03-14T19:54:14 --startdatetime 2017-03-14T19:55:32 --delay 1 --endMP 204:165 --enddatetime 2017-03-14T20:37:35 --enforcementcount 0 &gt;&gt;C:\Users\stu\Documents\GitHub\eaglep3-reporting\EC\2017-03-14-refined-times.txt</v>
      </c>
      <c r="AI139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{"issue":{"subject":"","project_id":79,"tracker_id":40,"status_id":1,"priority_id":2,"assigned_to_id":23,"start_date":"2017-03-14","description":"","custom_fields":[{"id":1,"name":"Subdivision","value":"EC"},{"id":4,"name":"Milepost","value":"0.0165"},{"id":17,"name":"Train ID","value":"222-14"},{"id":16,"name":"Locomotive ID","value":"4052"},{"id":130,"name":"Impact","value":""},{"id":150,"name":"Time of Event (Mountain Time)","value":"20:37:35"},{"id":151,"name":"Denver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1"/>
        <v>start /low /b %USERPROFILE%\Documents\GitHub\eaglep3\Utilities\DownloadLogsFromS3.py --loco 4052 --day 2017-03-14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2017-03-14-UncaughtWiMAX.txt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770</v>
      </c>
      <c r="B140" s="7">
        <v>4027</v>
      </c>
      <c r="C140" s="21" t="s">
        <v>233</v>
      </c>
      <c r="D140" s="21" t="s">
        <v>214</v>
      </c>
      <c r="E140" s="13">
        <v>42808.808356481481</v>
      </c>
      <c r="F140" s="13">
        <v>42808.809525462966</v>
      </c>
      <c r="G140" s="7">
        <v>1</v>
      </c>
      <c r="H140" s="21" t="s">
        <v>248</v>
      </c>
      <c r="I140" s="13">
        <v>42808.839537037034</v>
      </c>
      <c r="J140" s="7">
        <v>0</v>
      </c>
      <c r="K140" s="98" t="str">
        <f t="shared" si="27"/>
        <v>4027/4028</v>
      </c>
      <c r="L140" s="21" t="str">
        <f>VLOOKUP(A140,'Trips&amp;Operators'!$C$1:$G$99999,5,FALSE)</f>
        <v>SAFIEF AEIMEN</v>
      </c>
      <c r="M140" s="6">
        <f t="shared" si="28"/>
        <v>3.0011574068339542E-2</v>
      </c>
      <c r="N140" s="7">
        <f t="shared" si="46"/>
        <v>43.21666665840894</v>
      </c>
      <c r="O140" s="7"/>
      <c r="P140" s="7"/>
      <c r="Q140" s="22"/>
      <c r="R140" s="22"/>
      <c r="S140" s="31">
        <f t="shared" si="47"/>
        <v>1</v>
      </c>
      <c r="T140" s="46" t="str">
        <f t="shared" si="29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0"/>
        <v>https://d0f6bd738d7f1b3e5a7ca70fe4ff75f0.us-east-1.aws.found.io/app/kibana#/discover/Steve-Slow-Train-Analysis-(2080s-and-2083s)?_g=(refreshInterval:(display:Off,pause:!f,section:0,value:0),time:(from:'2017-03-14T18:24:02-0600',mode:absolute,to:'2017-03-14T21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87" t="str">
        <f t="shared" si="31"/>
        <v>N</v>
      </c>
      <c r="X140" s="187">
        <f t="shared" si="48"/>
        <v>1</v>
      </c>
      <c r="Y140" s="62">
        <f t="shared" si="32"/>
        <v>4.53E-2</v>
      </c>
      <c r="Z140" s="62">
        <f t="shared" si="45"/>
        <v>23.329499999999999</v>
      </c>
      <c r="AA140" s="62">
        <f t="shared" si="34"/>
        <v>23.284199999999998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5"/>
        <v>0223-14</v>
      </c>
      <c r="AE140" s="85" t="str">
        <f t="shared" si="36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140" s="82" t="str">
        <f t="shared" si="37"/>
        <v>"C:\Program Files (x86)\AstroGrep\AstroGrep.exe" /e /r /s /spath="%USERPROFILE%\AppData\Local\Temp\OnboardLogs" /stypes="app*4027*20170315*" /stext=" 02:.+((SYSTEM_STATE.+slice.+state.+changed )|(ment ac)|(multiple cpu faults)|(system.+state.+changed )|(\[timeout)|(PRM\|1\|D)|(kpr)|(kdp)|(\|lc)|(penalty))"</v>
      </c>
      <c r="AG140" s="1" t="str">
        <f t="shared" si="38"/>
        <v>EC</v>
      </c>
      <c r="AH140" s="86" t="str">
        <f t="shared" si="39"/>
        <v>"%USERPROFILE%\Documents\GitHub\eaglep3\Utilities\RefineRTDCRunTimes.py" --tripid 223-14 --locoid 4027 --swversion DE.1.0.9.0 --startMP 204:453 --initTime 2017-03-14T19:24:02 --startdatetime 2017-03-14T19:25:43 --delay 1 --endMP 204:233295 --enddatetime 2017-03-14T20:08:56 --enforcementcount 0 &gt;&gt;C:\Users\stu\Documents\GitHub\eaglep3-reporting\EC\2017-03-14-refined-times.txt</v>
      </c>
      <c r="AI140" s="108" t="str">
        <f t="shared" si="40"/>
        <v>echo {"issue":{"subject":"","project_id":79,"tracker_id":40,"status_id":1,"priority_id":2,"assigned_to_id":23,"start_date":"2017-03-14","description":"","custom_fields":[{"id":1,"name":"Subdivision","value":"EC"},{"id":4,"name":"Milepost","value":"23.3295"},{"id":17,"name":"Train ID","value":"223-14"},{"id":16,"name":"Locomotive ID","value":"4027"},{"id":130,"name":"Impact","value":""},{"id":150,"name":"Time of Event (Mountain Time)","value":"20:08:56"},{"id":151,"name":"Denver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1"/>
        <v>start /low /b %USERPROFILE%\Documents\GitHub\eaglep3\Utilities\DownloadLogsFromS3.py --loco 4027 --day 2017-03-14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"%USERPROFILE%\AppData\Local\Temp\OnboardLogs"\RTDC4027\*4027*20170315* | grep -SE "(Enforcement Action)|(\[TIMEOUT)|(CHR.+\|PRM\|1\|D.+(SWITCH|SIGNAL).+UNKNOWN)" - &gt;&gt; 2017-03-14-UncaughtWiMAX.txt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777</v>
      </c>
      <c r="B141" s="7">
        <v>4028</v>
      </c>
      <c r="C141" s="21" t="s">
        <v>233</v>
      </c>
      <c r="D141" s="21" t="s">
        <v>245</v>
      </c>
      <c r="E141" s="13">
        <v>42808.844108796293</v>
      </c>
      <c r="F141" s="13">
        <v>42808.845416666663</v>
      </c>
      <c r="G141" s="7">
        <v>1</v>
      </c>
      <c r="H141" s="21" t="s">
        <v>247</v>
      </c>
      <c r="I141" s="13">
        <v>42808.880659722221</v>
      </c>
      <c r="J141" s="7">
        <v>0</v>
      </c>
      <c r="K141" s="98" t="str">
        <f t="shared" ref="K141:K204" si="49">IF(ISEVEN(B141),(B141-1)&amp;"/"&amp;B141,B141&amp;"/"&amp;(B141+1))</f>
        <v>4027/4028</v>
      </c>
      <c r="L141" s="21" t="str">
        <f>VLOOKUP(A141,'Trips&amp;Operators'!$C$1:$G$99999,5,FALSE)</f>
        <v>SAFIEF AEIMEN</v>
      </c>
      <c r="M141" s="6">
        <f t="shared" ref="M141:M204" si="50">I141-F141</f>
        <v>3.5243055557657499E-2</v>
      </c>
      <c r="N141" s="7">
        <f t="shared" si="46"/>
        <v>50.750000003026798</v>
      </c>
      <c r="O141" s="7"/>
      <c r="P141" s="7"/>
      <c r="Q141" s="22"/>
      <c r="R141" s="22"/>
      <c r="S141" s="31">
        <f t="shared" si="47"/>
        <v>1</v>
      </c>
      <c r="T141" s="46" t="str">
        <f t="shared" ref="T141:T204" si="51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-14T19:15:31-0600',mode:absolute,to:'2017-03-14T22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1" s="187" t="str">
        <f t="shared" ref="W141:W204" si="53">IF(AA141&lt;IF(AG141="EC",23,5.65),"Y","N")</f>
        <v>N</v>
      </c>
      <c r="X141" s="187">
        <f t="shared" si="48"/>
        <v>1</v>
      </c>
      <c r="Y141" s="62">
        <f t="shared" ref="Y141:Y204" si="54">RIGHT(D141,LEN(D141)-4)/10000</f>
        <v>23.3004</v>
      </c>
      <c r="Z141" s="62">
        <f t="shared" ref="Z141:Z150" si="55">RIGHT(H141,LEN(H141)-4)/10000</f>
        <v>1.61E-2</v>
      </c>
      <c r="AA141" s="62">
        <f t="shared" ref="AA141:AA204" si="56">ABS(Z141-Y141)</f>
        <v>23.284299999999998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7">IF(LEN(A141)=6,"0"&amp;A141,A141)</f>
        <v>0224-14</v>
      </c>
      <c r="AE141" s="85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AF141" s="82" t="str">
        <f t="shared" ref="AF141:AF204" si="5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/stypes="app*4028*20170315*" /stext=" 03:.+((SYSTEM_STATE.+slice.+state.+changed )|(ment ac)|(multiple cpu faults)|(system.+state.+changed )|(\[timeout)|(PRM\|1\|D)|(kpr)|(kdp)|(\|lc)|(penalty))"</v>
      </c>
      <c r="AG141" s="1" t="str">
        <f t="shared" ref="AG141:AG204" si="60">IFERROR(IF(VALUE(LEFT(AD141,2))&lt;=2,"EC",IF(OR(VALUE(LEFT(AD141,2))=8,VALUE(LEFT(AD141,2))=18),"NW","Other")),"Other")</f>
        <v>EC</v>
      </c>
      <c r="AH141" s="86" t="str">
        <f t="shared" ref="AH141:AH204" si="6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224-14 --locoid 4028 --swversion DE.1.0.9.0 --startMP 204:233004 --initTime 2017-03-14T20:15:31 --startdatetime 2017-03-14T20:17:24 --delay 1 --endMP 204:161 --enddatetime 2017-03-14T21:08:09 --enforcementcount 0 &gt;&gt;C:\Users\stu\Documents\GitHub\eaglep3-reporting\EC\2017-03-14-refined-times.txt</v>
      </c>
      <c r="AI141" s="108" t="str">
        <f t="shared" ref="AI141:AI204" si="6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{"issue":{"subject":"","project_id":79,"tracker_id":40,"status_id":1,"priority_id":2,"assigned_to_id":23,"start_date":"2017-03-14","description":"","custom_fields":[{"id":1,"name":"Subdivision","value":"EC"},{"id":4,"name":"Milepost","value":"0.0161"},{"id":17,"name":"Train ID","value":"224-14"},{"id":16,"name":"Locomotive ID","value":"4028"},{"id":130,"name":"Impact","value":""},{"id":150,"name":"Time of Event (Mountain Time)","value":"21:08:09"},{"id":151,"name":"Denver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4" si="63">"start /low /b "&amp;dls3logs&amp;" --loco "&amp;B141&amp;" --day "&amp;TEXT(F141,"YYYY-MM-DD")</f>
        <v>start /low /b %USERPROFILE%\Documents\GitHub\eaglep3\Utilities\DownloadLogsFromS3.py --loco 4028 --day 2017-03-14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"%USERPROFILE%\AppData\Local\Temp\OnboardLogs"\RTDC4028\*4028*20170315* | grep -SE "(Enforcement Action)|(\[TIMEOUT)|(CHR.+\|PRM\|1\|D.+(SWITCH|SIGNAL).+UNKNOWN)" - &gt;&gt; 2017-03-14-UncaughtWiMAX.txt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774</v>
      </c>
      <c r="B142" s="7">
        <v>4009</v>
      </c>
      <c r="C142" s="21" t="s">
        <v>233</v>
      </c>
      <c r="D142" s="21" t="s">
        <v>218</v>
      </c>
      <c r="E142" s="13">
        <v>42808.829699074071</v>
      </c>
      <c r="F142" s="13">
        <v>42808.830983796295</v>
      </c>
      <c r="G142" s="7">
        <v>1</v>
      </c>
      <c r="H142" s="21" t="s">
        <v>534</v>
      </c>
      <c r="I142" s="13">
        <v>42808.860347222224</v>
      </c>
      <c r="J142" s="7">
        <v>0</v>
      </c>
      <c r="K142" s="98" t="str">
        <f t="shared" si="49"/>
        <v>4009/4010</v>
      </c>
      <c r="L142" s="21" t="str">
        <f>VLOOKUP(A142,'Trips&amp;Operators'!$C$1:$G$99999,5,FALSE)</f>
        <v>DUNCAN SHEILA</v>
      </c>
      <c r="M142" s="6">
        <f t="shared" si="50"/>
        <v>2.9363425928750075E-2</v>
      </c>
      <c r="N142" s="7">
        <f t="shared" si="46"/>
        <v>42.283333337400109</v>
      </c>
      <c r="O142" s="7"/>
      <c r="P142" s="7"/>
      <c r="Q142" s="22"/>
      <c r="R142" s="22"/>
      <c r="S142" s="31">
        <f t="shared" si="47"/>
        <v>1</v>
      </c>
      <c r="T142" s="46" t="str">
        <f t="shared" si="51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2"/>
        <v>https://d0f6bd738d7f1b3e5a7ca70fe4ff75f0.us-east-1.aws.found.io/app/kibana#/discover/Steve-Slow-Train-Analysis-(2080s-and-2083s)?_g=(refreshInterval:(display:Off,pause:!f,section:0,value:0),time:(from:'2017-03-14T18:54:46-0600',mode:absolute,to:'2017-03-14T21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2" s="187" t="str">
        <f t="shared" si="53"/>
        <v>N</v>
      </c>
      <c r="X142" s="187">
        <f t="shared" si="48"/>
        <v>1</v>
      </c>
      <c r="Y142" s="62">
        <f t="shared" si="54"/>
        <v>4.5499999999999999E-2</v>
      </c>
      <c r="Z142" s="62">
        <f t="shared" si="55"/>
        <v>23.33</v>
      </c>
      <c r="AA142" s="62">
        <f t="shared" si="56"/>
        <v>23.284499999999998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7"/>
        <v>0225-14</v>
      </c>
      <c r="AE142" s="85" t="str">
        <f t="shared" si="58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142" s="82" t="str">
        <f t="shared" si="59"/>
        <v>"C:\Program Files (x86)\AstroGrep\AstroGrep.exe" /e /r /s /spath="%USERPROFILE%\AppData\Local\Temp\OnboardLogs" /stypes="app*4009*20170315*" /stext=" 02:.+((SYSTEM_STATE.+slice.+state.+changed )|(ment ac)|(multiple cpu faults)|(system.+state.+changed )|(\[timeout)|(PRM\|1\|D)|(kpr)|(kdp)|(\|lc)|(penalty))"</v>
      </c>
      <c r="AG142" s="1" t="str">
        <f t="shared" si="60"/>
        <v>EC</v>
      </c>
      <c r="AH142" s="86" t="str">
        <f t="shared" si="61"/>
        <v>"%USERPROFILE%\Documents\GitHub\eaglep3\Utilities\RefineRTDCRunTimes.py" --tripid 225-14 --locoid 4009 --swversion DE.1.0.9.0 --startMP 204:455 --initTime 2017-03-14T19:54:46 --startdatetime 2017-03-14T19:56:37 --delay 1 --endMP 204:233300 --enddatetime 2017-03-14T20:38:54 --enforcementcount 0 &gt;&gt;C:\Users\stu\Documents\GitHub\eaglep3-reporting\EC\2017-03-14-refined-times.txt</v>
      </c>
      <c r="AI142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{"issue":{"subject":"","project_id":79,"tracker_id":40,"status_id":1,"priority_id":2,"assigned_to_id":23,"start_date":"2017-03-14","description":"","custom_fields":[{"id":1,"name":"Subdivision","value":"EC"},{"id":4,"name":"Milepost","value":"23.33"},{"id":17,"name":"Train ID","value":"225-14"},{"id":16,"name":"Locomotive ID","value":"4009"},{"id":130,"name":"Impact","value":""},{"id":150,"name":"Time of Event (Mountain Time)","value":"20:38:54"},{"id":151,"name":"Denver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3"/>
        <v>start /low /b %USERPROFILE%\Documents\GitHub\eaglep3\Utilities\DownloadLogsFromS3.py --loco 4009 --day 2017-03-14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"%USERPROFILE%\AppData\Local\Temp\OnboardLogs"\RTDC4009\*4009*20170315* | grep -SE "(Enforcement Action)|(\[TIMEOUT)|(CHR.+\|PRM\|1\|D.+(SWITCH|SIGNAL).+UNKNOWN)" - &gt;&gt; 2017-03-14-UncaughtWiMAX.txt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780</v>
      </c>
      <c r="B143" s="7">
        <v>4010</v>
      </c>
      <c r="C143" s="21" t="s">
        <v>233</v>
      </c>
      <c r="D143" s="21" t="s">
        <v>407</v>
      </c>
      <c r="E143" s="13">
        <v>42808.866562499999</v>
      </c>
      <c r="F143" s="13">
        <v>42808.867638888885</v>
      </c>
      <c r="G143" s="7">
        <v>1</v>
      </c>
      <c r="H143" s="21" t="s">
        <v>184</v>
      </c>
      <c r="I143" s="13">
        <v>42808.908819444441</v>
      </c>
      <c r="J143" s="7">
        <v>0</v>
      </c>
      <c r="K143" s="98" t="str">
        <f t="shared" si="49"/>
        <v>4009/4010</v>
      </c>
      <c r="L143" s="21" t="str">
        <f>VLOOKUP(A143,'Trips&amp;Operators'!$C$1:$G$99999,5,FALSE)</f>
        <v>DUNCAN SHEILA</v>
      </c>
      <c r="M143" s="6">
        <f t="shared" si="50"/>
        <v>4.1180555555911269E-2</v>
      </c>
      <c r="N143" s="7">
        <f t="shared" si="46"/>
        <v>59.300000000512227</v>
      </c>
      <c r="O143" s="7"/>
      <c r="P143" s="7"/>
      <c r="Q143" s="22"/>
      <c r="R143" s="22"/>
      <c r="S143" s="31">
        <f t="shared" si="47"/>
        <v>1</v>
      </c>
      <c r="T143" s="46" t="str">
        <f t="shared" si="51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2"/>
        <v>https://d0f6bd738d7f1b3e5a7ca70fe4ff75f0.us-east-1.aws.found.io/app/kibana#/discover/Steve-Slow-Train-Analysis-(2080s-and-2083s)?_g=(refreshInterval:(display:Off,pause:!f,section:0,value:0),time:(from:'2017-03-14T19:47:51-0600',mode:absolute,to:'2017-03-14T22:48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3" s="187" t="str">
        <f t="shared" si="53"/>
        <v>N</v>
      </c>
      <c r="X143" s="187">
        <f t="shared" si="48"/>
        <v>1</v>
      </c>
      <c r="Y143" s="62">
        <f t="shared" si="54"/>
        <v>23.2974</v>
      </c>
      <c r="Z143" s="62">
        <f t="shared" si="55"/>
        <v>1.49E-2</v>
      </c>
      <c r="AA143" s="62">
        <f t="shared" si="56"/>
        <v>23.282499999999999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7"/>
        <v>0226-14</v>
      </c>
      <c r="AE143" s="85" t="str">
        <f t="shared" si="58"/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AF143" s="82" t="str">
        <f t="shared" si="59"/>
        <v>"C:\Program Files (x86)\AstroGrep\AstroGrep.exe" /e /r /s /spath="%USERPROFILE%\AppData\Local\Temp\OnboardLogs" /stypes="app*4010*20170315*" /stext=" 03:.+((SYSTEM_STATE.+slice.+state.+changed )|(ment ac)|(multiple cpu faults)|(system.+state.+changed )|(\[timeout)|(PRM\|1\|D)|(kpr)|(kdp)|(\|lc)|(penalty))"</v>
      </c>
      <c r="AG143" s="1" t="str">
        <f t="shared" si="60"/>
        <v>EC</v>
      </c>
      <c r="AH143" s="86" t="str">
        <f t="shared" si="61"/>
        <v>"%USERPROFILE%\Documents\GitHub\eaglep3\Utilities\RefineRTDCRunTimes.py" --tripid 226-14 --locoid 4010 --swversion DE.1.0.9.0 --startMP 204:232974 --initTime 2017-03-14T20:47:51 --startdatetime 2017-03-14T20:49:24 --delay 1 --endMP 204:149 --enddatetime 2017-03-14T21:48:42 --enforcementcount 0 &gt;&gt;C:\Users\stu\Documents\GitHub\eaglep3-reporting\EC\2017-03-14-refined-times.txt</v>
      </c>
      <c r="AI143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{"issue":{"subject":"","project_id":79,"tracker_id":40,"status_id":1,"priority_id":2,"assigned_to_id":23,"start_date":"2017-03-14","description":"","custom_fields":[{"id":1,"name":"Subdivision","value":"EC"},{"id":4,"name":"Milepost","value":"0.0149"},{"id":17,"name":"Train ID","value":"226-14"},{"id":16,"name":"Locomotive ID","value":"4010"},{"id":130,"name":"Impact","value":""},{"id":150,"name":"Time of Event (Mountain Time)","value":"21:48:42"},{"id":151,"name":"Denver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3"/>
        <v>start /low /b %USERPROFILE%\Documents\GitHub\eaglep3\Utilities\DownloadLogsFromS3.py --loco 4010 --day 2017-03-14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"%USERPROFILE%\AppData\Local\Temp\OnboardLogs"\RTDC4010\*4010*20170315* | grep -SE "(Enforcement Action)|(\[TIMEOUT)|(CHR.+\|PRM\|1\|D.+(SWITCH|SIGNAL).+UNKNOWN)" - &gt;&gt; 2017-03-14-UncaughtWiMAX.txt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775</v>
      </c>
      <c r="B144" s="7">
        <v>4031</v>
      </c>
      <c r="C144" s="21" t="s">
        <v>233</v>
      </c>
      <c r="D144" s="21" t="s">
        <v>532</v>
      </c>
      <c r="E144" s="13">
        <v>42808.839895833335</v>
      </c>
      <c r="F144" s="13">
        <v>42808.840879629628</v>
      </c>
      <c r="G144" s="7">
        <v>1</v>
      </c>
      <c r="H144" s="21" t="s">
        <v>880</v>
      </c>
      <c r="I144" s="13">
        <v>42808.87939814815</v>
      </c>
      <c r="J144" s="7">
        <v>0</v>
      </c>
      <c r="K144" s="98" t="str">
        <f t="shared" si="49"/>
        <v>4031/4032</v>
      </c>
      <c r="L144" s="21" t="str">
        <f>VLOOKUP(A144,'Trips&amp;Operators'!$C$1:$G$99999,5,FALSE)</f>
        <v>STAMBAUGH JAMES</v>
      </c>
      <c r="M144" s="6">
        <f t="shared" si="50"/>
        <v>3.8518518522323575E-2</v>
      </c>
      <c r="N144" s="7">
        <f t="shared" si="46"/>
        <v>55.466666672145948</v>
      </c>
      <c r="O144" s="7"/>
      <c r="P144" s="7"/>
      <c r="Q144" s="22"/>
      <c r="R144" s="22"/>
      <c r="S144" s="31">
        <f t="shared" si="47"/>
        <v>1</v>
      </c>
      <c r="T144" s="46" t="str">
        <f t="shared" si="51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2"/>
        <v>https://d0f6bd738d7f1b3e5a7ca70fe4ff75f0.us-east-1.aws.found.io/app/kibana#/discover/Steve-Slow-Train-Analysis-(2080s-and-2083s)?_g=(refreshInterval:(display:Off,pause:!f,section:0,value:0),time:(from:'2017-03-14T19:09:27-0600',mode:absolute,to:'2017-03-14T22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4" s="187" t="str">
        <f t="shared" si="53"/>
        <v>N</v>
      </c>
      <c r="X144" s="187">
        <f t="shared" si="48"/>
        <v>1</v>
      </c>
      <c r="Y144" s="62">
        <f t="shared" si="54"/>
        <v>4.3299999999999998E-2</v>
      </c>
      <c r="Z144" s="62">
        <f t="shared" si="55"/>
        <v>23.3444</v>
      </c>
      <c r="AA144" s="62">
        <f t="shared" si="56"/>
        <v>23.301100000000002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7"/>
        <v>0227-14</v>
      </c>
      <c r="AE144" s="85" t="str">
        <f t="shared" si="58"/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AF144" s="82" t="str">
        <f t="shared" si="59"/>
        <v>"C:\Program Files (x86)\AstroGrep\AstroGrep.exe" /e /r /s /spath="%USERPROFILE%\AppData\Local\Temp\OnboardLogs" /stypes="app*4031*20170315*" /stext=" 03:.+((SYSTEM_STATE.+slice.+state.+changed )|(ment ac)|(multiple cpu faults)|(system.+state.+changed )|(\[timeout)|(PRM\|1\|D)|(kpr)|(kdp)|(\|lc)|(penalty))"</v>
      </c>
      <c r="AG144" s="1" t="str">
        <f t="shared" si="60"/>
        <v>EC</v>
      </c>
      <c r="AH144" s="86" t="str">
        <f t="shared" si="61"/>
        <v>"%USERPROFILE%\Documents\GitHub\eaglep3\Utilities\RefineRTDCRunTimes.py" --tripid 227-14 --locoid 4031 --swversion DE.1.0.9.0 --startMP 204:433 --initTime 2017-03-14T20:09:27 --startdatetime 2017-03-14T20:10:52 --delay 1 --endMP 204:233444 --enddatetime 2017-03-14T21:06:20 --enforcementcount 0 &gt;&gt;C:\Users\stu\Documents\GitHub\eaglep3-reporting\EC\2017-03-14-refined-times.txt</v>
      </c>
      <c r="AI144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{"issue":{"subject":"","project_id":79,"tracker_id":40,"status_id":1,"priority_id":2,"assigned_to_id":23,"start_date":"2017-03-14","description":"","custom_fields":[{"id":1,"name":"Subdivision","value":"EC"},{"id":4,"name":"Milepost","value":"23.3444"},{"id":17,"name":"Train ID","value":"227-14"},{"id":16,"name":"Locomotive ID","value":"4031"},{"id":130,"name":"Impact","value":""},{"id":150,"name":"Time of Event (Mountain Time)","value":"21:06:20"},{"id":151,"name":"Denver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3"/>
        <v>start /low /b %USERPROFILE%\Documents\GitHub\eaglep3\Utilities\DownloadLogsFromS3.py --loco 4031 --day 2017-03-14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"%USERPROFILE%\AppData\Local\Temp\OnboardLogs"\RTDC4031\*4031*20170315* | grep -SE "(Enforcement Action)|(\[TIMEOUT)|(CHR.+\|PRM\|1\|D.+(SWITCH|SIGNAL).+UNKNOWN)" - &gt;&gt; 2017-03-14-UncaughtWiMAX.txt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784</v>
      </c>
      <c r="B145" s="7">
        <v>4032</v>
      </c>
      <c r="C145" s="21" t="s">
        <v>233</v>
      </c>
      <c r="D145" s="21" t="s">
        <v>881</v>
      </c>
      <c r="E145" s="13">
        <v>42808.881458333337</v>
      </c>
      <c r="F145" s="13">
        <v>42808.88453703704</v>
      </c>
      <c r="G145" s="7">
        <v>4</v>
      </c>
      <c r="H145" s="21" t="s">
        <v>535</v>
      </c>
      <c r="I145" s="13">
        <v>42808.921377314815</v>
      </c>
      <c r="J145" s="7">
        <v>0</v>
      </c>
      <c r="K145" s="98" t="str">
        <f t="shared" si="49"/>
        <v>4031/4032</v>
      </c>
      <c r="L145" s="21" t="str">
        <f>VLOOKUP(A145,'Trips&amp;Operators'!$C$1:$G$99999,5,FALSE)</f>
        <v>STAMBAUGH JAMES</v>
      </c>
      <c r="M145" s="6">
        <f t="shared" si="50"/>
        <v>3.6840277774899732E-2</v>
      </c>
      <c r="N145" s="7">
        <f t="shared" si="46"/>
        <v>53.049999995855615</v>
      </c>
      <c r="O145" s="7"/>
      <c r="P145" s="7"/>
      <c r="Q145" s="22"/>
      <c r="R145" s="22"/>
      <c r="S145" s="31">
        <f t="shared" si="47"/>
        <v>1</v>
      </c>
      <c r="T145" s="46" t="str">
        <f t="shared" si="51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2"/>
        <v>https://d0f6bd738d7f1b3e5a7ca70fe4ff75f0.us-east-1.aws.found.io/app/kibana#/discover/Steve-Slow-Train-Analysis-(2080s-and-2083s)?_g=(refreshInterval:(display:Off,pause:!f,section:0,value:0),time:(from:'2017-03-14T20:09:18-0600',mode:absolute,to:'2017-03-14T23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5" s="187" t="str">
        <f t="shared" si="53"/>
        <v>N</v>
      </c>
      <c r="X145" s="187">
        <f t="shared" si="48"/>
        <v>1</v>
      </c>
      <c r="Y145" s="62">
        <f t="shared" si="54"/>
        <v>23.308900000000001</v>
      </c>
      <c r="Z145" s="62">
        <f t="shared" si="55"/>
        <v>1.23E-2</v>
      </c>
      <c r="AA145" s="62">
        <f t="shared" si="56"/>
        <v>23.296600000000002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7"/>
        <v>0228-14</v>
      </c>
      <c r="AE145" s="85" t="str">
        <f t="shared" si="58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145" s="82" t="str">
        <f t="shared" si="59"/>
        <v>"C:\Program Files (x86)\AstroGrep\AstroGrep.exe" /e /r /s /spath="%USERPROFILE%\AppData\Local\Temp\OnboardLogs" /stypes="app*4032*20170315*" /stext=" 04:.+((SYSTEM_STATE.+slice.+state.+changed )|(ment ac)|(multiple cpu faults)|(system.+state.+changed )|(\[timeout)|(PRM\|1\|D)|(kpr)|(kdp)|(\|lc)|(penalty))"</v>
      </c>
      <c r="AG145" s="1" t="str">
        <f t="shared" si="60"/>
        <v>EC</v>
      </c>
      <c r="AH145" s="86" t="str">
        <f t="shared" si="61"/>
        <v>"%USERPROFILE%\Documents\GitHub\eaglep3\Utilities\RefineRTDCRunTimes.py" --tripid 228-14 --locoid 4032 --swversion DE.1.0.9.0 --startMP 204:233089 --initTime 2017-03-14T21:09:18 --startdatetime 2017-03-14T21:13:44 --delay 4 --endMP 204:123 --enddatetime 2017-03-14T22:06:47 --enforcementcount 0 &gt;&gt;C:\Users\stu\Documents\GitHub\eaglep3-reporting\EC\2017-03-14-refined-times.txt</v>
      </c>
      <c r="AI145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{"issue":{"subject":"","project_id":79,"tracker_id":40,"status_id":1,"priority_id":2,"assigned_to_id":23,"start_date":"2017-03-14","description":"","custom_fields":[{"id":1,"name":"Subdivision","value":"EC"},{"id":4,"name":"Milepost","value":"0.0123"},{"id":17,"name":"Train ID","value":"228-14"},{"id":16,"name":"Locomotive ID","value":"4032"},{"id":130,"name":"Impact","value":""},{"id":150,"name":"Time of Event (Mountain Time)","value":"22:06:47"},{"id":151,"name":"Denver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3"/>
        <v>start /low /b %USERPROFILE%\Documents\GitHub\eaglep3\Utilities\DownloadLogsFromS3.py --loco 4032 --day 2017-03-14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"%USERPROFILE%\AppData\Local\Temp\OnboardLogs"\RTDC4032\*4032*20170315* | grep -SE "(Enforcement Action)|(\[TIMEOUT)|(CHR.+\|PRM\|1\|D.+(SWITCH|SIGNAL).+UNKNOWN)" - &gt;&gt; 2017-03-14-UncaughtWiMAX.txt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781</v>
      </c>
      <c r="B146" s="7">
        <v>4051</v>
      </c>
      <c r="C146" s="21" t="s">
        <v>233</v>
      </c>
      <c r="D146" s="21" t="s">
        <v>531</v>
      </c>
      <c r="E146" s="13">
        <v>42808.873252314814</v>
      </c>
      <c r="F146" s="13">
        <v>42808.874120370368</v>
      </c>
      <c r="G146" s="7">
        <v>1</v>
      </c>
      <c r="H146" s="21" t="s">
        <v>882</v>
      </c>
      <c r="I146" s="13">
        <v>42808.904930555553</v>
      </c>
      <c r="J146" s="7">
        <v>0</v>
      </c>
      <c r="K146" s="98" t="str">
        <f t="shared" si="49"/>
        <v>4051/4052</v>
      </c>
      <c r="L146" s="21" t="str">
        <f>VLOOKUP(A146,'Trips&amp;Operators'!$C$1:$G$99999,5,FALSE)</f>
        <v>CHANDLER KELVIN</v>
      </c>
      <c r="M146" s="6">
        <f t="shared" si="50"/>
        <v>3.0810185184236616E-2</v>
      </c>
      <c r="N146" s="7">
        <f t="shared" si="46"/>
        <v>44.366666665300727</v>
      </c>
      <c r="O146" s="7"/>
      <c r="P146" s="7"/>
      <c r="Q146" s="22"/>
      <c r="R146" s="22"/>
      <c r="S146" s="31">
        <f t="shared" si="47"/>
        <v>1</v>
      </c>
      <c r="T146" s="46" t="str">
        <f t="shared" si="51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2"/>
        <v>https://d0f6bd738d7f1b3e5a7ca70fe4ff75f0.us-east-1.aws.found.io/app/kibana#/discover/Steve-Slow-Train-Analysis-(2080s-and-2083s)?_g=(refreshInterval:(display:Off,pause:!f,section:0,value:0),time:(from:'2017-03-14T19:57:29-0600',mode:absolute,to:'2017-03-14T22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6" s="187" t="str">
        <f t="shared" si="53"/>
        <v>N</v>
      </c>
      <c r="X146" s="187">
        <f t="shared" si="48"/>
        <v>1</v>
      </c>
      <c r="Y146" s="62">
        <f t="shared" si="54"/>
        <v>4.82E-2</v>
      </c>
      <c r="Z146" s="62">
        <f t="shared" si="55"/>
        <v>23.326599999999999</v>
      </c>
      <c r="AA146" s="62">
        <f t="shared" si="56"/>
        <v>23.278399999999998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7"/>
        <v>0229-14</v>
      </c>
      <c r="AE146" s="85" t="str">
        <f t="shared" si="58"/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146" s="82" t="str">
        <f t="shared" si="59"/>
        <v>"C:\Program Files (x86)\AstroGrep\AstroGrep.exe" /e /r /s /spath="%USERPROFILE%\AppData\Local\Temp\OnboardLogs" /stypes="app*4051*20170315*" /stext=" 03:.+((SYSTEM_STATE.+slice.+state.+changed )|(ment ac)|(multiple cpu faults)|(system.+state.+changed )|(\[timeout)|(PRM\|1\|D)|(kpr)|(kdp)|(\|lc)|(penalty))"</v>
      </c>
      <c r="AG146" s="1" t="str">
        <f t="shared" si="60"/>
        <v>EC</v>
      </c>
      <c r="AH146" s="86" t="str">
        <f t="shared" si="61"/>
        <v>"%USERPROFILE%\Documents\GitHub\eaglep3\Utilities\RefineRTDCRunTimes.py" --tripid 229-14 --locoid 4051 --swversion DE.1.0.9.0 --startMP 204:482 --initTime 2017-03-14T20:57:29 --startdatetime 2017-03-14T20:58:44 --delay 1 --endMP 204:233266 --enddatetime 2017-03-14T21:43:06 --enforcementcount 0 &gt;&gt;C:\Users\stu\Documents\GitHub\eaglep3-reporting\EC\2017-03-14-refined-times.txt</v>
      </c>
      <c r="AI146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{"issue":{"subject":"","project_id":79,"tracker_id":40,"status_id":1,"priority_id":2,"assigned_to_id":23,"start_date":"2017-03-14","description":"","custom_fields":[{"id":1,"name":"Subdivision","value":"EC"},{"id":4,"name":"Milepost","value":"23.3266"},{"id":17,"name":"Train ID","value":"229-14"},{"id":16,"name":"Locomotive ID","value":"4051"},{"id":130,"name":"Impact","value":""},{"id":150,"name":"Time of Event (Mountain Time)","value":"21:43:06"},{"id":151,"name":"Denver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3"/>
        <v>start /low /b %USERPROFILE%\Documents\GitHub\eaglep3\Utilities\DownloadLogsFromS3.py --loco 4051 --day 2017-03-14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2017-03-14-UncaughtWiMAX.txt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3" t="s">
        <v>787</v>
      </c>
      <c r="B147" s="7">
        <v>4052</v>
      </c>
      <c r="C147" s="21" t="s">
        <v>233</v>
      </c>
      <c r="D147" s="21" t="s">
        <v>818</v>
      </c>
      <c r="E147" s="13">
        <v>42808.912476851852</v>
      </c>
      <c r="F147" s="13">
        <v>42808.913321759261</v>
      </c>
      <c r="G147" s="7">
        <v>1</v>
      </c>
      <c r="H147" s="21" t="s">
        <v>394</v>
      </c>
      <c r="I147" s="13">
        <v>42808.942407407405</v>
      </c>
      <c r="J147" s="7">
        <v>0</v>
      </c>
      <c r="K147" s="98" t="str">
        <f t="shared" si="49"/>
        <v>4051/4052</v>
      </c>
      <c r="L147" s="21" t="str">
        <f>VLOOKUP(A147,'Trips&amp;Operators'!$C$1:$G$99999,5,FALSE)</f>
        <v>CHANDLER KELVIN</v>
      </c>
      <c r="M147" s="6">
        <f t="shared" si="50"/>
        <v>2.9085648144246079E-2</v>
      </c>
      <c r="N147" s="7">
        <f t="shared" si="46"/>
        <v>41.883333327714354</v>
      </c>
      <c r="O147" s="7"/>
      <c r="P147" s="7"/>
      <c r="Q147" s="22"/>
      <c r="R147" s="22"/>
      <c r="S147" s="31">
        <f t="shared" si="47"/>
        <v>1</v>
      </c>
      <c r="T147" s="46" t="str">
        <f t="shared" si="51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2"/>
        <v>https://d0f6bd738d7f1b3e5a7ca70fe4ff75f0.us-east-1.aws.found.io/app/kibana#/discover/Steve-Slow-Train-Analysis-(2080s-and-2083s)?_g=(refreshInterval:(display:Off,pause:!f,section:0,value:0),time:(from:'2017-03-14T20:53:58-0600',mode:absolute,to:'2017-03-14T23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7" s="187" t="str">
        <f t="shared" si="53"/>
        <v>N</v>
      </c>
      <c r="X147" s="187">
        <f t="shared" si="48"/>
        <v>1</v>
      </c>
      <c r="Y147" s="62">
        <f t="shared" si="54"/>
        <v>23.2957</v>
      </c>
      <c r="Z147" s="62">
        <f t="shared" si="55"/>
        <v>1.6E-2</v>
      </c>
      <c r="AA147" s="62">
        <f t="shared" si="56"/>
        <v>23.279700000000002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7"/>
        <v>0230-14</v>
      </c>
      <c r="AE147" s="85" t="str">
        <f t="shared" si="58"/>
        <v>aws s3 cp s3://rtdc.mdm.uploadarchive.raw/RTDC4052/ "%USERPROFILE%\AppData\Local\Temp\OnboardLogs"\RTDC4052\2017-03-14 --exclude "*" --recursive --include "*20170314*" &amp; "%USERPROFILE%\Documents\GitHub\mrs-test-scripts\Headless Mode &amp; Sideloading\WalkAndUnGZ.bat" "%USERPROFILE%\AppData\Local\Temp\OnboardLogs"\RTDC4052\2017-03-14 &amp; 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</v>
      </c>
      <c r="AF147" s="82" t="str">
        <f t="shared" si="59"/>
        <v>"C:\Program Files (x86)\AstroGrep\AstroGrep.exe" /e /r /s /spath="%USERPROFILE%\AppData\Local\Temp\OnboardLogs" /stypes="app*4052*20170315*" /stext=" 04:.+((SYSTEM_STATE.+slice.+state.+changed )|(ment ac)|(multiple cpu faults)|(system.+state.+changed )|(\[timeout)|(PRM\|1\|D)|(kpr)|(kdp)|(\|lc)|(penalty))"</v>
      </c>
      <c r="AG147" s="1" t="str">
        <f t="shared" si="60"/>
        <v>EC</v>
      </c>
      <c r="AH147" s="86" t="str">
        <f t="shared" si="61"/>
        <v>"%USERPROFILE%\Documents\GitHub\eaglep3\Utilities\RefineRTDCRunTimes.py" --tripid 230-14 --locoid 4052 --swversion DE.1.0.9.0 --startMP 204:232957 --initTime 2017-03-14T21:53:58 --startdatetime 2017-03-14T21:55:11 --delay 1 --endMP 204:160 --enddatetime 2017-03-14T22:37:04 --enforcementcount 0 &gt;&gt;C:\Users\stu\Documents\GitHub\eaglep3-reporting\EC\2017-03-14-refined-times.txt</v>
      </c>
      <c r="AI147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{"issue":{"subject":"","project_id":79,"tracker_id":40,"status_id":1,"priority_id":2,"assigned_to_id":23,"start_date":"2017-03-14","description":"","custom_fields":[{"id":1,"name":"Subdivision","value":"EC"},{"id":4,"name":"Milepost","value":"0.016"},{"id":17,"name":"Train ID","value":"230-14"},{"id":16,"name":"Locomotive ID","value":"4052"},{"id":130,"name":"Impact","value":""},{"id":150,"name":"Time of Event (Mountain Time)","value":"22:37:04"},{"id":151,"name":"Denver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3"/>
        <v>start /low /b %USERPROFILE%\Documents\GitHub\eaglep3\Utilities\DownloadLogsFromS3.py --loco 4052 --day 2017-03-14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2017-03-14-UncaughtWiMAX.txt</v>
      </c>
    </row>
    <row r="148" spans="1:91" s="20" customFormat="1" x14ac:dyDescent="0.25">
      <c r="A148" s="33" t="s">
        <v>785</v>
      </c>
      <c r="B148" s="7">
        <v>4027</v>
      </c>
      <c r="C148" s="21" t="s">
        <v>233</v>
      </c>
      <c r="D148" s="21" t="s">
        <v>456</v>
      </c>
      <c r="E148" s="13">
        <v>42808.887303240743</v>
      </c>
      <c r="F148" s="13">
        <v>42808.888298611113</v>
      </c>
      <c r="G148" s="7">
        <v>1</v>
      </c>
      <c r="H148" s="21" t="s">
        <v>883</v>
      </c>
      <c r="I148" s="13">
        <v>42808.920763888891</v>
      </c>
      <c r="J148" s="7">
        <v>0</v>
      </c>
      <c r="K148" s="98" t="str">
        <f t="shared" si="49"/>
        <v>4027/4028</v>
      </c>
      <c r="L148" s="21" t="str">
        <f>VLOOKUP(A148,'Trips&amp;Operators'!$C$1:$G$99999,5,FALSE)</f>
        <v>NEWELL JAMES</v>
      </c>
      <c r="M148" s="6">
        <f t="shared" si="50"/>
        <v>3.2465277778101154E-2</v>
      </c>
      <c r="N148" s="7">
        <f t="shared" si="46"/>
        <v>46.750000000465661</v>
      </c>
      <c r="O148" s="7"/>
      <c r="P148" s="7"/>
      <c r="Q148" s="22"/>
      <c r="R148" s="22"/>
      <c r="S148" s="31">
        <f t="shared" si="47"/>
        <v>1</v>
      </c>
      <c r="T148" s="46" t="str">
        <f t="shared" si="51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2"/>
        <v>https://d0f6bd738d7f1b3e5a7ca70fe4ff75f0.us-east-1.aws.found.io/app/kibana#/discover/Steve-Slow-Train-Analysis-(2080s-and-2083s)?_g=(refreshInterval:(display:Off,pause:!f,section:0,value:0),time:(from:'2017-03-14T20:17:43-0600',mode:absolute,to:'2017-03-14T23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87" t="str">
        <f t="shared" si="53"/>
        <v>N</v>
      </c>
      <c r="X148" s="187">
        <f t="shared" si="48"/>
        <v>1</v>
      </c>
      <c r="Y148" s="62">
        <f t="shared" si="54"/>
        <v>4.6199999999999998E-2</v>
      </c>
      <c r="Z148" s="62">
        <f t="shared" si="55"/>
        <v>23.332100000000001</v>
      </c>
      <c r="AA148" s="62">
        <f t="shared" si="56"/>
        <v>23.285900000000002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7"/>
        <v>0231-14</v>
      </c>
      <c r="AE148" s="85" t="str">
        <f t="shared" si="58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148" s="82" t="str">
        <f t="shared" si="59"/>
        <v>"C:\Program Files (x86)\AstroGrep\AstroGrep.exe" /e /r /s /spath="%USERPROFILE%\AppData\Local\Temp\OnboardLogs" /stypes="app*4027*20170315*" /stext=" 04:.+((SYSTEM_STATE.+slice.+state.+changed )|(ment ac)|(multiple cpu faults)|(system.+state.+changed )|(\[timeout)|(PRM\|1\|D)|(kpr)|(kdp)|(\|lc)|(penalty))"</v>
      </c>
      <c r="AG148" s="1" t="str">
        <f t="shared" si="60"/>
        <v>EC</v>
      </c>
      <c r="AH148" s="86" t="str">
        <f t="shared" si="61"/>
        <v>"%USERPROFILE%\Documents\GitHub\eaglep3\Utilities\RefineRTDCRunTimes.py" --tripid 231-14 --locoid 4027 --swversion DE.1.0.9.0 --startMP 204:462 --initTime 2017-03-14T21:17:43 --startdatetime 2017-03-14T21:19:09 --delay 1 --endMP 204:233321 --enddatetime 2017-03-14T22:05:54 --enforcementcount 0 &gt;&gt;C:\Users\stu\Documents\GitHub\eaglep3-reporting\EC\2017-03-14-refined-times.txt</v>
      </c>
      <c r="AI148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{"issue":{"subject":"","project_id":79,"tracker_id":40,"status_id":1,"priority_id":2,"assigned_to_id":23,"start_date":"2017-03-14","description":"","custom_fields":[{"id":1,"name":"Subdivision","value":"EC"},{"id":4,"name":"Milepost","value":"23.3321"},{"id":17,"name":"Train ID","value":"231-14"},{"id":16,"name":"Locomotive ID","value":"4027"},{"id":130,"name":"Impact","value":""},{"id":150,"name":"Time of Event (Mountain Time)","value":"22:05:54"},{"id":151,"name":"Denver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3"/>
        <v>start /low /b %USERPROFILE%\Documents\GitHub\eaglep3\Utilities\DownloadLogsFromS3.py --loco 4027 --day 2017-03-14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"%USERPROFILE%\AppData\Local\Temp\OnboardLogs"\RTDC4027\*4027*20170315* | grep -SE "(Enforcement Action)|(\[TIMEOUT)|(CHR.+\|PRM\|1\|D.+(SWITCH|SIGNAL).+UNKNOWN)" - &gt;&gt; 2017-03-14-UncaughtWiMAX.txt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791</v>
      </c>
      <c r="B149" s="7">
        <v>4028</v>
      </c>
      <c r="C149" s="21" t="s">
        <v>233</v>
      </c>
      <c r="D149" s="21" t="s">
        <v>256</v>
      </c>
      <c r="E149" s="13">
        <v>42808.9296875</v>
      </c>
      <c r="F149" s="13">
        <v>42808.930659722224</v>
      </c>
      <c r="G149" s="7">
        <v>1</v>
      </c>
      <c r="H149" s="21" t="s">
        <v>219</v>
      </c>
      <c r="I149" s="13">
        <v>42808.961493055554</v>
      </c>
      <c r="J149" s="7">
        <v>0</v>
      </c>
      <c r="K149" s="98" t="str">
        <f t="shared" si="49"/>
        <v>4027/4028</v>
      </c>
      <c r="L149" s="21" t="str">
        <f>VLOOKUP(A149,'Trips&amp;Operators'!$C$1:$G$99999,5,FALSE)</f>
        <v>NEWELL JAMES</v>
      </c>
      <c r="M149" s="6">
        <f t="shared" si="50"/>
        <v>3.0833333330519963E-2</v>
      </c>
      <c r="N149" s="7">
        <f t="shared" si="46"/>
        <v>44.399999995948747</v>
      </c>
      <c r="O149" s="7"/>
      <c r="P149" s="7"/>
      <c r="Q149" s="22"/>
      <c r="R149" s="22"/>
      <c r="S149" s="31">
        <f t="shared" si="47"/>
        <v>1</v>
      </c>
      <c r="T149" s="46" t="str">
        <f t="shared" si="51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2"/>
        <v>https://d0f6bd738d7f1b3e5a7ca70fe4ff75f0.us-east-1.aws.found.io/app/kibana#/discover/Steve-Slow-Train-Analysis-(2080s-and-2083s)?_g=(refreshInterval:(display:Off,pause:!f,section:0,value:0),time:(from:'2017-03-14T21:18:45-0600',mode:absolute,to:'2017-03-15T00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9" s="187" t="str">
        <f t="shared" si="53"/>
        <v>N</v>
      </c>
      <c r="X149" s="187">
        <f t="shared" si="48"/>
        <v>1</v>
      </c>
      <c r="Y149" s="62">
        <f t="shared" si="54"/>
        <v>23.300599999999999</v>
      </c>
      <c r="Z149" s="62">
        <f t="shared" si="55"/>
        <v>1.3899999999999999E-2</v>
      </c>
      <c r="AA149" s="62">
        <f t="shared" si="56"/>
        <v>23.2867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7"/>
        <v>0232-14</v>
      </c>
      <c r="AE149" s="85" t="str">
        <f t="shared" si="58"/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AF149" s="82" t="str">
        <f t="shared" si="59"/>
        <v>"C:\Program Files (x86)\AstroGrep\AstroGrep.exe" /e /r /s /spath="%USERPROFILE%\AppData\Local\Temp\OnboardLogs" /stypes="app*4028*20170315*" /stext=" 05:.+((SYSTEM_STATE.+slice.+state.+changed )|(ment ac)|(multiple cpu faults)|(system.+state.+changed )|(\[timeout)|(PRM\|1\|D)|(kpr)|(kdp)|(\|lc)|(penalty))"</v>
      </c>
      <c r="AG149" s="1" t="str">
        <f t="shared" si="60"/>
        <v>EC</v>
      </c>
      <c r="AH149" s="86" t="str">
        <f t="shared" si="61"/>
        <v>"%USERPROFILE%\Documents\GitHub\eaglep3\Utilities\RefineRTDCRunTimes.py" --tripid 232-14 --locoid 4028 --swversion DE.1.0.9.0 --startMP 204:233006 --initTime 2017-03-14T22:18:45 --startdatetime 2017-03-14T22:20:09 --delay 1 --endMP 204:139 --enddatetime 2017-03-14T23:04:33 --enforcementcount 0 &gt;&gt;C:\Users\stu\Documents\GitHub\eaglep3-reporting\EC\2017-03-14-refined-times.txt</v>
      </c>
      <c r="AI149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{"issue":{"subject":"","project_id":79,"tracker_id":40,"status_id":1,"priority_id":2,"assigned_to_id":23,"start_date":"2017-03-14","description":"","custom_fields":[{"id":1,"name":"Subdivision","value":"EC"},{"id":4,"name":"Milepost","value":"0.0139"},{"id":17,"name":"Train ID","value":"232-14"},{"id":16,"name":"Locomotive ID","value":"4028"},{"id":130,"name":"Impact","value":""},{"id":150,"name":"Time of Event (Mountain Time)","value":"23:04:33"},{"id":151,"name":"Denver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3"/>
        <v>start /low /b %USERPROFILE%\Documents\GitHub\eaglep3\Utilities\DownloadLogsFromS3.py --loco 4028 --day 2017-03-14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"%USERPROFILE%\AppData\Local\Temp\OnboardLogs"\RTDC4028\*4028*20170315* | grep -SE "(Enforcement Action)|(\[TIMEOUT)|(CHR.+\|PRM\|1\|D.+(SWITCH|SIGNAL).+UNKNOWN)" - &gt;&gt; 2017-03-14-UncaughtWiMAX.txt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788</v>
      </c>
      <c r="B150" s="7">
        <v>4029</v>
      </c>
      <c r="C150" s="21" t="s">
        <v>233</v>
      </c>
      <c r="D150" s="21" t="s">
        <v>211</v>
      </c>
      <c r="E150" s="13">
        <v>42808.914444444446</v>
      </c>
      <c r="F150" s="13">
        <v>42808.916215277779</v>
      </c>
      <c r="G150" s="7">
        <v>2</v>
      </c>
      <c r="H150" s="21" t="s">
        <v>452</v>
      </c>
      <c r="I150" s="13">
        <v>42808.942847222221</v>
      </c>
      <c r="J150" s="7">
        <v>0</v>
      </c>
      <c r="K150" s="98" t="str">
        <f t="shared" si="49"/>
        <v>4029/4030</v>
      </c>
      <c r="L150" s="21" t="str">
        <f>VLOOKUP(A150,'Trips&amp;Operators'!$C$1:$G$99999,5,FALSE)</f>
        <v>STORY SAMANTHA</v>
      </c>
      <c r="M150" s="6">
        <f t="shared" si="50"/>
        <v>2.6631944441760425E-2</v>
      </c>
      <c r="N150" s="7">
        <f t="shared" si="46"/>
        <v>38.349999996135011</v>
      </c>
      <c r="O150" s="7"/>
      <c r="P150" s="7"/>
      <c r="Q150" s="22"/>
      <c r="R150" s="22"/>
      <c r="S150" s="31">
        <f t="shared" si="47"/>
        <v>1</v>
      </c>
      <c r="T150" s="46" t="str">
        <f t="shared" si="51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2"/>
        <v>https://d0f6bd738d7f1b3e5a7ca70fe4ff75f0.us-east-1.aws.found.io/app/kibana#/discover/Steve-Slow-Train-Analysis-(2080s-and-2083s)?_g=(refreshInterval:(display:Off,pause:!f,section:0,value:0),time:(from:'2017-03-14T20:56:48-0600',mode:absolute,to:'2017-03-14T23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0" s="187" t="str">
        <f t="shared" si="53"/>
        <v>N</v>
      </c>
      <c r="X150" s="187">
        <f t="shared" si="48"/>
        <v>1</v>
      </c>
      <c r="Y150" s="62">
        <f t="shared" si="54"/>
        <v>4.5999999999999999E-2</v>
      </c>
      <c r="Z150" s="62">
        <f t="shared" si="55"/>
        <v>23.3323</v>
      </c>
      <c r="AA150" s="62">
        <f t="shared" si="56"/>
        <v>23.286300000000001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7"/>
        <v>0233-14</v>
      </c>
      <c r="AE150" s="85" t="str">
        <f t="shared" si="58"/>
        <v>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 &amp; 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</v>
      </c>
      <c r="AF150" s="82" t="str">
        <f t="shared" si="59"/>
        <v>"C:\Program Files (x86)\AstroGrep\AstroGrep.exe" /e /r /s /spath="%USERPROFILE%\AppData\Local\Temp\OnboardLogs" /stypes="app*4029*20170315*" /stext=" 04:.+((SYSTEM_STATE.+slice.+state.+changed )|(ment ac)|(multiple cpu faults)|(system.+state.+changed )|(\[timeout)|(PRM\|1\|D)|(kpr)|(kdp)|(\|lc)|(penalty))"</v>
      </c>
      <c r="AG150" s="1" t="str">
        <f t="shared" si="60"/>
        <v>EC</v>
      </c>
      <c r="AH150" s="86" t="str">
        <f t="shared" si="61"/>
        <v>"%USERPROFILE%\Documents\GitHub\eaglep3\Utilities\RefineRTDCRunTimes.py" --tripid 233-14 --locoid 4029 --swversion DE.1.0.9.0 --startMP 204:460 --initTime 2017-03-14T21:56:48 --startdatetime 2017-03-14T21:59:21 --delay 2 --endMP 204:233323 --enddatetime 2017-03-14T22:37:42 --enforcementcount 0 &gt;&gt;C:\Users\stu\Documents\GitHub\eaglep3-reporting\EC\2017-03-14-refined-times.txt</v>
      </c>
      <c r="AI150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{"issue":{"subject":"","project_id":79,"tracker_id":40,"status_id":1,"priority_id":2,"assigned_to_id":23,"start_date":"2017-03-14","description":"","custom_fields":[{"id":1,"name":"Subdivision","value":"EC"},{"id":4,"name":"Milepost","value":"23.3323"},{"id":17,"name":"Train ID","value":"233-14"},{"id":16,"name":"Locomotive ID","value":"4029"},{"id":130,"name":"Impact","value":""},{"id":150,"name":"Time of Event (Mountain Time)","value":"22:37:42"},{"id":151,"name":"Denver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3"/>
        <v>start /low /b %USERPROFILE%\Documents\GitHub\eaglep3\Utilities\DownloadLogsFromS3.py --loco 4029 --day 2017-03-14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"%USERPROFILE%\AppData\Local\Temp\OnboardLogs"\RTDC4029\*4029*20170315* | grep -SE "(Enforcement Action)|(\[TIMEOUT)|(CHR.+\|PRM\|1\|D.+(SWITCH|SIGNAL).+UNKNOWN)" - &gt;&gt; 2017-03-14-UncaughtWiMAX.txt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793</v>
      </c>
      <c r="B151" s="7">
        <v>4030</v>
      </c>
      <c r="C151" s="21" t="s">
        <v>233</v>
      </c>
      <c r="D151" s="21" t="s">
        <v>440</v>
      </c>
      <c r="E151" s="13">
        <v>42808.948796296296</v>
      </c>
      <c r="F151" s="13">
        <v>42808.950277777774</v>
      </c>
      <c r="G151" s="7">
        <v>2</v>
      </c>
      <c r="H151" s="21">
        <v>8.5298611111111118</v>
      </c>
      <c r="I151" s="13">
        <v>42808.987939814811</v>
      </c>
      <c r="J151" s="7">
        <v>0</v>
      </c>
      <c r="K151" s="98" t="str">
        <f t="shared" si="49"/>
        <v>4029/4030</v>
      </c>
      <c r="L151" s="21" t="str">
        <f>VLOOKUP(A151,'Trips&amp;Operators'!$C$1:$G$99999,5,FALSE)</f>
        <v>STORY SAMANTHA</v>
      </c>
      <c r="M151" s="6">
        <f t="shared" si="50"/>
        <v>3.7662037037080154E-2</v>
      </c>
      <c r="N151" s="7">
        <f t="shared" si="46"/>
        <v>54.233333333395422</v>
      </c>
      <c r="O151" s="7"/>
      <c r="P151" s="7"/>
      <c r="Q151" s="22"/>
      <c r="R151" s="22"/>
      <c r="S151" s="31">
        <f t="shared" si="47"/>
        <v>1</v>
      </c>
      <c r="T151" s="46" t="str">
        <f t="shared" si="51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2"/>
        <v>https://d0f6bd738d7f1b3e5a7ca70fe4ff75f0.us-east-1.aws.found.io/app/kibana#/discover/Steve-Slow-Train-Analysis-(2080s-and-2083s)?_g=(refreshInterval:(display:Off,pause:!f,section:0,value:0),time:(from:'2017-03-14T21:46:16-0600',mode:absolute,to:'2017-03-15T00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1" s="187" t="str">
        <f t="shared" si="53"/>
        <v>N</v>
      </c>
      <c r="X151" s="187">
        <f t="shared" si="48"/>
        <v>1</v>
      </c>
      <c r="Y151" s="62">
        <f t="shared" si="54"/>
        <v>23.3002</v>
      </c>
      <c r="Z151" s="62">
        <v>4.0000000000000001E-3</v>
      </c>
      <c r="AA151" s="62">
        <f t="shared" si="56"/>
        <v>23.296199999999999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7"/>
        <v>0234-14</v>
      </c>
      <c r="AE151" s="85" t="str">
        <f t="shared" si="58"/>
        <v>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 &amp; 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</v>
      </c>
      <c r="AF151" s="82" t="str">
        <f t="shared" si="59"/>
        <v>"C:\Program Files (x86)\AstroGrep\AstroGrep.exe" /e /r /s /spath="%USERPROFILE%\AppData\Local\Temp\OnboardLogs" /stypes="app*4030*20170315*" /stext=" 05:.+((SYSTEM_STATE.+slice.+state.+changed )|(ment ac)|(multiple cpu faults)|(system.+state.+changed )|(\[timeout)|(PRM\|1\|D)|(kpr)|(kdp)|(\|lc)|(penalty))"</v>
      </c>
      <c r="AG151" s="1" t="str">
        <f t="shared" si="60"/>
        <v>EC</v>
      </c>
      <c r="AH151" s="86" t="str">
        <f t="shared" si="61"/>
        <v>"%USERPROFILE%\Documents\GitHub\eaglep3\Utilities\RefineRTDCRunTimes.py" --tripid 234-14 --locoid 4030 --swversion DE.1.0.9.0 --startMP 204:233002 --initTime 2017-03-14T22:46:16 --startdatetime 2017-03-14T22:48:24 --delay 2 --endMP 8.52986111111111 --enddatetime 2017-03-14T23:42:38 --enforcementcount 0 &gt;&gt;C:\Users\stu\Documents\GitHub\eaglep3-reporting\EC\2017-03-14-refined-times.txt</v>
      </c>
      <c r="AI151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{"issue":{"subject":"","project_id":79,"tracker_id":40,"status_id":1,"priority_id":2,"assigned_to_id":23,"start_date":"2017-03-14","description":"","custom_fields":[{"id":1,"name":"Subdivision","value":"EC"},{"id":4,"name":"Milepost","value":"0.004"},{"id":17,"name":"Train ID","value":"234-14"},{"id":16,"name":"Locomotive ID","value":"4030"},{"id":130,"name":"Impact","value":""},{"id":150,"name":"Time of Event (Mountain Time)","value":"23:42:38"},{"id":151,"name":"Denver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3"/>
        <v>start /low /b %USERPROFILE%\Documents\GitHub\eaglep3\Utilities\DownloadLogsFromS3.py --loco 4030 --day 2017-03-14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"%USERPROFILE%\AppData\Local\Temp\OnboardLogs"\RTDC4030\*4030*20170315* | grep -SE "(Enforcement Action)|(\[TIMEOUT)|(CHR.+\|PRM\|1\|D.+(SWITCH|SIGNAL).+UNKNOWN)" - &gt;&gt; 2017-03-14-UncaughtWiMAX.txt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790</v>
      </c>
      <c r="B152" s="7">
        <v>4031</v>
      </c>
      <c r="C152" s="21" t="s">
        <v>233</v>
      </c>
      <c r="D152" s="21" t="s">
        <v>532</v>
      </c>
      <c r="E152" s="13">
        <v>42808.923136574071</v>
      </c>
      <c r="F152" s="13">
        <v>42808.923993055556</v>
      </c>
      <c r="G152" s="7">
        <v>1</v>
      </c>
      <c r="H152" s="21" t="s">
        <v>884</v>
      </c>
      <c r="I152" s="13">
        <v>42808.962870370371</v>
      </c>
      <c r="J152" s="7">
        <v>0</v>
      </c>
      <c r="K152" s="98" t="str">
        <f t="shared" si="49"/>
        <v>4031/4032</v>
      </c>
      <c r="L152" s="21" t="str">
        <f>VLOOKUP(A152,'Trips&amp;Operators'!$C$1:$G$99999,5,FALSE)</f>
        <v>STAMBAUGH JAMES</v>
      </c>
      <c r="M152" s="6">
        <f t="shared" si="50"/>
        <v>3.8877314815181307E-2</v>
      </c>
      <c r="N152" s="7">
        <f t="shared" si="46"/>
        <v>55.983333333861083</v>
      </c>
      <c r="O152" s="7"/>
      <c r="P152" s="7"/>
      <c r="Q152" s="22"/>
      <c r="R152" s="22"/>
      <c r="S152" s="31">
        <f t="shared" si="47"/>
        <v>1</v>
      </c>
      <c r="T152" s="46" t="str">
        <f t="shared" si="51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2"/>
        <v>https://d0f6bd738d7f1b3e5a7ca70fe4ff75f0.us-east-1.aws.found.io/app/kibana#/discover/Steve-Slow-Train-Analysis-(2080s-and-2083s)?_g=(refreshInterval:(display:Off,pause:!f,section:0,value:0),time:(from:'2017-03-14T21:09:19-0600',mode:absolute,to:'2017-03-15T00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2" s="187" t="str">
        <f t="shared" si="53"/>
        <v>N</v>
      </c>
      <c r="X152" s="187">
        <f t="shared" si="48"/>
        <v>1</v>
      </c>
      <c r="Y152" s="62">
        <f t="shared" si="54"/>
        <v>4.3299999999999998E-2</v>
      </c>
      <c r="Z152" s="62">
        <f t="shared" ref="Z152:Z183" si="64">RIGHT(H152,LEN(H152)-4)/10000</f>
        <v>23.340499999999999</v>
      </c>
      <c r="AA152" s="62">
        <f t="shared" si="56"/>
        <v>23.2972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7"/>
        <v>0235-14</v>
      </c>
      <c r="AE152" s="85" t="str">
        <f t="shared" si="58"/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AF152" s="82" t="str">
        <f t="shared" si="59"/>
        <v>"C:\Program Files (x86)\AstroGrep\AstroGrep.exe" /e /r /s /spath="%USERPROFILE%\AppData\Local\Temp\OnboardLogs" /stypes="app*4031*20170315*" /stext=" 05:.+((SYSTEM_STATE.+slice.+state.+changed )|(ment ac)|(multiple cpu faults)|(system.+state.+changed )|(\[timeout)|(PRM\|1\|D)|(kpr)|(kdp)|(\|lc)|(penalty))"</v>
      </c>
      <c r="AG152" s="1" t="str">
        <f t="shared" si="60"/>
        <v>EC</v>
      </c>
      <c r="AH152" s="86" t="str">
        <f t="shared" si="61"/>
        <v>"%USERPROFILE%\Documents\GitHub\eaglep3\Utilities\RefineRTDCRunTimes.py" --tripid 235-14 --locoid 4031 --swversion DE.1.0.9.0 --startMP 204:433 --initTime 2017-03-14T22:09:19 --startdatetime 2017-03-14T22:10:33 --delay 1 --endMP 204:233405 --enddatetime 2017-03-14T23:06:32 --enforcementcount 0 &gt;&gt;C:\Users\stu\Documents\GitHub\eaglep3-reporting\EC\2017-03-14-refined-times.txt</v>
      </c>
      <c r="AI152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{"issue":{"subject":"","project_id":79,"tracker_id":40,"status_id":1,"priority_id":2,"assigned_to_id":23,"start_date":"2017-03-14","description":"","custom_fields":[{"id":1,"name":"Subdivision","value":"EC"},{"id":4,"name":"Milepost","value":"23.3405"},{"id":17,"name":"Train ID","value":"235-14"},{"id":16,"name":"Locomotive ID","value":"4031"},{"id":130,"name":"Impact","value":""},{"id":150,"name":"Time of Event (Mountain Time)","value":"23:06:32"},{"id":151,"name":"Denver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3"/>
        <v>start /low /b %USERPROFILE%\Documents\GitHub\eaglep3\Utilities\DownloadLogsFromS3.py --loco 4031 --day 2017-03-14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"%USERPROFILE%\AppData\Local\Temp\OnboardLogs"\RTDC4031\*4031*20170315* | grep -SE "(Enforcement Action)|(\[TIMEOUT)|(CHR.+\|PRM\|1\|D.+(SWITCH|SIGNAL).+UNKNOWN)" - &gt;&gt; 2017-03-14-UncaughtWiMAX.txt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598</v>
      </c>
      <c r="B153" s="7">
        <v>4032</v>
      </c>
      <c r="C153" s="21" t="s">
        <v>233</v>
      </c>
      <c r="D153" s="21" t="s">
        <v>885</v>
      </c>
      <c r="E153" s="13">
        <v>42808.983981481484</v>
      </c>
      <c r="F153" s="13">
        <v>42808.98474537037</v>
      </c>
      <c r="G153" s="7">
        <v>1</v>
      </c>
      <c r="H153" s="21" t="s">
        <v>201</v>
      </c>
      <c r="I153" s="13">
        <v>42809.00708333333</v>
      </c>
      <c r="J153" s="7">
        <v>0</v>
      </c>
      <c r="K153" s="98" t="str">
        <f t="shared" si="49"/>
        <v>4031/4032</v>
      </c>
      <c r="L153" s="21" t="str">
        <f>VLOOKUP(A153,'Trips&amp;Operators'!$C$1:$G$99999,5,FALSE)</f>
        <v>STAMBAUGH JAMES</v>
      </c>
      <c r="M153" s="6">
        <f t="shared" si="50"/>
        <v>2.233796296059154E-2</v>
      </c>
      <c r="N153" s="7"/>
      <c r="O153" s="7"/>
      <c r="P153" s="7">
        <f>24*60*SUM($M153:$M153)</f>
        <v>32.166666663251817</v>
      </c>
      <c r="Q153" s="22"/>
      <c r="R153" s="22" t="s">
        <v>496</v>
      </c>
      <c r="S153" s="31">
        <f t="shared" si="47"/>
        <v>1</v>
      </c>
      <c r="T153" s="46" t="str">
        <f t="shared" si="51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2"/>
        <v>https://d0f6bd738d7f1b3e5a7ca70fe4ff75f0.us-east-1.aws.found.io/app/kibana#/discover/Steve-Slow-Train-Analysis-(2080s-and-2083s)?_g=(refreshInterval:(display:Off,pause:!f,section:0,value:0),time:(from:'2017-03-14T22:36:56-0600',mode:absolute,to:'2017-03-15T01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3" s="187" t="str">
        <f t="shared" si="53"/>
        <v>Y</v>
      </c>
      <c r="X153" s="187">
        <f t="shared" si="48"/>
        <v>1</v>
      </c>
      <c r="Y153" s="62">
        <f t="shared" si="54"/>
        <v>15.4009</v>
      </c>
      <c r="Z153" s="62">
        <f t="shared" si="64"/>
        <v>1.52E-2</v>
      </c>
      <c r="AA153" s="62">
        <f t="shared" si="56"/>
        <v>15.3857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7"/>
        <v>0236-14</v>
      </c>
      <c r="AE153" s="85" t="str">
        <f t="shared" si="58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153" s="82" t="str">
        <f t="shared" si="59"/>
        <v>"C:\Program Files (x86)\AstroGrep\AstroGrep.exe" /e /r /s /spath="%USERPROFILE%\AppData\Local\Temp\OnboardLogs" /stypes="app*4032*20170315*" /stext=" 06:.+((SYSTEM_STATE.+slice.+state.+changed )|(ment ac)|(multiple cpu faults)|(system.+state.+changed )|(\[timeout)|(PRM\|1\|D)|(kpr)|(kdp)|(\|lc)|(penalty))"</v>
      </c>
      <c r="AG153" s="1" t="str">
        <f t="shared" si="60"/>
        <v>EC</v>
      </c>
      <c r="AH153" s="86" t="str">
        <f t="shared" si="61"/>
        <v>"%USERPROFILE%\Documents\GitHub\eaglep3\Utilities\RefineRTDCRunTimes.py" --tripid 236-14 --locoid 4032 --swversion DE.1.0.9.0 --startMP 204:154009 --initTime 2017-03-14T23:36:56 --startdatetime 2017-03-14T23:38:02 --delay 1 --endMP 204:152 --enddatetime 2017-03-15T00:10:12 --enforcementcount 0 &gt;&gt;C:\Users\stu\Documents\GitHub\eaglep3-reporting\EC\2017-03-14-refined-times.txt</v>
      </c>
      <c r="AI153" s="108" t="str">
        <f t="shared" si="62"/>
        <v>echo {"issue":{"subject":"Onboard in-route failure","project_id":79,"tracker_id":40,"status_id":1,"priority_id":2,"assigned_to_id":23,"start_date":"2017-03-15","description":"","custom_fields":[{"id":1,"name":"Subdivision","value":"EC"},{"id":4,"name":"Milepost","value":"0.0152"},{"id":17,"name":"Train ID","value":"236-14"},{"id":16,"name":"Locomotive ID","value":"4032"},{"id":130,"name":"Impact","value":""},{"id":150,"name":"Time of Event (Mountain Time)","value":"00:10:12"},{"id":151,"name":"Denver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3"/>
        <v>start /low /b %USERPROFILE%\Documents\GitHub\eaglep3\Utilities\DownloadLogsFromS3.py --loco 4032 --day 2017-03-14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"%USERPROFILE%\AppData\Local\Temp\OnboardLogs"\RTDC4032\*4032*20170315* | grep -SE "(Enforcement Action)|(\[TIMEOUT)|(CHR.+\|PRM\|1\|D.+(SWITCH|SIGNAL).+UNKNOWN)" - &gt;&gt; 2017-03-14-UncaughtWiMAX.txt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598</v>
      </c>
      <c r="B154" s="7">
        <v>4032</v>
      </c>
      <c r="C154" s="21" t="s">
        <v>233</v>
      </c>
      <c r="D154" s="21" t="s">
        <v>886</v>
      </c>
      <c r="E154" s="13">
        <v>42808.975046296298</v>
      </c>
      <c r="F154" s="13">
        <v>42808.97583333333</v>
      </c>
      <c r="G154" s="7">
        <v>1</v>
      </c>
      <c r="H154" s="21" t="s">
        <v>201</v>
      </c>
      <c r="I154" s="13">
        <v>42809.00708333333</v>
      </c>
      <c r="J154" s="7">
        <v>0</v>
      </c>
      <c r="K154" s="98" t="str">
        <f t="shared" si="49"/>
        <v>4031/4032</v>
      </c>
      <c r="L154" s="21" t="str">
        <f>VLOOKUP(A154,'Trips&amp;Operators'!$C$1:$G$99999,5,FALSE)</f>
        <v>STAMBAUGH JAMES</v>
      </c>
      <c r="M154" s="6">
        <f t="shared" si="50"/>
        <v>3.125E-2</v>
      </c>
      <c r="N154" s="7"/>
      <c r="O154" s="7"/>
      <c r="P154" s="7"/>
      <c r="Q154" s="22"/>
      <c r="R154" s="22"/>
      <c r="S154" s="31"/>
      <c r="T154" s="46" t="str">
        <f t="shared" si="51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2"/>
        <v>https://d0f6bd738d7f1b3e5a7ca70fe4ff75f0.us-east-1.aws.found.io/app/kibana#/discover/Steve-Slow-Train-Analysis-(2080s-and-2083s)?_g=(refreshInterval:(display:Off,pause:!f,section:0,value:0),time:(from:'2017-03-14T22:24:04-0600',mode:absolute,to:'2017-03-15T01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4" s="187" t="str">
        <f t="shared" si="53"/>
        <v>N</v>
      </c>
      <c r="X154" s="187">
        <f t="shared" si="48"/>
        <v>0</v>
      </c>
      <c r="Y154" s="62">
        <f t="shared" si="54"/>
        <v>23.3065</v>
      </c>
      <c r="Z154" s="62">
        <f t="shared" si="64"/>
        <v>1.52E-2</v>
      </c>
      <c r="AA154" s="62">
        <f t="shared" si="56"/>
        <v>23.2913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7"/>
        <v>0236-14</v>
      </c>
      <c r="AE154" s="85" t="str">
        <f t="shared" si="58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154" s="82" t="str">
        <f t="shared" si="59"/>
        <v>"C:\Program Files (x86)\AstroGrep\AstroGrep.exe" /e /r /s /spath="%USERPROFILE%\AppData\Local\Temp\OnboardLogs" /stypes="app*4032*20170315*" /stext=" 06:.+((SYSTEM_STATE.+slice.+state.+changed )|(ment ac)|(multiple cpu faults)|(system.+state.+changed )|(\[timeout)|(PRM\|1\|D)|(kpr)|(kdp)|(\|lc)|(penalty))"</v>
      </c>
      <c r="AG154" s="1" t="str">
        <f t="shared" si="60"/>
        <v>EC</v>
      </c>
      <c r="AH154" s="86" t="str">
        <f t="shared" si="61"/>
        <v>"%USERPROFILE%\Documents\GitHub\eaglep3\Utilities\RefineRTDCRunTimes.py" --tripid 236-14 --locoid 4032 --swversion DE.1.0.9.0 --startMP 204:233065 --initTime 2017-03-14T23:24:04 --startdatetime 2017-03-14T23:25:12 --delay 1 --endMP 204:152 --enddatetime 2017-03-15T00:10:12 --enforcementcount 0 &gt;&gt;C:\Users\stu\Documents\GitHub\eaglep3-reporting\EC\2017-03-14-refined-times.txt</v>
      </c>
      <c r="AI154" s="108" t="str">
        <f t="shared" si="62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ID","value":"236-14"},{"id":16,"name":"Locomotive ID","value":"4032"},{"id":130,"name":"Impact","value":""},{"id":150,"name":"Time of Event (Mountain Time)","value":"00:10:12"},{"id":151,"name":"Denver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3"/>
        <v>start /low /b %USERPROFILE%\Documents\GitHub\eaglep3\Utilities\DownloadLogsFromS3.py --loco 4032 --day 2017-03-14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"%USERPROFILE%\AppData\Local\Temp\OnboardLogs"\RTDC4032\*4032*20170315* | grep -SE "(Enforcement Action)|(\[TIMEOUT)|(CHR.+\|PRM\|1\|D.+(SWITCH|SIGNAL).+UNKNOWN)" - &gt;&gt; 2017-03-14-UncaughtWiMAX.txt</v>
      </c>
    </row>
    <row r="155" spans="1:91" s="20" customFormat="1" x14ac:dyDescent="0.25">
      <c r="A155" s="33" t="s">
        <v>794</v>
      </c>
      <c r="B155" s="7">
        <v>4051</v>
      </c>
      <c r="C155" s="21" t="s">
        <v>233</v>
      </c>
      <c r="D155" s="21" t="s">
        <v>531</v>
      </c>
      <c r="E155" s="13">
        <v>42808.957141203704</v>
      </c>
      <c r="F155" s="13">
        <v>42808.958020833335</v>
      </c>
      <c r="G155" s="7">
        <v>1</v>
      </c>
      <c r="H155" s="21" t="s">
        <v>455</v>
      </c>
      <c r="I155" s="13">
        <v>42808.983749999999</v>
      </c>
      <c r="J155" s="7">
        <v>0</v>
      </c>
      <c r="K155" s="98" t="str">
        <f t="shared" si="49"/>
        <v>4051/4052</v>
      </c>
      <c r="L155" s="21" t="str">
        <f>VLOOKUP(A155,'Trips&amp;Operators'!$C$1:$G$99999,5,FALSE)</f>
        <v>CHANDLER KELVIN</v>
      </c>
      <c r="M155" s="6">
        <f t="shared" si="50"/>
        <v>2.5729166663950309E-2</v>
      </c>
      <c r="N155" s="7">
        <f t="shared" ref="N155:N186" si="65">24*60*SUM($M155:$M155)</f>
        <v>37.049999996088445</v>
      </c>
      <c r="O155" s="7"/>
      <c r="P155" s="7"/>
      <c r="Q155" s="22"/>
      <c r="R155" s="22"/>
      <c r="S155" s="31">
        <f t="shared" ref="S155:S186" si="66">SUM(U155:U155)/IF(AG155="EC",12,1)</f>
        <v>1</v>
      </c>
      <c r="T155" s="46" t="str">
        <f t="shared" si="51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2"/>
        <v>https://d0f6bd738d7f1b3e5a7ca70fe4ff75f0.us-east-1.aws.found.io/app/kibana#/discover/Steve-Slow-Train-Analysis-(2080s-and-2083s)?_g=(refreshInterval:(display:Off,pause:!f,section:0,value:0),time:(from:'2017-03-14T21:58:17-0600',mode:absolute,to:'2017-03-15T00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5" s="187" t="str">
        <f t="shared" si="53"/>
        <v>N</v>
      </c>
      <c r="X155" s="187">
        <f t="shared" si="48"/>
        <v>1</v>
      </c>
      <c r="Y155" s="62">
        <f t="shared" si="54"/>
        <v>4.82E-2</v>
      </c>
      <c r="Z155" s="62">
        <f t="shared" si="64"/>
        <v>23.3278</v>
      </c>
      <c r="AA155" s="62">
        <f t="shared" si="56"/>
        <v>23.279599999999999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7"/>
        <v>0237-14</v>
      </c>
      <c r="AE155" s="85" t="str">
        <f t="shared" si="58"/>
        <v>aws s3 cp s3://rtdc.mdm.uploadarchive.raw/RTDC4051/ "%USERPROFILE%\AppData\Local\Temp\OnboardLogs"\RTDC4051\2017-03-14 --exclude "*" --recursive --include "*20170314*" &amp; "%USERPROFILE%\Documents\GitHub\mrs-test-scripts\Headless Mode &amp; Sideloading\WalkAndUnGZ.bat" "%USERPROFILE%\AppData\Local\Temp\OnboardLogs"\RTDC4051\2017-03-14 &amp; 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</v>
      </c>
      <c r="AF155" s="82" t="str">
        <f t="shared" si="59"/>
        <v>"C:\Program Files (x86)\AstroGrep\AstroGrep.exe" /e /r /s /spath="%USERPROFILE%\AppData\Local\Temp\OnboardLogs" /stypes="app*4051*20170315*" /stext=" 05:.+((SYSTEM_STATE.+slice.+state.+changed )|(ment ac)|(multiple cpu faults)|(system.+state.+changed )|(\[timeout)|(PRM\|1\|D)|(kpr)|(kdp)|(\|lc)|(penalty))"</v>
      </c>
      <c r="AG155" s="1" t="str">
        <f t="shared" si="60"/>
        <v>EC</v>
      </c>
      <c r="AH155" s="86" t="str">
        <f t="shared" si="61"/>
        <v>"%USERPROFILE%\Documents\GitHub\eaglep3\Utilities\RefineRTDCRunTimes.py" --tripid 237-14 --locoid 4051 --swversion DE.1.0.9.0 --startMP 204:482 --initTime 2017-03-14T22:58:17 --startdatetime 2017-03-14T22:59:33 --delay 1 --endMP 204:233278 --enddatetime 2017-03-14T23:36:36 --enforcementcount 0 &gt;&gt;C:\Users\stu\Documents\GitHub\eaglep3-reporting\EC\2017-03-14-refined-times.txt</v>
      </c>
      <c r="AI155" s="108" t="str">
        <f t="shared" si="62"/>
        <v>echo {"issue":{"subject":"","project_id":79,"tracker_id":40,"status_id":1,"priority_id":2,"assigned_to_id":23,"start_date":"2017-03-14","description":"","custom_fields":[{"id":1,"name":"Subdivision","value":"EC"},{"id":4,"name":"Milepost","value":"23.3278"},{"id":17,"name":"Train ID","value":"237-14"},{"id":16,"name":"Locomotive ID","value":"4051"},{"id":130,"name":"Impact","value":""},{"id":150,"name":"Time of Event (Mountain Time)","value":"23:36:36"},{"id":151,"name":"Denver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3"/>
        <v>start /low /b %USERPROFILE%\Documents\GitHub\eaglep3\Utilities\DownloadLogsFromS3.py --loco 4051 --day 2017-03-14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2017-03-14-UncaughtWiMAX.txt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797</v>
      </c>
      <c r="B156" s="7">
        <v>4052</v>
      </c>
      <c r="C156" s="21" t="s">
        <v>233</v>
      </c>
      <c r="D156" s="21" t="s">
        <v>483</v>
      </c>
      <c r="E156" s="13">
        <v>42808.996041666665</v>
      </c>
      <c r="F156" s="13">
        <v>42808.996747685182</v>
      </c>
      <c r="G156" s="7">
        <v>1</v>
      </c>
      <c r="H156" s="21" t="s">
        <v>202</v>
      </c>
      <c r="I156" s="13">
        <v>42809.027962962966</v>
      </c>
      <c r="J156" s="7">
        <v>0</v>
      </c>
      <c r="K156" s="98" t="str">
        <f t="shared" si="49"/>
        <v>4051/4052</v>
      </c>
      <c r="L156" s="21" t="str">
        <f>VLOOKUP(A156,'Trips&amp;Operators'!$C$1:$G$99999,5,FALSE)</f>
        <v>CHANDLER KELVIN</v>
      </c>
      <c r="M156" s="6">
        <f t="shared" si="50"/>
        <v>3.1215277784212958E-2</v>
      </c>
      <c r="N156" s="7">
        <f t="shared" si="65"/>
        <v>44.95000000926666</v>
      </c>
      <c r="O156" s="7"/>
      <c r="P156" s="7"/>
      <c r="Q156" s="22"/>
      <c r="R156" s="22"/>
      <c r="S156" s="31">
        <f t="shared" si="66"/>
        <v>1</v>
      </c>
      <c r="T156" s="46" t="str">
        <f t="shared" si="51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2"/>
        <v>https://d0f6bd738d7f1b3e5a7ca70fe4ff75f0.us-east-1.aws.found.io/app/kibana#/discover/Steve-Slow-Train-Analysis-(2080s-and-2083s)?_g=(refreshInterval:(display:Off,pause:!f,section:0,value:0),time:(from:'2017-03-14T22:54:18-0600',mode:absolute,to:'2017-03-15T01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6" s="187" t="str">
        <f t="shared" si="53"/>
        <v>N</v>
      </c>
      <c r="X156" s="187">
        <f t="shared" si="48"/>
        <v>1</v>
      </c>
      <c r="Y156" s="62">
        <f t="shared" si="54"/>
        <v>23.295999999999999</v>
      </c>
      <c r="Z156" s="62">
        <f t="shared" si="64"/>
        <v>1.5800000000000002E-2</v>
      </c>
      <c r="AA156" s="62">
        <f t="shared" si="56"/>
        <v>23.280200000000001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7"/>
        <v>0238-14</v>
      </c>
      <c r="AE156" s="85" t="str">
        <f t="shared" si="58"/>
        <v>aws s3 cp s3://rtdc.mdm.uploadarchive.raw/RTDC4052/ "%USERPROFILE%\AppData\Local\Temp\OnboardLogs"\RTDC4052\2017-03-14 --exclude "*" --recursive --include "*20170314*" &amp; "%USERPROFILE%\Documents\GitHub\mrs-test-scripts\Headless Mode &amp; Sideloading\WalkAndUnGZ.bat" "%USERPROFILE%\AppData\Local\Temp\OnboardLogs"\RTDC4052\2017-03-14 &amp; 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</v>
      </c>
      <c r="AF156" s="82" t="str">
        <f t="shared" si="59"/>
        <v>"C:\Program Files (x86)\AstroGrep\AstroGrep.exe" /e /r /s /spath="%USERPROFILE%\AppData\Local\Temp\OnboardLogs" /stypes="app*4052*20170315*" /stext=" 06:.+((SYSTEM_STATE.+slice.+state.+changed )|(ment ac)|(multiple cpu faults)|(system.+state.+changed )|(\[timeout)|(PRM\|1\|D)|(kpr)|(kdp)|(\|lc)|(penalty))"</v>
      </c>
      <c r="AG156" s="1" t="str">
        <f t="shared" si="60"/>
        <v>EC</v>
      </c>
      <c r="AH156" s="86" t="str">
        <f t="shared" si="61"/>
        <v>"%USERPROFILE%\Documents\GitHub\eaglep3\Utilities\RefineRTDCRunTimes.py" --tripid 238-14 --locoid 4052 --swversion DE.1.0.9.0 --startMP 204:232960 --initTime 2017-03-14T23:54:18 --startdatetime 2017-03-14T23:55:19 --delay 1 --endMP 204:158 --enddatetime 2017-03-15T00:40:16 --enforcementcount 0 &gt;&gt;C:\Users\stu\Documents\GitHub\eaglep3-reporting\EC\2017-03-14-refined-times.txt</v>
      </c>
      <c r="AI156" s="108" t="str">
        <f t="shared" si="62"/>
        <v>echo {"issue":{"subject":"","project_id":79,"tracker_id":40,"status_id":1,"priority_id":2,"assigned_to_id":23,"start_date":"2017-03-15","description":"","custom_fields":[{"id":1,"name":"Subdivision","value":"EC"},{"id":4,"name":"Milepost","value":"0.0158"},{"id":17,"name":"Train ID","value":"238-14"},{"id":16,"name":"Locomotive ID","value":"4052"},{"id":130,"name":"Impact","value":""},{"id":150,"name":"Time of Event (Mountain Time)","value":"00:40:16"},{"id":151,"name":"Denver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3"/>
        <v>start /low /b %USERPROFILE%\Documents\GitHub\eaglep3\Utilities\DownloadLogsFromS3.py --loco 4052 --day 2017-03-14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2017-03-14-UncaughtWiMAX.txt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795</v>
      </c>
      <c r="B157" s="7">
        <v>4027</v>
      </c>
      <c r="C157" s="21" t="s">
        <v>233</v>
      </c>
      <c r="D157" s="21" t="s">
        <v>210</v>
      </c>
      <c r="E157" s="13">
        <v>42808.962812500002</v>
      </c>
      <c r="F157" s="13">
        <v>42808.963680555556</v>
      </c>
      <c r="G157" s="7">
        <v>1</v>
      </c>
      <c r="H157" s="21" t="s">
        <v>238</v>
      </c>
      <c r="I157" s="13">
        <v>42809.00403935185</v>
      </c>
      <c r="J157" s="7">
        <v>0</v>
      </c>
      <c r="K157" s="98" t="str">
        <f t="shared" si="49"/>
        <v>4027/4028</v>
      </c>
      <c r="L157" s="21" t="str">
        <f>VLOOKUP(A157,'Trips&amp;Operators'!$C$1:$G$99999,5,FALSE)</f>
        <v>NEWELL JAMES</v>
      </c>
      <c r="M157" s="6">
        <f t="shared" si="50"/>
        <v>4.0358796293730848E-2</v>
      </c>
      <c r="N157" s="7">
        <f t="shared" si="65"/>
        <v>58.11666666297242</v>
      </c>
      <c r="O157" s="7"/>
      <c r="P157" s="7"/>
      <c r="Q157" s="22"/>
      <c r="R157" s="22"/>
      <c r="S157" s="31">
        <f t="shared" si="66"/>
        <v>1</v>
      </c>
      <c r="T157" s="46" t="str">
        <f t="shared" si="51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2"/>
        <v>https://d0f6bd738d7f1b3e5a7ca70fe4ff75f0.us-east-1.aws.found.io/app/kibana#/discover/Steve-Slow-Train-Analysis-(2080s-and-2083s)?_g=(refreshInterval:(display:Off,pause:!f,section:0,value:0),time:(from:'2017-03-14T22:06:27-0600',mode:absolute,to:'2017-03-15T01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7" s="187" t="str">
        <f t="shared" si="53"/>
        <v>N</v>
      </c>
      <c r="X157" s="187">
        <f t="shared" si="48"/>
        <v>1</v>
      </c>
      <c r="Y157" s="62">
        <f t="shared" si="54"/>
        <v>4.5699999999999998E-2</v>
      </c>
      <c r="Z157" s="62">
        <f t="shared" si="64"/>
        <v>23.329899999999999</v>
      </c>
      <c r="AA157" s="62">
        <f t="shared" si="56"/>
        <v>23.284199999999998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7"/>
        <v>0239-14</v>
      </c>
      <c r="AE157" s="85" t="str">
        <f t="shared" si="58"/>
        <v>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 &amp; 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</v>
      </c>
      <c r="AF157" s="82" t="str">
        <f t="shared" si="59"/>
        <v>"C:\Program Files (x86)\AstroGrep\AstroGrep.exe" /e /r /s /spath="%USERPROFILE%\AppData\Local\Temp\OnboardLogs" /stypes="app*4027*20170315*" /stext=" 06:.+((SYSTEM_STATE.+slice.+state.+changed )|(ment ac)|(multiple cpu faults)|(system.+state.+changed )|(\[timeout)|(PRM\|1\|D)|(kpr)|(kdp)|(\|lc)|(penalty))"</v>
      </c>
      <c r="AG157" s="1" t="str">
        <f t="shared" si="60"/>
        <v>EC</v>
      </c>
      <c r="AH157" s="86" t="str">
        <f t="shared" si="61"/>
        <v>"%USERPROFILE%\Documents\GitHub\eaglep3\Utilities\RefineRTDCRunTimes.py" --tripid 239-14 --locoid 4027 --swversion DE.1.0.9.0 --startMP 204:457 --initTime 2017-03-14T23:06:27 --startdatetime 2017-03-14T23:07:42 --delay 1 --endMP 204:233299 --enddatetime 2017-03-15T00:05:49 --enforcementcount 0 &gt;&gt;C:\Users\stu\Documents\GitHub\eaglep3-reporting\EC\2017-03-14-refined-times.txt</v>
      </c>
      <c r="AI157" s="108" t="str">
        <f t="shared" si="62"/>
        <v>echo {"issue":{"subject":"","project_id":79,"tracker_id":40,"status_id":1,"priority_id":2,"assigned_to_id":23,"start_date":"2017-03-15","description":"","custom_fields":[{"id":1,"name":"Subdivision","value":"EC"},{"id":4,"name":"Milepost","value":"23.3299"},{"id":17,"name":"Train ID","value":"239-14"},{"id":16,"name":"Locomotive ID","value":"4027"},{"id":130,"name":"Impact","value":""},{"id":150,"name":"Time of Event (Mountain Time)","value":"00:05:49"},{"id":151,"name":"Denver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3"/>
        <v>start /low /b %USERPROFILE%\Documents\GitHub\eaglep3\Utilities\DownloadLogsFromS3.py --loco 4027 --day 2017-03-14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"%USERPROFILE%\AppData\Local\Temp\OnboardLogs"\RTDC4027\*4027*20170315* | grep -SE "(Enforcement Action)|(\[TIMEOUT)|(CHR.+\|PRM\|1\|D.+(SWITCH|SIGNAL).+UNKNOWN)" - &gt;&gt; 2017-03-14-UncaughtWiMAX.txt</v>
      </c>
    </row>
    <row r="158" spans="1:91" x14ac:dyDescent="0.25">
      <c r="A158" s="33" t="s">
        <v>799</v>
      </c>
      <c r="B158" s="7">
        <v>4028</v>
      </c>
      <c r="C158" s="21" t="s">
        <v>233</v>
      </c>
      <c r="D158" s="21" t="s">
        <v>887</v>
      </c>
      <c r="E158" s="13">
        <v>42809.015752314815</v>
      </c>
      <c r="F158" s="13">
        <v>42809.018148148149</v>
      </c>
      <c r="G158" s="7">
        <v>3</v>
      </c>
      <c r="H158" s="21" t="s">
        <v>184</v>
      </c>
      <c r="I158" s="13">
        <v>42809.044641203705</v>
      </c>
      <c r="J158" s="7">
        <v>0</v>
      </c>
      <c r="K158" s="98" t="str">
        <f t="shared" si="49"/>
        <v>4027/4028</v>
      </c>
      <c r="L158" s="21" t="str">
        <f>VLOOKUP(A158,'Trips&amp;Operators'!$C$1:$G$99999,5,FALSE)</f>
        <v>NEWELL JAMES</v>
      </c>
      <c r="M158" s="6">
        <f t="shared" si="50"/>
        <v>2.6493055556784384E-2</v>
      </c>
      <c r="N158" s="7">
        <f t="shared" si="65"/>
        <v>38.150000001769513</v>
      </c>
      <c r="O158" s="7"/>
      <c r="P158" s="7"/>
      <c r="Q158" s="22"/>
      <c r="R158" s="22"/>
      <c r="S158" s="31">
        <f t="shared" si="66"/>
        <v>1</v>
      </c>
      <c r="T158" s="46" t="str">
        <f t="shared" si="51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52"/>
        <v>https://d0f6bd738d7f1b3e5a7ca70fe4ff75f0.us-east-1.aws.found.io/app/kibana#/discover/Steve-Slow-Train-Analysis-(2080s-and-2083s)?_g=(refreshInterval:(display:Off,pause:!f,section:0,value:0),time:(from:'2017-03-14T23:22:41-0600',mode:absolute,to:'2017-03-15T02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8" s="187" t="str">
        <f t="shared" si="53"/>
        <v>N</v>
      </c>
      <c r="X158" s="187">
        <f t="shared" si="48"/>
        <v>1</v>
      </c>
      <c r="Y158" s="62">
        <f t="shared" si="54"/>
        <v>23.2973</v>
      </c>
      <c r="Z158" s="62">
        <f t="shared" si="64"/>
        <v>1.49E-2</v>
      </c>
      <c r="AA158" s="62">
        <f t="shared" si="56"/>
        <v>23.282399999999999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7"/>
        <v>0240-14</v>
      </c>
      <c r="AE158" s="85" t="str">
        <f t="shared" si="58"/>
        <v>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 &amp; aws s3 cp s3://rtdc.mdm.uploadarchive.raw/RTDC4028/ "%USERPROFILE%\AppData\Local\Temp\OnboardLogs"\RTDC4028\2017-03-16 --exclude "*" --recursive --include "*20170316*" &amp; "%USERPROFILE%\Documents\GitHub\mrs-test-scripts\Headless Mode &amp; Sideloading\WalkAndUnGZ.bat" "%USERPROFILE%\AppData\Local\Temp\OnboardLogs"\RTDC4028\2017-03-16</v>
      </c>
      <c r="AF158" s="82" t="str">
        <f t="shared" si="59"/>
        <v>"C:\Program Files (x86)\AstroGrep\AstroGrep.exe" /e /r /s /spath="%USERPROFILE%\AppData\Local\Temp\OnboardLogs" /stypes="app*4028*20170315*" /stext=" 07:.+((SYSTEM_STATE.+slice.+state.+changed )|(ment ac)|(multiple cpu faults)|(system.+state.+changed )|(\[timeout)|(PRM\|1\|D)|(kpr)|(kdp)|(\|lc)|(penalty))"</v>
      </c>
      <c r="AG158" s="1" t="str">
        <f t="shared" si="60"/>
        <v>EC</v>
      </c>
      <c r="AH158" s="86" t="str">
        <f t="shared" si="61"/>
        <v>"%USERPROFILE%\Documents\GitHub\eaglep3\Utilities\RefineRTDCRunTimes.py" --tripid 240-14 --locoid 4028 --swversion DE.1.0.9.0 --startMP 204:232973 --initTime 2017-03-15T00:22:41 --startdatetime 2017-03-15T00:26:08 --delay 3 --endMP 204:149 --enddatetime 2017-03-15T01:04:17 --enforcementcount 0 &gt;&gt;C:\Users\stu\Documents\GitHub\eaglep3-reporting\EC\2017-03-14-refined-times.txt</v>
      </c>
      <c r="AI158" s="108" t="str">
        <f t="shared" si="62"/>
        <v>echo {"issue":{"subject":"","project_id":79,"tracker_id":40,"status_id":1,"priority_id":2,"assigned_to_id":23,"start_date":"2017-03-15","description":"","custom_fields":[{"id":1,"name":"Subdivision","value":"EC"},{"id":4,"name":"Milepost","value":"0.0149"},{"id":17,"name":"Train ID","value":"240-14"},{"id":16,"name":"Locomotive ID","value":"4028"},{"id":130,"name":"Impact","value":""},{"id":150,"name":"Time of Event (Mountain Time)","value":"01:04:17"},{"id":151,"name":"Denver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3"/>
        <v>start /low /b %USERPROFILE%\Documents\GitHub\eaglep3\Utilities\DownloadLogsFromS3.py --loco 4028 --day 2017-03-15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"%USERPROFILE%\AppData\Local\Temp\OnboardLogs"\RTDC4028\*4028*20170315* | grep -SE "(Enforcement Action)|(\[TIMEOUT)|(CHR.+\|PRM\|1\|D.+(SWITCH|SIGNAL).+UNKNOWN)" - &gt;&gt; 2017-03-14-UncaughtWiMAX.txt</v>
      </c>
    </row>
    <row r="159" spans="1:91" x14ac:dyDescent="0.25">
      <c r="A159" s="33" t="s">
        <v>796</v>
      </c>
      <c r="B159" s="7">
        <v>4009</v>
      </c>
      <c r="C159" s="21" t="s">
        <v>233</v>
      </c>
      <c r="D159" s="21" t="s">
        <v>888</v>
      </c>
      <c r="E159" s="13">
        <v>42808.994687500002</v>
      </c>
      <c r="F159" s="13">
        <v>42808.996053240742</v>
      </c>
      <c r="G159" s="7">
        <v>1</v>
      </c>
      <c r="H159" s="21" t="s">
        <v>519</v>
      </c>
      <c r="I159" s="13">
        <v>42809.025173611109</v>
      </c>
      <c r="J159" s="7">
        <v>0</v>
      </c>
      <c r="K159" s="98" t="str">
        <f t="shared" si="49"/>
        <v>4009/4010</v>
      </c>
      <c r="L159" s="21" t="str">
        <f>VLOOKUP(A159,'Trips&amp;Operators'!$C$1:$G$99999,5,FALSE)</f>
        <v>STORY SAMANTHA</v>
      </c>
      <c r="M159" s="6">
        <f t="shared" si="50"/>
        <v>2.9120370367309079E-2</v>
      </c>
      <c r="N159" s="7">
        <f t="shared" si="65"/>
        <v>41.933333328925073</v>
      </c>
      <c r="O159" s="7"/>
      <c r="P159" s="7"/>
      <c r="Q159" s="22"/>
      <c r="R159" s="22"/>
      <c r="S159" s="31">
        <f t="shared" si="66"/>
        <v>1</v>
      </c>
      <c r="T159" s="46" t="str">
        <f t="shared" si="51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52"/>
        <v>https://d0f6bd738d7f1b3e5a7ca70fe4ff75f0.us-east-1.aws.found.io/app/kibana#/discover/Steve-Slow-Train-Analysis-(2080s-and-2083s)?_g=(refreshInterval:(display:Off,pause:!f,section:0,value:0),time:(from:'2017-03-14T22:52:21-0600',mode:absolute,to:'2017-03-15T01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9" s="187" t="str">
        <f t="shared" si="53"/>
        <v>N</v>
      </c>
      <c r="X159" s="187">
        <f t="shared" si="48"/>
        <v>1</v>
      </c>
      <c r="Y159" s="62">
        <f t="shared" si="54"/>
        <v>6.6199999999999995E-2</v>
      </c>
      <c r="Z159" s="62">
        <f t="shared" si="64"/>
        <v>23.3353</v>
      </c>
      <c r="AA159" s="62">
        <f t="shared" si="56"/>
        <v>23.269100000000002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7"/>
        <v>0241-14</v>
      </c>
      <c r="AE159" s="85" t="str">
        <f t="shared" si="58"/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AF159" s="82" t="str">
        <f t="shared" si="59"/>
        <v>"C:\Program Files (x86)\AstroGrep\AstroGrep.exe" /e /r /s /spath="%USERPROFILE%\AppData\Local\Temp\OnboardLogs" /stypes="app*4009*20170315*" /stext=" 06:.+((SYSTEM_STATE.+slice.+state.+changed )|(ment ac)|(multiple cpu faults)|(system.+state.+changed )|(\[timeout)|(PRM\|1\|D)|(kpr)|(kdp)|(\|lc)|(penalty))"</v>
      </c>
      <c r="AG159" s="1" t="str">
        <f t="shared" si="60"/>
        <v>EC</v>
      </c>
      <c r="AH159" s="86" t="str">
        <f t="shared" si="61"/>
        <v>"%USERPROFILE%\Documents\GitHub\eaglep3\Utilities\RefineRTDCRunTimes.py" --tripid 241-14 --locoid 4009 --swversion DE.1.0.9.0 --startMP 204:662 --initTime 2017-03-14T23:52:21 --startdatetime 2017-03-14T23:54:19 --delay 1 --endMP 204:233353 --enddatetime 2017-03-15T00:36:15 --enforcementcount 0 &gt;&gt;C:\Users\stu\Documents\GitHub\eaglep3-reporting\EC\2017-03-14-refined-times.txt</v>
      </c>
      <c r="AI159" s="108" t="str">
        <f t="shared" si="62"/>
        <v>echo {"issue":{"subject":"","project_id":79,"tracker_id":40,"status_id":1,"priority_id":2,"assigned_to_id":23,"start_date":"2017-03-15","description":"","custom_fields":[{"id":1,"name":"Subdivision","value":"EC"},{"id":4,"name":"Milepost","value":"23.3353"},{"id":17,"name":"Train ID","value":"241-14"},{"id":16,"name":"Locomotive ID","value":"4009"},{"id":130,"name":"Impact","value":""},{"id":150,"name":"Time of Event (Mountain Time)","value":"00:36:15"},{"id":151,"name":"Denver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3"/>
        <v>start /low /b %USERPROFILE%\Documents\GitHub\eaglep3\Utilities\DownloadLogsFromS3.py --loco 4009 --day 2017-03-14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"%USERPROFILE%\AppData\Local\Temp\OnboardLogs"\RTDC4009\*4009*20170315* | grep -SE "(Enforcement Action)|(\[TIMEOUT)|(CHR.+\|PRM\|1\|D.+(SWITCH|SIGNAL).+UNKNOWN)" - &gt;&gt; 2017-03-14-UncaughtWiMAX.txt</v>
      </c>
    </row>
    <row r="160" spans="1:91" x14ac:dyDescent="0.25">
      <c r="A160" s="33" t="s">
        <v>800</v>
      </c>
      <c r="B160" s="7">
        <v>4010</v>
      </c>
      <c r="C160" s="21" t="s">
        <v>233</v>
      </c>
      <c r="D160" s="21" t="s">
        <v>889</v>
      </c>
      <c r="E160" s="13">
        <v>42809.028923611113</v>
      </c>
      <c r="F160" s="13">
        <v>42809.032129629632</v>
      </c>
      <c r="G160" s="7">
        <v>4</v>
      </c>
      <c r="H160" s="21" t="s">
        <v>890</v>
      </c>
      <c r="I160" s="13">
        <v>42809.065706018519</v>
      </c>
      <c r="J160" s="7">
        <v>0</v>
      </c>
      <c r="K160" s="98" t="str">
        <f t="shared" si="49"/>
        <v>4009/4010</v>
      </c>
      <c r="L160" s="21" t="str">
        <f>VLOOKUP(A160,'Trips&amp;Operators'!$C$1:$G$99999,5,FALSE)</f>
        <v>STORY SAMANTHA</v>
      </c>
      <c r="M160" s="6">
        <f t="shared" si="50"/>
        <v>3.3576388887013309E-2</v>
      </c>
      <c r="N160" s="7">
        <f t="shared" si="65"/>
        <v>48.349999997299165</v>
      </c>
      <c r="O160" s="7"/>
      <c r="P160" s="7"/>
      <c r="Q160" s="22"/>
      <c r="R160" s="22"/>
      <c r="S160" s="31">
        <f t="shared" si="66"/>
        <v>1</v>
      </c>
      <c r="T160" s="46" t="str">
        <f t="shared" si="51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6" t="str">
        <f t="shared" si="52"/>
        <v>https://d0f6bd738d7f1b3e5a7ca70fe4ff75f0.us-east-1.aws.found.io/app/kibana#/discover/Steve-Slow-Train-Analysis-(2080s-and-2083s)?_g=(refreshInterval:(display:Off,pause:!f,section:0,value:0),time:(from:'2017-03-14T23:41:39-0600',mode:absolute,to:'2017-03-15T02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0" s="187" t="str">
        <f t="shared" si="53"/>
        <v>N</v>
      </c>
      <c r="X160" s="187">
        <f t="shared" si="48"/>
        <v>1</v>
      </c>
      <c r="Y160" s="62">
        <f t="shared" si="54"/>
        <v>23.303599999999999</v>
      </c>
      <c r="Z160" s="62">
        <f t="shared" si="64"/>
        <v>1.67E-2</v>
      </c>
      <c r="AA160" s="62">
        <f t="shared" si="56"/>
        <v>23.286899999999999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7"/>
        <v>0242-14</v>
      </c>
      <c r="AE160" s="85" t="str">
        <f t="shared" si="58"/>
        <v>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 &amp; aws s3 cp s3://rtdc.mdm.uploadarchive.raw/RTDC4010/ "%USERPROFILE%\AppData\Local\Temp\OnboardLogs"\RTDC4010\2017-03-16 --exclude "*" --recursive --include "*20170316*" &amp; "%USERPROFILE%\Documents\GitHub\mrs-test-scripts\Headless Mode &amp; Sideloading\WalkAndUnGZ.bat" "%USERPROFILE%\AppData\Local\Temp\OnboardLogs"\RTDC4010\2017-03-16</v>
      </c>
      <c r="AF160" s="82" t="str">
        <f t="shared" si="59"/>
        <v>"C:\Program Files (x86)\AstroGrep\AstroGrep.exe" /e /r /s /spath="%USERPROFILE%\AppData\Local\Temp\OnboardLogs" /stypes="app*4010*20170315*" /stext=" 07:.+((SYSTEM_STATE.+slice.+state.+changed )|(ment ac)|(multiple cpu faults)|(system.+state.+changed )|(\[timeout)|(PRM\|1\|D)|(kpr)|(kdp)|(\|lc)|(penalty))"</v>
      </c>
      <c r="AG160" s="1" t="str">
        <f t="shared" si="60"/>
        <v>EC</v>
      </c>
      <c r="AH160" s="86" t="str">
        <f t="shared" si="61"/>
        <v>"%USERPROFILE%\Documents\GitHub\eaglep3\Utilities\RefineRTDCRunTimes.py" --tripid 242-14 --locoid 4010 --swversion DE.1.0.9.0 --startMP 204:233036 --initTime 2017-03-15T00:41:39 --startdatetime 2017-03-15T00:46:16 --delay 4 --endMP 204:167 --enddatetime 2017-03-15T01:34:37 --enforcementcount 0 &gt;&gt;C:\Users\stu\Documents\GitHub\eaglep3-reporting\EC\2017-03-14-refined-times.txt</v>
      </c>
      <c r="AI160" s="108" t="str">
        <f t="shared" si="62"/>
        <v>echo {"issue":{"subject":"","project_id":79,"tracker_id":40,"status_id":1,"priority_id":2,"assigned_to_id":23,"start_date":"2017-03-15","description":"","custom_fields":[{"id":1,"name":"Subdivision","value":"EC"},{"id":4,"name":"Milepost","value":"0.0167"},{"id":17,"name":"Train ID","value":"242-14"},{"id":16,"name":"Locomotive ID","value":"4010"},{"id":130,"name":"Impact","value":""},{"id":150,"name":"Time of Event (Mountain Time)","value":"01:34:37"},{"id":151,"name":"Denver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3"/>
        <v>start /low /b %USERPROFILE%\Documents\GitHub\eaglep3\Utilities\DownloadLogsFromS3.py --loco 4010 --day 2017-03-15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"%USERPROFILE%\AppData\Local\Temp\OnboardLogs"\RTDC4010\*4010*20170315* | grep -SE "(Enforcement Action)|(\[TIMEOUT)|(CHR.+\|PRM\|1\|D.+(SWITCH|SIGNAL).+UNKNOWN)" - &gt;&gt; 2017-03-14-UncaughtWiMAX.txt</v>
      </c>
    </row>
    <row r="161" spans="1:91" x14ac:dyDescent="0.25">
      <c r="A161" s="33" t="s">
        <v>798</v>
      </c>
      <c r="B161" s="7">
        <v>4031</v>
      </c>
      <c r="C161" s="21" t="s">
        <v>233</v>
      </c>
      <c r="D161" s="21" t="s">
        <v>249</v>
      </c>
      <c r="E161" s="13">
        <v>42809.008576388886</v>
      </c>
      <c r="F161" s="13">
        <v>42809.009872685187</v>
      </c>
      <c r="G161" s="7">
        <v>1</v>
      </c>
      <c r="H161" s="21" t="s">
        <v>891</v>
      </c>
      <c r="I161" s="13">
        <v>42809.045648148145</v>
      </c>
      <c r="J161" s="7">
        <v>0</v>
      </c>
      <c r="K161" s="98" t="str">
        <f t="shared" si="49"/>
        <v>4031/4032</v>
      </c>
      <c r="L161" s="21" t="str">
        <f>VLOOKUP(A161,'Trips&amp;Operators'!$C$1:$G$99999,5,FALSE)</f>
        <v>STAMBAUGH JAMES</v>
      </c>
      <c r="M161" s="6">
        <f t="shared" si="50"/>
        <v>3.5775462958554272E-2</v>
      </c>
      <c r="N161" s="7">
        <f t="shared" si="65"/>
        <v>51.516666660318151</v>
      </c>
      <c r="O161" s="7"/>
      <c r="P161" s="7"/>
      <c r="Q161" s="22"/>
      <c r="R161" s="22"/>
      <c r="S161" s="31">
        <f t="shared" si="66"/>
        <v>1</v>
      </c>
      <c r="T161" s="46" t="str">
        <f t="shared" si="51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86" t="str">
        <f t="shared" si="52"/>
        <v>https://d0f6bd738d7f1b3e5a7ca70fe4ff75f0.us-east-1.aws.found.io/app/kibana#/discover/Steve-Slow-Train-Analysis-(2080s-and-2083s)?_g=(refreshInterval:(display:Off,pause:!f,section:0,value:0),time:(from:'2017-03-14T23:12:21-0600',mode:absolute,to:'2017-03-15T02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1" s="187" t="str">
        <f t="shared" si="53"/>
        <v>N</v>
      </c>
      <c r="X161" s="187">
        <f t="shared" si="48"/>
        <v>1</v>
      </c>
      <c r="Y161" s="62">
        <f t="shared" si="54"/>
        <v>4.4900000000000002E-2</v>
      </c>
      <c r="Z161" s="62">
        <f t="shared" si="64"/>
        <v>23.337</v>
      </c>
      <c r="AA161" s="62">
        <f t="shared" si="56"/>
        <v>23.292100000000001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7"/>
        <v>0243-14</v>
      </c>
      <c r="AE161" s="85" t="str">
        <f t="shared" si="58"/>
        <v>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 &amp; 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</v>
      </c>
      <c r="AF161" s="82" t="str">
        <f t="shared" si="59"/>
        <v>"C:\Program Files (x86)\AstroGrep\AstroGrep.exe" /e /r /s /spath="%USERPROFILE%\AppData\Local\Temp\OnboardLogs" /stypes="app*4031*20170315*" /stext=" 07:.+((SYSTEM_STATE.+slice.+state.+changed )|(ment ac)|(multiple cpu faults)|(system.+state.+changed )|(\[timeout)|(PRM\|1\|D)|(kpr)|(kdp)|(\|lc)|(penalty))"</v>
      </c>
      <c r="AG161" s="1" t="str">
        <f t="shared" si="60"/>
        <v>EC</v>
      </c>
      <c r="AH161" s="86" t="str">
        <f t="shared" si="61"/>
        <v>"%USERPROFILE%\Documents\GitHub\eaglep3\Utilities\RefineRTDCRunTimes.py" --tripid 243-14 --locoid 4031 --swversion DE.1.0.9.0 --startMP 204:449 --initTime 2017-03-15T00:12:21 --startdatetime 2017-03-15T00:14:13 --delay 1 --endMP 204:233370 --enddatetime 2017-03-15T01:05:44 --enforcementcount 0 &gt;&gt;C:\Users\stu\Documents\GitHub\eaglep3-reporting\EC\2017-03-14-refined-times.txt</v>
      </c>
      <c r="AI161" s="108" t="str">
        <f t="shared" si="62"/>
        <v>echo {"issue":{"subject":"","project_id":79,"tracker_id":40,"status_id":1,"priority_id":2,"assigned_to_id":23,"start_date":"2017-03-15","description":"","custom_fields":[{"id":1,"name":"Subdivision","value":"EC"},{"id":4,"name":"Milepost","value":"23.337"},{"id":17,"name":"Train ID","value":"243-14"},{"id":16,"name":"Locomotive ID","value":"4031"},{"id":130,"name":"Impact","value":""},{"id":150,"name":"Time of Event (Mountain Time)","value":"01:05:44"},{"id":151,"name":"Denver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3"/>
        <v>start /low /b %USERPROFILE%\Documents\GitHub\eaglep3\Utilities\DownloadLogsFromS3.py --loco 4031 --day 2017-03-15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"%USERPROFILE%\AppData\Local\Temp\OnboardLogs"\RTDC4031\*4031*20170315* | grep -SE "(Enforcement Action)|(\[TIMEOUT)|(CHR.+\|PRM\|1\|D.+(SWITCH|SIGNAL).+UNKNOWN)" - &gt;&gt; 2017-03-14-UncaughtWiMAX.txt</v>
      </c>
    </row>
    <row r="162" spans="1:91" x14ac:dyDescent="0.25">
      <c r="A162" s="33" t="s">
        <v>599</v>
      </c>
      <c r="B162" s="7">
        <v>4032</v>
      </c>
      <c r="C162" s="21" t="s">
        <v>233</v>
      </c>
      <c r="D162" s="21" t="s">
        <v>892</v>
      </c>
      <c r="E162" s="13">
        <v>42809.057372685187</v>
      </c>
      <c r="F162" s="13">
        <v>42809.058344907404</v>
      </c>
      <c r="G162" s="7">
        <v>1</v>
      </c>
      <c r="H162" s="21" t="s">
        <v>537</v>
      </c>
      <c r="I162" s="13">
        <v>42809.087268518517</v>
      </c>
      <c r="J162" s="7">
        <v>0</v>
      </c>
      <c r="K162" s="98" t="str">
        <f t="shared" si="49"/>
        <v>4031/4032</v>
      </c>
      <c r="L162" s="21" t="str">
        <f>VLOOKUP(A162,'Trips&amp;Operators'!$C$1:$G$99999,5,FALSE)</f>
        <v>STAMBAUGH JAMES</v>
      </c>
      <c r="M162" s="6">
        <f t="shared" si="50"/>
        <v>2.8923611112986691E-2</v>
      </c>
      <c r="N162" s="7">
        <f t="shared" si="65"/>
        <v>41.650000002700835</v>
      </c>
      <c r="O162" s="7"/>
      <c r="P162" s="7"/>
      <c r="Q162" s="22"/>
      <c r="R162" s="22"/>
      <c r="S162" s="31">
        <f t="shared" si="66"/>
        <v>1</v>
      </c>
      <c r="T162" s="46" t="str">
        <f t="shared" si="51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86" t="str">
        <f t="shared" si="52"/>
        <v>https://d0f6bd738d7f1b3e5a7ca70fe4ff75f0.us-east-1.aws.found.io/app/kibana#/discover/Steve-Slow-Train-Analysis-(2080s-and-2083s)?_g=(refreshInterval:(display:Off,pause:!f,section:0,value:0),time:(from:'2017-03-15T00:22:37-0600',mode:absolute,to:'2017-03-15T03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187" t="str">
        <f t="shared" si="53"/>
        <v>N</v>
      </c>
      <c r="X162" s="187">
        <f t="shared" si="48"/>
        <v>1</v>
      </c>
      <c r="Y162" s="62">
        <f t="shared" si="54"/>
        <v>23.307200000000002</v>
      </c>
      <c r="Z162" s="62">
        <f t="shared" si="64"/>
        <v>1.83E-2</v>
      </c>
      <c r="AA162" s="62">
        <f t="shared" si="56"/>
        <v>23.288900000000002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7"/>
        <v>0244-14</v>
      </c>
      <c r="AE162" s="85" t="str">
        <f t="shared" si="58"/>
        <v>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 &amp; aws s3 cp s3://rtdc.mdm.uploadarchive.raw/RTDC4032/ "%USERPROFILE%\AppData\Local\Temp\OnboardLogs"\RTDC4032\2017-03-16 --exclude "*" --recursive --include "*20170316*" &amp; "%USERPROFILE%\Documents\GitHub\mrs-test-scripts\Headless Mode &amp; Sideloading\WalkAndUnGZ.bat" "%USERPROFILE%\AppData\Local\Temp\OnboardLogs"\RTDC4032\2017-03-16</v>
      </c>
      <c r="AF162" s="82" t="str">
        <f t="shared" si="59"/>
        <v>"C:\Program Files (x86)\AstroGrep\AstroGrep.exe" /e /r /s /spath="%USERPROFILE%\AppData\Local\Temp\OnboardLogs" /stypes="app*4032*20170315*" /stext=" 08:.+((SYSTEM_STATE.+slice.+state.+changed )|(ment ac)|(multiple cpu faults)|(system.+state.+changed )|(\[timeout)|(PRM\|1\|D)|(kpr)|(kdp)|(\|lc)|(penalty))"</v>
      </c>
      <c r="AG162" s="1" t="str">
        <f t="shared" si="60"/>
        <v>EC</v>
      </c>
      <c r="AH162" s="86" t="str">
        <f t="shared" si="61"/>
        <v>"%USERPROFILE%\Documents\GitHub\eaglep3\Utilities\RefineRTDCRunTimes.py" --tripid 244-14 --locoid 4032 --swversion DE.1.0.9.0 --startMP 204:233072 --initTime 2017-03-15T01:22:37 --startdatetime 2017-03-15T01:24:01 --delay 1 --endMP 204:183 --enddatetime 2017-03-15T02:05:40 --enforcementcount 0 &gt;&gt;C:\Users\stu\Documents\GitHub\eaglep3-reporting\EC\2017-03-14-refined-times.txt</v>
      </c>
      <c r="AI162" s="108" t="str">
        <f t="shared" si="62"/>
        <v>echo {"issue":{"subject":"","project_id":79,"tracker_id":40,"status_id":1,"priority_id":2,"assigned_to_id":23,"start_date":"2017-03-15","description":"","custom_fields":[{"id":1,"name":"Subdivision","value":"EC"},{"id":4,"name":"Milepost","value":"0.0183"},{"id":17,"name":"Train ID","value":"244-14"},{"id":16,"name":"Locomotive ID","value":"4032"},{"id":130,"name":"Impact","value":""},{"id":150,"name":"Time of Event (Mountain Time)","value":"02:05:40"},{"id":151,"name":"Denver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3"/>
        <v>start /low /b %USERPROFILE%\Documents\GitHub\eaglep3\Utilities\DownloadLogsFromS3.py --loco 4032 --day 2017-03-15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"%USERPROFILE%\AppData\Local\Temp\OnboardLogs"\RTDC4032\*4032*20170315* | grep -SE "(Enforcement Action)|(\[TIMEOUT)|(CHR.+\|PRM\|1\|D.+(SWITCH|SIGNAL).+UNKNOWN)" - &gt;&gt; 2017-03-14-UncaughtWiMAX.txt</v>
      </c>
    </row>
    <row r="163" spans="1:91" x14ac:dyDescent="0.25">
      <c r="A163" s="33" t="s">
        <v>620</v>
      </c>
      <c r="B163" s="7">
        <v>4023</v>
      </c>
      <c r="C163" s="21" t="s">
        <v>233</v>
      </c>
      <c r="D163" s="21" t="s">
        <v>947</v>
      </c>
      <c r="E163" s="13">
        <v>42808.213761574072</v>
      </c>
      <c r="F163" s="13">
        <v>42808.21471064815</v>
      </c>
      <c r="G163" s="7">
        <v>1</v>
      </c>
      <c r="H163" s="21" t="s">
        <v>948</v>
      </c>
      <c r="I163" s="13">
        <v>42808.225300925929</v>
      </c>
      <c r="J163" s="7">
        <v>0</v>
      </c>
      <c r="K163" s="98" t="str">
        <f t="shared" si="49"/>
        <v>4023/4024</v>
      </c>
      <c r="L163" s="21" t="str">
        <f>VLOOKUP(A163,'Trips&amp;Operators'!$C$1:$G$99999,5,FALSE)</f>
        <v>YORK EDGAR</v>
      </c>
      <c r="M163" s="6">
        <f t="shared" si="50"/>
        <v>1.0590277779556345E-2</v>
      </c>
      <c r="N163" s="7">
        <f t="shared" si="65"/>
        <v>15.250000002561137</v>
      </c>
      <c r="O163" s="7"/>
      <c r="P163" s="7"/>
      <c r="Q163" s="22"/>
      <c r="R163" s="22"/>
      <c r="S163" s="31">
        <f t="shared" si="66"/>
        <v>1</v>
      </c>
      <c r="T163" s="46" t="str">
        <f t="shared" si="51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2"/>
        <v>https://d0f6bd738d7f1b3e5a7ca70fe4ff75f0.us-east-1.aws.found.io/app/kibana#/discover/Steve-Slow-Train-Analysis-(2080s-and-2083s)?_g=(refreshInterval:(display:Off,pause:!f,section:0,value:0),time:(from:'2017-03-14T04:07:49-0600',mode:absolute,to:'2017-03-14T06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3" s="187" t="str">
        <f t="shared" si="53"/>
        <v>N</v>
      </c>
      <c r="X163" s="187">
        <f t="shared" si="48"/>
        <v>556</v>
      </c>
      <c r="Y163" s="62">
        <f t="shared" si="54"/>
        <v>5.8620999999999999</v>
      </c>
      <c r="Z163" s="62">
        <f t="shared" si="64"/>
        <v>7.5399999999999995E-2</v>
      </c>
      <c r="AA163" s="62">
        <f t="shared" si="56"/>
        <v>5.7866999999999997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7"/>
        <v>0800-14</v>
      </c>
      <c r="AE163" s="85" t="str">
        <f t="shared" si="58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163" s="82" t="str">
        <f t="shared" si="59"/>
        <v>"C:\Program Files (x86)\AstroGrep\AstroGrep.exe" /e /r /s /spath="%USERPROFILE%\AppData\Local\Temp\OnboardLogs" /stypes="app*4023*20170314*" /stext=" 11:.+((SYSTEM_STATE.+slice.+state.+changed )|(ment ac)|(multiple cpu faults)|(system.+state.+changed )|(\[timeout)|(PRM\|1\|D)|(kpr)|(kdp)|(\|lc)|(penalty))"</v>
      </c>
      <c r="AG163" s="1" t="str">
        <f t="shared" si="60"/>
        <v>NW</v>
      </c>
      <c r="AH163" s="86" t="str">
        <f t="shared" si="61"/>
        <v>"%USERPROFILE%\Documents\GitHub\eaglep3\Utilities\RefineRTDCRunTimes.py" --tripid 800-14 --locoid 4023 --swversion DE.1.0.9.0 --startMP 300:58621 --initTime 2017-03-14T05:07:49 --startdatetime 2017-03-14T05:09:11 --delay 1 --endMP 204:754 --enddatetime 2017-03-14T05:24:26 --enforcementcount 0 &gt;&gt;C:\Users\stu\Documents\GitHub\eaglep3-reporting\EC\2017-03-14-refined-times.txt</v>
      </c>
      <c r="AI163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{"issue":{"subject":"","project_id":79,"tracker_id":40,"status_id":1,"priority_id":2,"assigned_to_id":23,"start_date":"2017-03-14","description":"","custom_fields":[{"id":1,"name":"Subdivision","value":"NW"},{"id":4,"name":"Milepost","value":"0.0754"},{"id":17,"name":"Train ID","value":"800-14"},{"id":16,"name":"Locomotive ID","value":"4023"},{"id":130,"name":"Impact","value":""},{"id":150,"name":"Time of Event (Mountain Time)","value":"05:24:26"},{"id":151,"name":"Denver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3"/>
        <v>start /low /b %USERPROFILE%\Documents\GitHub\eaglep3\Utilities\DownloadLogsFromS3.py --loco 4023 --day 2017-03-14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164" spans="1:91" x14ac:dyDescent="0.25">
      <c r="A164" s="33" t="s">
        <v>623</v>
      </c>
      <c r="B164" s="7">
        <v>4024</v>
      </c>
      <c r="C164" s="21" t="s">
        <v>233</v>
      </c>
      <c r="D164" s="21" t="s">
        <v>949</v>
      </c>
      <c r="E164" s="13">
        <v>42808.228437500002</v>
      </c>
      <c r="F164" s="13">
        <v>42808.229108796295</v>
      </c>
      <c r="G164" s="7">
        <v>0</v>
      </c>
      <c r="H164" s="21" t="s">
        <v>491</v>
      </c>
      <c r="I164" s="13">
        <v>42808.253680555557</v>
      </c>
      <c r="J164" s="7">
        <v>0</v>
      </c>
      <c r="K164" s="98" t="str">
        <f t="shared" si="49"/>
        <v>4023/4024</v>
      </c>
      <c r="L164" s="21" t="str">
        <f>VLOOKUP(A164,'Trips&amp;Operators'!$C$1:$G$99999,5,FALSE)</f>
        <v>YORK EDGAR</v>
      </c>
      <c r="M164" s="6">
        <f t="shared" si="50"/>
        <v>2.457175926247146E-2</v>
      </c>
      <c r="N164" s="7">
        <f t="shared" si="65"/>
        <v>35.383333337958902</v>
      </c>
      <c r="O164" s="7"/>
      <c r="P164" s="7"/>
      <c r="Q164" s="22"/>
      <c r="R164" s="22"/>
      <c r="S164" s="31">
        <f t="shared" si="66"/>
        <v>1</v>
      </c>
      <c r="T164" s="46" t="str">
        <f t="shared" si="51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2"/>
        <v>https://d0f6bd738d7f1b3e5a7ca70fe4ff75f0.us-east-1.aws.found.io/app/kibana#/discover/Steve-Slow-Train-Analysis-(2080s-and-2083s)?_g=(refreshInterval:(display:Off,pause:!f,section:0,value:0),time:(from:'2017-03-14T04:28:57-0600',mode:absolute,to:'2017-03-14T07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4" s="187" t="str">
        <f t="shared" si="53"/>
        <v>N</v>
      </c>
      <c r="X164" s="187">
        <f t="shared" si="48"/>
        <v>1</v>
      </c>
      <c r="Y164" s="62">
        <f t="shared" si="54"/>
        <v>0.1032</v>
      </c>
      <c r="Z164" s="62">
        <f t="shared" si="64"/>
        <v>5.8939000000000004</v>
      </c>
      <c r="AA164" s="62">
        <f t="shared" si="56"/>
        <v>5.7907000000000002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7"/>
        <v>0801-14</v>
      </c>
      <c r="AE164" s="85" t="str">
        <f t="shared" si="58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164" s="82" t="str">
        <f t="shared" si="59"/>
        <v>"C:\Program Files (x86)\AstroGrep\AstroGrep.exe" /e /r /s /spath="%USERPROFILE%\AppData\Local\Temp\OnboardLogs" /stypes="app*4024*20170314*" /stext=" 12:.+((SYSTEM_STATE.+slice.+state.+changed )|(ment ac)|(multiple cpu faults)|(system.+state.+changed )|(\[timeout)|(PRM\|1\|D)|(kpr)|(kdp)|(\|lc)|(penalty))"</v>
      </c>
      <c r="AG164" s="1" t="str">
        <f t="shared" si="60"/>
        <v>NW</v>
      </c>
      <c r="AH164" s="86" t="str">
        <f t="shared" si="61"/>
        <v>"%USERPROFILE%\Documents\GitHub\eaglep3\Utilities\RefineRTDCRunTimes.py" --tripid 801-14 --locoid 4024 --swversion DE.1.0.9.0 --startMP 204:1032 --initTime 2017-03-14T05:28:57 --startdatetime 2017-03-14T05:29:55 --delay 0 --endMP 300:58939 --enddatetime 2017-03-14T06:05:18 --enforcementcount 0 &gt;&gt;C:\Users\stu\Documents\GitHub\eaglep3-reporting\EC\2017-03-14-refined-times.txt</v>
      </c>
      <c r="AI164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{"issue":{"subject":"","project_id":79,"tracker_id":40,"status_id":1,"priority_id":2,"assigned_to_id":23,"start_date":"2017-03-14","description":"","custom_fields":[{"id":1,"name":"Subdivision","value":"NW"},{"id":4,"name":"Milepost","value":"5.8939"},{"id":17,"name":"Train ID","value":"801-14"},{"id":16,"name":"Locomotive ID","value":"4024"},{"id":130,"name":"Impact","value":""},{"id":150,"name":"Time of Event (Mountain Time)","value":"06:05:18"},{"id":151,"name":"Denver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3"/>
        <v>start /low /b %USERPROFILE%\Documents\GitHub\eaglep3\Utilities\DownloadLogsFromS3.py --loco 4024 --day 2017-03-14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165" spans="1:91" s="20" customFormat="1" x14ac:dyDescent="0.25">
      <c r="A165" s="33" t="s">
        <v>629</v>
      </c>
      <c r="B165" s="7">
        <v>4023</v>
      </c>
      <c r="C165" s="21" t="s">
        <v>233</v>
      </c>
      <c r="D165" s="21" t="s">
        <v>554</v>
      </c>
      <c r="E165" s="13">
        <v>42808.25503472222</v>
      </c>
      <c r="F165" s="13">
        <v>42808.255833333336</v>
      </c>
      <c r="G165" s="7">
        <v>1</v>
      </c>
      <c r="H165" s="21" t="s">
        <v>950</v>
      </c>
      <c r="I165" s="13">
        <v>42808.267488425925</v>
      </c>
      <c r="J165" s="7">
        <v>0</v>
      </c>
      <c r="K165" s="98" t="str">
        <f t="shared" si="49"/>
        <v>4023/4024</v>
      </c>
      <c r="L165" s="21" t="str">
        <f>VLOOKUP(A165,'Trips&amp;Operators'!$C$1:$G$99999,5,FALSE)</f>
        <v>YORK EDGAR</v>
      </c>
      <c r="M165" s="6">
        <f t="shared" si="50"/>
        <v>1.1655092588625848E-2</v>
      </c>
      <c r="N165" s="7">
        <f t="shared" si="65"/>
        <v>16.783333327621222</v>
      </c>
      <c r="O165" s="7"/>
      <c r="P165" s="7"/>
      <c r="Q165" s="22"/>
      <c r="R165" s="22"/>
      <c r="S165" s="31">
        <f t="shared" si="66"/>
        <v>1</v>
      </c>
      <c r="T165" s="46" t="str">
        <f t="shared" si="51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2"/>
        <v>https://d0f6bd738d7f1b3e5a7ca70fe4ff75f0.us-east-1.aws.found.io/app/kibana#/discover/Steve-Slow-Train-Analysis-(2080s-and-2083s)?_g=(refreshInterval:(display:Off,pause:!f,section:0,value:0),time:(from:'2017-03-14T05:07:15-0600',mode:absolute,to:'2017-03-14T07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5" s="187" t="str">
        <f t="shared" si="53"/>
        <v>N</v>
      </c>
      <c r="X165" s="187">
        <f t="shared" si="48"/>
        <v>1</v>
      </c>
      <c r="Y165" s="62">
        <f t="shared" si="54"/>
        <v>5.8615000000000004</v>
      </c>
      <c r="Z165" s="62">
        <f t="shared" si="64"/>
        <v>7.6100000000000001E-2</v>
      </c>
      <c r="AA165" s="62">
        <f t="shared" si="56"/>
        <v>5.7854000000000001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7"/>
        <v>0802-14</v>
      </c>
      <c r="AE165" s="85" t="str">
        <f t="shared" si="58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165" s="82" t="str">
        <f t="shared" si="59"/>
        <v>"C:\Program Files (x86)\AstroGrep\AstroGrep.exe" /e /r /s /spath="%USERPROFILE%\AppData\Local\Temp\OnboardLogs" /stypes="app*4023*20170314*" /stext=" 12:.+((SYSTEM_STATE.+slice.+state.+changed )|(ment ac)|(multiple cpu faults)|(system.+state.+changed )|(\[timeout)|(PRM\|1\|D)|(kpr)|(kdp)|(\|lc)|(penalty))"</v>
      </c>
      <c r="AG165" s="1" t="str">
        <f t="shared" si="60"/>
        <v>NW</v>
      </c>
      <c r="AH165" s="86" t="str">
        <f t="shared" si="61"/>
        <v>"%USERPROFILE%\Documents\GitHub\eaglep3\Utilities\RefineRTDCRunTimes.py" --tripid 802-14 --locoid 4023 --swversion DE.1.0.9.0 --startMP 300:58615 --initTime 2017-03-14T06:07:15 --startdatetime 2017-03-14T06:08:24 --delay 1 --endMP 204:761 --enddatetime 2017-03-14T06:25:11 --enforcementcount 0 &gt;&gt;C:\Users\stu\Documents\GitHub\eaglep3-reporting\EC\2017-03-14-refined-times.txt</v>
      </c>
      <c r="AI165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{"issue":{"subject":"","project_id":79,"tracker_id":40,"status_id":1,"priority_id":2,"assigned_to_id":23,"start_date":"2017-03-14","description":"","custom_fields":[{"id":1,"name":"Subdivision","value":"NW"},{"id":4,"name":"Milepost","value":"0.0761"},{"id":17,"name":"Train ID","value":"802-14"},{"id":16,"name":"Locomotive ID","value":"4023"},{"id":130,"name":"Impact","value":""},{"id":150,"name":"Time of Event (Mountain Time)","value":"06:25:11"},{"id":151,"name":"Denver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3"/>
        <v>start /low /b %USERPROFILE%\Documents\GitHub\eaglep3\Utilities\DownloadLogsFromS3.py --loco 4023 --day 2017-03-14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631</v>
      </c>
      <c r="B166" s="7">
        <v>4011</v>
      </c>
      <c r="C166" s="21" t="s">
        <v>233</v>
      </c>
      <c r="D166" s="21" t="s">
        <v>951</v>
      </c>
      <c r="E166" s="13">
        <v>42808.257291666669</v>
      </c>
      <c r="F166" s="13">
        <v>42808.258402777778</v>
      </c>
      <c r="G166" s="7">
        <v>1</v>
      </c>
      <c r="H166" s="21" t="s">
        <v>550</v>
      </c>
      <c r="I166" s="13">
        <v>42808.274097222224</v>
      </c>
      <c r="J166" s="7">
        <v>0</v>
      </c>
      <c r="K166" s="98" t="str">
        <f t="shared" si="49"/>
        <v>4011/4012</v>
      </c>
      <c r="L166" s="21" t="str">
        <f>VLOOKUP(A166,'Trips&amp;Operators'!$C$1:$G$99999,5,FALSE)</f>
        <v>BROWN JACOB</v>
      </c>
      <c r="M166" s="6">
        <f t="shared" si="50"/>
        <v>1.5694444446125999E-2</v>
      </c>
      <c r="N166" s="7">
        <f t="shared" si="65"/>
        <v>22.600000002421439</v>
      </c>
      <c r="O166" s="7"/>
      <c r="P166" s="7"/>
      <c r="Q166" s="22"/>
      <c r="R166" s="22"/>
      <c r="S166" s="31">
        <f t="shared" si="66"/>
        <v>1</v>
      </c>
      <c r="T166" s="46" t="str">
        <f t="shared" si="51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2"/>
        <v>https://d0f6bd738d7f1b3e5a7ca70fe4ff75f0.us-east-1.aws.found.io/app/kibana#/discover/Steve-Slow-Train-Analysis-(2080s-and-2083s)?_g=(refreshInterval:(display:Off,pause:!f,section:0,value:0),time:(from:'2017-03-14T05:10:30-0600',mode:absolute,to:'2017-03-14T07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6" s="187" t="str">
        <f t="shared" si="53"/>
        <v>N</v>
      </c>
      <c r="X166" s="187">
        <f t="shared" si="48"/>
        <v>1</v>
      </c>
      <c r="Y166" s="62">
        <f t="shared" si="54"/>
        <v>0.1013</v>
      </c>
      <c r="Z166" s="62">
        <f t="shared" si="64"/>
        <v>5.8933</v>
      </c>
      <c r="AA166" s="62">
        <f t="shared" si="56"/>
        <v>5.7919999999999998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7"/>
        <v>0803-14</v>
      </c>
      <c r="AE166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66" s="82" t="str">
        <f t="shared" si="59"/>
        <v>"C:\Program Files (x86)\AstroGrep\AstroGrep.exe" /e /r /s /spath="%USERPROFILE%\AppData\Local\Temp\OnboardLogs" /stypes="app*4011*20170314*" /stext=" 12:.+((SYSTEM_STATE.+slice.+state.+changed )|(ment ac)|(multiple cpu faults)|(system.+state.+changed )|(\[timeout)|(PRM\|1\|D)|(kpr)|(kdp)|(\|lc)|(penalty))"</v>
      </c>
      <c r="AG166" s="1" t="str">
        <f t="shared" si="60"/>
        <v>NW</v>
      </c>
      <c r="AH166" s="86" t="str">
        <f t="shared" si="61"/>
        <v>"%USERPROFILE%\Documents\GitHub\eaglep3\Utilities\RefineRTDCRunTimes.py" --tripid 803-14 --locoid 4011 --swversion DE.1.0.9.0 --startMP 204:1013 --initTime 2017-03-14T06:10:30 --startdatetime 2017-03-14T06:12:06 --delay 1 --endMP 300:58933 --enddatetime 2017-03-14T06:34:42 --enforcementcount 0 &gt;&gt;C:\Users\stu\Documents\GitHub\eaglep3-reporting\EC\2017-03-14-refined-times.txt</v>
      </c>
      <c r="AI166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{"issue":{"subject":"","project_id":79,"tracker_id":40,"status_id":1,"priority_id":2,"assigned_to_id":23,"start_date":"2017-03-14","description":"","custom_fields":[{"id":1,"name":"Subdivision","value":"NW"},{"id":4,"name":"Milepost","value":"5.8933"},{"id":17,"name":"Train ID","value":"803-14"},{"id":16,"name":"Locomotive ID","value":"4011"},{"id":130,"name":"Impact","value":""},{"id":150,"name":"Time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3"/>
        <v>start /low /b %USERPROFILE%\Documents\GitHub\eaglep3\Utilities\DownloadLogsFromS3.py --loco 4011 --day 2017-03-14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</row>
    <row r="167" spans="1:91" x14ac:dyDescent="0.25">
      <c r="A167" s="33" t="s">
        <v>636</v>
      </c>
      <c r="B167" s="7">
        <v>4012</v>
      </c>
      <c r="C167" s="21" t="s">
        <v>233</v>
      </c>
      <c r="D167" s="21" t="s">
        <v>952</v>
      </c>
      <c r="E167" s="13">
        <v>42808.275509259256</v>
      </c>
      <c r="F167" s="13">
        <v>42808.276655092595</v>
      </c>
      <c r="G167" s="7">
        <v>1</v>
      </c>
      <c r="H167" s="21" t="s">
        <v>953</v>
      </c>
      <c r="I167" s="13">
        <v>42808.288981481484</v>
      </c>
      <c r="J167" s="7">
        <v>0</v>
      </c>
      <c r="K167" s="98" t="str">
        <f t="shared" si="49"/>
        <v>4011/4012</v>
      </c>
      <c r="L167" s="21" t="str">
        <f>VLOOKUP(A167,'Trips&amp;Operators'!$C$1:$G$99999,5,FALSE)</f>
        <v>BROWN JACOB</v>
      </c>
      <c r="M167" s="6">
        <f t="shared" si="50"/>
        <v>1.2326388889050577E-2</v>
      </c>
      <c r="N167" s="7">
        <f t="shared" si="65"/>
        <v>17.750000000232831</v>
      </c>
      <c r="O167" s="7"/>
      <c r="P167" s="7"/>
      <c r="Q167" s="22"/>
      <c r="R167" s="22"/>
      <c r="S167" s="31">
        <f t="shared" si="66"/>
        <v>1</v>
      </c>
      <c r="T167" s="46" t="str">
        <f t="shared" si="51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2"/>
        <v>https://d0f6bd738d7f1b3e5a7ca70fe4ff75f0.us-east-1.aws.found.io/app/kibana#/discover/Steve-Slow-Train-Analysis-(2080s-and-2083s)?_g=(refreshInterval:(display:Off,pause:!f,section:0,value:0),time:(from:'2017-03-14T05:36:44-0600',mode:absolute,to:'2017-03-14T07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7" s="187" t="str">
        <f t="shared" si="53"/>
        <v>N</v>
      </c>
      <c r="X167" s="187">
        <f t="shared" ref="X167:X198" si="67">VALUE(LEFT(AD167,4))-VALUE(LEFT(AD166,4))</f>
        <v>1</v>
      </c>
      <c r="Y167" s="62">
        <f t="shared" si="54"/>
        <v>5.8632</v>
      </c>
      <c r="Z167" s="62">
        <f t="shared" si="64"/>
        <v>7.2900000000000006E-2</v>
      </c>
      <c r="AA167" s="62">
        <f t="shared" si="56"/>
        <v>5.7903000000000002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7"/>
        <v>0804-14</v>
      </c>
      <c r="AE167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67" s="82" t="str">
        <f t="shared" si="59"/>
        <v>"C:\Program Files (x86)\AstroGrep\AstroGrep.exe" /e /r /s /spath="%USERPROFILE%\AppData\Local\Temp\OnboardLogs" /stypes="app*4012*20170314*" /stext=" 12:.+((SYSTEM_STATE.+slice.+state.+changed )|(ment ac)|(multiple cpu faults)|(system.+state.+changed )|(\[timeout)|(PRM\|1\|D)|(kpr)|(kdp)|(\|lc)|(penalty))"</v>
      </c>
      <c r="AG167" s="1" t="str">
        <f t="shared" si="60"/>
        <v>NW</v>
      </c>
      <c r="AH167" s="86" t="str">
        <f t="shared" si="61"/>
        <v>"%USERPROFILE%\Documents\GitHub\eaglep3\Utilities\RefineRTDCRunTimes.py" --tripid 804-14 --locoid 4012 --swversion DE.1.0.9.0 --startMP 300:58632 --initTime 2017-03-14T06:36:44 --startdatetime 2017-03-14T06:38:23 --delay 1 --endMP 204:729 --enddatetime 2017-03-14T06:56:08 --enforcementcount 0 &gt;&gt;C:\Users\stu\Documents\GitHub\eaglep3-reporting\EC\2017-03-14-refined-times.txt</v>
      </c>
      <c r="AI167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{"issue":{"subject":"","project_id":79,"tracker_id":40,"status_id":1,"priority_id":2,"assigned_to_id":23,"start_date":"2017-03-14","description":"","custom_fields":[{"id":1,"name":"Subdivision","value":"NW"},{"id":4,"name":"Milepost","value":"0.0729"},{"id":17,"name":"Train ID","value":"804-14"},{"id":16,"name":"Locomotive ID","value":"4012"},{"id":130,"name":"Impact","value":""},{"id":150,"name":"Time of Event (Mountain Time)","value":"06:56:08"},{"id":151,"name":"Denver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3"/>
        <v>start /low /b %USERPROFILE%\Documents\GitHub\eaglep3\Utilities\DownloadLogsFromS3.py --loco 4012 --day 2017-03-14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168" spans="1:91" x14ac:dyDescent="0.25">
      <c r="A168" s="33" t="s">
        <v>634</v>
      </c>
      <c r="B168" s="7">
        <v>4024</v>
      </c>
      <c r="C168" s="21" t="s">
        <v>233</v>
      </c>
      <c r="D168" s="21" t="s">
        <v>549</v>
      </c>
      <c r="E168" s="13">
        <v>42808.269247685188</v>
      </c>
      <c r="F168" s="13">
        <v>42808.270104166666</v>
      </c>
      <c r="G168" s="7">
        <v>1</v>
      </c>
      <c r="H168" s="21" t="s">
        <v>491</v>
      </c>
      <c r="I168" s="13">
        <v>42808.29414351852</v>
      </c>
      <c r="J168" s="7">
        <v>0</v>
      </c>
      <c r="K168" s="98" t="str">
        <f t="shared" si="49"/>
        <v>4023/4024</v>
      </c>
      <c r="L168" s="21" t="str">
        <f>VLOOKUP(A168,'Trips&amp;Operators'!$C$1:$G$99999,5,FALSE)</f>
        <v>YORK EDGAR</v>
      </c>
      <c r="M168" s="6">
        <f t="shared" si="50"/>
        <v>2.4039351854298729E-2</v>
      </c>
      <c r="N168" s="7">
        <f t="shared" si="65"/>
        <v>34.61666667019017</v>
      </c>
      <c r="O168" s="7"/>
      <c r="P168" s="7"/>
      <c r="Q168" s="22"/>
      <c r="R168" s="22"/>
      <c r="S168" s="31">
        <f t="shared" si="66"/>
        <v>1</v>
      </c>
      <c r="T168" s="46" t="str">
        <f t="shared" si="51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2"/>
        <v>https://d0f6bd738d7f1b3e5a7ca70fe4ff75f0.us-east-1.aws.found.io/app/kibana#/discover/Steve-Slow-Train-Analysis-(2080s-and-2083s)?_g=(refreshInterval:(display:Off,pause:!f,section:0,value:0),time:(from:'2017-03-14T05:27:43-0600',mode:absolute,to:'2017-03-14T08:03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8" s="187" t="str">
        <f t="shared" si="53"/>
        <v>N</v>
      </c>
      <c r="X168" s="187">
        <f t="shared" si="67"/>
        <v>1</v>
      </c>
      <c r="Y168" s="62">
        <f t="shared" si="54"/>
        <v>0.10390000000000001</v>
      </c>
      <c r="Z168" s="62">
        <f t="shared" si="64"/>
        <v>5.8939000000000004</v>
      </c>
      <c r="AA168" s="62">
        <f t="shared" si="56"/>
        <v>5.79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7"/>
        <v>0805-14</v>
      </c>
      <c r="AE168" s="85" t="str">
        <f t="shared" si="58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168" s="82" t="str">
        <f t="shared" si="59"/>
        <v>"C:\Program Files (x86)\AstroGrep\AstroGrep.exe" /e /r /s /spath="%USERPROFILE%\AppData\Local\Temp\OnboardLogs" /stypes="app*4024*20170314*" /stext=" 13:.+((SYSTEM_STATE.+slice.+state.+changed )|(ment ac)|(multiple cpu faults)|(system.+state.+changed )|(\[timeout)|(PRM\|1\|D)|(kpr)|(kdp)|(\|lc)|(penalty))"</v>
      </c>
      <c r="AG168" s="1" t="str">
        <f t="shared" si="60"/>
        <v>NW</v>
      </c>
      <c r="AH168" s="86" t="str">
        <f t="shared" si="61"/>
        <v>"%USERPROFILE%\Documents\GitHub\eaglep3\Utilities\RefineRTDCRunTimes.py" --tripid 805-14 --locoid 4024 --swversion DE.1.0.9.0 --startMP 204:1039 --initTime 2017-03-14T06:27:43 --startdatetime 2017-03-14T06:28:57 --delay 1 --endMP 300:58939 --enddatetime 2017-03-14T07:03:34 --enforcementcount 0 &gt;&gt;C:\Users\stu\Documents\GitHub\eaglep3-reporting\EC\2017-03-14-refined-times.txt</v>
      </c>
      <c r="AI168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{"issue":{"subject":"","project_id":79,"tracker_id":40,"status_id":1,"priority_id":2,"assigned_to_id":23,"start_date":"2017-03-14","description":"","custom_fields":[{"id":1,"name":"Subdivision","value":"NW"},{"id":4,"name":"Milepost","value":"5.8939"},{"id":17,"name":"Train ID","value":"805-14"},{"id":16,"name":"Locomotive ID","value":"4024"},{"id":130,"name":"Impact","value":""},{"id":150,"name":"Time of Event (Mountain Time)","value":"07:03:34"},{"id":151,"name":"Denver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3"/>
        <v>start /low /b %USERPROFILE%\Documents\GitHub\eaglep3\Utilities\DownloadLogsFromS3.py --loco 4024 --day 2017-03-14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169" spans="1:91" x14ac:dyDescent="0.25">
      <c r="A169" s="33" t="s">
        <v>640</v>
      </c>
      <c r="B169" s="7">
        <v>4023</v>
      </c>
      <c r="C169" s="21" t="s">
        <v>233</v>
      </c>
      <c r="D169" s="21" t="s">
        <v>947</v>
      </c>
      <c r="E169" s="13">
        <v>42808.295659722222</v>
      </c>
      <c r="F169" s="13">
        <v>42808.296782407408</v>
      </c>
      <c r="G169" s="7">
        <v>1</v>
      </c>
      <c r="H169" s="21" t="s">
        <v>954</v>
      </c>
      <c r="I169" s="13">
        <v>42808.309016203704</v>
      </c>
      <c r="J169" s="7">
        <v>0</v>
      </c>
      <c r="K169" s="98" t="str">
        <f t="shared" si="49"/>
        <v>4023/4024</v>
      </c>
      <c r="L169" s="21" t="str">
        <f>VLOOKUP(A169,'Trips&amp;Operators'!$C$1:$G$99999,5,FALSE)</f>
        <v>YORK EDGAR</v>
      </c>
      <c r="M169" s="6">
        <f t="shared" si="50"/>
        <v>1.2233796296641231E-2</v>
      </c>
      <c r="N169" s="7">
        <f t="shared" si="65"/>
        <v>17.616666667163372</v>
      </c>
      <c r="O169" s="7"/>
      <c r="P169" s="7"/>
      <c r="Q169" s="22"/>
      <c r="R169" s="22"/>
      <c r="S169" s="31">
        <f t="shared" si="66"/>
        <v>1</v>
      </c>
      <c r="T169" s="46" t="str">
        <f t="shared" si="51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2"/>
        <v>https://d0f6bd738d7f1b3e5a7ca70fe4ff75f0.us-east-1.aws.found.io/app/kibana#/discover/Steve-Slow-Train-Analysis-(2080s-and-2083s)?_g=(refreshInterval:(display:Off,pause:!f,section:0,value:0),time:(from:'2017-03-14T06:05:45-0600',mode:absolute,to:'2017-03-14T08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9" s="187" t="str">
        <f t="shared" si="53"/>
        <v>N</v>
      </c>
      <c r="X169" s="187">
        <f t="shared" si="67"/>
        <v>1</v>
      </c>
      <c r="Y169" s="62">
        <f t="shared" si="54"/>
        <v>5.8620999999999999</v>
      </c>
      <c r="Z169" s="62">
        <f t="shared" si="64"/>
        <v>7.5899999999999995E-2</v>
      </c>
      <c r="AA169" s="62">
        <f t="shared" si="56"/>
        <v>5.7862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7"/>
        <v>0806-14</v>
      </c>
      <c r="AE169" s="85" t="str">
        <f t="shared" si="58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169" s="82" t="str">
        <f t="shared" si="59"/>
        <v>"C:\Program Files (x86)\AstroGrep\AstroGrep.exe" /e /r /s /spath="%USERPROFILE%\AppData\Local\Temp\OnboardLogs" /stypes="app*4023*20170314*" /stext=" 13:.+((SYSTEM_STATE.+slice.+state.+changed )|(ment ac)|(multiple cpu faults)|(system.+state.+changed )|(\[timeout)|(PRM\|1\|D)|(kpr)|(kdp)|(\|lc)|(penalty))"</v>
      </c>
      <c r="AG169" s="1" t="str">
        <f t="shared" si="60"/>
        <v>NW</v>
      </c>
      <c r="AH169" s="86" t="str">
        <f t="shared" si="61"/>
        <v>"%USERPROFILE%\Documents\GitHub\eaglep3\Utilities\RefineRTDCRunTimes.py" --tripid 806-14 --locoid 4023 --swversion DE.1.0.9.0 --startMP 300:58621 --initTime 2017-03-14T07:05:45 --startdatetime 2017-03-14T07:07:22 --delay 1 --endMP 204:759 --enddatetime 2017-03-14T07:24:59 --enforcementcount 0 &gt;&gt;C:\Users\stu\Documents\GitHub\eaglep3-reporting\EC\2017-03-14-refined-times.txt</v>
      </c>
      <c r="AI169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{"issue":{"subject":"","project_id":79,"tracker_id":40,"status_id":1,"priority_id":2,"assigned_to_id":23,"start_date":"2017-03-14","description":"","custom_fields":[{"id":1,"name":"Subdivision","value":"NW"},{"id":4,"name":"Milepost","value":"0.0759"},{"id":17,"name":"Train ID","value":"806-14"},{"id":16,"name":"Locomotive ID","value":"4023"},{"id":130,"name":"Impact","value":""},{"id":150,"name":"Time of Event (Mountain Time)","value":"07:24:59"},{"id":151,"name":"Denver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3"/>
        <v>start /low /b %USERPROFILE%\Documents\GitHub\eaglep3\Utilities\DownloadLogsFromS3.py --loco 4023 --day 2017-03-14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170" spans="1:91" s="20" customFormat="1" x14ac:dyDescent="0.25">
      <c r="A170" s="33" t="s">
        <v>643</v>
      </c>
      <c r="B170" s="7">
        <v>4011</v>
      </c>
      <c r="C170" s="21" t="s">
        <v>233</v>
      </c>
      <c r="D170" s="21" t="s">
        <v>951</v>
      </c>
      <c r="E170" s="13">
        <v>42808.303148148145</v>
      </c>
      <c r="F170" s="13">
        <v>42808.304178240738</v>
      </c>
      <c r="G170" s="7">
        <v>1</v>
      </c>
      <c r="H170" s="21" t="s">
        <v>955</v>
      </c>
      <c r="I170" s="13">
        <v>42808.316145833334</v>
      </c>
      <c r="J170" s="7">
        <v>0</v>
      </c>
      <c r="K170" s="98" t="str">
        <f t="shared" si="49"/>
        <v>4011/4012</v>
      </c>
      <c r="L170" s="21" t="str">
        <f>VLOOKUP(A170,'Trips&amp;Operators'!$C$1:$G$99999,5,FALSE)</f>
        <v>BROWN JACOB</v>
      </c>
      <c r="M170" s="6">
        <f t="shared" si="50"/>
        <v>1.1967592596192844E-2</v>
      </c>
      <c r="N170" s="7">
        <f t="shared" si="65"/>
        <v>17.233333338517696</v>
      </c>
      <c r="O170" s="7"/>
      <c r="P170" s="7"/>
      <c r="Q170" s="22"/>
      <c r="R170" s="22"/>
      <c r="S170" s="31">
        <f t="shared" si="66"/>
        <v>1</v>
      </c>
      <c r="T170" s="46" t="str">
        <f t="shared" si="51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2"/>
        <v>https://d0f6bd738d7f1b3e5a7ca70fe4ff75f0.us-east-1.aws.found.io/app/kibana#/discover/Steve-Slow-Train-Analysis-(2080s-and-2083s)?_g=(refreshInterval:(display:Off,pause:!f,section:0,value:0),time:(from:'2017-03-14T06:16:32-0600',mode:absolute,to:'2017-03-14T08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0" s="187" t="str">
        <f t="shared" si="53"/>
        <v>N</v>
      </c>
      <c r="X170" s="187">
        <f t="shared" si="67"/>
        <v>1</v>
      </c>
      <c r="Y170" s="62">
        <f t="shared" si="54"/>
        <v>0.1013</v>
      </c>
      <c r="Z170" s="62">
        <f t="shared" si="64"/>
        <v>5.8949999999999996</v>
      </c>
      <c r="AA170" s="62">
        <f t="shared" si="56"/>
        <v>5.7936999999999994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7"/>
        <v>0807-14</v>
      </c>
      <c r="AE170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70" s="82" t="str">
        <f t="shared" si="59"/>
        <v>"C:\Program Files (x86)\AstroGrep\AstroGrep.exe" /e /r /s /spath="%USERPROFILE%\AppData\Local\Temp\OnboardLogs" /stypes="app*4011*20170314*" /stext=" 13:.+((SYSTEM_STATE.+slice.+state.+changed )|(ment ac)|(multiple cpu faults)|(system.+state.+changed )|(\[timeout)|(PRM\|1\|D)|(kpr)|(kdp)|(\|lc)|(penalty))"</v>
      </c>
      <c r="AG170" s="1" t="str">
        <f t="shared" si="60"/>
        <v>NW</v>
      </c>
      <c r="AH170" s="86" t="str">
        <f t="shared" si="61"/>
        <v>"%USERPROFILE%\Documents\GitHub\eaglep3\Utilities\RefineRTDCRunTimes.py" --tripid 807-14 --locoid 4011 --swversion DE.1.0.9.0 --startMP 204:1013 --initTime 2017-03-14T07:16:32 --startdatetime 2017-03-14T07:18:01 --delay 1 --endMP 300:58950 --enddatetime 2017-03-14T07:35:15 --enforcementcount 0 &gt;&gt;C:\Users\stu\Documents\GitHub\eaglep3-reporting\EC\2017-03-14-refined-times.txt</v>
      </c>
      <c r="AI170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{"issue":{"subject":"","project_id":79,"tracker_id":40,"status_id":1,"priority_id":2,"assigned_to_id":23,"start_date":"2017-03-14","description":"","custom_fields":[{"id":1,"name":"Subdivision","value":"NW"},{"id":4,"name":"Milepost","value":"5.895"},{"id":17,"name":"Train ID","value":"807-14"},{"id":16,"name":"Locomotive ID","value":"4011"},{"id":130,"name":"Impact","value":""},{"id":150,"name":"Time of Event (Mountain Time)","value":"07:35:15"},{"id":151,"name":"Denver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3"/>
        <v>start /low /b %USERPROFILE%\Documents\GitHub\eaglep3\Utilities\DownloadLogsFromS3.py --loco 4011 --day 2017-03-14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3" t="s">
        <v>647</v>
      </c>
      <c r="B171" s="7">
        <v>4012</v>
      </c>
      <c r="C171" s="21" t="s">
        <v>233</v>
      </c>
      <c r="D171" s="21" t="s">
        <v>956</v>
      </c>
      <c r="E171" s="13">
        <v>42808.317002314812</v>
      </c>
      <c r="F171" s="13">
        <v>42808.317824074074</v>
      </c>
      <c r="G171" s="7">
        <v>1</v>
      </c>
      <c r="H171" s="21" t="s">
        <v>957</v>
      </c>
      <c r="I171" s="13">
        <v>42808.330046296294</v>
      </c>
      <c r="J171" s="7">
        <v>0</v>
      </c>
      <c r="K171" s="98" t="str">
        <f t="shared" si="49"/>
        <v>4011/4012</v>
      </c>
      <c r="L171" s="21" t="str">
        <f>VLOOKUP(A171,'Trips&amp;Operators'!$C$1:$G$99999,5,FALSE)</f>
        <v>BROWN JACOB</v>
      </c>
      <c r="M171" s="6">
        <f t="shared" si="50"/>
        <v>1.2222222219861578E-2</v>
      </c>
      <c r="N171" s="7">
        <f t="shared" si="65"/>
        <v>17.599999996600673</v>
      </c>
      <c r="O171" s="7"/>
      <c r="P171" s="7"/>
      <c r="Q171" s="22"/>
      <c r="R171" s="22"/>
      <c r="S171" s="31">
        <f t="shared" si="66"/>
        <v>1</v>
      </c>
      <c r="T171" s="46" t="str">
        <f t="shared" si="51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2"/>
        <v>https://d0f6bd738d7f1b3e5a7ca70fe4ff75f0.us-east-1.aws.found.io/app/kibana#/discover/Steve-Slow-Train-Analysis-(2080s-and-2083s)?_g=(refreshInterval:(display:Off,pause:!f,section:0,value:0),time:(from:'2017-03-14T06:36:29-0600',mode:absolute,to:'2017-03-14T08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1" s="187" t="str">
        <f t="shared" si="53"/>
        <v>N</v>
      </c>
      <c r="X171" s="187">
        <f t="shared" si="67"/>
        <v>1</v>
      </c>
      <c r="Y171" s="62">
        <f t="shared" si="54"/>
        <v>5.8635999999999999</v>
      </c>
      <c r="Z171" s="62">
        <f t="shared" si="64"/>
        <v>7.3400000000000007E-2</v>
      </c>
      <c r="AA171" s="62">
        <f t="shared" si="56"/>
        <v>5.7901999999999996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7"/>
        <v>0808-14</v>
      </c>
      <c r="AE171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71" s="82" t="str">
        <f t="shared" si="59"/>
        <v>"C:\Program Files (x86)\AstroGrep\AstroGrep.exe" /e /r /s /spath="%USERPROFILE%\AppData\Local\Temp\OnboardLogs" /stypes="app*4012*20170314*" /stext=" 13:.+((SYSTEM_STATE.+slice.+state.+changed )|(ment ac)|(multiple cpu faults)|(system.+state.+changed )|(\[timeout)|(PRM\|1\|D)|(kpr)|(kdp)|(\|lc)|(penalty))"</v>
      </c>
      <c r="AG171" s="1" t="str">
        <f t="shared" si="60"/>
        <v>NW</v>
      </c>
      <c r="AH171" s="86" t="str">
        <f t="shared" si="61"/>
        <v>"%USERPROFILE%\Documents\GitHub\eaglep3\Utilities\RefineRTDCRunTimes.py" --tripid 808-14 --locoid 4012 --swversion DE.1.0.9.0 --startMP 300:58636 --initTime 2017-03-14T07:36:29 --startdatetime 2017-03-14T07:37:40 --delay 1 --endMP 204:734 --enddatetime 2017-03-14T07:55:16 --enforcementcount 0 &gt;&gt;C:\Users\stu\Documents\GitHub\eaglep3-reporting\EC\2017-03-14-refined-times.txt</v>
      </c>
      <c r="AI171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{"issue":{"subject":"","project_id":79,"tracker_id":40,"status_id":1,"priority_id":2,"assigned_to_id":23,"start_date":"2017-03-14","description":"","custom_fields":[{"id":1,"name":"Subdivision","value":"NW"},{"id":4,"name":"Milepost","value":"0.0734"},{"id":17,"name":"Train ID","value":"808-14"},{"id":16,"name":"Locomotive ID","value":"4012"},{"id":130,"name":"Impact","value":""},{"id":150,"name":"Time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3"/>
        <v>start /low /b %USERPROFILE%\Documents\GitHub\eaglep3\Utilities\DownloadLogsFromS3.py --loco 4012 --day 2017-03-14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646</v>
      </c>
      <c r="B172" s="7">
        <v>4024</v>
      </c>
      <c r="C172" s="21" t="s">
        <v>233</v>
      </c>
      <c r="D172" s="21" t="s">
        <v>958</v>
      </c>
      <c r="E172" s="13">
        <v>42808.310659722221</v>
      </c>
      <c r="F172" s="13">
        <v>42808.311574074076</v>
      </c>
      <c r="G172" s="7">
        <v>1</v>
      </c>
      <c r="H172" s="21" t="s">
        <v>959</v>
      </c>
      <c r="I172" s="13">
        <v>42808.335636574076</v>
      </c>
      <c r="J172" s="7">
        <v>0</v>
      </c>
      <c r="K172" s="98" t="str">
        <f t="shared" si="49"/>
        <v>4023/4024</v>
      </c>
      <c r="L172" s="21" t="str">
        <f>VLOOKUP(A172,'Trips&amp;Operators'!$C$1:$G$99999,5,FALSE)</f>
        <v>YORK EDGAR</v>
      </c>
      <c r="M172" s="6">
        <f t="shared" si="50"/>
        <v>2.4062500000582077E-2</v>
      </c>
      <c r="N172" s="7">
        <f t="shared" si="65"/>
        <v>34.65000000083819</v>
      </c>
      <c r="O172" s="7"/>
      <c r="P172" s="7"/>
      <c r="Q172" s="22"/>
      <c r="R172" s="22"/>
      <c r="S172" s="31">
        <f t="shared" si="66"/>
        <v>1</v>
      </c>
      <c r="T172" s="46" t="str">
        <f t="shared" si="51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2"/>
        <v>https://d0f6bd738d7f1b3e5a7ca70fe4ff75f0.us-east-1.aws.found.io/app/kibana#/discover/Steve-Slow-Train-Analysis-(2080s-and-2083s)?_g=(refreshInterval:(display:Off,pause:!f,section:0,value:0),time:(from:'2017-03-14T06:27:21-0600',mode:absolute,to:'2017-03-14T09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2" s="187" t="str">
        <f t="shared" si="53"/>
        <v>N</v>
      </c>
      <c r="X172" s="187">
        <f t="shared" si="67"/>
        <v>1</v>
      </c>
      <c r="Y172" s="62">
        <f t="shared" si="54"/>
        <v>0.1053</v>
      </c>
      <c r="Z172" s="62">
        <f t="shared" si="64"/>
        <v>5.8940999999999999</v>
      </c>
      <c r="AA172" s="62">
        <f t="shared" si="56"/>
        <v>5.7888000000000002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7"/>
        <v>0809-14</v>
      </c>
      <c r="AE172" s="85" t="str">
        <f t="shared" si="58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172" s="82" t="str">
        <f t="shared" si="59"/>
        <v>"C:\Program Files (x86)\AstroGrep\AstroGrep.exe" /e /r /s /spath="%USERPROFILE%\AppData\Local\Temp\OnboardLogs" /stypes="app*4024*20170314*" /stext=" 14:.+((SYSTEM_STATE.+slice.+state.+changed )|(ment ac)|(multiple cpu faults)|(system.+state.+changed )|(\[timeout)|(PRM\|1\|D)|(kpr)|(kdp)|(\|lc)|(penalty))"</v>
      </c>
      <c r="AG172" s="1" t="str">
        <f t="shared" si="60"/>
        <v>NW</v>
      </c>
      <c r="AH172" s="86" t="str">
        <f t="shared" si="61"/>
        <v>"%USERPROFILE%\Documents\GitHub\eaglep3\Utilities\RefineRTDCRunTimes.py" --tripid 809-14 --locoid 4024 --swversion DE.1.0.9.0 --startMP 204:1053 --initTime 2017-03-14T07:27:21 --startdatetime 2017-03-14T07:28:40 --delay 1 --endMP 300:58941 --enddatetime 2017-03-14T08:03:19 --enforcementcount 0 &gt;&gt;C:\Users\stu\Documents\GitHub\eaglep3-reporting\EC\2017-03-14-refined-times.txt</v>
      </c>
      <c r="AI172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{"issue":{"subject":"","project_id":79,"tracker_id":40,"status_id":1,"priority_id":2,"assigned_to_id":23,"start_date":"2017-03-14","description":"","custom_fields":[{"id":1,"name":"Subdivision","value":"NW"},{"id":4,"name":"Milepost","value":"5.8941"},{"id":17,"name":"Train ID","value":"809-14"},{"id":16,"name":"Locomotive ID","value":"4024"},{"id":130,"name":"Impact","value":""},{"id":150,"name":"Time of Event (Mountain Time)","value":"08:03:19"},{"id":151,"name":"Denver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3"/>
        <v>start /low /b %USERPROFILE%\Documents\GitHub\eaglep3\Utilities\DownloadLogsFromS3.py --loco 4024 --day 2017-03-14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652</v>
      </c>
      <c r="B173" s="7">
        <v>4023</v>
      </c>
      <c r="C173" s="21" t="s">
        <v>233</v>
      </c>
      <c r="D173" s="21" t="s">
        <v>492</v>
      </c>
      <c r="E173" s="13">
        <v>42808.336539351854</v>
      </c>
      <c r="F173" s="13">
        <v>42808.337268518517</v>
      </c>
      <c r="G173" s="7">
        <v>1</v>
      </c>
      <c r="H173" s="21" t="s">
        <v>969</v>
      </c>
      <c r="I173" s="13">
        <v>42808.350613425922</v>
      </c>
      <c r="J173" s="7">
        <v>0</v>
      </c>
      <c r="K173" s="98" t="str">
        <f t="shared" si="49"/>
        <v>4023/4024</v>
      </c>
      <c r="L173" s="21" t="str">
        <f>VLOOKUP(A173,'Trips&amp;Operators'!$C$1:$G$99999,5,FALSE)</f>
        <v>YORK EDGAR</v>
      </c>
      <c r="M173" s="6">
        <f t="shared" si="50"/>
        <v>1.3344907405553386E-2</v>
      </c>
      <c r="N173" s="7">
        <f t="shared" si="65"/>
        <v>19.216666663996875</v>
      </c>
      <c r="O173" s="7"/>
      <c r="P173" s="7"/>
      <c r="Q173" s="22"/>
      <c r="R173" s="22"/>
      <c r="S173" s="31">
        <f t="shared" si="66"/>
        <v>1</v>
      </c>
      <c r="T173" s="46" t="str">
        <f t="shared" si="51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2"/>
        <v>https://d0f6bd738d7f1b3e5a7ca70fe4ff75f0.us-east-1.aws.found.io/app/kibana#/discover/Steve-Slow-Train-Analysis-(2080s-and-2083s)?_g=(refreshInterval:(display:Off,pause:!f,section:0,value:0),time:(from:'2017-03-14T07:04:37-0600',mode:absolute,to:'2017-03-14T09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3" s="187" t="str">
        <f t="shared" si="53"/>
        <v>N</v>
      </c>
      <c r="X173" s="187">
        <f t="shared" si="67"/>
        <v>1</v>
      </c>
      <c r="Y173" s="62">
        <f t="shared" si="54"/>
        <v>5.8623000000000003</v>
      </c>
      <c r="Z173" s="62">
        <f t="shared" si="64"/>
        <v>8.43E-2</v>
      </c>
      <c r="AA173" s="62">
        <f t="shared" si="56"/>
        <v>5.7780000000000005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7"/>
        <v>0810-14</v>
      </c>
      <c r="AE173" s="85" t="str">
        <f t="shared" si="58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173" s="82" t="str">
        <f t="shared" si="59"/>
        <v>"C:\Program Files (x86)\AstroGrep\AstroGrep.exe" /e /r /s /spath="%USERPROFILE%\AppData\Local\Temp\OnboardLogs" /stypes="app*4023*20170314*" /stext=" 14:.+((SYSTEM_STATE.+slice.+state.+changed )|(ment ac)|(multiple cpu faults)|(system.+state.+changed )|(\[timeout)|(PRM\|1\|D)|(kpr)|(kdp)|(\|lc)|(penalty))"</v>
      </c>
      <c r="AG173" s="1" t="str">
        <f t="shared" si="60"/>
        <v>NW</v>
      </c>
      <c r="AH173" s="86" t="str">
        <f t="shared" si="61"/>
        <v>"%USERPROFILE%\Documents\GitHub\eaglep3\Utilities\RefineRTDCRunTimes.py" --tripid 810-14 --locoid 4023 --swversion DE.1.0.9.0 --startMP 300:58623 --initTime 2017-03-14T08:04:37 --startdatetime 2017-03-14T08:05:40 --delay 1 --endMP 204:843 --enddatetime 2017-03-14T08:24:53 --enforcementcount 0 &gt;&gt;C:\Users\stu\Documents\GitHub\eaglep3-reporting\EC\2017-03-14-refined-times.txt</v>
      </c>
      <c r="AI173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{"issue":{"subject":"","project_id":79,"tracker_id":40,"status_id":1,"priority_id":2,"assigned_to_id":23,"start_date":"2017-03-14","description":"","custom_fields":[{"id":1,"name":"Subdivision","value":"NW"},{"id":4,"name":"Milepost","value":"0.0843"},{"id":17,"name":"Train ID","value":"810-14"},{"id":16,"name":"Locomotive ID","value":"4023"},{"id":130,"name":"Impact","value":""},{"id":150,"name":"Time of Event (Mountain Time)","value":"08:24:53"},{"id":151,"name":"Denver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3"/>
        <v>start /low /b %USERPROFILE%\Documents\GitHub\eaglep3\Utilities\DownloadLogsFromS3.py --loco 4023 --day 2017-03-14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174" spans="1:91" s="20" customFormat="1" x14ac:dyDescent="0.25">
      <c r="A174" s="33" t="s">
        <v>655</v>
      </c>
      <c r="B174" s="7">
        <v>4011</v>
      </c>
      <c r="C174" s="21" t="s">
        <v>233</v>
      </c>
      <c r="D174" s="21" t="s">
        <v>970</v>
      </c>
      <c r="E174" s="13">
        <v>42808.34642361111</v>
      </c>
      <c r="F174" s="13">
        <v>42808.34746527778</v>
      </c>
      <c r="G174" s="7">
        <v>1</v>
      </c>
      <c r="H174" s="21" t="s">
        <v>971</v>
      </c>
      <c r="I174" s="13">
        <v>42808.357812499999</v>
      </c>
      <c r="J174" s="7">
        <v>0</v>
      </c>
      <c r="K174" s="98" t="str">
        <f t="shared" si="49"/>
        <v>4011/4012</v>
      </c>
      <c r="L174" s="21" t="str">
        <f>VLOOKUP(A174,'Trips&amp;Operators'!$C$1:$G$99999,5,FALSE)</f>
        <v>BROWN JACOB</v>
      </c>
      <c r="M174" s="6">
        <f t="shared" si="50"/>
        <v>1.0347222218115348E-2</v>
      </c>
      <c r="N174" s="7">
        <f t="shared" si="65"/>
        <v>14.899999994086102</v>
      </c>
      <c r="O174" s="7"/>
      <c r="P174" s="7"/>
      <c r="Q174" s="22"/>
      <c r="R174" s="22"/>
      <c r="S174" s="31">
        <f t="shared" si="66"/>
        <v>1</v>
      </c>
      <c r="T174" s="46" t="str">
        <f t="shared" si="51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2"/>
        <v>https://d0f6bd738d7f1b3e5a7ca70fe4ff75f0.us-east-1.aws.found.io/app/kibana#/discover/Steve-Slow-Train-Analysis-(2080s-and-2083s)?_g=(refreshInterval:(display:Off,pause:!f,section:0,value:0),time:(from:'2017-03-14T07:18:51-0600',mode:absolute,to:'2017-03-14T09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4" s="187" t="str">
        <f t="shared" si="53"/>
        <v>N</v>
      </c>
      <c r="X174" s="187">
        <f t="shared" si="67"/>
        <v>1</v>
      </c>
      <c r="Y174" s="62">
        <f t="shared" si="54"/>
        <v>0.10059999999999999</v>
      </c>
      <c r="Z174" s="62">
        <f t="shared" si="64"/>
        <v>5.8960999999999997</v>
      </c>
      <c r="AA174" s="62">
        <f t="shared" si="56"/>
        <v>5.7954999999999997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7"/>
        <v>0811-14</v>
      </c>
      <c r="AE174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74" s="82" t="str">
        <f t="shared" si="59"/>
        <v>"C:\Program Files (x86)\AstroGrep\AstroGrep.exe" /e /r /s /spath="%USERPROFILE%\AppData\Local\Temp\OnboardLogs" /stypes="app*4011*20170314*" /stext=" 14:.+((SYSTEM_STATE.+slice.+state.+changed )|(ment ac)|(multiple cpu faults)|(system.+state.+changed )|(\[timeout)|(PRM\|1\|D)|(kpr)|(kdp)|(\|lc)|(penalty))"</v>
      </c>
      <c r="AG174" s="1" t="str">
        <f t="shared" si="60"/>
        <v>NW</v>
      </c>
      <c r="AH174" s="86" t="str">
        <f t="shared" si="61"/>
        <v>"%USERPROFILE%\Documents\GitHub\eaglep3\Utilities\RefineRTDCRunTimes.py" --tripid 811-14 --locoid 4011 --swversion DE.1.0.9.0 --startMP 204:1006 --initTime 2017-03-14T08:18:51 --startdatetime 2017-03-14T08:20:21 --delay 1 --endMP 300:58961 --enddatetime 2017-03-14T08:35:15 --enforcementcount 0 &gt;&gt;C:\Users\stu\Documents\GitHub\eaglep3-reporting\EC\2017-03-14-refined-times.txt</v>
      </c>
      <c r="AI174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{"issue":{"subject":"","project_id":79,"tracker_id":40,"status_id":1,"priority_id":2,"assigned_to_id":23,"start_date":"2017-03-14","description":"","custom_fields":[{"id":1,"name":"Subdivision","value":"NW"},{"id":4,"name":"Milepost","value":"5.8961"},{"id":17,"name":"Train ID","value":"811-14"},{"id":16,"name":"Locomotive ID","value":"4011"},{"id":130,"name":"Impact","value":""},{"id":150,"name":"Time of Event (Mountain Time)","value":"08:35:15"},{"id":151,"name":"Denver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3"/>
        <v>start /low /b %USERPROFILE%\Documents\GitHub\eaglep3\Utilities\DownloadLogsFromS3.py --loco 4011 --day 2017-03-14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659</v>
      </c>
      <c r="B175" s="7">
        <v>4012</v>
      </c>
      <c r="C175" s="21" t="s">
        <v>233</v>
      </c>
      <c r="D175" s="21" t="s">
        <v>972</v>
      </c>
      <c r="E175" s="13">
        <v>42808.358634259261</v>
      </c>
      <c r="F175" s="13">
        <v>42808.359699074077</v>
      </c>
      <c r="G175" s="7">
        <v>1</v>
      </c>
      <c r="H175" s="21" t="s">
        <v>973</v>
      </c>
      <c r="I175" s="13">
        <v>42808.371608796297</v>
      </c>
      <c r="J175" s="7">
        <v>0</v>
      </c>
      <c r="K175" s="98" t="str">
        <f t="shared" si="49"/>
        <v>4011/4012</v>
      </c>
      <c r="L175" s="21" t="str">
        <f>VLOOKUP(A175,'Trips&amp;Operators'!$C$1:$G$99999,5,FALSE)</f>
        <v>BROWN JACOB</v>
      </c>
      <c r="M175" s="6">
        <f t="shared" si="50"/>
        <v>1.190972221957054E-2</v>
      </c>
      <c r="N175" s="7">
        <f t="shared" si="65"/>
        <v>17.149999996181577</v>
      </c>
      <c r="O175" s="7"/>
      <c r="P175" s="7"/>
      <c r="Q175" s="22"/>
      <c r="R175" s="22"/>
      <c r="S175" s="31">
        <f t="shared" si="66"/>
        <v>1</v>
      </c>
      <c r="T175" s="46" t="str">
        <f t="shared" si="51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2"/>
        <v>https://d0f6bd738d7f1b3e5a7ca70fe4ff75f0.us-east-1.aws.found.io/app/kibana#/discover/Steve-Slow-Train-Analysis-(2080s-and-2083s)?_g=(refreshInterval:(display:Off,pause:!f,section:0,value:0),time:(from:'2017-03-14T07:36:26-0600',mode:absolute,to:'2017-03-14T09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5" s="187" t="str">
        <f t="shared" si="53"/>
        <v>N</v>
      </c>
      <c r="X175" s="187">
        <f t="shared" si="67"/>
        <v>1</v>
      </c>
      <c r="Y175" s="62">
        <f t="shared" si="54"/>
        <v>5.8644999999999996</v>
      </c>
      <c r="Z175" s="62">
        <f t="shared" si="64"/>
        <v>7.3999999999999996E-2</v>
      </c>
      <c r="AA175" s="62">
        <f t="shared" si="56"/>
        <v>5.7904999999999998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7"/>
        <v>0812-14</v>
      </c>
      <c r="AE175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75" s="82" t="str">
        <f t="shared" si="59"/>
        <v>"C:\Program Files (x86)\AstroGrep\AstroGrep.exe" /e /r /s /spath="%USERPROFILE%\AppData\Local\Temp\OnboardLogs" /stypes="app*4012*20170314*" /stext=" 14:.+((SYSTEM_STATE.+slice.+state.+changed )|(ment ac)|(multiple cpu faults)|(system.+state.+changed )|(\[timeout)|(PRM\|1\|D)|(kpr)|(kdp)|(\|lc)|(penalty))"</v>
      </c>
      <c r="AG175" s="1" t="str">
        <f t="shared" si="60"/>
        <v>NW</v>
      </c>
      <c r="AH175" s="86" t="str">
        <f t="shared" si="61"/>
        <v>"%USERPROFILE%\Documents\GitHub\eaglep3\Utilities\RefineRTDCRunTimes.py" --tripid 812-14 --locoid 4012 --swversion DE.1.0.9.0 --startMP 300:58645 --initTime 2017-03-14T08:36:26 --startdatetime 2017-03-14T08:37:58 --delay 1 --endMP 204:740 --enddatetime 2017-03-14T08:55:07 --enforcementcount 0 &gt;&gt;C:\Users\stu\Documents\GitHub\eaglep3-reporting\EC\2017-03-14-refined-times.txt</v>
      </c>
      <c r="AI175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{"issue":{"subject":"","project_id":79,"tracker_id":40,"status_id":1,"priority_id":2,"assigned_to_id":23,"start_date":"2017-03-14","description":"","custom_fields":[{"id":1,"name":"Subdivision","value":"NW"},{"id":4,"name":"Milepost","value":"0.074"},{"id":17,"name":"Train ID","value":"812-14"},{"id":16,"name":"Locomotive ID","value":"4012"},{"id":130,"name":"Impact","value":""},{"id":150,"name":"Time of Event (Mountain Time)","value":"08:55:07"},{"id":151,"name":"Denver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3"/>
        <v>start /low /b %USERPROFILE%\Documents\GitHub\eaglep3\Utilities\DownloadLogsFromS3.py --loco 4012 --day 2017-03-14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176" spans="1:91" s="20" customFormat="1" x14ac:dyDescent="0.25">
      <c r="A176" s="33" t="s">
        <v>667</v>
      </c>
      <c r="B176" s="7">
        <v>4011</v>
      </c>
      <c r="C176" s="21" t="s">
        <v>233</v>
      </c>
      <c r="D176" s="21" t="s">
        <v>974</v>
      </c>
      <c r="E176" s="13">
        <v>42808.385717592595</v>
      </c>
      <c r="F176" s="13">
        <v>42808.386828703704</v>
      </c>
      <c r="G176" s="7">
        <v>1</v>
      </c>
      <c r="H176" s="21" t="s">
        <v>955</v>
      </c>
      <c r="I176" s="13">
        <v>42808.399027777778</v>
      </c>
      <c r="J176" s="7">
        <v>0</v>
      </c>
      <c r="K176" s="98" t="str">
        <f t="shared" si="49"/>
        <v>4011/4012</v>
      </c>
      <c r="L176" s="21" t="str">
        <f>VLOOKUP(A176,'Trips&amp;Operators'!$C$1:$G$99999,5,FALSE)</f>
        <v>BROWN JACOB</v>
      </c>
      <c r="M176" s="6">
        <f t="shared" si="50"/>
        <v>1.2199074073578231E-2</v>
      </c>
      <c r="N176" s="7">
        <f t="shared" si="65"/>
        <v>17.566666665952653</v>
      </c>
      <c r="O176" s="7"/>
      <c r="P176" s="7"/>
      <c r="Q176" s="22"/>
      <c r="R176" s="22"/>
      <c r="S176" s="31">
        <f t="shared" si="66"/>
        <v>1</v>
      </c>
      <c r="T176" s="46" t="str">
        <f t="shared" si="51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2"/>
        <v>https://d0f6bd738d7f1b3e5a7ca70fe4ff75f0.us-east-1.aws.found.io/app/kibana#/discover/Steve-Slow-Train-Analysis-(2080s-and-2083s)?_g=(refreshInterval:(display:Off,pause:!f,section:0,value:0),time:(from:'2017-03-14T08:15:26-0600',mode:absolute,to:'2017-03-14T10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6" s="187" t="str">
        <f t="shared" si="53"/>
        <v>N</v>
      </c>
      <c r="X176" s="187">
        <f t="shared" si="67"/>
        <v>1</v>
      </c>
      <c r="Y176" s="62">
        <f t="shared" si="54"/>
        <v>0.1018</v>
      </c>
      <c r="Z176" s="62">
        <f t="shared" si="64"/>
        <v>5.8949999999999996</v>
      </c>
      <c r="AA176" s="62">
        <f t="shared" si="56"/>
        <v>5.7931999999999997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7"/>
        <v>0813-14</v>
      </c>
      <c r="AE176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76" s="82" t="str">
        <f t="shared" si="59"/>
        <v>"C:\Program Files (x86)\AstroGrep\AstroGrep.exe" /e /r /s /spath="%USERPROFILE%\AppData\Local\Temp\OnboardLogs" /stypes="app*4011*20170314*" /stext=" 15:.+((SYSTEM_STATE.+slice.+state.+changed )|(ment ac)|(multiple cpu faults)|(system.+state.+changed )|(\[timeout)|(PRM\|1\|D)|(kpr)|(kdp)|(\|lc)|(penalty))"</v>
      </c>
      <c r="AG176" s="1" t="str">
        <f t="shared" si="60"/>
        <v>NW</v>
      </c>
      <c r="AH176" s="86" t="str">
        <f t="shared" si="61"/>
        <v>"%USERPROFILE%\Documents\GitHub\eaglep3\Utilities\RefineRTDCRunTimes.py" --tripid 813-14 --locoid 4011 --swversion DE.1.0.9.0 --startMP 204:1018 --initTime 2017-03-14T09:15:26 --startdatetime 2017-03-14T09:17:02 --delay 1 --endMP 300:58950 --enddatetime 2017-03-14T09:34:36 --enforcementcount 0 &gt;&gt;C:\Users\stu\Documents\GitHub\eaglep3-reporting\EC\2017-03-14-refined-times.txt</v>
      </c>
      <c r="AI176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{"issue":{"subject":"","project_id":79,"tracker_id":40,"status_id":1,"priority_id":2,"assigned_to_id":23,"start_date":"2017-03-14","description":"","custom_fields":[{"id":1,"name":"Subdivision","value":"NW"},{"id":4,"name":"Milepost","value":"5.895"},{"id":17,"name":"Train ID","value":"813-14"},{"id":16,"name":"Locomotive ID","value":"4011"},{"id":130,"name":"Impact","value":""},{"id":150,"name":"Time of Event (Mountain Time)","value":"09:34:36"},{"id":151,"name":"Denver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3"/>
        <v>start /low /b %USERPROFILE%\Documents\GitHub\eaglep3\Utilities\DownloadLogsFromS3.py --loco 4011 --day 2017-03-14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569</v>
      </c>
      <c r="B177" s="7">
        <v>4012</v>
      </c>
      <c r="C177" s="21" t="s">
        <v>233</v>
      </c>
      <c r="D177" s="21" t="s">
        <v>956</v>
      </c>
      <c r="E177" s="13">
        <v>42808.399918981479</v>
      </c>
      <c r="F177" s="13">
        <v>42808.400879629633</v>
      </c>
      <c r="G177" s="7">
        <v>1</v>
      </c>
      <c r="H177" s="21" t="s">
        <v>975</v>
      </c>
      <c r="I177" s="13">
        <v>42808.414351851854</v>
      </c>
      <c r="J177" s="7">
        <v>0</v>
      </c>
      <c r="K177" s="98" t="str">
        <f t="shared" si="49"/>
        <v>4011/4012</v>
      </c>
      <c r="L177" s="21" t="str">
        <f>VLOOKUP(A177,'Trips&amp;Operators'!$C$1:$G$99999,5,FALSE)</f>
        <v>BROWN JACOB</v>
      </c>
      <c r="M177" s="6">
        <f t="shared" si="50"/>
        <v>1.3472222221025731E-2</v>
      </c>
      <c r="N177" s="7">
        <f t="shared" si="65"/>
        <v>19.399999998277053</v>
      </c>
      <c r="O177" s="7"/>
      <c r="P177" s="7"/>
      <c r="Q177" s="22"/>
      <c r="R177" s="22"/>
      <c r="S177" s="31">
        <f t="shared" si="66"/>
        <v>1</v>
      </c>
      <c r="T177" s="46" t="str">
        <f t="shared" si="51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2"/>
        <v>https://d0f6bd738d7f1b3e5a7ca70fe4ff75f0.us-east-1.aws.found.io/app/kibana#/discover/Steve-Slow-Train-Analysis-(2080s-and-2083s)?_g=(refreshInterval:(display:Off,pause:!f,section:0,value:0),time:(from:'2017-03-14T08:35:53-0600',mode:absolute,to:'2017-03-14T10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7" s="187" t="str">
        <f t="shared" si="53"/>
        <v>N</v>
      </c>
      <c r="X177" s="187">
        <f t="shared" si="67"/>
        <v>1</v>
      </c>
      <c r="Y177" s="62">
        <f t="shared" si="54"/>
        <v>5.8635999999999999</v>
      </c>
      <c r="Z177" s="62">
        <f t="shared" si="64"/>
        <v>7.22E-2</v>
      </c>
      <c r="AA177" s="62">
        <f t="shared" si="56"/>
        <v>5.7914000000000003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7"/>
        <v>0814-14</v>
      </c>
      <c r="AE177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77" s="82" t="str">
        <f t="shared" si="59"/>
        <v>"C:\Program Files (x86)\AstroGrep\AstroGrep.exe" /e /r /s /spath="%USERPROFILE%\AppData\Local\Temp\OnboardLogs" /stypes="app*4012*20170314*" /stext=" 15:.+((SYSTEM_STATE.+slice.+state.+changed )|(ment ac)|(multiple cpu faults)|(system.+state.+changed )|(\[timeout)|(PRM\|1\|D)|(kpr)|(kdp)|(\|lc)|(penalty))"</v>
      </c>
      <c r="AG177" s="1" t="str">
        <f t="shared" si="60"/>
        <v>NW</v>
      </c>
      <c r="AH177" s="86" t="str">
        <f t="shared" si="61"/>
        <v>"%USERPROFILE%\Documents\GitHub\eaglep3\Utilities\RefineRTDCRunTimes.py" --tripid 814-14 --locoid 4012 --swversion DE.1.0.9.0 --startMP 300:58636 --initTime 2017-03-14T09:35:53 --startdatetime 2017-03-14T09:37:16 --delay 1 --endMP 204:722 --enddatetime 2017-03-14T09:56:40 --enforcementcount 0 &gt;&gt;C:\Users\stu\Documents\GitHub\eaglep3-reporting\EC\2017-03-14-refined-times.txt</v>
      </c>
      <c r="AI177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{"issue":{"subject":"","project_id":79,"tracker_id":40,"status_id":1,"priority_id":2,"assigned_to_id":23,"start_date":"2017-03-14","description":"","custom_fields":[{"id":1,"name":"Subdivision","value":"NW"},{"id":4,"name":"Milepost","value":"0.0722"},{"id":17,"name":"Train ID","value":"814-14"},{"id":16,"name":"Locomotive ID","value":"4012"},{"id":130,"name":"Impact","value":""},{"id":150,"name":"Time of Event (Mountain Time)","value":"09:56:40"},{"id":151,"name":"Denver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3"/>
        <v>start /low /b %USERPROFILE%\Documents\GitHub\eaglep3\Utilities\DownloadLogsFromS3.py --loco 4012 --day 2017-03-14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178" spans="1:91" s="20" customFormat="1" x14ac:dyDescent="0.25">
      <c r="A178" s="33" t="s">
        <v>679</v>
      </c>
      <c r="B178" s="7">
        <v>4011</v>
      </c>
      <c r="C178" s="21" t="s">
        <v>233</v>
      </c>
      <c r="D178" s="21" t="s">
        <v>976</v>
      </c>
      <c r="E178" s="13">
        <v>42808.427789351852</v>
      </c>
      <c r="F178" s="13">
        <v>42808.428888888891</v>
      </c>
      <c r="G178" s="7">
        <v>1</v>
      </c>
      <c r="H178" s="21" t="s">
        <v>977</v>
      </c>
      <c r="I178" s="13">
        <v>42808.441365740742</v>
      </c>
      <c r="J178" s="7">
        <v>0</v>
      </c>
      <c r="K178" s="98" t="str">
        <f t="shared" si="49"/>
        <v>4011/4012</v>
      </c>
      <c r="L178" s="21" t="str">
        <f>VLOOKUP(A178,'Trips&amp;Operators'!$C$1:$G$99999,5,FALSE)</f>
        <v>BROWN JACOB</v>
      </c>
      <c r="M178" s="6">
        <f t="shared" si="50"/>
        <v>1.247685185080627E-2</v>
      </c>
      <c r="N178" s="7">
        <f t="shared" si="65"/>
        <v>17.966666665161029</v>
      </c>
      <c r="O178" s="7"/>
      <c r="P178" s="7"/>
      <c r="Q178" s="22"/>
      <c r="R178" s="22"/>
      <c r="S178" s="31">
        <f t="shared" si="66"/>
        <v>1</v>
      </c>
      <c r="T178" s="46" t="str">
        <f t="shared" si="51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2"/>
        <v>https://d0f6bd738d7f1b3e5a7ca70fe4ff75f0.us-east-1.aws.found.io/app/kibana#/discover/Steve-Slow-Train-Analysis-(2080s-and-2083s)?_g=(refreshInterval:(display:Off,pause:!f,section:0,value:0),time:(from:'2017-03-14T09:16:01-0600',mode:absolute,to:'2017-03-14T11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8" s="187" t="str">
        <f t="shared" si="53"/>
        <v>N</v>
      </c>
      <c r="X178" s="187">
        <f t="shared" si="67"/>
        <v>1</v>
      </c>
      <c r="Y178" s="62">
        <f t="shared" si="54"/>
        <v>0.1016</v>
      </c>
      <c r="Z178" s="62">
        <f t="shared" si="64"/>
        <v>5.8956</v>
      </c>
      <c r="AA178" s="62">
        <f t="shared" si="56"/>
        <v>5.7939999999999996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7"/>
        <v>0815-14</v>
      </c>
      <c r="AE178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78" s="82" t="str">
        <f t="shared" si="59"/>
        <v>"C:\Program Files (x86)\AstroGrep\AstroGrep.exe" /e /r /s /spath="%USERPROFILE%\AppData\Local\Temp\OnboardLogs" /stypes="app*4011*20170314*" /stext=" 16:.+((SYSTEM_STATE.+slice.+state.+changed )|(ment ac)|(multiple cpu faults)|(system.+state.+changed )|(\[timeout)|(PRM\|1\|D)|(kpr)|(kdp)|(\|lc)|(penalty))"</v>
      </c>
      <c r="AG178" s="1" t="str">
        <f t="shared" si="60"/>
        <v>NW</v>
      </c>
      <c r="AH178" s="86" t="str">
        <f t="shared" si="61"/>
        <v>"%USERPROFILE%\Documents\GitHub\eaglep3\Utilities\RefineRTDCRunTimes.py" --tripid 815-14 --locoid 4011 --swversion DE.1.0.9.0 --startMP 204:1016 --initTime 2017-03-14T10:16:01 --startdatetime 2017-03-14T10:17:36 --delay 1 --endMP 300:58956 --enddatetime 2017-03-14T10:35:34 --enforcementcount 0 &gt;&gt;C:\Users\stu\Documents\GitHub\eaglep3-reporting\EC\2017-03-14-refined-times.txt</v>
      </c>
      <c r="AI178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{"issue":{"subject":"","project_id":79,"tracker_id":40,"status_id":1,"priority_id":2,"assigned_to_id":23,"start_date":"2017-03-14","description":"","custom_fields":[{"id":1,"name":"Subdivision","value":"NW"},{"id":4,"name":"Milepost","value":"5.8956"},{"id":17,"name":"Train ID","value":"815-14"},{"id":16,"name":"Locomotive ID","value":"4011"},{"id":130,"name":"Impact","value":""},{"id":150,"name":"Time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3"/>
        <v>start /low /b %USERPROFILE%\Documents\GitHub\eaglep3\Utilities\DownloadLogsFromS3.py --loco 4011 --day 2017-03-14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571</v>
      </c>
      <c r="B179" s="7">
        <v>4012</v>
      </c>
      <c r="C179" s="21" t="s">
        <v>233</v>
      </c>
      <c r="D179" s="21" t="s">
        <v>978</v>
      </c>
      <c r="E179" s="13">
        <v>42808.442187499997</v>
      </c>
      <c r="F179" s="13">
        <v>42808.443067129629</v>
      </c>
      <c r="G179" s="7">
        <v>1</v>
      </c>
      <c r="H179" s="21" t="s">
        <v>979</v>
      </c>
      <c r="I179" s="13">
        <v>42808.455011574071</v>
      </c>
      <c r="J179" s="7">
        <v>0</v>
      </c>
      <c r="K179" s="98" t="str">
        <f t="shared" si="49"/>
        <v>4011/4012</v>
      </c>
      <c r="L179" s="21" t="str">
        <f>VLOOKUP(A179,'Trips&amp;Operators'!$C$1:$G$99999,5,FALSE)</f>
        <v>BROWN JACOB</v>
      </c>
      <c r="M179" s="6">
        <f t="shared" si="50"/>
        <v>1.1944444442633539E-2</v>
      </c>
      <c r="N179" s="7">
        <f t="shared" si="65"/>
        <v>17.199999997392297</v>
      </c>
      <c r="O179" s="7"/>
      <c r="P179" s="7"/>
      <c r="Q179" s="22"/>
      <c r="R179" s="22"/>
      <c r="S179" s="31">
        <f t="shared" si="66"/>
        <v>1</v>
      </c>
      <c r="T179" s="46" t="str">
        <f t="shared" si="51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2"/>
        <v>https://d0f6bd738d7f1b3e5a7ca70fe4ff75f0.us-east-1.aws.found.io/app/kibana#/discover/Steve-Slow-Train-Analysis-(2080s-and-2083s)?_g=(refreshInterval:(display:Off,pause:!f,section:0,value:0),time:(from:'2017-03-14T09:36:45-0600',mode:absolute,to:'2017-03-14T11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9" s="187" t="str">
        <f t="shared" si="53"/>
        <v>N</v>
      </c>
      <c r="X179" s="187">
        <f t="shared" si="67"/>
        <v>1</v>
      </c>
      <c r="Y179" s="62">
        <f t="shared" si="54"/>
        <v>5.8640999999999996</v>
      </c>
      <c r="Z179" s="62">
        <f t="shared" si="64"/>
        <v>7.4700000000000003E-2</v>
      </c>
      <c r="AA179" s="62">
        <f t="shared" si="56"/>
        <v>5.7893999999999997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7"/>
        <v>0816-14</v>
      </c>
      <c r="AE179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79" s="82" t="str">
        <f t="shared" si="59"/>
        <v>"C:\Program Files (x86)\AstroGrep\AstroGrep.exe" /e /r /s /spath="%USERPROFILE%\AppData\Local\Temp\OnboardLogs" /stypes="app*4012*20170314*" /stext=" 16:.+((SYSTEM_STATE.+slice.+state.+changed )|(ment ac)|(multiple cpu faults)|(system.+state.+changed )|(\[timeout)|(PRM\|1\|D)|(kpr)|(kdp)|(\|lc)|(penalty))"</v>
      </c>
      <c r="AG179" s="1" t="str">
        <f t="shared" si="60"/>
        <v>NW</v>
      </c>
      <c r="AH179" s="86" t="str">
        <f t="shared" si="61"/>
        <v>"%USERPROFILE%\Documents\GitHub\eaglep3\Utilities\RefineRTDCRunTimes.py" --tripid 816-14 --locoid 4012 --swversion DE.1.0.9.0 --startMP 300:58641 --initTime 2017-03-14T10:36:45 --startdatetime 2017-03-14T10:38:01 --delay 1 --endMP 204:747 --enddatetime 2017-03-14T10:55:13 --enforcementcount 0 &gt;&gt;C:\Users\stu\Documents\GitHub\eaglep3-reporting\EC\2017-03-14-refined-times.txt</v>
      </c>
      <c r="AI179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{"issue":{"subject":"","project_id":79,"tracker_id":40,"status_id":1,"priority_id":2,"assigned_to_id":23,"start_date":"2017-03-14","description":"","custom_fields":[{"id":1,"name":"Subdivision","value":"NW"},{"id":4,"name":"Milepost","value":"0.0747"},{"id":17,"name":"Train ID","value":"816-14"},{"id":16,"name":"Locomotive ID","value":"4012"},{"id":130,"name":"Impact","value":""},{"id":150,"name":"Time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3"/>
        <v>start /low /b %USERPROFILE%\Documents\GitHub\eaglep3\Utilities\DownloadLogsFromS3.py --loco 4012 --day 2017-03-14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180" spans="1:91" x14ac:dyDescent="0.25">
      <c r="A180" s="33" t="s">
        <v>691</v>
      </c>
      <c r="B180" s="7">
        <v>4011</v>
      </c>
      <c r="C180" s="21" t="s">
        <v>233</v>
      </c>
      <c r="D180" s="21" t="s">
        <v>980</v>
      </c>
      <c r="E180" s="13">
        <v>42808.468993055554</v>
      </c>
      <c r="F180" s="13">
        <v>42808.470451388886</v>
      </c>
      <c r="G180" s="7">
        <v>2</v>
      </c>
      <c r="H180" s="21" t="s">
        <v>981</v>
      </c>
      <c r="I180" s="13">
        <v>42808.482488425929</v>
      </c>
      <c r="J180" s="7">
        <v>0</v>
      </c>
      <c r="K180" s="98" t="str">
        <f t="shared" si="49"/>
        <v>4011/4012</v>
      </c>
      <c r="L180" s="21" t="str">
        <f>VLOOKUP(A180,'Trips&amp;Operators'!$C$1:$G$99999,5,FALSE)</f>
        <v>BROWN JACOB</v>
      </c>
      <c r="M180" s="6">
        <f t="shared" si="50"/>
        <v>1.2037037042318843E-2</v>
      </c>
      <c r="N180" s="7">
        <f t="shared" si="65"/>
        <v>17.333333340939134</v>
      </c>
      <c r="O180" s="7"/>
      <c r="P180" s="7"/>
      <c r="Q180" s="22"/>
      <c r="R180" s="22"/>
      <c r="S180" s="31">
        <f t="shared" si="66"/>
        <v>1</v>
      </c>
      <c r="T180" s="46" t="str">
        <f t="shared" si="51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2"/>
        <v>https://d0f6bd738d7f1b3e5a7ca70fe4ff75f0.us-east-1.aws.found.io/app/kibana#/discover/Steve-Slow-Train-Analysis-(2080s-and-2083s)?_g=(refreshInterval:(display:Off,pause:!f,section:0,value:0),time:(from:'2017-03-14T10:15:21-0600',mode:absolute,to:'2017-03-14T12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0" s="187" t="str">
        <f t="shared" si="53"/>
        <v>N</v>
      </c>
      <c r="X180" s="187">
        <f t="shared" si="67"/>
        <v>1</v>
      </c>
      <c r="Y180" s="62">
        <f t="shared" si="54"/>
        <v>0.10299999999999999</v>
      </c>
      <c r="Z180" s="62">
        <f t="shared" si="64"/>
        <v>5.8954000000000004</v>
      </c>
      <c r="AA180" s="62">
        <f t="shared" si="56"/>
        <v>5.7924000000000007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7"/>
        <v>0817-14</v>
      </c>
      <c r="AE180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80" s="82" t="str">
        <f t="shared" si="59"/>
        <v>"C:\Program Files (x86)\AstroGrep\AstroGrep.exe" /e /r /s /spath="%USERPROFILE%\AppData\Local\Temp\OnboardLogs" /stypes="app*4011*20170314*" /stext=" 17:.+((SYSTEM_STATE.+slice.+state.+changed )|(ment ac)|(multiple cpu faults)|(system.+state.+changed )|(\[timeout)|(PRM\|1\|D)|(kpr)|(kdp)|(\|lc)|(penalty))"</v>
      </c>
      <c r="AG180" s="1" t="str">
        <f t="shared" si="60"/>
        <v>NW</v>
      </c>
      <c r="AH180" s="86" t="str">
        <f t="shared" si="61"/>
        <v>"%USERPROFILE%\Documents\GitHub\eaglep3\Utilities\RefineRTDCRunTimes.py" --tripid 817-14 --locoid 4011 --swversion DE.1.0.9.0 --startMP 204:1030 --initTime 2017-03-14T11:15:21 --startdatetime 2017-03-14T11:17:27 --delay 2 --endMP 300:58954 --enddatetime 2017-03-14T11:34:47 --enforcementcount 0 &gt;&gt;C:\Users\stu\Documents\GitHub\eaglep3-reporting\EC\2017-03-14-refined-times.txt</v>
      </c>
      <c r="AI180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{"issue":{"subject":"","project_id":79,"tracker_id":40,"status_id":1,"priority_id":2,"assigned_to_id":23,"start_date":"2017-03-14","description":"","custom_fields":[{"id":1,"name":"Subdivision","value":"NW"},{"id":4,"name":"Milepost","value":"5.8954"},{"id":17,"name":"Train ID","value":"817-14"},{"id":16,"name":"Locomotive ID","value":"4011"},{"id":130,"name":"Impact","value":""},{"id":150,"name":"Time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3"/>
        <v>start /low /b %USERPROFILE%\Documents\GitHub\eaglep3\Utilities\DownloadLogsFromS3.py --loco 4011 --day 2017-03-14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</row>
    <row r="181" spans="1:91" x14ac:dyDescent="0.25">
      <c r="A181" s="33" t="s">
        <v>573</v>
      </c>
      <c r="B181" s="7">
        <v>4012</v>
      </c>
      <c r="C181" s="21" t="s">
        <v>233</v>
      </c>
      <c r="D181" s="21" t="s">
        <v>952</v>
      </c>
      <c r="E181" s="13">
        <v>42808.483310185184</v>
      </c>
      <c r="F181" s="13">
        <v>42808.484537037039</v>
      </c>
      <c r="G181" s="7">
        <v>1</v>
      </c>
      <c r="H181" s="21" t="s">
        <v>982</v>
      </c>
      <c r="I181" s="13">
        <v>42808.497685185182</v>
      </c>
      <c r="J181" s="7">
        <v>0</v>
      </c>
      <c r="K181" s="98" t="str">
        <f t="shared" si="49"/>
        <v>4011/4012</v>
      </c>
      <c r="L181" s="21" t="str">
        <f>VLOOKUP(A181,'Trips&amp;Operators'!$C$1:$G$99999,5,FALSE)</f>
        <v>BROWN JACOB</v>
      </c>
      <c r="M181" s="6">
        <f t="shared" si="50"/>
        <v>1.3148148143955041E-2</v>
      </c>
      <c r="N181" s="7">
        <f t="shared" si="65"/>
        <v>18.933333327295259</v>
      </c>
      <c r="O181" s="7"/>
      <c r="P181" s="7"/>
      <c r="Q181" s="22"/>
      <c r="R181" s="22"/>
      <c r="S181" s="31">
        <f t="shared" si="66"/>
        <v>1</v>
      </c>
      <c r="T181" s="46" t="str">
        <f t="shared" si="51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2"/>
        <v>https://d0f6bd738d7f1b3e5a7ca70fe4ff75f0.us-east-1.aws.found.io/app/kibana#/discover/Steve-Slow-Train-Analysis-(2080s-and-2083s)?_g=(refreshInterval:(display:Off,pause:!f,section:0,value:0),time:(from:'2017-03-14T10:35:58-0600',mode:absolute,to:'2017-03-14T12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1" s="187" t="str">
        <f t="shared" si="53"/>
        <v>N</v>
      </c>
      <c r="X181" s="187">
        <f t="shared" si="67"/>
        <v>1</v>
      </c>
      <c r="Y181" s="62">
        <f t="shared" si="54"/>
        <v>5.8632</v>
      </c>
      <c r="Z181" s="62">
        <f t="shared" si="64"/>
        <v>7.3800000000000004E-2</v>
      </c>
      <c r="AA181" s="62">
        <f t="shared" si="56"/>
        <v>5.7893999999999997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7"/>
        <v>0818-14</v>
      </c>
      <c r="AE181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81" s="82" t="str">
        <f t="shared" si="59"/>
        <v>"C:\Program Files (x86)\AstroGrep\AstroGrep.exe" /e /r /s /spath="%USERPROFILE%\AppData\Local\Temp\OnboardLogs" /stypes="app*4012*20170314*" /stext=" 17:.+((SYSTEM_STATE.+slice.+state.+changed )|(ment ac)|(multiple cpu faults)|(system.+state.+changed )|(\[timeout)|(PRM\|1\|D)|(kpr)|(kdp)|(\|lc)|(penalty))"</v>
      </c>
      <c r="AG181" s="1" t="str">
        <f t="shared" si="60"/>
        <v>NW</v>
      </c>
      <c r="AH181" s="86" t="str">
        <f t="shared" si="61"/>
        <v>"%USERPROFILE%\Documents\GitHub\eaglep3\Utilities\RefineRTDCRunTimes.py" --tripid 818-14 --locoid 4012 --swversion DE.1.0.9.0 --startMP 300:58632 --initTime 2017-03-14T11:35:58 --startdatetime 2017-03-14T11:37:44 --delay 1 --endMP 204:738 --enddatetime 2017-03-14T11:56:40 --enforcementcount 0 &gt;&gt;C:\Users\stu\Documents\GitHub\eaglep3-reporting\EC\2017-03-14-refined-times.txt</v>
      </c>
      <c r="AI181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{"issue":{"subject":"","project_id":79,"tracker_id":40,"status_id":1,"priority_id":2,"assigned_to_id":23,"start_date":"2017-03-14","description":"","custom_fields":[{"id":1,"name":"Subdivision","value":"NW"},{"id":4,"name":"Milepost","value":"0.0738"},{"id":17,"name":"Train ID","value":"818-14"},{"id":16,"name":"Locomotive ID","value":"4012"},{"id":130,"name":"Impact","value":""},{"id":150,"name":"Time of Event (Mountain Time)","value":"11:56:40"},{"id":151,"name":"Denver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3"/>
        <v>start /low /b %USERPROFILE%\Documents\GitHub\eaglep3\Utilities\DownloadLogsFromS3.py --loco 4012 --day 2017-03-14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182" spans="1:91" s="20" customFormat="1" x14ac:dyDescent="0.25">
      <c r="A182" s="33" t="s">
        <v>698</v>
      </c>
      <c r="B182" s="7">
        <v>4011</v>
      </c>
      <c r="C182" s="21" t="s">
        <v>233</v>
      </c>
      <c r="D182" s="21" t="s">
        <v>976</v>
      </c>
      <c r="E182" s="13">
        <v>42808.510254629633</v>
      </c>
      <c r="F182" s="13">
        <v>42808.51153935185</v>
      </c>
      <c r="G182" s="7">
        <v>1</v>
      </c>
      <c r="H182" s="21" t="s">
        <v>977</v>
      </c>
      <c r="I182" s="13">
        <v>42808.524351851855</v>
      </c>
      <c r="J182" s="7">
        <v>0</v>
      </c>
      <c r="K182" s="98" t="str">
        <f t="shared" si="49"/>
        <v>4011/4012</v>
      </c>
      <c r="L182" s="21" t="str">
        <f>VLOOKUP(A182,'Trips&amp;Operators'!$C$1:$G$99999,5,FALSE)</f>
        <v>BROWN JACOB</v>
      </c>
      <c r="M182" s="6">
        <f t="shared" si="50"/>
        <v>1.2812500004656613E-2</v>
      </c>
      <c r="N182" s="7">
        <f t="shared" si="65"/>
        <v>18.450000006705523</v>
      </c>
      <c r="O182" s="7"/>
      <c r="P182" s="7"/>
      <c r="Q182" s="22"/>
      <c r="R182" s="22"/>
      <c r="S182" s="31">
        <f t="shared" si="66"/>
        <v>1</v>
      </c>
      <c r="T182" s="46" t="str">
        <f t="shared" si="51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2"/>
        <v>https://d0f6bd738d7f1b3e5a7ca70fe4ff75f0.us-east-1.aws.found.io/app/kibana#/discover/Steve-Slow-Train-Analysis-(2080s-and-2083s)?_g=(refreshInterval:(display:Off,pause:!f,section:0,value:0),time:(from:'2017-03-14T11:14:46-0600',mode:absolute,to:'2017-03-14T13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2" s="187" t="str">
        <f t="shared" si="53"/>
        <v>N</v>
      </c>
      <c r="X182" s="187">
        <f t="shared" si="67"/>
        <v>1</v>
      </c>
      <c r="Y182" s="62">
        <f t="shared" si="54"/>
        <v>0.1016</v>
      </c>
      <c r="Z182" s="62">
        <f t="shared" si="64"/>
        <v>5.8956</v>
      </c>
      <c r="AA182" s="62">
        <f t="shared" si="56"/>
        <v>5.7939999999999996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7"/>
        <v>0819-14</v>
      </c>
      <c r="AE182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82" s="82" t="str">
        <f t="shared" si="59"/>
        <v>"C:\Program Files (x86)\AstroGrep\AstroGrep.exe" /e /r /s /spath="%USERPROFILE%\AppData\Local\Temp\OnboardLogs" /stypes="app*4011*20170314*" /stext=" 18:.+((SYSTEM_STATE.+slice.+state.+changed )|(ment ac)|(multiple cpu faults)|(system.+state.+changed )|(\[timeout)|(PRM\|1\|D)|(kpr)|(kdp)|(\|lc)|(penalty))"</v>
      </c>
      <c r="AG182" s="1" t="str">
        <f t="shared" si="60"/>
        <v>NW</v>
      </c>
      <c r="AH182" s="86" t="str">
        <f t="shared" si="61"/>
        <v>"%USERPROFILE%\Documents\GitHub\eaglep3\Utilities\RefineRTDCRunTimes.py" --tripid 819-14 --locoid 4011 --swversion DE.1.0.9.0 --startMP 204:1016 --initTime 2017-03-14T12:14:46 --startdatetime 2017-03-14T12:16:37 --delay 1 --endMP 300:58956 --enddatetime 2017-03-14T12:35:04 --enforcementcount 0 &gt;&gt;C:\Users\stu\Documents\GitHub\eaglep3-reporting\EC\2017-03-14-refined-times.txt</v>
      </c>
      <c r="AI182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{"issue":{"subject":"","project_id":79,"tracker_id":40,"status_id":1,"priority_id":2,"assigned_to_id":23,"start_date":"2017-03-14","description":"","custom_fields":[{"id":1,"name":"Subdivision","value":"NW"},{"id":4,"name":"Milepost","value":"5.8956"},{"id":17,"name":"Train ID","value":"819-14"},{"id":16,"name":"Locomotive ID","value":"4011"},{"id":130,"name":"Impact","value":""},{"id":150,"name":"Time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3"/>
        <v>start /low /b %USERPROFILE%\Documents\GitHub\eaglep3\Utilities\DownloadLogsFromS3.py --loco 4011 --day 2017-03-14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703</v>
      </c>
      <c r="B183" s="7">
        <v>4012</v>
      </c>
      <c r="C183" s="21" t="s">
        <v>233</v>
      </c>
      <c r="D183" s="21" t="s">
        <v>989</v>
      </c>
      <c r="E183" s="13">
        <v>42808.525243055556</v>
      </c>
      <c r="F183" s="13">
        <v>42808.526006944441</v>
      </c>
      <c r="G183" s="7">
        <v>1</v>
      </c>
      <c r="H183" s="21" t="s">
        <v>975</v>
      </c>
      <c r="I183" s="13">
        <v>42808.539178240739</v>
      </c>
      <c r="J183" s="7">
        <v>0</v>
      </c>
      <c r="K183" s="98" t="str">
        <f t="shared" si="49"/>
        <v>4011/4012</v>
      </c>
      <c r="L183" s="21" t="str">
        <f>VLOOKUP(A183,'Trips&amp;Operators'!$C$1:$G$99999,5,FALSE)</f>
        <v>BROWN JACOB</v>
      </c>
      <c r="M183" s="6">
        <f t="shared" si="50"/>
        <v>1.3171296297514345E-2</v>
      </c>
      <c r="N183" s="7">
        <f t="shared" si="65"/>
        <v>18.966666668420658</v>
      </c>
      <c r="O183" s="7"/>
      <c r="P183" s="7"/>
      <c r="Q183" s="22"/>
      <c r="R183" s="22"/>
      <c r="S183" s="31">
        <f t="shared" si="66"/>
        <v>1</v>
      </c>
      <c r="T183" s="46" t="str">
        <f t="shared" si="51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2"/>
        <v>https://d0f6bd738d7f1b3e5a7ca70fe4ff75f0.us-east-1.aws.found.io/app/kibana#/discover/Steve-Slow-Train-Analysis-(2080s-and-2083s)?_g=(refreshInterval:(display:Off,pause:!f,section:0,value:0),time:(from:'2017-03-14T11:36:21-0600',mode:absolute,to:'2017-03-14T13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3" s="187" t="str">
        <f t="shared" si="53"/>
        <v>N</v>
      </c>
      <c r="X183" s="187">
        <f t="shared" si="67"/>
        <v>1</v>
      </c>
      <c r="Y183" s="62">
        <f t="shared" si="54"/>
        <v>5.8639999999999999</v>
      </c>
      <c r="Z183" s="62">
        <f t="shared" si="64"/>
        <v>7.22E-2</v>
      </c>
      <c r="AA183" s="62">
        <f t="shared" si="56"/>
        <v>5.7918000000000003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7"/>
        <v>0820-14</v>
      </c>
      <c r="AE183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83" s="82" t="str">
        <f t="shared" si="59"/>
        <v>"C:\Program Files (x86)\AstroGrep\AstroGrep.exe" /e /r /s /spath="%USERPROFILE%\AppData\Local\Temp\OnboardLogs" /stypes="app*4012*20170314*" /stext=" 18:.+((SYSTEM_STATE.+slice.+state.+changed )|(ment ac)|(multiple cpu faults)|(system.+state.+changed )|(\[timeout)|(PRM\|1\|D)|(kpr)|(kdp)|(\|lc)|(penalty))"</v>
      </c>
      <c r="AG183" s="1" t="str">
        <f t="shared" si="60"/>
        <v>NW</v>
      </c>
      <c r="AH183" s="86" t="str">
        <f t="shared" si="61"/>
        <v>"%USERPROFILE%\Documents\GitHub\eaglep3\Utilities\RefineRTDCRunTimes.py" --tripid 820-14 --locoid 4012 --swversion DE.1.0.9.0 --startMP 300:58640 --initTime 2017-03-14T12:36:21 --startdatetime 2017-03-14T12:37:27 --delay 1 --endMP 204:722 --enddatetime 2017-03-14T12:56:25 --enforcementcount 0 &gt;&gt;C:\Users\stu\Documents\GitHub\eaglep3-reporting\EC\2017-03-14-refined-times.txt</v>
      </c>
      <c r="AI183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{"issue":{"subject":"","project_id":79,"tracker_id":40,"status_id":1,"priority_id":2,"assigned_to_id":23,"start_date":"2017-03-14","description":"","custom_fields":[{"id":1,"name":"Subdivision","value":"NW"},{"id":4,"name":"Milepost","value":"0.0722"},{"id":17,"name":"Train ID","value":"820-14"},{"id":16,"name":"Locomotive ID","value":"4012"},{"id":130,"name":"Impact","value":""},{"id":150,"name":"Time of Event (Mountain Time)","value":"12:56:25"},{"id":151,"name":"Denver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3"/>
        <v>start /low /b %USERPROFILE%\Documents\GitHub\eaglep3\Utilities\DownloadLogsFromS3.py --loco 4012 --day 2017-03-14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184" spans="1:91" s="20" customFormat="1" x14ac:dyDescent="0.25">
      <c r="A184" s="33" t="s">
        <v>707</v>
      </c>
      <c r="B184" s="7">
        <v>4011</v>
      </c>
      <c r="C184" s="21" t="s">
        <v>233</v>
      </c>
      <c r="D184" s="21" t="s">
        <v>990</v>
      </c>
      <c r="E184" s="13">
        <v>42808.549513888887</v>
      </c>
      <c r="F184" s="13">
        <v>42808.551122685189</v>
      </c>
      <c r="G184" s="7">
        <v>2</v>
      </c>
      <c r="H184" s="21" t="s">
        <v>458</v>
      </c>
      <c r="I184" s="13">
        <v>42808.565312500003</v>
      </c>
      <c r="J184" s="7">
        <v>0</v>
      </c>
      <c r="K184" s="98" t="str">
        <f t="shared" si="49"/>
        <v>4011/4012</v>
      </c>
      <c r="L184" s="21" t="str">
        <f>VLOOKUP(A184,'Trips&amp;Operators'!$C$1:$G$99999,5,FALSE)</f>
        <v>LEVIN SCOTT</v>
      </c>
      <c r="M184" s="6">
        <f t="shared" si="50"/>
        <v>1.4189814814017154E-2</v>
      </c>
      <c r="N184" s="7">
        <f t="shared" si="65"/>
        <v>20.433333332184702</v>
      </c>
      <c r="O184" s="7"/>
      <c r="P184" s="7"/>
      <c r="Q184" s="22"/>
      <c r="R184" s="22"/>
      <c r="S184" s="31">
        <f t="shared" si="66"/>
        <v>1</v>
      </c>
      <c r="T184" s="46" t="str">
        <f t="shared" si="51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2"/>
        <v>https://d0f6bd738d7f1b3e5a7ca70fe4ff75f0.us-east-1.aws.found.io/app/kibana#/discover/Steve-Slow-Train-Analysis-(2080s-and-2083s)?_g=(refreshInterval:(display:Off,pause:!f,section:0,value:0),time:(from:'2017-03-14T12:11:18-0600',mode:absolute,to:'2017-03-14T14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4" s="187" t="str">
        <f t="shared" si="53"/>
        <v>N</v>
      </c>
      <c r="X184" s="187">
        <f t="shared" si="67"/>
        <v>1</v>
      </c>
      <c r="Y184" s="62">
        <f t="shared" si="54"/>
        <v>0.1046</v>
      </c>
      <c r="Z184" s="62">
        <f t="shared" ref="Z184:Z215" si="68">RIGHT(H184,LEN(H184)-4)/10000</f>
        <v>5.8929</v>
      </c>
      <c r="AA184" s="62">
        <f t="shared" si="56"/>
        <v>5.7883000000000004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7"/>
        <v>0821-14</v>
      </c>
      <c r="AE184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84" s="82" t="str">
        <f t="shared" si="59"/>
        <v>"C:\Program Files (x86)\AstroGrep\AstroGrep.exe" /e /r /s /spath="%USERPROFILE%\AppData\Local\Temp\OnboardLogs" /stypes="app*4011*20170314*" /stext=" 19:.+((SYSTEM_STATE.+slice.+state.+changed )|(ment ac)|(multiple cpu faults)|(system.+state.+changed )|(\[timeout)|(PRM\|1\|D)|(kpr)|(kdp)|(\|lc)|(penalty))"</v>
      </c>
      <c r="AG184" s="1" t="str">
        <f t="shared" si="60"/>
        <v>NW</v>
      </c>
      <c r="AH184" s="86" t="str">
        <f t="shared" si="61"/>
        <v>"%USERPROFILE%\Documents\GitHub\eaglep3\Utilities\RefineRTDCRunTimes.py" --tripid 821-14 --locoid 4011 --swversion DE.1.0.9.0 --startMP 204:1046 --initTime 2017-03-14T13:11:18 --startdatetime 2017-03-14T13:13:37 --delay 2 --endMP 300:58929 --enddatetime 2017-03-14T13:34:03 --enforcementcount 0 &gt;&gt;C:\Users\stu\Documents\GitHub\eaglep3-reporting\EC\2017-03-14-refined-times.txt</v>
      </c>
      <c r="AI184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{"issue":{"subject":"","project_id":79,"tracker_id":40,"status_id":1,"priority_id":2,"assigned_to_id":23,"start_date":"2017-03-14","description":"","custom_fields":[{"id":1,"name":"Subdivision","value":"NW"},{"id":4,"name":"Milepost","value":"5.8929"},{"id":17,"name":"Train ID","value":"821-14"},{"id":16,"name":"Locomotive ID","value":"4011"},{"id":130,"name":"Impact","value":""},{"id":150,"name":"Time of Event (Mountain Time)","value":"13:34:03"},{"id":151,"name":"Denver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3"/>
        <v>start /low /b %USERPROFILE%\Documents\GitHub\eaglep3\Utilities\DownloadLogsFromS3.py --loco 4011 --day 2017-03-14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581</v>
      </c>
      <c r="B185" s="7">
        <v>4012</v>
      </c>
      <c r="C185" s="21" t="s">
        <v>233</v>
      </c>
      <c r="D185" s="21" t="s">
        <v>991</v>
      </c>
      <c r="E185" s="13">
        <v>42808.567060185182</v>
      </c>
      <c r="F185" s="13">
        <v>42808.567997685182</v>
      </c>
      <c r="G185" s="7">
        <v>1</v>
      </c>
      <c r="H185" s="21" t="s">
        <v>823</v>
      </c>
      <c r="I185" s="13">
        <v>42808.579756944448</v>
      </c>
      <c r="J185" s="7">
        <v>0</v>
      </c>
      <c r="K185" s="98" t="str">
        <f t="shared" si="49"/>
        <v>4011/4012</v>
      </c>
      <c r="L185" s="21" t="str">
        <f>VLOOKUP(A185,'Trips&amp;Operators'!$C$1:$G$99999,5,FALSE)</f>
        <v>LEVIN SCOTT</v>
      </c>
      <c r="M185" s="6">
        <f t="shared" si="50"/>
        <v>1.1759259265090805E-2</v>
      </c>
      <c r="N185" s="7">
        <f t="shared" si="65"/>
        <v>16.933333341730759</v>
      </c>
      <c r="O185" s="7"/>
      <c r="P185" s="7"/>
      <c r="Q185" s="22"/>
      <c r="R185" s="22"/>
      <c r="S185" s="31">
        <f t="shared" si="66"/>
        <v>1</v>
      </c>
      <c r="T185" s="46" t="str">
        <f t="shared" si="51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2"/>
        <v>https://d0f6bd738d7f1b3e5a7ca70fe4ff75f0.us-east-1.aws.found.io/app/kibana#/discover/Steve-Slow-Train-Analysis-(2080s-and-2083s)?_g=(refreshInterval:(display:Off,pause:!f,section:0,value:0),time:(from:'2017-03-14T12:36:34-0600',mode:absolute,to:'2017-03-14T14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5" s="187" t="str">
        <f t="shared" si="53"/>
        <v>N</v>
      </c>
      <c r="X185" s="187">
        <f t="shared" si="67"/>
        <v>1</v>
      </c>
      <c r="Y185" s="62">
        <f t="shared" si="54"/>
        <v>5.8604000000000003</v>
      </c>
      <c r="Z185" s="62">
        <f t="shared" si="68"/>
        <v>7.0800000000000002E-2</v>
      </c>
      <c r="AA185" s="62">
        <f t="shared" si="56"/>
        <v>5.7896000000000001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7"/>
        <v>0822-14</v>
      </c>
      <c r="AE185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85" s="82" t="str">
        <f t="shared" si="59"/>
        <v>"C:\Program Files (x86)\AstroGrep\AstroGrep.exe" /e /r /s /spath="%USERPROFILE%\AppData\Local\Temp\OnboardLogs" /stypes="app*4012*20170314*" /stext=" 19:.+((SYSTEM_STATE.+slice.+state.+changed )|(ment ac)|(multiple cpu faults)|(system.+state.+changed )|(\[timeout)|(PRM\|1\|D)|(kpr)|(kdp)|(\|lc)|(penalty))"</v>
      </c>
      <c r="AG185" s="1" t="str">
        <f t="shared" si="60"/>
        <v>NW</v>
      </c>
      <c r="AH185" s="86" t="str">
        <f t="shared" si="61"/>
        <v>"%USERPROFILE%\Documents\GitHub\eaglep3\Utilities\RefineRTDCRunTimes.py" --tripid 822-14 --locoid 4012 --swversion DE.1.0.9.0 --startMP 300:58604 --initTime 2017-03-14T13:36:34 --startdatetime 2017-03-14T13:37:55 --delay 1 --endMP 204:708 --enddatetime 2017-03-14T13:54:51 --enforcementcount 0 &gt;&gt;C:\Users\stu\Documents\GitHub\eaglep3-reporting\EC\2017-03-14-refined-times.txt</v>
      </c>
      <c r="AI185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{"issue":{"subject":"","project_id":79,"tracker_id":40,"status_id":1,"priority_id":2,"assigned_to_id":23,"start_date":"2017-03-14","description":"","custom_fields":[{"id":1,"name":"Subdivision","value":"NW"},{"id":4,"name":"Milepost","value":"0.0708"},{"id":17,"name":"Train ID","value":"822-14"},{"id":16,"name":"Locomotive ID","value":"4012"},{"id":130,"name":"Impact","value":""},{"id":150,"name":"Time of Event (Mountain Time)","value":"13:54:51"},{"id":151,"name":"Denver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3"/>
        <v>start /low /b %USERPROFILE%\Documents\GitHub\eaglep3\Utilities\DownloadLogsFromS3.py --loco 4012 --day 2017-03-14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186" spans="1:91" x14ac:dyDescent="0.25">
      <c r="A186" s="33" t="s">
        <v>714</v>
      </c>
      <c r="B186" s="7">
        <v>4011</v>
      </c>
      <c r="C186" s="21" t="s">
        <v>233</v>
      </c>
      <c r="D186" s="21" t="s">
        <v>992</v>
      </c>
      <c r="E186" s="13">
        <v>42808.594675925924</v>
      </c>
      <c r="F186" s="13">
        <v>42808.59578703704</v>
      </c>
      <c r="G186" s="7">
        <v>1</v>
      </c>
      <c r="H186" s="21" t="s">
        <v>552</v>
      </c>
      <c r="I186" s="13">
        <v>42808.607199074075</v>
      </c>
      <c r="J186" s="7">
        <v>0</v>
      </c>
      <c r="K186" s="98" t="str">
        <f t="shared" si="49"/>
        <v>4011/4012</v>
      </c>
      <c r="L186" s="21" t="str">
        <f>VLOOKUP(A186,'Trips&amp;Operators'!$C$1:$G$99999,5,FALSE)</f>
        <v>LEVIN SCOTT</v>
      </c>
      <c r="M186" s="6">
        <f t="shared" si="50"/>
        <v>1.1412037034460809E-2</v>
      </c>
      <c r="N186" s="7">
        <f t="shared" si="65"/>
        <v>16.433333329623565</v>
      </c>
      <c r="O186" s="7"/>
      <c r="P186" s="7"/>
      <c r="Q186" s="22"/>
      <c r="R186" s="22"/>
      <c r="S186" s="31">
        <f t="shared" si="66"/>
        <v>1</v>
      </c>
      <c r="T186" s="46" t="str">
        <f t="shared" si="51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2"/>
        <v>https://d0f6bd738d7f1b3e5a7ca70fe4ff75f0.us-east-1.aws.found.io/app/kibana#/discover/Steve-Slow-Train-Analysis-(2080s-and-2083s)?_g=(refreshInterval:(display:Off,pause:!f,section:0,value:0),time:(from:'2017-03-14T13:16:20-0600',mode:absolute,to:'2017-03-14T15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6" s="187" t="str">
        <f t="shared" si="53"/>
        <v>N</v>
      </c>
      <c r="X186" s="187">
        <f t="shared" si="67"/>
        <v>1</v>
      </c>
      <c r="Y186" s="62">
        <f t="shared" si="54"/>
        <v>9.8599999999999993E-2</v>
      </c>
      <c r="Z186" s="62">
        <f t="shared" si="68"/>
        <v>5.8928000000000003</v>
      </c>
      <c r="AA186" s="62">
        <f t="shared" si="56"/>
        <v>5.7942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7"/>
        <v>0823-14</v>
      </c>
      <c r="AE186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86" s="82" t="str">
        <f t="shared" si="59"/>
        <v>"C:\Program Files (x86)\AstroGrep\AstroGrep.exe" /e /r /s /spath="%USERPROFILE%\AppData\Local\Temp\OnboardLogs" /stypes="app*4011*20170314*" /stext=" 20:.+((SYSTEM_STATE.+slice.+state.+changed )|(ment ac)|(multiple cpu faults)|(system.+state.+changed )|(\[timeout)|(PRM\|1\|D)|(kpr)|(kdp)|(\|lc)|(penalty))"</v>
      </c>
      <c r="AG186" s="1" t="str">
        <f t="shared" si="60"/>
        <v>NW</v>
      </c>
      <c r="AH186" s="86" t="str">
        <f t="shared" si="61"/>
        <v>"%USERPROFILE%\Documents\GitHub\eaglep3\Utilities\RefineRTDCRunTimes.py" --tripid 823-14 --locoid 4011 --swversion DE.1.0.9.0 --startMP 204:986 --initTime 2017-03-14T14:16:20 --startdatetime 2017-03-14T14:17:56 --delay 1 --endMP 300:58928 --enddatetime 2017-03-14T14:34:22 --enforcementcount 0 &gt;&gt;C:\Users\stu\Documents\GitHub\eaglep3-reporting\EC\2017-03-14-refined-times.txt</v>
      </c>
      <c r="AI186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{"issue":{"subject":"","project_id":79,"tracker_id":40,"status_id":1,"priority_id":2,"assigned_to_id":23,"start_date":"2017-03-14","description":"","custom_fields":[{"id":1,"name":"Subdivision","value":"NW"},{"id":4,"name":"Milepost","value":"5.8928"},{"id":17,"name":"Train ID","value":"823-14"},{"id":16,"name":"Locomotive ID","value":"4011"},{"id":130,"name":"Impact","value":""},{"id":150,"name":"Time of Event (Mountain Time)","value":"14:34:22"},{"id":151,"name":"Denver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3"/>
        <v>start /low /b %USERPROFILE%\Documents\GitHub\eaglep3\Utilities\DownloadLogsFromS3.py --loco 4011 --day 2017-03-14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</row>
    <row r="187" spans="1:91" x14ac:dyDescent="0.25">
      <c r="A187" s="33" t="s">
        <v>718</v>
      </c>
      <c r="B187" s="7">
        <v>4012</v>
      </c>
      <c r="C187" s="21" t="s">
        <v>233</v>
      </c>
      <c r="D187" s="21" t="s">
        <v>554</v>
      </c>
      <c r="E187" s="13">
        <v>42808.608113425929</v>
      </c>
      <c r="F187" s="13">
        <v>42808.609525462962</v>
      </c>
      <c r="G187" s="7">
        <v>2</v>
      </c>
      <c r="H187" s="21" t="s">
        <v>993</v>
      </c>
      <c r="I187" s="13">
        <v>42808.621469907404</v>
      </c>
      <c r="J187" s="7">
        <v>0</v>
      </c>
      <c r="K187" s="98" t="str">
        <f t="shared" si="49"/>
        <v>4011/4012</v>
      </c>
      <c r="L187" s="21" t="str">
        <f>VLOOKUP(A187,'Trips&amp;Operators'!$C$1:$G$99999,5,FALSE)</f>
        <v>LEVIN SCOTT</v>
      </c>
      <c r="M187" s="6">
        <f t="shared" si="50"/>
        <v>1.1944444442633539E-2</v>
      </c>
      <c r="N187" s="7">
        <f t="shared" ref="N187:N218" si="69">24*60*SUM($M187:$M187)</f>
        <v>17.199999997392297</v>
      </c>
      <c r="O187" s="7"/>
      <c r="P187" s="7"/>
      <c r="Q187" s="22"/>
      <c r="R187" s="22"/>
      <c r="S187" s="31">
        <f t="shared" ref="S187:S218" si="70">SUM(U187:U187)/IF(AG187="EC",12,1)</f>
        <v>1</v>
      </c>
      <c r="T187" s="46" t="str">
        <f t="shared" si="51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2"/>
        <v>https://d0f6bd738d7f1b3e5a7ca70fe4ff75f0.us-east-1.aws.found.io/app/kibana#/discover/Steve-Slow-Train-Analysis-(2080s-and-2083s)?_g=(refreshInterval:(display:Off,pause:!f,section:0,value:0),time:(from:'2017-03-14T13:35:41-0600',mode:absolute,to:'2017-03-14T15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7" s="187" t="str">
        <f t="shared" si="53"/>
        <v>N</v>
      </c>
      <c r="X187" s="187">
        <f t="shared" si="67"/>
        <v>1</v>
      </c>
      <c r="Y187" s="62">
        <f t="shared" si="54"/>
        <v>5.8615000000000004</v>
      </c>
      <c r="Z187" s="62">
        <f t="shared" si="68"/>
        <v>6.7000000000000004E-2</v>
      </c>
      <c r="AA187" s="62">
        <f t="shared" si="56"/>
        <v>5.7945000000000002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7"/>
        <v>0824-14</v>
      </c>
      <c r="AE187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87" s="82" t="str">
        <f t="shared" si="59"/>
        <v>"C:\Program Files (x86)\AstroGrep\AstroGrep.exe" /e /r /s /spath="%USERPROFILE%\AppData\Local\Temp\OnboardLogs" /stypes="app*4012*20170314*" /stext=" 20:.+((SYSTEM_STATE.+slice.+state.+changed )|(ment ac)|(multiple cpu faults)|(system.+state.+changed )|(\[timeout)|(PRM\|1\|D)|(kpr)|(kdp)|(\|lc)|(penalty))"</v>
      </c>
      <c r="AG187" s="1" t="str">
        <f t="shared" si="60"/>
        <v>NW</v>
      </c>
      <c r="AH187" s="86" t="str">
        <f t="shared" si="61"/>
        <v>"%USERPROFILE%\Documents\GitHub\eaglep3\Utilities\RefineRTDCRunTimes.py" --tripid 824-14 --locoid 4012 --swversion DE.1.0.9.0 --startMP 300:58615 --initTime 2017-03-14T14:35:41 --startdatetime 2017-03-14T14:37:43 --delay 2 --endMP 204:670 --enddatetime 2017-03-14T14:54:55 --enforcementcount 0 &gt;&gt;C:\Users\stu\Documents\GitHub\eaglep3-reporting\EC\2017-03-14-refined-times.txt</v>
      </c>
      <c r="AI187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{"issue":{"subject":"","project_id":79,"tracker_id":40,"status_id":1,"priority_id":2,"assigned_to_id":23,"start_date":"2017-03-14","description":"","custom_fields":[{"id":1,"name":"Subdivision","value":"NW"},{"id":4,"name":"Milepost","value":"0.067"},{"id":17,"name":"Train ID","value":"824-14"},{"id":16,"name":"Locomotive ID","value":"4012"},{"id":130,"name":"Impact","value":""},{"id":150,"name":"Time of Event (Mountain Time)","value":"14:54:55"},{"id":151,"name":"Denver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3"/>
        <v>start /low /b %USERPROFILE%\Documents\GitHub\eaglep3\Utilities\DownloadLogsFromS3.py --loco 4012 --day 2017-03-14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188" spans="1:91" x14ac:dyDescent="0.25">
      <c r="A188" s="33" t="s">
        <v>721</v>
      </c>
      <c r="B188" s="7">
        <v>4011</v>
      </c>
      <c r="C188" s="21" t="s">
        <v>233</v>
      </c>
      <c r="D188" s="21" t="s">
        <v>546</v>
      </c>
      <c r="E188" s="13">
        <v>42808.636354166665</v>
      </c>
      <c r="F188" s="13">
        <v>42808.63721064815</v>
      </c>
      <c r="G188" s="7">
        <v>1</v>
      </c>
      <c r="H188" s="21" t="s">
        <v>552</v>
      </c>
      <c r="I188" s="13">
        <v>42808.648715277777</v>
      </c>
      <c r="J188" s="7">
        <v>0</v>
      </c>
      <c r="K188" s="98" t="str">
        <f t="shared" si="49"/>
        <v>4011/4012</v>
      </c>
      <c r="L188" s="21" t="str">
        <f>VLOOKUP(A188,'Trips&amp;Operators'!$C$1:$G$99999,5,FALSE)</f>
        <v>LEVIN SCOTT</v>
      </c>
      <c r="M188" s="6">
        <f t="shared" si="50"/>
        <v>1.1504629626870155E-2</v>
      </c>
      <c r="N188" s="7">
        <f t="shared" si="69"/>
        <v>16.566666662693024</v>
      </c>
      <c r="O188" s="7"/>
      <c r="P188" s="7"/>
      <c r="Q188" s="22"/>
      <c r="R188" s="22"/>
      <c r="S188" s="31">
        <f t="shared" si="70"/>
        <v>1</v>
      </c>
      <c r="T188" s="46" t="str">
        <f t="shared" si="51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2"/>
        <v>https://d0f6bd738d7f1b3e5a7ca70fe4ff75f0.us-east-1.aws.found.io/app/kibana#/discover/Steve-Slow-Train-Analysis-(2080s-and-2083s)?_g=(refreshInterval:(display:Off,pause:!f,section:0,value:0),time:(from:'2017-03-14T14:16:21-0600',mode:absolute,to:'2017-03-14T16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8" s="187" t="str">
        <f t="shared" si="53"/>
        <v>N</v>
      </c>
      <c r="X188" s="187">
        <f t="shared" si="67"/>
        <v>1</v>
      </c>
      <c r="Y188" s="62">
        <f t="shared" si="54"/>
        <v>9.5299999999999996E-2</v>
      </c>
      <c r="Z188" s="62">
        <f t="shared" si="68"/>
        <v>5.8928000000000003</v>
      </c>
      <c r="AA188" s="62">
        <f t="shared" si="56"/>
        <v>5.7975000000000003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7"/>
        <v>0825-14</v>
      </c>
      <c r="AE188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88" s="82" t="str">
        <f t="shared" si="59"/>
        <v>"C:\Program Files (x86)\AstroGrep\AstroGrep.exe" /e /r /s /spath="%USERPROFILE%\AppData\Local\Temp\OnboardLogs" /stypes="app*4011*20170314*" /stext=" 21:.+((SYSTEM_STATE.+slice.+state.+changed )|(ment ac)|(multiple cpu faults)|(system.+state.+changed )|(\[timeout)|(PRM\|1\|D)|(kpr)|(kdp)|(\|lc)|(penalty))"</v>
      </c>
      <c r="AG188" s="1" t="str">
        <f t="shared" si="60"/>
        <v>NW</v>
      </c>
      <c r="AH188" s="86" t="str">
        <f t="shared" si="61"/>
        <v>"%USERPROFILE%\Documents\GitHub\eaglep3\Utilities\RefineRTDCRunTimes.py" --tripid 825-14 --locoid 4011 --swversion DE.1.0.9.0 --startMP 204:953 --initTime 2017-03-14T15:16:21 --startdatetime 2017-03-14T15:17:35 --delay 1 --endMP 300:58928 --enddatetime 2017-03-14T15:34:09 --enforcementcount 0 &gt;&gt;C:\Users\stu\Documents\GitHub\eaglep3-reporting\EC\2017-03-14-refined-times.txt</v>
      </c>
      <c r="AI188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{"issue":{"subject":"","project_id":79,"tracker_id":40,"status_id":1,"priority_id":2,"assigned_to_id":23,"start_date":"2017-03-14","description":"","custom_fields":[{"id":1,"name":"Subdivision","value":"NW"},{"id":4,"name":"Milepost","value":"5.8928"},{"id":17,"name":"Train ID","value":"825-14"},{"id":16,"name":"Locomotive ID","value":"4011"},{"id":130,"name":"Impact","value":""},{"id":150,"name":"Time of Event (Mountain Time)","value":"15:34:09"},{"id":151,"name":"Denver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3"/>
        <v>start /low /b %USERPROFILE%\Documents\GitHub\eaglep3\Utilities\DownloadLogsFromS3.py --loco 4011 --day 2017-03-14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</row>
    <row r="189" spans="1:91" x14ac:dyDescent="0.25">
      <c r="A189" s="33" t="s">
        <v>725</v>
      </c>
      <c r="B189" s="7">
        <v>4012</v>
      </c>
      <c r="C189" s="21" t="s">
        <v>233</v>
      </c>
      <c r="D189" s="21" t="s">
        <v>554</v>
      </c>
      <c r="E189" s="13">
        <v>42808.650046296294</v>
      </c>
      <c r="F189" s="13">
        <v>42808.650856481479</v>
      </c>
      <c r="G189" s="7">
        <v>1</v>
      </c>
      <c r="H189" s="21" t="s">
        <v>559</v>
      </c>
      <c r="I189" s="13">
        <v>42808.663425925923</v>
      </c>
      <c r="J189" s="7">
        <v>0</v>
      </c>
      <c r="K189" s="98" t="str">
        <f t="shared" si="49"/>
        <v>4011/4012</v>
      </c>
      <c r="L189" s="21" t="str">
        <f>VLOOKUP(A189,'Trips&amp;Operators'!$C$1:$G$99999,5,FALSE)</f>
        <v>LEVIN SCOTT</v>
      </c>
      <c r="M189" s="6">
        <f t="shared" si="50"/>
        <v>1.2569444443215616E-2</v>
      </c>
      <c r="N189" s="7">
        <f t="shared" si="69"/>
        <v>18.099999998230487</v>
      </c>
      <c r="O189" s="7"/>
      <c r="P189" s="7"/>
      <c r="Q189" s="22"/>
      <c r="R189" s="22"/>
      <c r="S189" s="31">
        <f t="shared" si="70"/>
        <v>1</v>
      </c>
      <c r="T189" s="46" t="str">
        <f t="shared" si="51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2"/>
        <v>https://d0f6bd738d7f1b3e5a7ca70fe4ff75f0.us-east-1.aws.found.io/app/kibana#/discover/Steve-Slow-Train-Analysis-(2080s-and-2083s)?_g=(refreshInterval:(display:Off,pause:!f,section:0,value:0),time:(from:'2017-03-14T14:36:04-0600',mode:absolute,to:'2017-03-14T16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9" s="187" t="str">
        <f t="shared" si="53"/>
        <v>N</v>
      </c>
      <c r="X189" s="187">
        <f t="shared" si="67"/>
        <v>1</v>
      </c>
      <c r="Y189" s="62">
        <f t="shared" si="54"/>
        <v>5.8615000000000004</v>
      </c>
      <c r="Z189" s="62">
        <f t="shared" si="68"/>
        <v>6.5600000000000006E-2</v>
      </c>
      <c r="AA189" s="62">
        <f t="shared" si="56"/>
        <v>5.7959000000000005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7"/>
        <v>0826-14</v>
      </c>
      <c r="AE189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89" s="82" t="str">
        <f t="shared" si="59"/>
        <v>"C:\Program Files (x86)\AstroGrep\AstroGrep.exe" /e /r /s /spath="%USERPROFILE%\AppData\Local\Temp\OnboardLogs" /stypes="app*4012*20170314*" /stext=" 21:.+((SYSTEM_STATE.+slice.+state.+changed )|(ment ac)|(multiple cpu faults)|(system.+state.+changed )|(\[timeout)|(PRM\|1\|D)|(kpr)|(kdp)|(\|lc)|(penalty))"</v>
      </c>
      <c r="AG189" s="1" t="str">
        <f t="shared" si="60"/>
        <v>NW</v>
      </c>
      <c r="AH189" s="86" t="str">
        <f t="shared" si="61"/>
        <v>"%USERPROFILE%\Documents\GitHub\eaglep3\Utilities\RefineRTDCRunTimes.py" --tripid 826-14 --locoid 4012 --swversion DE.1.0.9.0 --startMP 300:58615 --initTime 2017-03-14T15:36:04 --startdatetime 2017-03-14T15:37:14 --delay 1 --endMP 204:656 --enddatetime 2017-03-14T15:55:20 --enforcementcount 0 &gt;&gt;C:\Users\stu\Documents\GitHub\eaglep3-reporting\EC\2017-03-14-refined-times.txt</v>
      </c>
      <c r="AI189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{"issue":{"subject":"","project_id":79,"tracker_id":40,"status_id":1,"priority_id":2,"assigned_to_id":23,"start_date":"2017-03-14","description":"","custom_fields":[{"id":1,"name":"Subdivision","value":"NW"},{"id":4,"name":"Milepost","value":"0.0656"},{"id":17,"name":"Train ID","value":"826-14"},{"id":16,"name":"Locomotive ID","value":"4012"},{"id":130,"name":"Impact","value":""},{"id":150,"name":"Time of Event (Mountain Time)","value":"15:55:20"},{"id":151,"name":"Denver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3"/>
        <v>start /low /b %USERPROFILE%\Documents\GitHub\eaglep3\Utilities\DownloadLogsFromS3.py --loco 4012 --day 2017-03-14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190" spans="1:91" x14ac:dyDescent="0.25">
      <c r="A190" s="33" t="s">
        <v>727</v>
      </c>
      <c r="B190" s="7">
        <v>4024</v>
      </c>
      <c r="C190" s="21" t="s">
        <v>233</v>
      </c>
      <c r="D190" s="21" t="s">
        <v>994</v>
      </c>
      <c r="E190" s="13">
        <v>42808.655787037038</v>
      </c>
      <c r="F190" s="13">
        <v>42808.656759259262</v>
      </c>
      <c r="G190" s="7">
        <v>1</v>
      </c>
      <c r="H190" s="21" t="s">
        <v>552</v>
      </c>
      <c r="I190" s="13">
        <v>42808.670381944445</v>
      </c>
      <c r="J190" s="7">
        <v>0</v>
      </c>
      <c r="K190" s="98" t="str">
        <f t="shared" si="49"/>
        <v>4023/4024</v>
      </c>
      <c r="L190" s="21" t="str">
        <f>VLOOKUP(A190,'Trips&amp;Operators'!$C$1:$G$99999,5,FALSE)</f>
        <v>SWANSON BRYCE</v>
      </c>
      <c r="M190" s="6">
        <f t="shared" si="50"/>
        <v>1.3622685182781424E-2</v>
      </c>
      <c r="N190" s="7">
        <f t="shared" si="69"/>
        <v>19.616666663205251</v>
      </c>
      <c r="O190" s="7"/>
      <c r="P190" s="7"/>
      <c r="Q190" s="22"/>
      <c r="R190" s="22"/>
      <c r="S190" s="31">
        <f t="shared" si="70"/>
        <v>1</v>
      </c>
      <c r="T190" s="46" t="str">
        <f t="shared" si="51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2"/>
        <v>https://d0f6bd738d7f1b3e5a7ca70fe4ff75f0.us-east-1.aws.found.io/app/kibana#/discover/Steve-Slow-Train-Analysis-(2080s-and-2083s)?_g=(refreshInterval:(display:Off,pause:!f,section:0,value:0),time:(from:'2017-03-14T14:44:20-0600',mode:absolute,to:'2017-03-14T17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0" s="187" t="str">
        <f t="shared" si="53"/>
        <v>N</v>
      </c>
      <c r="X190" s="187">
        <f t="shared" si="67"/>
        <v>1</v>
      </c>
      <c r="Y190" s="62">
        <f t="shared" si="54"/>
        <v>9.6500000000000002E-2</v>
      </c>
      <c r="Z190" s="62">
        <f t="shared" si="68"/>
        <v>5.8928000000000003</v>
      </c>
      <c r="AA190" s="62">
        <f t="shared" si="56"/>
        <v>5.7963000000000005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7"/>
        <v>0827-14</v>
      </c>
      <c r="AE190" s="85" t="str">
        <f t="shared" si="58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190" s="82" t="str">
        <f t="shared" si="59"/>
        <v>"C:\Program Files (x86)\AstroGrep\AstroGrep.exe" /e /r /s /spath="%USERPROFILE%\AppData\Local\Temp\OnboardLogs" /stypes="app*4024*20170314*" /stext=" 22:.+((SYSTEM_STATE.+slice.+state.+changed )|(ment ac)|(multiple cpu faults)|(system.+state.+changed )|(\[timeout)|(PRM\|1\|D)|(kpr)|(kdp)|(\|lc)|(penalty))"</v>
      </c>
      <c r="AG190" s="1" t="str">
        <f t="shared" si="60"/>
        <v>NW</v>
      </c>
      <c r="AH190" s="86" t="str">
        <f t="shared" si="61"/>
        <v>"%USERPROFILE%\Documents\GitHub\eaglep3\Utilities\RefineRTDCRunTimes.py" --tripid 827-14 --locoid 4024 --swversion DE.1.0.9.0 --startMP 204:965 --initTime 2017-03-14T15:44:20 --startdatetime 2017-03-14T15:45:44 --delay 1 --endMP 300:58928 --enddatetime 2017-03-14T16:05:21 --enforcementcount 0 &gt;&gt;C:\Users\stu\Documents\GitHub\eaglep3-reporting\EC\2017-03-14-refined-times.txt</v>
      </c>
      <c r="AI190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{"issue":{"subject":"","project_id":79,"tracker_id":40,"status_id":1,"priority_id":2,"assigned_to_id":23,"start_date":"2017-03-14","description":"","custom_fields":[{"id":1,"name":"Subdivision","value":"NW"},{"id":4,"name":"Milepost","value":"5.8928"},{"id":17,"name":"Train ID","value":"827-14"},{"id":16,"name":"Locomotive ID","value":"4024"},{"id":130,"name":"Impact","value":""},{"id":150,"name":"Time of Event (Mountain Time)","value":"16:05:21"},{"id":151,"name":"Denver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3"/>
        <v>start /low /b %USERPROFILE%\Documents\GitHub\eaglep3\Utilities\DownloadLogsFromS3.py --loco 4024 --day 2017-03-14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191" spans="1:91" x14ac:dyDescent="0.25">
      <c r="A191" s="33" t="s">
        <v>731</v>
      </c>
      <c r="B191" s="7">
        <v>4023</v>
      </c>
      <c r="C191" s="21" t="s">
        <v>233</v>
      </c>
      <c r="D191" s="21" t="s">
        <v>995</v>
      </c>
      <c r="E191" s="13">
        <v>42808.671435185184</v>
      </c>
      <c r="F191" s="13">
        <v>42808.672268518516</v>
      </c>
      <c r="G191" s="7">
        <v>1</v>
      </c>
      <c r="H191" s="21" t="s">
        <v>996</v>
      </c>
      <c r="I191" s="13">
        <v>42808.684444444443</v>
      </c>
      <c r="J191" s="7">
        <v>0</v>
      </c>
      <c r="K191" s="98" t="str">
        <f t="shared" si="49"/>
        <v>4023/4024</v>
      </c>
      <c r="L191" s="21" t="str">
        <f>VLOOKUP(A191,'Trips&amp;Operators'!$C$1:$G$99999,5,FALSE)</f>
        <v>SWANSON BRYCE</v>
      </c>
      <c r="M191" s="6">
        <f t="shared" si="50"/>
        <v>1.2175925927294884E-2</v>
      </c>
      <c r="N191" s="7">
        <f t="shared" si="69"/>
        <v>17.533333335304633</v>
      </c>
      <c r="O191" s="7"/>
      <c r="P191" s="7"/>
      <c r="Q191" s="22"/>
      <c r="R191" s="22"/>
      <c r="S191" s="31">
        <f t="shared" si="70"/>
        <v>1</v>
      </c>
      <c r="T191" s="46" t="str">
        <f t="shared" si="51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2"/>
        <v>https://d0f6bd738d7f1b3e5a7ca70fe4ff75f0.us-east-1.aws.found.io/app/kibana#/discover/Steve-Slow-Train-Analysis-(2080s-and-2083s)?_g=(refreshInterval:(display:Off,pause:!f,section:0,value:0),time:(from:'2017-03-14T15:06:52-0600',mode:absolute,to:'2017-03-14T17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1" s="187" t="str">
        <f t="shared" si="53"/>
        <v>N</v>
      </c>
      <c r="X191" s="187">
        <f t="shared" si="67"/>
        <v>1</v>
      </c>
      <c r="Y191" s="62">
        <f t="shared" si="54"/>
        <v>5.8616999999999999</v>
      </c>
      <c r="Z191" s="62">
        <f t="shared" si="68"/>
        <v>7.2599999999999998E-2</v>
      </c>
      <c r="AA191" s="62">
        <f t="shared" si="56"/>
        <v>5.7890999999999995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7"/>
        <v>0828-14</v>
      </c>
      <c r="AE191" s="85" t="str">
        <f t="shared" si="58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191" s="82" t="str">
        <f t="shared" si="59"/>
        <v>"C:\Program Files (x86)\AstroGrep\AstroGrep.exe" /e /r /s /spath="%USERPROFILE%\AppData\Local\Temp\OnboardLogs" /stypes="app*4023*20170314*" /stext=" 22:.+((SYSTEM_STATE.+slice.+state.+changed )|(ment ac)|(multiple cpu faults)|(system.+state.+changed )|(\[timeout)|(PRM\|1\|D)|(kpr)|(kdp)|(\|lc)|(penalty))"</v>
      </c>
      <c r="AG191" s="1" t="str">
        <f t="shared" si="60"/>
        <v>NW</v>
      </c>
      <c r="AH191" s="86" t="str">
        <f t="shared" si="61"/>
        <v>"%USERPROFILE%\Documents\GitHub\eaglep3\Utilities\RefineRTDCRunTimes.py" --tripid 828-14 --locoid 4023 --swversion DE.1.0.9.0 --startMP 300:58617 --initTime 2017-03-14T16:06:52 --startdatetime 2017-03-14T16:08:04 --delay 1 --endMP 204:726 --enddatetime 2017-03-14T16:25:36 --enforcementcount 0 &gt;&gt;C:\Users\stu\Documents\GitHub\eaglep3-reporting\EC\2017-03-14-refined-times.txt</v>
      </c>
      <c r="AI191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{"issue":{"subject":"","project_id":79,"tracker_id":40,"status_id":1,"priority_id":2,"assigned_to_id":23,"start_date":"2017-03-14","description":"","custom_fields":[{"id":1,"name":"Subdivision","value":"NW"},{"id":4,"name":"Milepost","value":"0.0726"},{"id":17,"name":"Train ID","value":"828-14"},{"id":16,"name":"Locomotive ID","value":"4023"},{"id":130,"name":"Impact","value":""},{"id":150,"name":"Time of Event (Mountain Time)","value":"16:25:36"},{"id":151,"name":"Denver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3"/>
        <v>start /low /b %USERPROFILE%\Documents\GitHub\eaglep3\Utilities\DownloadLogsFromS3.py --loco 4023 --day 2017-03-14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192" spans="1:91" x14ac:dyDescent="0.25">
      <c r="A192" s="33" t="s">
        <v>733</v>
      </c>
      <c r="B192" s="7">
        <v>4011</v>
      </c>
      <c r="C192" s="21" t="s">
        <v>233</v>
      </c>
      <c r="D192" s="21" t="s">
        <v>558</v>
      </c>
      <c r="E192" s="13">
        <v>42808.679259259261</v>
      </c>
      <c r="F192" s="13">
        <v>42808.68037037037</v>
      </c>
      <c r="G192" s="7">
        <v>1</v>
      </c>
      <c r="H192" s="21" t="s">
        <v>550</v>
      </c>
      <c r="I192" s="13">
        <v>42808.690462962964</v>
      </c>
      <c r="J192" s="7">
        <v>0</v>
      </c>
      <c r="K192" s="98" t="str">
        <f t="shared" si="49"/>
        <v>4011/4012</v>
      </c>
      <c r="L192" s="21" t="str">
        <f>VLOOKUP(A192,'Trips&amp;Operators'!$C$1:$G$99999,5,FALSE)</f>
        <v>LEVIN SCOTT</v>
      </c>
      <c r="M192" s="6">
        <f t="shared" si="50"/>
        <v>1.0092592594446614E-2</v>
      </c>
      <c r="N192" s="7">
        <f t="shared" si="69"/>
        <v>14.533333336003125</v>
      </c>
      <c r="O192" s="7"/>
      <c r="P192" s="7"/>
      <c r="Q192" s="22"/>
      <c r="R192" s="22"/>
      <c r="S192" s="31">
        <f t="shared" si="70"/>
        <v>1</v>
      </c>
      <c r="T192" s="46" t="str">
        <f t="shared" si="51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2"/>
        <v>https://d0f6bd738d7f1b3e5a7ca70fe4ff75f0.us-east-1.aws.found.io/app/kibana#/discover/Steve-Slow-Train-Analysis-(2080s-and-2083s)?_g=(refreshInterval:(display:Off,pause:!f,section:0,value:0),time:(from:'2017-03-14T15:18:08-0600',mode:absolute,to:'2017-03-14T17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2" s="187" t="str">
        <f t="shared" si="53"/>
        <v>N</v>
      </c>
      <c r="X192" s="187">
        <f t="shared" si="67"/>
        <v>1</v>
      </c>
      <c r="Y192" s="62">
        <f t="shared" si="54"/>
        <v>9.4299999999999995E-2</v>
      </c>
      <c r="Z192" s="62">
        <f t="shared" si="68"/>
        <v>5.8933</v>
      </c>
      <c r="AA192" s="62">
        <f t="shared" si="56"/>
        <v>5.7990000000000004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7"/>
        <v>0829-14</v>
      </c>
      <c r="AE192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92" s="82" t="str">
        <f t="shared" si="59"/>
        <v>"C:\Program Files (x86)\AstroGrep\AstroGrep.exe" /e /r /s /spath="%USERPROFILE%\AppData\Local\Temp\OnboardLogs" /stypes="app*4011*20170314*" /stext=" 22:.+((SYSTEM_STATE.+slice.+state.+changed )|(ment ac)|(multiple cpu faults)|(system.+state.+changed )|(\[timeout)|(PRM\|1\|D)|(kpr)|(kdp)|(\|lc)|(penalty))"</v>
      </c>
      <c r="AG192" s="1" t="str">
        <f t="shared" si="60"/>
        <v>NW</v>
      </c>
      <c r="AH192" s="86" t="str">
        <f t="shared" si="61"/>
        <v>"%USERPROFILE%\Documents\GitHub\eaglep3\Utilities\RefineRTDCRunTimes.py" --tripid 829-14 --locoid 4011 --swversion DE.1.0.9.0 --startMP 204:943 --initTime 2017-03-14T16:18:08 --startdatetime 2017-03-14T16:19:44 --delay 1 --endMP 300:58933 --enddatetime 2017-03-14T16:34:16 --enforcementcount 0 &gt;&gt;C:\Users\stu\Documents\GitHub\eaglep3-reporting\EC\2017-03-14-refined-times.txt</v>
      </c>
      <c r="AI192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{"issue":{"subject":"","project_id":79,"tracker_id":40,"status_id":1,"priority_id":2,"assigned_to_id":23,"start_date":"2017-03-14","description":"","custom_fields":[{"id":1,"name":"Subdivision","value":"NW"},{"id":4,"name":"Milepost","value":"5.8933"},{"id":17,"name":"Train ID","value":"829-14"},{"id":16,"name":"Locomotive ID","value":"4011"},{"id":130,"name":"Impact","value":""},{"id":150,"name":"Time of Event (Mountain Time)","value":"16:34:16"},{"id":151,"name":"Denver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3"/>
        <v>start /low /b %USERPROFILE%\Documents\GitHub\eaglep3\Utilities\DownloadLogsFromS3.py --loco 4011 --day 2017-03-14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</row>
    <row r="193" spans="1:40" x14ac:dyDescent="0.25">
      <c r="A193" s="33" t="s">
        <v>588</v>
      </c>
      <c r="B193" s="7">
        <v>4012</v>
      </c>
      <c r="C193" s="21" t="s">
        <v>233</v>
      </c>
      <c r="D193" s="21" t="s">
        <v>460</v>
      </c>
      <c r="E193" s="13">
        <v>42808.691493055558</v>
      </c>
      <c r="F193" s="13">
        <v>42808.692407407405</v>
      </c>
      <c r="G193" s="7">
        <v>1</v>
      </c>
      <c r="H193" s="21" t="s">
        <v>982</v>
      </c>
      <c r="I193" s="13">
        <v>42808.705243055556</v>
      </c>
      <c r="J193" s="7">
        <v>0</v>
      </c>
      <c r="K193" s="98" t="str">
        <f t="shared" si="49"/>
        <v>4011/4012</v>
      </c>
      <c r="L193" s="21" t="str">
        <f>VLOOKUP(A193,'Trips&amp;Operators'!$C$1:$G$99999,5,FALSE)</f>
        <v>LEVIN SCOTT</v>
      </c>
      <c r="M193" s="6">
        <f t="shared" si="50"/>
        <v>1.283564815093996E-2</v>
      </c>
      <c r="N193" s="7">
        <f t="shared" si="69"/>
        <v>18.483333337353542</v>
      </c>
      <c r="O193" s="7"/>
      <c r="P193" s="7"/>
      <c r="Q193" s="22"/>
      <c r="R193" s="22"/>
      <c r="S193" s="31">
        <f t="shared" si="70"/>
        <v>1</v>
      </c>
      <c r="T193" s="46" t="str">
        <f t="shared" si="51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2"/>
        <v>https://d0f6bd738d7f1b3e5a7ca70fe4ff75f0.us-east-1.aws.found.io/app/kibana#/discover/Steve-Slow-Train-Analysis-(2080s-and-2083s)?_g=(refreshInterval:(display:Off,pause:!f,section:0,value:0),time:(from:'2017-03-14T15:35:45-0600',mode:absolute,to:'2017-03-14T17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3" s="187" t="str">
        <f t="shared" si="53"/>
        <v>N</v>
      </c>
      <c r="X193" s="187">
        <f t="shared" si="67"/>
        <v>1</v>
      </c>
      <c r="Y193" s="62">
        <f t="shared" si="54"/>
        <v>5.8611000000000004</v>
      </c>
      <c r="Z193" s="62">
        <f t="shared" si="68"/>
        <v>7.3800000000000004E-2</v>
      </c>
      <c r="AA193" s="62">
        <f t="shared" si="56"/>
        <v>5.7873000000000001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7"/>
        <v>0830-14</v>
      </c>
      <c r="AE193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93" s="82" t="str">
        <f t="shared" si="59"/>
        <v>"C:\Program Files (x86)\AstroGrep\AstroGrep.exe" /e /r /s /spath="%USERPROFILE%\AppData\Local\Temp\OnboardLogs" /stypes="app*4012*20170314*" /stext=" 22:.+((SYSTEM_STATE.+slice.+state.+changed )|(ment ac)|(multiple cpu faults)|(system.+state.+changed )|(\[timeout)|(PRM\|1\|D)|(kpr)|(kdp)|(\|lc)|(penalty))"</v>
      </c>
      <c r="AG193" s="1" t="str">
        <f t="shared" si="60"/>
        <v>NW</v>
      </c>
      <c r="AH193" s="86" t="str">
        <f t="shared" si="61"/>
        <v>"%USERPROFILE%\Documents\GitHub\eaglep3\Utilities\RefineRTDCRunTimes.py" --tripid 830-14 --locoid 4012 --swversion DE.1.0.9.0 --startMP 300:58611 --initTime 2017-03-14T16:35:45 --startdatetime 2017-03-14T16:37:04 --delay 1 --endMP 204:738 --enddatetime 2017-03-14T16:55:33 --enforcementcount 0 &gt;&gt;C:\Users\stu\Documents\GitHub\eaglep3-reporting\EC\2017-03-14-refined-times.txt</v>
      </c>
      <c r="AI193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{"issue":{"subject":"","project_id":79,"tracker_id":40,"status_id":1,"priority_id":2,"assigned_to_id":23,"start_date":"2017-03-14","description":"","custom_fields":[{"id":1,"name":"Subdivision","value":"NW"},{"id":4,"name":"Milepost","value":"0.0738"},{"id":17,"name":"Train ID","value":"830-14"},{"id":16,"name":"Locomotive ID","value":"4012"},{"id":130,"name":"Impact","value":""},{"id":150,"name":"Time of Event (Mountain Time)","value":"16:55:33"},{"id":151,"name":"Denver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3"/>
        <v>start /low /b %USERPROFILE%\Documents\GitHub\eaglep3\Utilities\DownloadLogsFromS3.py --loco 4012 --day 2017-03-14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194" spans="1:40" x14ac:dyDescent="0.25">
      <c r="A194" s="33" t="s">
        <v>736</v>
      </c>
      <c r="B194" s="7">
        <v>4024</v>
      </c>
      <c r="C194" s="21" t="s">
        <v>233</v>
      </c>
      <c r="D194" s="21" t="s">
        <v>490</v>
      </c>
      <c r="E194" s="13">
        <v>42808.686192129629</v>
      </c>
      <c r="F194" s="13">
        <v>42808.6871875</v>
      </c>
      <c r="G194" s="7">
        <v>1</v>
      </c>
      <c r="H194" s="21" t="s">
        <v>552</v>
      </c>
      <c r="I194" s="13">
        <v>42808.712523148148</v>
      </c>
      <c r="J194" s="7">
        <v>0</v>
      </c>
      <c r="K194" s="98" t="str">
        <f t="shared" si="49"/>
        <v>4023/4024</v>
      </c>
      <c r="L194" s="21" t="str">
        <f>VLOOKUP(A194,'Trips&amp;Operators'!$C$1:$G$99999,5,FALSE)</f>
        <v>SWANSON BRYCE</v>
      </c>
      <c r="M194" s="6">
        <f t="shared" si="50"/>
        <v>2.5335648148029577E-2</v>
      </c>
      <c r="N194" s="7">
        <f t="shared" si="69"/>
        <v>36.483333333162591</v>
      </c>
      <c r="O194" s="7"/>
      <c r="P194" s="7"/>
      <c r="Q194" s="22"/>
      <c r="R194" s="22"/>
      <c r="S194" s="31">
        <f t="shared" si="70"/>
        <v>1</v>
      </c>
      <c r="T194" s="46" t="str">
        <f t="shared" si="51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2"/>
        <v>https://d0f6bd738d7f1b3e5a7ca70fe4ff75f0.us-east-1.aws.found.io/app/kibana#/discover/Steve-Slow-Train-Analysis-(2080s-and-2083s)?_g=(refreshInterval:(display:Off,pause:!f,section:0,value:0),time:(from:'2017-03-14T15:28:07-0600',mode:absolute,to:'2017-03-14T18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4" s="187" t="str">
        <f t="shared" si="53"/>
        <v>N</v>
      </c>
      <c r="X194" s="187">
        <f t="shared" si="67"/>
        <v>1</v>
      </c>
      <c r="Y194" s="62">
        <f t="shared" si="54"/>
        <v>9.9199999999999997E-2</v>
      </c>
      <c r="Z194" s="62">
        <f t="shared" si="68"/>
        <v>5.8928000000000003</v>
      </c>
      <c r="AA194" s="62">
        <f t="shared" si="56"/>
        <v>5.7936000000000005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7"/>
        <v>0831-14</v>
      </c>
      <c r="AE194" s="85" t="str">
        <f t="shared" si="58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194" s="82" t="str">
        <f t="shared" si="59"/>
        <v>"C:\Program Files (x86)\AstroGrep\AstroGrep.exe" /e /r /s /spath="%USERPROFILE%\AppData\Local\Temp\OnboardLogs" /stypes="app*4024*20170314*" /stext=" 23:.+((SYSTEM_STATE.+slice.+state.+changed )|(ment ac)|(multiple cpu faults)|(system.+state.+changed )|(\[timeout)|(PRM\|1\|D)|(kpr)|(kdp)|(\|lc)|(penalty))"</v>
      </c>
      <c r="AG194" s="1" t="str">
        <f t="shared" si="60"/>
        <v>NW</v>
      </c>
      <c r="AH194" s="86" t="str">
        <f t="shared" si="61"/>
        <v>"%USERPROFILE%\Documents\GitHub\eaglep3\Utilities\RefineRTDCRunTimes.py" --tripid 831-14 --locoid 4024 --swversion DE.1.0.9.0 --startMP 204:992 --initTime 2017-03-14T16:28:07 --startdatetime 2017-03-14T16:29:33 --delay 1 --endMP 300:58928 --enddatetime 2017-03-14T17:06:02 --enforcementcount 0 &gt;&gt;C:\Users\stu\Documents\GitHub\eaglep3-reporting\EC\2017-03-14-refined-times.txt</v>
      </c>
      <c r="AI194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{"issue":{"subject":"","project_id":79,"tracker_id":40,"status_id":1,"priority_id":2,"assigned_to_id":23,"start_date":"2017-03-14","description":"","custom_fields":[{"id":1,"name":"Subdivision","value":"NW"},{"id":4,"name":"Milepost","value":"5.8928"},{"id":17,"name":"Train ID","value":"831-14"},{"id":16,"name":"Locomotive ID","value":"4024"},{"id":130,"name":"Impact","value":""},{"id":150,"name":"Time of Event (Mountain Time)","value":"17:06:02"},{"id":151,"name":"Denver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3"/>
        <v>start /low /b %USERPROFILE%\Documents\GitHub\eaglep3\Utilities\DownloadLogsFromS3.py --loco 4024 --day 2017-03-14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195" spans="1:40" x14ac:dyDescent="0.25">
      <c r="A195" s="33" t="s">
        <v>740</v>
      </c>
      <c r="B195" s="7">
        <v>4023</v>
      </c>
      <c r="C195" s="21" t="s">
        <v>233</v>
      </c>
      <c r="D195" s="21" t="s">
        <v>947</v>
      </c>
      <c r="E195" s="13">
        <v>42808.713622685187</v>
      </c>
      <c r="F195" s="13">
        <v>42808.714409722219</v>
      </c>
      <c r="G195" s="7">
        <v>1</v>
      </c>
      <c r="H195" s="21" t="s">
        <v>997</v>
      </c>
      <c r="I195" s="13">
        <v>42808.726319444446</v>
      </c>
      <c r="J195" s="7">
        <v>0</v>
      </c>
      <c r="K195" s="98" t="str">
        <f t="shared" si="49"/>
        <v>4023/4024</v>
      </c>
      <c r="L195" s="21" t="str">
        <f>VLOOKUP(A195,'Trips&amp;Operators'!$C$1:$G$99999,5,FALSE)</f>
        <v>SWANSON BRYCE</v>
      </c>
      <c r="M195" s="6">
        <f t="shared" si="50"/>
        <v>1.1909722226846498E-2</v>
      </c>
      <c r="N195" s="7">
        <f t="shared" si="69"/>
        <v>17.150000006658956</v>
      </c>
      <c r="O195" s="7"/>
      <c r="P195" s="7"/>
      <c r="Q195" s="22"/>
      <c r="R195" s="22"/>
      <c r="S195" s="31">
        <f t="shared" si="70"/>
        <v>1</v>
      </c>
      <c r="T195" s="46" t="str">
        <f t="shared" si="51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2"/>
        <v>https://d0f6bd738d7f1b3e5a7ca70fe4ff75f0.us-east-1.aws.found.io/app/kibana#/discover/Steve-Slow-Train-Analysis-(2080s-and-2083s)?_g=(refreshInterval:(display:Off,pause:!f,section:0,value:0),time:(from:'2017-03-14T16:07:37-0600',mode:absolute,to:'2017-03-14T18:25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5" s="187" t="str">
        <f t="shared" si="53"/>
        <v>N</v>
      </c>
      <c r="X195" s="187">
        <f t="shared" si="67"/>
        <v>1</v>
      </c>
      <c r="Y195" s="62">
        <f t="shared" si="54"/>
        <v>5.8620999999999999</v>
      </c>
      <c r="Z195" s="62">
        <f t="shared" si="68"/>
        <v>6.6600000000000006E-2</v>
      </c>
      <c r="AA195" s="62">
        <f t="shared" si="56"/>
        <v>5.7954999999999997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7"/>
        <v>0832-14</v>
      </c>
      <c r="AE195" s="85" t="str">
        <f t="shared" si="58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195" s="82" t="str">
        <f t="shared" si="59"/>
        <v>"C:\Program Files (x86)\AstroGrep\AstroGrep.exe" /e /r /s /spath="%USERPROFILE%\AppData\Local\Temp\OnboardLogs" /stypes="app*4023*20170314*" /stext=" 23:.+((SYSTEM_STATE.+slice.+state.+changed )|(ment ac)|(multiple cpu faults)|(system.+state.+changed )|(\[timeout)|(PRM\|1\|D)|(kpr)|(kdp)|(\|lc)|(penalty))"</v>
      </c>
      <c r="AG195" s="1" t="str">
        <f t="shared" si="60"/>
        <v>NW</v>
      </c>
      <c r="AH195" s="86" t="str">
        <f t="shared" si="61"/>
        <v>"%USERPROFILE%\Documents\GitHub\eaglep3\Utilities\RefineRTDCRunTimes.py" --tripid 832-14 --locoid 4023 --swversion DE.1.0.9.0 --startMP 300:58621 --initTime 2017-03-14T17:07:37 --startdatetime 2017-03-14T17:08:45 --delay 1 --endMP 204:666 --enddatetime 2017-03-14T17:25:54 --enforcementcount 0 &gt;&gt;C:\Users\stu\Documents\GitHub\eaglep3-reporting\EC\2017-03-14-refined-times.txt</v>
      </c>
      <c r="AI195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{"issue":{"subject":"","project_id":79,"tracker_id":40,"status_id":1,"priority_id":2,"assigned_to_id":23,"start_date":"2017-03-14","description":"","custom_fields":[{"id":1,"name":"Subdivision","value":"NW"},{"id":4,"name":"Milepost","value":"0.0666"},{"id":17,"name":"Train ID","value":"832-14"},{"id":16,"name":"Locomotive ID","value":"4023"},{"id":130,"name":"Impact","value":""},{"id":150,"name":"Time of Event (Mountain Time)","value":"17:25:54"},{"id":151,"name":"Denver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3"/>
        <v>start /low /b %USERPROFILE%\Documents\GitHub\eaglep3\Utilities\DownloadLogsFromS3.py --loco 4023 --day 2017-03-14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196" spans="1:40" x14ac:dyDescent="0.25">
      <c r="A196" s="33" t="s">
        <v>743</v>
      </c>
      <c r="B196" s="7">
        <v>4011</v>
      </c>
      <c r="C196" s="21" t="s">
        <v>233</v>
      </c>
      <c r="D196" s="21" t="s">
        <v>998</v>
      </c>
      <c r="E196" s="13">
        <v>42808.720254629632</v>
      </c>
      <c r="F196" s="13">
        <v>42808.721006944441</v>
      </c>
      <c r="G196" s="7">
        <v>1</v>
      </c>
      <c r="H196" s="21" t="s">
        <v>491</v>
      </c>
      <c r="I196" s="13">
        <v>42808.732060185182</v>
      </c>
      <c r="J196" s="7">
        <v>0</v>
      </c>
      <c r="K196" s="98" t="str">
        <f t="shared" si="49"/>
        <v>4011/4012</v>
      </c>
      <c r="L196" s="21" t="str">
        <f>VLOOKUP(A196,'Trips&amp;Operators'!$C$1:$G$99999,5,FALSE)</f>
        <v>LEVIN SCOTT</v>
      </c>
      <c r="M196" s="6">
        <f t="shared" si="50"/>
        <v>1.1053240741603076E-2</v>
      </c>
      <c r="N196" s="7">
        <f t="shared" si="69"/>
        <v>15.91666666790843</v>
      </c>
      <c r="O196" s="7"/>
      <c r="P196" s="7"/>
      <c r="Q196" s="22"/>
      <c r="R196" s="22"/>
      <c r="S196" s="31">
        <f t="shared" si="70"/>
        <v>1</v>
      </c>
      <c r="T196" s="46" t="str">
        <f t="shared" si="51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2"/>
        <v>https://d0f6bd738d7f1b3e5a7ca70fe4ff75f0.us-east-1.aws.found.io/app/kibana#/discover/Steve-Slow-Train-Analysis-(2080s-and-2083s)?_g=(refreshInterval:(display:Off,pause:!f,section:0,value:0),time:(from:'2017-03-14T16:17:10-0600',mode:absolute,to:'2017-03-14T18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6" s="187" t="str">
        <f t="shared" si="53"/>
        <v>N</v>
      </c>
      <c r="X196" s="187">
        <f t="shared" si="67"/>
        <v>1</v>
      </c>
      <c r="Y196" s="62">
        <f t="shared" si="54"/>
        <v>0.1021</v>
      </c>
      <c r="Z196" s="62">
        <f t="shared" si="68"/>
        <v>5.8939000000000004</v>
      </c>
      <c r="AA196" s="62">
        <f t="shared" si="56"/>
        <v>5.7918000000000003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7"/>
        <v>0833-14</v>
      </c>
      <c r="AE196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196" s="82" t="str">
        <f t="shared" si="59"/>
        <v>"C:\Program Files (x86)\AstroGrep\AstroGrep.exe" /e /r /s /spath="%USERPROFILE%\AppData\Local\Temp\OnboardLogs" /stypes="app*4011*20170314*" /stext=" 23:.+((SYSTEM_STATE.+slice.+state.+changed )|(ment ac)|(multiple cpu faults)|(system.+state.+changed )|(\[timeout)|(PRM\|1\|D)|(kpr)|(kdp)|(\|lc)|(penalty))"</v>
      </c>
      <c r="AG196" s="1" t="str">
        <f t="shared" si="60"/>
        <v>NW</v>
      </c>
      <c r="AH196" s="86" t="str">
        <f t="shared" si="61"/>
        <v>"%USERPROFILE%\Documents\GitHub\eaglep3\Utilities\RefineRTDCRunTimes.py" --tripid 833-14 --locoid 4011 --swversion DE.1.0.9.0 --startMP 204:1021 --initTime 2017-03-14T17:17:10 --startdatetime 2017-03-14T17:18:15 --delay 1 --endMP 300:58939 --enddatetime 2017-03-14T17:34:10 --enforcementcount 0 &gt;&gt;C:\Users\stu\Documents\GitHub\eaglep3-reporting\EC\2017-03-14-refined-times.txt</v>
      </c>
      <c r="AI196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{"issue":{"subject":"","project_id":79,"tracker_id":40,"status_id":1,"priority_id":2,"assigned_to_id":23,"start_date":"2017-03-14","description":"","custom_fields":[{"id":1,"name":"Subdivision","value":"NW"},{"id":4,"name":"Milepost","value":"5.8939"},{"id":17,"name":"Train ID","value":"833-14"},{"id":16,"name":"Locomotive ID","value":"4011"},{"id":130,"name":"Impact","value":""},{"id":150,"name":"Time of Event (Mountain Time)","value":"17:34:10"},{"id":151,"name":"Denver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3"/>
        <v>start /low /b %USERPROFILE%\Documents\GitHub\eaglep3\Utilities\DownloadLogsFromS3.py --loco 4011 --day 2017-03-14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"%USERPROFILE%\AppData\Local\Temp\OnboardLogs"\RTDC4011\*4011*20170314* | grep -SE "(Enforcement Action)|(\[TIMEOUT)|(CHR.+\|PRM\|1\|D.+(SWITCH|SIGNAL).+UNKNOWN)" - &gt;&gt; 2017-03-14-UncaughtWiMAX.txt</v>
      </c>
    </row>
    <row r="197" spans="1:40" x14ac:dyDescent="0.25">
      <c r="A197" s="33" t="s">
        <v>749</v>
      </c>
      <c r="B197" s="7">
        <v>4012</v>
      </c>
      <c r="C197" s="21" t="s">
        <v>233</v>
      </c>
      <c r="D197" s="21" t="s">
        <v>554</v>
      </c>
      <c r="E197" s="13">
        <v>42808.733599537038</v>
      </c>
      <c r="F197" s="13">
        <v>42808.734560185185</v>
      </c>
      <c r="G197" s="7">
        <v>1</v>
      </c>
      <c r="H197" s="21" t="s">
        <v>999</v>
      </c>
      <c r="I197" s="13">
        <v>42808.746840277781</v>
      </c>
      <c r="J197" s="7">
        <v>0</v>
      </c>
      <c r="K197" s="98" t="str">
        <f t="shared" si="49"/>
        <v>4011/4012</v>
      </c>
      <c r="L197" s="21" t="str">
        <f>VLOOKUP(A197,'Trips&amp;Operators'!$C$1:$G$99999,5,FALSE)</f>
        <v>LEVIN SCOTT</v>
      </c>
      <c r="M197" s="6">
        <f t="shared" si="50"/>
        <v>1.2280092596483883E-2</v>
      </c>
      <c r="N197" s="7">
        <f t="shared" si="69"/>
        <v>17.683333338936791</v>
      </c>
      <c r="O197" s="7"/>
      <c r="P197" s="7"/>
      <c r="Q197" s="22"/>
      <c r="R197" s="22"/>
      <c r="S197" s="31">
        <f t="shared" si="70"/>
        <v>1</v>
      </c>
      <c r="T197" s="46" t="str">
        <f t="shared" si="51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2"/>
        <v>https://d0f6bd738d7f1b3e5a7ca70fe4ff75f0.us-east-1.aws.found.io/app/kibana#/discover/Steve-Slow-Train-Analysis-(2080s-and-2083s)?_g=(refreshInterval:(display:Off,pause:!f,section:0,value:0),time:(from:'2017-03-14T16:36:23-0600',mode:absolute,to:'2017-03-14T18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7" s="187" t="str">
        <f t="shared" si="53"/>
        <v>N</v>
      </c>
      <c r="X197" s="187">
        <f t="shared" si="67"/>
        <v>1</v>
      </c>
      <c r="Y197" s="62">
        <f t="shared" si="54"/>
        <v>5.8615000000000004</v>
      </c>
      <c r="Z197" s="62">
        <f t="shared" si="68"/>
        <v>6.54E-2</v>
      </c>
      <c r="AA197" s="62">
        <f t="shared" si="56"/>
        <v>5.7961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7"/>
        <v>0834-14</v>
      </c>
      <c r="AE197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197" s="82" t="str">
        <f t="shared" si="59"/>
        <v>"C:\Program Files (x86)\AstroGrep\AstroGrep.exe" /e /r /s /spath="%USERPROFILE%\AppData\Local\Temp\OnboardLogs" /stypes="app*4012*20170314*" /stext=" 23:.+((SYSTEM_STATE.+slice.+state.+changed )|(ment ac)|(multiple cpu faults)|(system.+state.+changed )|(\[timeout)|(PRM\|1\|D)|(kpr)|(kdp)|(\|lc)|(penalty))"</v>
      </c>
      <c r="AG197" s="1" t="str">
        <f t="shared" si="60"/>
        <v>NW</v>
      </c>
      <c r="AH197" s="86" t="str">
        <f t="shared" si="61"/>
        <v>"%USERPROFILE%\Documents\GitHub\eaglep3\Utilities\RefineRTDCRunTimes.py" --tripid 834-14 --locoid 4012 --swversion DE.1.0.9.0 --startMP 300:58615 --initTime 2017-03-14T17:36:23 --startdatetime 2017-03-14T17:37:46 --delay 1 --endMP 204:654 --enddatetime 2017-03-14T17:55:27 --enforcementcount 0 &gt;&gt;C:\Users\stu\Documents\GitHub\eaglep3-reporting\EC\2017-03-14-refined-times.txt</v>
      </c>
      <c r="AI197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{"issue":{"subject":"","project_id":79,"tracker_id":40,"status_id":1,"priority_id":2,"assigned_to_id":23,"start_date":"2017-03-14","description":"","custom_fields":[{"id":1,"name":"Subdivision","value":"NW"},{"id":4,"name":"Milepost","value":"0.0654"},{"id":17,"name":"Train ID","value":"834-14"},{"id":16,"name":"Locomotive ID","value":"4012"},{"id":130,"name":"Impact","value":""},{"id":150,"name":"Time of Event (Mountain Time)","value":"17:55:27"},{"id":151,"name":"Denver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3"/>
        <v>start /low /b %USERPROFILE%\Documents\GitHub\eaglep3\Utilities\DownloadLogsFromS3.py --loco 4012 --day 2017-03-14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198" spans="1:40" x14ac:dyDescent="0.25">
      <c r="A198" s="33" t="s">
        <v>745</v>
      </c>
      <c r="B198" s="7">
        <v>4024</v>
      </c>
      <c r="C198" s="21" t="s">
        <v>233</v>
      </c>
      <c r="D198" s="21" t="s">
        <v>545</v>
      </c>
      <c r="E198" s="13">
        <v>42808.727673611109</v>
      </c>
      <c r="F198" s="13">
        <v>42808.728668981479</v>
      </c>
      <c r="G198" s="7">
        <v>1</v>
      </c>
      <c r="H198" s="21" t="s">
        <v>493</v>
      </c>
      <c r="I198" s="13">
        <v>42808.754328703704</v>
      </c>
      <c r="J198" s="7">
        <v>0</v>
      </c>
      <c r="K198" s="98" t="str">
        <f t="shared" si="49"/>
        <v>4023/4024</v>
      </c>
      <c r="L198" s="21" t="str">
        <f>VLOOKUP(A198,'Trips&amp;Operators'!$C$1:$G$99999,5,FALSE)</f>
        <v>SWANSON BRYCE</v>
      </c>
      <c r="M198" s="6">
        <f t="shared" si="50"/>
        <v>2.5659722225100268E-2</v>
      </c>
      <c r="N198" s="7">
        <f t="shared" si="69"/>
        <v>36.950000004144385</v>
      </c>
      <c r="O198" s="7"/>
      <c r="P198" s="7"/>
      <c r="Q198" s="22"/>
      <c r="R198" s="22"/>
      <c r="S198" s="31">
        <f t="shared" si="70"/>
        <v>1</v>
      </c>
      <c r="T198" s="46" t="str">
        <f t="shared" si="51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2"/>
        <v>https://d0f6bd738d7f1b3e5a7ca70fe4ff75f0.us-east-1.aws.found.io/app/kibana#/discover/Steve-Slow-Train-Analysis-(2080s-and-2083s)?_g=(refreshInterval:(display:Off,pause:!f,section:0,value:0),time:(from:'2017-03-14T16:27:51-0600',mode:absolute,to:'2017-03-14T19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8" s="187" t="str">
        <f t="shared" si="53"/>
        <v>N</v>
      </c>
      <c r="X198" s="187">
        <f t="shared" si="67"/>
        <v>1</v>
      </c>
      <c r="Y198" s="62">
        <f t="shared" si="54"/>
        <v>9.64E-2</v>
      </c>
      <c r="Z198" s="62">
        <f t="shared" si="68"/>
        <v>5.8930999999999996</v>
      </c>
      <c r="AA198" s="62">
        <f t="shared" si="56"/>
        <v>5.7966999999999995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7"/>
        <v>0835-14</v>
      </c>
      <c r="AE198" s="85" t="str">
        <f t="shared" si="58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198" s="82" t="str">
        <f t="shared" si="59"/>
        <v>"C:\Program Files (x86)\AstroGrep\AstroGrep.exe" /e /r /s /spath="%USERPROFILE%\AppData\Local\Temp\OnboardLogs" /stypes="app*4024*20170315*" /stext=" 00:.+((SYSTEM_STATE.+slice.+state.+changed )|(ment ac)|(multiple cpu faults)|(system.+state.+changed )|(\[timeout)|(PRM\|1\|D)|(kpr)|(kdp)|(\|lc)|(penalty))"</v>
      </c>
      <c r="AG198" s="1" t="str">
        <f t="shared" si="60"/>
        <v>NW</v>
      </c>
      <c r="AH198" s="86" t="str">
        <f t="shared" si="61"/>
        <v>"%USERPROFILE%\Documents\GitHub\eaglep3\Utilities\RefineRTDCRunTimes.py" --tripid 835-14 --locoid 4024 --swversion DE.1.0.9.0 --startMP 204:964 --initTime 2017-03-14T17:27:51 --startdatetime 2017-03-14T17:29:17 --delay 1 --endMP 300:58931 --enddatetime 2017-03-14T18:06:14 --enforcementcount 0 &gt;&gt;C:\Users\stu\Documents\GitHub\eaglep3-reporting\EC\2017-03-14-refined-times.txt</v>
      </c>
      <c r="AI198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{"issue":{"subject":"","project_id":79,"tracker_id":40,"status_id":1,"priority_id":2,"assigned_to_id":23,"start_date":"2017-03-14","description":"","custom_fields":[{"id":1,"name":"Subdivision","value":"NW"},{"id":4,"name":"Milepost","value":"5.8931"},{"id":17,"name":"Train ID","value":"835-14"},{"id":16,"name":"Locomotive ID","value":"4024"},{"id":130,"name":"Impact","value":""},{"id":150,"name":"Time of Event (Mountain Time)","value":"18:06:14"},{"id":151,"name":"Denver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3"/>
        <v>start /low /b %USERPROFILE%\Documents\GitHub\eaglep3\Utilities\DownloadLogsFromS3.py --loco 4024 --day 2017-03-14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199" spans="1:40" x14ac:dyDescent="0.25">
      <c r="A199" s="33" t="s">
        <v>755</v>
      </c>
      <c r="B199" s="7">
        <v>4023</v>
      </c>
      <c r="C199" s="21" t="s">
        <v>233</v>
      </c>
      <c r="D199" s="21" t="s">
        <v>991</v>
      </c>
      <c r="E199" s="13">
        <v>42808.755277777775</v>
      </c>
      <c r="F199" s="13">
        <v>42808.75608796296</v>
      </c>
      <c r="G199" s="7">
        <v>1</v>
      </c>
      <c r="H199" s="21" t="s">
        <v>1000</v>
      </c>
      <c r="I199" s="13">
        <v>42808.767997685187</v>
      </c>
      <c r="J199" s="7">
        <v>0</v>
      </c>
      <c r="K199" s="98" t="str">
        <f t="shared" si="49"/>
        <v>4023/4024</v>
      </c>
      <c r="L199" s="21" t="str">
        <f>VLOOKUP(A199,'Trips&amp;Operators'!$C$1:$G$99999,5,FALSE)</f>
        <v>SWANSON BRYCE</v>
      </c>
      <c r="M199" s="6">
        <f t="shared" si="50"/>
        <v>1.1909722226846498E-2</v>
      </c>
      <c r="N199" s="7">
        <f t="shared" si="69"/>
        <v>17.150000006658956</v>
      </c>
      <c r="O199" s="7"/>
      <c r="P199" s="7"/>
      <c r="Q199" s="22"/>
      <c r="R199" s="22"/>
      <c r="S199" s="31">
        <f t="shared" si="70"/>
        <v>1</v>
      </c>
      <c r="T199" s="46" t="str">
        <f t="shared" si="51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2"/>
        <v>https://d0f6bd738d7f1b3e5a7ca70fe4ff75f0.us-east-1.aws.found.io/app/kibana#/discover/Steve-Slow-Train-Analysis-(2080s-and-2083s)?_g=(refreshInterval:(display:Off,pause:!f,section:0,value:0),time:(from:'2017-03-14T17:07:36-0600',mode:absolute,to:'2017-03-14T19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9" s="187" t="str">
        <f t="shared" si="53"/>
        <v>N</v>
      </c>
      <c r="X199" s="187">
        <f t="shared" ref="X199:X230" si="71">VALUE(LEFT(AD199,4))-VALUE(LEFT(AD198,4))</f>
        <v>1</v>
      </c>
      <c r="Y199" s="62">
        <f t="shared" si="54"/>
        <v>5.8604000000000003</v>
      </c>
      <c r="Z199" s="62">
        <f t="shared" si="68"/>
        <v>7.0499999999999993E-2</v>
      </c>
      <c r="AA199" s="62">
        <f t="shared" si="56"/>
        <v>5.7899000000000003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7"/>
        <v>0836-14</v>
      </c>
      <c r="AE199" s="85" t="str">
        <f t="shared" si="58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199" s="82" t="str">
        <f t="shared" si="59"/>
        <v>"C:\Program Files (x86)\AstroGrep\AstroGrep.exe" /e /r /s /spath="%USERPROFILE%\AppData\Local\Temp\OnboardLogs" /stypes="app*4023*20170315*" /stext=" 00:.+((SYSTEM_STATE.+slice.+state.+changed )|(ment ac)|(multiple cpu faults)|(system.+state.+changed )|(\[timeout)|(PRM\|1\|D)|(kpr)|(kdp)|(\|lc)|(penalty))"</v>
      </c>
      <c r="AG199" s="1" t="str">
        <f t="shared" si="60"/>
        <v>NW</v>
      </c>
      <c r="AH199" s="86" t="str">
        <f t="shared" si="61"/>
        <v>"%USERPROFILE%\Documents\GitHub\eaglep3\Utilities\RefineRTDCRunTimes.py" --tripid 836-14 --locoid 4023 --swversion DE.1.0.9.0 --startMP 300:58604 --initTime 2017-03-14T18:07:36 --startdatetime 2017-03-14T18:08:46 --delay 1 --endMP 204:705 --enddatetime 2017-03-14T18:25:55 --enforcementcount 0 &gt;&gt;C:\Users\stu\Documents\GitHub\eaglep3-reporting\EC\2017-03-14-refined-times.txt</v>
      </c>
      <c r="AI199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{"issue":{"subject":"","project_id":79,"tracker_id":40,"status_id":1,"priority_id":2,"assigned_to_id":23,"start_date":"2017-03-14","description":"","custom_fields":[{"id":1,"name":"Subdivision","value":"NW"},{"id":4,"name":"Milepost","value":"0.0705"},{"id":17,"name":"Train ID","value":"836-14"},{"id":16,"name":"Locomotive ID","value":"4023"},{"id":130,"name":"Impact","value":""},{"id":150,"name":"Time of Event (Mountain Time)","value":"18:25:55"},{"id":151,"name":"Denver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3"/>
        <v>start /low /b %USERPROFILE%\Documents\GitHub\eaglep3\Utilities\DownloadLogsFromS3.py --loco 4023 --day 2017-03-14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"%USERPROFILE%\AppData\Local\Temp\OnboardLogs"\RTDC4023\*4023*20170315* | grep -SE "(Enforcement Action)|(\[TIMEOUT)|(CHR.+\|PRM\|1\|D.+(SWITCH|SIGNAL).+UNKNOWN)" - &gt;&gt; 2017-03-14-UncaughtWiMAX.txt</v>
      </c>
    </row>
    <row r="200" spans="1:40" x14ac:dyDescent="0.25">
      <c r="A200" s="33" t="s">
        <v>758</v>
      </c>
      <c r="B200" s="7">
        <v>4011</v>
      </c>
      <c r="C200" s="21" t="s">
        <v>233</v>
      </c>
      <c r="D200" s="21" t="s">
        <v>543</v>
      </c>
      <c r="E200" s="13">
        <v>42808.760092592594</v>
      </c>
      <c r="F200" s="13">
        <v>42808.760833333334</v>
      </c>
      <c r="G200" s="7">
        <v>1</v>
      </c>
      <c r="H200" s="21" t="s">
        <v>550</v>
      </c>
      <c r="I200" s="13">
        <v>42808.774039351854</v>
      </c>
      <c r="J200" s="7">
        <v>0</v>
      </c>
      <c r="K200" s="98" t="str">
        <f t="shared" si="49"/>
        <v>4011/4012</v>
      </c>
      <c r="L200" s="21" t="str">
        <f>VLOOKUP(A200,'Trips&amp;Operators'!$C$1:$G$99999,5,FALSE)</f>
        <v>LEVIN SCOTT</v>
      </c>
      <c r="M200" s="6">
        <f t="shared" si="50"/>
        <v>1.3206018520577345E-2</v>
      </c>
      <c r="N200" s="7">
        <f t="shared" si="69"/>
        <v>19.016666669631377</v>
      </c>
      <c r="O200" s="7"/>
      <c r="P200" s="7"/>
      <c r="Q200" s="22"/>
      <c r="R200" s="22"/>
      <c r="S200" s="31">
        <f t="shared" si="70"/>
        <v>1</v>
      </c>
      <c r="T200" s="46" t="str">
        <f t="shared" si="51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2"/>
        <v>https://d0f6bd738d7f1b3e5a7ca70fe4ff75f0.us-east-1.aws.found.io/app/kibana#/discover/Steve-Slow-Train-Analysis-(2080s-and-2083s)?_g=(refreshInterval:(display:Off,pause:!f,section:0,value:0),time:(from:'2017-03-14T17:14:32-0600',mode:absolute,to:'2017-03-14T19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0" s="187" t="str">
        <f t="shared" si="53"/>
        <v>N</v>
      </c>
      <c r="X200" s="187">
        <f t="shared" si="71"/>
        <v>1</v>
      </c>
      <c r="Y200" s="62">
        <f t="shared" si="54"/>
        <v>9.5100000000000004E-2</v>
      </c>
      <c r="Z200" s="62">
        <f t="shared" si="68"/>
        <v>5.8933</v>
      </c>
      <c r="AA200" s="62">
        <f t="shared" si="56"/>
        <v>5.7981999999999996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7"/>
        <v>0837-14</v>
      </c>
      <c r="AE200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200" s="82" t="str">
        <f t="shared" si="59"/>
        <v>"C:\Program Files (x86)\AstroGrep\AstroGrep.exe" /e /r /s /spath="%USERPROFILE%\AppData\Local\Temp\OnboardLogs" /stypes="app*4011*20170315*" /stext=" 00:.+((SYSTEM_STATE.+slice.+state.+changed )|(ment ac)|(multiple cpu faults)|(system.+state.+changed )|(\[timeout)|(PRM\|1\|D)|(kpr)|(kdp)|(\|lc)|(penalty))"</v>
      </c>
      <c r="AG200" s="1" t="str">
        <f t="shared" si="60"/>
        <v>NW</v>
      </c>
      <c r="AH200" s="86" t="str">
        <f t="shared" si="61"/>
        <v>"%USERPROFILE%\Documents\GitHub\eaglep3\Utilities\RefineRTDCRunTimes.py" --tripid 837-14 --locoid 4011 --swversion DE.1.0.9.0 --startMP 204:951 --initTime 2017-03-14T18:14:32 --startdatetime 2017-03-14T18:15:36 --delay 1 --endMP 300:58933 --enddatetime 2017-03-14T18:34:37 --enforcementcount 0 &gt;&gt;C:\Users\stu\Documents\GitHub\eaglep3-reporting\EC\2017-03-14-refined-times.txt</v>
      </c>
      <c r="AI200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{"issue":{"subject":"","project_id":79,"tracker_id":40,"status_id":1,"priority_id":2,"assigned_to_id":23,"start_date":"2017-03-14","description":"","custom_fields":[{"id":1,"name":"Subdivision","value":"NW"},{"id":4,"name":"Milepost","value":"5.8933"},{"id":17,"name":"Train ID","value":"837-14"},{"id":16,"name":"Locomotive ID","value":"4011"},{"id":130,"name":"Impact","value":""},{"id":150,"name":"Time of Event (Mountain Time)","value":"18:34:37"},{"id":151,"name":"Denver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3"/>
        <v>start /low /b %USERPROFILE%\Documents\GitHub\eaglep3\Utilities\DownloadLogsFromS3.py --loco 4011 --day 2017-03-14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2017-03-14-UncaughtWiMAX.txt</v>
      </c>
    </row>
    <row r="201" spans="1:40" x14ac:dyDescent="0.25">
      <c r="A201" s="33" t="s">
        <v>762</v>
      </c>
      <c r="B201" s="7">
        <v>4012</v>
      </c>
      <c r="C201" s="21" t="s">
        <v>233</v>
      </c>
      <c r="D201" s="21" t="s">
        <v>995</v>
      </c>
      <c r="E201" s="13">
        <v>42808.775173611109</v>
      </c>
      <c r="F201" s="13">
        <v>42808.775914351849</v>
      </c>
      <c r="G201" s="7">
        <v>1</v>
      </c>
      <c r="H201" s="21" t="s">
        <v>559</v>
      </c>
      <c r="I201" s="13">
        <v>42808.789525462962</v>
      </c>
      <c r="J201" s="7">
        <v>0</v>
      </c>
      <c r="K201" s="98" t="str">
        <f t="shared" si="49"/>
        <v>4011/4012</v>
      </c>
      <c r="L201" s="21" t="str">
        <f>VLOOKUP(A201,'Trips&amp;Operators'!$C$1:$G$99999,5,FALSE)</f>
        <v>LEVIN SCOTT</v>
      </c>
      <c r="M201" s="6">
        <f t="shared" si="50"/>
        <v>1.361111111327773E-2</v>
      </c>
      <c r="N201" s="7">
        <f t="shared" si="69"/>
        <v>19.600000003119931</v>
      </c>
      <c r="O201" s="7"/>
      <c r="P201" s="7"/>
      <c r="Q201" s="22"/>
      <c r="R201" s="22"/>
      <c r="S201" s="31">
        <f t="shared" si="70"/>
        <v>1</v>
      </c>
      <c r="T201" s="46" t="str">
        <f t="shared" si="51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2"/>
        <v>https://d0f6bd738d7f1b3e5a7ca70fe4ff75f0.us-east-1.aws.found.io/app/kibana#/discover/Steve-Slow-Train-Analysis-(2080s-and-2083s)?_g=(refreshInterval:(display:Off,pause:!f,section:0,value:0),time:(from:'2017-03-14T17:36:15-0600',mode:absolute,to:'2017-03-14T19:56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1" s="187" t="str">
        <f t="shared" si="53"/>
        <v>N</v>
      </c>
      <c r="X201" s="187">
        <f t="shared" si="71"/>
        <v>1</v>
      </c>
      <c r="Y201" s="62">
        <f t="shared" si="54"/>
        <v>5.8616999999999999</v>
      </c>
      <c r="Z201" s="62">
        <f t="shared" si="68"/>
        <v>6.5600000000000006E-2</v>
      </c>
      <c r="AA201" s="62">
        <f t="shared" si="56"/>
        <v>5.7961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7"/>
        <v>0838-14</v>
      </c>
      <c r="AE201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201" s="82" t="str">
        <f t="shared" si="59"/>
        <v>"C:\Program Files (x86)\AstroGrep\AstroGrep.exe" /e /r /s /spath="%USERPROFILE%\AppData\Local\Temp\OnboardLogs" /stypes="app*4012*20170315*" /stext=" 00:.+((SYSTEM_STATE.+slice.+state.+changed )|(ment ac)|(multiple cpu faults)|(system.+state.+changed )|(\[timeout)|(PRM\|1\|D)|(kpr)|(kdp)|(\|lc)|(penalty))"</v>
      </c>
      <c r="AG201" s="1" t="str">
        <f t="shared" si="60"/>
        <v>NW</v>
      </c>
      <c r="AH201" s="86" t="str">
        <f t="shared" si="61"/>
        <v>"%USERPROFILE%\Documents\GitHub\eaglep3\Utilities\RefineRTDCRunTimes.py" --tripid 838-14 --locoid 4012 --swversion DE.1.0.9.0 --startMP 300:58617 --initTime 2017-03-14T18:36:15 --startdatetime 2017-03-14T18:37:19 --delay 1 --endMP 204:656 --enddatetime 2017-03-14T18:56:55 --enforcementcount 0 &gt;&gt;C:\Users\stu\Documents\GitHub\eaglep3-reporting\EC\2017-03-14-refined-times.txt</v>
      </c>
      <c r="AI201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{"issue":{"subject":"","project_id":79,"tracker_id":40,"status_id":1,"priority_id":2,"assigned_to_id":23,"start_date":"2017-03-14","description":"","custom_fields":[{"id":1,"name":"Subdivision","value":"NW"},{"id":4,"name":"Milepost","value":"0.0656"},{"id":17,"name":"Train ID","value":"838-14"},{"id":16,"name":"Locomotive ID","value":"4012"},{"id":130,"name":"Impact","value":""},{"id":150,"name":"Time of Event (Mountain Time)","value":"18:56:55"},{"id":151,"name":"Denver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3"/>
        <v>start /low /b %USERPROFILE%\Documents\GitHub\eaglep3\Utilities\DownloadLogsFromS3.py --loco 4012 --day 2017-03-14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2017-03-14-UncaughtWiMAX.txt</v>
      </c>
    </row>
    <row r="202" spans="1:40" x14ac:dyDescent="0.25">
      <c r="A202" s="33" t="s">
        <v>761</v>
      </c>
      <c r="B202" s="7">
        <v>4024</v>
      </c>
      <c r="C202" s="21" t="s">
        <v>233</v>
      </c>
      <c r="D202" s="21" t="s">
        <v>994</v>
      </c>
      <c r="E202" s="13">
        <v>42808.771874999999</v>
      </c>
      <c r="F202" s="13">
        <v>42808.772824074076</v>
      </c>
      <c r="G202" s="7">
        <v>1</v>
      </c>
      <c r="H202" s="21" t="s">
        <v>458</v>
      </c>
      <c r="I202" s="13">
        <v>42808.795810185184</v>
      </c>
      <c r="J202" s="7">
        <v>0</v>
      </c>
      <c r="K202" s="98" t="str">
        <f t="shared" si="49"/>
        <v>4023/4024</v>
      </c>
      <c r="L202" s="21" t="str">
        <f>VLOOKUP(A202,'Trips&amp;Operators'!$C$1:$G$99999,5,FALSE)</f>
        <v>SWANSON BRYCE</v>
      </c>
      <c r="M202" s="6">
        <f t="shared" si="50"/>
        <v>2.2986111107456964E-2</v>
      </c>
      <c r="N202" s="7">
        <f t="shared" si="69"/>
        <v>33.099999994738027</v>
      </c>
      <c r="O202" s="7"/>
      <c r="P202" s="7"/>
      <c r="Q202" s="22"/>
      <c r="R202" s="22"/>
      <c r="S202" s="31">
        <f t="shared" si="70"/>
        <v>1</v>
      </c>
      <c r="T202" s="46" t="str">
        <f t="shared" si="51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2"/>
        <v>https://d0f6bd738d7f1b3e5a7ca70fe4ff75f0.us-east-1.aws.found.io/app/kibana#/discover/Steve-Slow-Train-Analysis-(2080s-and-2083s)?_g=(refreshInterval:(display:Off,pause:!f,section:0,value:0),time:(from:'2017-03-14T17:31:30-0600',mode:absolute,to:'2017-03-14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2" s="187" t="str">
        <f t="shared" si="53"/>
        <v>N</v>
      </c>
      <c r="X202" s="187">
        <f t="shared" si="71"/>
        <v>1</v>
      </c>
      <c r="Y202" s="62">
        <f t="shared" si="54"/>
        <v>9.6500000000000002E-2</v>
      </c>
      <c r="Z202" s="62">
        <f t="shared" si="68"/>
        <v>5.8929</v>
      </c>
      <c r="AA202" s="62">
        <f t="shared" si="56"/>
        <v>5.7964000000000002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7"/>
        <v>0839-14</v>
      </c>
      <c r="AE202" s="85" t="str">
        <f t="shared" si="58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202" s="82" t="str">
        <f t="shared" si="59"/>
        <v>"C:\Program Files (x86)\AstroGrep\AstroGrep.exe" /e /r /s /spath="%USERPROFILE%\AppData\Local\Temp\OnboardLogs" /stypes="app*4024*20170315*" /stext=" 01:.+((SYSTEM_STATE.+slice.+state.+changed )|(ment ac)|(multiple cpu faults)|(system.+state.+changed )|(\[timeout)|(PRM\|1\|D)|(kpr)|(kdp)|(\|lc)|(penalty))"</v>
      </c>
      <c r="AG202" s="1" t="str">
        <f t="shared" si="60"/>
        <v>NW</v>
      </c>
      <c r="AH202" s="86" t="str">
        <f t="shared" si="61"/>
        <v>"%USERPROFILE%\Documents\GitHub\eaglep3\Utilities\RefineRTDCRunTimes.py" --tripid 839-14 --locoid 4024 --swversion DE.1.0.9.0 --startMP 204:965 --initTime 2017-03-14T18:31:30 --startdatetime 2017-03-14T18:32:52 --delay 1 --endMP 300:58929 --enddatetime 2017-03-14T19:05:58 --enforcementcount 0 &gt;&gt;C:\Users\stu\Documents\GitHub\eaglep3-reporting\EC\2017-03-14-refined-times.txt</v>
      </c>
      <c r="AI202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{"issue":{"subject":"","project_id":79,"tracker_id":40,"status_id":1,"priority_id":2,"assigned_to_id":23,"start_date":"2017-03-14","description":"","custom_fields":[{"id":1,"name":"Subdivision","value":"NW"},{"id":4,"name":"Milepost","value":"5.8929"},{"id":17,"name":"Train ID","value":"839-14"},{"id":16,"name":"Locomotive ID","value":"4024"},{"id":130,"name":"Impact","value":""},{"id":150,"name":"Time of Event (Mountain Time)","value":"19:05:58"},{"id":151,"name":"Denver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3"/>
        <v>start /low /b %USERPROFILE%\Documents\GitHub\eaglep3\Utilities\DownloadLogsFromS3.py --loco 4024 --day 2017-03-14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"%USERPROFILE%\AppData\Local\Temp\OnboardLogs"\RTDC4024\*4024*20170315* | grep -SE "(Enforcement Action)|(\[TIMEOUT)|(CHR.+\|PRM\|1\|D.+(SWITCH|SIGNAL).+UNKNOWN)" - &gt;&gt; 2017-03-14-UncaughtWiMAX.txt</v>
      </c>
    </row>
    <row r="203" spans="1:40" x14ac:dyDescent="0.25">
      <c r="A203" s="33" t="s">
        <v>771</v>
      </c>
      <c r="B203" s="7">
        <v>4012</v>
      </c>
      <c r="C203" s="21" t="s">
        <v>233</v>
      </c>
      <c r="D203" s="21" t="s">
        <v>556</v>
      </c>
      <c r="E203" s="13">
        <v>42808.816689814812</v>
      </c>
      <c r="F203" s="13">
        <v>42808.817407407405</v>
      </c>
      <c r="G203" s="7">
        <v>1</v>
      </c>
      <c r="H203" s="21" t="s">
        <v>542</v>
      </c>
      <c r="I203" s="13">
        <v>42808.831192129626</v>
      </c>
      <c r="J203" s="7">
        <v>0</v>
      </c>
      <c r="K203" s="98" t="str">
        <f t="shared" si="49"/>
        <v>4011/4012</v>
      </c>
      <c r="L203" s="21" t="str">
        <f>VLOOKUP(A203,'Trips&amp;Operators'!$C$1:$G$99999,5,FALSE)</f>
        <v>LEVIN SCOTT</v>
      </c>
      <c r="M203" s="6">
        <f t="shared" si="50"/>
        <v>1.378472222131677E-2</v>
      </c>
      <c r="N203" s="7">
        <f t="shared" si="69"/>
        <v>19.849999998696148</v>
      </c>
      <c r="O203" s="7"/>
      <c r="P203" s="7"/>
      <c r="Q203" s="22"/>
      <c r="R203" s="22"/>
      <c r="S203" s="31">
        <f t="shared" si="70"/>
        <v>1</v>
      </c>
      <c r="T203" s="46" t="str">
        <f t="shared" si="51"/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2"/>
        <v>https://d0f6bd738d7f1b3e5a7ca70fe4ff75f0.us-east-1.aws.found.io/app/kibana#/discover/Steve-Slow-Train-Analysis-(2080s-and-2083s)?_g=(refreshInterval:(display:Off,pause:!f,section:0,value:0),time:(from:'2017-03-14T18:36:02-0600',mode:absolute,to:'2017-03-14T20:56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3" s="187" t="str">
        <f t="shared" si="53"/>
        <v>N</v>
      </c>
      <c r="X203" s="187">
        <f t="shared" si="71"/>
        <v>1</v>
      </c>
      <c r="Y203" s="62">
        <f t="shared" si="54"/>
        <v>5.8609</v>
      </c>
      <c r="Z203" s="62">
        <f t="shared" si="68"/>
        <v>6.7299999999999999E-2</v>
      </c>
      <c r="AA203" s="62">
        <f t="shared" si="56"/>
        <v>5.7935999999999996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7"/>
        <v>0840-14</v>
      </c>
      <c r="AE203" s="85" t="str">
        <f t="shared" si="58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203" s="82" t="str">
        <f t="shared" si="59"/>
        <v>"C:\Program Files (x86)\AstroGrep\AstroGrep.exe" /e /r /s /spath="%USERPROFILE%\AppData\Local\Temp\OnboardLogs" /stypes="app*4012*20170315*" /stext=" 01:.+((SYSTEM_STATE.+slice.+state.+changed )|(ment ac)|(multiple cpu faults)|(system.+state.+changed )|(\[timeout)|(PRM\|1\|D)|(kpr)|(kdp)|(\|lc)|(penalty))"</v>
      </c>
      <c r="AG203" s="1" t="str">
        <f t="shared" si="60"/>
        <v>NW</v>
      </c>
      <c r="AH203" s="86" t="str">
        <f t="shared" si="61"/>
        <v>"%USERPROFILE%\Documents\GitHub\eaglep3\Utilities\RefineRTDCRunTimes.py" --tripid 840-14 --locoid 4012 --swversion DE.1.0.9.0 --startMP 300:58609 --initTime 2017-03-14T19:36:02 --startdatetime 2017-03-14T19:37:04 --delay 1 --endMP 204:673 --enddatetime 2017-03-14T19:56:55 --enforcementcount 0 &gt;&gt;C:\Users\stu\Documents\GitHub\eaglep3-reporting\EC\2017-03-14-refined-times.txt</v>
      </c>
      <c r="AI203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{"issue":{"subject":"","project_id":79,"tracker_id":40,"status_id":1,"priority_id":2,"assigned_to_id":23,"start_date":"2017-03-14","description":"","custom_fields":[{"id":1,"name":"Subdivision","value":"NW"},{"id":4,"name":"Milepost","value":"0.0673"},{"id":17,"name":"Train ID","value":"840-14"},{"id":16,"name":"Locomotive ID","value":"4012"},{"id":130,"name":"Impact","value":""},{"id":150,"name":"Time of Event (Mountain Time)","value":"19:56:55"},{"id":151,"name":"Denver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3"/>
        <v>start /low /b %USERPROFILE%\Documents\GitHub\eaglep3\Utilities\DownloadLogsFromS3.py --loco 4012 --day 2017-03-14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2017-03-14-UncaughtWiMAX.txt</v>
      </c>
    </row>
    <row r="204" spans="1:40" x14ac:dyDescent="0.25">
      <c r="A204" s="33" t="s">
        <v>769</v>
      </c>
      <c r="B204" s="7">
        <v>4011</v>
      </c>
      <c r="C204" s="21" t="s">
        <v>233</v>
      </c>
      <c r="D204" s="21" t="s">
        <v>547</v>
      </c>
      <c r="E204" s="13">
        <v>42808.803217592591</v>
      </c>
      <c r="F204" s="13">
        <v>42808.804155092592</v>
      </c>
      <c r="G204" s="7">
        <v>1</v>
      </c>
      <c r="H204" s="21" t="s">
        <v>553</v>
      </c>
      <c r="I204" s="13">
        <v>42808.815625000003</v>
      </c>
      <c r="J204" s="7">
        <v>0</v>
      </c>
      <c r="K204" s="98" t="str">
        <f t="shared" si="49"/>
        <v>4011/4012</v>
      </c>
      <c r="L204" s="21" t="str">
        <f>VLOOKUP(A204,'Trips&amp;Operators'!$C$1:$G$99999,5,FALSE)</f>
        <v>LEVIN SCOTT</v>
      </c>
      <c r="M204" s="6">
        <f t="shared" si="50"/>
        <v>1.1469907411083113E-2</v>
      </c>
      <c r="N204" s="7">
        <f t="shared" si="69"/>
        <v>16.516666671959683</v>
      </c>
      <c r="O204" s="7"/>
      <c r="P204" s="7"/>
      <c r="Q204" s="22"/>
      <c r="R204" s="22"/>
      <c r="S204" s="31">
        <f t="shared" si="70"/>
        <v>1</v>
      </c>
      <c r="T204" s="46" t="str">
        <f t="shared" si="51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2"/>
        <v>https://d0f6bd738d7f1b3e5a7ca70fe4ff75f0.us-east-1.aws.found.io/app/kibana#/discover/Steve-Slow-Train-Analysis-(2080s-and-2083s)?_g=(refreshInterval:(display:Off,pause:!f,section:0,value:0),time:(from:'2017-03-14T18:16:38-0600',mode:absolute,to:'2017-03-14T20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187" t="str">
        <f t="shared" si="53"/>
        <v>N</v>
      </c>
      <c r="X204" s="187">
        <f t="shared" si="71"/>
        <v>1</v>
      </c>
      <c r="Y204" s="62">
        <f t="shared" si="54"/>
        <v>9.6199999999999994E-2</v>
      </c>
      <c r="Z204" s="62">
        <f t="shared" si="68"/>
        <v>5.8924000000000003</v>
      </c>
      <c r="AA204" s="62">
        <f t="shared" si="56"/>
        <v>5.7962000000000007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7"/>
        <v>0841-14</v>
      </c>
      <c r="AE204" s="85" t="str">
        <f t="shared" si="58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204" s="82" t="str">
        <f t="shared" si="59"/>
        <v>"C:\Program Files (x86)\AstroGrep\AstroGrep.exe" /e /r /s /spath="%USERPROFILE%\AppData\Local\Temp\OnboardLogs" /stypes="app*4011*20170315*" /stext=" 01:.+((SYSTEM_STATE.+slice.+state.+changed )|(ment ac)|(multiple cpu faults)|(system.+state.+changed )|(\[timeout)|(PRM\|1\|D)|(kpr)|(kdp)|(\|lc)|(penalty))"</v>
      </c>
      <c r="AG204" s="1" t="str">
        <f t="shared" si="60"/>
        <v>NW</v>
      </c>
      <c r="AH204" s="86" t="str">
        <f t="shared" si="61"/>
        <v>"%USERPROFILE%\Documents\GitHub\eaglep3\Utilities\RefineRTDCRunTimes.py" --tripid 841-14 --locoid 4011 --swversion DE.1.0.9.0 --startMP 204:962 --initTime 2017-03-14T19:16:38 --startdatetime 2017-03-14T19:17:59 --delay 1 --endMP 300:58924 --enddatetime 2017-03-14T19:34:30 --enforcementcount 0 &gt;&gt;C:\Users\stu\Documents\GitHub\eaglep3-reporting\EC\2017-03-14-refined-times.txt</v>
      </c>
      <c r="AI204" s="108" t="str">
        <f t="shared" si="62"/>
        <v>echo {"issue":{"subject":"","project_id":79,"tracker_id":40,"status_id":1,"priority_id":2,"assigned_to_id":23,"start_date":"2017-03-14","description":"","custom_fields":[{"id":1,"name":"Subdivision","value":"NW"},{"id":4,"name":"Milepost","value":"5.8924"},{"id":17,"name":"Train ID","value":"841-14"},{"id":16,"name":"Locomotive ID","value":"4011"},{"id":130,"name":"Impact","value":""},{"id":150,"name":"Time of Event (Mountain Time)","value":"19:34:30"},{"id":151,"name":"Denver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3"/>
        <v>start /low /b %USERPROFILE%\Documents\GitHub\eaglep3\Utilities\DownloadLogsFromS3.py --loco 4011 --day 2017-03-14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2017-03-14-UncaughtWiMAX.txt</v>
      </c>
    </row>
    <row r="205" spans="1:40" x14ac:dyDescent="0.25">
      <c r="A205" s="33" t="s">
        <v>779</v>
      </c>
      <c r="B205" s="7">
        <v>4012</v>
      </c>
      <c r="C205" s="21" t="s">
        <v>233</v>
      </c>
      <c r="D205" s="21" t="s">
        <v>947</v>
      </c>
      <c r="E205" s="13">
        <v>42808.858576388891</v>
      </c>
      <c r="F205" s="13">
        <v>42808.859340277777</v>
      </c>
      <c r="G205" s="7">
        <v>1</v>
      </c>
      <c r="H205" s="21" t="s">
        <v>557</v>
      </c>
      <c r="I205" s="13">
        <v>42808.871562499997</v>
      </c>
      <c r="J205" s="7">
        <v>0</v>
      </c>
      <c r="K205" s="98" t="str">
        <f t="shared" ref="K205:K269" si="72">IF(ISEVEN(B205),(B205-1)&amp;"/"&amp;B205,B205&amp;"/"&amp;(B205+1))</f>
        <v>4011/4012</v>
      </c>
      <c r="L205" s="21" t="str">
        <f>VLOOKUP(A205,'Trips&amp;Operators'!$C$1:$G$99999,5,FALSE)</f>
        <v>LEVIN SCOTT</v>
      </c>
      <c r="M205" s="6">
        <f t="shared" ref="M205:M269" si="73">I205-F205</f>
        <v>1.2222222219861578E-2</v>
      </c>
      <c r="N205" s="7">
        <f t="shared" si="69"/>
        <v>17.599999996600673</v>
      </c>
      <c r="O205" s="7"/>
      <c r="P205" s="7"/>
      <c r="Q205" s="22"/>
      <c r="R205" s="22"/>
      <c r="S205" s="31">
        <f t="shared" si="70"/>
        <v>1</v>
      </c>
      <c r="T205" s="46" t="str">
        <f t="shared" ref="T205:T269" si="74"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69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-14T19:36:21-0600',mode:absolute,to:'2017-03-14T21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5" s="187" t="str">
        <f t="shared" ref="W205:W269" si="76">IF(AA205&lt;IF(AG205="EC",23,5.65),"Y","N")</f>
        <v>N</v>
      </c>
      <c r="X205" s="187">
        <f t="shared" si="71"/>
        <v>1</v>
      </c>
      <c r="Y205" s="62">
        <f t="shared" ref="Y205:Y269" si="77">RIGHT(D205,LEN(D205)-4)/10000</f>
        <v>5.8620999999999999</v>
      </c>
      <c r="Z205" s="62">
        <f t="shared" si="68"/>
        <v>6.59E-2</v>
      </c>
      <c r="AA205" s="62">
        <f t="shared" ref="AA205:AA268" si="78">ABS(Z205-Y205)</f>
        <v>5.7961999999999998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69" si="79">IF(LEN(A205)=6,"0"&amp;A205,A205)</f>
        <v>0842-14</v>
      </c>
      <c r="AE205" s="85" t="str">
        <f t="shared" ref="AE205:AE269" si="8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205" s="82" t="str">
        <f t="shared" ref="AF205:AF269" si="8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/stypes="app*4012*20170315*" /stext=" 02:.+((SYSTEM_STATE.+slice.+state.+changed )|(ment ac)|(multiple cpu faults)|(system.+state.+changed )|(\[timeout)|(PRM\|1\|D)|(kpr)|(kdp)|(\|lc)|(penalty))"</v>
      </c>
      <c r="AG205" s="1" t="str">
        <f t="shared" ref="AG205:AG269" si="82">IFERROR(IF(VALUE(LEFT(AD205,2))&lt;=2,"EC",IF(OR(VALUE(LEFT(AD205,2))=8,VALUE(LEFT(AD205,2))=18),"NW","Other")),"Other")</f>
        <v>NW</v>
      </c>
      <c r="AH205" s="86" t="str">
        <f t="shared" ref="AH205:AH268" si="8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842-14 --locoid 4012 --swversion DE.1.0.9.0 --startMP 300:58621 --initTime 2017-03-14T20:36:21 --startdatetime 2017-03-14T20:37:27 --delay 1 --endMP 204:659 --enddatetime 2017-03-14T20:55:03 --enforcementcount 0 &gt;&gt;C:\Users\stu\Documents\GitHub\eaglep3-reporting\EC\2017-03-14-refined-times.txt</v>
      </c>
      <c r="AI205" s="108" t="str">
        <f t="shared" ref="AI205:AI268" si="8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{"issue":{"subject":"","project_id":79,"tracker_id":40,"status_id":1,"priority_id":2,"assigned_to_id":23,"start_date":"2017-03-14","description":"","custom_fields":[{"id":1,"name":"Subdivision","value":"NW"},{"id":4,"name":"Milepost","value":"0.0659"},{"id":17,"name":"Train ID","value":"842-14"},{"id":16,"name":"Locomotive ID","value":"4012"},{"id":130,"name":"Impact","value":""},{"id":150,"name":"Time of Event (Mountain Time)","value":"20:55:03"},{"id":151,"name":"Denver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68" si="85">"start /low /b "&amp;dls3logs&amp;" --loco "&amp;B205&amp;" --day "&amp;TEXT(F205,"YYYY-MM-DD")</f>
        <v>start /low /b %USERPROFILE%\Documents\GitHub\eaglep3\Utilities\DownloadLogsFromS3.py --loco 4012 --day 2017-03-14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2017-03-14-UncaughtWiMAX.txt</v>
      </c>
    </row>
    <row r="206" spans="1:40" x14ac:dyDescent="0.25">
      <c r="A206" s="33" t="s">
        <v>776</v>
      </c>
      <c r="B206" s="7">
        <v>4011</v>
      </c>
      <c r="C206" s="21" t="s">
        <v>233</v>
      </c>
      <c r="D206" s="21" t="s">
        <v>1001</v>
      </c>
      <c r="E206" s="13">
        <v>42808.842349537037</v>
      </c>
      <c r="F206" s="13">
        <v>42808.843252314815</v>
      </c>
      <c r="G206" s="7">
        <v>1</v>
      </c>
      <c r="H206" s="21" t="s">
        <v>493</v>
      </c>
      <c r="I206" s="13">
        <v>42808.857256944444</v>
      </c>
      <c r="J206" s="7">
        <v>0</v>
      </c>
      <c r="K206" s="98" t="str">
        <f t="shared" si="72"/>
        <v>4011/4012</v>
      </c>
      <c r="L206" s="21" t="str">
        <f>VLOOKUP(A206,'Trips&amp;Operators'!$C$1:$G$99999,5,FALSE)</f>
        <v>LEVIN SCOTT</v>
      </c>
      <c r="M206" s="6">
        <f t="shared" si="73"/>
        <v>1.4004629629198462E-2</v>
      </c>
      <c r="N206" s="7">
        <f t="shared" si="69"/>
        <v>20.166666666045785</v>
      </c>
      <c r="O206" s="7"/>
      <c r="P206" s="7"/>
      <c r="Q206" s="22"/>
      <c r="R206" s="22"/>
      <c r="S206" s="31">
        <f t="shared" si="70"/>
        <v>1</v>
      </c>
      <c r="T206" s="46" t="str">
        <f t="shared" si="74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5"/>
        <v>https://d0f6bd738d7f1b3e5a7ca70fe4ff75f0.us-east-1.aws.found.io/app/kibana#/discover/Steve-Slow-Train-Analysis-(2080s-and-2083s)?_g=(refreshInterval:(display:Off,pause:!f,section:0,value:0),time:(from:'2017-03-14T19:12:59-0600',mode:absolute,to:'2017-03-14T21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6" s="187" t="str">
        <f t="shared" si="76"/>
        <v>N</v>
      </c>
      <c r="X206" s="187">
        <f t="shared" si="71"/>
        <v>1</v>
      </c>
      <c r="Y206" s="62">
        <f t="shared" si="77"/>
        <v>9.5500000000000002E-2</v>
      </c>
      <c r="Z206" s="62">
        <f t="shared" si="68"/>
        <v>5.8930999999999996</v>
      </c>
      <c r="AA206" s="62">
        <f t="shared" si="78"/>
        <v>5.7975999999999992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9"/>
        <v>0843-14</v>
      </c>
      <c r="AE206" s="85" t="str">
        <f t="shared" si="80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206" s="82" t="str">
        <f t="shared" si="81"/>
        <v>"C:\Program Files (x86)\AstroGrep\AstroGrep.exe" /e /r /s /spath="%USERPROFILE%\AppData\Local\Temp\OnboardLogs" /stypes="app*4011*20170315*" /stext=" 02:.+((SYSTEM_STATE.+slice.+state.+changed )|(ment ac)|(multiple cpu faults)|(system.+state.+changed )|(\[timeout)|(PRM\|1\|D)|(kpr)|(kdp)|(\|lc)|(penalty))"</v>
      </c>
      <c r="AG206" s="1" t="str">
        <f t="shared" si="82"/>
        <v>NW</v>
      </c>
      <c r="AH206" s="86" t="str">
        <f t="shared" si="83"/>
        <v>"%USERPROFILE%\Documents\GitHub\eaglep3\Utilities\RefineRTDCRunTimes.py" --tripid 843-14 --locoid 4011 --swversion DE.1.0.9.0 --startMP 204:955 --initTime 2017-03-14T20:12:59 --startdatetime 2017-03-14T20:14:17 --delay 1 --endMP 300:58931 --enddatetime 2017-03-14T20:34:27 --enforcementcount 0 &gt;&gt;C:\Users\stu\Documents\GitHub\eaglep3-reporting\EC\2017-03-14-refined-times.txt</v>
      </c>
      <c r="AI206" s="108" t="str">
        <f t="shared" si="84"/>
        <v>echo {"issue":{"subject":"","project_id":79,"tracker_id":40,"status_id":1,"priority_id":2,"assigned_to_id":23,"start_date":"2017-03-14","description":"","custom_fields":[{"id":1,"name":"Subdivision","value":"NW"},{"id":4,"name":"Milepost","value":"5.8931"},{"id":17,"name":"Train ID","value":"843-14"},{"id":16,"name":"Locomotive ID","value":"4011"},{"id":130,"name":"Impact","value":""},{"id":150,"name":"Time of Event (Mountain Time)","value":"20:34:27"},{"id":151,"name":"Denver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85"/>
        <v>start /low /b %USERPROFILE%\Documents\GitHub\eaglep3\Utilities\DownloadLogsFromS3.py --loco 4011 --day 2017-03-14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2017-03-14-UncaughtWiMAX.txt</v>
      </c>
    </row>
    <row r="207" spans="1:40" x14ac:dyDescent="0.25">
      <c r="A207" s="33" t="s">
        <v>786</v>
      </c>
      <c r="B207" s="7">
        <v>4012</v>
      </c>
      <c r="C207" s="21" t="s">
        <v>233</v>
      </c>
      <c r="D207" s="21" t="s">
        <v>995</v>
      </c>
      <c r="E207" s="13">
        <v>42808.901076388887</v>
      </c>
      <c r="F207" s="13">
        <v>42808.902314814812</v>
      </c>
      <c r="G207" s="7">
        <v>1</v>
      </c>
      <c r="H207" s="21" t="s">
        <v>541</v>
      </c>
      <c r="I207" s="13">
        <v>42808.913599537038</v>
      </c>
      <c r="J207" s="7">
        <v>0</v>
      </c>
      <c r="K207" s="98" t="str">
        <f t="shared" si="72"/>
        <v>4011/4012</v>
      </c>
      <c r="L207" s="21" t="str">
        <f>VLOOKUP(A207,'Trips&amp;Operators'!$C$1:$G$99999,5,FALSE)</f>
        <v>SWANSON BRYCE</v>
      </c>
      <c r="M207" s="6">
        <f t="shared" si="73"/>
        <v>1.1284722226264421E-2</v>
      </c>
      <c r="N207" s="7">
        <f t="shared" si="69"/>
        <v>16.250000005820766</v>
      </c>
      <c r="O207" s="7"/>
      <c r="P207" s="7"/>
      <c r="Q207" s="22"/>
      <c r="R207" s="22"/>
      <c r="S207" s="31">
        <f t="shared" si="70"/>
        <v>1</v>
      </c>
      <c r="T207" s="46" t="str">
        <f t="shared" si="74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5"/>
        <v>https://d0f6bd738d7f1b3e5a7ca70fe4ff75f0.us-east-1.aws.found.io/app/kibana#/discover/Steve-Slow-Train-Analysis-(2080s-and-2083s)?_g=(refreshInterval:(display:Off,pause:!f,section:0,value:0),time:(from:'2017-03-14T20:37:33-0600',mode:absolute,to:'2017-03-14T22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87" t="str">
        <f t="shared" si="76"/>
        <v>N</v>
      </c>
      <c r="X207" s="187">
        <f t="shared" si="71"/>
        <v>1</v>
      </c>
      <c r="Y207" s="62">
        <f t="shared" si="77"/>
        <v>5.8616999999999999</v>
      </c>
      <c r="Z207" s="62">
        <f t="shared" si="68"/>
        <v>6.8699999999999997E-2</v>
      </c>
      <c r="AA207" s="62">
        <f t="shared" si="78"/>
        <v>5.7930000000000001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9"/>
        <v>0844-14</v>
      </c>
      <c r="AE207" s="85" t="str">
        <f t="shared" si="80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207" s="82" t="str">
        <f t="shared" si="81"/>
        <v>"C:\Program Files (x86)\AstroGrep\AstroGrep.exe" /e /r /s /spath="%USERPROFILE%\AppData\Local\Temp\OnboardLogs" /stypes="app*4012*20170315*" /stext=" 03:.+((SYSTEM_STATE.+slice.+state.+changed )|(ment ac)|(multiple cpu faults)|(system.+state.+changed )|(\[timeout)|(PRM\|1\|D)|(kpr)|(kdp)|(\|lc)|(penalty))"</v>
      </c>
      <c r="AG207" s="1" t="str">
        <f t="shared" si="82"/>
        <v>NW</v>
      </c>
      <c r="AH207" s="86" t="str">
        <f t="shared" si="83"/>
        <v>"%USERPROFILE%\Documents\GitHub\eaglep3\Utilities\RefineRTDCRunTimes.py" --tripid 844-14 --locoid 4012 --swversion DE.1.0.9.0 --startMP 300:58617 --initTime 2017-03-14T21:37:33 --startdatetime 2017-03-14T21:39:20 --delay 1 --endMP 204:687 --enddatetime 2017-03-14T21:55:35 --enforcementcount 0 &gt;&gt;C:\Users\stu\Documents\GitHub\eaglep3-reporting\EC\2017-03-14-refined-times.txt</v>
      </c>
      <c r="AI207" s="108" t="str">
        <f t="shared" si="84"/>
        <v>echo {"issue":{"subject":"","project_id":79,"tracker_id":40,"status_id":1,"priority_id":2,"assigned_to_id":23,"start_date":"2017-03-14","description":"","custom_fields":[{"id":1,"name":"Subdivision","value":"NW"},{"id":4,"name":"Milepost","value":"0.0687"},{"id":17,"name":"Train ID","value":"844-14"},{"id":16,"name":"Locomotive ID","value":"4012"},{"id":130,"name":"Impact","value":""},{"id":150,"name":"Time of Event (Mountain Time)","value":"21:55:35"},{"id":151,"name":"Denver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5"/>
        <v>start /low /b %USERPROFILE%\Documents\GitHub\eaglep3\Utilities\DownloadLogsFromS3.py --loco 4012 --day 2017-03-14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2017-03-14-UncaughtWiMAX.txt</v>
      </c>
    </row>
    <row r="208" spans="1:40" x14ac:dyDescent="0.25">
      <c r="A208" s="33" t="s">
        <v>782</v>
      </c>
      <c r="B208" s="7">
        <v>4011</v>
      </c>
      <c r="C208" s="21" t="s">
        <v>233</v>
      </c>
      <c r="D208" s="21" t="s">
        <v>1001</v>
      </c>
      <c r="E208" s="13">
        <v>42808.876631944448</v>
      </c>
      <c r="F208" s="13">
        <v>42808.878055555557</v>
      </c>
      <c r="G208" s="7">
        <v>2</v>
      </c>
      <c r="H208" s="21" t="s">
        <v>493</v>
      </c>
      <c r="I208" s="13">
        <v>42808.899976851855</v>
      </c>
      <c r="J208" s="7">
        <v>0</v>
      </c>
      <c r="K208" s="98" t="str">
        <f t="shared" si="72"/>
        <v>4011/4012</v>
      </c>
      <c r="L208" s="21" t="str">
        <f>VLOOKUP(A208,'Trips&amp;Operators'!$C$1:$G$99999,5,FALSE)</f>
        <v>SWANSON BRYCE</v>
      </c>
      <c r="M208" s="6">
        <f t="shared" si="73"/>
        <v>2.192129629838746E-2</v>
      </c>
      <c r="N208" s="7">
        <f t="shared" si="69"/>
        <v>31.566666669677943</v>
      </c>
      <c r="O208" s="7"/>
      <c r="P208" s="7"/>
      <c r="Q208" s="22"/>
      <c r="R208" s="22"/>
      <c r="S208" s="31">
        <f t="shared" si="70"/>
        <v>1</v>
      </c>
      <c r="T208" s="46" t="str">
        <f t="shared" si="74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5"/>
        <v>https://d0f6bd738d7f1b3e5a7ca70fe4ff75f0.us-east-1.aws.found.io/app/kibana#/discover/Steve-Slow-Train-Analysis-(2080s-and-2083s)?_g=(refreshInterval:(display:Off,pause:!f,section:0,value:0),time:(from:'2017-03-14T20:02:21-0600',mode:absolute,to:'2017-03-14T22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187" t="str">
        <f t="shared" si="76"/>
        <v>N</v>
      </c>
      <c r="X208" s="187">
        <f t="shared" si="71"/>
        <v>1</v>
      </c>
      <c r="Y208" s="62">
        <f t="shared" si="77"/>
        <v>9.5500000000000002E-2</v>
      </c>
      <c r="Z208" s="62">
        <f t="shared" si="68"/>
        <v>5.8930999999999996</v>
      </c>
      <c r="AA208" s="62">
        <f t="shared" si="78"/>
        <v>5.7975999999999992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9"/>
        <v>0845-14</v>
      </c>
      <c r="AE208" s="85" t="str">
        <f t="shared" si="80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208" s="82" t="str">
        <f t="shared" si="81"/>
        <v>"C:\Program Files (x86)\AstroGrep\AstroGrep.exe" /e /r /s /spath="%USERPROFILE%\AppData\Local\Temp\OnboardLogs" /stypes="app*4011*20170315*" /stext=" 03:.+((SYSTEM_STATE.+slice.+state.+changed )|(ment ac)|(multiple cpu faults)|(system.+state.+changed )|(\[timeout)|(PRM\|1\|D)|(kpr)|(kdp)|(\|lc)|(penalty))"</v>
      </c>
      <c r="AG208" s="1" t="str">
        <f t="shared" si="82"/>
        <v>NW</v>
      </c>
      <c r="AH208" s="86" t="str">
        <f t="shared" si="83"/>
        <v>"%USERPROFILE%\Documents\GitHub\eaglep3\Utilities\RefineRTDCRunTimes.py" --tripid 845-14 --locoid 4011 --swversion DE.1.0.9.0 --startMP 204:955 --initTime 2017-03-14T21:02:21 --startdatetime 2017-03-14T21:04:24 --delay 2 --endMP 300:58931 --enddatetime 2017-03-14T21:35:58 --enforcementcount 0 &gt;&gt;C:\Users\stu\Documents\GitHub\eaglep3-reporting\EC\2017-03-14-refined-times.txt</v>
      </c>
      <c r="AI208" s="108" t="str">
        <f t="shared" si="84"/>
        <v>echo {"issue":{"subject":"","project_id":79,"tracker_id":40,"status_id":1,"priority_id":2,"assigned_to_id":23,"start_date":"2017-03-14","description":"","custom_fields":[{"id":1,"name":"Subdivision","value":"NW"},{"id":4,"name":"Milepost","value":"5.8931"},{"id":17,"name":"Train ID","value":"845-14"},{"id":16,"name":"Locomotive ID","value":"4011"},{"id":130,"name":"Impact","value":""},{"id":150,"name":"Time of Event (Mountain Time)","value":"21:35:58"},{"id":151,"name":"Denver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5"/>
        <v>start /low /b %USERPROFILE%\Documents\GitHub\eaglep3\Utilities\DownloadLogsFromS3.py --loco 4011 --day 2017-03-14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2017-03-14-UncaughtWiMAX.txt</v>
      </c>
    </row>
    <row r="209" spans="1:40" x14ac:dyDescent="0.25">
      <c r="A209" s="33" t="s">
        <v>789</v>
      </c>
      <c r="B209" s="7">
        <v>4011</v>
      </c>
      <c r="C209" s="21" t="s">
        <v>233</v>
      </c>
      <c r="D209" s="21" t="s">
        <v>1002</v>
      </c>
      <c r="E209" s="13">
        <v>42808.915625000001</v>
      </c>
      <c r="F209" s="13">
        <v>42808.916446759256</v>
      </c>
      <c r="G209" s="7">
        <v>1</v>
      </c>
      <c r="H209" s="21" t="s">
        <v>552</v>
      </c>
      <c r="I209" s="13">
        <v>42808.941712962966</v>
      </c>
      <c r="J209" s="7">
        <v>0</v>
      </c>
      <c r="K209" s="98" t="str">
        <f t="shared" si="72"/>
        <v>4011/4012</v>
      </c>
      <c r="L209" s="21" t="str">
        <f>VLOOKUP(A209,'Trips&amp;Operators'!$C$1:$G$99999,5,FALSE)</f>
        <v>SWANSON BRYCE</v>
      </c>
      <c r="M209" s="6">
        <f t="shared" si="73"/>
        <v>2.5266203709179536E-2</v>
      </c>
      <c r="N209" s="7">
        <f t="shared" si="69"/>
        <v>36.383333341218531</v>
      </c>
      <c r="O209" s="7"/>
      <c r="P209" s="7"/>
      <c r="Q209" s="22"/>
      <c r="R209" s="22"/>
      <c r="S209" s="31">
        <f t="shared" si="70"/>
        <v>1</v>
      </c>
      <c r="T209" s="46" t="str">
        <f t="shared" si="74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75"/>
        <v>https://d0f6bd738d7f1b3e5a7ca70fe4ff75f0.us-east-1.aws.found.io/app/kibana#/discover/Steve-Slow-Train-Analysis-(2080s-and-2083s)?_g=(refreshInterval:(display:Off,pause:!f,section:0,value:0),time:(from:'2017-03-14T20:58:30-0600',mode:absolute,to:'2017-03-14T23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9" s="187" t="str">
        <f t="shared" si="76"/>
        <v>N</v>
      </c>
      <c r="X209" s="187">
        <f t="shared" si="71"/>
        <v>2</v>
      </c>
      <c r="Y209" s="62">
        <f t="shared" si="77"/>
        <v>9.7900000000000001E-2</v>
      </c>
      <c r="Z209" s="62">
        <f t="shared" si="68"/>
        <v>5.8928000000000003</v>
      </c>
      <c r="AA209" s="62">
        <f t="shared" si="78"/>
        <v>5.7949000000000002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9"/>
        <v>0847-14</v>
      </c>
      <c r="AE209" s="85" t="str">
        <f t="shared" si="80"/>
        <v>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 &amp; 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</v>
      </c>
      <c r="AF209" s="82" t="str">
        <f t="shared" si="81"/>
        <v>"C:\Program Files (x86)\AstroGrep\AstroGrep.exe" /e /r /s /spath="%USERPROFILE%\AppData\Local\Temp\OnboardLogs" /stypes="app*4011*20170315*" /stext=" 04:.+((SYSTEM_STATE.+slice.+state.+changed )|(ment ac)|(multiple cpu faults)|(system.+state.+changed )|(\[timeout)|(PRM\|1\|D)|(kpr)|(kdp)|(\|lc)|(penalty))"</v>
      </c>
      <c r="AG209" s="1" t="str">
        <f t="shared" si="82"/>
        <v>NW</v>
      </c>
      <c r="AH209" s="86" t="str">
        <f t="shared" si="83"/>
        <v>"%USERPROFILE%\Documents\GitHub\eaglep3\Utilities\RefineRTDCRunTimes.py" --tripid 847-14 --locoid 4011 --swversion DE.1.0.9.0 --startMP 204:979 --initTime 2017-03-14T21:58:30 --startdatetime 2017-03-14T21:59:41 --delay 1 --endMP 300:58928 --enddatetime 2017-03-14T22:36:04 --enforcementcount 0 &gt;&gt;C:\Users\stu\Documents\GitHub\eaglep3-reporting\EC\2017-03-14-refined-times.txt</v>
      </c>
      <c r="AI209" s="108" t="str">
        <f t="shared" si="84"/>
        <v>echo {"issue":{"subject":"","project_id":79,"tracker_id":40,"status_id":1,"priority_id":2,"assigned_to_id":23,"start_date":"2017-03-14","description":"","custom_fields":[{"id":1,"name":"Subdivision","value":"NW"},{"id":4,"name":"Milepost","value":"5.8928"},{"id":17,"name":"Train ID","value":"847-14"},{"id":16,"name":"Locomotive ID","value":"4011"},{"id":130,"name":"Impact","value":""},{"id":150,"name":"Time of Event (Mountain Time)","value":"22:36:04"},{"id":151,"name":"Denver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5"/>
        <v>start /low /b %USERPROFILE%\Documents\GitHub\eaglep3\Utilities\DownloadLogsFromS3.py --loco 4011 --day 2017-03-14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2017-03-14-UncaughtWiMAX.txt</v>
      </c>
    </row>
    <row r="210" spans="1:40" x14ac:dyDescent="0.25">
      <c r="A210" s="33" t="s">
        <v>600</v>
      </c>
      <c r="B210" s="7">
        <v>4017</v>
      </c>
      <c r="C210" s="21" t="s">
        <v>233</v>
      </c>
      <c r="D210" s="21" t="s">
        <v>893</v>
      </c>
      <c r="E210" s="13">
        <v>42808.119687500002</v>
      </c>
      <c r="F210" s="13">
        <v>42808.122499999998</v>
      </c>
      <c r="G210" s="7">
        <v>4</v>
      </c>
      <c r="H210" s="21" t="s">
        <v>826</v>
      </c>
      <c r="I210" s="13">
        <v>42808.127233796295</v>
      </c>
      <c r="J210" s="7">
        <v>0</v>
      </c>
      <c r="K210" s="98" t="str">
        <f t="shared" si="72"/>
        <v>4017/4018</v>
      </c>
      <c r="L210" s="21" t="str">
        <f>VLOOKUP(A210,'Trips&amp;Operators'!$C$1:$G$99999,5,FALSE)</f>
        <v>SANTIZO D. EDY</v>
      </c>
      <c r="M210" s="6">
        <f t="shared" si="73"/>
        <v>4.7337962969322689E-3</v>
      </c>
      <c r="N210" s="7">
        <f t="shared" si="69"/>
        <v>6.8166666675824672</v>
      </c>
      <c r="O210" s="7"/>
      <c r="P210" s="7"/>
      <c r="Q210" s="22"/>
      <c r="R210" s="22"/>
      <c r="S210" s="31">
        <f t="shared" si="70"/>
        <v>1</v>
      </c>
      <c r="T210" s="46" t="str">
        <f t="shared" si="74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5"/>
        <v>https://d0f6bd738d7f1b3e5a7ca70fe4ff75f0.us-east-1.aws.found.io/app/kibana#/discover/Steve-Slow-Train-Analysis-(2080s-and-2083s)?_g=(refreshInterval:(display:Off,pause:!f,section:0,value:0),time:(from:'2017-03-14T01:52:21-0600',mode:absolute,to:'2017-03-14T04:03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187" t="str">
        <f t="shared" si="76"/>
        <v>Y</v>
      </c>
      <c r="X210" s="187">
        <f t="shared" si="71"/>
        <v>-545</v>
      </c>
      <c r="Y210" s="62">
        <f t="shared" si="77"/>
        <v>1.9509000000000001</v>
      </c>
      <c r="Z210" s="62">
        <f t="shared" si="68"/>
        <v>1.4500000000000001E-2</v>
      </c>
      <c r="AA210" s="62">
        <f t="shared" si="78"/>
        <v>1.9364000000000001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9"/>
        <v>0302-14</v>
      </c>
      <c r="AE210" s="85" t="str">
        <f t="shared" si="80"/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AF210" s="82" t="str">
        <f t="shared" si="81"/>
        <v>"C:\Program Files (x86)\AstroGrep\AstroGrep.exe" /e /r /s /spath="%USERPROFILE%\AppData\Local\Temp\OnboardLogs" /stypes="app*4017*20170314*" /stext=" 09:.+((SYSTEM_STATE.+slice.+state.+changed )|(ment ac)|(multiple cpu faults)|(system.+state.+changed )|(\[timeout)|(PRM\|1\|D)|(kpr)|(kdp)|(\|lc)|(penalty))"</v>
      </c>
      <c r="AG210" s="1" t="str">
        <f t="shared" si="82"/>
        <v>Other</v>
      </c>
      <c r="AH210" s="86" t="str">
        <f t="shared" si="83"/>
        <v>"%USERPROFILE%\Documents\GitHub\eaglep3\Utilities\RefineRTDCRunTimes.py" --tripid 302-14 --locoid 4017 --swversion DE.1.0.9.0 --startMP 300:19509 --initTime 2017-03-14T02:52:21 --startdatetime 2017-03-14T02:56:24 --delay 4 --endMP 204:145 --enddatetime 2017-03-14T03:03:13 --enforcementcount 0 &gt;&gt;C:\Users\stu\Documents\GitHub\eaglep3-reporting\EC\2017-03-14-refined-times.txt</v>
      </c>
      <c r="AI210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{"issue":{"subject":"","project_id":79,"tracker_id":40,"status_id":1,"priority_id":2,"assigned_to_id":23,"start_date":"2017-03-14","description":"","custom_fields":[{"id":1,"name":"Subdivision","value":"Other"},{"id":4,"name":"Milepost","value":"0.0145"},{"id":17,"name":"Train ID","value":"302-14"},{"id":16,"name":"Locomotive ID","value":"4017"},{"id":130,"name":"Impact","value":""},{"id":150,"name":"Time of Event (Mountain Time)","value":"03:03:13"},{"id":151,"name":"Denver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5"/>
        <v>start /low /b %USERPROFILE%\Documents\GitHub\eaglep3\Utilities\DownloadLogsFromS3.py --loco 4017 --day 2017-03-14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"%USERPROFILE%\AppData\Local\Temp\OnboardLogs"\RTDC4017\*4017*20170314* | grep -SE "(Enforcement Action)|(\[TIMEOUT)|(CHR.+\|PRM\|1\|D.+(SWITCH|SIGNAL).+UNKNOWN)" - &gt;&gt; 2017-03-14-UncaughtWiMAX.txt</v>
      </c>
    </row>
    <row r="211" spans="1:40" x14ac:dyDescent="0.25">
      <c r="A211" s="33" t="s">
        <v>805</v>
      </c>
      <c r="B211" s="7">
        <v>4039</v>
      </c>
      <c r="C211" s="21" t="s">
        <v>233</v>
      </c>
      <c r="D211" s="21" t="s">
        <v>894</v>
      </c>
      <c r="E211" s="13">
        <v>42809.111724537041</v>
      </c>
      <c r="F211" s="13">
        <v>42809.118009259262</v>
      </c>
      <c r="G211" s="7">
        <v>9</v>
      </c>
      <c r="H211" s="21" t="s">
        <v>219</v>
      </c>
      <c r="I211" s="13">
        <v>42809.125347222223</v>
      </c>
      <c r="J211" s="7">
        <v>0</v>
      </c>
      <c r="K211" s="98" t="str">
        <f t="shared" si="72"/>
        <v>4039/4040</v>
      </c>
      <c r="L211" s="21" t="str">
        <f>VLOOKUP(A211,'Trips&amp;Operators'!$C$1:$G$99999,5,FALSE)</f>
        <v>BADERTSCHER DIANE</v>
      </c>
      <c r="M211" s="6">
        <f t="shared" si="73"/>
        <v>7.3379629611736163E-3</v>
      </c>
      <c r="N211" s="7">
        <f t="shared" si="69"/>
        <v>10.566666664090008</v>
      </c>
      <c r="O211" s="7"/>
      <c r="P211" s="7"/>
      <c r="Q211" s="22"/>
      <c r="R211" s="22"/>
      <c r="S211" s="31">
        <f t="shared" si="70"/>
        <v>1</v>
      </c>
      <c r="T211" s="46" t="str">
        <f t="shared" si="74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75"/>
        <v>https://d0f6bd738d7f1b3e5a7ca70fe4ff75f0.us-east-1.aws.found.io/app/kibana#/discover/Steve-Slow-Train-Analysis-(2080s-and-2083s)?_g=(refreshInterval:(display:Off,pause:!f,section:0,value:0),time:(from:'2017-03-15T01:40:53-0600',mode:absolute,to:'2017-03-15T04:00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1" s="187" t="str">
        <f t="shared" si="76"/>
        <v>Y</v>
      </c>
      <c r="X211" s="187">
        <f t="shared" si="71"/>
        <v>0</v>
      </c>
      <c r="Y211" s="62">
        <f t="shared" si="77"/>
        <v>2.3100999999999998</v>
      </c>
      <c r="Z211" s="62">
        <f t="shared" si="68"/>
        <v>1.3899999999999999E-2</v>
      </c>
      <c r="AA211" s="62">
        <f t="shared" si="78"/>
        <v>2.2961999999999998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9"/>
        <v>0302-15</v>
      </c>
      <c r="AE211" s="85" t="str">
        <f t="shared" si="80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211" s="82" t="str">
        <f t="shared" si="81"/>
        <v>"C:\Program Files (x86)\AstroGrep\AstroGrep.exe" /e /r /s /spath="%USERPROFILE%\AppData\Local\Temp\OnboardLogs" /stypes="app*4039*20170315*" /stext=" 09:.+((SYSTEM_STATE.+slice.+state.+changed )|(ment ac)|(multiple cpu faults)|(system.+state.+changed )|(\[timeout)|(PRM\|1\|D)|(kpr)|(kdp)|(\|lc)|(penalty))"</v>
      </c>
      <c r="AG211" s="1" t="str">
        <f t="shared" si="82"/>
        <v>Other</v>
      </c>
      <c r="AH211" s="86" t="str">
        <f t="shared" si="83"/>
        <v>"%USERPROFILE%\Documents\GitHub\eaglep3\Utilities\RefineRTDCRunTimes.py" --tripid 302-15 --locoid 4039 --swversion DE.1.0.9.0 --startMP 300:23101 --initTime 2017-03-15T02:40:53 --startdatetime 2017-03-15T02:49:56 --delay 9 --endMP 204:139 --enddatetime 2017-03-15T03:00:30 --enforcementcount 0 &gt;&gt;C:\Users\stu\Documents\GitHub\eaglep3-reporting\EC\2017-03-14-refined-times.txt</v>
      </c>
      <c r="AI211" s="108" t="str">
        <f t="shared" si="84"/>
        <v>echo {"issue":{"subject":"","project_id":79,"tracker_id":40,"status_id":1,"priority_id":2,"assigned_to_id":23,"start_date":"2017-03-15","description":"","custom_fields":[{"id":1,"name":"Subdivision","value":"Other"},{"id":4,"name":"Milepost","value":"0.0139"},{"id":17,"name":"Train ID","value":"302-15"},{"id":16,"name":"Locomotive ID","value":"4039"},{"id":130,"name":"Impact","value":""},{"id":150,"name":"Time of Event (Mountain Time)","value":"03:00:30"},{"id":151,"name":"Denver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5"/>
        <v>start /low /b %USERPROFILE%\Documents\GitHub\eaglep3\Utilities\DownloadLogsFromS3.py --loco 4039 --day 2017-03-15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2017-03-14-UncaughtWiMAX.txt</v>
      </c>
    </row>
    <row r="212" spans="1:40" x14ac:dyDescent="0.25">
      <c r="A212" s="33" t="s">
        <v>763</v>
      </c>
      <c r="B212" s="7">
        <v>4053</v>
      </c>
      <c r="C212" s="21" t="s">
        <v>233</v>
      </c>
      <c r="D212" s="21" t="s">
        <v>869</v>
      </c>
      <c r="E212" s="13">
        <v>42808.778483796297</v>
      </c>
      <c r="F212" s="13">
        <v>42808.779409722221</v>
      </c>
      <c r="G212" s="7">
        <v>1</v>
      </c>
      <c r="H212" s="21" t="s">
        <v>457</v>
      </c>
      <c r="I212" s="13">
        <v>42808.796701388892</v>
      </c>
      <c r="J212" s="7">
        <v>0</v>
      </c>
      <c r="K212" s="98" t="str">
        <f t="shared" si="72"/>
        <v>4053/4054</v>
      </c>
      <c r="L212" s="21" t="str">
        <f>VLOOKUP(A212,'Trips&amp;Operators'!$C$1:$G$99999,5,FALSE)</f>
        <v>CLARK KATHLEEN</v>
      </c>
      <c r="M212" s="6">
        <f t="shared" si="73"/>
        <v>1.729166667064419E-2</v>
      </c>
      <c r="N212" s="7">
        <f t="shared" si="69"/>
        <v>24.900000005727634</v>
      </c>
      <c r="O212" s="7"/>
      <c r="P212" s="7"/>
      <c r="Q212" s="22"/>
      <c r="R212" s="22"/>
      <c r="S212" s="31">
        <f t="shared" si="70"/>
        <v>1</v>
      </c>
      <c r="T212" s="46" t="str">
        <f t="shared" si="74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5"/>
        <v>https://d0f6bd738d7f1b3e5a7ca70fe4ff75f0.us-east-1.aws.found.io/app/kibana#/discover/Steve-Slow-Train-Analysis-(2080s-and-2083s)?_g=(refreshInterval:(display:Off,pause:!f,section:0,value:0),time:(from:'2017-03-14T17:41:01-0600',mode:absolute,to:'2017-03-14T20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2" s="187" t="str">
        <f t="shared" si="76"/>
        <v>Y</v>
      </c>
      <c r="X212" s="187">
        <f t="shared" si="71"/>
        <v>1</v>
      </c>
      <c r="Y212" s="62">
        <f t="shared" si="77"/>
        <v>5.6599999999999998E-2</v>
      </c>
      <c r="Z212" s="62">
        <f t="shared" si="68"/>
        <v>2.3346</v>
      </c>
      <c r="AA212" s="62">
        <f t="shared" si="78"/>
        <v>2.278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9"/>
        <v>0303-14</v>
      </c>
      <c r="AE212" s="85" t="str">
        <f t="shared" si="80"/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AF212" s="82" t="str">
        <f t="shared" si="81"/>
        <v>"C:\Program Files (x86)\AstroGrep\AstroGrep.exe" /e /r /s /spath="%USERPROFILE%\AppData\Local\Temp\OnboardLogs" /stypes="app*4053*20170315*" /stext=" 01:.+((SYSTEM_STATE.+slice.+state.+changed )|(ment ac)|(multiple cpu faults)|(system.+state.+changed )|(\[timeout)|(PRM\|1\|D)|(kpr)|(kdp)|(\|lc)|(penalty))"</v>
      </c>
      <c r="AG212" s="1" t="str">
        <f t="shared" si="82"/>
        <v>Other</v>
      </c>
      <c r="AH212" s="86" t="str">
        <f t="shared" si="83"/>
        <v>"%USERPROFILE%\Documents\GitHub\eaglep3\Utilities\RefineRTDCRunTimes.py" --tripid 303-14 --locoid 4053 --swversion DE.1.0.9.0 --startMP 204:566 --initTime 2017-03-14T18:41:01 --startdatetime 2017-03-14T18:42:21 --delay 1 --endMP 300:23346 --enddatetime 2017-03-14T19:07:15 --enforcementcount 0 &gt;&gt;C:\Users\stu\Documents\GitHub\eaglep3-reporting\EC\2017-03-14-refined-times.txt</v>
      </c>
      <c r="AI212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{"issue":{"subject":"","project_id":79,"tracker_id":40,"status_id":1,"priority_id":2,"assigned_to_id":23,"start_date":"2017-03-14","description":"","custom_fields":[{"id":1,"name":"Subdivision","value":"Other"},{"id":4,"name":"Milepost","value":"2.3346"},{"id":17,"name":"Train ID","value":"303-14"},{"id":16,"name":"Locomotive ID","value":"4053"},{"id":130,"name":"Impact","value":""},{"id":150,"name":"Time of Event (Mountain Time)","value":"19:07:15"},{"id":151,"name":"Denver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5"/>
        <v>start /low /b %USERPROFILE%\Documents\GitHub\eaglep3\Utilities\DownloadLogsFromS3.py --loco 4053 --day 2017-03-14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2017-03-14-UncaughtWiMAX.txt</v>
      </c>
    </row>
    <row r="213" spans="1:40" x14ac:dyDescent="0.25">
      <c r="A213" s="33" t="s">
        <v>763</v>
      </c>
      <c r="B213" s="7">
        <v>4053</v>
      </c>
      <c r="C213" s="21" t="s">
        <v>233</v>
      </c>
      <c r="D213" s="21" t="s">
        <v>457</v>
      </c>
      <c r="E213" s="13">
        <v>42808.778483796297</v>
      </c>
      <c r="F213" s="13">
        <v>42808.796666666669</v>
      </c>
      <c r="G213" s="7">
        <v>26</v>
      </c>
      <c r="H213" s="21" t="s">
        <v>457</v>
      </c>
      <c r="I213" s="13">
        <v>42808.796701388892</v>
      </c>
      <c r="J213" s="7">
        <v>0</v>
      </c>
      <c r="K213" s="98" t="str">
        <f t="shared" si="72"/>
        <v>4053/4054</v>
      </c>
      <c r="L213" s="21" t="str">
        <f>VLOOKUP(A213,'Trips&amp;Operators'!$C$1:$G$99999,5,FALSE)</f>
        <v>CLARK KATHLEEN</v>
      </c>
      <c r="M213" s="6">
        <f t="shared" si="73"/>
        <v>3.4722223062999547E-5</v>
      </c>
      <c r="N213" s="7">
        <f t="shared" si="69"/>
        <v>5.0000001210719347E-2</v>
      </c>
      <c r="O213" s="7"/>
      <c r="P213" s="7"/>
      <c r="Q213" s="22"/>
      <c r="R213" s="22"/>
      <c r="S213" s="31">
        <f t="shared" si="70"/>
        <v>0</v>
      </c>
      <c r="T213" s="46" t="str">
        <f t="shared" si="74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75"/>
        <v>https://d0f6bd738d7f1b3e5a7ca70fe4ff75f0.us-east-1.aws.found.io/app/kibana#/discover/Steve-Slow-Train-Analysis-(2080s-and-2083s)?_g=(refreshInterval:(display:Off,pause:!f,section:0,value:0),time:(from:'2017-03-14T17:41:01-0600',mode:absolute,to:'2017-03-14T20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3" s="187" t="str">
        <f t="shared" si="76"/>
        <v>Y</v>
      </c>
      <c r="X213" s="187">
        <f t="shared" si="71"/>
        <v>0</v>
      </c>
      <c r="Y213" s="62">
        <f t="shared" si="77"/>
        <v>2.3346</v>
      </c>
      <c r="Z213" s="62">
        <f t="shared" si="68"/>
        <v>2.3346</v>
      </c>
      <c r="AA213" s="62">
        <f t="shared" si="78"/>
        <v>0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9"/>
        <v>0303-14</v>
      </c>
      <c r="AE213" s="85" t="str">
        <f t="shared" si="80"/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AF213" s="82" t="str">
        <f t="shared" si="81"/>
        <v>"C:\Program Files (x86)\AstroGrep\AstroGrep.exe" /e /r /s /spath="%USERPROFILE%\AppData\Local\Temp\OnboardLogs" /stypes="app*4053*20170315*" /stext=" 01:.+((SYSTEM_STATE.+slice.+state.+changed )|(ment ac)|(multiple cpu faults)|(system.+state.+changed )|(\[timeout)|(PRM\|1\|D)|(kpr)|(kdp)|(\|lc)|(penalty))"</v>
      </c>
      <c r="AG213" s="1" t="str">
        <f t="shared" si="82"/>
        <v>Other</v>
      </c>
      <c r="AH213" s="86" t="str">
        <f t="shared" si="83"/>
        <v>"%USERPROFILE%\Documents\GitHub\eaglep3\Utilities\RefineRTDCRunTimes.py" --tripid 303-14 --locoid 4053 --swversion DE.1.0.9.0 --startMP 300:23346 --initTime 2017-03-14T18:41:01 --startdatetime 2017-03-14T19:07:12 --delay 26 --endMP 300:23346 --enddatetime 2017-03-14T19:07:15 --enforcementcount 0 &gt;&gt;C:\Users\stu\Documents\GitHub\eaglep3-reporting\EC\2017-03-14-refined-times.txt</v>
      </c>
      <c r="AI213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{"issue":{"subject":"","project_id":79,"tracker_id":40,"status_id":1,"priority_id":2,"assigned_to_id":23,"start_date":"2017-03-14","description":"","custom_fields":[{"id":1,"name":"Subdivision","value":"Other"},{"id":4,"name":"Milepost","value":"2.3346"},{"id":17,"name":"Train ID","value":"303-14"},{"id":16,"name":"Locomotive ID","value":"4053"},{"id":130,"name":"Impact","value":""},{"id":150,"name":"Time of Event (Mountain Time)","value":"19:07:15"},{"id":151,"name":"Denver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5"/>
        <v>start /low /b %USERPROFILE%\Documents\GitHub\eaglep3\Utilities\DownloadLogsFromS3.py --loco 4053 --day 2017-03-14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2017-03-14-UncaughtWiMAX.txt</v>
      </c>
    </row>
    <row r="214" spans="1:40" x14ac:dyDescent="0.25">
      <c r="A214" s="33" t="s">
        <v>602</v>
      </c>
      <c r="B214" s="7">
        <v>4021</v>
      </c>
      <c r="C214" s="21" t="s">
        <v>233</v>
      </c>
      <c r="D214" s="21" t="s">
        <v>895</v>
      </c>
      <c r="E214" s="13">
        <v>42808.141134259262</v>
      </c>
      <c r="F214" s="13">
        <v>42808.143796296295</v>
      </c>
      <c r="G214" s="7">
        <v>3</v>
      </c>
      <c r="H214" s="21" t="s">
        <v>533</v>
      </c>
      <c r="I214" s="13">
        <v>42808.14984953704</v>
      </c>
      <c r="J214" s="7">
        <v>0</v>
      </c>
      <c r="K214" s="98" t="str">
        <f t="shared" si="72"/>
        <v>4021/4022</v>
      </c>
      <c r="L214" s="21" t="str">
        <f>VLOOKUP(A214,'Trips&amp;Operators'!$C$1:$G$99999,5,FALSE)</f>
        <v>MAELZER KURT</v>
      </c>
      <c r="M214" s="6">
        <f t="shared" si="73"/>
        <v>6.0532407442224212E-3</v>
      </c>
      <c r="N214" s="7">
        <f t="shared" si="69"/>
        <v>8.7166666716802865</v>
      </c>
      <c r="O214" s="7"/>
      <c r="P214" s="7"/>
      <c r="Q214" s="22"/>
      <c r="R214" s="22"/>
      <c r="S214" s="31">
        <f t="shared" si="70"/>
        <v>1</v>
      </c>
      <c r="T214" s="46" t="str">
        <f t="shared" si="74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75"/>
        <v>https://d0f6bd738d7f1b3e5a7ca70fe4ff75f0.us-east-1.aws.found.io/app/kibana#/discover/Steve-Slow-Train-Analysis-(2080s-and-2083s)?_g=(refreshInterval:(display:Off,pause:!f,section:0,value:0),time:(from:'2017-03-14T02:23:14-0600',mode:absolute,to:'2017-03-14T04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4" s="187" t="str">
        <f t="shared" si="76"/>
        <v>Y</v>
      </c>
      <c r="X214" s="187">
        <f t="shared" si="71"/>
        <v>1</v>
      </c>
      <c r="Y214" s="62">
        <f t="shared" si="77"/>
        <v>2.3624999999999998</v>
      </c>
      <c r="Z214" s="62">
        <f t="shared" si="68"/>
        <v>1.0999999999999999E-2</v>
      </c>
      <c r="AA214" s="62">
        <f t="shared" si="78"/>
        <v>2.3514999999999997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9"/>
        <v>0304-14</v>
      </c>
      <c r="AE214" s="85" t="str">
        <f t="shared" si="80"/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AF214" s="82" t="str">
        <f t="shared" si="81"/>
        <v>"C:\Program Files (x86)\AstroGrep\AstroGrep.exe" /e /r /s /spath="%USERPROFILE%\AppData\Local\Temp\OnboardLogs" /stypes="app*4021*20170314*" /stext=" 09:.+((SYSTEM_STATE.+slice.+state.+changed )|(ment ac)|(multiple cpu faults)|(system.+state.+changed )|(\[timeout)|(PRM\|1\|D)|(kpr)|(kdp)|(\|lc)|(penalty))"</v>
      </c>
      <c r="AG214" s="1" t="str">
        <f t="shared" si="82"/>
        <v>Other</v>
      </c>
      <c r="AH214" s="86" t="str">
        <f t="shared" si="83"/>
        <v>"%USERPROFILE%\Documents\GitHub\eaglep3\Utilities\RefineRTDCRunTimes.py" --tripid 304-14 --locoid 4021 --swversion DE.1.0.9.0 --startMP 300:23625 --initTime 2017-03-14T03:23:14 --startdatetime 2017-03-14T03:27:04 --delay 3 --endMP 204:110 --enddatetime 2017-03-14T03:35:47 --enforcementcount 0 &gt;&gt;C:\Users\stu\Documents\GitHub\eaglep3-reporting\EC\2017-03-14-refined-times.txt</v>
      </c>
      <c r="AI214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{"issue":{"subject":"","project_id":79,"tracker_id":40,"status_id":1,"priority_id":2,"assigned_to_id":23,"start_date":"2017-03-14","description":"","custom_fields":[{"id":1,"name":"Subdivision","value":"Other"},{"id":4,"name":"Milepost","value":"0.011"},{"id":17,"name":"Train ID","value":"304-14"},{"id":16,"name":"Locomotive ID","value":"4021"},{"id":130,"name":"Impact","value":""},{"id":150,"name":"Time of Event (Mountain Time)","value":"03:35:47"},{"id":151,"name":"Denver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5"/>
        <v>start /low /b %USERPROFILE%\Documents\GitHub\eaglep3\Utilities\DownloadLogsFromS3.py --loco 4021 --day 2017-03-14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"%USERPROFILE%\AppData\Local\Temp\OnboardLogs"\RTDC4021\*4021*20170314* | grep -SE "(Enforcement Action)|(\[TIMEOUT)|(CHR.+\|PRM\|1\|D.+(SWITCH|SIGNAL).+UNKNOWN)" - &gt;&gt; 2017-03-14-UncaughtWiMAX.txt</v>
      </c>
    </row>
    <row r="215" spans="1:40" x14ac:dyDescent="0.25">
      <c r="A215" s="33" t="s">
        <v>767</v>
      </c>
      <c r="B215" s="7">
        <v>4018</v>
      </c>
      <c r="C215" s="21" t="s">
        <v>233</v>
      </c>
      <c r="D215" s="21" t="s">
        <v>896</v>
      </c>
      <c r="E215" s="13">
        <v>42808.798414351855</v>
      </c>
      <c r="F215" s="13">
        <v>42808.799513888887</v>
      </c>
      <c r="G215" s="7">
        <v>1</v>
      </c>
      <c r="H215" s="21" t="s">
        <v>457</v>
      </c>
      <c r="I215" s="13">
        <v>42808.811041666668</v>
      </c>
      <c r="J215" s="7">
        <v>0</v>
      </c>
      <c r="K215" s="98" t="str">
        <f t="shared" si="72"/>
        <v>4017/4018</v>
      </c>
      <c r="L215" s="21" t="str">
        <f>VLOOKUP(A215,'Trips&amp;Operators'!$C$1:$G$99999,5,FALSE)</f>
        <v>MOSES BRADLEY</v>
      </c>
      <c r="M215" s="6">
        <f t="shared" si="73"/>
        <v>1.152777778042946E-2</v>
      </c>
      <c r="N215" s="7">
        <f t="shared" si="69"/>
        <v>16.600000003818423</v>
      </c>
      <c r="O215" s="7"/>
      <c r="P215" s="7"/>
      <c r="Q215" s="22"/>
      <c r="R215" s="22"/>
      <c r="S215" s="31">
        <f t="shared" si="70"/>
        <v>1</v>
      </c>
      <c r="T215" s="46" t="str">
        <f t="shared" si="74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5"/>
        <v>https://d0f6bd738d7f1b3e5a7ca70fe4ff75f0.us-east-1.aws.found.io/app/kibana#/discover/Steve-Slow-Train-Analysis-(2080s-and-2083s)?_g=(refreshInterval:(display:Off,pause:!f,section:0,value:0),time:(from:'2017-03-14T18:09:43-0600',mode:absolute,to:'2017-03-14T20:27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5" s="187" t="str">
        <f t="shared" si="76"/>
        <v>Y</v>
      </c>
      <c r="X215" s="187">
        <f t="shared" si="71"/>
        <v>1</v>
      </c>
      <c r="Y215" s="62">
        <f t="shared" si="77"/>
        <v>5.1499999999999997E-2</v>
      </c>
      <c r="Z215" s="62">
        <f t="shared" si="68"/>
        <v>2.3346</v>
      </c>
      <c r="AA215" s="62">
        <f t="shared" si="78"/>
        <v>2.2831000000000001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9"/>
        <v>0305-14</v>
      </c>
      <c r="AE215" s="85" t="str">
        <f t="shared" si="80"/>
        <v>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 &amp; aws s3 cp s3://rtdc.mdm.uploadarchive.raw/RTDC4018/ "%USERPROFILE%\AppData\Local\Temp\OnboardLogs"\RTDC4018\2017-03-15 --exclude "*" --recursive --include "*20170315*" &amp; "%USERPROFILE%\Documents\GitHub\mrs-test-scripts\Headless Mode &amp; Sideloading\WalkAndUnGZ.bat" "%USERPROFILE%\AppData\Local\Temp\OnboardLogs"\RTDC4018\2017-03-15</v>
      </c>
      <c r="AF215" s="82" t="str">
        <f t="shared" si="81"/>
        <v>"C:\Program Files (x86)\AstroGrep\AstroGrep.exe" /e /r /s /spath="%USERPROFILE%\AppData\Local\Temp\OnboardLogs" /stypes="app*4018*20170315*" /stext=" 01:.+((SYSTEM_STATE.+slice.+state.+changed )|(ment ac)|(multiple cpu faults)|(system.+state.+changed )|(\[timeout)|(PRM\|1\|D)|(kpr)|(kdp)|(\|lc)|(penalty))"</v>
      </c>
      <c r="AG215" s="1" t="str">
        <f t="shared" si="82"/>
        <v>Other</v>
      </c>
      <c r="AH215" s="86" t="str">
        <f t="shared" si="83"/>
        <v>"%USERPROFILE%\Documents\GitHub\eaglep3\Utilities\RefineRTDCRunTimes.py" --tripid 305-14 --locoid 4018 --swversion DE.1.0.9.0 --startMP 204:515 --initTime 2017-03-14T19:09:43 --startdatetime 2017-03-14T19:11:18 --delay 1 --endMP 300:23346 --enddatetime 2017-03-14T19:27:54 --enforcementcount 0 &gt;&gt;C:\Users\stu\Documents\GitHub\eaglep3-reporting\EC\2017-03-14-refined-times.txt</v>
      </c>
      <c r="AI215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{"issue":{"subject":"","project_id":79,"tracker_id":40,"status_id":1,"priority_id":2,"assigned_to_id":23,"start_date":"2017-03-14","description":"","custom_fields":[{"id":1,"name":"Subdivision","value":"Other"},{"id":4,"name":"Milepost","value":"2.3346"},{"id":17,"name":"Train ID","value":"305-14"},{"id":16,"name":"Locomotive ID","value":"4018"},{"id":130,"name":"Impact","value":""},{"id":150,"name":"Time of Event (Mountain Time)","value":"19:27:54"},{"id":151,"name":"Denver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5"/>
        <v>start /low /b %USERPROFILE%\Documents\GitHub\eaglep3\Utilities\DownloadLogsFromS3.py --loco 4018 --day 2017-03-14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"%USERPROFILE%\AppData\Local\Temp\OnboardLogs"\RTDC4018\*4018*20170315* | grep -SE "(Enforcement Action)|(\[TIMEOUT)|(CHR.+\|PRM\|1\|D.+(SWITCH|SIGNAL).+UNKNOWN)" - &gt;&gt; 2017-03-14-UncaughtWiMAX.txt</v>
      </c>
    </row>
    <row r="216" spans="1:40" x14ac:dyDescent="0.25">
      <c r="A216" s="33" t="s">
        <v>605</v>
      </c>
      <c r="B216" s="7">
        <v>4026</v>
      </c>
      <c r="C216" s="21" t="s">
        <v>233</v>
      </c>
      <c r="D216" s="21" t="s">
        <v>897</v>
      </c>
      <c r="E216" s="13">
        <v>42808.161099537036</v>
      </c>
      <c r="F216" s="13">
        <v>42808.164479166669</v>
      </c>
      <c r="G216" s="7">
        <v>4</v>
      </c>
      <c r="H216" s="21" t="s">
        <v>226</v>
      </c>
      <c r="I216" s="13">
        <v>42808.17087962963</v>
      </c>
      <c r="J216" s="7">
        <v>0</v>
      </c>
      <c r="K216" s="98" t="str">
        <f t="shared" si="72"/>
        <v>4025/4026</v>
      </c>
      <c r="L216" s="21" t="str">
        <f>VLOOKUP(A216,'Trips&amp;Operators'!$C$1:$G$99999,5,FALSE)</f>
        <v>STARKS ANGELINA</v>
      </c>
      <c r="M216" s="6">
        <f t="shared" si="73"/>
        <v>6.4004629603005014E-3</v>
      </c>
      <c r="N216" s="7">
        <f t="shared" si="69"/>
        <v>9.2166666628327221</v>
      </c>
      <c r="O216" s="7"/>
      <c r="P216" s="7"/>
      <c r="Q216" s="22"/>
      <c r="R216" s="22"/>
      <c r="S216" s="31">
        <f t="shared" si="70"/>
        <v>1</v>
      </c>
      <c r="T216" s="46" t="str">
        <f t="shared" si="74"/>
        <v>Southbound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75"/>
        <v>https://d0f6bd738d7f1b3e5a7ca70fe4ff75f0.us-east-1.aws.found.io/app/kibana#/discover/Steve-Slow-Train-Analysis-(2080s-and-2083s)?_g=(refreshInterval:(display:Off,pause:!f,section:0,value:0),time:(from:'2017-03-14T02:51:59-0600',mode:absolute,to:'2017-03-14T05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6" s="187" t="str">
        <f t="shared" si="76"/>
        <v>Y</v>
      </c>
      <c r="X216" s="187">
        <f t="shared" si="71"/>
        <v>1</v>
      </c>
      <c r="Y216" s="62">
        <f t="shared" si="77"/>
        <v>2.3271000000000002</v>
      </c>
      <c r="Z216" s="62">
        <f t="shared" ref="Z216:Z247" si="86">RIGHT(H216,LEN(H216)-4)/10000</f>
        <v>1.47E-2</v>
      </c>
      <c r="AA216" s="62">
        <f t="shared" si="78"/>
        <v>2.3124000000000002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9"/>
        <v>0306-14</v>
      </c>
      <c r="AE216" s="85" t="str">
        <f t="shared" si="80"/>
        <v>aws s3 cp s3://rtdc.mdm.uploadarchive.raw/RTDC4026/ "%USERPROFILE%\AppData\Local\Temp\OnboardLogs"\RTDC4026\2017-03-14 --exclude "*" --recursive --include "*20170314*" &amp; "%USERPROFILE%\Documents\GitHub\mrs-test-scripts\Headless Mode &amp; Sideloading\WalkAndUnGZ.bat" "%USERPROFILE%\AppData\Local\Temp\OnboardLogs"\RTDC4026\2017-03-14 &amp; 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</v>
      </c>
      <c r="AF216" s="82" t="str">
        <f t="shared" si="81"/>
        <v>"C:\Program Files (x86)\AstroGrep\AstroGrep.exe" /e /r /s /spath="%USERPROFILE%\AppData\Local\Temp\OnboardLogs" /stypes="app*4026*20170314*" /stext=" 10:.+((SYSTEM_STATE.+slice.+state.+changed )|(ment ac)|(multiple cpu faults)|(system.+state.+changed )|(\[timeout)|(PRM\|1\|D)|(kpr)|(kdp)|(\|lc)|(penalty))"</v>
      </c>
      <c r="AG216" s="1" t="str">
        <f t="shared" si="82"/>
        <v>Other</v>
      </c>
      <c r="AH216" s="86" t="str">
        <f t="shared" si="83"/>
        <v>"%USERPROFILE%\Documents\GitHub\eaglep3\Utilities\RefineRTDCRunTimes.py" --tripid 306-14 --locoid 4026 --swversion DE.1.0.9.0 --startMP 300:23271 --initTime 2017-03-14T03:51:59 --startdatetime 2017-03-14T03:56:51 --delay 4 --endMP 204:147 --enddatetime 2017-03-14T04:06:04 --enforcementcount 0 &gt;&gt;C:\Users\stu\Documents\GitHub\eaglep3-reporting\EC\2017-03-14-refined-times.txt</v>
      </c>
      <c r="AI216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{"issue":{"subject":"","project_id":79,"tracker_id":40,"status_id":1,"priority_id":2,"assigned_to_id":23,"start_date":"2017-03-14","description":"","custom_fields":[{"id":1,"name":"Subdivision","value":"Other"},{"id":4,"name":"Milepost","value":"0.0147"},{"id":17,"name":"Train ID","value":"306-14"},{"id":16,"name":"Locomotive ID","value":"4026"},{"id":130,"name":"Impact","value":""},{"id":150,"name":"Time of Event (Mountain Time)","value":"04:06:04"},{"id":151,"name":"Denver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5"/>
        <v>start /low /b %USERPROFILE%\Documents\GitHub\eaglep3\Utilities\DownloadLogsFromS3.py --loco 4026 --day 2017-03-14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"%USERPROFILE%\AppData\Local\Temp\OnboardLogs"\RTDC4026\*4026*20170314* | grep -SE "(Enforcement Action)|(\[TIMEOUT)|(CHR.+\|PRM\|1\|D.+(SWITCH|SIGNAL).+UNKNOWN)" - &gt;&gt; 2017-03-14-UncaughtWiMAX.txt</v>
      </c>
    </row>
    <row r="217" spans="1:40" x14ac:dyDescent="0.25">
      <c r="A217" s="33" t="s">
        <v>772</v>
      </c>
      <c r="B217" s="7">
        <v>4022</v>
      </c>
      <c r="C217" s="21" t="s">
        <v>233</v>
      </c>
      <c r="D217" s="21" t="s">
        <v>227</v>
      </c>
      <c r="E217" s="13">
        <v>42808.824733796297</v>
      </c>
      <c r="F217" s="13">
        <v>42808.825694444444</v>
      </c>
      <c r="G217" s="7">
        <v>1</v>
      </c>
      <c r="H217" s="21" t="s">
        <v>540</v>
      </c>
      <c r="I217" s="13">
        <v>42808.837870370371</v>
      </c>
      <c r="J217" s="7">
        <v>0</v>
      </c>
      <c r="K217" s="98" t="str">
        <f t="shared" si="72"/>
        <v>4021/4022</v>
      </c>
      <c r="L217" s="21" t="str">
        <f>VLOOKUP(A217,'Trips&amp;Operators'!$C$1:$G$99999,5,FALSE)</f>
        <v>HOLCOMB KAMDEN</v>
      </c>
      <c r="M217" s="6">
        <f t="shared" si="73"/>
        <v>1.2175925927294884E-2</v>
      </c>
      <c r="N217" s="7">
        <f t="shared" si="69"/>
        <v>17.533333335304633</v>
      </c>
      <c r="O217" s="7"/>
      <c r="P217" s="7"/>
      <c r="Q217" s="22"/>
      <c r="R217" s="22"/>
      <c r="S217" s="31">
        <f t="shared" si="70"/>
        <v>1</v>
      </c>
      <c r="T217" s="46" t="str">
        <f t="shared" si="74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75"/>
        <v>https://d0f6bd738d7f1b3e5a7ca70fe4ff75f0.us-east-1.aws.found.io/app/kibana#/discover/Steve-Slow-Train-Analysis-(2080s-and-2083s)?_g=(refreshInterval:(display:Off,pause:!f,section:0,value:0),time:(from:'2017-03-14T18:47:37-0600',mode:absolute,to:'2017-03-14T21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187" t="str">
        <f t="shared" si="76"/>
        <v>Y</v>
      </c>
      <c r="X217" s="187">
        <f t="shared" si="71"/>
        <v>1</v>
      </c>
      <c r="Y217" s="62">
        <f t="shared" si="77"/>
        <v>4.4699999999999997E-2</v>
      </c>
      <c r="Z217" s="62">
        <f t="shared" si="86"/>
        <v>2.3304</v>
      </c>
      <c r="AA217" s="62">
        <f t="shared" si="78"/>
        <v>2.2856999999999998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9"/>
        <v>0307-14</v>
      </c>
      <c r="AE217" s="85" t="str">
        <f t="shared" si="80"/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AF217" s="82" t="str">
        <f t="shared" si="81"/>
        <v>"C:\Program Files (x86)\AstroGrep\AstroGrep.exe" /e /r /s /spath="%USERPROFILE%\AppData\Local\Temp\OnboardLogs" /stypes="app*4022*20170315*" /stext=" 02:.+((SYSTEM_STATE.+slice.+state.+changed )|(ment ac)|(multiple cpu faults)|(system.+state.+changed )|(\[timeout)|(PRM\|1\|D)|(kpr)|(kdp)|(\|lc)|(penalty))"</v>
      </c>
      <c r="AG217" s="1" t="str">
        <f t="shared" si="82"/>
        <v>Other</v>
      </c>
      <c r="AH217" s="86" t="str">
        <f t="shared" si="83"/>
        <v>"%USERPROFILE%\Documents\GitHub\eaglep3\Utilities\RefineRTDCRunTimes.py" --tripid 307-14 --locoid 4022 --swversion DE.1.0.9.0 --startMP 204:447 --initTime 2017-03-14T19:47:37 --startdatetime 2017-03-14T19:49:00 --delay 1 --endMP 300:23304 --enddatetime 2017-03-14T20:06:32 --enforcementcount 0 &gt;&gt;C:\Users\stu\Documents\GitHub\eaglep3-reporting\EC\2017-03-14-refined-times.txt</v>
      </c>
      <c r="AI217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{"issue":{"subject":"","project_id":79,"tracker_id":40,"status_id":1,"priority_id":2,"assigned_to_id":23,"start_date":"2017-03-14","description":"","custom_fields":[{"id":1,"name":"Subdivision","value":"Other"},{"id":4,"name":"Milepost","value":"2.3304"},{"id":17,"name":"Train ID","value":"307-14"},{"id":16,"name":"Locomotive ID","value":"4022"},{"id":130,"name":"Impact","value":""},{"id":150,"name":"Time of Event (Mountain Time)","value":"20:06:32"},{"id":151,"name":"Denver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5"/>
        <v>start /low /b %USERPROFILE%\Documents\GitHub\eaglep3\Utilities\DownloadLogsFromS3.py --loco 4022 --day 2017-03-14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"%USERPROFILE%\AppData\Local\Temp\OnboardLogs"\RTDC4022\*4022*20170315* | grep -SE "(Enforcement Action)|(\[TIMEOUT)|(CHR.+\|PRM\|1\|D.+(SWITCH|SIGNAL).+UNKNOWN)" - &gt;&gt; 2017-03-14-UncaughtWiMAX.txt</v>
      </c>
    </row>
    <row r="218" spans="1:40" x14ac:dyDescent="0.25">
      <c r="A218" s="33" t="s">
        <v>609</v>
      </c>
      <c r="B218" s="7">
        <v>4032</v>
      </c>
      <c r="C218" s="21" t="s">
        <v>233</v>
      </c>
      <c r="D218" s="21" t="s">
        <v>898</v>
      </c>
      <c r="E218" s="13">
        <v>42808.170902777776</v>
      </c>
      <c r="F218" s="13">
        <v>42808.171817129631</v>
      </c>
      <c r="G218" s="7">
        <v>1</v>
      </c>
      <c r="H218" s="21" t="s">
        <v>223</v>
      </c>
      <c r="I218" s="13">
        <v>42808.178379629629</v>
      </c>
      <c r="J218" s="7">
        <v>0</v>
      </c>
      <c r="K218" s="98" t="str">
        <f t="shared" si="72"/>
        <v>4031/4032</v>
      </c>
      <c r="L218" s="21" t="str">
        <f>VLOOKUP(A218,'Trips&amp;Operators'!$C$1:$G$99999,5,FALSE)</f>
        <v>BONDS REYNALDO</v>
      </c>
      <c r="M218" s="6">
        <f t="shared" si="73"/>
        <v>6.5624999988358468E-3</v>
      </c>
      <c r="N218" s="7">
        <f t="shared" si="69"/>
        <v>9.4499999983236194</v>
      </c>
      <c r="O218" s="7"/>
      <c r="P218" s="7"/>
      <c r="Q218" s="22"/>
      <c r="R218" s="22"/>
      <c r="S218" s="31">
        <f t="shared" si="70"/>
        <v>1</v>
      </c>
      <c r="T218" s="46" t="str">
        <f t="shared" si="74"/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75"/>
        <v>https://d0f6bd738d7f1b3e5a7ca70fe4ff75f0.us-east-1.aws.found.io/app/kibana#/discover/Steve-Slow-Train-Analysis-(2080s-and-2083s)?_g=(refreshInterval:(display:Off,pause:!f,section:0,value:0),time:(from:'2017-03-14T03:06:06-0600',mode:absolute,to:'2017-03-14T05:16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8" s="187" t="str">
        <f t="shared" si="76"/>
        <v>Y</v>
      </c>
      <c r="X218" s="187">
        <f t="shared" si="71"/>
        <v>1</v>
      </c>
      <c r="Y218" s="62">
        <f t="shared" si="77"/>
        <v>2.2105999999999999</v>
      </c>
      <c r="Z218" s="62">
        <f t="shared" si="86"/>
        <v>1.5599999999999999E-2</v>
      </c>
      <c r="AA218" s="62">
        <f t="shared" si="78"/>
        <v>2.1949999999999998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9"/>
        <v>0308-14</v>
      </c>
      <c r="AE218" s="85" t="str">
        <f t="shared" si="80"/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AF218" s="82" t="str">
        <f t="shared" si="81"/>
        <v>"C:\Program Files (x86)\AstroGrep\AstroGrep.exe" /e /r /s /spath="%USERPROFILE%\AppData\Local\Temp\OnboardLogs" /stypes="app*4032*20170314*" /stext=" 10:.+((SYSTEM_STATE.+slice.+state.+changed )|(ment ac)|(multiple cpu faults)|(system.+state.+changed )|(\[timeout)|(PRM\|1\|D)|(kpr)|(kdp)|(\|lc)|(penalty))"</v>
      </c>
      <c r="AG218" s="1" t="str">
        <f t="shared" si="82"/>
        <v>Other</v>
      </c>
      <c r="AH218" s="86" t="str">
        <f t="shared" si="83"/>
        <v>"%USERPROFILE%\Documents\GitHub\eaglep3\Utilities\RefineRTDCRunTimes.py" --tripid 308-14 --locoid 4032 --swversion DE.1.0.9.0 --startMP 300:22106 --initTime 2017-03-14T04:06:06 --startdatetime 2017-03-14T04:07:25 --delay 1 --endMP 204:156 --enddatetime 2017-03-14T04:16:52 --enforcementcount 0 &gt;&gt;C:\Users\stu\Documents\GitHub\eaglep3-reporting\EC\2017-03-14-refined-times.txt</v>
      </c>
      <c r="AI218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{"issue":{"subject":"","project_id":79,"tracker_id":40,"status_id":1,"priority_id":2,"assigned_to_id":23,"start_date":"2017-03-14","description":"","custom_fields":[{"id":1,"name":"Subdivision","value":"Other"},{"id":4,"name":"Milepost","value":"0.0156"},{"id":17,"name":"Train ID","value":"308-14"},{"id":16,"name":"Locomotive ID","value":"4032"},{"id":130,"name":"Impact","value":""},{"id":150,"name":"Time of Event (Mountain Time)","value":"04:16:52"},{"id":151,"name":"Denver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5"/>
        <v>start /low /b %USERPROFILE%\Documents\GitHub\eaglep3\Utilities\DownloadLogsFromS3.py --loco 4032 --day 2017-03-14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"%USERPROFILE%\AppData\Local\Temp\OnboardLogs"\RTDC4032\*4032*20170314* | grep -SE "(Enforcement Action)|(\[TIMEOUT)|(CHR.+\|PRM\|1\|D.+(SWITCH|SIGNAL).+UNKNOWN)" - &gt;&gt; 2017-03-14-UncaughtWiMAX.txt</v>
      </c>
    </row>
    <row r="219" spans="1:40" x14ac:dyDescent="0.25">
      <c r="A219" s="33" t="s">
        <v>802</v>
      </c>
      <c r="B219" s="7">
        <v>4027</v>
      </c>
      <c r="C219" s="21" t="s">
        <v>233</v>
      </c>
      <c r="D219" s="21" t="s">
        <v>456</v>
      </c>
      <c r="E219" s="13">
        <v>42809.048356481479</v>
      </c>
      <c r="F219" s="13">
        <v>42809.049305555556</v>
      </c>
      <c r="G219" s="7">
        <v>1</v>
      </c>
      <c r="H219" s="21" t="s">
        <v>899</v>
      </c>
      <c r="I219" s="13">
        <v>42809.056111111109</v>
      </c>
      <c r="J219" s="7">
        <v>0</v>
      </c>
      <c r="K219" s="98" t="str">
        <f t="shared" si="72"/>
        <v>4027/4028</v>
      </c>
      <c r="L219" s="21" t="str">
        <f>VLOOKUP(A219,'Trips&amp;Operators'!$C$1:$G$99999,5,FALSE)</f>
        <v>NEWELL JAMES</v>
      </c>
      <c r="M219" s="6">
        <f t="shared" si="73"/>
        <v>6.805555553000886E-3</v>
      </c>
      <c r="N219" s="7">
        <f t="shared" ref="N219:N250" si="87">24*60*SUM($M219:$M219)</f>
        <v>9.7999999963212758</v>
      </c>
      <c r="O219" s="7"/>
      <c r="P219" s="7"/>
      <c r="Q219" s="22"/>
      <c r="R219" s="22"/>
      <c r="S219" s="31">
        <f t="shared" ref="S219:S250" si="88">SUM(U219:U219)/IF(AG219="EC",12,1)</f>
        <v>1</v>
      </c>
      <c r="T219" s="46" t="str">
        <f t="shared" si="74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75"/>
        <v>https://d0f6bd738d7f1b3e5a7ca70fe4ff75f0.us-east-1.aws.found.io/app/kibana#/discover/Steve-Slow-Train-Analysis-(2080s-and-2083s)?_g=(refreshInterval:(display:Off,pause:!f,section:0,value:0),time:(from:'2017-03-15T00:09:38-0600',mode:absolute,to:'2017-03-15T02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9" s="187" t="str">
        <f t="shared" si="76"/>
        <v>Y</v>
      </c>
      <c r="X219" s="187">
        <f t="shared" si="71"/>
        <v>1</v>
      </c>
      <c r="Y219" s="62">
        <f t="shared" si="77"/>
        <v>4.6199999999999998E-2</v>
      </c>
      <c r="Z219" s="62">
        <f t="shared" si="86"/>
        <v>2.3311999999999999</v>
      </c>
      <c r="AA219" s="62">
        <f t="shared" si="78"/>
        <v>2.2850000000000001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9"/>
        <v>0309-14</v>
      </c>
      <c r="AE219" s="85" t="str">
        <f t="shared" si="80"/>
        <v>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 &amp; aws s3 cp s3://rtdc.mdm.uploadarchive.raw/RTDC4027/ "%USERPROFILE%\AppData\Local\Temp\OnboardLogs"\RTDC4027\2017-03-16 --exclude "*" --recursive --include "*20170316*" &amp; "%USERPROFILE%\Documents\GitHub\mrs-test-scripts\Headless Mode &amp; Sideloading\WalkAndUnGZ.bat" "%USERPROFILE%\AppData\Local\Temp\OnboardLogs"\RTDC4027\2017-03-16</v>
      </c>
      <c r="AF219" s="82" t="str">
        <f t="shared" si="81"/>
        <v>"C:\Program Files (x86)\AstroGrep\AstroGrep.exe" /e /r /s /spath="%USERPROFILE%\AppData\Local\Temp\OnboardLogs" /stypes="app*4027*20170315*" /stext=" 07:.+((SYSTEM_STATE.+slice.+state.+changed )|(ment ac)|(multiple cpu faults)|(system.+state.+changed )|(\[timeout)|(PRM\|1\|D)|(kpr)|(kdp)|(\|lc)|(penalty))"</v>
      </c>
      <c r="AG219" s="1" t="str">
        <f t="shared" si="82"/>
        <v>Other</v>
      </c>
      <c r="AH219" s="86" t="str">
        <f t="shared" si="83"/>
        <v>"%USERPROFILE%\Documents\GitHub\eaglep3\Utilities\RefineRTDCRunTimes.py" --tripid 309-14 --locoid 4027 --swversion DE.1.0.9.0 --startMP 204:462 --initTime 2017-03-15T01:09:38 --startdatetime 2017-03-15T01:11:00 --delay 1 --endMP 300:23312 --enddatetime 2017-03-15T01:20:48 --enforcementcount 0 &gt;&gt;C:\Users\stu\Documents\GitHub\eaglep3-reporting\EC\2017-03-14-refined-times.txt</v>
      </c>
      <c r="AI219" s="108" t="str">
        <f t="shared" si="84"/>
        <v>echo {"issue":{"subject":"","project_id":79,"tracker_id":40,"status_id":1,"priority_id":2,"assigned_to_id":23,"start_date":"2017-03-15","description":"","custom_fields":[{"id":1,"name":"Subdivision","value":"Other"},{"id":4,"name":"Milepost","value":"2.3312"},{"id":17,"name":"Train ID","value":"309-14"},{"id":16,"name":"Locomotive ID","value":"4027"},{"id":130,"name":"Impact","value":""},{"id":150,"name":"Time of Event (Mountain Time)","value":"01:20:48"},{"id":151,"name":"Denver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5"/>
        <v>start /low /b %USERPROFILE%\Documents\GitHub\eaglep3\Utilities\DownloadLogsFromS3.py --loco 4027 --day 2017-03-15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"%USERPROFILE%\AppData\Local\Temp\OnboardLogs"\RTDC4027\*4027*20170315* | grep -SE "(Enforcement Action)|(\[TIMEOUT)|(CHR.+\|PRM\|1\|D.+(SWITCH|SIGNAL).+UNKNOWN)" - &gt;&gt; 2017-03-14-UncaughtWiMAX.txt</v>
      </c>
    </row>
    <row r="220" spans="1:40" x14ac:dyDescent="0.25">
      <c r="A220" s="33" t="s">
        <v>611</v>
      </c>
      <c r="B220" s="7">
        <v>4054</v>
      </c>
      <c r="C220" s="21" t="s">
        <v>233</v>
      </c>
      <c r="D220" s="21" t="s">
        <v>900</v>
      </c>
      <c r="E220" s="13">
        <v>42808.179652777777</v>
      </c>
      <c r="F220" s="13">
        <v>42808.182233796295</v>
      </c>
      <c r="G220" s="7">
        <v>3</v>
      </c>
      <c r="H220" s="21" t="s">
        <v>201</v>
      </c>
      <c r="I220" s="13">
        <v>42808.190844907411</v>
      </c>
      <c r="J220" s="7">
        <v>0</v>
      </c>
      <c r="K220" s="98" t="str">
        <f t="shared" si="72"/>
        <v>4053/4054</v>
      </c>
      <c r="L220" s="21" t="str">
        <f>VLOOKUP(A220,'Trips&amp;Operators'!$C$1:$G$99999,5,FALSE)</f>
        <v>DAVIS WENDY</v>
      </c>
      <c r="M220" s="6">
        <f t="shared" si="73"/>
        <v>8.6111111158970743E-3</v>
      </c>
      <c r="N220" s="7">
        <f t="shared" si="87"/>
        <v>12.400000006891787</v>
      </c>
      <c r="O220" s="7"/>
      <c r="P220" s="7"/>
      <c r="Q220" s="22"/>
      <c r="R220" s="22"/>
      <c r="S220" s="31">
        <f t="shared" si="88"/>
        <v>1</v>
      </c>
      <c r="T220" s="46" t="str">
        <f t="shared" si="74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75"/>
        <v>https://d0f6bd738d7f1b3e5a7ca70fe4ff75f0.us-east-1.aws.found.io/app/kibana#/discover/Steve-Slow-Train-Analysis-(2080s-and-2083s)?_g=(refreshInterval:(display:Off,pause:!f,section:0,value:0),time:(from:'2017-03-14T03:18:42-0600',mode:absolute,to:'2017-03-14T05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0" s="187" t="str">
        <f t="shared" si="76"/>
        <v>Y</v>
      </c>
      <c r="X220" s="187">
        <f t="shared" si="71"/>
        <v>1</v>
      </c>
      <c r="Y220" s="62">
        <f t="shared" si="77"/>
        <v>2.3645999999999998</v>
      </c>
      <c r="Z220" s="62">
        <f t="shared" si="86"/>
        <v>1.52E-2</v>
      </c>
      <c r="AA220" s="62">
        <f t="shared" si="78"/>
        <v>2.3493999999999997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9"/>
        <v>0310-14</v>
      </c>
      <c r="AE220" s="85" t="str">
        <f t="shared" si="80"/>
        <v>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 &amp; 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</v>
      </c>
      <c r="AF220" s="82" t="str">
        <f t="shared" si="81"/>
        <v>"C:\Program Files (x86)\AstroGrep\AstroGrep.exe" /e /r /s /spath="%USERPROFILE%\AppData\Local\Temp\OnboardLogs" /stypes="app*4054*20170314*" /stext=" 10:.+((SYSTEM_STATE.+slice.+state.+changed )|(ment ac)|(multiple cpu faults)|(system.+state.+changed )|(\[timeout)|(PRM\|1\|D)|(kpr)|(kdp)|(\|lc)|(penalty))"</v>
      </c>
      <c r="AG220" s="1" t="str">
        <f t="shared" si="82"/>
        <v>Other</v>
      </c>
      <c r="AH220" s="86" t="str">
        <f t="shared" si="83"/>
        <v>"%USERPROFILE%\Documents\GitHub\eaglep3\Utilities\RefineRTDCRunTimes.py" --tripid 310-14 --locoid 4054 --swversion DE.1.0.9.0 --startMP 300:23646 --initTime 2017-03-14T04:18:42 --startdatetime 2017-03-14T04:22:25 --delay 3 --endMP 204:152 --enddatetime 2017-03-14T04:34:49 --enforcementcount 0 &gt;&gt;C:\Users\stu\Documents\GitHub\eaglep3-reporting\EC\2017-03-14-refined-times.txt</v>
      </c>
      <c r="AI220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{"issue":{"subject":"","project_id":79,"tracker_id":40,"status_id":1,"priority_id":2,"assigned_to_id":23,"start_date":"2017-03-14","description":"","custom_fields":[{"id":1,"name":"Subdivision","value":"Other"},{"id":4,"name":"Milepost","value":"0.0152"},{"id":17,"name":"Train ID","value":"310-14"},{"id":16,"name":"Locomotive ID","value":"4054"},{"id":130,"name":"Impact","value":""},{"id":150,"name":"Time of Event (Mountain Time)","value":"04:34:49"},{"id":151,"name":"Denver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5"/>
        <v>start /low /b %USERPROFILE%\Documents\GitHub\eaglep3\Utilities\DownloadLogsFromS3.py --loco 4054 --day 2017-03-14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"%USERPROFILE%\AppData\Local\Temp\OnboardLogs"\RTDC4054\*4054*20170314* | grep -SE "(Enforcement Action)|(\[TIMEOUT)|(CHR.+\|PRM\|1\|D.+(SWITCH|SIGNAL).+UNKNOWN)" - &gt;&gt; 2017-03-14-UncaughtWiMAX.txt</v>
      </c>
    </row>
    <row r="221" spans="1:40" x14ac:dyDescent="0.25">
      <c r="A221" s="33" t="s">
        <v>803</v>
      </c>
      <c r="B221" s="7">
        <v>4009</v>
      </c>
      <c r="C221" s="21" t="s">
        <v>233</v>
      </c>
      <c r="D221" s="21" t="s">
        <v>405</v>
      </c>
      <c r="E221" s="13">
        <v>42809.067037037035</v>
      </c>
      <c r="F221" s="13">
        <v>42809.06790509259</v>
      </c>
      <c r="G221" s="7">
        <v>1</v>
      </c>
      <c r="H221" s="21" t="s">
        <v>901</v>
      </c>
      <c r="I221" s="13">
        <v>42809.074108796296</v>
      </c>
      <c r="J221" s="7">
        <v>0</v>
      </c>
      <c r="K221" s="98" t="str">
        <f t="shared" si="72"/>
        <v>4009/4010</v>
      </c>
      <c r="L221" s="21" t="str">
        <f>VLOOKUP(A221,'Trips&amp;Operators'!$C$1:$G$99999,5,FALSE)</f>
        <v>STORY SAMANTHA</v>
      </c>
      <c r="M221" s="6">
        <f t="shared" si="73"/>
        <v>6.2037037059781142E-3</v>
      </c>
      <c r="N221" s="7">
        <f t="shared" si="87"/>
        <v>8.9333333366084844</v>
      </c>
      <c r="O221" s="7"/>
      <c r="P221" s="7"/>
      <c r="Q221" s="22"/>
      <c r="R221" s="22"/>
      <c r="S221" s="31">
        <f t="shared" si="88"/>
        <v>1</v>
      </c>
      <c r="T221" s="46" t="str">
        <f t="shared" si="74"/>
        <v>NorthBound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75"/>
        <v>https://d0f6bd738d7f1b3e5a7ca70fe4ff75f0.us-east-1.aws.found.io/app/kibana#/discover/Steve-Slow-Train-Analysis-(2080s-and-2083s)?_g=(refreshInterval:(display:Off,pause:!f,section:0,value:0),time:(from:'2017-03-15T00:36:32-0600',mode:absolute,to:'2017-03-15T02:46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1" s="187" t="str">
        <f t="shared" si="76"/>
        <v>Y</v>
      </c>
      <c r="X221" s="187">
        <f t="shared" si="71"/>
        <v>1</v>
      </c>
      <c r="Y221" s="62">
        <f t="shared" si="77"/>
        <v>4.7500000000000001E-2</v>
      </c>
      <c r="Z221" s="62">
        <f t="shared" si="86"/>
        <v>2.3308</v>
      </c>
      <c r="AA221" s="62">
        <f t="shared" si="78"/>
        <v>2.2833000000000001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9"/>
        <v>0311-14</v>
      </c>
      <c r="AE221" s="85" t="str">
        <f t="shared" si="80"/>
        <v>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 &amp; 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</v>
      </c>
      <c r="AF221" s="82" t="str">
        <f t="shared" si="81"/>
        <v>"C:\Program Files (x86)\AstroGrep\AstroGrep.exe" /e /r /s /spath="%USERPROFILE%\AppData\Local\Temp\OnboardLogs" /stypes="app*4009*20170315*" /stext=" 07:.+((SYSTEM_STATE.+slice.+state.+changed )|(ment ac)|(multiple cpu faults)|(system.+state.+changed )|(\[timeout)|(PRM\|1\|D)|(kpr)|(kdp)|(\|lc)|(penalty))"</v>
      </c>
      <c r="AG221" s="1" t="str">
        <f t="shared" si="82"/>
        <v>Other</v>
      </c>
      <c r="AH221" s="86" t="str">
        <f t="shared" si="83"/>
        <v>"%USERPROFILE%\Documents\GitHub\eaglep3\Utilities\RefineRTDCRunTimes.py" --tripid 311-14 --locoid 4009 --swversion DE.1.0.9.0 --startMP 204:475 --initTime 2017-03-15T01:36:32 --startdatetime 2017-03-15T01:37:47 --delay 1 --endMP 300:23308 --enddatetime 2017-03-15T01:46:43 --enforcementcount 0 &gt;&gt;C:\Users\stu\Documents\GitHub\eaglep3-reporting\EC\2017-03-14-refined-times.txt</v>
      </c>
      <c r="AI221" s="108" t="str">
        <f t="shared" si="84"/>
        <v>echo {"issue":{"subject":"","project_id":79,"tracker_id":40,"status_id":1,"priority_id":2,"assigned_to_id":23,"start_date":"2017-03-15","description":"","custom_fields":[{"id":1,"name":"Subdivision","value":"Other"},{"id":4,"name":"Milepost","value":"2.3308"},{"id":17,"name":"Train ID","value":"311-14"},{"id":16,"name":"Locomotive ID","value":"4009"},{"id":130,"name":"Impact","value":""},{"id":150,"name":"Time of Event (Mountain Time)","value":"01:46:43"},{"id":151,"name":"Denver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5"/>
        <v>start /low /b %USERPROFILE%\Documents\GitHub\eaglep3\Utilities\DownloadLogsFromS3.py --loco 4009 --day 2017-03-15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"%USERPROFILE%\AppData\Local\Temp\OnboardLogs"\RTDC4009\*4009*20170315* | grep -SE "(Enforcement Action)|(\[TIMEOUT)|(CHR.+\|PRM\|1\|D.+(SWITCH|SIGNAL).+UNKNOWN)" - &gt;&gt; 2017-03-14-UncaughtWiMAX.txt</v>
      </c>
    </row>
    <row r="222" spans="1:40" x14ac:dyDescent="0.25">
      <c r="A222" s="33" t="s">
        <v>516</v>
      </c>
      <c r="B222" s="7">
        <v>4020</v>
      </c>
      <c r="C222" s="21" t="s">
        <v>233</v>
      </c>
      <c r="D222" s="21" t="s">
        <v>438</v>
      </c>
      <c r="E222" s="13">
        <v>42808.089282407411</v>
      </c>
      <c r="F222" s="13">
        <v>42808.090613425928</v>
      </c>
      <c r="G222" s="7">
        <v>1</v>
      </c>
      <c r="H222" s="21" t="s">
        <v>540</v>
      </c>
      <c r="I222" s="13">
        <v>42808.098414351851</v>
      </c>
      <c r="J222" s="7">
        <v>0</v>
      </c>
      <c r="K222" s="98" t="str">
        <f t="shared" si="72"/>
        <v>4019/4020</v>
      </c>
      <c r="L222" s="21" t="str">
        <f>VLOOKUP(A222,'Trips&amp;Operators'!$C$1:$G$99999,5,FALSE)</f>
        <v>STORY SAMANTHA</v>
      </c>
      <c r="M222" s="6">
        <f t="shared" si="73"/>
        <v>7.8009259232203476E-3</v>
      </c>
      <c r="N222" s="7">
        <f t="shared" si="87"/>
        <v>11.233333329437301</v>
      </c>
      <c r="O222" s="7"/>
      <c r="P222" s="7"/>
      <c r="Q222" s="22"/>
      <c r="R222" s="22"/>
      <c r="S222" s="31">
        <f t="shared" si="88"/>
        <v>1</v>
      </c>
      <c r="T222" s="46" t="str">
        <f t="shared" si="74"/>
        <v>NorthBound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75"/>
        <v>https://d0f6bd738d7f1b3e5a7ca70fe4ff75f0.us-east-1.aws.found.io/app/kibana#/discover/Steve-Slow-Train-Analysis-(2080s-and-2083s)?_g=(refreshInterval:(display:Off,pause:!f,section:0,value:0),time:(from:'2017-03-14T01:08:34-0600',mode:absolute,to:'2017-03-14T03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2" s="187" t="str">
        <f t="shared" si="76"/>
        <v>Y</v>
      </c>
      <c r="X222" s="187">
        <f t="shared" si="71"/>
        <v>2</v>
      </c>
      <c r="Y222" s="62">
        <f t="shared" si="77"/>
        <v>4.6399999999999997E-2</v>
      </c>
      <c r="Z222" s="62">
        <f t="shared" si="86"/>
        <v>2.3304</v>
      </c>
      <c r="AA222" s="62">
        <f t="shared" si="78"/>
        <v>2.2839999999999998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9"/>
        <v>0313-13</v>
      </c>
      <c r="AE222" s="85" t="str">
        <f t="shared" si="80"/>
        <v>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 &amp; 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</v>
      </c>
      <c r="AF222" s="82" t="str">
        <f t="shared" si="81"/>
        <v>"C:\Program Files (x86)\AstroGrep\AstroGrep.exe" /e /r /s /spath="%USERPROFILE%\AppData\Local\Temp\OnboardLogs" /stypes="app*4020*20170314*" /stext=" 08:.+((SYSTEM_STATE.+slice.+state.+changed )|(ment ac)|(multiple cpu faults)|(system.+state.+changed )|(\[timeout)|(PRM\|1\|D)|(kpr)|(kdp)|(\|lc)|(penalty))"</v>
      </c>
      <c r="AG222" s="1" t="str">
        <f t="shared" si="82"/>
        <v>Other</v>
      </c>
      <c r="AH222" s="86" t="str">
        <f t="shared" si="83"/>
        <v>"%USERPROFILE%\Documents\GitHub\eaglep3\Utilities\RefineRTDCRunTimes.py" --tripid 313-13 --locoid 4020 --swversion DE.1.0.9.0 --startMP 204:464 --initTime 2017-03-14T02:08:34 --startdatetime 2017-03-14T02:10:29 --delay 1 --endMP 300:23304 --enddatetime 2017-03-14T02:21:43 --enforcementcount 0 &gt;&gt;C:\Users\stu\Documents\GitHub\eaglep3-reporting\EC\2017-03-14-refined-times.txt</v>
      </c>
      <c r="AI222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{"issue":{"subject":"","project_id":79,"tracker_id":40,"status_id":1,"priority_id":2,"assigned_to_id":23,"start_date":"2017-03-14","description":"","custom_fields":[{"id":1,"name":"Subdivision","value":"Other"},{"id":4,"name":"Milepost","value":"2.3304"},{"id":17,"name":"Train ID","value":"313-13"},{"id":16,"name":"Locomotive ID","value":"4020"},{"id":130,"name":"Impact","value":""},{"id":150,"name":"Time of Event (Mountain Time)","value":"02:21:43"},{"id":151,"name":"Denver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5"/>
        <v>start /low /b %USERPROFILE%\Documents\GitHub\eaglep3\Utilities\DownloadLogsFromS3.py --loco 4020 --day 2017-03-14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"%USERPROFILE%\AppData\Local\Temp\OnboardLogs"\RTDC4020\*4020*20170314* | grep -SE "(Enforcement Action)|(\[TIMEOUT)|(CHR.+\|PRM\|1\|D.+(SWITCH|SIGNAL).+UNKNOWN)" - &gt;&gt; 2017-03-14-UncaughtWiMAX.txt</v>
      </c>
    </row>
    <row r="223" spans="1:40" x14ac:dyDescent="0.25">
      <c r="A223" s="33" t="s">
        <v>804</v>
      </c>
      <c r="B223" s="7">
        <v>4031</v>
      </c>
      <c r="C223" s="21" t="s">
        <v>233</v>
      </c>
      <c r="D223" s="21" t="s">
        <v>902</v>
      </c>
      <c r="E223" s="13">
        <v>42809.088449074072</v>
      </c>
      <c r="F223" s="13">
        <v>42809.090462962966</v>
      </c>
      <c r="G223" s="7">
        <v>2</v>
      </c>
      <c r="H223" s="21" t="s">
        <v>457</v>
      </c>
      <c r="I223" s="13">
        <v>42809.100254629629</v>
      </c>
      <c r="J223" s="7">
        <v>0</v>
      </c>
      <c r="K223" s="98" t="str">
        <f t="shared" si="72"/>
        <v>4031/4032</v>
      </c>
      <c r="L223" s="21" t="str">
        <f>VLOOKUP(A223,'Trips&amp;Operators'!$C$1:$G$99999,5,FALSE)</f>
        <v>STAMBAUGH JAMES</v>
      </c>
      <c r="M223" s="6">
        <f t="shared" si="73"/>
        <v>9.7916666636592709E-3</v>
      </c>
      <c r="N223" s="7">
        <f t="shared" si="87"/>
        <v>14.09999999566935</v>
      </c>
      <c r="O223" s="7"/>
      <c r="P223" s="7"/>
      <c r="Q223" s="22"/>
      <c r="R223" s="22"/>
      <c r="S223" s="31">
        <f t="shared" si="88"/>
        <v>1</v>
      </c>
      <c r="T223" s="46" t="str">
        <f t="shared" si="74"/>
        <v>NorthBound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6" t="str">
        <f t="shared" si="75"/>
        <v>https://d0f6bd738d7f1b3e5a7ca70fe4ff75f0.us-east-1.aws.found.io/app/kibana#/discover/Steve-Slow-Train-Analysis-(2080s-and-2083s)?_g=(refreshInterval:(display:Off,pause:!f,section:0,value:0),time:(from:'2017-03-15T01:07:22-0600',mode:absolute,to:'2017-03-15T03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3" s="187" t="str">
        <f t="shared" si="76"/>
        <v>Y</v>
      </c>
      <c r="X223" s="187">
        <f t="shared" si="71"/>
        <v>0</v>
      </c>
      <c r="Y223" s="62">
        <f t="shared" si="77"/>
        <v>0.12859999999999999</v>
      </c>
      <c r="Z223" s="62">
        <f t="shared" si="86"/>
        <v>2.3346</v>
      </c>
      <c r="AA223" s="62">
        <f t="shared" si="78"/>
        <v>2.206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9"/>
        <v>0313-14</v>
      </c>
      <c r="AE223" s="85" t="str">
        <f t="shared" si="80"/>
        <v>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 &amp; 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</v>
      </c>
      <c r="AF223" s="82" t="str">
        <f t="shared" si="81"/>
        <v>"C:\Program Files (x86)\AstroGrep\AstroGrep.exe" /e /r /s /spath="%USERPROFILE%\AppData\Local\Temp\OnboardLogs" /stypes="app*4031*20170315*" /stext=" 08:.+((SYSTEM_STATE.+slice.+state.+changed )|(ment ac)|(multiple cpu faults)|(system.+state.+changed )|(\[timeout)|(PRM\|1\|D)|(kpr)|(kdp)|(\|lc)|(penalty))"</v>
      </c>
      <c r="AG223" s="1" t="str">
        <f t="shared" si="82"/>
        <v>Other</v>
      </c>
      <c r="AH223" s="86" t="str">
        <f t="shared" si="83"/>
        <v>"%USERPROFILE%\Documents\GitHub\eaglep3\Utilities\RefineRTDCRunTimes.py" --tripid 313-14 --locoid 4031 --swversion DE.1.0.9.0 --startMP 204:1286 --initTime 2017-03-15T02:07:22 --startdatetime 2017-03-15T02:10:16 --delay 2 --endMP 300:23346 --enddatetime 2017-03-15T02:24:22 --enforcementcount 0 &gt;&gt;C:\Users\stu\Documents\GitHub\eaglep3-reporting\EC\2017-03-14-refined-times.txt</v>
      </c>
      <c r="AI223" s="108" t="str">
        <f t="shared" si="84"/>
        <v>echo {"issue":{"subject":"","project_id":79,"tracker_id":40,"status_id":1,"priority_id":2,"assigned_to_id":23,"start_date":"2017-03-15","description":"","custom_fields":[{"id":1,"name":"Subdivision","value":"Other"},{"id":4,"name":"Milepost","value":"2.3346"},{"id":17,"name":"Train ID","value":"313-14"},{"id":16,"name":"Locomotive ID","value":"4031"},{"id":130,"name":"Impact","value":""},{"id":150,"name":"Time of Event (Mountain Time)","value":"02:24:22"},{"id":151,"name":"Denver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5"/>
        <v>start /low /b %USERPROFILE%\Documents\GitHub\eaglep3\Utilities\DownloadLogsFromS3.py --loco 4031 --day 2017-03-15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"%USERPROFILE%\AppData\Local\Temp\OnboardLogs"\RTDC4031\*4031*20170315* | grep -SE "(Enforcement Action)|(\[TIMEOUT)|(CHR.+\|PRM\|1\|D.+(SWITCH|SIGNAL).+UNKNOWN)" - &gt;&gt; 2017-03-14-UncaughtWiMAX.txt</v>
      </c>
    </row>
    <row r="224" spans="1:40" x14ac:dyDescent="0.25">
      <c r="A224" s="33" t="s">
        <v>801</v>
      </c>
      <c r="B224" s="7">
        <v>4051</v>
      </c>
      <c r="C224" s="21" t="s">
        <v>233</v>
      </c>
      <c r="D224" s="21" t="s">
        <v>209</v>
      </c>
      <c r="E224" s="13">
        <v>42809.030011574076</v>
      </c>
      <c r="F224" s="13">
        <v>42809.031041666669</v>
      </c>
      <c r="G224" s="7">
        <v>1</v>
      </c>
      <c r="H224" s="21" t="s">
        <v>540</v>
      </c>
      <c r="I224" s="13">
        <v>42809.048888888887</v>
      </c>
      <c r="J224" s="7">
        <v>0</v>
      </c>
      <c r="K224" s="98" t="str">
        <f t="shared" si="72"/>
        <v>4051/4052</v>
      </c>
      <c r="L224" s="21" t="str">
        <f>VLOOKUP(A224,'Trips&amp;Operators'!$C$1:$G$99999,5,FALSE)</f>
        <v>CHANDLER KELVIN</v>
      </c>
      <c r="M224" s="6">
        <f t="shared" si="73"/>
        <v>1.784722221782431E-2</v>
      </c>
      <c r="N224" s="7">
        <f t="shared" si="87"/>
        <v>25.699999993667006</v>
      </c>
      <c r="O224" s="7"/>
      <c r="P224" s="7"/>
      <c r="Q224" s="22"/>
      <c r="R224" s="22"/>
      <c r="S224" s="31">
        <f t="shared" si="88"/>
        <v>1</v>
      </c>
      <c r="T224" s="46" t="str">
        <f t="shared" si="74"/>
        <v>NorthBound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86" t="str">
        <f t="shared" si="75"/>
        <v>https://d0f6bd738d7f1b3e5a7ca70fe4ff75f0.us-east-1.aws.found.io/app/kibana#/discover/Steve-Slow-Train-Analysis-(2080s-and-2083s)?_g=(refreshInterval:(display:Off,pause:!f,section:0,value:0),time:(from:'2017-03-14T23:43:13-0600',mode:absolute,to:'2017-03-15T02:10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4" s="187" t="str">
        <f t="shared" si="76"/>
        <v>Y</v>
      </c>
      <c r="X224" s="187">
        <f t="shared" si="71"/>
        <v>2</v>
      </c>
      <c r="Y224" s="62">
        <f t="shared" si="77"/>
        <v>4.5100000000000001E-2</v>
      </c>
      <c r="Z224" s="62">
        <f t="shared" si="86"/>
        <v>2.3304</v>
      </c>
      <c r="AA224" s="62">
        <f t="shared" si="78"/>
        <v>2.2852999999999999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9"/>
        <v>0315-14</v>
      </c>
      <c r="AE224" s="85" t="str">
        <f t="shared" si="80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224" s="82" t="str">
        <f t="shared" si="81"/>
        <v>"C:\Program Files (x86)\AstroGrep\AstroGrep.exe" /e /r /s /spath="%USERPROFILE%\AppData\Local\Temp\OnboardLogs" /stypes="app*4051*20170315*" /stext=" 07:.+((SYSTEM_STATE.+slice.+state.+changed )|(ment ac)|(multiple cpu faults)|(system.+state.+changed )|(\[timeout)|(PRM\|1\|D)|(kpr)|(kdp)|(\|lc)|(penalty))"</v>
      </c>
      <c r="AG224" s="1" t="str">
        <f t="shared" si="82"/>
        <v>Other</v>
      </c>
      <c r="AH224" s="86" t="str">
        <f t="shared" si="83"/>
        <v>"%USERPROFILE%\Documents\GitHub\eaglep3\Utilities\RefineRTDCRunTimes.py" --tripid 315-14 --locoid 4051 --swversion DE.1.0.9.0 --startMP 204:451 --initTime 2017-03-15T00:43:13 --startdatetime 2017-03-15T00:44:42 --delay 1 --endMP 300:23304 --enddatetime 2017-03-15T01:10:24 --enforcementcount 0 &gt;&gt;C:\Users\stu\Documents\GitHub\eaglep3-reporting\EC\2017-03-14-refined-times.txt</v>
      </c>
      <c r="AI224" s="108" t="str">
        <f t="shared" si="84"/>
        <v>echo {"issue":{"subject":"","project_id":79,"tracker_id":40,"status_id":1,"priority_id":2,"assigned_to_id":23,"start_date":"2017-03-15","description":"","custom_fields":[{"id":1,"name":"Subdivision","value":"Other"},{"id":4,"name":"Milepost","value":"2.3304"},{"id":17,"name":"Train ID","value":"315-14"},{"id":16,"name":"Locomotive ID","value":"4051"},{"id":130,"name":"Impact","value":""},{"id":150,"name":"Time of Event (Mountain Time)","value":"01:10:24"},{"id":151,"name":"Denver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5"/>
        <v>start /low /b %USERPROFILE%\Documents\GitHub\eaglep3\Utilities\DownloadLogsFromS3.py --loco 4051 --day 2017-03-15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2017-03-14-UncaughtWiMAX.txt</v>
      </c>
    </row>
    <row r="225" spans="1:40" x14ac:dyDescent="0.25">
      <c r="A225" s="33" t="s">
        <v>613</v>
      </c>
      <c r="B225" s="7">
        <v>4024</v>
      </c>
      <c r="C225" s="21" t="s">
        <v>233</v>
      </c>
      <c r="D225" s="21" t="s">
        <v>1003</v>
      </c>
      <c r="E225" s="13">
        <v>42808.201111111113</v>
      </c>
      <c r="F225" s="13">
        <v>42808.204918981479</v>
      </c>
      <c r="G225" s="7">
        <v>5</v>
      </c>
      <c r="H225" s="21" t="s">
        <v>458</v>
      </c>
      <c r="I225" s="13">
        <v>42808.210428240738</v>
      </c>
      <c r="J225" s="7">
        <v>0</v>
      </c>
      <c r="K225" s="98" t="str">
        <f t="shared" si="72"/>
        <v>4023/4024</v>
      </c>
      <c r="L225" s="21" t="str">
        <f>VLOOKUP(A225,'Trips&amp;Operators'!$C$1:$G$99999,5,FALSE)</f>
        <v>YORK EDGAR</v>
      </c>
      <c r="M225" s="6">
        <f t="shared" si="73"/>
        <v>5.5092592592700385E-3</v>
      </c>
      <c r="N225" s="7">
        <f t="shared" si="87"/>
        <v>7.9333333333488554</v>
      </c>
      <c r="O225" s="7"/>
      <c r="P225" s="7"/>
      <c r="Q225" s="22"/>
      <c r="R225" s="22"/>
      <c r="S225" s="31">
        <f t="shared" si="88"/>
        <v>0</v>
      </c>
      <c r="T225" s="46" t="str">
        <f t="shared" si="74"/>
        <v>NorthBound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5"/>
        <v>https://d0f6bd738d7f1b3e5a7ca70fe4ff75f0.us-east-1.aws.found.io/app/kibana#/discover/Steve-Slow-Train-Analysis-(2080s-and-2083s)?_g=(refreshInterval:(display:Off,pause:!f,section:0,value:0),time:(from:'2017-03-14T03:49:36-0600',mode:absolute,to:'2017-03-14T06:03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5" s="187" t="str">
        <f t="shared" si="76"/>
        <v>Y</v>
      </c>
      <c r="X225" s="187">
        <f t="shared" si="71"/>
        <v>586</v>
      </c>
      <c r="Y225" s="62">
        <f t="shared" si="77"/>
        <v>2.9925000000000002</v>
      </c>
      <c r="Z225" s="62">
        <f t="shared" si="86"/>
        <v>5.8929</v>
      </c>
      <c r="AA225" s="62">
        <f t="shared" si="78"/>
        <v>2.9003999999999999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9"/>
        <v>0901-14</v>
      </c>
      <c r="AE225" s="85" t="str">
        <f t="shared" si="80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225" s="82" t="str">
        <f t="shared" si="81"/>
        <v>"C:\Program Files (x86)\AstroGrep\AstroGrep.exe" /e /r /s /spath="%USERPROFILE%\AppData\Local\Temp\OnboardLogs" /stypes="app*4024*20170314*" /stext=" 11:.+((SYSTEM_STATE.+slice.+state.+changed )|(ment ac)|(multiple cpu faults)|(system.+state.+changed )|(\[timeout)|(PRM\|1\|D)|(kpr)|(kdp)|(\|lc)|(penalty))"</v>
      </c>
      <c r="AG225" s="1" t="str">
        <f t="shared" si="82"/>
        <v>Other</v>
      </c>
      <c r="AH225" s="86" t="str">
        <f t="shared" si="83"/>
        <v>"%USERPROFILE%\Documents\GitHub\eaglep3\Utilities\RefineRTDCRunTimes.py" --tripid 901-14 --locoid 4024 --swversion DE.1.0.9.0 --startMP 300:29925 --initTime 2017-03-14T04:49:36 --startdatetime 2017-03-14T04:55:05 --delay 5 --endMP 300:58929 --enddatetime 2017-03-14T05:03:01 --enforcementcount 0 &gt;&gt;C:\Users\stu\Documents\GitHub\eaglep3-reporting\EC\2017-03-14-refined-times.txt</v>
      </c>
      <c r="AI225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{"issue":{"subject":"","project_id":79,"tracker_id":40,"status_id":1,"priority_id":2,"assigned_to_id":23,"start_date":"2017-03-14","description":"","custom_fields":[{"id":1,"name":"Subdivision","value":"Other"},{"id":4,"name":"Milepost","value":"5.8929"},{"id":17,"name":"Train ID","value":"901-14"},{"id":16,"name":"Locomotive ID","value":"4024"},{"id":130,"name":"Impact","value":""},{"id":150,"name":"Time of Event (Mountain Time)","value":"05:03:01"},{"id":151,"name":"Denver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5"/>
        <v>start /low /b %USERPROFILE%\Documents\GitHub\eaglep3\Utilities\DownloadLogsFromS3.py --loco 4024 --day 2017-03-14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226" spans="1:40" x14ac:dyDescent="0.25">
      <c r="A226" s="33" t="s">
        <v>625</v>
      </c>
      <c r="B226" s="7">
        <v>4012</v>
      </c>
      <c r="C226" s="21" t="s">
        <v>233</v>
      </c>
      <c r="D226" s="21" t="s">
        <v>1004</v>
      </c>
      <c r="E226" s="13">
        <v>42808.241226851853</v>
      </c>
      <c r="F226" s="13">
        <v>42808.243680555555</v>
      </c>
      <c r="G226" s="7">
        <v>3</v>
      </c>
      <c r="H226" s="21" t="s">
        <v>518</v>
      </c>
      <c r="I226" s="13">
        <v>42808.249374999999</v>
      </c>
      <c r="J226" s="7">
        <v>0</v>
      </c>
      <c r="K226" s="98" t="str">
        <f t="shared" si="72"/>
        <v>4011/4012</v>
      </c>
      <c r="L226" s="21" t="str">
        <f>VLOOKUP(A226,'Trips&amp;Operators'!$C$1:$G$99999,5,FALSE)</f>
        <v>BROWN JACOB</v>
      </c>
      <c r="M226" s="6">
        <f t="shared" si="73"/>
        <v>5.694444444088731E-3</v>
      </c>
      <c r="N226" s="7">
        <f t="shared" si="87"/>
        <v>8.1999999994877726</v>
      </c>
      <c r="O226" s="7"/>
      <c r="P226" s="7"/>
      <c r="Q226" s="22"/>
      <c r="R226" s="22"/>
      <c r="S226" s="31">
        <f t="shared" si="88"/>
        <v>1</v>
      </c>
      <c r="T226" s="46" t="str">
        <f t="shared" si="74"/>
        <v>Southbound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86" t="str">
        <f t="shared" si="75"/>
        <v>https://d0f6bd738d7f1b3e5a7ca70fe4ff75f0.us-east-1.aws.found.io/app/kibana#/discover/Steve-Slow-Train-Analysis-(2080s-and-2083s)?_g=(refreshInterval:(display:Off,pause:!f,section:0,value:0),time:(from:'2017-03-14T04:47:22-0600',mode:absolute,to:'2017-03-14T06:59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6" s="187" t="str">
        <f t="shared" si="76"/>
        <v>Y</v>
      </c>
      <c r="X226" s="187">
        <f t="shared" si="71"/>
        <v>1</v>
      </c>
      <c r="Y226" s="62">
        <f t="shared" si="77"/>
        <v>2.3372000000000002</v>
      </c>
      <c r="Z226" s="62">
        <f t="shared" si="86"/>
        <v>7.0999999999999994E-2</v>
      </c>
      <c r="AA226" s="62">
        <f t="shared" si="78"/>
        <v>2.2662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9"/>
        <v>0902-14</v>
      </c>
      <c r="AE226" s="85" t="str">
        <f t="shared" si="80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226" s="82" t="str">
        <f t="shared" si="81"/>
        <v>"C:\Program Files (x86)\AstroGrep\AstroGrep.exe" /e /r /s /spath="%USERPROFILE%\AppData\Local\Temp\OnboardLogs" /stypes="app*4012*20170314*" /stext=" 11:.+((SYSTEM_STATE.+slice.+state.+changed )|(ment ac)|(multiple cpu faults)|(system.+state.+changed )|(\[timeout)|(PRM\|1\|D)|(kpr)|(kdp)|(\|lc)|(penalty))"</v>
      </c>
      <c r="AG226" s="1" t="str">
        <f t="shared" si="82"/>
        <v>Other</v>
      </c>
      <c r="AH226" s="86" t="str">
        <f t="shared" si="83"/>
        <v>"%USERPROFILE%\Documents\GitHub\eaglep3\Utilities\RefineRTDCRunTimes.py" --tripid 902-14 --locoid 4012 --swversion DE.1.0.9.0 --startMP 300:23372 --initTime 2017-03-14T05:47:22 --startdatetime 2017-03-14T05:50:54 --delay 3 --endMP 204:710 --enddatetime 2017-03-14T05:59:06 --enforcementcount 0 &gt;&gt;C:\Users\stu\Documents\GitHub\eaglep3-reporting\EC\2017-03-14-refined-times.txt</v>
      </c>
      <c r="AI226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{"issue":{"subject":"","project_id":79,"tracker_id":40,"status_id":1,"priority_id":2,"assigned_to_id":23,"start_date":"2017-03-14","description":"","custom_fields":[{"id":1,"name":"Subdivision","value":"Other"},{"id":4,"name":"Milepost","value":"0.071"},{"id":17,"name":"Train ID","value":"902-14"},{"id":16,"name":"Locomotive ID","value":"4012"},{"id":130,"name":"Impact","value":""},{"id":150,"name":"Time of Event (Mountain Time)","value":"05:59:06"},{"id":151,"name":"Denver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5"/>
        <v>start /low /b %USERPROFILE%\Documents\GitHub\eaglep3\Utilities\DownloadLogsFromS3.py --loco 4012 --day 2017-03-14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2017-03-14-UncaughtWiMAX.txt</v>
      </c>
    </row>
    <row r="227" spans="1:40" x14ac:dyDescent="0.25">
      <c r="A227" s="33" t="s">
        <v>657</v>
      </c>
      <c r="B227" s="7">
        <v>4024</v>
      </c>
      <c r="C227" s="21" t="s">
        <v>233</v>
      </c>
      <c r="D227" s="21" t="s">
        <v>1005</v>
      </c>
      <c r="E227" s="13">
        <v>42808.351817129631</v>
      </c>
      <c r="F227" s="13">
        <v>42808.352488425924</v>
      </c>
      <c r="G227" s="7">
        <v>0</v>
      </c>
      <c r="H227" s="21" t="s">
        <v>1006</v>
      </c>
      <c r="I227" s="13">
        <v>42808.357870370368</v>
      </c>
      <c r="J227" s="7">
        <v>0</v>
      </c>
      <c r="K227" s="98" t="str">
        <f t="shared" si="72"/>
        <v>4023/4024</v>
      </c>
      <c r="L227" s="21" t="str">
        <f>VLOOKUP(A227,'Trips&amp;Operators'!$C$1:$G$99999,5,FALSE)</f>
        <v>YORK EDGAR</v>
      </c>
      <c r="M227" s="6">
        <f t="shared" si="73"/>
        <v>5.3819444437976927E-3</v>
      </c>
      <c r="N227" s="7">
        <f t="shared" si="87"/>
        <v>7.7499999990686774</v>
      </c>
      <c r="O227" s="7"/>
      <c r="P227" s="7"/>
      <c r="Q227" s="22"/>
      <c r="R227" s="22"/>
      <c r="S227" s="31">
        <f t="shared" si="88"/>
        <v>1</v>
      </c>
      <c r="T227" s="46" t="str">
        <f t="shared" si="74"/>
        <v>NorthBound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86" t="str">
        <f t="shared" si="75"/>
        <v>https://d0f6bd738d7f1b3e5a7ca70fe4ff75f0.us-east-1.aws.found.io/app/kibana#/discover/Steve-Slow-Train-Analysis-(2080s-and-2083s)?_g=(refreshInterval:(display:Off,pause:!f,section:0,value:0),time:(from:'2017-03-14T07:26:37-0600',mode:absolute,to:'2017-03-14T09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7" s="187" t="str">
        <f t="shared" si="76"/>
        <v>Y</v>
      </c>
      <c r="X227" s="187">
        <f t="shared" si="71"/>
        <v>1</v>
      </c>
      <c r="Y227" s="62">
        <f t="shared" si="77"/>
        <v>0.1133</v>
      </c>
      <c r="Z227" s="62">
        <f t="shared" si="86"/>
        <v>2.4253999999999998</v>
      </c>
      <c r="AA227" s="62">
        <f t="shared" si="78"/>
        <v>2.3120999999999996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9"/>
        <v>0903-14</v>
      </c>
      <c r="AE227" s="85" t="str">
        <f t="shared" si="80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227" s="82" t="str">
        <f t="shared" si="81"/>
        <v>"C:\Program Files (x86)\AstroGrep\AstroGrep.exe" /e /r /s /spath="%USERPROFILE%\AppData\Local\Temp\OnboardLogs" /stypes="app*4024*20170314*" /stext=" 14:.+((SYSTEM_STATE.+slice.+state.+changed )|(ment ac)|(multiple cpu faults)|(system.+state.+changed )|(\[timeout)|(PRM\|1\|D)|(kpr)|(kdp)|(\|lc)|(penalty))"</v>
      </c>
      <c r="AG227" s="1" t="str">
        <f t="shared" si="82"/>
        <v>Other</v>
      </c>
      <c r="AH227" s="86" t="str">
        <f t="shared" si="83"/>
        <v>"%USERPROFILE%\Documents\GitHub\eaglep3\Utilities\RefineRTDCRunTimes.py" --tripid 903-14 --locoid 4024 --swversion DE.1.0.9.0 --startMP 204:1133 --initTime 2017-03-14T08:26:37 --startdatetime 2017-03-14T08:27:35 --delay 0 --endMP 300:24254 --enddatetime 2017-03-14T08:35:20 --enforcementcount 0 &gt;&gt;C:\Users\stu\Documents\GitHub\eaglep3-reporting\EC\2017-03-14-refined-times.txt</v>
      </c>
      <c r="AI227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{"issue":{"subject":"","project_id":79,"tracker_id":40,"status_id":1,"priority_id":2,"assigned_to_id":23,"start_date":"2017-03-14","description":"","custom_fields":[{"id":1,"name":"Subdivision","value":"Other"},{"id":4,"name":"Milepost","value":"2.4254"},{"id":17,"name":"Train ID","value":"903-14"},{"id":16,"name":"Locomotive ID","value":"4024"},{"id":130,"name":"Impact","value":""},{"id":150,"name":"Time of Event (Mountain Time)","value":"08:35:20"},{"id":151,"name":"Denver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5"/>
        <v>start /low /b %USERPROFILE%\Documents\GitHub\eaglep3\Utilities\DownloadLogsFromS3.py --loco 4024 --day 2017-03-14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228" spans="1:40" x14ac:dyDescent="0.25">
      <c r="A228" s="33" t="s">
        <v>723</v>
      </c>
      <c r="B228" s="7">
        <v>4023</v>
      </c>
      <c r="C228" s="21" t="s">
        <v>233</v>
      </c>
      <c r="D228" s="21" t="s">
        <v>1007</v>
      </c>
      <c r="E228" s="13">
        <v>42808.642245370371</v>
      </c>
      <c r="F228" s="13">
        <v>42808.648587962962</v>
      </c>
      <c r="G228" s="7">
        <v>9</v>
      </c>
      <c r="H228" s="21" t="s">
        <v>1008</v>
      </c>
      <c r="I228" s="13">
        <v>42808.654328703706</v>
      </c>
      <c r="J228" s="7">
        <v>0</v>
      </c>
      <c r="K228" s="98" t="str">
        <f t="shared" si="72"/>
        <v>4023/4024</v>
      </c>
      <c r="L228" s="21" t="str">
        <f>VLOOKUP(A228,'Trips&amp;Operators'!$C$1:$G$99999,5,FALSE)</f>
        <v>SWANSON BRYCE</v>
      </c>
      <c r="M228" s="6">
        <f t="shared" si="73"/>
        <v>5.7407407439313829E-3</v>
      </c>
      <c r="N228" s="7">
        <f t="shared" si="87"/>
        <v>8.2666666712611914</v>
      </c>
      <c r="O228" s="7"/>
      <c r="P228" s="7"/>
      <c r="Q228" s="22"/>
      <c r="R228" s="22"/>
      <c r="S228" s="31">
        <f t="shared" si="88"/>
        <v>1</v>
      </c>
      <c r="T228" s="46" t="str">
        <f t="shared" si="74"/>
        <v>Southbound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86" t="str">
        <f t="shared" si="75"/>
        <v>https://d0f6bd738d7f1b3e5a7ca70fe4ff75f0.us-east-1.aws.found.io/app/kibana#/discover/Steve-Slow-Train-Analysis-(2080s-and-2083s)?_g=(refreshInterval:(display:Off,pause:!f,section:0,value:0),time:(from:'2017-03-14T14:24:50-0600',mode:absolute,to:'2017-03-14T16:42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8" s="187" t="str">
        <f t="shared" si="76"/>
        <v>Y</v>
      </c>
      <c r="X228" s="187">
        <f t="shared" si="71"/>
        <v>1</v>
      </c>
      <c r="Y228" s="62">
        <f t="shared" si="77"/>
        <v>2.3207</v>
      </c>
      <c r="Z228" s="62">
        <f t="shared" si="86"/>
        <v>6.7699999999999996E-2</v>
      </c>
      <c r="AA228" s="62">
        <f t="shared" si="78"/>
        <v>2.2530000000000001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9"/>
        <v>0904-14</v>
      </c>
      <c r="AE228" s="85" t="str">
        <f t="shared" si="80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228" s="82" t="str">
        <f t="shared" si="81"/>
        <v>"C:\Program Files (x86)\AstroGrep\AstroGrep.exe" /e /r /s /spath="%USERPROFILE%\AppData\Local\Temp\OnboardLogs" /stypes="app*4023*20170314*" /stext=" 21:.+((SYSTEM_STATE.+slice.+state.+changed )|(ment ac)|(multiple cpu faults)|(system.+state.+changed )|(\[timeout)|(PRM\|1\|D)|(kpr)|(kdp)|(\|lc)|(penalty))"</v>
      </c>
      <c r="AG228" s="1" t="str">
        <f t="shared" si="82"/>
        <v>Other</v>
      </c>
      <c r="AH228" s="86" t="str">
        <f t="shared" si="83"/>
        <v>"%USERPROFILE%\Documents\GitHub\eaglep3\Utilities\RefineRTDCRunTimes.py" --tripid 904-14 --locoid 4023 --swversion DE.1.0.9.0 --startMP 300:23207 --initTime 2017-03-14T15:24:50 --startdatetime 2017-03-14T15:33:58 --delay 9 --endMP 204:677 --enddatetime 2017-03-14T15:42:14 --enforcementcount 0 &gt;&gt;C:\Users\stu\Documents\GitHub\eaglep3-reporting\EC\2017-03-14-refined-times.txt</v>
      </c>
      <c r="AI228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{"issue":{"subject":"","project_id":79,"tracker_id":40,"status_id":1,"priority_id":2,"assigned_to_id":23,"start_date":"2017-03-14","description":"","custom_fields":[{"id":1,"name":"Subdivision","value":"Other"},{"id":4,"name":"Milepost","value":"0.0677"},{"id":17,"name":"Train ID","value":"904-14"},{"id":16,"name":"Locomotive ID","value":"4023"},{"id":130,"name":"Impact","value":""},{"id":150,"name":"Time of Event (Mountain Time)","value":"15:42:14"},{"id":151,"name":"Denver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5"/>
        <v>start /low /b %USERPROFILE%\Documents\GitHub\eaglep3\Utilities\DownloadLogsFromS3.py --loco 4023 --day 2017-03-14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229" spans="1:40" x14ac:dyDescent="0.25">
      <c r="A229" s="33" t="s">
        <v>765</v>
      </c>
      <c r="B229" s="7">
        <v>4023</v>
      </c>
      <c r="C229" s="21" t="s">
        <v>233</v>
      </c>
      <c r="D229" s="21" t="s">
        <v>995</v>
      </c>
      <c r="E229" s="13">
        <v>42808.796898148146</v>
      </c>
      <c r="F229" s="13">
        <v>42808.79787037037</v>
      </c>
      <c r="G229" s="7">
        <v>1</v>
      </c>
      <c r="H229" s="21" t="s">
        <v>1009</v>
      </c>
      <c r="I229" s="13">
        <v>42808.803564814814</v>
      </c>
      <c r="J229" s="7">
        <v>0</v>
      </c>
      <c r="K229" s="98" t="str">
        <f t="shared" si="72"/>
        <v>4023/4024</v>
      </c>
      <c r="L229" s="21" t="str">
        <f>VLOOKUP(A229,'Trips&amp;Operators'!$C$1:$G$99999,5,FALSE)</f>
        <v>SWANSON BRYCE</v>
      </c>
      <c r="M229" s="6">
        <f t="shared" si="73"/>
        <v>5.694444444088731E-3</v>
      </c>
      <c r="N229" s="7">
        <f t="shared" si="87"/>
        <v>8.1999999994877726</v>
      </c>
      <c r="O229" s="7"/>
      <c r="P229" s="7"/>
      <c r="Q229" s="22"/>
      <c r="R229" s="22"/>
      <c r="S229" s="31">
        <f t="shared" si="88"/>
        <v>0</v>
      </c>
      <c r="T229" s="46" t="str">
        <f t="shared" si="74"/>
        <v>Southbound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5"/>
        <v>https://d0f6bd738d7f1b3e5a7ca70fe4ff75f0.us-east-1.aws.found.io/app/kibana#/discover/Steve-Slow-Train-Analysis-(2080s-and-2083s)?_g=(refreshInterval:(display:Off,pause:!f,section:0,value:0),time:(from:'2017-03-14T18:07:32-0600',mode:absolute,to:'2017-03-14T20:17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9" s="187" t="str">
        <f t="shared" si="76"/>
        <v>Y</v>
      </c>
      <c r="X229" s="187">
        <f t="shared" si="71"/>
        <v>2</v>
      </c>
      <c r="Y229" s="62">
        <f t="shared" si="77"/>
        <v>5.8616999999999999</v>
      </c>
      <c r="Z229" s="62">
        <f t="shared" si="86"/>
        <v>2.1486000000000001</v>
      </c>
      <c r="AA229" s="62">
        <f t="shared" si="78"/>
        <v>3.7130999999999998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9"/>
        <v>0906-14</v>
      </c>
      <c r="AE229" s="85" t="str">
        <f t="shared" si="80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229" s="82" t="str">
        <f t="shared" si="81"/>
        <v>"C:\Program Files (x86)\AstroGrep\AstroGrep.exe" /e /r /s /spath="%USERPROFILE%\AppData\Local\Temp\OnboardLogs" /stypes="app*4023*20170315*" /stext=" 01:.+((SYSTEM_STATE.+slice.+state.+changed )|(ment ac)|(multiple cpu faults)|(system.+state.+changed )|(\[timeout)|(PRM\|1\|D)|(kpr)|(kdp)|(\|lc)|(penalty))"</v>
      </c>
      <c r="AG229" s="1" t="str">
        <f t="shared" si="82"/>
        <v>Other</v>
      </c>
      <c r="AH229" s="86" t="str">
        <f t="shared" si="83"/>
        <v>"%USERPROFILE%\Documents\GitHub\eaglep3\Utilities\RefineRTDCRunTimes.py" --tripid 906-14 --locoid 4023 --swversion DE.1.0.9.0 --startMP 300:58617 --initTime 2017-03-14T19:07:32 --startdatetime 2017-03-14T19:08:56 --delay 1 --endMP 300:21486 --enddatetime 2017-03-14T19:17:08 --enforcementcount 0 &gt;&gt;C:\Users\stu\Documents\GitHub\eaglep3-reporting\EC\2017-03-14-refined-times.txt</v>
      </c>
      <c r="AI229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{"issue":{"subject":"","project_id":79,"tracker_id":40,"status_id":1,"priority_id":2,"assigned_to_id":23,"start_date":"2017-03-14","description":"","custom_fields":[{"id":1,"name":"Subdivision","value":"Other"},{"id":4,"name":"Milepost","value":"2.1486"},{"id":17,"name":"Train ID","value":"906-14"},{"id":16,"name":"Locomotive ID","value":"4023"},{"id":130,"name":"Impact","value":""},{"id":150,"name":"Time of Event (Mountain Time)","value":"19:17:08"},{"id":151,"name":"Denver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5"/>
        <v>start /low /b %USERPROFILE%\Documents\GitHub\eaglep3\Utilities\DownloadLogsFromS3.py --loco 4023 --day 2017-03-14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"%USERPROFILE%\AppData\Local\Temp\OnboardLogs"\RTDC4023\*4023*20170315* | grep -SE "(Enforcement Action)|(\[TIMEOUT)|(CHR.+\|PRM\|1\|D.+(SWITCH|SIGNAL).+UNKNOWN)" - &gt;&gt; 2017-03-14-UncaughtWiMAX.txt</v>
      </c>
    </row>
    <row r="230" spans="1:40" x14ac:dyDescent="0.25">
      <c r="A230" s="33" t="s">
        <v>792</v>
      </c>
      <c r="B230" s="7">
        <v>4012</v>
      </c>
      <c r="C230" s="21" t="s">
        <v>233</v>
      </c>
      <c r="D230" s="21" t="s">
        <v>1010</v>
      </c>
      <c r="E230" s="13">
        <v>42808.942546296297</v>
      </c>
      <c r="F230" s="13">
        <v>42808.943379629629</v>
      </c>
      <c r="G230" s="7">
        <v>1</v>
      </c>
      <c r="H230" s="21" t="s">
        <v>1011</v>
      </c>
      <c r="I230" s="13">
        <v>42808.948854166665</v>
      </c>
      <c r="J230" s="7">
        <v>0</v>
      </c>
      <c r="K230" s="98" t="str">
        <f t="shared" si="72"/>
        <v>4011/4012</v>
      </c>
      <c r="L230" s="21" t="str">
        <f>VLOOKUP(A230,'Trips&amp;Operators'!$C$1:$G$99999,5,FALSE)</f>
        <v>SWANSON BRYCE</v>
      </c>
      <c r="M230" s="6">
        <f t="shared" si="73"/>
        <v>5.4745370362070389E-3</v>
      </c>
      <c r="N230" s="7">
        <f t="shared" si="87"/>
        <v>7.883333332138136</v>
      </c>
      <c r="O230" s="7"/>
      <c r="P230" s="7"/>
      <c r="Q230" s="22"/>
      <c r="R230" s="22"/>
      <c r="S230" s="31">
        <f t="shared" si="88"/>
        <v>0</v>
      </c>
      <c r="T230" s="46" t="str">
        <f t="shared" si="74"/>
        <v>Southbound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5"/>
        <v>https://d0f6bd738d7f1b3e5a7ca70fe4ff75f0.us-east-1.aws.found.io/app/kibana#/discover/Steve-Slow-Train-Analysis-(2080s-and-2083s)?_g=(refreshInterval:(display:Off,pause:!f,section:0,value:0),time:(from:'2017-03-14T21:37:16-0600',mode:absolute,to:'2017-03-14T23:46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0" s="187" t="str">
        <f t="shared" si="76"/>
        <v>Y</v>
      </c>
      <c r="X230" s="187">
        <f t="shared" si="71"/>
        <v>2</v>
      </c>
      <c r="Y230" s="62">
        <f t="shared" si="77"/>
        <v>5.8601999999999999</v>
      </c>
      <c r="Z230" s="62">
        <f t="shared" si="86"/>
        <v>2.1373000000000002</v>
      </c>
      <c r="AA230" s="62">
        <f t="shared" si="78"/>
        <v>3.7228999999999997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9"/>
        <v>0908-14</v>
      </c>
      <c r="AE230" s="85" t="str">
        <f t="shared" si="80"/>
        <v>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 &amp; 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</v>
      </c>
      <c r="AF230" s="82" t="str">
        <f t="shared" si="81"/>
        <v>"C:\Program Files (x86)\AstroGrep\AstroGrep.exe" /e /r /s /spath="%USERPROFILE%\AppData\Local\Temp\OnboardLogs" /stypes="app*4012*20170315*" /stext=" 04:.+((SYSTEM_STATE.+slice.+state.+changed )|(ment ac)|(multiple cpu faults)|(system.+state.+changed )|(\[timeout)|(PRM\|1\|D)|(kpr)|(kdp)|(\|lc)|(penalty))"</v>
      </c>
      <c r="AG230" s="1" t="str">
        <f t="shared" si="82"/>
        <v>Other</v>
      </c>
      <c r="AH230" s="86" t="str">
        <f t="shared" si="83"/>
        <v>"%USERPROFILE%\Documents\GitHub\eaglep3\Utilities\RefineRTDCRunTimes.py" --tripid 908-14 --locoid 4012 --swversion DE.1.0.9.0 --startMP 300:58602 --initTime 2017-03-14T22:37:16 --startdatetime 2017-03-14T22:38:28 --delay 1 --endMP 300:21373 --enddatetime 2017-03-14T22:46:21 --enforcementcount 0 &gt;&gt;C:\Users\stu\Documents\GitHub\eaglep3-reporting\EC\2017-03-14-refined-times.txt</v>
      </c>
      <c r="AI230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{"issue":{"subject":"","project_id":79,"tracker_id":40,"status_id":1,"priority_id":2,"assigned_to_id":23,"start_date":"2017-03-14","description":"","custom_fields":[{"id":1,"name":"Subdivision","value":"Other"},{"id":4,"name":"Milepost","value":"2.1373"},{"id":17,"name":"Train ID","value":"908-14"},{"id":16,"name":"Locomotive ID","value":"4012"},{"id":130,"name":"Impact","value":""},{"id":150,"name":"Time of Event (Mountain Time)","value":"22:46:21"},{"id":151,"name":"Denver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5"/>
        <v>start /low /b %USERPROFILE%\Documents\GitHub\eaglep3\Utilities\DownloadLogsFromS3.py --loco 4012 --day 2017-03-14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2017-03-14-UncaughtWiMAX.txt</v>
      </c>
    </row>
    <row r="231" spans="1:40" x14ac:dyDescent="0.25">
      <c r="A231" s="33" t="s">
        <v>568</v>
      </c>
      <c r="B231" s="7">
        <v>4023</v>
      </c>
      <c r="C231" s="21" t="s">
        <v>233</v>
      </c>
      <c r="D231" s="21" t="s">
        <v>903</v>
      </c>
      <c r="E231" s="13">
        <v>42808.372743055559</v>
      </c>
      <c r="F231" s="13">
        <v>42808.375960648147</v>
      </c>
      <c r="G231" s="7">
        <v>4</v>
      </c>
      <c r="H231" s="21" t="s">
        <v>904</v>
      </c>
      <c r="I231" s="13">
        <v>42808.382141203707</v>
      </c>
      <c r="J231" s="7">
        <v>0</v>
      </c>
      <c r="K231" s="98" t="str">
        <f t="shared" si="72"/>
        <v>4023/4024</v>
      </c>
      <c r="L231" s="21" t="str">
        <f>VLOOKUP(A231,'Trips&amp;Operators'!$C$1:$G$99999,5,FALSE)</f>
        <v>ARNOLD PAUL</v>
      </c>
      <c r="M231" s="6">
        <f t="shared" si="73"/>
        <v>6.180555559694767E-3</v>
      </c>
      <c r="N231" s="7">
        <f t="shared" si="87"/>
        <v>8.9000000059604645</v>
      </c>
      <c r="O231" s="7"/>
      <c r="P231" s="7"/>
      <c r="Q231" s="22"/>
      <c r="R231" s="22"/>
      <c r="S231" s="31">
        <f t="shared" si="88"/>
        <v>0</v>
      </c>
      <c r="T231" s="46" t="e">
        <f t="shared" si="74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5"/>
        <v>https://d0f6bd738d7f1b3e5a7ca70fe4ff75f0.us-east-1.aws.found.io/app/kibana#/discover/Steve-Slow-Train-Analysis-(2080s-and-2083s)?_g=(refreshInterval:(display:Off,pause:!f,section:0,value:0),time:(from:'2017-03-14T07:56:45-0600',mode:absolute,to:'2017-03-14T10:10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1" s="187" t="str">
        <f t="shared" si="76"/>
        <v>Y</v>
      </c>
      <c r="X231" s="187" t="e">
        <f t="shared" ref="X231:X262" si="89">VALUE(LEFT(AD231,4))-VALUE(LEFT(AD230,4))</f>
        <v>#VALUE!</v>
      </c>
      <c r="Y231" s="62">
        <f t="shared" si="77"/>
        <v>2.3224</v>
      </c>
      <c r="Z231" s="62">
        <f t="shared" si="86"/>
        <v>8.9700000000000002E-2</v>
      </c>
      <c r="AA231" s="62">
        <f t="shared" si="78"/>
        <v>2.2326999999999999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9"/>
        <v>50-14</v>
      </c>
      <c r="AE231" s="85" t="str">
        <f t="shared" si="80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231" s="82" t="str">
        <f t="shared" si="81"/>
        <v>"C:\Program Files (x86)\AstroGrep\AstroGrep.exe" /e /r /s /spath="%USERPROFILE%\AppData\Local\Temp\OnboardLogs" /stypes="app*4023*20170314*" /stext=" 15:.+((SYSTEM_STATE.+slice.+state.+changed )|(ment ac)|(multiple cpu faults)|(system.+state.+changed )|(\[timeout)|(PRM\|1\|D)|(kpr)|(kdp)|(\|lc)|(penalty))"</v>
      </c>
      <c r="AG231" s="1" t="str">
        <f t="shared" si="82"/>
        <v>Other</v>
      </c>
      <c r="AH231" s="86" t="str">
        <f t="shared" si="83"/>
        <v>"%USERPROFILE%\Documents\GitHub\eaglep3\Utilities\RefineRTDCRunTimes.py" --tripid 50-14 --locoid 4023 --swversion DE.1.0.9.0 --startMP 300:23224 --initTime 2017-03-14T08:56:45 --startdatetime 2017-03-14T09:01:23 --delay 4 --endMP 204:897 --enddatetime 2017-03-14T09:10:17 --enforcementcount 0 &gt;&gt;C:\Users\stu\Documents\GitHub\eaglep3-reporting\EC\2017-03-14-refined-times.txt</v>
      </c>
      <c r="AI231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{"issue":{"subject":"","project_id":79,"tracker_id":40,"status_id":1,"priority_id":2,"assigned_to_id":23,"start_date":"2017-03-14","description":"","custom_fields":[{"id":1,"name":"Subdivision","value":"Other"},{"id":4,"name":"Milepost","value":"0.0897"},{"id":17,"name":"Train ID","value":"50-14"},{"id":16,"name":"Locomotive ID","value":"4023"},{"id":130,"name":"Impact","value":""},{"id":150,"name":"Time of Event (Mountain Time)","value":"09:10:17"},{"id":151,"name":"Denver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5"/>
        <v>start /low /b %USERPROFILE%\Documents\GitHub\eaglep3\Utilities\DownloadLogsFromS3.py --loco 4023 --day 2017-03-14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232" spans="1:40" x14ac:dyDescent="0.25">
      <c r="A232" s="33" t="s">
        <v>568</v>
      </c>
      <c r="B232" s="7">
        <v>4023</v>
      </c>
      <c r="C232" s="21" t="s">
        <v>233</v>
      </c>
      <c r="D232" s="21" t="s">
        <v>905</v>
      </c>
      <c r="E232" s="13">
        <v>42808.488935185182</v>
      </c>
      <c r="F232" s="13">
        <v>42808.49046296296</v>
      </c>
      <c r="G232" s="7">
        <v>2</v>
      </c>
      <c r="H232" s="21" t="s">
        <v>906</v>
      </c>
      <c r="I232" s="13">
        <v>42808.527326388888</v>
      </c>
      <c r="J232" s="7">
        <v>0</v>
      </c>
      <c r="K232" s="98" t="str">
        <f t="shared" si="72"/>
        <v>4023/4024</v>
      </c>
      <c r="L232" s="21" t="str">
        <f>VLOOKUP(A232,'Trips&amp;Operators'!$C$1:$G$99999,5,FALSE)</f>
        <v>ARNOLD PAUL</v>
      </c>
      <c r="M232" s="6">
        <f t="shared" si="73"/>
        <v>3.6863425928459037E-2</v>
      </c>
      <c r="N232" s="7">
        <f t="shared" si="87"/>
        <v>53.083333336981013</v>
      </c>
      <c r="O232" s="7"/>
      <c r="P232" s="7"/>
      <c r="Q232" s="22"/>
      <c r="R232" s="22"/>
      <c r="S232" s="31">
        <f t="shared" si="88"/>
        <v>0</v>
      </c>
      <c r="T232" s="46" t="e">
        <f t="shared" si="74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5"/>
        <v>https://d0f6bd738d7f1b3e5a7ca70fe4ff75f0.us-east-1.aws.found.io/app/kibana#/discover/Steve-Slow-Train-Analysis-(2080s-and-2083s)?_g=(refreshInterval:(display:Off,pause:!f,section:0,value:0),time:(from:'2017-03-14T10:44:04-0600',mode:absolute,to:'2017-03-14T13:39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2" s="187" t="str">
        <f t="shared" si="76"/>
        <v>Y</v>
      </c>
      <c r="X232" s="187" t="e">
        <f t="shared" si="89"/>
        <v>#VALUE!</v>
      </c>
      <c r="Y232" s="62">
        <f t="shared" si="77"/>
        <v>3.8959999999999999</v>
      </c>
      <c r="Z232" s="62">
        <f t="shared" si="86"/>
        <v>9.8199999999999996E-2</v>
      </c>
      <c r="AA232" s="62">
        <f t="shared" si="78"/>
        <v>3.7978000000000001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9"/>
        <v>50-14</v>
      </c>
      <c r="AE232" s="85" t="str">
        <f t="shared" si="80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232" s="82" t="str">
        <f t="shared" si="81"/>
        <v>"C:\Program Files (x86)\AstroGrep\AstroGrep.exe" /e /r /s /spath="%USERPROFILE%\AppData\Local\Temp\OnboardLogs" /stypes="app*4023*20170314*" /stext=" 18:.+((SYSTEM_STATE.+slice.+state.+changed )|(ment ac)|(multiple cpu faults)|(system.+state.+changed )|(\[timeout)|(PRM\|1\|D)|(kpr)|(kdp)|(\|lc)|(penalty))"</v>
      </c>
      <c r="AG232" s="1" t="str">
        <f t="shared" si="82"/>
        <v>Other</v>
      </c>
      <c r="AH232" s="86" t="str">
        <f t="shared" si="83"/>
        <v>"%USERPROFILE%\Documents\GitHub\eaglep3\Utilities\RefineRTDCRunTimes.py" --tripid 50-14 --locoid 4023 --swversion DE.1.0.9.0 --startMP 300:38960 --initTime 2017-03-14T11:44:04 --startdatetime 2017-03-14T11:46:16 --delay 2 --endMP 204:982 --enddatetime 2017-03-14T12:39:21 --enforcementcount 0 &gt;&gt;C:\Users\stu\Documents\GitHub\eaglep3-reporting\EC\2017-03-14-refined-times.txt</v>
      </c>
      <c r="AI232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{"issue":{"subject":"","project_id":79,"tracker_id":40,"status_id":1,"priority_id":2,"assigned_to_id":23,"start_date":"2017-03-14","description":"","custom_fields":[{"id":1,"name":"Subdivision","value":"Other"},{"id":4,"name":"Milepost","value":"0.0982"},{"id":17,"name":"Train ID","value":"50-14"},{"id":16,"name":"Locomotive ID","value":"4023"},{"id":130,"name":"Impact","value":""},{"id":150,"name":"Time of Event (Mountain Time)","value":"12:39:21"},{"id":151,"name":"Denver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5"/>
        <v>start /low /b %USERPROFILE%\Documents\GitHub\eaglep3\Utilities\DownloadLogsFromS3.py --loco 4023 --day 2017-03-14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233" spans="1:40" x14ac:dyDescent="0.25">
      <c r="A233" s="33" t="s">
        <v>568</v>
      </c>
      <c r="B233" s="7">
        <v>4023</v>
      </c>
      <c r="C233" s="21" t="s">
        <v>233</v>
      </c>
      <c r="D233" s="21" t="s">
        <v>907</v>
      </c>
      <c r="E233" s="13">
        <v>42808.400856481479</v>
      </c>
      <c r="F233" s="13">
        <v>42808.403958333336</v>
      </c>
      <c r="G233" s="7">
        <v>4</v>
      </c>
      <c r="H233" s="21" t="s">
        <v>908</v>
      </c>
      <c r="I233" s="13">
        <v>42808.417256944442</v>
      </c>
      <c r="J233" s="7">
        <v>0</v>
      </c>
      <c r="K233" s="98" t="str">
        <f t="shared" si="72"/>
        <v>4023/4024</v>
      </c>
      <c r="L233" s="21" t="str">
        <f>VLOOKUP(A233,'Trips&amp;Operators'!$C$1:$G$99999,5,FALSE)</f>
        <v>ARNOLD PAUL</v>
      </c>
      <c r="M233" s="6">
        <f t="shared" si="73"/>
        <v>1.3298611105710734E-2</v>
      </c>
      <c r="N233" s="7">
        <f t="shared" si="87"/>
        <v>19.149999992223457</v>
      </c>
      <c r="O233" s="7"/>
      <c r="P233" s="7"/>
      <c r="Q233" s="22"/>
      <c r="R233" s="22"/>
      <c r="S233" s="31">
        <f t="shared" si="88"/>
        <v>0</v>
      </c>
      <c r="T233" s="46" t="e">
        <f t="shared" si="74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5"/>
        <v>https://d0f6bd738d7f1b3e5a7ca70fe4ff75f0.us-east-1.aws.found.io/app/kibana#/discover/Steve-Slow-Train-Analysis-(2080s-and-2083s)?_g=(refreshInterval:(display:Off,pause:!f,section:0,value:0),time:(from:'2017-03-14T08:37:14-0600',mode:absolute,to:'2017-03-14T11:00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3" s="187" t="str">
        <f t="shared" si="76"/>
        <v>Y</v>
      </c>
      <c r="X233" s="187" t="e">
        <f t="shared" si="89"/>
        <v>#VALUE!</v>
      </c>
      <c r="Y233" s="62">
        <f t="shared" si="77"/>
        <v>3.911</v>
      </c>
      <c r="Z233" s="62">
        <f t="shared" si="86"/>
        <v>9.4500000000000001E-2</v>
      </c>
      <c r="AA233" s="62">
        <f t="shared" si="78"/>
        <v>3.8165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9"/>
        <v>50-14</v>
      </c>
      <c r="AE233" s="85" t="str">
        <f t="shared" si="80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233" s="82" t="str">
        <f t="shared" si="81"/>
        <v>"C:\Program Files (x86)\AstroGrep\AstroGrep.exe" /e /r /s /spath="%USERPROFILE%\AppData\Local\Temp\OnboardLogs" /stypes="app*4023*20170314*" /stext=" 16:.+((SYSTEM_STATE.+slice.+state.+changed )|(ment ac)|(multiple cpu faults)|(system.+state.+changed )|(\[timeout)|(PRM\|1\|D)|(kpr)|(kdp)|(\|lc)|(penalty))"</v>
      </c>
      <c r="AG233" s="1" t="str">
        <f t="shared" si="82"/>
        <v>Other</v>
      </c>
      <c r="AH233" s="86" t="str">
        <f t="shared" si="83"/>
        <v>"%USERPROFILE%\Documents\GitHub\eaglep3\Utilities\RefineRTDCRunTimes.py" --tripid 50-14 --locoid 4023 --swversion DE.1.0.9.0 --startMP 300:39110 --initTime 2017-03-14T09:37:14 --startdatetime 2017-03-14T09:41:42 --delay 4 --endMP 204:945 --enddatetime 2017-03-14T10:00:51 --enforcementcount 0 &gt;&gt;C:\Users\stu\Documents\GitHub\eaglep3-reporting\EC\2017-03-14-refined-times.txt</v>
      </c>
      <c r="AI233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{"issue":{"subject":"","project_id":79,"tracker_id":40,"status_id":1,"priority_id":2,"assigned_to_id":23,"start_date":"2017-03-14","description":"","custom_fields":[{"id":1,"name":"Subdivision","value":"Other"},{"id":4,"name":"Milepost","value":"0.0945"},{"id":17,"name":"Train ID","value":"50-14"},{"id":16,"name":"Locomotive ID","value":"4023"},{"id":130,"name":"Impact","value":""},{"id":150,"name":"Time of Event (Mountain Time)","value":"10:00:51"},{"id":151,"name":"Denver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5"/>
        <v>start /low /b %USERPROFILE%\Documents\GitHub\eaglep3\Utilities\DownloadLogsFromS3.py --loco 4023 --day 2017-03-14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234" spans="1:40" x14ac:dyDescent="0.25">
      <c r="A234" s="33" t="s">
        <v>568</v>
      </c>
      <c r="B234" s="7">
        <v>4023</v>
      </c>
      <c r="C234" s="21" t="s">
        <v>233</v>
      </c>
      <c r="D234" s="21" t="s">
        <v>909</v>
      </c>
      <c r="E234" s="13">
        <v>42808.562222222223</v>
      </c>
      <c r="F234" s="13">
        <v>42808.563263888886</v>
      </c>
      <c r="G234" s="7">
        <v>1</v>
      </c>
      <c r="H234" s="21" t="s">
        <v>910</v>
      </c>
      <c r="I234" s="13">
        <v>42808.575219907405</v>
      </c>
      <c r="J234" s="7">
        <v>0</v>
      </c>
      <c r="K234" s="98" t="str">
        <f t="shared" si="72"/>
        <v>4023/4024</v>
      </c>
      <c r="L234" s="21" t="str">
        <f>VLOOKUP(A234,'Trips&amp;Operators'!$C$1:$G$99999,5,FALSE)</f>
        <v>ARNOLD PAUL</v>
      </c>
      <c r="M234" s="6">
        <f t="shared" si="73"/>
        <v>1.1956018519413192E-2</v>
      </c>
      <c r="N234" s="7">
        <f t="shared" si="87"/>
        <v>17.216666667954996</v>
      </c>
      <c r="O234" s="7"/>
      <c r="P234" s="7"/>
      <c r="Q234" s="22"/>
      <c r="R234" s="22"/>
      <c r="S234" s="31">
        <f t="shared" si="88"/>
        <v>0</v>
      </c>
      <c r="T234" s="46" t="e">
        <f t="shared" si="74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5"/>
        <v>https://d0f6bd738d7f1b3e5a7ca70fe4ff75f0.us-east-1.aws.found.io/app/kibana#/discover/Steve-Slow-Train-Analysis-(2080s-and-2083s)?_g=(refreshInterval:(display:Off,pause:!f,section:0,value:0),time:(from:'2017-03-14T12:29:36-0600',mode:absolute,to:'2017-03-14T14:48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4" s="187" t="str">
        <f t="shared" si="76"/>
        <v>Y</v>
      </c>
      <c r="X234" s="187" t="e">
        <f t="shared" si="89"/>
        <v>#VALUE!</v>
      </c>
      <c r="Y234" s="62">
        <f t="shared" si="77"/>
        <v>3.9237000000000002</v>
      </c>
      <c r="Z234" s="62">
        <f t="shared" si="86"/>
        <v>0.1071</v>
      </c>
      <c r="AA234" s="62">
        <f t="shared" si="78"/>
        <v>3.8166000000000002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9"/>
        <v>50-14</v>
      </c>
      <c r="AE234" s="85" t="str">
        <f t="shared" si="80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234" s="82" t="str">
        <f t="shared" si="81"/>
        <v>"C:\Program Files (x86)\AstroGrep\AstroGrep.exe" /e /r /s /spath="%USERPROFILE%\AppData\Local\Temp\OnboardLogs" /stypes="app*4023*20170314*" /stext=" 19:.+((SYSTEM_STATE.+slice.+state.+changed )|(ment ac)|(multiple cpu faults)|(system.+state.+changed )|(\[timeout)|(PRM\|1\|D)|(kpr)|(kdp)|(\|lc)|(penalty))"</v>
      </c>
      <c r="AG234" s="1" t="str">
        <f t="shared" si="82"/>
        <v>Other</v>
      </c>
      <c r="AH234" s="86" t="str">
        <f t="shared" si="83"/>
        <v>"%USERPROFILE%\Documents\GitHub\eaglep3\Utilities\RefineRTDCRunTimes.py" --tripid 50-14 --locoid 4023 --swversion DE.1.0.9.0 --startMP 300:39237 --initTime 2017-03-14T13:29:36 --startdatetime 2017-03-14T13:31:06 --delay 1 --endMP 204:1071 --enddatetime 2017-03-14T13:48:19 --enforcementcount 0 &gt;&gt;C:\Users\stu\Documents\GitHub\eaglep3-reporting\EC\2017-03-14-refined-times.txt</v>
      </c>
      <c r="AI234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{"issue":{"subject":"","project_id":79,"tracker_id":40,"status_id":1,"priority_id":2,"assigned_to_id":23,"start_date":"2017-03-14","description":"","custom_fields":[{"id":1,"name":"Subdivision","value":"Other"},{"id":4,"name":"Milepost","value":"0.1071"},{"id":17,"name":"Train ID","value":"50-14"},{"id":16,"name":"Locomotive ID","value":"4023"},{"id":130,"name":"Impact","value":""},{"id":150,"name":"Time of Event (Mountain Time)","value":"13:48:19"},{"id":151,"name":"Denver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85"/>
        <v>start /low /b %USERPROFILE%\Documents\GitHub\eaglep3\Utilities\DownloadLogsFromS3.py --loco 4023 --day 2017-03-14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235" spans="1:40" x14ac:dyDescent="0.25">
      <c r="A235" s="33" t="s">
        <v>568</v>
      </c>
      <c r="B235" s="7">
        <v>4023</v>
      </c>
      <c r="C235" s="21" t="s">
        <v>233</v>
      </c>
      <c r="D235" s="21" t="s">
        <v>911</v>
      </c>
      <c r="E235" s="13">
        <v>42808.431967592594</v>
      </c>
      <c r="F235" s="13">
        <v>42808.433182870373</v>
      </c>
      <c r="G235" s="7">
        <v>1</v>
      </c>
      <c r="H235" s="21" t="s">
        <v>912</v>
      </c>
      <c r="I235" s="13">
        <v>42808.441516203704</v>
      </c>
      <c r="J235" s="7">
        <v>0</v>
      </c>
      <c r="K235" s="98" t="str">
        <f t="shared" si="72"/>
        <v>4023/4024</v>
      </c>
      <c r="L235" s="21" t="str">
        <f>VLOOKUP(A235,'Trips&amp;Operators'!$C$1:$G$99999,5,FALSE)</f>
        <v>ARNOLD PAUL</v>
      </c>
      <c r="M235" s="6">
        <f t="shared" si="73"/>
        <v>8.333333331393078E-3</v>
      </c>
      <c r="N235" s="7">
        <f t="shared" si="87"/>
        <v>11.999999997206032</v>
      </c>
      <c r="O235" s="7"/>
      <c r="P235" s="7"/>
      <c r="Q235" s="22"/>
      <c r="R235" s="22"/>
      <c r="S235" s="31">
        <f t="shared" si="88"/>
        <v>0</v>
      </c>
      <c r="T235" s="46" t="e">
        <f t="shared" si="74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75"/>
        <v>https://d0f6bd738d7f1b3e5a7ca70fe4ff75f0.us-east-1.aws.found.io/app/kibana#/discover/Steve-Slow-Train-Analysis-(2080s-and-2083s)?_g=(refreshInterval:(display:Off,pause:!f,section:0,value:0),time:(from:'2017-03-14T09:22:02-0600',mode:absolute,to:'2017-03-14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5" s="187" t="str">
        <f t="shared" si="76"/>
        <v>Y</v>
      </c>
      <c r="X235" s="187" t="e">
        <f t="shared" si="89"/>
        <v>#VALUE!</v>
      </c>
      <c r="Y235" s="62">
        <f t="shared" si="77"/>
        <v>4.2046000000000001</v>
      </c>
      <c r="Z235" s="62">
        <f t="shared" si="86"/>
        <v>9.8400000000000001E-2</v>
      </c>
      <c r="AA235" s="62">
        <f t="shared" si="78"/>
        <v>4.1062000000000003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9"/>
        <v>50-14</v>
      </c>
      <c r="AE235" s="85" t="str">
        <f t="shared" si="80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235" s="82" t="str">
        <f t="shared" si="81"/>
        <v>"C:\Program Files (x86)\AstroGrep\AstroGrep.exe" /e /r /s /spath="%USERPROFILE%\AppData\Local\Temp\OnboardLogs" /stypes="app*4023*20170314*" /stext=" 16:.+((SYSTEM_STATE.+slice.+state.+changed )|(ment ac)|(multiple cpu faults)|(system.+state.+changed )|(\[timeout)|(PRM\|1\|D)|(kpr)|(kdp)|(\|lc)|(penalty))"</v>
      </c>
      <c r="AG235" s="1" t="str">
        <f t="shared" si="82"/>
        <v>Other</v>
      </c>
      <c r="AH235" s="86" t="str">
        <f t="shared" si="83"/>
        <v>"%USERPROFILE%\Documents\GitHub\eaglep3\Utilities\RefineRTDCRunTimes.py" --tripid 50-14 --locoid 4023 --swversion DE.1.0.9.0 --startMP 300:42046 --initTime 2017-03-14T10:22:02 --startdatetime 2017-03-14T10:23:47 --delay 1 --endMP 204:984 --enddatetime 2017-03-14T10:35:47 --enforcementcount 0 &gt;&gt;C:\Users\stu\Documents\GitHub\eaglep3-reporting\EC\2017-03-14-refined-times.txt</v>
      </c>
      <c r="AI235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{"issue":{"subject":"","project_id":79,"tracker_id":40,"status_id":1,"priority_id":2,"assigned_to_id":23,"start_date":"2017-03-14","description":"","custom_fields":[{"id":1,"name":"Subdivision","value":"Other"},{"id":4,"name":"Milepost","value":"0.0984"},{"id":17,"name":"Train ID","value":"50-14"},{"id":16,"name":"Locomotive ID","value":"4023"},{"id":130,"name":"Impact","value":""},{"id":150,"name":"Time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85"/>
        <v>start /low /b %USERPROFILE%\Documents\GitHub\eaglep3\Utilities\DownloadLogsFromS3.py --loco 4023 --day 2017-03-14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236" spans="1:40" x14ac:dyDescent="0.25">
      <c r="A236" s="33" t="s">
        <v>568</v>
      </c>
      <c r="B236" s="7">
        <v>4023</v>
      </c>
      <c r="C236" s="21" t="s">
        <v>233</v>
      </c>
      <c r="D236" s="21" t="s">
        <v>913</v>
      </c>
      <c r="E236" s="13">
        <v>42808.455937500003</v>
      </c>
      <c r="F236" s="13">
        <v>42808.45684027778</v>
      </c>
      <c r="G236" s="7">
        <v>1</v>
      </c>
      <c r="H236" s="21" t="s">
        <v>914</v>
      </c>
      <c r="I236" s="13">
        <v>42808.470532407409</v>
      </c>
      <c r="J236" s="7">
        <v>0</v>
      </c>
      <c r="K236" s="98" t="str">
        <f t="shared" si="72"/>
        <v>4023/4024</v>
      </c>
      <c r="L236" s="21" t="str">
        <f>VLOOKUP(A236,'Trips&amp;Operators'!$C$1:$G$99999,5,FALSE)</f>
        <v>ARNOLD PAUL</v>
      </c>
      <c r="M236" s="6">
        <f t="shared" si="73"/>
        <v>1.3692129628907423E-2</v>
      </c>
      <c r="N236" s="7">
        <f t="shared" si="87"/>
        <v>19.71666666562669</v>
      </c>
      <c r="O236" s="7"/>
      <c r="P236" s="7"/>
      <c r="Q236" s="22"/>
      <c r="R236" s="22"/>
      <c r="S236" s="31">
        <f t="shared" si="88"/>
        <v>0</v>
      </c>
      <c r="T236" s="46" t="e">
        <f t="shared" si="74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75"/>
        <v>https://d0f6bd738d7f1b3e5a7ca70fe4ff75f0.us-east-1.aws.found.io/app/kibana#/discover/Steve-Slow-Train-Analysis-(2080s-and-2083s)?_g=(refreshInterval:(display:Off,pause:!f,section:0,value:0),time:(from:'2017-03-14T09:56:33-0600',mode:absolute,to:'2017-03-14T12:17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6" s="187" t="str">
        <f t="shared" si="76"/>
        <v>Y</v>
      </c>
      <c r="X236" s="187" t="e">
        <f t="shared" si="89"/>
        <v>#VALUE!</v>
      </c>
      <c r="Y236" s="62">
        <f t="shared" si="77"/>
        <v>4.2168999999999999</v>
      </c>
      <c r="Z236" s="62">
        <f t="shared" si="86"/>
        <v>3.9E-2</v>
      </c>
      <c r="AA236" s="62">
        <f t="shared" si="78"/>
        <v>4.1779000000000002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79"/>
        <v>50-14</v>
      </c>
      <c r="AE236" s="85" t="str">
        <f t="shared" si="80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236" s="82" t="str">
        <f t="shared" si="81"/>
        <v>"C:\Program Files (x86)\AstroGrep\AstroGrep.exe" /e /r /s /spath="%USERPROFILE%\AppData\Local\Temp\OnboardLogs" /stypes="app*4023*20170314*" /stext=" 17:.+((SYSTEM_STATE.+slice.+state.+changed )|(ment ac)|(multiple cpu faults)|(system.+state.+changed )|(\[timeout)|(PRM\|1\|D)|(kpr)|(kdp)|(\|lc)|(penalty))"</v>
      </c>
      <c r="AG236" s="1" t="str">
        <f t="shared" si="82"/>
        <v>Other</v>
      </c>
      <c r="AH236" s="86" t="str">
        <f t="shared" si="83"/>
        <v>"%USERPROFILE%\Documents\GitHub\eaglep3\Utilities\RefineRTDCRunTimes.py" --tripid 50-14 --locoid 4023 --swversion DE.1.0.9.0 --startMP 300:42169 --initTime 2017-03-14T10:56:33 --startdatetime 2017-03-14T10:57:51 --delay 1 --endMP 204:390 --enddatetime 2017-03-14T11:17:34 --enforcementcount 0 &gt;&gt;C:\Users\stu\Documents\GitHub\eaglep3-reporting\EC\2017-03-14-refined-times.txt</v>
      </c>
      <c r="AI236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{"issue":{"subject":"","project_id":79,"tracker_id":40,"status_id":1,"priority_id":2,"assigned_to_id":23,"start_date":"2017-03-14","description":"","custom_fields":[{"id":1,"name":"Subdivision","value":"Other"},{"id":4,"name":"Milepost","value":"0.039"},{"id":17,"name":"Train ID","value":"50-14"},{"id":16,"name":"Locomotive ID","value":"4023"},{"id":130,"name":"Impact","value":""},{"id":150,"name":"Time of Event (Mountain Time)","value":"11:17:34"},{"id":151,"name":"Denver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85"/>
        <v>start /low /b %USERPROFILE%\Documents\GitHub\eaglep3\Utilities\DownloadLogsFromS3.py --loco 4023 --day 2017-03-14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237" spans="1:40" x14ac:dyDescent="0.25">
      <c r="A237" s="33" t="s">
        <v>568</v>
      </c>
      <c r="B237" s="7">
        <v>4023</v>
      </c>
      <c r="C237" s="21" t="s">
        <v>233</v>
      </c>
      <c r="D237" s="21" t="s">
        <v>915</v>
      </c>
      <c r="E237" s="13">
        <v>42808.538912037038</v>
      </c>
      <c r="F237" s="13">
        <v>42808.539884259262</v>
      </c>
      <c r="G237" s="7">
        <v>1</v>
      </c>
      <c r="H237" s="21" t="s">
        <v>555</v>
      </c>
      <c r="I237" s="13">
        <v>42808.548576388886</v>
      </c>
      <c r="J237" s="7">
        <v>0</v>
      </c>
      <c r="K237" s="98" t="str">
        <f t="shared" si="72"/>
        <v>4023/4024</v>
      </c>
      <c r="L237" s="21" t="str">
        <f>VLOOKUP(A237,'Trips&amp;Operators'!$C$1:$G$99999,5,FALSE)</f>
        <v>ARNOLD PAUL</v>
      </c>
      <c r="M237" s="6">
        <f t="shared" si="73"/>
        <v>8.6921296242508106E-3</v>
      </c>
      <c r="N237" s="7">
        <f t="shared" si="87"/>
        <v>12.516666658921167</v>
      </c>
      <c r="O237" s="7"/>
      <c r="P237" s="7"/>
      <c r="Q237" s="22"/>
      <c r="R237" s="22"/>
      <c r="S237" s="31">
        <f t="shared" si="88"/>
        <v>0</v>
      </c>
      <c r="T237" s="46" t="e">
        <f t="shared" si="74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75"/>
        <v>https://d0f6bd738d7f1b3e5a7ca70fe4ff75f0.us-east-1.aws.found.io/app/kibana#/discover/Steve-Slow-Train-Analysis-(2080s-and-2083s)?_g=(refreshInterval:(display:Off,pause:!f,section:0,value:0),time:(from:'2017-03-14T11:56:02-0600',mode:absolute,to:'2017-03-14T14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7" s="187" t="str">
        <f t="shared" si="76"/>
        <v>Y</v>
      </c>
      <c r="X237" s="187" t="e">
        <f t="shared" si="89"/>
        <v>#VALUE!</v>
      </c>
      <c r="Y237" s="62">
        <f t="shared" si="77"/>
        <v>4.2510000000000003</v>
      </c>
      <c r="Z237" s="62">
        <f t="shared" si="86"/>
        <v>9.5799999999999996E-2</v>
      </c>
      <c r="AA237" s="62">
        <f t="shared" si="78"/>
        <v>4.1552000000000007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79"/>
        <v>50-14</v>
      </c>
      <c r="AE237" s="85" t="str">
        <f t="shared" si="80"/>
        <v>aws s3 cp s3://rtdc.mdm.uploadarchive.raw/RTDC4023/ "%USERPROFILE%\AppData\Local\Temp\OnboardLogs"\RTDC4023\2017-03-14 --exclude "*" --recursive --include "*20170314*" &amp; "%USERPROFILE%\Documents\GitHub\mrs-test-scripts\Headless Mode &amp; Sideloading\WalkAndUnGZ.bat" "%USERPROFILE%\AppData\Local\Temp\OnboardLogs"\RTDC4023\2017-03-14 &amp; aws s3 cp s3://rtdc.mdm.uploadarchive.raw/RTDC4023/ "%USERPROFILE%\AppData\Local\Temp\OnboardLogs"\RTDC4023\2017-03-15 --exclude "*" --recursive --include "*20170315*" &amp; "%USERPROFILE%\Documents\GitHub\mrs-test-scripts\Headless Mode &amp; Sideloading\WalkAndUnGZ.bat" "%USERPROFILE%\AppData\Local\Temp\OnboardLogs"\RTDC4023\2017-03-15</v>
      </c>
      <c r="AF237" s="82" t="str">
        <f t="shared" si="81"/>
        <v>"C:\Program Files (x86)\AstroGrep\AstroGrep.exe" /e /r /s /spath="%USERPROFILE%\AppData\Local\Temp\OnboardLogs" /stypes="app*4023*20170314*" /stext=" 19:.+((SYSTEM_STATE.+slice.+state.+changed )|(ment ac)|(multiple cpu faults)|(system.+state.+changed )|(\[timeout)|(PRM\|1\|D)|(kpr)|(kdp)|(\|lc)|(penalty))"</v>
      </c>
      <c r="AG237" s="1" t="str">
        <f t="shared" si="82"/>
        <v>Other</v>
      </c>
      <c r="AH237" s="86" t="str">
        <f t="shared" si="83"/>
        <v>"%USERPROFILE%\Documents\GitHub\eaglep3\Utilities\RefineRTDCRunTimes.py" --tripid 50-14 --locoid 4023 --swversion DE.1.0.9.0 --startMP 300:42510 --initTime 2017-03-14T12:56:02 --startdatetime 2017-03-14T12:57:26 --delay 1 --endMP 204:958 --enddatetime 2017-03-14T13:09:57 --enforcementcount 0 &gt;&gt;C:\Users\stu\Documents\GitHub\eaglep3-reporting\EC\2017-03-14-refined-times.txt</v>
      </c>
      <c r="AI237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{"issue":{"subject":"","project_id":79,"tracker_id":40,"status_id":1,"priority_id":2,"assigned_to_id":23,"start_date":"2017-03-14","description":"","custom_fields":[{"id":1,"name":"Subdivision","value":"Other"},{"id":4,"name":"Milepost","value":"0.0958"},{"id":17,"name":"Train ID","value":"50-14"},{"id":16,"name":"Locomotive ID","value":"4023"},{"id":130,"name":"Impact","value":""},{"id":150,"name":"Time of Event (Mountain Time)","value":"13:09:57"},{"id":151,"name":"Denver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85"/>
        <v>start /low /b %USERPROFILE%\Documents\GitHub\eaglep3\Utilities\DownloadLogsFromS3.py --loco 4023 --day 2017-03-14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"%USERPROFILE%\AppData\Local\Temp\OnboardLogs"\RTDC4023\*4023*20170314* | grep -SE "(Enforcement Action)|(\[TIMEOUT)|(CHR.+\|PRM\|1\|D.+(SWITCH|SIGNAL).+UNKNOWN)" - &gt;&gt; 2017-03-14-UncaughtWiMAX.txt</v>
      </c>
    </row>
    <row r="238" spans="1:40" x14ac:dyDescent="0.25">
      <c r="A238" s="33" t="s">
        <v>568</v>
      </c>
      <c r="B238" s="7">
        <v>4024</v>
      </c>
      <c r="C238" s="21" t="s">
        <v>233</v>
      </c>
      <c r="D238" s="21" t="s">
        <v>916</v>
      </c>
      <c r="E238" s="13">
        <v>42808.388912037037</v>
      </c>
      <c r="F238" s="13">
        <v>42808.390231481484</v>
      </c>
      <c r="G238" s="7">
        <v>1</v>
      </c>
      <c r="H238" s="21" t="s">
        <v>917</v>
      </c>
      <c r="I238" s="13">
        <v>42808.398553240739</v>
      </c>
      <c r="J238" s="7">
        <v>0</v>
      </c>
      <c r="K238" s="98" t="str">
        <f t="shared" si="72"/>
        <v>4023/4024</v>
      </c>
      <c r="L238" s="21" t="str">
        <f>VLOOKUP(A238,'Trips&amp;Operators'!$C$1:$G$99999,5,FALSE)</f>
        <v>ARNOLD PAUL</v>
      </c>
      <c r="M238" s="6">
        <f t="shared" si="73"/>
        <v>8.3217592546134256E-3</v>
      </c>
      <c r="N238" s="7">
        <f t="shared" si="87"/>
        <v>11.983333326643333</v>
      </c>
      <c r="O238" s="7"/>
      <c r="P238" s="7"/>
      <c r="Q238" s="22"/>
      <c r="R238" s="22"/>
      <c r="S238" s="31">
        <f t="shared" si="88"/>
        <v>0</v>
      </c>
      <c r="T238" s="46" t="e">
        <f t="shared" si="74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75"/>
        <v>https://d0f6bd738d7f1b3e5a7ca70fe4ff75f0.us-east-1.aws.found.io/app/kibana#/discover/Steve-Slow-Train-Analysis-(2080s-and-2083s)?_g=(refreshInterval:(display:Off,pause:!f,section:0,value:0),time:(from:'2017-03-14T08:20:02-0600',mode:absolute,to:'2017-03-14T10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8" s="187" t="str">
        <f t="shared" si="76"/>
        <v>Y</v>
      </c>
      <c r="X238" s="187" t="e">
        <f t="shared" si="89"/>
        <v>#VALUE!</v>
      </c>
      <c r="Y238" s="62">
        <f t="shared" si="77"/>
        <v>0.1212</v>
      </c>
      <c r="Z238" s="62">
        <f t="shared" si="86"/>
        <v>3.9424000000000001</v>
      </c>
      <c r="AA238" s="62">
        <f t="shared" si="78"/>
        <v>3.8212000000000002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79"/>
        <v>50-14</v>
      </c>
      <c r="AE238" s="85" t="str">
        <f t="shared" si="80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238" s="82" t="str">
        <f t="shared" si="81"/>
        <v>"C:\Program Files (x86)\AstroGrep\AstroGrep.exe" /e /r /s /spath="%USERPROFILE%\AppData\Local\Temp\OnboardLogs" /stypes="app*4024*20170314*" /stext=" 15:.+((SYSTEM_STATE.+slice.+state.+changed )|(ment ac)|(multiple cpu faults)|(system.+state.+changed )|(\[timeout)|(PRM\|1\|D)|(kpr)|(kdp)|(\|lc)|(penalty))"</v>
      </c>
      <c r="AG238" s="1" t="str">
        <f t="shared" si="82"/>
        <v>Other</v>
      </c>
      <c r="AH238" s="86" t="str">
        <f t="shared" si="83"/>
        <v>"%USERPROFILE%\Documents\GitHub\eaglep3\Utilities\RefineRTDCRunTimes.py" --tripid 50-14 --locoid 4024 --swversion DE.1.0.9.0 --startMP 204:1212 --initTime 2017-03-14T09:20:02 --startdatetime 2017-03-14T09:21:56 --delay 1 --endMP 300:39424 --enddatetime 2017-03-14T09:33:55 --enforcementcount 0 &gt;&gt;C:\Users\stu\Documents\GitHub\eaglep3-reporting\EC\2017-03-14-refined-times.txt</v>
      </c>
      <c r="AI238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{"issue":{"subject":"","project_id":79,"tracker_id":40,"status_id":1,"priority_id":2,"assigned_to_id":23,"start_date":"2017-03-14","description":"","custom_fields":[{"id":1,"name":"Subdivision","value":"Other"},{"id":4,"name":"Milepost","value":"3.9424"},{"id":17,"name":"Train ID","value":"50-14"},{"id":16,"name":"Locomotive ID","value":"4024"},{"id":130,"name":"Impact","value":""},{"id":150,"name":"Time of Event (Mountain Time)","value":"09:33:55"},{"id":151,"name":"Denver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85"/>
        <v>start /low /b %USERPROFILE%\Documents\GitHub\eaglep3\Utilities\DownloadLogsFromS3.py --loco 4024 --day 2017-03-14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239" spans="1:40" x14ac:dyDescent="0.25">
      <c r="A239" s="33" t="s">
        <v>568</v>
      </c>
      <c r="B239" s="7">
        <v>4024</v>
      </c>
      <c r="C239" s="21" t="s">
        <v>233</v>
      </c>
      <c r="D239" s="21" t="s">
        <v>918</v>
      </c>
      <c r="E239" s="13">
        <v>42808.418969907405</v>
      </c>
      <c r="F239" s="13">
        <v>42808.422638888886</v>
      </c>
      <c r="G239" s="7">
        <v>5</v>
      </c>
      <c r="H239" s="21" t="s">
        <v>919</v>
      </c>
      <c r="I239" s="13">
        <v>42808.430717592593</v>
      </c>
      <c r="J239" s="7">
        <v>0</v>
      </c>
      <c r="K239" s="98" t="str">
        <f t="shared" si="72"/>
        <v>4023/4024</v>
      </c>
      <c r="L239" s="21" t="str">
        <f>VLOOKUP(A239,'Trips&amp;Operators'!$C$1:$G$99999,5,FALSE)</f>
        <v>ARNOLD PAUL</v>
      </c>
      <c r="M239" s="6">
        <f t="shared" si="73"/>
        <v>8.078703707724344E-3</v>
      </c>
      <c r="N239" s="7">
        <f t="shared" si="87"/>
        <v>11.633333339123055</v>
      </c>
      <c r="O239" s="7"/>
      <c r="P239" s="7"/>
      <c r="Q239" s="22"/>
      <c r="R239" s="22"/>
      <c r="S239" s="31">
        <f t="shared" si="88"/>
        <v>0</v>
      </c>
      <c r="T239" s="46" t="e">
        <f t="shared" si="74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75"/>
        <v>https://d0f6bd738d7f1b3e5a7ca70fe4ff75f0.us-east-1.aws.found.io/app/kibana#/discover/Steve-Slow-Train-Analysis-(2080s-and-2083s)?_g=(refreshInterval:(display:Off,pause:!f,section:0,value:0),time:(from:'2017-03-14T09:03:19-0600',mode:absolute,to:'2017-03-14T11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9" s="187" t="str">
        <f t="shared" si="76"/>
        <v>Y</v>
      </c>
      <c r="X239" s="187" t="e">
        <f t="shared" si="89"/>
        <v>#VALUE!</v>
      </c>
      <c r="Y239" s="62">
        <f t="shared" si="77"/>
        <v>0.1268</v>
      </c>
      <c r="Z239" s="62">
        <f t="shared" si="86"/>
        <v>4.2355999999999998</v>
      </c>
      <c r="AA239" s="62">
        <f t="shared" si="78"/>
        <v>4.1087999999999996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79"/>
        <v>50-14</v>
      </c>
      <c r="AE239" s="85" t="str">
        <f t="shared" si="80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239" s="82" t="str">
        <f t="shared" si="81"/>
        <v>"C:\Program Files (x86)\AstroGrep\AstroGrep.exe" /e /r /s /spath="%USERPROFILE%\AppData\Local\Temp\OnboardLogs" /stypes="app*4024*20170314*" /stext=" 16:.+((SYSTEM_STATE.+slice.+state.+changed )|(ment ac)|(multiple cpu faults)|(system.+state.+changed )|(\[timeout)|(PRM\|1\|D)|(kpr)|(kdp)|(\|lc)|(penalty))"</v>
      </c>
      <c r="AG239" s="1" t="str">
        <f t="shared" si="82"/>
        <v>Other</v>
      </c>
      <c r="AH239" s="86" t="str">
        <f t="shared" si="83"/>
        <v>"%USERPROFILE%\Documents\GitHub\eaglep3\Utilities\RefineRTDCRunTimes.py" --tripid 50-14 --locoid 4024 --swversion DE.1.0.9.0 --startMP 204:1268 --initTime 2017-03-14T10:03:19 --startdatetime 2017-03-14T10:08:36 --delay 5 --endMP 300:42356 --enddatetime 2017-03-14T10:20:14 --enforcementcount 0 &gt;&gt;C:\Users\stu\Documents\GitHub\eaglep3-reporting\EC\2017-03-14-refined-times.txt</v>
      </c>
      <c r="AI239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{"issue":{"subject":"","project_id":79,"tracker_id":40,"status_id":1,"priority_id":2,"assigned_to_id":23,"start_date":"2017-03-14","description":"","custom_fields":[{"id":1,"name":"Subdivision","value":"Other"},{"id":4,"name":"Milepost","value":"4.2356"},{"id":17,"name":"Train ID","value":"50-14"},{"id":16,"name":"Locomotive ID","value":"4024"},{"id":130,"name":"Impact","value":""},{"id":150,"name":"Time of Event (Mountain Time)","value":"10:20:14"},{"id":151,"name":"Denver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85"/>
        <v>start /low /b %USERPROFILE%\Documents\GitHub\eaglep3\Utilities\DownloadLogsFromS3.py --loco 4024 --day 2017-03-14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240" spans="1:40" x14ac:dyDescent="0.25">
      <c r="A240" s="33" t="s">
        <v>568</v>
      </c>
      <c r="B240" s="7">
        <v>4024</v>
      </c>
      <c r="C240" s="21" t="s">
        <v>233</v>
      </c>
      <c r="D240" s="21" t="s">
        <v>920</v>
      </c>
      <c r="E240" s="13">
        <v>42808.549722222226</v>
      </c>
      <c r="F240" s="13">
        <v>42808.551377314812</v>
      </c>
      <c r="G240" s="7">
        <v>2</v>
      </c>
      <c r="H240" s="21" t="s">
        <v>921</v>
      </c>
      <c r="I240" s="13">
        <v>42808.560104166667</v>
      </c>
      <c r="J240" s="7">
        <v>0</v>
      </c>
      <c r="K240" s="98" t="str">
        <f t="shared" si="72"/>
        <v>4023/4024</v>
      </c>
      <c r="L240" s="21" t="str">
        <f>VLOOKUP(A240,'Trips&amp;Operators'!$C$1:$G$99999,5,FALSE)</f>
        <v>ARNOLD PAUL</v>
      </c>
      <c r="M240" s="6">
        <f t="shared" si="73"/>
        <v>8.7268518545897678E-3</v>
      </c>
      <c r="N240" s="7">
        <f t="shared" si="87"/>
        <v>12.566666670609266</v>
      </c>
      <c r="O240" s="7"/>
      <c r="P240" s="7"/>
      <c r="Q240" s="22"/>
      <c r="R240" s="22"/>
      <c r="S240" s="31">
        <f t="shared" si="88"/>
        <v>0</v>
      </c>
      <c r="T240" s="46" t="e">
        <f t="shared" si="74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75"/>
        <v>https://d0f6bd738d7f1b3e5a7ca70fe4ff75f0.us-east-1.aws.found.io/app/kibana#/discover/Steve-Slow-Train-Analysis-(2080s-and-2083s)?_g=(refreshInterval:(display:Off,pause:!f,section:0,value:0),time:(from:'2017-03-14T12:11:36-0600',mode:absolute,to:'2017-03-14T14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0" s="187" t="str">
        <f t="shared" si="76"/>
        <v>Y</v>
      </c>
      <c r="X240" s="187" t="e">
        <f t="shared" si="89"/>
        <v>#VALUE!</v>
      </c>
      <c r="Y240" s="62">
        <f t="shared" si="77"/>
        <v>0.12740000000000001</v>
      </c>
      <c r="Z240" s="62">
        <f t="shared" si="86"/>
        <v>3.9544999999999999</v>
      </c>
      <c r="AA240" s="62">
        <f t="shared" si="78"/>
        <v>3.8270999999999997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79"/>
        <v>50-14</v>
      </c>
      <c r="AE240" s="85" t="str">
        <f t="shared" si="80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240" s="82" t="str">
        <f t="shared" si="81"/>
        <v>"C:\Program Files (x86)\AstroGrep\AstroGrep.exe" /e /r /s /spath="%USERPROFILE%\AppData\Local\Temp\OnboardLogs" /stypes="app*4024*20170314*" /stext=" 19:.+((SYSTEM_STATE.+slice.+state.+changed )|(ment ac)|(multiple cpu faults)|(system.+state.+changed )|(\[timeout)|(PRM\|1\|D)|(kpr)|(kdp)|(\|lc)|(penalty))"</v>
      </c>
      <c r="AG240" s="1" t="str">
        <f t="shared" si="82"/>
        <v>Other</v>
      </c>
      <c r="AH240" s="86" t="str">
        <f t="shared" si="83"/>
        <v>"%USERPROFILE%\Documents\GitHub\eaglep3\Utilities\RefineRTDCRunTimes.py" --tripid 50-14 --locoid 4024 --swversion DE.1.0.9.0 --startMP 204:1274 --initTime 2017-03-14T13:11:36 --startdatetime 2017-03-14T13:13:59 --delay 2 --endMP 300:39545 --enddatetime 2017-03-14T13:26:33 --enforcementcount 0 &gt;&gt;C:\Users\stu\Documents\GitHub\eaglep3-reporting\EC\2017-03-14-refined-times.txt</v>
      </c>
      <c r="AI240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{"issue":{"subject":"","project_id":79,"tracker_id":40,"status_id":1,"priority_id":2,"assigned_to_id":23,"start_date":"2017-03-14","description":"","custom_fields":[{"id":1,"name":"Subdivision","value":"Other"},{"id":4,"name":"Milepost","value":"3.9545"},{"id":17,"name":"Train ID","value":"50-14"},{"id":16,"name":"Locomotive ID","value":"4024"},{"id":130,"name":"Impact","value":""},{"id":150,"name":"Time of Event (Mountain Time)","value":"13:26:33"},{"id":151,"name":"Denver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85"/>
        <v>start /low /b %USERPROFILE%\Documents\GitHub\eaglep3\Utilities\DownloadLogsFromS3.py --loco 4024 --day 2017-03-14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241" spans="1:40" x14ac:dyDescent="0.25">
      <c r="A241" s="33" t="s">
        <v>568</v>
      </c>
      <c r="B241" s="7">
        <v>4024</v>
      </c>
      <c r="C241" s="21" t="s">
        <v>233</v>
      </c>
      <c r="D241" s="21" t="s">
        <v>922</v>
      </c>
      <c r="E241" s="13">
        <v>42808.528912037036</v>
      </c>
      <c r="F241" s="13">
        <v>42808.529664351852</v>
      </c>
      <c r="G241" s="7">
        <v>1</v>
      </c>
      <c r="H241" s="21" t="s">
        <v>923</v>
      </c>
      <c r="I241" s="13">
        <v>42808.537604166668</v>
      </c>
      <c r="J241" s="7">
        <v>0</v>
      </c>
      <c r="K241" s="98" t="str">
        <f t="shared" si="72"/>
        <v>4023/4024</v>
      </c>
      <c r="L241" s="21" t="str">
        <f>VLOOKUP(A241,'Trips&amp;Operators'!$C$1:$G$99999,5,FALSE)</f>
        <v>ARNOLD PAUL</v>
      </c>
      <c r="M241" s="6">
        <f t="shared" si="73"/>
        <v>7.9398148154723458E-3</v>
      </c>
      <c r="N241" s="7">
        <f t="shared" si="87"/>
        <v>11.433333334280178</v>
      </c>
      <c r="O241" s="7"/>
      <c r="P241" s="7"/>
      <c r="Q241" s="22"/>
      <c r="R241" s="22"/>
      <c r="S241" s="31">
        <f t="shared" si="88"/>
        <v>0</v>
      </c>
      <c r="T241" s="46" t="e">
        <f t="shared" si="74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75"/>
        <v>https://d0f6bd738d7f1b3e5a7ca70fe4ff75f0.us-east-1.aws.found.io/app/kibana#/discover/Steve-Slow-Train-Analysis-(2080s-and-2083s)?_g=(refreshInterval:(display:Off,pause:!f,section:0,value:0),time:(from:'2017-03-14T11:41:38-0600',mode:absolute,to:'2017-03-14T13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1" s="187" t="str">
        <f t="shared" si="76"/>
        <v>Y</v>
      </c>
      <c r="X241" s="187" t="e">
        <f t="shared" si="89"/>
        <v>#VALUE!</v>
      </c>
      <c r="Y241" s="62">
        <f t="shared" si="77"/>
        <v>0.1285</v>
      </c>
      <c r="Z241" s="62">
        <f t="shared" si="86"/>
        <v>4.2782</v>
      </c>
      <c r="AA241" s="62">
        <f t="shared" si="78"/>
        <v>4.1497000000000002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79"/>
        <v>50-14</v>
      </c>
      <c r="AE241" s="85" t="str">
        <f t="shared" si="80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241" s="82" t="str">
        <f t="shared" si="81"/>
        <v>"C:\Program Files (x86)\AstroGrep\AstroGrep.exe" /e /r /s /spath="%USERPROFILE%\AppData\Local\Temp\OnboardLogs" /stypes="app*4024*20170314*" /stext=" 18:.+((SYSTEM_STATE.+slice.+state.+changed )|(ment ac)|(multiple cpu faults)|(system.+state.+changed )|(\[timeout)|(PRM\|1\|D)|(kpr)|(kdp)|(\|lc)|(penalty))"</v>
      </c>
      <c r="AG241" s="1" t="str">
        <f t="shared" si="82"/>
        <v>Other</v>
      </c>
      <c r="AH241" s="86" t="str">
        <f t="shared" si="83"/>
        <v>"%USERPROFILE%\Documents\GitHub\eaglep3\Utilities\RefineRTDCRunTimes.py" --tripid 50-14 --locoid 4024 --swversion DE.1.0.9.0 --startMP 204:1285 --initTime 2017-03-14T12:41:38 --startdatetime 2017-03-14T12:42:43 --delay 1 --endMP 300:42782 --enddatetime 2017-03-14T12:54:09 --enforcementcount 0 &gt;&gt;C:\Users\stu\Documents\GitHub\eaglep3-reporting\EC\2017-03-14-refined-times.txt</v>
      </c>
      <c r="AI241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{"issue":{"subject":"","project_id":79,"tracker_id":40,"status_id":1,"priority_id":2,"assigned_to_id":23,"start_date":"2017-03-14","description":"","custom_fields":[{"id":1,"name":"Subdivision","value":"Other"},{"id":4,"name":"Milepost","value":"4.2782"},{"id":17,"name":"Train ID","value":"50-14"},{"id":16,"name":"Locomotive ID","value":"4024"},{"id":130,"name":"Impact","value":""},{"id":150,"name":"Time of Event (Mountain Time)","value":"12:54:09"},{"id":151,"name":"Denver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85"/>
        <v>start /low /b %USERPROFILE%\Documents\GitHub\eaglep3\Utilities\DownloadLogsFromS3.py --loco 4024 --day 2017-03-14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242" spans="1:40" x14ac:dyDescent="0.25">
      <c r="A242" s="33" t="s">
        <v>568</v>
      </c>
      <c r="B242" s="7">
        <v>4024</v>
      </c>
      <c r="C242" s="21" t="s">
        <v>233</v>
      </c>
      <c r="D242" s="21" t="s">
        <v>924</v>
      </c>
      <c r="E242" s="13">
        <v>42808.444606481484</v>
      </c>
      <c r="F242" s="13">
        <v>42808.445451388892</v>
      </c>
      <c r="G242" s="7">
        <v>1</v>
      </c>
      <c r="H242" s="21" t="s">
        <v>925</v>
      </c>
      <c r="I242" s="13">
        <v>42808.454745370371</v>
      </c>
      <c r="J242" s="7">
        <v>0</v>
      </c>
      <c r="K242" s="98" t="str">
        <f t="shared" si="72"/>
        <v>4023/4024</v>
      </c>
      <c r="L242" s="21" t="str">
        <f>VLOOKUP(A242,'Trips&amp;Operators'!$C$1:$G$99999,5,FALSE)</f>
        <v>ARNOLD PAUL</v>
      </c>
      <c r="M242" s="6">
        <f t="shared" si="73"/>
        <v>9.29398147854954E-3</v>
      </c>
      <c r="N242" s="7">
        <f t="shared" si="87"/>
        <v>13.383333329111338</v>
      </c>
      <c r="O242" s="7"/>
      <c r="P242" s="7"/>
      <c r="Q242" s="22"/>
      <c r="R242" s="22"/>
      <c r="S242" s="31">
        <f t="shared" si="88"/>
        <v>0</v>
      </c>
      <c r="T242" s="46" t="e">
        <f t="shared" si="74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75"/>
        <v>https://d0f6bd738d7f1b3e5a7ca70fe4ff75f0.us-east-1.aws.found.io/app/kibana#/discover/Steve-Slow-Train-Analysis-(2080s-and-2083s)?_g=(refreshInterval:(display:Off,pause:!f,section:0,value:0),time:(from:'2017-03-14T09:40:14-0600',mode:absolute,to:'2017-03-14T11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2" s="187" t="str">
        <f t="shared" si="76"/>
        <v>Y</v>
      </c>
      <c r="X242" s="187" t="e">
        <f t="shared" si="89"/>
        <v>#VALUE!</v>
      </c>
      <c r="Y242" s="62">
        <f t="shared" si="77"/>
        <v>0.13070000000000001</v>
      </c>
      <c r="Z242" s="62">
        <f t="shared" si="86"/>
        <v>4.2495000000000003</v>
      </c>
      <c r="AA242" s="62">
        <f t="shared" si="78"/>
        <v>4.1188000000000002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79"/>
        <v>50-14</v>
      </c>
      <c r="AE242" s="85" t="str">
        <f t="shared" si="80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242" s="82" t="str">
        <f t="shared" si="81"/>
        <v>"C:\Program Files (x86)\AstroGrep\AstroGrep.exe" /e /r /s /spath="%USERPROFILE%\AppData\Local\Temp\OnboardLogs" /stypes="app*4024*20170314*" /stext=" 16:.+((SYSTEM_STATE.+slice.+state.+changed )|(ment ac)|(multiple cpu faults)|(system.+state.+changed )|(\[timeout)|(PRM\|1\|D)|(kpr)|(kdp)|(\|lc)|(penalty))"</v>
      </c>
      <c r="AG242" s="1" t="str">
        <f t="shared" si="82"/>
        <v>Other</v>
      </c>
      <c r="AH242" s="86" t="str">
        <f t="shared" si="83"/>
        <v>"%USERPROFILE%\Documents\GitHub\eaglep3\Utilities\RefineRTDCRunTimes.py" --tripid 50-14 --locoid 4024 --swversion DE.1.0.9.0 --startMP 204:1307 --initTime 2017-03-14T10:40:14 --startdatetime 2017-03-14T10:41:27 --delay 1 --endMP 300:42495 --enddatetime 2017-03-14T10:54:50 --enforcementcount 0 &gt;&gt;C:\Users\stu\Documents\GitHub\eaglep3-reporting\EC\2017-03-14-refined-times.txt</v>
      </c>
      <c r="AI242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{"issue":{"subject":"","project_id":79,"tracker_id":40,"status_id":1,"priority_id":2,"assigned_to_id":23,"start_date":"2017-03-14","description":"","custom_fields":[{"id":1,"name":"Subdivision","value":"Other"},{"id":4,"name":"Milepost","value":"4.2495"},{"id":17,"name":"Train ID","value":"50-14"},{"id":16,"name":"Locomotive ID","value":"4024"},{"id":130,"name":"Impact","value":""},{"id":150,"name":"Time of Event (Mountain Time)","value":"10:54:50"},{"id":151,"name":"Denver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85"/>
        <v>start /low /b %USERPROFILE%\Documents\GitHub\eaglep3\Utilities\DownloadLogsFromS3.py --loco 4024 --day 2017-03-14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243" spans="1:40" x14ac:dyDescent="0.25">
      <c r="A243" s="33" t="s">
        <v>568</v>
      </c>
      <c r="B243" s="7">
        <v>4024</v>
      </c>
      <c r="C243" s="21" t="s">
        <v>233</v>
      </c>
      <c r="D243" s="21" t="s">
        <v>926</v>
      </c>
      <c r="E243" s="13">
        <v>42808.577025462961</v>
      </c>
      <c r="F243" s="13">
        <v>42808.578252314815</v>
      </c>
      <c r="G243" s="7">
        <v>1</v>
      </c>
      <c r="H243" s="21" t="s">
        <v>927</v>
      </c>
      <c r="I243" s="13">
        <v>42808.585682870369</v>
      </c>
      <c r="J243" s="7">
        <v>0</v>
      </c>
      <c r="K243" s="98" t="str">
        <f t="shared" si="72"/>
        <v>4023/4024</v>
      </c>
      <c r="L243" s="21" t="str">
        <f>VLOOKUP(A243,'Trips&amp;Operators'!$C$1:$G$99999,5,FALSE)</f>
        <v>ARNOLD PAUL</v>
      </c>
      <c r="M243" s="6">
        <f t="shared" si="73"/>
        <v>7.4305555535829626E-3</v>
      </c>
      <c r="N243" s="7">
        <f t="shared" si="87"/>
        <v>10.699999997159466</v>
      </c>
      <c r="O243" s="7"/>
      <c r="P243" s="7"/>
      <c r="Q243" s="22"/>
      <c r="R243" s="22"/>
      <c r="S243" s="31">
        <f t="shared" si="88"/>
        <v>0</v>
      </c>
      <c r="T243" s="46" t="e">
        <f t="shared" si="74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75"/>
        <v>https://d0f6bd738d7f1b3e5a7ca70fe4ff75f0.us-east-1.aws.found.io/app/kibana#/discover/Steve-Slow-Train-Analysis-(2080s-and-2083s)?_g=(refreshInterval:(display:Off,pause:!f,section:0,value:0),time:(from:'2017-03-14T12:50:55-0600',mode:absolute,to:'2017-03-14T15:03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3" s="187" t="str">
        <f t="shared" si="76"/>
        <v>Y</v>
      </c>
      <c r="X243" s="187" t="e">
        <f t="shared" si="89"/>
        <v>#VALUE!</v>
      </c>
      <c r="Y243" s="62">
        <f t="shared" si="77"/>
        <v>0.1381</v>
      </c>
      <c r="Z243" s="62">
        <f t="shared" si="86"/>
        <v>2.4214000000000002</v>
      </c>
      <c r="AA243" s="62">
        <f t="shared" si="78"/>
        <v>2.2833000000000001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79"/>
        <v>50-14</v>
      </c>
      <c r="AE243" s="85" t="str">
        <f t="shared" si="80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243" s="82" t="str">
        <f t="shared" si="81"/>
        <v>"C:\Program Files (x86)\AstroGrep\AstroGrep.exe" /e /r /s /spath="%USERPROFILE%\AppData\Local\Temp\OnboardLogs" /stypes="app*4024*20170314*" /stext=" 20:.+((SYSTEM_STATE.+slice.+state.+changed )|(ment ac)|(multiple cpu faults)|(system.+state.+changed )|(\[timeout)|(PRM\|1\|D)|(kpr)|(kdp)|(\|lc)|(penalty))"</v>
      </c>
      <c r="AG243" s="1" t="str">
        <f t="shared" si="82"/>
        <v>Other</v>
      </c>
      <c r="AH243" s="86" t="str">
        <f t="shared" si="83"/>
        <v>"%USERPROFILE%\Documents\GitHub\eaglep3\Utilities\RefineRTDCRunTimes.py" --tripid 50-14 --locoid 4024 --swversion DE.1.0.9.0 --startMP 204:1381 --initTime 2017-03-14T13:50:55 --startdatetime 2017-03-14T13:52:41 --delay 1 --endMP 300:24214 --enddatetime 2017-03-14T14:03:23 --enforcementcount 0 &gt;&gt;C:\Users\stu\Documents\GitHub\eaglep3-reporting\EC\2017-03-14-refined-times.txt</v>
      </c>
      <c r="AI243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{"issue":{"subject":"","project_id":79,"tracker_id":40,"status_id":1,"priority_id":2,"assigned_to_id":23,"start_date":"2017-03-14","description":"","custom_fields":[{"id":1,"name":"Subdivision","value":"Other"},{"id":4,"name":"Milepost","value":"2.4214"},{"id":17,"name":"Train ID","value":"50-14"},{"id":16,"name":"Locomotive ID","value":"4024"},{"id":130,"name":"Impact","value":""},{"id":150,"name":"Time of Event (Mountain Time)","value":"14:03:23"},{"id":151,"name":"Denver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85"/>
        <v>start /low /b %USERPROFILE%\Documents\GitHub\eaglep3\Utilities\DownloadLogsFromS3.py --loco 4024 --day 2017-03-14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244" spans="1:40" x14ac:dyDescent="0.25">
      <c r="A244" s="33" t="s">
        <v>568</v>
      </c>
      <c r="B244" s="7">
        <v>4024</v>
      </c>
      <c r="C244" s="21" t="s">
        <v>233</v>
      </c>
      <c r="D244" s="21" t="s">
        <v>928</v>
      </c>
      <c r="E244" s="13">
        <v>42808.472974537035</v>
      </c>
      <c r="F244" s="13">
        <v>42808.474120370367</v>
      </c>
      <c r="G244" s="7">
        <v>1</v>
      </c>
      <c r="H244" s="21" t="s">
        <v>929</v>
      </c>
      <c r="I244" s="13">
        <v>42808.488379629627</v>
      </c>
      <c r="J244" s="7">
        <v>0</v>
      </c>
      <c r="K244" s="98" t="str">
        <f t="shared" si="72"/>
        <v>4023/4024</v>
      </c>
      <c r="L244" s="21" t="str">
        <f>VLOOKUP(A244,'Trips&amp;Operators'!$C$1:$G$99999,5,FALSE)</f>
        <v>ARNOLD PAUL</v>
      </c>
      <c r="M244" s="6">
        <f t="shared" si="73"/>
        <v>1.4259259260143153E-2</v>
      </c>
      <c r="N244" s="7">
        <f t="shared" si="87"/>
        <v>20.533333334606141</v>
      </c>
      <c r="O244" s="7"/>
      <c r="P244" s="7"/>
      <c r="Q244" s="22"/>
      <c r="R244" s="22"/>
      <c r="S244" s="31">
        <f t="shared" si="88"/>
        <v>0</v>
      </c>
      <c r="T244" s="46" t="e">
        <f t="shared" si="74"/>
        <v>#VALUE!</v>
      </c>
      <c r="U244" s="18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6" t="str">
        <f t="shared" si="75"/>
        <v>https://d0f6bd738d7f1b3e5a7ca70fe4ff75f0.us-east-1.aws.found.io/app/kibana#/discover/Steve-Slow-Train-Analysis-(2080s-and-2083s)?_g=(refreshInterval:(display:Off,pause:!f,section:0,value:0),time:(from:'2017-03-14T10:21:05-0600',mode:absolute,to:'2017-03-14T12:43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4" s="187" t="str">
        <f t="shared" si="76"/>
        <v>Y</v>
      </c>
      <c r="X244" s="187" t="e">
        <f t="shared" si="89"/>
        <v>#VALUE!</v>
      </c>
      <c r="Y244" s="62">
        <f t="shared" si="77"/>
        <v>6.4899999999999999E-2</v>
      </c>
      <c r="Z244" s="62">
        <f t="shared" si="86"/>
        <v>3.9300999999999999</v>
      </c>
      <c r="AA244" s="62">
        <f t="shared" si="78"/>
        <v>3.8651999999999997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79"/>
        <v>50-14</v>
      </c>
      <c r="AE244" s="85" t="str">
        <f t="shared" si="80"/>
        <v>aws s3 cp s3://rtdc.mdm.uploadarchive.raw/RTDC4024/ "%USERPROFILE%\AppData\Local\Temp\OnboardLogs"\RTDC4024\2017-03-14 --exclude "*" --recursive --include "*20170314*" &amp; "%USERPROFILE%\Documents\GitHub\mrs-test-scripts\Headless Mode &amp; Sideloading\WalkAndUnGZ.bat" "%USERPROFILE%\AppData\Local\Temp\OnboardLogs"\RTDC4024\2017-03-14 &amp; aws s3 cp s3://rtdc.mdm.uploadarchive.raw/RTDC4024/ "%USERPROFILE%\AppData\Local\Temp\OnboardLogs"\RTDC4024\2017-03-15 --exclude "*" --recursive --include "*20170315*" &amp; "%USERPROFILE%\Documents\GitHub\mrs-test-scripts\Headless Mode &amp; Sideloading\WalkAndUnGZ.bat" "%USERPROFILE%\AppData\Local\Temp\OnboardLogs"\RTDC4024\2017-03-15</v>
      </c>
      <c r="AF244" s="82" t="str">
        <f t="shared" si="81"/>
        <v>"C:\Program Files (x86)\AstroGrep\AstroGrep.exe" /e /r /s /spath="%USERPROFILE%\AppData\Local\Temp\OnboardLogs" /stypes="app*4024*20170314*" /stext=" 17:.+((SYSTEM_STATE.+slice.+state.+changed )|(ment ac)|(multiple cpu faults)|(system.+state.+changed )|(\[timeout)|(PRM\|1\|D)|(kpr)|(kdp)|(\|lc)|(penalty))"</v>
      </c>
      <c r="AG244" s="1" t="str">
        <f t="shared" si="82"/>
        <v>Other</v>
      </c>
      <c r="AH244" s="86" t="str">
        <f t="shared" si="83"/>
        <v>"%USERPROFILE%\Documents\GitHub\eaglep3\Utilities\RefineRTDCRunTimes.py" --tripid 50-14 --locoid 4024 --swversion DE.1.0.9.0 --startMP 204:649 --initTime 2017-03-14T11:21:05 --startdatetime 2017-03-14T11:22:44 --delay 1 --endMP 300:39301 --enddatetime 2017-03-14T11:43:16 --enforcementcount 0 &gt;&gt;C:\Users\stu\Documents\GitHub\eaglep3-reporting\EC\2017-03-14-refined-times.txt</v>
      </c>
      <c r="AI244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{"issue":{"subject":"","project_id":79,"tracker_id":40,"status_id":1,"priority_id":2,"assigned_to_id":23,"start_date":"2017-03-14","description":"","custom_fields":[{"id":1,"name":"Subdivision","value":"Other"},{"id":4,"name":"Milepost","value":"3.9301"},{"id":17,"name":"Train ID","value":"50-14"},{"id":16,"name":"Locomotive ID","value":"4024"},{"id":130,"name":"Impact","value":""},{"id":150,"name":"Time of Event (Mountain Time)","value":"11:43:16"},{"id":151,"name":"Denver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85"/>
        <v>start /low /b %USERPROFILE%\Documents\GitHub\eaglep3\Utilities\DownloadLogsFromS3.py --loco 4024 --day 2017-03-14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"%USERPROFILE%\AppData\Local\Temp\OnboardLogs"\RTDC4024\*4024*20170314* | grep -SE "(Enforcement Action)|(\[TIMEOUT)|(CHR.+\|PRM\|1\|D.+(SWITCH|SIGNAL).+UNKNOWN)" - &gt;&gt; 2017-03-14-UncaughtWiMAX.txt</v>
      </c>
    </row>
    <row r="245" spans="1:40" x14ac:dyDescent="0.25">
      <c r="A245" s="33" t="s">
        <v>759</v>
      </c>
      <c r="B245" s="7">
        <v>4014</v>
      </c>
      <c r="C245" s="21" t="s">
        <v>233</v>
      </c>
      <c r="D245" s="21" t="s">
        <v>930</v>
      </c>
      <c r="E245" s="13">
        <v>42808.761886574073</v>
      </c>
      <c r="F245" s="13">
        <v>42808.762881944444</v>
      </c>
      <c r="G245" s="7">
        <v>1</v>
      </c>
      <c r="H245" s="21" t="s">
        <v>457</v>
      </c>
      <c r="I245" s="13">
        <v>42808.785914351851</v>
      </c>
      <c r="J245" s="7">
        <v>0</v>
      </c>
      <c r="K245" s="98" t="str">
        <f t="shared" si="72"/>
        <v>4013/4014</v>
      </c>
      <c r="L245" s="21" t="str">
        <f>VLOOKUP(A245,'Trips&amp;Operators'!$C$1:$G$99999,5,FALSE)</f>
        <v>STRICKLAND EVAN</v>
      </c>
      <c r="M245" s="6">
        <f t="shared" si="73"/>
        <v>2.3032407407299615E-2</v>
      </c>
      <c r="N245" s="7">
        <f t="shared" si="87"/>
        <v>33.166666666511446</v>
      </c>
      <c r="O245" s="7"/>
      <c r="P245" s="7"/>
      <c r="Q245" s="22"/>
      <c r="R245" s="22"/>
      <c r="S245" s="31">
        <f t="shared" si="88"/>
        <v>0</v>
      </c>
      <c r="T245" s="46" t="e">
        <f t="shared" si="74"/>
        <v>#VALUE!</v>
      </c>
      <c r="U245" s="18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6" t="str">
        <f t="shared" si="75"/>
        <v>https://d0f6bd738d7f1b3e5a7ca70fe4ff75f0.us-east-1.aws.found.io/app/kibana#/discover/Steve-Slow-Train-Analysis-(2080s-and-2083s)?_g=(refreshInterval:(display:Off,pause:!f,section:0,value:0),time:(from:'2017-03-14T17:17:07-0600',mode:absolute,to:'2017-03-14T19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5" s="187" t="str">
        <f t="shared" si="76"/>
        <v>Y</v>
      </c>
      <c r="X245" s="187" t="e">
        <f t="shared" si="89"/>
        <v>#VALUE!</v>
      </c>
      <c r="Y245" s="62">
        <f t="shared" si="77"/>
        <v>3.8600000000000002E-2</v>
      </c>
      <c r="Z245" s="62">
        <f t="shared" si="86"/>
        <v>2.3346</v>
      </c>
      <c r="AA245" s="62">
        <f t="shared" si="78"/>
        <v>2.2959999999999998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79"/>
        <v>51-14</v>
      </c>
      <c r="AE245" s="85" t="str">
        <f t="shared" si="80"/>
        <v>aws s3 cp s3://rtdc.mdm.uploadarchive.raw/RTDC4014/ "%USERPROFILE%\AppData\Local\Temp\OnboardLogs"\RTDC4014\2017-03-14 --exclude "*" --recursive --include "*20170314*" &amp; "%USERPROFILE%\Documents\GitHub\mrs-test-scripts\Headless Mode &amp; Sideloading\WalkAndUnGZ.bat" "%USERPROFILE%\AppData\Local\Temp\OnboardLogs"\RTDC4014\2017-03-14 &amp; aws s3 cp s3://rtdc.mdm.uploadarchive.raw/RTDC4014/ "%USERPROFILE%\AppData\Local\Temp\OnboardLogs"\RTDC4014\2017-03-15 --exclude "*" --recursive --include "*20170315*" &amp; "%USERPROFILE%\Documents\GitHub\mrs-test-scripts\Headless Mode &amp; Sideloading\WalkAndUnGZ.bat" "%USERPROFILE%\AppData\Local\Temp\OnboardLogs"\RTDC4014\2017-03-15</v>
      </c>
      <c r="AF245" s="82" t="str">
        <f t="shared" si="81"/>
        <v>"C:\Program Files (x86)\AstroGrep\AstroGrep.exe" /e /r /s /spath="%USERPROFILE%\AppData\Local\Temp\OnboardLogs" /stypes="app*4014*20170315*" /stext=" 00:.+((SYSTEM_STATE.+slice.+state.+changed )|(ment ac)|(multiple cpu faults)|(system.+state.+changed )|(\[timeout)|(PRM\|1\|D)|(kpr)|(kdp)|(\|lc)|(penalty))"</v>
      </c>
      <c r="AG245" s="1" t="str">
        <f t="shared" si="82"/>
        <v>Other</v>
      </c>
      <c r="AH245" s="86" t="str">
        <f t="shared" si="83"/>
        <v>"%USERPROFILE%\Documents\GitHub\eaglep3\Utilities\RefineRTDCRunTimes.py" --tripid 51-14 --locoid 4014 --swversion DE.1.0.9.0 --startMP 204:386 --initTime 2017-03-14T18:17:07 --startdatetime 2017-03-14T18:18:33 --delay 1 --endMP 300:23346 --enddatetime 2017-03-14T18:51:43 --enforcementcount 0 &gt;&gt;C:\Users\stu\Documents\GitHub\eaglep3-reporting\EC\2017-03-14-refined-times.txt</v>
      </c>
      <c r="AI245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{"issue":{"subject":"","project_id":79,"tracker_id":40,"status_id":1,"priority_id":2,"assigned_to_id":23,"start_date":"2017-03-14","description":"","custom_fields":[{"id":1,"name":"Subdivision","value":"Other"},{"id":4,"name":"Milepost","value":"2.3346"},{"id":17,"name":"Train ID","value":"51-14"},{"id":16,"name":"Locomotive ID","value":"4014"},{"id":130,"name":"Impact","value":""},{"id":150,"name":"Time of Event (Mountain Time)","value":"18:51:43"},{"id":151,"name":"Denver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48"/>
      <c r="AK245" s="48"/>
      <c r="AL245" s="48"/>
      <c r="AM245" s="154" t="str">
        <f t="shared" si="85"/>
        <v>start /low /b %USERPROFILE%\Documents\GitHub\eaglep3\Utilities\DownloadLogsFromS3.py --loco 4014 --day 2017-03-14</v>
      </c>
      <c r="AN245" s="163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"%USERPROFILE%\AppData\Local\Temp\OnboardLogs"\RTDC4014\*4014*20170315* | grep -SE "(Enforcement Action)|(\[TIMEOUT)|(CHR.+\|PRM\|1\|D.+(SWITCH|SIGNAL).+UNKNOWN)" - &gt;&gt; 2017-03-14-UncaughtWiMAX.txt</v>
      </c>
    </row>
    <row r="246" spans="1:40" x14ac:dyDescent="0.25">
      <c r="A246" s="33" t="s">
        <v>759</v>
      </c>
      <c r="B246" s="7">
        <v>4014</v>
      </c>
      <c r="C246" s="21" t="s">
        <v>233</v>
      </c>
      <c r="D246" s="21" t="s">
        <v>457</v>
      </c>
      <c r="E246" s="13">
        <v>42808.761886574073</v>
      </c>
      <c r="F246" s="13">
        <v>42808.785879629628</v>
      </c>
      <c r="G246" s="7">
        <v>34</v>
      </c>
      <c r="H246" s="21" t="s">
        <v>457</v>
      </c>
      <c r="I246" s="13">
        <v>42808.785914351851</v>
      </c>
      <c r="J246" s="7">
        <v>0</v>
      </c>
      <c r="K246" s="98" t="str">
        <f t="shared" si="72"/>
        <v>4013/4014</v>
      </c>
      <c r="L246" s="21" t="str">
        <f>VLOOKUP(A246,'Trips&amp;Operators'!$C$1:$G$99999,5,FALSE)</f>
        <v>STRICKLAND EVAN</v>
      </c>
      <c r="M246" s="6">
        <f t="shared" si="73"/>
        <v>3.4722223062999547E-5</v>
      </c>
      <c r="N246" s="7">
        <f t="shared" si="87"/>
        <v>5.0000001210719347E-2</v>
      </c>
      <c r="O246" s="7"/>
      <c r="P246" s="7"/>
      <c r="Q246" s="22"/>
      <c r="R246" s="22"/>
      <c r="S246" s="31">
        <f t="shared" si="88"/>
        <v>0</v>
      </c>
      <c r="T246" s="46" t="e">
        <f t="shared" si="74"/>
        <v>#VALUE!</v>
      </c>
      <c r="U246" s="18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6" t="str">
        <f t="shared" si="75"/>
        <v>https://d0f6bd738d7f1b3e5a7ca70fe4ff75f0.us-east-1.aws.found.io/app/kibana#/discover/Steve-Slow-Train-Analysis-(2080s-and-2083s)?_g=(refreshInterval:(display:Off,pause:!f,section:0,value:0),time:(from:'2017-03-14T17:17:07-0600',mode:absolute,to:'2017-03-14T19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6" s="187" t="str">
        <f t="shared" si="76"/>
        <v>Y</v>
      </c>
      <c r="X246" s="187" t="e">
        <f t="shared" si="89"/>
        <v>#VALUE!</v>
      </c>
      <c r="Y246" s="62">
        <f t="shared" si="77"/>
        <v>2.3346</v>
      </c>
      <c r="Z246" s="62">
        <f t="shared" si="86"/>
        <v>2.3346</v>
      </c>
      <c r="AA246" s="62">
        <f t="shared" si="78"/>
        <v>0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79"/>
        <v>51-14</v>
      </c>
      <c r="AE246" s="85" t="str">
        <f t="shared" si="80"/>
        <v>aws s3 cp s3://rtdc.mdm.uploadarchive.raw/RTDC4014/ "%USERPROFILE%\AppData\Local\Temp\OnboardLogs"\RTDC4014\2017-03-14 --exclude "*" --recursive --include "*20170314*" &amp; "%USERPROFILE%\Documents\GitHub\mrs-test-scripts\Headless Mode &amp; Sideloading\WalkAndUnGZ.bat" "%USERPROFILE%\AppData\Local\Temp\OnboardLogs"\RTDC4014\2017-03-14 &amp; aws s3 cp s3://rtdc.mdm.uploadarchive.raw/RTDC4014/ "%USERPROFILE%\AppData\Local\Temp\OnboardLogs"\RTDC4014\2017-03-15 --exclude "*" --recursive --include "*20170315*" &amp; "%USERPROFILE%\Documents\GitHub\mrs-test-scripts\Headless Mode &amp; Sideloading\WalkAndUnGZ.bat" "%USERPROFILE%\AppData\Local\Temp\OnboardLogs"\RTDC4014\2017-03-15</v>
      </c>
      <c r="AF246" s="82" t="str">
        <f t="shared" si="81"/>
        <v>"C:\Program Files (x86)\AstroGrep\AstroGrep.exe" /e /r /s /spath="%USERPROFILE%\AppData\Local\Temp\OnboardLogs" /stypes="app*4014*20170315*" /stext=" 00:.+((SYSTEM_STATE.+slice.+state.+changed )|(ment ac)|(multiple cpu faults)|(system.+state.+changed )|(\[timeout)|(PRM\|1\|D)|(kpr)|(kdp)|(\|lc)|(penalty))"</v>
      </c>
      <c r="AG246" s="1" t="str">
        <f t="shared" si="82"/>
        <v>Other</v>
      </c>
      <c r="AH246" s="86" t="str">
        <f t="shared" si="83"/>
        <v>"%USERPROFILE%\Documents\GitHub\eaglep3\Utilities\RefineRTDCRunTimes.py" --tripid 51-14 --locoid 4014 --swversion DE.1.0.9.0 --startMP 300:23346 --initTime 2017-03-14T18:17:07 --startdatetime 2017-03-14T18:51:40 --delay 34 --endMP 300:23346 --enddatetime 2017-03-14T18:51:43 --enforcementcount 0 &gt;&gt;C:\Users\stu\Documents\GitHub\eaglep3-reporting\EC\2017-03-14-refined-times.txt</v>
      </c>
      <c r="AI246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{"issue":{"subject":"","project_id":79,"tracker_id":40,"status_id":1,"priority_id":2,"assigned_to_id":23,"start_date":"2017-03-14","description":"","custom_fields":[{"id":1,"name":"Subdivision","value":"Other"},{"id":4,"name":"Milepost","value":"2.3346"},{"id":17,"name":"Train ID","value":"51-14"},{"id":16,"name":"Locomotive ID","value":"4014"},{"id":130,"name":"Impact","value":""},{"id":150,"name":"Time of Event (Mountain Time)","value":"18:51:43"},{"id":151,"name":"Denver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48"/>
      <c r="AK246" s="48"/>
      <c r="AL246" s="48"/>
      <c r="AM246" s="154" t="str">
        <f t="shared" si="85"/>
        <v>start /low /b %USERPROFILE%\Documents\GitHub\eaglep3\Utilities\DownloadLogsFromS3.py --loco 4014 --day 2017-03-14</v>
      </c>
      <c r="AN246" s="163" t="str">
        <f>"grep -SE -B400 ""CHR.+\|PRM\|1\|D.+(SWITCH|SIGNAL).+UNKNOWN"" "&amp;search_path&amp;"\RTDC"&amp;B246&amp;"\*"&amp;B246&amp;"*"&amp;TEXT(AVERAGE(F246,I246)-utc_offset/24,"YYYYMMDD")&amp;"*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"%USERPROFILE%\AppData\Local\Temp\OnboardLogs"\RTDC4014\*4014*20170315* | grep -SE "(Enforcement Action)|(\[TIMEOUT)|(CHR.+\|PRM\|1\|D.+(SWITCH|SIGNAL).+UNKNOWN)" - &gt;&gt; 2017-03-14-UncaughtWiMAX.txt</v>
      </c>
    </row>
    <row r="247" spans="1:40" x14ac:dyDescent="0.25">
      <c r="A247" s="33" t="s">
        <v>674</v>
      </c>
      <c r="B247" s="7">
        <v>4029</v>
      </c>
      <c r="C247" s="21" t="s">
        <v>233</v>
      </c>
      <c r="D247" s="21" t="s">
        <v>931</v>
      </c>
      <c r="E247" s="13">
        <v>42808.428425925929</v>
      </c>
      <c r="F247" s="13">
        <v>42808.429328703707</v>
      </c>
      <c r="G247" s="7">
        <v>1</v>
      </c>
      <c r="H247" s="21" t="s">
        <v>932</v>
      </c>
      <c r="I247" s="13">
        <v>42808.444178240738</v>
      </c>
      <c r="J247" s="7">
        <v>0</v>
      </c>
      <c r="K247" s="98" t="str">
        <f t="shared" si="72"/>
        <v>4029/4030</v>
      </c>
      <c r="L247" s="21" t="str">
        <f>VLOOKUP(A247,'Trips&amp;Operators'!$C$1:$G$99999,5,FALSE)</f>
        <v>BEAM ROSS</v>
      </c>
      <c r="M247" s="6">
        <f t="shared" si="73"/>
        <v>1.4849537030386273E-2</v>
      </c>
      <c r="N247" s="7">
        <f t="shared" si="87"/>
        <v>21.383333323756233</v>
      </c>
      <c r="O247" s="7"/>
      <c r="P247" s="7"/>
      <c r="Q247" s="22"/>
      <c r="R247" s="22"/>
      <c r="S247" s="31">
        <f t="shared" si="88"/>
        <v>0</v>
      </c>
      <c r="T247" s="46" t="e">
        <f t="shared" si="74"/>
        <v>#VALUE!</v>
      </c>
      <c r="U247" s="18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6" t="str">
        <f t="shared" si="75"/>
        <v>https://d0f6bd738d7f1b3e5a7ca70fe4ff75f0.us-east-1.aws.found.io/app/kibana#/discover/Steve-Slow-Train-Analysis-(2080s-and-2083s)?_g=(refreshInterval:(display:Off,pause:!f,section:0,value:0),time:(from:'2017-03-14T09:16:56-0600',mode:absolute,to:'2017-03-14T11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7" s="187" t="str">
        <f t="shared" si="76"/>
        <v>N</v>
      </c>
      <c r="X247" s="187" t="e">
        <f t="shared" si="89"/>
        <v>#VALUE!</v>
      </c>
      <c r="Y247" s="62">
        <f t="shared" si="77"/>
        <v>0.12330000000000001</v>
      </c>
      <c r="Z247" s="62">
        <f t="shared" si="86"/>
        <v>5.8971</v>
      </c>
      <c r="AA247" s="62">
        <f t="shared" si="78"/>
        <v>5.7737999999999996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 t="shared" si="79"/>
        <v>52-14</v>
      </c>
      <c r="AE247" s="85" t="str">
        <f t="shared" si="80"/>
        <v>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 &amp; 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</v>
      </c>
      <c r="AF247" s="82" t="str">
        <f t="shared" si="81"/>
        <v>"C:\Program Files (x86)\AstroGrep\AstroGrep.exe" /e /r /s /spath="%USERPROFILE%\AppData\Local\Temp\OnboardLogs" /stypes="app*4029*20170314*" /stext=" 16:.+((SYSTEM_STATE.+slice.+state.+changed )|(ment ac)|(multiple cpu faults)|(system.+state.+changed )|(\[timeout)|(PRM\|1\|D)|(kpr)|(kdp)|(\|lc)|(penalty))"</v>
      </c>
      <c r="AG247" s="1" t="str">
        <f t="shared" si="82"/>
        <v>Other</v>
      </c>
      <c r="AH247" s="86" t="str">
        <f t="shared" si="83"/>
        <v>"%USERPROFILE%\Documents\GitHub\eaglep3\Utilities\RefineRTDCRunTimes.py" --tripid 52-14 --locoid 4029 --swversion DE.1.0.9.0 --startMP 204:1233 --initTime 2017-03-14T10:16:56 --startdatetime 2017-03-14T10:18:14 --delay 1 --endMP 300:58971 --enddatetime 2017-03-14T10:39:37 --enforcementcount 0 &gt;&gt;C:\Users\stu\Documents\GitHub\eaglep3-reporting\EC\2017-03-14-refined-times.txt</v>
      </c>
      <c r="AI247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{"issue":{"subject":"","project_id":79,"tracker_id":40,"status_id":1,"priority_id":2,"assigned_to_id":23,"start_date":"2017-03-14","description":"","custom_fields":[{"id":1,"name":"Subdivision","value":"Other"},{"id":4,"name":"Milepost","value":"5.8971"},{"id":17,"name":"Train ID","value":"52-14"},{"id":16,"name":"Locomotive ID","value":"4029"},{"id":130,"name":"Impact","value":""},{"id":150,"name":"Time of Event (Mountain Time)","value":"10:39:37"},{"id":151,"name":"Denver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48"/>
      <c r="AK247" s="48"/>
      <c r="AL247" s="48"/>
      <c r="AM247" s="154" t="str">
        <f t="shared" si="85"/>
        <v>start /low /b %USERPROFILE%\Documents\GitHub\eaglep3\Utilities\DownloadLogsFromS3.py --loco 4029 --day 2017-03-14</v>
      </c>
      <c r="AN247" s="163" t="str">
        <f>"grep -SE -B400 ""CHR.+\|PRM\|1\|D.+(SWITCH|SIGNAL).+UNKNOWN"" "&amp;search_path&amp;"\RTDC"&amp;B247&amp;"\*"&amp;B247&amp;"*"&amp;TEXT(AVERAGE(F247,I247)-utc_offset/24,"YYYYMMDD")&amp;"*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"%USERPROFILE%\AppData\Local\Temp\OnboardLogs"\RTDC4029\*4029*20170314* | grep -SE "(Enforcement Action)|(\[TIMEOUT)|(CHR.+\|PRM\|1\|D.+(SWITCH|SIGNAL).+UNKNOWN)" - &gt;&gt; 2017-03-14-UncaughtWiMAX.txt</v>
      </c>
    </row>
    <row r="248" spans="1:40" x14ac:dyDescent="0.25">
      <c r="A248" s="33" t="s">
        <v>674</v>
      </c>
      <c r="B248" s="7">
        <v>4029</v>
      </c>
      <c r="C248" s="21" t="s">
        <v>233</v>
      </c>
      <c r="D248" s="21" t="s">
        <v>920</v>
      </c>
      <c r="E248" s="13">
        <v>42808.462488425925</v>
      </c>
      <c r="F248" s="13">
        <v>42808.463263888887</v>
      </c>
      <c r="G248" s="7">
        <v>1</v>
      </c>
      <c r="H248" s="21" t="s">
        <v>540</v>
      </c>
      <c r="I248" s="13">
        <v>42808.477870370371</v>
      </c>
      <c r="J248" s="7">
        <v>0</v>
      </c>
      <c r="K248" s="98" t="str">
        <f t="shared" si="72"/>
        <v>4029/4030</v>
      </c>
      <c r="L248" s="21" t="str">
        <f>VLOOKUP(A248,'Trips&amp;Operators'!$C$1:$G$99999,5,FALSE)</f>
        <v>BEAM ROSS</v>
      </c>
      <c r="M248" s="6">
        <f t="shared" si="73"/>
        <v>1.4606481483497191E-2</v>
      </c>
      <c r="N248" s="7">
        <f t="shared" si="87"/>
        <v>21.033333336235955</v>
      </c>
      <c r="O248" s="7"/>
      <c r="P248" s="7"/>
      <c r="Q248" s="22"/>
      <c r="R248" s="22"/>
      <c r="S248" s="31">
        <f t="shared" si="88"/>
        <v>0</v>
      </c>
      <c r="T248" s="46" t="e">
        <f t="shared" si="74"/>
        <v>#VALUE!</v>
      </c>
      <c r="U248" s="18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6" t="str">
        <f t="shared" si="75"/>
        <v>https://d0f6bd738d7f1b3e5a7ca70fe4ff75f0.us-east-1.aws.found.io/app/kibana#/discover/Steve-Slow-Train-Analysis-(2080s-and-2083s)?_g=(refreshInterval:(display:Off,pause:!f,section:0,value:0),time:(from:'2017-03-14T10:05:59-0600',mode:absolute,to:'2017-03-14T12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8" s="187" t="str">
        <f t="shared" si="76"/>
        <v>Y</v>
      </c>
      <c r="X248" s="187" t="e">
        <f t="shared" si="89"/>
        <v>#VALUE!</v>
      </c>
      <c r="Y248" s="62">
        <f t="shared" si="77"/>
        <v>0.12740000000000001</v>
      </c>
      <c r="Z248" s="62">
        <f t="shared" ref="Z248:Z269" si="90">RIGHT(H248,LEN(H248)-4)/10000</f>
        <v>2.3304</v>
      </c>
      <c r="AA248" s="62">
        <f t="shared" si="78"/>
        <v>2.2029999999999998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 t="shared" si="79"/>
        <v>52-14</v>
      </c>
      <c r="AE248" s="85" t="str">
        <f t="shared" si="80"/>
        <v>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 &amp; 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</v>
      </c>
      <c r="AF248" s="82" t="str">
        <f t="shared" si="81"/>
        <v>"C:\Program Files (x86)\AstroGrep\AstroGrep.exe" /e /r /s /spath="%USERPROFILE%\AppData\Local\Temp\OnboardLogs" /stypes="app*4029*20170314*" /stext=" 17:.+((SYSTEM_STATE.+slice.+state.+changed )|(ment ac)|(multiple cpu faults)|(system.+state.+changed )|(\[timeout)|(PRM\|1\|D)|(kpr)|(kdp)|(\|lc)|(penalty))"</v>
      </c>
      <c r="AG248" s="1" t="str">
        <f t="shared" si="82"/>
        <v>Other</v>
      </c>
      <c r="AH248" s="86" t="str">
        <f t="shared" si="83"/>
        <v>"%USERPROFILE%\Documents\GitHub\eaglep3\Utilities\RefineRTDCRunTimes.py" --tripid 52-14 --locoid 4029 --swversion DE.1.0.9.0 --startMP 204:1274 --initTime 2017-03-14T11:05:59 --startdatetime 2017-03-14T11:07:06 --delay 1 --endMP 300:23304 --enddatetime 2017-03-14T11:28:08 --enforcementcount 0 &gt;&gt;C:\Users\stu\Documents\GitHub\eaglep3-reporting\EC\2017-03-14-refined-times.txt</v>
      </c>
      <c r="AI248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{"issue":{"subject":"","project_id":79,"tracker_id":40,"status_id":1,"priority_id":2,"assigned_to_id":23,"start_date":"2017-03-14","description":"","custom_fields":[{"id":1,"name":"Subdivision","value":"Other"},{"id":4,"name":"Milepost","value":"2.3304"},{"id":17,"name":"Train ID","value":"52-14"},{"id":16,"name":"Locomotive ID","value":"4029"},{"id":130,"name":"Impact","value":""},{"id":150,"name":"Time of Event (Mountain Time)","value":"11:28:08"},{"id":151,"name":"Denver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48"/>
      <c r="AK248" s="48"/>
      <c r="AL248" s="48"/>
      <c r="AM248" s="154" t="str">
        <f t="shared" si="85"/>
        <v>start /low /b %USERPROFILE%\Documents\GitHub\eaglep3\Utilities\DownloadLogsFromS3.py --loco 4029 --day 2017-03-14</v>
      </c>
      <c r="AN248" s="163" t="str">
        <f>"grep -SE -B400 ""CHR.+\|PRM\|1\|D.+(SWITCH|SIGNAL).+UNKNOWN"" "&amp;search_path&amp;"\RTDC"&amp;B248&amp;"\*"&amp;B248&amp;"*"&amp;TEXT(AVERAGE(F248,I248)-utc_offset/24,"YYYYMMDD")&amp;"*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"%USERPROFILE%\AppData\Local\Temp\OnboardLogs"\RTDC4029\*4029*20170314* | grep -SE "(Enforcement Action)|(\[TIMEOUT)|(CHR.+\|PRM\|1\|D.+(SWITCH|SIGNAL).+UNKNOWN)" - &gt;&gt; 2017-03-14-UncaughtWiMAX.txt</v>
      </c>
    </row>
    <row r="249" spans="1:40" x14ac:dyDescent="0.25">
      <c r="A249" s="33" t="s">
        <v>674</v>
      </c>
      <c r="B249" s="7">
        <v>4030</v>
      </c>
      <c r="C249" s="21" t="s">
        <v>233</v>
      </c>
      <c r="D249" s="21" t="s">
        <v>933</v>
      </c>
      <c r="E249" s="13">
        <v>42808.41814814815</v>
      </c>
      <c r="F249" s="13">
        <v>42808.422013888892</v>
      </c>
      <c r="G249" s="7">
        <v>5</v>
      </c>
      <c r="H249" s="21" t="s">
        <v>934</v>
      </c>
      <c r="I249" s="13">
        <v>42808.427453703705</v>
      </c>
      <c r="J249" s="7">
        <v>0</v>
      </c>
      <c r="K249" s="98" t="str">
        <f t="shared" si="72"/>
        <v>4029/4030</v>
      </c>
      <c r="L249" s="21" t="str">
        <f>VLOOKUP(A249,'Trips&amp;Operators'!$C$1:$G$99999,5,FALSE)</f>
        <v>BEAM ROSS</v>
      </c>
      <c r="M249" s="6">
        <f t="shared" si="73"/>
        <v>5.4398148131440394E-3</v>
      </c>
      <c r="N249" s="7">
        <f t="shared" si="87"/>
        <v>7.8333333309274167</v>
      </c>
      <c r="O249" s="7"/>
      <c r="P249" s="7"/>
      <c r="Q249" s="22"/>
      <c r="R249" s="22"/>
      <c r="S249" s="31">
        <f t="shared" si="88"/>
        <v>0</v>
      </c>
      <c r="T249" s="46" t="e">
        <f t="shared" si="74"/>
        <v>#VALUE!</v>
      </c>
      <c r="U249" s="18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6" t="str">
        <f t="shared" si="75"/>
        <v>https://d0f6bd738d7f1b3e5a7ca70fe4ff75f0.us-east-1.aws.found.io/app/kibana#/discover/Steve-Slow-Train-Analysis-(2080s-and-2083s)?_g=(refreshInterval:(display:Off,pause:!f,section:0,value:0),time:(from:'2017-03-14T09:02:08-0600',mode:absolute,to:'2017-03-14T11:15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9" s="187" t="str">
        <f t="shared" si="76"/>
        <v>Y</v>
      </c>
      <c r="X249" s="187" t="e">
        <f t="shared" si="89"/>
        <v>#VALUE!</v>
      </c>
      <c r="Y249" s="62">
        <f t="shared" si="77"/>
        <v>2.2286000000000001</v>
      </c>
      <c r="Z249" s="62">
        <f t="shared" si="90"/>
        <v>9.2100000000000001E-2</v>
      </c>
      <c r="AA249" s="62">
        <f t="shared" si="78"/>
        <v>2.1365000000000003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 t="shared" si="79"/>
        <v>52-14</v>
      </c>
      <c r="AE249" s="85" t="str">
        <f t="shared" si="80"/>
        <v>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 &amp; 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</v>
      </c>
      <c r="AF249" s="82" t="str">
        <f t="shared" si="81"/>
        <v>"C:\Program Files (x86)\AstroGrep\AstroGrep.exe" /e /r /s /spath="%USERPROFILE%\AppData\Local\Temp\OnboardLogs" /stypes="app*4030*20170314*" /stext=" 16:.+((SYSTEM_STATE.+slice.+state.+changed )|(ment ac)|(multiple cpu faults)|(system.+state.+changed )|(\[timeout)|(PRM\|1\|D)|(kpr)|(kdp)|(\|lc)|(penalty))"</v>
      </c>
      <c r="AG249" s="1" t="str">
        <f t="shared" si="82"/>
        <v>Other</v>
      </c>
      <c r="AH249" s="86" t="str">
        <f t="shared" si="83"/>
        <v>"%USERPROFILE%\Documents\GitHub\eaglep3\Utilities\RefineRTDCRunTimes.py" --tripid 52-14 --locoid 4030 --swversion DE.1.0.9.0 --startMP 300:22286 --initTime 2017-03-14T10:02:08 --startdatetime 2017-03-14T10:07:42 --delay 5 --endMP 204:921 --enddatetime 2017-03-14T10:15:32 --enforcementcount 0 &gt;&gt;C:\Users\stu\Documents\GitHub\eaglep3-reporting\EC\2017-03-14-refined-times.txt</v>
      </c>
      <c r="AI249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{"issue":{"subject":"","project_id":79,"tracker_id":40,"status_id":1,"priority_id":2,"assigned_to_id":23,"start_date":"2017-03-14","description":"","custom_fields":[{"id":1,"name":"Subdivision","value":"Other"},{"id":4,"name":"Milepost","value":"0.0921"},{"id":17,"name":"Train ID","value":"52-14"},{"id":16,"name":"Locomotive ID","value":"4030"},{"id":130,"name":"Impact","value":""},{"id":150,"name":"Time of Event (Mountain Time)","value":"10:15:32"},{"id":151,"name":"Denver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48"/>
      <c r="AK249" s="48"/>
      <c r="AL249" s="48"/>
      <c r="AM249" s="154" t="str">
        <f t="shared" si="85"/>
        <v>start /low /b %USERPROFILE%\Documents\GitHub\eaglep3\Utilities\DownloadLogsFromS3.py --loco 4030 --day 2017-03-14</v>
      </c>
      <c r="AN249" s="163" t="str">
        <f>"grep -SE -B400 ""CHR.+\|PRM\|1\|D.+(SWITCH|SIGNAL).+UNKNOWN"" "&amp;search_path&amp;"\RTDC"&amp;B249&amp;"\*"&amp;B249&amp;"*"&amp;TEXT(AVERAGE(F249,I249)-utc_offset/24,"YYYYMMDD")&amp;"*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"%USERPROFILE%\AppData\Local\Temp\OnboardLogs"\RTDC4030\*4030*20170314* | grep -SE "(Enforcement Action)|(\[TIMEOUT)|(CHR.+\|PRM\|1\|D.+(SWITCH|SIGNAL).+UNKNOWN)" - &gt;&gt; 2017-03-14-UncaughtWiMAX.txt</v>
      </c>
    </row>
    <row r="250" spans="1:40" x14ac:dyDescent="0.25">
      <c r="A250" s="33" t="s">
        <v>674</v>
      </c>
      <c r="B250" s="7">
        <v>4030</v>
      </c>
      <c r="C250" s="21" t="s">
        <v>233</v>
      </c>
      <c r="D250" s="21" t="s">
        <v>548</v>
      </c>
      <c r="E250" s="13">
        <v>42808.446597222224</v>
      </c>
      <c r="F250" s="13">
        <v>42808.447291666664</v>
      </c>
      <c r="G250" s="7">
        <v>1</v>
      </c>
      <c r="H250" s="21" t="s">
        <v>547</v>
      </c>
      <c r="I250" s="13">
        <v>42808.458321759259</v>
      </c>
      <c r="J250" s="7">
        <v>0</v>
      </c>
      <c r="K250" s="98" t="str">
        <f t="shared" si="72"/>
        <v>4029/4030</v>
      </c>
      <c r="L250" s="21" t="str">
        <f>VLOOKUP(A250,'Trips&amp;Operators'!$C$1:$G$99999,5,FALSE)</f>
        <v>BEAM ROSS</v>
      </c>
      <c r="M250" s="6">
        <f t="shared" si="73"/>
        <v>1.1030092595319729E-2</v>
      </c>
      <c r="N250" s="7">
        <f t="shared" si="87"/>
        <v>15.88333333726041</v>
      </c>
      <c r="O250" s="7"/>
      <c r="P250" s="7"/>
      <c r="Q250" s="22"/>
      <c r="R250" s="22"/>
      <c r="S250" s="31">
        <f t="shared" si="88"/>
        <v>0</v>
      </c>
      <c r="T250" s="46" t="e">
        <f t="shared" si="74"/>
        <v>#VALUE!</v>
      </c>
      <c r="U250" s="18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6" t="str">
        <f t="shared" si="75"/>
        <v>https://d0f6bd738d7f1b3e5a7ca70fe4ff75f0.us-east-1.aws.found.io/app/kibana#/discover/Steve-Slow-Train-Analysis-(2080s-and-2083s)?_g=(refreshInterval:(display:Off,pause:!f,section:0,value:0),time:(from:'2017-03-14T09:43:06-0600',mode:absolute,to:'2017-03-14T11:59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0" s="187" t="str">
        <f t="shared" si="76"/>
        <v>N</v>
      </c>
      <c r="X250" s="187" t="e">
        <f t="shared" si="89"/>
        <v>#VALUE!</v>
      </c>
      <c r="Y250" s="62">
        <f t="shared" si="77"/>
        <v>5.8653000000000004</v>
      </c>
      <c r="Z250" s="62">
        <f t="shared" si="90"/>
        <v>9.6199999999999994E-2</v>
      </c>
      <c r="AA250" s="62">
        <f t="shared" si="78"/>
        <v>5.7691000000000008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 t="shared" si="79"/>
        <v>52-14</v>
      </c>
      <c r="AE250" s="85" t="str">
        <f t="shared" si="80"/>
        <v>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 &amp; 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</v>
      </c>
      <c r="AF250" s="82" t="str">
        <f t="shared" si="81"/>
        <v>"C:\Program Files (x86)\AstroGrep\AstroGrep.exe" /e /r /s /spath="%USERPROFILE%\AppData\Local\Temp\OnboardLogs" /stypes="app*4030*20170314*" /stext=" 16:.+((SYSTEM_STATE.+slice.+state.+changed )|(ment ac)|(multiple cpu faults)|(system.+state.+changed )|(\[timeout)|(PRM\|1\|D)|(kpr)|(kdp)|(\|lc)|(penalty))"</v>
      </c>
      <c r="AG250" s="1" t="str">
        <f t="shared" si="82"/>
        <v>Other</v>
      </c>
      <c r="AH250" s="86" t="str">
        <f t="shared" si="83"/>
        <v>"%USERPROFILE%\Documents\GitHub\eaglep3\Utilities\RefineRTDCRunTimes.py" --tripid 52-14 --locoid 4030 --swversion DE.1.0.9.0 --startMP 300:58653 --initTime 2017-03-14T10:43:06 --startdatetime 2017-03-14T10:44:06 --delay 1 --endMP 204:962 --enddatetime 2017-03-14T10:59:59 --enforcementcount 0 &gt;&gt;C:\Users\stu\Documents\GitHub\eaglep3-reporting\EC\2017-03-14-refined-times.txt</v>
      </c>
      <c r="AI250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{"issue":{"subject":"","project_id":79,"tracker_id":40,"status_id":1,"priority_id":2,"assigned_to_id":23,"start_date":"2017-03-14","description":"","custom_fields":[{"id":1,"name":"Subdivision","value":"Other"},{"id":4,"name":"Milepost","value":"0.0962"},{"id":17,"name":"Train ID","value":"52-14"},{"id":16,"name":"Locomotive ID","value":"4030"},{"id":130,"name":"Impact","value":""},{"id":150,"name":"Time of Event (Mountain Time)","value":"10:59:59"},{"id":151,"name":"Denver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48"/>
      <c r="AK250" s="48"/>
      <c r="AL250" s="48"/>
      <c r="AM250" s="154" t="str">
        <f t="shared" si="85"/>
        <v>start /low /b %USERPROFILE%\Documents\GitHub\eaglep3\Utilities\DownloadLogsFromS3.py --loco 4030 --day 2017-03-14</v>
      </c>
      <c r="AN250" s="163" t="str">
        <f>"grep -SE -B400 ""CHR.+\|PRM\|1\|D.+(SWITCH|SIGNAL).+UNKNOWN"" "&amp;search_path&amp;"\RTDC"&amp;B250&amp;"\*"&amp;B250&amp;"*"&amp;TEXT(AVERAGE(F250,I250)-utc_offset/24,"YYYYMMDD")&amp;"*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"%USERPROFILE%\AppData\Local\Temp\OnboardLogs"\RTDC4030\*4030*20170314* | grep -SE "(Enforcement Action)|(\[TIMEOUT)|(CHR.+\|PRM\|1\|D.+(SWITCH|SIGNAL).+UNKNOWN)" - &gt;&gt; 2017-03-14-UncaughtWiMAX.txt</v>
      </c>
    </row>
    <row r="251" spans="1:40" x14ac:dyDescent="0.25">
      <c r="A251" s="33" t="s">
        <v>684</v>
      </c>
      <c r="B251" s="7">
        <v>4013</v>
      </c>
      <c r="C251" s="21" t="s">
        <v>233</v>
      </c>
      <c r="D251" s="21" t="s">
        <v>935</v>
      </c>
      <c r="E251" s="13">
        <v>42808.453240740739</v>
      </c>
      <c r="F251" s="13">
        <v>42808.462025462963</v>
      </c>
      <c r="G251" s="7">
        <v>12</v>
      </c>
      <c r="H251" s="21">
        <v>8.5361111111111114</v>
      </c>
      <c r="I251" s="13">
        <v>42808.468078703707</v>
      </c>
      <c r="J251" s="7">
        <v>0</v>
      </c>
      <c r="K251" s="98" t="str">
        <f t="shared" si="72"/>
        <v>4013/4014</v>
      </c>
      <c r="L251" s="21" t="str">
        <f>VLOOKUP(A251,'Trips&amp;Operators'!$C$1:$G$99999,5,FALSE)</f>
        <v>LEVERE CRAIG</v>
      </c>
      <c r="M251" s="6">
        <f t="shared" si="73"/>
        <v>6.0532407442224212E-3</v>
      </c>
      <c r="N251" s="7">
        <f t="shared" ref="N251:N269" si="91">24*60*SUM($M251:$M251)</f>
        <v>8.7166666716802865</v>
      </c>
      <c r="O251" s="7"/>
      <c r="P251" s="7"/>
      <c r="Q251" s="22"/>
      <c r="R251" s="22"/>
      <c r="S251" s="31">
        <f t="shared" ref="S251:S269" si="92">SUM(U251:U251)/IF(AG251="EC",12,1)</f>
        <v>0</v>
      </c>
      <c r="T251" s="46" t="e">
        <f t="shared" si="74"/>
        <v>#VALUE!</v>
      </c>
      <c r="U251" s="18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6" t="str">
        <f t="shared" si="75"/>
        <v>https://d0f6bd738d7f1b3e5a7ca70fe4ff75f0.us-east-1.aws.found.io/app/kibana#/discover/Steve-Slow-Train-Analysis-(2080s-and-2083s)?_g=(refreshInterval:(display:Off,pause:!f,section:0,value:0),time:(from:'2017-03-14T09:52:40-0600',mode:absolute,to:'2017-03-14T12:14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1" s="187" t="str">
        <f t="shared" si="76"/>
        <v>N</v>
      </c>
      <c r="X251" s="187" t="e">
        <f t="shared" si="89"/>
        <v>#VALUE!</v>
      </c>
      <c r="Y251" s="62">
        <f t="shared" si="77"/>
        <v>2.2017000000000002</v>
      </c>
      <c r="Z251" s="62">
        <f t="shared" si="90"/>
        <v>61111111.111100003</v>
      </c>
      <c r="AA251" s="62">
        <f t="shared" si="78"/>
        <v>61111108.909400001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 t="shared" si="79"/>
        <v>54-14</v>
      </c>
      <c r="AE251" s="85" t="str">
        <f t="shared" si="80"/>
        <v>aws s3 cp s3://rtdc.mdm.uploadarchive.raw/RTDC4013/ "%USERPROFILE%\AppData\Local\Temp\OnboardLogs"\RTDC4013\2017-03-14 --exclude "*" --recursive --include "*20170314*" &amp; "%USERPROFILE%\Documents\GitHub\mrs-test-scripts\Headless Mode &amp; Sideloading\WalkAndUnGZ.bat" "%USERPROFILE%\AppData\Local\Temp\OnboardLogs"\RTDC4013\2017-03-14 &amp; aws s3 cp s3://rtdc.mdm.uploadarchive.raw/RTDC4013/ "%USERPROFILE%\AppData\Local\Temp\OnboardLogs"\RTDC4013\2017-03-15 --exclude "*" --recursive --include "*20170315*" &amp; "%USERPROFILE%\Documents\GitHub\mrs-test-scripts\Headless Mode &amp; Sideloading\WalkAndUnGZ.bat" "%USERPROFILE%\AppData\Local\Temp\OnboardLogs"\RTDC4013\2017-03-15</v>
      </c>
      <c r="AF251" s="82" t="str">
        <f t="shared" si="81"/>
        <v>"C:\Program Files (x86)\AstroGrep\AstroGrep.exe" /e /r /s /spath="%USERPROFILE%\AppData\Local\Temp\OnboardLogs" /stypes="app*4013*20170314*" /stext=" 17:.+((SYSTEM_STATE.+slice.+state.+changed )|(ment ac)|(multiple cpu faults)|(system.+state.+changed )|(\[timeout)|(PRM\|1\|D)|(kpr)|(kdp)|(\|lc)|(penalty))"</v>
      </c>
      <c r="AG251" s="1" t="str">
        <f t="shared" si="82"/>
        <v>Other</v>
      </c>
      <c r="AH251" s="86" t="str">
        <f t="shared" si="83"/>
        <v>"%USERPROFILE%\Documents\GitHub\eaglep3\Utilities\RefineRTDCRunTimes.py" --tripid 54-14 --locoid 4013 --swversion DE.1.0.9.0 --startMP 300:22017 --initTime 2017-03-14T10:52:40 --startdatetime 2017-03-14T11:05:19 --delay 12 --endMP 8.53611111111111 --enddatetime 2017-03-14T11:14:02 --enforcementcount 0 &gt;&gt;C:\Users\stu\Documents\GitHub\eaglep3-reporting\EC\2017-03-14-refined-times.txt</v>
      </c>
      <c r="AI251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61111111.1111"},{"id":17,"name":"Train ID","value":"54-14"},{"id":16,"name":"Locomotive ID","value":"4013"},{"id":130,"name":"Impact","value":""},{"id":150,"name":"Time of Event (Mountain Time)","value":"11:14:02"},{"id":151,"name":"Denver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48"/>
      <c r="AK251" s="48"/>
      <c r="AL251" s="48"/>
      <c r="AM251" s="154" t="str">
        <f t="shared" si="85"/>
        <v>start /low /b %USERPROFILE%\Documents\GitHub\eaglep3\Utilities\DownloadLogsFromS3.py --loco 4013 --day 2017-03-14</v>
      </c>
      <c r="AN251" s="163" t="str">
        <f>"grep -SE -B400 ""CHR.+\|PRM\|1\|D.+(SWITCH|SIGNAL).+UNKNOWN"" "&amp;search_path&amp;"\RTDC"&amp;B251&amp;"\*"&amp;B251&amp;"*"&amp;TEXT(AVERAGE(F251,I251)-utc_offset/24,"YYYYMMDD")&amp;"*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"%USERPROFILE%\AppData\Local\Temp\OnboardLogs"\RTDC4013\*4013*20170314* | grep -SE "(Enforcement Action)|(\[TIMEOUT)|(CHR.+\|PRM\|1\|D.+(SWITCH|SIGNAL).+UNKNOWN)" - &gt;&gt; 2017-03-14-UncaughtWiMAX.txt</v>
      </c>
    </row>
    <row r="252" spans="1:40" x14ac:dyDescent="0.25">
      <c r="A252" s="33" t="s">
        <v>694</v>
      </c>
      <c r="B252" s="7">
        <v>4014</v>
      </c>
      <c r="C252" s="21" t="s">
        <v>233</v>
      </c>
      <c r="D252" s="21" t="s">
        <v>936</v>
      </c>
      <c r="E252" s="13">
        <v>42808.487650462965</v>
      </c>
      <c r="F252" s="13">
        <v>42808.48878472222</v>
      </c>
      <c r="G252" s="7">
        <v>1</v>
      </c>
      <c r="H252" s="21" t="s">
        <v>937</v>
      </c>
      <c r="I252" s="13">
        <v>42808.495474537034</v>
      </c>
      <c r="J252" s="7">
        <v>0</v>
      </c>
      <c r="K252" s="98" t="str">
        <f t="shared" si="72"/>
        <v>4013/4014</v>
      </c>
      <c r="L252" s="21" t="str">
        <f>VLOOKUP(A252,'Trips&amp;Operators'!$C$1:$G$99999,5,FALSE)</f>
        <v>DAVIS WENDY</v>
      </c>
      <c r="M252" s="6">
        <f t="shared" si="73"/>
        <v>6.6898148143081926E-3</v>
      </c>
      <c r="N252" s="7">
        <f t="shared" si="91"/>
        <v>9.6333333326037973</v>
      </c>
      <c r="O252" s="7"/>
      <c r="P252" s="7"/>
      <c r="Q252" s="22"/>
      <c r="R252" s="22"/>
      <c r="S252" s="31">
        <f t="shared" si="92"/>
        <v>0</v>
      </c>
      <c r="T252" s="46" t="e">
        <f t="shared" si="74"/>
        <v>#VALUE!</v>
      </c>
      <c r="U252" s="18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86" t="str">
        <f t="shared" si="75"/>
        <v>https://d0f6bd738d7f1b3e5a7ca70fe4ff75f0.us-east-1.aws.found.io/app/kibana#/discover/Steve-Slow-Train-Analysis-(2080s-and-2083s)?_g=(refreshInterval:(display:Off,pause:!f,section:0,value:0),time:(from:'2017-03-14T10:42:13-0600',mode:absolute,to:'2017-03-14T12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2" s="187" t="str">
        <f t="shared" si="76"/>
        <v>Y</v>
      </c>
      <c r="X252" s="187" t="e">
        <f t="shared" si="89"/>
        <v>#VALUE!</v>
      </c>
      <c r="Y252" s="62">
        <f t="shared" si="77"/>
        <v>3.7699999999999997E-2</v>
      </c>
      <c r="Z252" s="62">
        <f t="shared" si="90"/>
        <v>2.4211999999999998</v>
      </c>
      <c r="AA252" s="62">
        <f t="shared" si="78"/>
        <v>2.3834999999999997</v>
      </c>
      <c r="AB252" s="59" t="e">
        <f>VLOOKUP(A252,Enforcements!$C$7:$K$13,8,0)</f>
        <v>#N/A</v>
      </c>
      <c r="AC252" s="55" t="e">
        <f>VLOOKUP(A252,Enforcements!$C$7:$E$13,3,0)</f>
        <v>#N/A</v>
      </c>
      <c r="AD252" s="56" t="str">
        <f t="shared" si="79"/>
        <v>55-14</v>
      </c>
      <c r="AE252" s="85" t="str">
        <f t="shared" si="80"/>
        <v>aws s3 cp s3://rtdc.mdm.uploadarchive.raw/RTDC4014/ "%USERPROFILE%\AppData\Local\Temp\OnboardLogs"\RTDC4014\2017-03-14 --exclude "*" --recursive --include "*20170314*" &amp; "%USERPROFILE%\Documents\GitHub\mrs-test-scripts\Headless Mode &amp; Sideloading\WalkAndUnGZ.bat" "%USERPROFILE%\AppData\Local\Temp\OnboardLogs"\RTDC4014\2017-03-14 &amp; aws s3 cp s3://rtdc.mdm.uploadarchive.raw/RTDC4014/ "%USERPROFILE%\AppData\Local\Temp\OnboardLogs"\RTDC4014\2017-03-15 --exclude "*" --recursive --include "*20170315*" &amp; "%USERPROFILE%\Documents\GitHub\mrs-test-scripts\Headless Mode &amp; Sideloading\WalkAndUnGZ.bat" "%USERPROFILE%\AppData\Local\Temp\OnboardLogs"\RTDC4014\2017-03-15</v>
      </c>
      <c r="AF252" s="82" t="str">
        <f t="shared" si="81"/>
        <v>"C:\Program Files (x86)\AstroGrep\AstroGrep.exe" /e /r /s /spath="%USERPROFILE%\AppData\Local\Temp\OnboardLogs" /stypes="app*4014*20170314*" /stext=" 17:.+((SYSTEM_STATE.+slice.+state.+changed )|(ment ac)|(multiple cpu faults)|(system.+state.+changed )|(\[timeout)|(PRM\|1\|D)|(kpr)|(kdp)|(\|lc)|(penalty))"</v>
      </c>
      <c r="AG252" s="1" t="str">
        <f t="shared" si="82"/>
        <v>Other</v>
      </c>
      <c r="AH252" s="86" t="str">
        <f t="shared" si="83"/>
        <v>"%USERPROFILE%\Documents\GitHub\eaglep3\Utilities\RefineRTDCRunTimes.py" --tripid 55-14 --locoid 4014 --swversion DE.1.0.9.0 --startMP 204:377 --initTime 2017-03-14T11:42:13 --startdatetime 2017-03-14T11:43:51 --delay 1 --endMP 300:24212 --enddatetime 2017-03-14T11:53:29 --enforcementcount 0 &gt;&gt;C:\Users\stu\Documents\GitHub\eaglep3-reporting\EC\2017-03-14-refined-times.txt</v>
      </c>
      <c r="AI252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{"issue":{"subject":"","project_id":79,"tracker_id":40,"status_id":1,"priority_id":2,"assigned_to_id":23,"start_date":"2017-03-14","description":"","custom_fields":[{"id":1,"name":"Subdivision","value":"Other"},{"id":4,"name":"Milepost","value":"2.4212"},{"id":17,"name":"Train ID","value":"55-14"},{"id":16,"name":"Locomotive ID","value":"4014"},{"id":130,"name":"Impact","value":""},{"id":150,"name":"Time of Event (Mountain Time)","value":"11:53:29"},{"id":151,"name":"Denver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48"/>
      <c r="AK252" s="48"/>
      <c r="AL252" s="48"/>
      <c r="AM252" s="154" t="str">
        <f t="shared" si="85"/>
        <v>start /low /b %USERPROFILE%\Documents\GitHub\eaglep3\Utilities\DownloadLogsFromS3.py --loco 4014 --day 2017-03-14</v>
      </c>
      <c r="AN252" s="163" t="str">
        <f>"grep -SE -B400 ""CHR.+\|PRM\|1\|D.+(SWITCH|SIGNAL).+UNKNOWN"" "&amp;search_path&amp;"\RTDC"&amp;B252&amp;"\*"&amp;B252&amp;"*"&amp;TEXT(AVERAGE(F252,I252)-utc_offset/24,"YYYYMMDD")&amp;"*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"%USERPROFILE%\AppData\Local\Temp\OnboardLogs"\RTDC4014\*4014*20170314* | grep -SE "(Enforcement Action)|(\[TIMEOUT)|(CHR.+\|PRM\|1\|D.+(SWITCH|SIGNAL).+UNKNOWN)" - &gt;&gt; 2017-03-14-UncaughtWiMAX.txt</v>
      </c>
    </row>
    <row r="253" spans="1:40" x14ac:dyDescent="0.25">
      <c r="A253" s="33" t="s">
        <v>591</v>
      </c>
      <c r="B253" s="7">
        <v>4013</v>
      </c>
      <c r="C253" s="21" t="s">
        <v>233</v>
      </c>
      <c r="D253" s="21" t="s">
        <v>938</v>
      </c>
      <c r="E253" s="13">
        <v>42808.734386574077</v>
      </c>
      <c r="F253" s="13">
        <v>42808.744050925925</v>
      </c>
      <c r="G253" s="7">
        <v>13</v>
      </c>
      <c r="H253" s="21" t="s">
        <v>939</v>
      </c>
      <c r="I253" s="13">
        <v>42808.750462962962</v>
      </c>
      <c r="J253" s="7">
        <v>0</v>
      </c>
      <c r="K253" s="98" t="str">
        <f t="shared" si="72"/>
        <v>4013/4014</v>
      </c>
      <c r="L253" s="21" t="str">
        <f>VLOOKUP(A253,'Trips&amp;Operators'!$C$1:$G$99999,5,FALSE)</f>
        <v>STORY SAMANTHA</v>
      </c>
      <c r="M253" s="6">
        <f t="shared" si="73"/>
        <v>6.4120370370801538E-3</v>
      </c>
      <c r="N253" s="7">
        <f t="shared" si="91"/>
        <v>9.2333333333954215</v>
      </c>
      <c r="O253" s="7"/>
      <c r="P253" s="7"/>
      <c r="Q253" s="22"/>
      <c r="R253" s="22"/>
      <c r="S253" s="31">
        <f t="shared" si="92"/>
        <v>0</v>
      </c>
      <c r="T253" s="46" t="e">
        <f t="shared" si="74"/>
        <v>#VALUE!</v>
      </c>
      <c r="U253" s="18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86" t="str">
        <f t="shared" si="75"/>
        <v>https://d0f6bd738d7f1b3e5a7ca70fe4ff75f0.us-east-1.aws.found.io/app/kibana#/discover/Steve-Slow-Train-Analysis-(2080s-and-2083s)?_g=(refreshInterval:(display:Off,pause:!f,section:0,value:0),time:(from:'2017-03-14T16:37:31-0600',mode:absolute,to:'2017-03-14T19:00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3" s="187" t="str">
        <f t="shared" si="76"/>
        <v>Y</v>
      </c>
      <c r="X253" s="187" t="e">
        <f t="shared" si="89"/>
        <v>#VALUE!</v>
      </c>
      <c r="Y253" s="62">
        <f t="shared" si="77"/>
        <v>2.3228</v>
      </c>
      <c r="Z253" s="62">
        <f t="shared" si="90"/>
        <v>8.0999999999999996E-3</v>
      </c>
      <c r="AA253" s="62">
        <f t="shared" si="78"/>
        <v>2.3146999999999998</v>
      </c>
      <c r="AB253" s="59" t="e">
        <f>VLOOKUP(A253,Enforcements!$C$7:$K$13,8,0)</f>
        <v>#N/A</v>
      </c>
      <c r="AC253" s="55" t="e">
        <f>VLOOKUP(A253,Enforcements!$C$7:$E$13,3,0)</f>
        <v>#N/A</v>
      </c>
      <c r="AD253" s="56" t="str">
        <f t="shared" si="79"/>
        <v>56-14</v>
      </c>
      <c r="AE253" s="85" t="str">
        <f t="shared" si="80"/>
        <v>aws s3 cp s3://rtdc.mdm.uploadarchive.raw/RTDC4013/ "%USERPROFILE%\AppData\Local\Temp\OnboardLogs"\RTDC4013\2017-03-14 --exclude "*" --recursive --include "*20170314*" &amp; "%USERPROFILE%\Documents\GitHub\mrs-test-scripts\Headless Mode &amp; Sideloading\WalkAndUnGZ.bat" "%USERPROFILE%\AppData\Local\Temp\OnboardLogs"\RTDC4013\2017-03-14 &amp; aws s3 cp s3://rtdc.mdm.uploadarchive.raw/RTDC4013/ "%USERPROFILE%\AppData\Local\Temp\OnboardLogs"\RTDC4013\2017-03-15 --exclude "*" --recursive --include "*20170315*" &amp; "%USERPROFILE%\Documents\GitHub\mrs-test-scripts\Headless Mode &amp; Sideloading\WalkAndUnGZ.bat" "%USERPROFILE%\AppData\Local\Temp\OnboardLogs"\RTDC4013\2017-03-15</v>
      </c>
      <c r="AF253" s="82" t="str">
        <f t="shared" si="81"/>
        <v>"C:\Program Files (x86)\AstroGrep\AstroGrep.exe" /e /r /s /spath="%USERPROFILE%\AppData\Local\Temp\OnboardLogs" /stypes="app*4013*20170315*" /stext=" 00:.+((SYSTEM_STATE.+slice.+state.+changed )|(ment ac)|(multiple cpu faults)|(system.+state.+changed )|(\[timeout)|(PRM\|1\|D)|(kpr)|(kdp)|(\|lc)|(penalty))"</v>
      </c>
      <c r="AG253" s="1" t="str">
        <f t="shared" si="82"/>
        <v>Other</v>
      </c>
      <c r="AH253" s="86" t="str">
        <f t="shared" si="83"/>
        <v>"%USERPROFILE%\Documents\GitHub\eaglep3\Utilities\RefineRTDCRunTimes.py" --tripid 56-14 --locoid 4013 --swversion DE.1.0.9.0 --startMP 300:23228 --initTime 2017-03-14T17:37:31 --startdatetime 2017-03-14T17:51:26 --delay 13 --endMP 204:81 --enddatetime 2017-03-14T18:00:40 --enforcementcount 0 &gt;&gt;C:\Users\stu\Documents\GitHub\eaglep3-reporting\EC\2017-03-14-refined-times.txt</v>
      </c>
      <c r="AI253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{"issue":{"subject":"","project_id":79,"tracker_id":40,"status_id":1,"priority_id":2,"assigned_to_id":23,"start_date":"2017-03-14","description":"","custom_fields":[{"id":1,"name":"Subdivision","value":"Other"},{"id":4,"name":"Milepost","value":"0.0081"},{"id":17,"name":"Train ID","value":"56-14"},{"id":16,"name":"Locomotive ID","value":"4013"},{"id":130,"name":"Impact","value":""},{"id":150,"name":"Time of Event (Mountain Time)","value":"18:00:40"},{"id":151,"name":"Denver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48"/>
      <c r="AK253" s="48"/>
      <c r="AL253" s="48"/>
      <c r="AM253" s="154" t="str">
        <f t="shared" si="85"/>
        <v>start /low /b %USERPROFILE%\Documents\GitHub\eaglep3\Utilities\DownloadLogsFromS3.py --loco 4013 --day 2017-03-14</v>
      </c>
      <c r="AN253" s="163" t="str">
        <f>"grep -SE -B400 ""CHR.+\|PRM\|1\|D.+(SWITCH|SIGNAL).+UNKNOWN"" "&amp;search_path&amp;"\RTDC"&amp;B253&amp;"\*"&amp;B253&amp;"*"&amp;TEXT(AVERAGE(F253,I253)-utc_offset/24,"YYYYMMDD")&amp;"*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"%USERPROFILE%\AppData\Local\Temp\OnboardLogs"\RTDC4013\*4013*20170314* | grep -SE "(Enforcement Action)|(\[TIMEOUT)|(CHR.+\|PRM\|1\|D.+(SWITCH|SIGNAL).+UNKNOWN)" - &gt;&gt; 2017-03-14-UncaughtWiMAX.txt</v>
      </c>
    </row>
    <row r="254" spans="1:40" x14ac:dyDescent="0.25">
      <c r="A254" s="33" t="s">
        <v>754</v>
      </c>
      <c r="B254" s="7">
        <v>4030</v>
      </c>
      <c r="C254" s="21" t="s">
        <v>233</v>
      </c>
      <c r="D254" s="21" t="s">
        <v>940</v>
      </c>
      <c r="E254" s="13">
        <v>42808.738599537035</v>
      </c>
      <c r="F254" s="13">
        <v>42808.746851851851</v>
      </c>
      <c r="G254" s="7">
        <v>11</v>
      </c>
      <c r="H254" s="21" t="s">
        <v>941</v>
      </c>
      <c r="I254" s="13">
        <v>42808.753067129626</v>
      </c>
      <c r="J254" s="7">
        <v>0</v>
      </c>
      <c r="K254" s="98" t="str">
        <f t="shared" si="72"/>
        <v>4029/4030</v>
      </c>
      <c r="L254" s="21" t="str">
        <f>VLOOKUP(A254,'Trips&amp;Operators'!$C$1:$G$99999,5,FALSE)</f>
        <v>DUNCAN SHEILA</v>
      </c>
      <c r="M254" s="6">
        <f t="shared" si="73"/>
        <v>6.2152777754818089E-3</v>
      </c>
      <c r="N254" s="7">
        <f t="shared" si="91"/>
        <v>8.9499999966938049</v>
      </c>
      <c r="O254" s="7"/>
      <c r="P254" s="7"/>
      <c r="Q254" s="22"/>
      <c r="R254" s="22"/>
      <c r="S254" s="31">
        <f t="shared" si="92"/>
        <v>0</v>
      </c>
      <c r="T254" s="46" t="e">
        <f t="shared" si="74"/>
        <v>#VALUE!</v>
      </c>
      <c r="U254" s="18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86" t="str">
        <f t="shared" si="75"/>
        <v>https://d0f6bd738d7f1b3e5a7ca70fe4ff75f0.us-east-1.aws.found.io/app/kibana#/discover/Steve-Slow-Train-Analysis-(2080s-and-2083s)?_g=(refreshInterval:(display:Off,pause:!f,section:0,value:0),time:(from:'2017-03-14T16:43:35-0600',mode:absolute,to:'2017-03-14T19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4" s="187" t="str">
        <f t="shared" si="76"/>
        <v>Y</v>
      </c>
      <c r="X254" s="187" t="e">
        <f t="shared" si="89"/>
        <v>#VALUE!</v>
      </c>
      <c r="Y254" s="62">
        <f t="shared" si="77"/>
        <v>2.1991999999999998</v>
      </c>
      <c r="Z254" s="62">
        <f t="shared" si="90"/>
        <v>0.21759999999999999</v>
      </c>
      <c r="AA254" s="62">
        <f t="shared" si="78"/>
        <v>1.9815999999999998</v>
      </c>
      <c r="AB254" s="59" t="e">
        <f>VLOOKUP(A254,Enforcements!$C$7:$K$13,8,0)</f>
        <v>#N/A</v>
      </c>
      <c r="AC254" s="55" t="e">
        <f>VLOOKUP(A254,Enforcements!$C$7:$E$13,3,0)</f>
        <v>#N/A</v>
      </c>
      <c r="AD254" s="56" t="str">
        <f t="shared" si="79"/>
        <v>58-14</v>
      </c>
      <c r="AE254" s="85" t="str">
        <f t="shared" si="80"/>
        <v>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 &amp; 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</v>
      </c>
      <c r="AF254" s="82" t="str">
        <f t="shared" si="81"/>
        <v>"C:\Program Files (x86)\AstroGrep\AstroGrep.exe" /e /r /s /spath="%USERPROFILE%\AppData\Local\Temp\OnboardLogs" /stypes="app*4030*20170315*" /stext=" 00:.+((SYSTEM_STATE.+slice.+state.+changed )|(ment ac)|(multiple cpu faults)|(system.+state.+changed )|(\[timeout)|(PRM\|1\|D)|(kpr)|(kdp)|(\|lc)|(penalty))"</v>
      </c>
      <c r="AG254" s="1" t="str">
        <f t="shared" si="82"/>
        <v>Other</v>
      </c>
      <c r="AH254" s="86" t="str">
        <f t="shared" si="83"/>
        <v>"%USERPROFILE%\Documents\GitHub\eaglep3\Utilities\RefineRTDCRunTimes.py" --tripid 58-14 --locoid 4030 --swversion DE.1.0.9.0 --startMP 300:21992 --initTime 2017-03-14T17:43:35 --startdatetime 2017-03-14T17:55:28 --delay 11 --endMP 204:2176 --enddatetime 2017-03-14T18:04:25 --enforcementcount 0 &gt;&gt;C:\Users\stu\Documents\GitHub\eaglep3-reporting\EC\2017-03-14-refined-times.txt</v>
      </c>
      <c r="AI254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{"issue":{"subject":"","project_id":79,"tracker_id":40,"status_id":1,"priority_id":2,"assigned_to_id":23,"start_date":"2017-03-14","description":"","custom_fields":[{"id":1,"name":"Subdivision","value":"Other"},{"id":4,"name":"Milepost","value":"0.2176"},{"id":17,"name":"Train ID","value":"58-14"},{"id":16,"name":"Locomotive ID","value":"4030"},{"id":130,"name":"Impact","value":""},{"id":150,"name":"Time of Event (Mountain Time)","value":"18:04:25"},{"id":151,"name":"Denver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48"/>
      <c r="AK254" s="48"/>
      <c r="AL254" s="48"/>
      <c r="AM254" s="154" t="str">
        <f t="shared" si="85"/>
        <v>start /low /b %USERPROFILE%\Documents\GitHub\eaglep3\Utilities\DownloadLogsFromS3.py --loco 4030 --day 2017-03-14</v>
      </c>
      <c r="AN254" s="163" t="str">
        <f>"grep -SE -B400 ""CHR.+\|PRM\|1\|D.+(SWITCH|SIGNAL).+UNKNOWN"" "&amp;search_path&amp;"\RTDC"&amp;B254&amp;"\*"&amp;B254&amp;"*"&amp;TEXT(AVERAGE(F254,I254)-utc_offset/24,"YYYYMMDD")&amp;"*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"%USERPROFILE%\AppData\Local\Temp\OnboardLogs"\RTDC4030\*4030*20170314* | grep -SE "(Enforcement Action)|(\[TIMEOUT)|(CHR.+\|PRM\|1\|D.+(SWITCH|SIGNAL).+UNKNOWN)" - &gt;&gt; 2017-03-14-UncaughtWiMAX.txt</v>
      </c>
    </row>
    <row r="255" spans="1:40" x14ac:dyDescent="0.25">
      <c r="A255" s="33" t="s">
        <v>590</v>
      </c>
      <c r="B255" s="7">
        <v>4025</v>
      </c>
      <c r="C255" s="21" t="s">
        <v>233</v>
      </c>
      <c r="D255" s="21" t="s">
        <v>942</v>
      </c>
      <c r="E255" s="13">
        <v>42808.731064814812</v>
      </c>
      <c r="F255" s="13">
        <v>42808.732546296298</v>
      </c>
      <c r="G255" s="7">
        <v>2</v>
      </c>
      <c r="H255" s="21" t="s">
        <v>943</v>
      </c>
      <c r="I255" s="13">
        <v>42808.734502314815</v>
      </c>
      <c r="J255" s="7">
        <v>0</v>
      </c>
      <c r="K255" s="98" t="str">
        <f t="shared" si="72"/>
        <v>4025/4026</v>
      </c>
      <c r="L255" s="21" t="str">
        <f>VLOOKUP(A255,'Trips&amp;Operators'!$C$1:$G$99999,5,FALSE)</f>
        <v>MAYBERRY BILL</v>
      </c>
      <c r="M255" s="6">
        <f t="shared" si="73"/>
        <v>1.9560185173759237E-3</v>
      </c>
      <c r="N255" s="7">
        <f t="shared" si="91"/>
        <v>2.8166666650213301</v>
      </c>
      <c r="O255" s="7"/>
      <c r="P255" s="7"/>
      <c r="Q255" s="22"/>
      <c r="R255" s="22"/>
      <c r="S255" s="31">
        <f t="shared" si="92"/>
        <v>0</v>
      </c>
      <c r="T255" s="46" t="e">
        <f t="shared" si="74"/>
        <v>#VALUE!</v>
      </c>
      <c r="U255" s="18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86" t="str">
        <f t="shared" si="75"/>
        <v>https://d0f6bd738d7f1b3e5a7ca70fe4ff75f0.us-east-1.aws.found.io/app/kibana#/discover/Steve-Slow-Train-Analysis-(2080s-and-2083s)?_g=(refreshInterval:(display:Off,pause:!f,section:0,value:0),time:(from:'2017-03-14T16:32:44-0600',mode:absolute,to:'2017-03-14T18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55" s="187" t="str">
        <f t="shared" si="76"/>
        <v>Y</v>
      </c>
      <c r="X255" s="187" t="e">
        <f t="shared" si="89"/>
        <v>#VALUE!</v>
      </c>
      <c r="Y255" s="62">
        <f t="shared" si="77"/>
        <v>0.14860000000000001</v>
      </c>
      <c r="Z255" s="62">
        <f t="shared" si="90"/>
        <v>0.18410000000000001</v>
      </c>
      <c r="AA255" s="62">
        <f t="shared" si="78"/>
        <v>3.5500000000000004E-2</v>
      </c>
      <c r="AB255" s="59" t="e">
        <f>VLOOKUP(A255,Enforcements!$C$7:$K$13,8,0)</f>
        <v>#N/A</v>
      </c>
      <c r="AC255" s="55" t="e">
        <f>VLOOKUP(A255,Enforcements!$C$7:$E$13,3,0)</f>
        <v>#N/A</v>
      </c>
      <c r="AD255" s="56" t="str">
        <f t="shared" si="79"/>
        <v>71-14</v>
      </c>
      <c r="AE255" s="85" t="str">
        <f t="shared" si="80"/>
        <v>aws s3 cp s3://rtdc.mdm.uploadarchive.raw/RTDC4025/ "%USERPROFILE%\AppData\Local\Temp\OnboardLogs"\RTDC4025\2017-03-14 --exclude "*" --recursive --include "*20170314*" &amp; "%USERPROFILE%\Documents\GitHub\mrs-test-scripts\Headless Mode &amp; Sideloading\WalkAndUnGZ.bat" "%USERPROFILE%\AppData\Local\Temp\OnboardLogs"\RTDC4025\2017-03-14 &amp; 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</v>
      </c>
      <c r="AF255" s="82" t="str">
        <f t="shared" si="81"/>
        <v>"C:\Program Files (x86)\AstroGrep\AstroGrep.exe" /e /r /s /spath="%USERPROFILE%\AppData\Local\Temp\OnboardLogs" /stypes="app*4025*20170314*" /stext=" 23:.+((SYSTEM_STATE.+slice.+state.+changed )|(ment ac)|(multiple cpu faults)|(system.+state.+changed )|(\[timeout)|(PRM\|1\|D)|(kpr)|(kdp)|(\|lc)|(penalty))"</v>
      </c>
      <c r="AG255" s="1" t="str">
        <f t="shared" si="82"/>
        <v>Other</v>
      </c>
      <c r="AH255" s="86" t="str">
        <f t="shared" si="83"/>
        <v>"%USERPROFILE%\Documents\GitHub\eaglep3\Utilities\RefineRTDCRunTimes.py" --tripid 71-14 --locoid 4025 --swversion DE.1.0.9.0 --startMP 204:1486 --initTime 2017-03-14T17:32:44 --startdatetime 2017-03-14T17:34:52 --delay 2 --endMP 204:1841 --enddatetime 2017-03-14T17:37:41 --enforcementcount 0 &gt;&gt;C:\Users\stu\Documents\GitHub\eaglep3-reporting\EC\2017-03-14-refined-times.txt</v>
      </c>
      <c r="AI255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{"issue":{"subject":"","project_id":79,"tracker_id":40,"status_id":1,"priority_id":2,"assigned_to_id":23,"start_date":"2017-03-14","description":"","custom_fields":[{"id":1,"name":"Subdivision","value":"Other"},{"id":4,"name":"Milepost","value":"0.1841"},{"id":17,"name":"Train ID","value":"71-14"},{"id":16,"name":"Locomotive ID","value":"4025"},{"id":130,"name":"Impact","value":""},{"id":150,"name":"Time of Event (Mountain Time)","value":"17:37:41"},{"id":151,"name":"Denver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48"/>
      <c r="AK255" s="48"/>
      <c r="AL255" s="48"/>
      <c r="AM255" s="154" t="str">
        <f t="shared" si="85"/>
        <v>start /low /b %USERPROFILE%\Documents\GitHub\eaglep3\Utilities\DownloadLogsFromS3.py --loco 4025 --day 2017-03-14</v>
      </c>
      <c r="AN255" s="163" t="str">
        <f>"grep -SE -B400 ""CHR.+\|PRM\|1\|D.+(SWITCH|SIGNAL).+UNKNOWN"" "&amp;search_path&amp;"\RTDC"&amp;B255&amp;"\*"&amp;B255&amp;"*"&amp;TEXT(AVERAGE(F255,I255)-utc_offset/24,"YYYYMMDD")&amp;"*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"%USERPROFILE%\AppData\Local\Temp\OnboardLogs"\RTDC4025\*4025*20170314* | grep -SE "(Enforcement Action)|(\[TIMEOUT)|(CHR.+\|PRM\|1\|D.+(SWITCH|SIGNAL).+UNKNOWN)" - &gt;&gt; 2017-03-14-UncaughtWiMAX.txt</v>
      </c>
    </row>
    <row r="256" spans="1:40" x14ac:dyDescent="0.25">
      <c r="A256" s="33" t="s">
        <v>590</v>
      </c>
      <c r="B256" s="7">
        <v>4025</v>
      </c>
      <c r="C256" s="21" t="s">
        <v>233</v>
      </c>
      <c r="D256" s="21" t="s">
        <v>944</v>
      </c>
      <c r="E256" s="13">
        <v>42808.736226851855</v>
      </c>
      <c r="F256" s="13">
        <v>42808.736909722225</v>
      </c>
      <c r="G256" s="7">
        <v>0</v>
      </c>
      <c r="H256" s="21" t="s">
        <v>457</v>
      </c>
      <c r="I256" s="13">
        <v>42808.741759259261</v>
      </c>
      <c r="J256" s="7">
        <v>0</v>
      </c>
      <c r="K256" s="98" t="str">
        <f t="shared" si="72"/>
        <v>4025/4026</v>
      </c>
      <c r="L256" s="21" t="str">
        <f>VLOOKUP(A256,'Trips&amp;Operators'!$C$1:$G$99999,5,FALSE)</f>
        <v>MAYBERRY BILL</v>
      </c>
      <c r="M256" s="6">
        <f t="shared" si="73"/>
        <v>4.8495370356249623E-3</v>
      </c>
      <c r="N256" s="7">
        <f t="shared" si="91"/>
        <v>6.9833333312999457</v>
      </c>
      <c r="O256" s="7"/>
      <c r="P256" s="7"/>
      <c r="Q256" s="22"/>
      <c r="R256" s="22"/>
      <c r="S256" s="31">
        <f t="shared" si="92"/>
        <v>0</v>
      </c>
      <c r="T256" s="46" t="e">
        <f t="shared" si="74"/>
        <v>#VALUE!</v>
      </c>
      <c r="U256" s="185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86" t="str">
        <f t="shared" si="75"/>
        <v>https://d0f6bd738d7f1b3e5a7ca70fe4ff75f0.us-east-1.aws.found.io/app/kibana#/discover/Steve-Slow-Train-Analysis-(2080s-and-2083s)?_g=(refreshInterval:(display:Off,pause:!f,section:0,value:0),time:(from:'2017-03-14T16:40:10-0600',mode:absolute,to:'2017-03-14T18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56" s="187" t="str">
        <f t="shared" si="76"/>
        <v>Y</v>
      </c>
      <c r="X256" s="187" t="e">
        <f t="shared" si="89"/>
        <v>#VALUE!</v>
      </c>
      <c r="Y256" s="62">
        <f t="shared" si="77"/>
        <v>0.76910000000000001</v>
      </c>
      <c r="Z256" s="62">
        <f t="shared" si="90"/>
        <v>2.3346</v>
      </c>
      <c r="AA256" s="62">
        <f t="shared" si="78"/>
        <v>1.5655000000000001</v>
      </c>
      <c r="AB256" s="59" t="e">
        <f>VLOOKUP(A256,Enforcements!$C$7:$K$13,8,0)</f>
        <v>#N/A</v>
      </c>
      <c r="AC256" s="55" t="e">
        <f>VLOOKUP(A256,Enforcements!$C$7:$E$13,3,0)</f>
        <v>#N/A</v>
      </c>
      <c r="AD256" s="56" t="str">
        <f t="shared" si="79"/>
        <v>71-14</v>
      </c>
      <c r="AE256" s="85" t="str">
        <f t="shared" si="80"/>
        <v>aws s3 cp s3://rtdc.mdm.uploadarchive.raw/RTDC4025/ "%USERPROFILE%\AppData\Local\Temp\OnboardLogs"\RTDC4025\2017-03-14 --exclude "*" --recursive --include "*20170314*" &amp; "%USERPROFILE%\Documents\GitHub\mrs-test-scripts\Headless Mode &amp; Sideloading\WalkAndUnGZ.bat" "%USERPROFILE%\AppData\Local\Temp\OnboardLogs"\RTDC4025\2017-03-14 &amp; 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</v>
      </c>
      <c r="AF256" s="82" t="str">
        <f t="shared" si="81"/>
        <v>"C:\Program Files (x86)\AstroGrep\AstroGrep.exe" /e /r /s /spath="%USERPROFILE%\AppData\Local\Temp\OnboardLogs" /stypes="app*4025*20170314*" /stext=" 23:.+((SYSTEM_STATE.+slice.+state.+changed )|(ment ac)|(multiple cpu faults)|(system.+state.+changed )|(\[timeout)|(PRM\|1\|D)|(kpr)|(kdp)|(\|lc)|(penalty))"</v>
      </c>
      <c r="AG256" s="1" t="str">
        <f t="shared" si="82"/>
        <v>Other</v>
      </c>
      <c r="AH256" s="86" t="str">
        <f t="shared" si="83"/>
        <v>"%USERPROFILE%\Documents\GitHub\eaglep3\Utilities\RefineRTDCRunTimes.py" --tripid 71-14 --locoid 4025 --swversion DE.1.0.9.0 --startMP 300:7691 --initTime 2017-03-14T17:40:10 --startdatetime 2017-03-14T17:41:09 --delay 0 --endMP 300:23346 --enddatetime 2017-03-14T17:48:08 --enforcementcount 0 &gt;&gt;C:\Users\stu\Documents\GitHub\eaglep3-reporting\EC\2017-03-14-refined-times.txt</v>
      </c>
      <c r="AI256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{"issue":{"subject":"","project_id":79,"tracker_id":40,"status_id":1,"priority_id":2,"assigned_to_id":23,"start_date":"2017-03-14","description":"","custom_fields":[{"id":1,"name":"Subdivision","value":"Other"},{"id":4,"name":"Milepost","value":"2.3346"},{"id":17,"name":"Train ID","value":"71-14"},{"id":16,"name":"Locomotive ID","value":"4025"},{"id":130,"name":"Impact","value":""},{"id":150,"name":"Time of Event (Mountain Time)","value":"17:48:08"},{"id":151,"name":"Denver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48"/>
      <c r="AK256" s="48"/>
      <c r="AL256" s="48"/>
      <c r="AM256" s="154" t="str">
        <f t="shared" si="85"/>
        <v>start /low /b %USERPROFILE%\Documents\GitHub\eaglep3\Utilities\DownloadLogsFromS3.py --loco 4025 --day 2017-03-14</v>
      </c>
      <c r="AN256" s="163" t="str">
        <f>"grep -SE -B400 ""CHR.+\|PRM\|1\|D.+(SWITCH|SIGNAL).+UNKNOWN"" "&amp;search_path&amp;"\RTDC"&amp;B256&amp;"\*"&amp;B256&amp;"*"&amp;TEXT(AVERAGE(F256,I256)-utc_offset/24,"YYYYMMDD")&amp;"*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"%USERPROFILE%\AppData\Local\Temp\OnboardLogs"\RTDC4025\*4025*20170314* | grep -SE "(Enforcement Action)|(\[TIMEOUT)|(CHR.+\|PRM\|1\|D.+(SWITCH|SIGNAL).+UNKNOWN)" - &gt;&gt; 2017-03-14-UncaughtWiMAX.txt</v>
      </c>
    </row>
    <row r="257" spans="1:40" x14ac:dyDescent="0.25">
      <c r="A257" s="33" t="s">
        <v>597</v>
      </c>
      <c r="B257" s="7">
        <v>4064</v>
      </c>
      <c r="C257" s="21" t="s">
        <v>233</v>
      </c>
      <c r="D257" s="21" t="s">
        <v>945</v>
      </c>
      <c r="E257" s="13">
        <v>42808.844513888886</v>
      </c>
      <c r="F257" s="13">
        <v>42808.845543981479</v>
      </c>
      <c r="G257" s="7">
        <v>1</v>
      </c>
      <c r="H257" s="21" t="s">
        <v>946</v>
      </c>
      <c r="I257" s="13">
        <v>42808.852048611108</v>
      </c>
      <c r="J257" s="7">
        <v>0</v>
      </c>
      <c r="K257" s="98" t="str">
        <f t="shared" si="72"/>
        <v>4063/4064</v>
      </c>
      <c r="L257" s="21" t="str">
        <f>VLOOKUP(A257,'Trips&amp;Operators'!$C$1:$G$99999,5,FALSE)</f>
        <v>YANG JAN</v>
      </c>
      <c r="M257" s="6">
        <f t="shared" si="73"/>
        <v>6.5046296294895001E-3</v>
      </c>
      <c r="N257" s="7">
        <f t="shared" si="91"/>
        <v>9.3666666664648801</v>
      </c>
      <c r="O257" s="7"/>
      <c r="P257" s="7"/>
      <c r="Q257" s="22"/>
      <c r="R257" s="22"/>
      <c r="S257" s="31">
        <f t="shared" si="92"/>
        <v>0</v>
      </c>
      <c r="T257" s="46" t="e">
        <f t="shared" si="74"/>
        <v>#VALUE!</v>
      </c>
      <c r="U257" s="185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86" t="str">
        <f t="shared" si="75"/>
        <v>https://d0f6bd738d7f1b3e5a7ca70fe4ff75f0.us-east-1.aws.found.io/app/kibana#/discover/Steve-Slow-Train-Analysis-(2080s-and-2083s)?_g=(refreshInterval:(display:Off,pause:!f,section:0,value:0),time:(from:'2017-03-14T19:16:06-0600',mode:absolute,to:'2017-03-14T21:26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7" s="187" t="str">
        <f t="shared" si="76"/>
        <v>Y</v>
      </c>
      <c r="X257" s="187" t="e">
        <f t="shared" si="89"/>
        <v>#VALUE!</v>
      </c>
      <c r="Y257" s="62">
        <f t="shared" si="77"/>
        <v>2.1951999999999998</v>
      </c>
      <c r="Z257" s="62">
        <f t="shared" si="90"/>
        <v>9.2399999999999996E-2</v>
      </c>
      <c r="AA257" s="62">
        <f t="shared" si="78"/>
        <v>2.1027999999999998</v>
      </c>
      <c r="AB257" s="59" t="e">
        <f>VLOOKUP(A257,Enforcements!$C$7:$K$13,8,0)</f>
        <v>#N/A</v>
      </c>
      <c r="AC257" s="55" t="e">
        <f>VLOOKUP(A257,Enforcements!$C$7:$E$13,3,0)</f>
        <v>#N/A</v>
      </c>
      <c r="AD257" s="56" t="str">
        <f t="shared" si="79"/>
        <v>80-14</v>
      </c>
      <c r="AE257" s="85" t="str">
        <f t="shared" si="80"/>
        <v>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 &amp; aws s3 cp s3://rtdc.mdm.uploadarchive.raw/RTDC4064/ "%USERPROFILE%\AppData\Local\Temp\OnboardLogs"\RTDC4064\2017-03-15 --exclude "*" --recursive --include "*20170315*" &amp; "%USERPROFILE%\Documents\GitHub\mrs-test-scripts\Headless Mode &amp; Sideloading\WalkAndUnGZ.bat" "%USERPROFILE%\AppData\Local\Temp\OnboardLogs"\RTDC4064\2017-03-15</v>
      </c>
      <c r="AF257" s="82" t="str">
        <f t="shared" si="81"/>
        <v>"C:\Program Files (x86)\AstroGrep\AstroGrep.exe" /e /r /s /spath="%USERPROFILE%\AppData\Local\Temp\OnboardLogs" /stypes="app*4064*20170315*" /stext=" 02:.+((SYSTEM_STATE.+slice.+state.+changed )|(ment ac)|(multiple cpu faults)|(system.+state.+changed )|(\[timeout)|(PRM\|1\|D)|(kpr)|(kdp)|(\|lc)|(penalty))"</v>
      </c>
      <c r="AG257" s="1" t="str">
        <f t="shared" si="82"/>
        <v>Other</v>
      </c>
      <c r="AH257" s="86" t="str">
        <f t="shared" si="83"/>
        <v>"%USERPROFILE%\Documents\GitHub\eaglep3\Utilities\RefineRTDCRunTimes.py" --tripid 80-14 --locoid 4064 --swversion DE.1.0.9.0 --startMP 300:21952 --initTime 2017-03-14T20:16:06 --startdatetime 2017-03-14T20:17:35 --delay 1 --endMP 204:924 --enddatetime 2017-03-14T20:26:57 --enforcementcount 0 &gt;&gt;C:\Users\stu\Documents\GitHub\eaglep3-reporting\EC\2017-03-14-refined-times.txt</v>
      </c>
      <c r="AI257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{"issue":{"subject":"","project_id":79,"tracker_id":40,"status_id":1,"priority_id":2,"assigned_to_id":23,"start_date":"2017-03-14","description":"","custom_fields":[{"id":1,"name":"Subdivision","value":"Other"},{"id":4,"name":"Milepost","value":"0.0924"},{"id":17,"name":"Train ID","value":"80-14"},{"id":16,"name":"Locomotive ID","value":"4064"},{"id":130,"name":"Impact","value":""},{"id":150,"name":"Time of Event (Mountain Time)","value":"20:26:57"},{"id":151,"name":"Denver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48"/>
      <c r="AK257" s="48"/>
      <c r="AL257" s="48"/>
      <c r="AM257" s="154" t="str">
        <f t="shared" si="85"/>
        <v>start /low /b %USERPROFILE%\Documents\GitHub\eaglep3\Utilities\DownloadLogsFromS3.py --loco 4064 --day 2017-03-14</v>
      </c>
      <c r="AN257" s="163" t="str">
        <f>"grep -SE -B400 ""CHR.+\|PRM\|1\|D.+(SWITCH|SIGNAL).+UNKNOWN"" "&amp;search_path&amp;"\RTDC"&amp;B257&amp;"\*"&amp;B257&amp;"*"&amp;TEXT(AVERAGE(F257,I257)-utc_offset/24,"YYYYMMDD")&amp;"*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"%USERPROFILE%\AppData\Local\Temp\OnboardLogs"\RTDC4064\*4064*20170315* | grep -SE "(Enforcement Action)|(\[TIMEOUT)|(CHR.+\|PRM\|1\|D.+(SWITCH|SIGNAL).+UNKNOWN)" - &gt;&gt; 2017-03-14-UncaughtWiMAX.txt</v>
      </c>
    </row>
    <row r="258" spans="1:40" x14ac:dyDescent="0.25">
      <c r="A258" s="33" t="s">
        <v>512</v>
      </c>
      <c r="B258" s="7">
        <v>4063</v>
      </c>
      <c r="C258" s="21" t="s">
        <v>233</v>
      </c>
      <c r="D258" s="21" t="s">
        <v>211</v>
      </c>
      <c r="E258" s="13">
        <v>42808.101412037038</v>
      </c>
      <c r="F258" s="13">
        <v>42808.102268518516</v>
      </c>
      <c r="G258" s="7">
        <v>1</v>
      </c>
      <c r="H258" s="21" t="s">
        <v>544</v>
      </c>
      <c r="I258" s="13">
        <v>42808.134814814817</v>
      </c>
      <c r="J258" s="7">
        <v>0</v>
      </c>
      <c r="K258" s="98" t="str">
        <f t="shared" si="72"/>
        <v>4063/4064</v>
      </c>
      <c r="L258" s="21" t="str">
        <f>VLOOKUP(A258,'Trips&amp;Operators'!$C$1:$G$99999,5,FALSE)</f>
        <v>YANG JAN</v>
      </c>
      <c r="M258" s="6">
        <f t="shared" si="73"/>
        <v>3.2546296301006805E-2</v>
      </c>
      <c r="N258" s="7">
        <f t="shared" si="91"/>
        <v>46.866666673449799</v>
      </c>
      <c r="O258" s="7"/>
      <c r="P258" s="7"/>
      <c r="Q258" s="22"/>
      <c r="R258" s="22"/>
      <c r="S258" s="31">
        <f t="shared" si="92"/>
        <v>0</v>
      </c>
      <c r="T258" s="46" t="e">
        <f t="shared" si="74"/>
        <v>#VALUE!</v>
      </c>
      <c r="U258" s="185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86" t="str">
        <f t="shared" si="75"/>
        <v>https://d0f6bd738d7f1b3e5a7ca70fe4ff75f0.us-east-1.aws.found.io/app/kibana#/discover/Steve-Slow-Train-Analysis-(2080s-and-2083s)?_g=(refreshInterval:(display:Off,pause:!f,section:0,value:0),time:(from:'2017-03-14T01:26:02-0600',mode:absolute,to:'2017-03-14T04:14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8" s="187" t="str">
        <f t="shared" si="76"/>
        <v>N</v>
      </c>
      <c r="X258" s="187" t="e">
        <f t="shared" si="89"/>
        <v>#VALUE!</v>
      </c>
      <c r="Y258" s="62">
        <f t="shared" si="77"/>
        <v>4.5999999999999999E-2</v>
      </c>
      <c r="Z258" s="62">
        <f t="shared" si="90"/>
        <v>10.7437</v>
      </c>
      <c r="AA258" s="62">
        <f t="shared" si="78"/>
        <v>10.697700000000001</v>
      </c>
      <c r="AB258" s="59" t="e">
        <f>VLOOKUP(A258,Enforcements!$C$7:$K$13,8,0)</f>
        <v>#N/A</v>
      </c>
      <c r="AC258" s="55" t="e">
        <f>VLOOKUP(A258,Enforcements!$C$7:$E$13,3,0)</f>
        <v>#N/A</v>
      </c>
      <c r="AD258" s="56" t="str">
        <f t="shared" si="79"/>
        <v>81-13</v>
      </c>
      <c r="AE258" s="85" t="str">
        <f t="shared" si="80"/>
        <v>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 &amp; aws s3 cp s3://rtdc.mdm.uploadarchive.raw/RTDC4063/ "%USERPROFILE%\AppData\Local\Temp\OnboardLogs"\RTDC4063\2017-03-15 --exclude "*" --recursive --include "*20170315*" &amp; "%USERPROFILE%\Documents\GitHub\mrs-test-scripts\Headless Mode &amp; Sideloading\WalkAndUnGZ.bat" "%USERPROFILE%\AppData\Local\Temp\OnboardLogs"\RTDC4063\2017-03-15</v>
      </c>
      <c r="AF258" s="82" t="str">
        <f t="shared" si="81"/>
        <v>"C:\Program Files (x86)\AstroGrep\AstroGrep.exe" /e /r /s /spath="%USERPROFILE%\AppData\Local\Temp\OnboardLogs" /stypes="app*4063*20170314*" /stext=" 09:.+((SYSTEM_STATE.+slice.+state.+changed )|(ment ac)|(multiple cpu faults)|(system.+state.+changed )|(\[timeout)|(PRM\|1\|D)|(kpr)|(kdp)|(\|lc)|(penalty))"</v>
      </c>
      <c r="AG258" s="1" t="str">
        <f t="shared" si="82"/>
        <v>Other</v>
      </c>
      <c r="AH258" s="86" t="str">
        <f t="shared" si="83"/>
        <v>"%USERPROFILE%\Documents\GitHub\eaglep3\Utilities\RefineRTDCRunTimes.py" --tripid 81-13 --locoid 4063 --swversion DE.1.0.9.0 --startMP 204:460 --initTime 2017-03-14T02:26:02 --startdatetime 2017-03-14T02:27:16 --delay 1 --endMP 204:107437 --enddatetime 2017-03-14T03:14:08 --enforcementcount 0 &gt;&gt;C:\Users\stu\Documents\GitHub\eaglep3-reporting\EC\2017-03-14-refined-times.txt</v>
      </c>
      <c r="AI258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{"issue":{"subject":"","project_id":79,"tracker_id":40,"status_id":1,"priority_id":2,"assigned_to_id":23,"start_date":"2017-03-14","description":"","custom_fields":[{"id":1,"name":"Subdivision","value":"Other"},{"id":4,"name":"Milepost","value":"10.7437"},{"id":17,"name":"Train ID","value":"81-13"},{"id":16,"name":"Locomotive ID","value":"4063"},{"id":130,"name":"Impact","value":""},{"id":150,"name":"Time of Event (Mountain Time)","value":"03:14:08"},{"id":151,"name":"Denver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48"/>
      <c r="AK258" s="48"/>
      <c r="AL258" s="48"/>
      <c r="AM258" s="154" t="str">
        <f t="shared" si="85"/>
        <v>start /low /b %USERPROFILE%\Documents\GitHub\eaglep3\Utilities\DownloadLogsFromS3.py --loco 4063 --day 2017-03-14</v>
      </c>
      <c r="AN258" s="163" t="str">
        <f>"grep -SE -B400 ""CHR.+\|PRM\|1\|D.+(SWITCH|SIGNAL).+UNKNOWN"" "&amp;search_path&amp;"\RTDC"&amp;B258&amp;"\*"&amp;B258&amp;"*"&amp;TEXT(AVERAGE(F258,I258)-utc_offset/24,"YYYYMMDD")&amp;"*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"%USERPROFILE%\AppData\Local\Temp\OnboardLogs"\RTDC4063\*4063*20170314* | grep -SE "(Enforcement Action)|(\[TIMEOUT)|(CHR.+\|PRM\|1\|D.+(SWITCH|SIGNAL).+UNKNOWN)" - &gt;&gt; 2017-03-14-UncaughtWiMAX.txt</v>
      </c>
    </row>
    <row r="259" spans="1:40" x14ac:dyDescent="0.25">
      <c r="A259" s="33" t="s">
        <v>512</v>
      </c>
      <c r="B259" s="7">
        <v>4063</v>
      </c>
      <c r="C259" s="21" t="s">
        <v>233</v>
      </c>
      <c r="D259" s="21" t="s">
        <v>438</v>
      </c>
      <c r="E259" s="13">
        <v>42808.198240740741</v>
      </c>
      <c r="F259" s="13">
        <v>42808.198854166665</v>
      </c>
      <c r="G259" s="7">
        <v>0</v>
      </c>
      <c r="H259" s="21" t="s">
        <v>901</v>
      </c>
      <c r="I259" s="13">
        <v>42808.206377314818</v>
      </c>
      <c r="J259" s="7">
        <v>0</v>
      </c>
      <c r="K259" s="98" t="str">
        <f t="shared" si="72"/>
        <v>4063/4064</v>
      </c>
      <c r="L259" s="21" t="str">
        <f>VLOOKUP(A259,'Trips&amp;Operators'!$C$1:$G$99999,5,FALSE)</f>
        <v>YANG JAN</v>
      </c>
      <c r="M259" s="6">
        <f t="shared" si="73"/>
        <v>7.5231481532682665E-3</v>
      </c>
      <c r="N259" s="7">
        <f t="shared" si="91"/>
        <v>10.833333340706304</v>
      </c>
      <c r="O259" s="7"/>
      <c r="P259" s="7"/>
      <c r="Q259" s="22"/>
      <c r="R259" s="22"/>
      <c r="S259" s="31">
        <f t="shared" si="92"/>
        <v>0</v>
      </c>
      <c r="T259" s="46" t="e">
        <f t="shared" si="74"/>
        <v>#VALUE!</v>
      </c>
      <c r="U259" s="185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86" t="str">
        <f t="shared" si="75"/>
        <v>https://d0f6bd738d7f1b3e5a7ca70fe4ff75f0.us-east-1.aws.found.io/app/kibana#/discover/Steve-Slow-Train-Analysis-(2080s-and-2083s)?_g=(refreshInterval:(display:Off,pause:!f,section:0,value:0),time:(from:'2017-03-14T03:45:28-0600',mode:absolute,to:'2017-03-14T05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9" s="187" t="str">
        <f t="shared" si="76"/>
        <v>Y</v>
      </c>
      <c r="X259" s="187" t="e">
        <f t="shared" si="89"/>
        <v>#VALUE!</v>
      </c>
      <c r="Y259" s="62">
        <f t="shared" si="77"/>
        <v>4.6399999999999997E-2</v>
      </c>
      <c r="Z259" s="62">
        <f t="shared" si="90"/>
        <v>2.3308</v>
      </c>
      <c r="AA259" s="62">
        <f t="shared" si="78"/>
        <v>2.2843999999999998</v>
      </c>
      <c r="AB259" s="59" t="e">
        <f>VLOOKUP(A259,Enforcements!$C$7:$K$13,8,0)</f>
        <v>#N/A</v>
      </c>
      <c r="AC259" s="55" t="e">
        <f>VLOOKUP(A259,Enforcements!$C$7:$E$13,3,0)</f>
        <v>#N/A</v>
      </c>
      <c r="AD259" s="56" t="str">
        <f t="shared" si="79"/>
        <v>81-13</v>
      </c>
      <c r="AE259" s="85" t="str">
        <f t="shared" si="80"/>
        <v>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 &amp; aws s3 cp s3://rtdc.mdm.uploadarchive.raw/RTDC4063/ "%USERPROFILE%\AppData\Local\Temp\OnboardLogs"\RTDC4063\2017-03-15 --exclude "*" --recursive --include "*20170315*" &amp; "%USERPROFILE%\Documents\GitHub\mrs-test-scripts\Headless Mode &amp; Sideloading\WalkAndUnGZ.bat" "%USERPROFILE%\AppData\Local\Temp\OnboardLogs"\RTDC4063\2017-03-15</v>
      </c>
      <c r="AF259" s="82" t="str">
        <f t="shared" si="81"/>
        <v>"C:\Program Files (x86)\AstroGrep\AstroGrep.exe" /e /r /s /spath="%USERPROFILE%\AppData\Local\Temp\OnboardLogs" /stypes="app*4063*20170314*" /stext=" 10:.+((SYSTEM_STATE.+slice.+state.+changed )|(ment ac)|(multiple cpu faults)|(system.+state.+changed )|(\[timeout)|(PRM\|1\|D)|(kpr)|(kdp)|(\|lc)|(penalty))"</v>
      </c>
      <c r="AG259" s="1" t="str">
        <f t="shared" si="82"/>
        <v>Other</v>
      </c>
      <c r="AH259" s="86" t="str">
        <f t="shared" si="83"/>
        <v>"%USERPROFILE%\Documents\GitHub\eaglep3\Utilities\RefineRTDCRunTimes.py" --tripid 81-13 --locoid 4063 --swversion DE.1.0.9.0 --startMP 204:464 --initTime 2017-03-14T04:45:28 --startdatetime 2017-03-14T04:46:21 --delay 0 --endMP 300:23308 --enddatetime 2017-03-14T04:57:11 --enforcementcount 0 &gt;&gt;C:\Users\stu\Documents\GitHub\eaglep3-reporting\EC\2017-03-14-refined-times.txt</v>
      </c>
      <c r="AI259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{"issue":{"subject":"","project_id":79,"tracker_id":40,"status_id":1,"priority_id":2,"assigned_to_id":23,"start_date":"2017-03-14","description":"","custom_fields":[{"id":1,"name":"Subdivision","value":"Other"},{"id":4,"name":"Milepost","value":"2.3308"},{"id":17,"name":"Train ID","value":"81-13"},{"id":16,"name":"Locomotive ID","value":"4063"},{"id":130,"name":"Impact","value":""},{"id":150,"name":"Time of Event (Mountain Time)","value":"04:57:11"},{"id":151,"name":"Denver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48"/>
      <c r="AK259" s="48"/>
      <c r="AL259" s="48"/>
      <c r="AM259" s="154" t="str">
        <f t="shared" si="85"/>
        <v>start /low /b %USERPROFILE%\Documents\GitHub\eaglep3\Utilities\DownloadLogsFromS3.py --loco 4063 --day 2017-03-14</v>
      </c>
      <c r="AN259" s="163" t="str">
        <f>"grep -SE -B400 ""CHR.+\|PRM\|1\|D.+(SWITCH|SIGNAL).+UNKNOWN"" "&amp;search_path&amp;"\RTDC"&amp;B259&amp;"\*"&amp;B259&amp;"*"&amp;TEXT(AVERAGE(F259,I259)-utc_offset/24,"YYYYMMDD")&amp;"*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"%USERPROFILE%\AppData\Local\Temp\OnboardLogs"\RTDC4063\*4063*20170314* | grep -SE "(Enforcement Action)|(\[TIMEOUT)|(CHR.+\|PRM\|1\|D.+(SWITCH|SIGNAL).+UNKNOWN)" - &gt;&gt; 2017-03-14-UncaughtWiMAX.txt</v>
      </c>
    </row>
    <row r="260" spans="1:40" x14ac:dyDescent="0.25">
      <c r="A260" s="33" t="s">
        <v>512</v>
      </c>
      <c r="B260" s="7">
        <v>4064</v>
      </c>
      <c r="C260" s="21" t="s">
        <v>233</v>
      </c>
      <c r="D260" s="21" t="s">
        <v>960</v>
      </c>
      <c r="E260" s="13">
        <v>42808.157442129632</v>
      </c>
      <c r="F260" s="13">
        <v>42808.158194444448</v>
      </c>
      <c r="G260" s="7">
        <v>1</v>
      </c>
      <c r="H260" s="21" t="s">
        <v>961</v>
      </c>
      <c r="I260" s="13">
        <v>42808.194548611114</v>
      </c>
      <c r="J260" s="7">
        <v>0</v>
      </c>
      <c r="K260" s="98" t="str">
        <f t="shared" si="72"/>
        <v>4063/4064</v>
      </c>
      <c r="L260" s="21" t="str">
        <f>VLOOKUP(A260,'Trips&amp;Operators'!$C$1:$G$99999,5,FALSE)</f>
        <v>YANG JAN</v>
      </c>
      <c r="M260" s="6">
        <f t="shared" si="73"/>
        <v>3.6354166666569654E-2</v>
      </c>
      <c r="N260" s="7">
        <f t="shared" si="91"/>
        <v>52.349999999860302</v>
      </c>
      <c r="O260" s="7"/>
      <c r="P260" s="7"/>
      <c r="Q260" s="22"/>
      <c r="R260" s="22"/>
      <c r="S260" s="31">
        <f t="shared" si="92"/>
        <v>0</v>
      </c>
      <c r="T260" s="46" t="e">
        <f t="shared" si="74"/>
        <v>#VALUE!</v>
      </c>
      <c r="U260" s="185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86" t="str">
        <f t="shared" si="75"/>
        <v>https://d0f6bd738d7f1b3e5a7ca70fe4ff75f0.us-east-1.aws.found.io/app/kibana#/discover/Steve-Slow-Train-Analysis-(2080s-and-2083s)?_g=(refreshInterval:(display:Off,pause:!f,section:0,value:0),time:(from:'2017-03-14T02:46:43-0600',mode:absolute,to:'2017-03-14T05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60" s="187" t="str">
        <f t="shared" si="76"/>
        <v>N</v>
      </c>
      <c r="X260" s="187" t="e">
        <f t="shared" si="89"/>
        <v>#VALUE!</v>
      </c>
      <c r="Y260" s="62">
        <f t="shared" si="77"/>
        <v>10.710699999999999</v>
      </c>
      <c r="Z260" s="62">
        <f t="shared" si="90"/>
        <v>1.7100000000000001E-2</v>
      </c>
      <c r="AA260" s="62">
        <f t="shared" si="78"/>
        <v>10.6936</v>
      </c>
      <c r="AB260" s="59" t="e">
        <f>VLOOKUP(A260,Enforcements!$C$7:$K$13,8,0)</f>
        <v>#N/A</v>
      </c>
      <c r="AC260" s="55" t="e">
        <f>VLOOKUP(A260,Enforcements!$C$7:$E$13,3,0)</f>
        <v>#N/A</v>
      </c>
      <c r="AD260" s="56" t="str">
        <f t="shared" si="79"/>
        <v>81-13</v>
      </c>
      <c r="AE260" s="85" t="str">
        <f t="shared" si="80"/>
        <v>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 &amp; aws s3 cp s3://rtdc.mdm.uploadarchive.raw/RTDC4064/ "%USERPROFILE%\AppData\Local\Temp\OnboardLogs"\RTDC4064\2017-03-15 --exclude "*" --recursive --include "*20170315*" &amp; "%USERPROFILE%\Documents\GitHub\mrs-test-scripts\Headless Mode &amp; Sideloading\WalkAndUnGZ.bat" "%USERPROFILE%\AppData\Local\Temp\OnboardLogs"\RTDC4064\2017-03-15</v>
      </c>
      <c r="AF260" s="82" t="str">
        <f t="shared" si="81"/>
        <v>"C:\Program Files (x86)\AstroGrep\AstroGrep.exe" /e /r /s /spath="%USERPROFILE%\AppData\Local\Temp\OnboardLogs" /stypes="app*4064*20170314*" /stext=" 10:.+((SYSTEM_STATE.+slice.+state.+changed )|(ment ac)|(multiple cpu faults)|(system.+state.+changed )|(\[timeout)|(PRM\|1\|D)|(kpr)|(kdp)|(\|lc)|(penalty))"</v>
      </c>
      <c r="AG260" s="1" t="str">
        <f t="shared" si="82"/>
        <v>Other</v>
      </c>
      <c r="AH260" s="86" t="str">
        <f t="shared" si="83"/>
        <v>"%USERPROFILE%\Documents\GitHub\eaglep3\Utilities\RefineRTDCRunTimes.py" --tripid 81-13 --locoid 4064 --swversion DE.1.0.9.0 --startMP 204:107107 --initTime 2017-03-14T03:46:43 --startdatetime 2017-03-14T03:47:48 --delay 1 --endMP 204:171 --enddatetime 2017-03-14T04:40:09 --enforcementcount 0 &gt;&gt;C:\Users\stu\Documents\GitHub\eaglep3-reporting\EC\2017-03-14-refined-times.txt</v>
      </c>
      <c r="AI260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{"issue":{"subject":"","project_id":79,"tracker_id":40,"status_id":1,"priority_id":2,"assigned_to_id":23,"start_date":"2017-03-14","description":"","custom_fields":[{"id":1,"name":"Subdivision","value":"Other"},{"id":4,"name":"Milepost","value":"0.0171"},{"id":17,"name":"Train ID","value":"81-13"},{"id":16,"name":"Locomotive ID","value":"4064"},{"id":130,"name":"Impact","value":""},{"id":150,"name":"Time of Event (Mountain Time)","value":"04:40:09"},{"id":151,"name":"Denver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48"/>
      <c r="AK260" s="48"/>
      <c r="AL260" s="48"/>
      <c r="AM260" s="154" t="str">
        <f t="shared" si="85"/>
        <v>start /low /b %USERPROFILE%\Documents\GitHub\eaglep3\Utilities\DownloadLogsFromS3.py --loco 4064 --day 2017-03-14</v>
      </c>
      <c r="AN260" s="163" t="str">
        <f>"grep -SE -B400 ""CHR.+\|PRM\|1\|D.+(SWITCH|SIGNAL).+UNKNOWN"" "&amp;search_path&amp;"\RTDC"&amp;B260&amp;"\*"&amp;B260&amp;"*"&amp;TEXT(AVERAGE(F260,I260)-utc_offset/24,"YYYYMMDD")&amp;"*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"%USERPROFILE%\AppData\Local\Temp\OnboardLogs"\RTDC4064\*4064*20170314* | grep -SE "(Enforcement Action)|(\[TIMEOUT)|(CHR.+\|PRM\|1\|D.+(SWITCH|SIGNAL).+UNKNOWN)" - &gt;&gt; 2017-03-14-UncaughtWiMAX.txt</v>
      </c>
    </row>
    <row r="261" spans="1:40" x14ac:dyDescent="0.25">
      <c r="A261" s="33" t="s">
        <v>778</v>
      </c>
      <c r="B261" s="7">
        <v>4063</v>
      </c>
      <c r="C261" s="21" t="s">
        <v>233</v>
      </c>
      <c r="D261" s="21" t="s">
        <v>962</v>
      </c>
      <c r="E261" s="13">
        <v>42808.945127314815</v>
      </c>
      <c r="F261" s="13">
        <v>42808.945868055554</v>
      </c>
      <c r="G261" s="7">
        <v>1</v>
      </c>
      <c r="H261" s="21" t="s">
        <v>963</v>
      </c>
      <c r="I261" s="13">
        <v>42808.960532407407</v>
      </c>
      <c r="J261" s="7">
        <v>0</v>
      </c>
      <c r="K261" s="98" t="str">
        <f t="shared" si="72"/>
        <v>4063/4064</v>
      </c>
      <c r="L261" s="21" t="str">
        <f>VLOOKUP(A261,'Trips&amp;Operators'!$C$1:$G$99999,5,FALSE)</f>
        <v>YANG JAN</v>
      </c>
      <c r="M261" s="6">
        <f t="shared" si="73"/>
        <v>1.4664351852843538E-2</v>
      </c>
      <c r="N261" s="7">
        <f t="shared" si="91"/>
        <v>21.116666668094695</v>
      </c>
      <c r="O261" s="7"/>
      <c r="P261" s="7"/>
      <c r="Q261" s="22"/>
      <c r="R261" s="22"/>
      <c r="S261" s="31">
        <f t="shared" si="92"/>
        <v>0</v>
      </c>
      <c r="T261" s="46" t="e">
        <f t="shared" si="74"/>
        <v>#VALUE!</v>
      </c>
      <c r="U261" s="185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86" t="str">
        <f t="shared" si="75"/>
        <v>https://d0f6bd738d7f1b3e5a7ca70fe4ff75f0.us-east-1.aws.found.io/app/kibana#/discover/Steve-Slow-Train-Analysis-(2080s-and-2083s)?_g=(refreshInterval:(display:Off,pause:!f,section:0,value:0),time:(from:'2017-03-14T21:40:59-0600',mode:absolute,to:'2017-03-15T00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1" s="187" t="str">
        <f t="shared" si="76"/>
        <v>N</v>
      </c>
      <c r="X261" s="187" t="e">
        <f t="shared" si="89"/>
        <v>#VALUE!</v>
      </c>
      <c r="Y261" s="62">
        <f t="shared" si="77"/>
        <v>1.0546</v>
      </c>
      <c r="Z261" s="62">
        <f t="shared" si="90"/>
        <v>12.8268</v>
      </c>
      <c r="AA261" s="62">
        <f t="shared" si="78"/>
        <v>11.7722</v>
      </c>
      <c r="AB261" s="59" t="e">
        <f>VLOOKUP(A261,Enforcements!$C$7:$K$13,8,0)</f>
        <v>#N/A</v>
      </c>
      <c r="AC261" s="55" t="e">
        <f>VLOOKUP(A261,Enforcements!$C$7:$E$13,3,0)</f>
        <v>#N/A</v>
      </c>
      <c r="AD261" s="56" t="str">
        <f t="shared" si="79"/>
        <v>81-14</v>
      </c>
      <c r="AE261" s="85" t="str">
        <f t="shared" si="80"/>
        <v>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 &amp; aws s3 cp s3://rtdc.mdm.uploadarchive.raw/RTDC4063/ "%USERPROFILE%\AppData\Local\Temp\OnboardLogs"\RTDC4063\2017-03-15 --exclude "*" --recursive --include "*20170315*" &amp; "%USERPROFILE%\Documents\GitHub\mrs-test-scripts\Headless Mode &amp; Sideloading\WalkAndUnGZ.bat" "%USERPROFILE%\AppData\Local\Temp\OnboardLogs"\RTDC4063\2017-03-15</v>
      </c>
      <c r="AF261" s="82" t="str">
        <f t="shared" si="81"/>
        <v>"C:\Program Files (x86)\AstroGrep\AstroGrep.exe" /e /r /s /spath="%USERPROFILE%\AppData\Local\Temp\OnboardLogs" /stypes="app*4063*20170315*" /stext=" 05:.+((SYSTEM_STATE.+slice.+state.+changed )|(ment ac)|(multiple cpu faults)|(system.+state.+changed )|(\[timeout)|(PRM\|1\|D)|(kpr)|(kdp)|(\|lc)|(penalty))"</v>
      </c>
      <c r="AG261" s="1" t="str">
        <f t="shared" si="82"/>
        <v>Other</v>
      </c>
      <c r="AH261" s="86" t="str">
        <f t="shared" si="83"/>
        <v>"%USERPROFILE%\Documents\GitHub\eaglep3\Utilities\RefineRTDCRunTimes.py" --tripid 81-14 --locoid 4063 --swversion DE.1.0.9.0 --startMP 204:10546 --initTime 2017-03-14T22:40:59 --startdatetime 2017-03-14T22:42:03 --delay 1 --endMP 204:128268 --enddatetime 2017-03-14T23:03:10 --enforcementcount 0 &gt;&gt;C:\Users\stu\Documents\GitHub\eaglep3-reporting\EC\2017-03-14-refined-times.txt</v>
      </c>
      <c r="AI261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{"issue":{"subject":"","project_id":79,"tracker_id":40,"status_id":1,"priority_id":2,"assigned_to_id":23,"start_date":"2017-03-14","description":"","custom_fields":[{"id":1,"name":"Subdivision","value":"Other"},{"id":4,"name":"Milepost","value":"12.8268"},{"id":17,"name":"Train ID","value":"81-14"},{"id":16,"name":"Locomotive ID","value":"4063"},{"id":130,"name":"Impact","value":""},{"id":150,"name":"Time of Event (Mountain Time)","value":"23:03:10"},{"id":151,"name":"Denver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48"/>
      <c r="AK261" s="48"/>
      <c r="AL261" s="48"/>
      <c r="AM261" s="154" t="str">
        <f t="shared" si="85"/>
        <v>start /low /b %USERPROFILE%\Documents\GitHub\eaglep3\Utilities\DownloadLogsFromS3.py --loco 4063 --day 2017-03-14</v>
      </c>
      <c r="AN261" s="163" t="str">
        <f>"grep -SE -B400 ""CHR.+\|PRM\|1\|D.+(SWITCH|SIGNAL).+UNKNOWN"" "&amp;search_path&amp;"\RTDC"&amp;B261&amp;"\*"&amp;B261&amp;"*"&amp;TEXT(AVERAGE(F261,I261)-utc_offset/24,"YYYYMMDD")&amp;"*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"%USERPROFILE%\AppData\Local\Temp\OnboardLogs"\RTDC4063\*4063*20170315* | grep -SE "(Enforcement Action)|(\[TIMEOUT)|(CHR.+\|PRM\|1\|D.+(SWITCH|SIGNAL).+UNKNOWN)" - &gt;&gt; 2017-03-14-UncaughtWiMAX.txt</v>
      </c>
    </row>
    <row r="262" spans="1:40" x14ac:dyDescent="0.25">
      <c r="A262" s="33" t="s">
        <v>778</v>
      </c>
      <c r="B262" s="7">
        <v>4063</v>
      </c>
      <c r="C262" s="21" t="s">
        <v>233</v>
      </c>
      <c r="D262" s="21" t="s">
        <v>964</v>
      </c>
      <c r="E262" s="13">
        <v>42808.90253472222</v>
      </c>
      <c r="F262" s="13">
        <v>42808.903333333335</v>
      </c>
      <c r="G262" s="7">
        <v>1</v>
      </c>
      <c r="H262" s="21" t="s">
        <v>965</v>
      </c>
      <c r="I262" s="13">
        <v>42808.918553240743</v>
      </c>
      <c r="J262" s="7">
        <v>0</v>
      </c>
      <c r="K262" s="98" t="str">
        <f t="shared" si="72"/>
        <v>4063/4064</v>
      </c>
      <c r="L262" s="21" t="str">
        <f>VLOOKUP(A262,'Trips&amp;Operators'!$C$1:$G$99999,5,FALSE)</f>
        <v>YANG JAN</v>
      </c>
      <c r="M262" s="6">
        <f t="shared" si="73"/>
        <v>1.5219907407299615E-2</v>
      </c>
      <c r="N262" s="7">
        <f t="shared" si="91"/>
        <v>21.916666666511446</v>
      </c>
      <c r="O262" s="7"/>
      <c r="P262" s="7"/>
      <c r="Q262" s="22"/>
      <c r="R262" s="22"/>
      <c r="S262" s="31">
        <f t="shared" si="92"/>
        <v>0</v>
      </c>
      <c r="T262" s="46" t="e">
        <f t="shared" si="74"/>
        <v>#VALUE!</v>
      </c>
      <c r="U262" s="185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86" t="str">
        <f t="shared" si="75"/>
        <v>https://d0f6bd738d7f1b3e5a7ca70fe4ff75f0.us-east-1.aws.found.io/app/kibana#/discover/Steve-Slow-Train-Analysis-(2080s-and-2083s)?_g=(refreshInterval:(display:Off,pause:!f,section:0,value:0),time:(from:'2017-03-14T20:39:39-0600',mode:absolute,to:'2017-03-14T23:02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2" s="187" t="str">
        <f t="shared" si="76"/>
        <v>N</v>
      </c>
      <c r="X262" s="187" t="e">
        <f t="shared" si="89"/>
        <v>#VALUE!</v>
      </c>
      <c r="Y262" s="62">
        <f t="shared" si="77"/>
        <v>1.0549999999999999</v>
      </c>
      <c r="Z262" s="62">
        <f t="shared" si="90"/>
        <v>12.827199999999999</v>
      </c>
      <c r="AA262" s="62">
        <f t="shared" si="78"/>
        <v>11.7722</v>
      </c>
      <c r="AB262" s="59" t="e">
        <f>VLOOKUP(A262,Enforcements!$C$7:$K$13,8,0)</f>
        <v>#N/A</v>
      </c>
      <c r="AC262" s="55" t="e">
        <f>VLOOKUP(A262,Enforcements!$C$7:$E$13,3,0)</f>
        <v>#N/A</v>
      </c>
      <c r="AD262" s="56" t="str">
        <f t="shared" si="79"/>
        <v>81-14</v>
      </c>
      <c r="AE262" s="85" t="str">
        <f t="shared" si="80"/>
        <v>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 &amp; aws s3 cp s3://rtdc.mdm.uploadarchive.raw/RTDC4063/ "%USERPROFILE%\AppData\Local\Temp\OnboardLogs"\RTDC4063\2017-03-15 --exclude "*" --recursive --include "*20170315*" &amp; "%USERPROFILE%\Documents\GitHub\mrs-test-scripts\Headless Mode &amp; Sideloading\WalkAndUnGZ.bat" "%USERPROFILE%\AppData\Local\Temp\OnboardLogs"\RTDC4063\2017-03-15</v>
      </c>
      <c r="AF262" s="82" t="str">
        <f t="shared" si="81"/>
        <v>"C:\Program Files (x86)\AstroGrep\AstroGrep.exe" /e /r /s /spath="%USERPROFILE%\AppData\Local\Temp\OnboardLogs" /stypes="app*4063*20170315*" /stext=" 04:.+((SYSTEM_STATE.+slice.+state.+changed )|(ment ac)|(multiple cpu faults)|(system.+state.+changed )|(\[timeout)|(PRM\|1\|D)|(kpr)|(kdp)|(\|lc)|(penalty))"</v>
      </c>
      <c r="AG262" s="1" t="str">
        <f t="shared" si="82"/>
        <v>Other</v>
      </c>
      <c r="AH262" s="86" t="str">
        <f t="shared" si="83"/>
        <v>"%USERPROFILE%\Documents\GitHub\eaglep3\Utilities\RefineRTDCRunTimes.py" --tripid 81-14 --locoid 4063 --swversion DE.1.0.9.0 --startMP 204:10550 --initTime 2017-03-14T21:39:39 --startdatetime 2017-03-14T21:40:48 --delay 1 --endMP 204:128272 --enddatetime 2017-03-14T22:02:43 --enforcementcount 0 &gt;&gt;C:\Users\stu\Documents\GitHub\eaglep3-reporting\EC\2017-03-14-refined-times.txt</v>
      </c>
      <c r="AI262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{"issue":{"subject":"","project_id":79,"tracker_id":40,"status_id":1,"priority_id":2,"assigned_to_id":23,"start_date":"2017-03-14","description":"","custom_fields":[{"id":1,"name":"Subdivision","value":"Other"},{"id":4,"name":"Milepost","value":"12.8272"},{"id":17,"name":"Train ID","value":"81-14"},{"id":16,"name":"Locomotive ID","value":"4063"},{"id":130,"name":"Impact","value":""},{"id":150,"name":"Time of Event (Mountain Time)","value":"22:02:43"},{"id":151,"name":"Denver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48"/>
      <c r="AK262" s="48"/>
      <c r="AL262" s="48"/>
      <c r="AM262" s="154" t="str">
        <f t="shared" si="85"/>
        <v>start /low /b %USERPROFILE%\Documents\GitHub\eaglep3\Utilities\DownloadLogsFromS3.py --loco 4063 --day 2017-03-14</v>
      </c>
      <c r="AN262" s="163" t="str">
        <f>"grep -SE -B400 ""CHR.+\|PRM\|1\|D.+(SWITCH|SIGNAL).+UNKNOWN"" "&amp;search_path&amp;"\RTDC"&amp;B262&amp;"\*"&amp;B262&amp;"*"&amp;TEXT(AVERAGE(F262,I262)-utc_offset/24,"YYYYMMDD")&amp;"*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"%USERPROFILE%\AppData\Local\Temp\OnboardLogs"\RTDC4063\*4063*20170315* | grep -SE "(Enforcement Action)|(\[TIMEOUT)|(CHR.+\|PRM\|1\|D.+(SWITCH|SIGNAL).+UNKNOWN)" - &gt;&gt; 2017-03-14-UncaughtWiMAX.txt</v>
      </c>
    </row>
    <row r="263" spans="1:40" x14ac:dyDescent="0.25">
      <c r="A263" s="33" t="s">
        <v>778</v>
      </c>
      <c r="B263" s="7">
        <v>4063</v>
      </c>
      <c r="C263" s="21" t="s">
        <v>233</v>
      </c>
      <c r="D263" s="21" t="s">
        <v>966</v>
      </c>
      <c r="E263" s="13">
        <v>42808.857581018521</v>
      </c>
      <c r="F263" s="13">
        <v>42808.858541666668</v>
      </c>
      <c r="G263" s="7">
        <v>1</v>
      </c>
      <c r="H263" s="21" t="s">
        <v>965</v>
      </c>
      <c r="I263" s="13">
        <v>42808.879212962966</v>
      </c>
      <c r="J263" s="7">
        <v>0</v>
      </c>
      <c r="K263" s="98" t="str">
        <f t="shared" si="72"/>
        <v>4063/4064</v>
      </c>
      <c r="L263" s="21" t="str">
        <f>VLOOKUP(A263,'Trips&amp;Operators'!$C$1:$G$99999,5,FALSE)</f>
        <v>YANG JAN</v>
      </c>
      <c r="M263" s="6">
        <f t="shared" si="73"/>
        <v>2.0671296297223307E-2</v>
      </c>
      <c r="N263" s="7">
        <f t="shared" si="91"/>
        <v>29.766666668001562</v>
      </c>
      <c r="O263" s="7"/>
      <c r="P263" s="7"/>
      <c r="Q263" s="22"/>
      <c r="R263" s="22"/>
      <c r="S263" s="31">
        <f t="shared" si="92"/>
        <v>0</v>
      </c>
      <c r="T263" s="46" t="e">
        <f t="shared" si="74"/>
        <v>#VALUE!</v>
      </c>
      <c r="U263" s="185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86" t="str">
        <f t="shared" si="75"/>
        <v>https://d0f6bd738d7f1b3e5a7ca70fe4ff75f0.us-east-1.aws.found.io/app/kibana#/discover/Steve-Slow-Train-Analysis-(2080s-and-2083s)?_g=(refreshInterval:(display:Off,pause:!f,section:0,value:0),time:(from:'2017-03-14T19:34:55-0600',mode:absolute,to:'2017-03-14T22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3" s="187" t="str">
        <f t="shared" si="76"/>
        <v>N</v>
      </c>
      <c r="X263" s="187" t="e">
        <f t="shared" ref="X263:X269" si="93">VALUE(LEFT(AD263,4))-VALUE(LEFT(AD262,4))</f>
        <v>#VALUE!</v>
      </c>
      <c r="Y263" s="62">
        <f t="shared" si="77"/>
        <v>0.1244</v>
      </c>
      <c r="Z263" s="62">
        <f t="shared" si="90"/>
        <v>12.827199999999999</v>
      </c>
      <c r="AA263" s="62">
        <f t="shared" si="78"/>
        <v>12.7028</v>
      </c>
      <c r="AB263" s="59" t="e">
        <f>VLOOKUP(A263,Enforcements!$C$7:$K$13,8,0)</f>
        <v>#N/A</v>
      </c>
      <c r="AC263" s="55" t="e">
        <f>VLOOKUP(A263,Enforcements!$C$7:$E$13,3,0)</f>
        <v>#N/A</v>
      </c>
      <c r="AD263" s="56" t="str">
        <f t="shared" si="79"/>
        <v>81-14</v>
      </c>
      <c r="AE263" s="85" t="str">
        <f t="shared" si="80"/>
        <v>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 &amp; aws s3 cp s3://rtdc.mdm.uploadarchive.raw/RTDC4063/ "%USERPROFILE%\AppData\Local\Temp\OnboardLogs"\RTDC4063\2017-03-15 --exclude "*" --recursive --include "*20170315*" &amp; "%USERPROFILE%\Documents\GitHub\mrs-test-scripts\Headless Mode &amp; Sideloading\WalkAndUnGZ.bat" "%USERPROFILE%\AppData\Local\Temp\OnboardLogs"\RTDC4063\2017-03-15</v>
      </c>
      <c r="AF263" s="82" t="str">
        <f t="shared" si="81"/>
        <v>"C:\Program Files (x86)\AstroGrep\AstroGrep.exe" /e /r /s /spath="%USERPROFILE%\AppData\Local\Temp\OnboardLogs" /stypes="app*4063*20170315*" /stext=" 03:.+((SYSTEM_STATE.+slice.+state.+changed )|(ment ac)|(multiple cpu faults)|(system.+state.+changed )|(\[timeout)|(PRM\|1\|D)|(kpr)|(kdp)|(\|lc)|(penalty))"</v>
      </c>
      <c r="AG263" s="1" t="str">
        <f t="shared" si="82"/>
        <v>Other</v>
      </c>
      <c r="AH263" s="86" t="str">
        <f t="shared" si="83"/>
        <v>"%USERPROFILE%\Documents\GitHub\eaglep3\Utilities\RefineRTDCRunTimes.py" --tripid 81-14 --locoid 4063 --swversion DE.1.0.9.0 --startMP 204:1244 --initTime 2017-03-14T20:34:55 --startdatetime 2017-03-14T20:36:18 --delay 1 --endMP 204:128272 --enddatetime 2017-03-14T21:06:04 --enforcementcount 0 &gt;&gt;C:\Users\stu\Documents\GitHub\eaglep3-reporting\EC\2017-03-14-refined-times.txt</v>
      </c>
      <c r="AI263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{"issue":{"subject":"","project_id":79,"tracker_id":40,"status_id":1,"priority_id":2,"assigned_to_id":23,"start_date":"2017-03-14","description":"","custom_fields":[{"id":1,"name":"Subdivision","value":"Other"},{"id":4,"name":"Milepost","value":"12.8272"},{"id":17,"name":"Train ID","value":"81-14"},{"id":16,"name":"Locomotive ID","value":"4063"},{"id":130,"name":"Impact","value":""},{"id":150,"name":"Time of Event (Mountain Time)","value":"21:06:04"},{"id":151,"name":"Denver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48"/>
      <c r="AK263" s="48"/>
      <c r="AL263" s="48"/>
      <c r="AM263" s="154" t="str">
        <f t="shared" si="85"/>
        <v>start /low /b %USERPROFILE%\Documents\GitHub\eaglep3\Utilities\DownloadLogsFromS3.py --loco 4063 --day 2017-03-14</v>
      </c>
      <c r="AN263" s="163" t="str">
        <f>"grep -SE -B400 ""CHR.+\|PRM\|1\|D.+(SWITCH|SIGNAL).+UNKNOWN"" "&amp;search_path&amp;"\RTDC"&amp;B263&amp;"\*"&amp;B263&amp;"*"&amp;TEXT(AVERAGE(F263,I263)-utc_offset/24,"YYYYMMDD")&amp;"*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"%USERPROFILE%\AppData\Local\Temp\OnboardLogs"\RTDC4063\*4063*20170315* | grep -SE "(Enforcement Action)|(\[TIMEOUT)|(CHR.+\|PRM\|1\|D.+(SWITCH|SIGNAL).+UNKNOWN)" - &gt;&gt; 2017-03-14-UncaughtWiMAX.txt</v>
      </c>
    </row>
    <row r="264" spans="1:40" x14ac:dyDescent="0.25">
      <c r="A264" s="33" t="s">
        <v>778</v>
      </c>
      <c r="B264" s="7">
        <v>4063</v>
      </c>
      <c r="C264" s="21" t="s">
        <v>233</v>
      </c>
      <c r="D264" s="21" t="s">
        <v>249</v>
      </c>
      <c r="E264" s="13">
        <v>42809.040844907409</v>
      </c>
      <c r="F264" s="13">
        <v>42809.041944444441</v>
      </c>
      <c r="G264" s="7">
        <v>1</v>
      </c>
      <c r="H264" s="21" t="s">
        <v>967</v>
      </c>
      <c r="I264" s="13">
        <v>42809.052719907406</v>
      </c>
      <c r="J264" s="7">
        <v>0</v>
      </c>
      <c r="K264" s="98" t="str">
        <f t="shared" si="72"/>
        <v>4063/4064</v>
      </c>
      <c r="L264" s="21" t="str">
        <f>VLOOKUP(A264,'Trips&amp;Operators'!$C$1:$G$99999,5,FALSE)</f>
        <v>YANG JAN</v>
      </c>
      <c r="M264" s="6">
        <f t="shared" si="73"/>
        <v>1.0775462964375038E-2</v>
      </c>
      <c r="N264" s="7">
        <f t="shared" si="91"/>
        <v>15.516666668700054</v>
      </c>
      <c r="O264" s="7"/>
      <c r="P264" s="7"/>
      <c r="Q264" s="22"/>
      <c r="R264" s="22"/>
      <c r="S264" s="31">
        <f t="shared" si="92"/>
        <v>0</v>
      </c>
      <c r="T264" s="46" t="e">
        <f t="shared" si="74"/>
        <v>#VALUE!</v>
      </c>
      <c r="U264" s="185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86" t="str">
        <f t="shared" si="75"/>
        <v>https://d0f6bd738d7f1b3e5a7ca70fe4ff75f0.us-east-1.aws.found.io/app/kibana#/discover/Steve-Slow-Train-Analysis-(2080s-and-2083s)?_g=(refreshInterval:(display:Off,pause:!f,section:0,value:0),time:(from:'2017-03-14T23:58:49-0600',mode:absolute,to:'2017-03-15T02:15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4" s="187" t="str">
        <f t="shared" si="76"/>
        <v>Y</v>
      </c>
      <c r="X264" s="187" t="e">
        <f t="shared" si="93"/>
        <v>#VALUE!</v>
      </c>
      <c r="Y264" s="62">
        <f t="shared" si="77"/>
        <v>4.4900000000000002E-2</v>
      </c>
      <c r="Z264" s="62">
        <f t="shared" si="90"/>
        <v>2.331</v>
      </c>
      <c r="AA264" s="62">
        <f t="shared" si="78"/>
        <v>2.2860999999999998</v>
      </c>
      <c r="AB264" s="59" t="e">
        <f>VLOOKUP(A264,Enforcements!$C$7:$K$13,8,0)</f>
        <v>#N/A</v>
      </c>
      <c r="AC264" s="55" t="e">
        <f>VLOOKUP(A264,Enforcements!$C$7:$E$13,3,0)</f>
        <v>#N/A</v>
      </c>
      <c r="AD264" s="56" t="str">
        <f t="shared" si="79"/>
        <v>81-14</v>
      </c>
      <c r="AE264" s="85" t="str">
        <f t="shared" si="80"/>
        <v>aws s3 cp s3://rtdc.mdm.uploadarchive.raw/RTDC4063/ "%USERPROFILE%\AppData\Local\Temp\OnboardLogs"\RTDC4063\2017-03-15 --exclude "*" --recursive --include "*20170315*" &amp; "%USERPROFILE%\Documents\GitHub\mrs-test-scripts\Headless Mode &amp; Sideloading\WalkAndUnGZ.bat" "%USERPROFILE%\AppData\Local\Temp\OnboardLogs"\RTDC4063\2017-03-15 &amp; aws s3 cp s3://rtdc.mdm.uploadarchive.raw/RTDC4063/ "%USERPROFILE%\AppData\Local\Temp\OnboardLogs"\RTDC4063\2017-03-16 --exclude "*" --recursive --include "*20170316*" &amp; "%USERPROFILE%\Documents\GitHub\mrs-test-scripts\Headless Mode &amp; Sideloading\WalkAndUnGZ.bat" "%USERPROFILE%\AppData\Local\Temp\OnboardLogs"\RTDC4063\2017-03-16</v>
      </c>
      <c r="AF264" s="82" t="str">
        <f t="shared" si="81"/>
        <v>"C:\Program Files (x86)\AstroGrep\AstroGrep.exe" /e /r /s /spath="%USERPROFILE%\AppData\Local\Temp\OnboardLogs" /stypes="app*4063*20170315*" /stext=" 07:.+((SYSTEM_STATE.+slice.+state.+changed )|(ment ac)|(multiple cpu faults)|(system.+state.+changed )|(\[timeout)|(PRM\|1\|D)|(kpr)|(kdp)|(\|lc)|(penalty))"</v>
      </c>
      <c r="AG264" s="1" t="str">
        <f t="shared" si="82"/>
        <v>Other</v>
      </c>
      <c r="AH264" s="86" t="str">
        <f t="shared" si="83"/>
        <v>"%USERPROFILE%\Documents\GitHub\eaglep3\Utilities\RefineRTDCRunTimes.py" --tripid 81-14 --locoid 4063 --swversion DE.1.0.9.0 --startMP 204:449 --initTime 2017-03-15T00:58:49 --startdatetime 2017-03-15T01:00:24 --delay 1 --endMP 300:23310 --enddatetime 2017-03-15T01:15:55 --enforcementcount 0 &gt;&gt;C:\Users\stu\Documents\GitHub\eaglep3-reporting\EC\2017-03-14-refined-times.txt</v>
      </c>
      <c r="AI264" s="108" t="str">
        <f t="shared" si="84"/>
        <v>echo {"issue":{"subject":"","project_id":79,"tracker_id":40,"status_id":1,"priority_id":2,"assigned_to_id":23,"start_date":"2017-03-15","description":"","custom_fields":[{"id":1,"name":"Subdivision","value":"Other"},{"id":4,"name":"Milepost","value":"2.331"},{"id":17,"name":"Train ID","value":"81-14"},{"id":16,"name":"Locomotive ID","value":"4063"},{"id":130,"name":"Impact","value":""},{"id":150,"name":"Time of Event (Mountain Time)","value":"01:15:55"},{"id":151,"name":"Denver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48"/>
      <c r="AK264" s="48"/>
      <c r="AL264" s="48"/>
      <c r="AM264" s="154" t="str">
        <f t="shared" si="85"/>
        <v>start /low /b %USERPROFILE%\Documents\GitHub\eaglep3\Utilities\DownloadLogsFromS3.py --loco 4063 --day 2017-03-15</v>
      </c>
      <c r="AN264" s="163" t="str">
        <f>"grep -SE -B400 ""CHR.+\|PRM\|1\|D.+(SWITCH|SIGNAL).+UNKNOWN"" "&amp;search_path&amp;"\RTDC"&amp;B264&amp;"\*"&amp;B264&amp;"*"&amp;TEXT(AVERAGE(F264,I264)-utc_offset/24,"YYYYMMDD")&amp;"*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"%USERPROFILE%\AppData\Local\Temp\OnboardLogs"\RTDC4063\*4063*20170315* | grep -SE "(Enforcement Action)|(\[TIMEOUT)|(CHR.+\|PRM\|1\|D.+(SWITCH|SIGNAL).+UNKNOWN)" - &gt;&gt; 2017-03-14-UncaughtWiMAX.txt</v>
      </c>
    </row>
    <row r="265" spans="1:40" x14ac:dyDescent="0.25">
      <c r="A265" s="33" t="s">
        <v>778</v>
      </c>
      <c r="B265" s="7">
        <v>4063</v>
      </c>
      <c r="C265" s="21" t="s">
        <v>233</v>
      </c>
      <c r="D265" s="21" t="s">
        <v>242</v>
      </c>
      <c r="E265" s="13">
        <v>42808.992905092593</v>
      </c>
      <c r="F265" s="13">
        <v>42808.993842592594</v>
      </c>
      <c r="G265" s="7">
        <v>1</v>
      </c>
      <c r="H265" s="21" t="s">
        <v>968</v>
      </c>
      <c r="I265" s="13">
        <v>42809.013067129628</v>
      </c>
      <c r="J265" s="7">
        <v>0</v>
      </c>
      <c r="K265" s="98" t="str">
        <f t="shared" si="72"/>
        <v>4063/4064</v>
      </c>
      <c r="L265" s="21" t="str">
        <f>VLOOKUP(A265,'Trips&amp;Operators'!$C$1:$G$99999,5,FALSE)</f>
        <v>YANG JAN</v>
      </c>
      <c r="M265" s="6">
        <f t="shared" si="73"/>
        <v>1.9224537034460809E-2</v>
      </c>
      <c r="N265" s="7">
        <f t="shared" si="91"/>
        <v>27.683333329623565</v>
      </c>
      <c r="O265" s="7"/>
      <c r="P265" s="7"/>
      <c r="Q265" s="22"/>
      <c r="R265" s="22"/>
      <c r="S265" s="31">
        <f t="shared" si="92"/>
        <v>0</v>
      </c>
      <c r="T265" s="46" t="e">
        <f t="shared" si="74"/>
        <v>#VALUE!</v>
      </c>
      <c r="U265" s="185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186" t="str">
        <f t="shared" si="75"/>
        <v>https://d0f6bd738d7f1b3e5a7ca70fe4ff75f0.us-east-1.aws.found.io/app/kibana#/discover/Steve-Slow-Train-Analysis-(2080s-and-2083s)?_g=(refreshInterval:(display:Off,pause:!f,section:0,value:0),time:(from:'2017-03-14T22:49:47-0600',mode:absolute,to:'2017-03-15T01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5" s="187" t="str">
        <f t="shared" si="76"/>
        <v>N</v>
      </c>
      <c r="X265" s="187" t="e">
        <f t="shared" si="93"/>
        <v>#VALUE!</v>
      </c>
      <c r="Y265" s="62">
        <f t="shared" si="77"/>
        <v>4.6699999999999998E-2</v>
      </c>
      <c r="Z265" s="62">
        <f t="shared" si="90"/>
        <v>12.8271</v>
      </c>
      <c r="AA265" s="62">
        <f t="shared" si="78"/>
        <v>12.7804</v>
      </c>
      <c r="AB265" s="59" t="e">
        <f>VLOOKUP(A265,Enforcements!$C$7:$K$13,8,0)</f>
        <v>#N/A</v>
      </c>
      <c r="AC265" s="55" t="e">
        <f>VLOOKUP(A265,Enforcements!$C$7:$E$13,3,0)</f>
        <v>#N/A</v>
      </c>
      <c r="AD265" s="56" t="str">
        <f t="shared" si="79"/>
        <v>81-14</v>
      </c>
      <c r="AE265" s="85" t="str">
        <f t="shared" si="80"/>
        <v>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 &amp; aws s3 cp s3://rtdc.mdm.uploadarchive.raw/RTDC4063/ "%USERPROFILE%\AppData\Local\Temp\OnboardLogs"\RTDC4063\2017-03-15 --exclude "*" --recursive --include "*20170315*" &amp; "%USERPROFILE%\Documents\GitHub\mrs-test-scripts\Headless Mode &amp; Sideloading\WalkAndUnGZ.bat" "%USERPROFILE%\AppData\Local\Temp\OnboardLogs"\RTDC4063\2017-03-15</v>
      </c>
      <c r="AF265" s="82" t="str">
        <f t="shared" si="81"/>
        <v>"C:\Program Files (x86)\AstroGrep\AstroGrep.exe" /e /r /s /spath="%USERPROFILE%\AppData\Local\Temp\OnboardLogs" /stypes="app*4063*20170315*" /stext=" 06:.+((SYSTEM_STATE.+slice.+state.+changed )|(ment ac)|(multiple cpu faults)|(system.+state.+changed )|(\[timeout)|(PRM\|1\|D)|(kpr)|(kdp)|(\|lc)|(penalty))"</v>
      </c>
      <c r="AG265" s="1" t="str">
        <f t="shared" si="82"/>
        <v>Other</v>
      </c>
      <c r="AH265" s="86" t="str">
        <f t="shared" si="83"/>
        <v>"%USERPROFILE%\Documents\GitHub\eaglep3\Utilities\RefineRTDCRunTimes.py" --tripid 81-14 --locoid 4063 --swversion DE.1.0.9.0 --startMP 204:467 --initTime 2017-03-14T23:49:47 --startdatetime 2017-03-14T23:51:08 --delay 1 --endMP 204:128271 --enddatetime 2017-03-15T00:18:49 --enforcementcount 0 &gt;&gt;C:\Users\stu\Documents\GitHub\eaglep3-reporting\EC\2017-03-14-refined-times.txt</v>
      </c>
      <c r="AI265" s="108" t="str">
        <f t="shared" si="84"/>
        <v>echo {"issue":{"subject":"","project_id":79,"tracker_id":40,"status_id":1,"priority_id":2,"assigned_to_id":23,"start_date":"2017-03-15","description":"","custom_fields":[{"id":1,"name":"Subdivision","value":"Other"},{"id":4,"name":"Milepost","value":"12.8271"},{"id":17,"name":"Train ID","value":"81-14"},{"id":16,"name":"Locomotive ID","value":"4063"},{"id":130,"name":"Impact","value":""},{"id":150,"name":"Time of Event (Mountain Time)","value":"00:18:49"},{"id":151,"name":"Denver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48"/>
      <c r="AK265" s="48"/>
      <c r="AL265" s="48"/>
      <c r="AM265" s="154" t="str">
        <f t="shared" si="85"/>
        <v>start /low /b %USERPROFILE%\Documents\GitHub\eaglep3\Utilities\DownloadLogsFromS3.py --loco 4063 --day 2017-03-14</v>
      </c>
      <c r="AN265" s="163" t="str">
        <f>"grep -SE -B400 ""CHR.+\|PRM\|1\|D.+(SWITCH|SIGNAL).+UNKNOWN"" "&amp;search_path&amp;"\RTDC"&amp;B265&amp;"\*"&amp;B265&amp;"*"&amp;TEXT(AVERAGE(F265,I265)-utc_offset/24,"YYYYMMDD")&amp;"*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"%USERPROFILE%\AppData\Local\Temp\OnboardLogs"\RTDC4063\*4063*20170315* | grep -SE "(Enforcement Action)|(\[TIMEOUT)|(CHR.+\|PRM\|1\|D.+(SWITCH|SIGNAL).+UNKNOWN)" - &gt;&gt; 2017-03-14-UncaughtWiMAX.txt</v>
      </c>
    </row>
    <row r="266" spans="1:40" x14ac:dyDescent="0.25">
      <c r="A266" s="33" t="s">
        <v>783</v>
      </c>
      <c r="B266" s="7">
        <v>4064</v>
      </c>
      <c r="C266" s="21" t="s">
        <v>233</v>
      </c>
      <c r="D266" s="21" t="s">
        <v>983</v>
      </c>
      <c r="E266" s="13">
        <v>42809.014062499999</v>
      </c>
      <c r="F266" s="13">
        <v>42809.015208333331</v>
      </c>
      <c r="G266" s="7">
        <v>1</v>
      </c>
      <c r="H266" s="21" t="s">
        <v>826</v>
      </c>
      <c r="I266" s="13">
        <v>42809.034467592595</v>
      </c>
      <c r="J266" s="7">
        <v>0</v>
      </c>
      <c r="K266" s="98" t="str">
        <f t="shared" si="72"/>
        <v>4063/4064</v>
      </c>
      <c r="L266" s="21" t="str">
        <f>VLOOKUP(A266,'Trips&amp;Operators'!$C$1:$G$99999,5,FALSE)</f>
        <v>YANG JAN</v>
      </c>
      <c r="M266" s="6">
        <f t="shared" si="73"/>
        <v>1.9259259264799766E-2</v>
      </c>
      <c r="N266" s="7">
        <f t="shared" si="91"/>
        <v>27.733333341311663</v>
      </c>
      <c r="O266" s="7"/>
      <c r="P266" s="7"/>
      <c r="Q266" s="22"/>
      <c r="R266" s="22"/>
      <c r="S266" s="31">
        <f t="shared" si="92"/>
        <v>0</v>
      </c>
      <c r="T266" s="46" t="e">
        <f t="shared" si="74"/>
        <v>#VALUE!</v>
      </c>
      <c r="U266" s="185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186" t="str">
        <f t="shared" si="75"/>
        <v>https://d0f6bd738d7f1b3e5a7ca70fe4ff75f0.us-east-1.aws.found.io/app/kibana#/discover/Steve-Slow-Train-Analysis-(2080s-and-2083s)?_g=(refreshInterval:(display:Off,pause:!f,section:0,value:0),time:(from:'2017-03-14T23:20:15-0600',mode:absolute,to:'2017-03-15T01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66" s="187" t="str">
        <f t="shared" si="76"/>
        <v>N</v>
      </c>
      <c r="X266" s="187" t="e">
        <f t="shared" si="93"/>
        <v>#VALUE!</v>
      </c>
      <c r="Y266" s="62">
        <f t="shared" si="77"/>
        <v>12.8005</v>
      </c>
      <c r="Z266" s="62">
        <f t="shared" si="90"/>
        <v>1.4500000000000001E-2</v>
      </c>
      <c r="AA266" s="62">
        <f t="shared" si="78"/>
        <v>12.786</v>
      </c>
      <c r="AB266" s="59" t="e">
        <f>VLOOKUP(A266,Enforcements!$C$7:$K$13,8,0)</f>
        <v>#N/A</v>
      </c>
      <c r="AC266" s="55" t="e">
        <f>VLOOKUP(A266,Enforcements!$C$7:$E$13,3,0)</f>
        <v>#N/A</v>
      </c>
      <c r="AD266" s="56" t="str">
        <f t="shared" si="79"/>
        <v>82-14</v>
      </c>
      <c r="AE266" s="85" t="str">
        <f t="shared" si="80"/>
        <v>aws s3 cp s3://rtdc.mdm.uploadarchive.raw/RTDC4064/ "%USERPROFILE%\AppData\Local\Temp\OnboardLogs"\RTDC4064\2017-03-15 --exclude "*" --recursive --include "*20170315*" &amp; "%USERPROFILE%\Documents\GitHub\mrs-test-scripts\Headless Mode &amp; Sideloading\WalkAndUnGZ.bat" "%USERPROFILE%\AppData\Local\Temp\OnboardLogs"\RTDC4064\2017-03-15 &amp; aws s3 cp s3://rtdc.mdm.uploadarchive.raw/RTDC4064/ "%USERPROFILE%\AppData\Local\Temp\OnboardLogs"\RTDC4064\2017-03-16 --exclude "*" --recursive --include "*20170316*" &amp; "%USERPROFILE%\Documents\GitHub\mrs-test-scripts\Headless Mode &amp; Sideloading\WalkAndUnGZ.bat" "%USERPROFILE%\AppData\Local\Temp\OnboardLogs"\RTDC4064\2017-03-16</v>
      </c>
      <c r="AF266" s="82" t="str">
        <f t="shared" si="81"/>
        <v>"C:\Program Files (x86)\AstroGrep\AstroGrep.exe" /e /r /s /spath="%USERPROFILE%\AppData\Local\Temp\OnboardLogs" /stypes="app*4064*20170315*" /stext=" 06:.+((SYSTEM_STATE.+slice.+state.+changed )|(ment ac)|(multiple cpu faults)|(system.+state.+changed )|(\[timeout)|(PRM\|1\|D)|(kpr)|(kdp)|(\|lc)|(penalty))"</v>
      </c>
      <c r="AG266" s="1" t="str">
        <f t="shared" si="82"/>
        <v>Other</v>
      </c>
      <c r="AH266" s="86" t="str">
        <f t="shared" si="83"/>
        <v>"%USERPROFILE%\Documents\GitHub\eaglep3\Utilities\RefineRTDCRunTimes.py" --tripid 82-14 --locoid 4064 --swversion DE.1.0.9.0 --startMP 204:128005 --initTime 2017-03-15T00:20:15 --startdatetime 2017-03-15T00:21:54 --delay 1 --endMP 204:145 --enddatetime 2017-03-15T00:49:38 --enforcementcount 0 &gt;&gt;C:\Users\stu\Documents\GitHub\eaglep3-reporting\EC\2017-03-14-refined-times.txt</v>
      </c>
      <c r="AI266" s="108" t="str">
        <f t="shared" si="84"/>
        <v>echo {"issue":{"subject":"","project_id":79,"tracker_id":40,"status_id":1,"priority_id":2,"assigned_to_id":23,"start_date":"2017-03-15","description":"","custom_fields":[{"id":1,"name":"Subdivision","value":"Other"},{"id":4,"name":"Milepost","value":"0.0145"},{"id":17,"name":"Train ID","value":"82-14"},{"id":16,"name":"Locomotive ID","value":"4064"},{"id":130,"name":"Impact","value":""},{"id":150,"name":"Time of Event (Mountain Time)","value":"00:49:38"},{"id":151,"name":"Denver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6" s="48"/>
      <c r="AK266" s="48"/>
      <c r="AL266" s="48"/>
      <c r="AM266" s="154" t="str">
        <f t="shared" si="85"/>
        <v>start /low /b %USERPROFILE%\Documents\GitHub\eaglep3\Utilities\DownloadLogsFromS3.py --loco 4064 --day 2017-03-15</v>
      </c>
      <c r="AN266" s="163" t="str">
        <f>"grep -SE -B400 ""CHR.+\|PRM\|1\|D.+(SWITCH|SIGNAL).+UNKNOWN"" "&amp;search_path&amp;"\RTDC"&amp;B266&amp;"\*"&amp;B266&amp;"*"&amp;TEXT(AVERAGE(F266,I266)-utc_offset/24,"YYYYMMDD")&amp;"*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"%USERPROFILE%\AppData\Local\Temp\OnboardLogs"\RTDC4064\*4064*20170315* | grep -SE "(Enforcement Action)|(\[TIMEOUT)|(CHR.+\|PRM\|1\|D.+(SWITCH|SIGNAL).+UNKNOWN)" - &gt;&gt; 2017-03-14-UncaughtWiMAX.txt</v>
      </c>
    </row>
    <row r="267" spans="1:40" x14ac:dyDescent="0.25">
      <c r="A267" s="33" t="s">
        <v>783</v>
      </c>
      <c r="B267" s="7">
        <v>4064</v>
      </c>
      <c r="C267" s="21" t="s">
        <v>233</v>
      </c>
      <c r="D267" s="21" t="s">
        <v>984</v>
      </c>
      <c r="E267" s="13">
        <v>42808.881539351853</v>
      </c>
      <c r="F267" s="13">
        <v>42808.882592592592</v>
      </c>
      <c r="G267" s="7">
        <v>1</v>
      </c>
      <c r="H267" s="21" t="s">
        <v>985</v>
      </c>
      <c r="I267" s="13">
        <v>42808.901666666665</v>
      </c>
      <c r="J267" s="7">
        <v>0</v>
      </c>
      <c r="K267" s="98" t="str">
        <f t="shared" si="72"/>
        <v>4063/4064</v>
      </c>
      <c r="L267" s="21" t="str">
        <f>VLOOKUP(A267,'Trips&amp;Operators'!$C$1:$G$99999,5,FALSE)</f>
        <v>YANG JAN</v>
      </c>
      <c r="M267" s="6">
        <f t="shared" si="73"/>
        <v>1.9074074072705116E-2</v>
      </c>
      <c r="N267" s="7">
        <f t="shared" si="91"/>
        <v>27.466666664695367</v>
      </c>
      <c r="O267" s="7"/>
      <c r="P267" s="7"/>
      <c r="Q267" s="22"/>
      <c r="R267" s="22"/>
      <c r="S267" s="31">
        <f t="shared" si="92"/>
        <v>0</v>
      </c>
      <c r="T267" s="46" t="e">
        <f t="shared" si="74"/>
        <v>#VALUE!</v>
      </c>
      <c r="U267" s="185">
        <f>IF(AG267="EC",COUNTIFS(Variables!$M$2:$M$19,IF(T267="NorthBound","&gt;=","&lt;=")&amp;Y267,Variables!$M$2:$M$19,IF(T267="NorthBound","&lt;=","&gt;=")&amp;Z267),COUNTIFS(Variables!$P$2:$P$19,IF(T267="NorthBound","&gt;=","&lt;=")&amp;Y267,Variables!$P$2:$P$19,IF(T267="NorthBound","&lt;=","&gt;=")&amp;Z267))</f>
        <v>0</v>
      </c>
      <c r="V267" s="186" t="str">
        <f t="shared" si="75"/>
        <v>https://d0f6bd738d7f1b3e5a7ca70fe4ff75f0.us-east-1.aws.found.io/app/kibana#/discover/Steve-Slow-Train-Analysis-(2080s-and-2083s)?_g=(refreshInterval:(display:Off,pause:!f,section:0,value:0),time:(from:'2017-03-14T20:09:25-0600',mode:absolute,to:'2017-03-14T22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67" s="187" t="str">
        <f t="shared" si="76"/>
        <v>N</v>
      </c>
      <c r="X267" s="187" t="e">
        <f t="shared" si="93"/>
        <v>#VALUE!</v>
      </c>
      <c r="Y267" s="62">
        <f t="shared" si="77"/>
        <v>12.800800000000001</v>
      </c>
      <c r="Z267" s="62">
        <f t="shared" si="90"/>
        <v>1.0313000000000001</v>
      </c>
      <c r="AA267" s="62">
        <f t="shared" si="78"/>
        <v>11.769500000000001</v>
      </c>
      <c r="AB267" s="59" t="e">
        <f>VLOOKUP(A267,Enforcements!$C$7:$K$13,8,0)</f>
        <v>#N/A</v>
      </c>
      <c r="AC267" s="55" t="e">
        <f>VLOOKUP(A267,Enforcements!$C$7:$E$13,3,0)</f>
        <v>#N/A</v>
      </c>
      <c r="AD267" s="56" t="str">
        <f t="shared" si="79"/>
        <v>82-14</v>
      </c>
      <c r="AE267" s="85" t="str">
        <f t="shared" si="80"/>
        <v>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 &amp; aws s3 cp s3://rtdc.mdm.uploadarchive.raw/RTDC4064/ "%USERPROFILE%\AppData\Local\Temp\OnboardLogs"\RTDC4064\2017-03-15 --exclude "*" --recursive --include "*20170315*" &amp; "%USERPROFILE%\Documents\GitHub\mrs-test-scripts\Headless Mode &amp; Sideloading\WalkAndUnGZ.bat" "%USERPROFILE%\AppData\Local\Temp\OnboardLogs"\RTDC4064\2017-03-15</v>
      </c>
      <c r="AF267" s="82" t="str">
        <f t="shared" si="81"/>
        <v>"C:\Program Files (x86)\AstroGrep\AstroGrep.exe" /e /r /s /spath="%USERPROFILE%\AppData\Local\Temp\OnboardLogs" /stypes="app*4064*20170315*" /stext=" 03:.+((SYSTEM_STATE.+slice.+state.+changed )|(ment ac)|(multiple cpu faults)|(system.+state.+changed )|(\[timeout)|(PRM\|1\|D)|(kpr)|(kdp)|(\|lc)|(penalty))"</v>
      </c>
      <c r="AG267" s="1" t="str">
        <f t="shared" si="82"/>
        <v>Other</v>
      </c>
      <c r="AH267" s="86" t="str">
        <f t="shared" si="83"/>
        <v>"%USERPROFILE%\Documents\GitHub\eaglep3\Utilities\RefineRTDCRunTimes.py" --tripid 82-14 --locoid 4064 --swversion DE.1.0.9.0 --startMP 204:128008 --initTime 2017-03-14T21:09:25 --startdatetime 2017-03-14T21:10:56 --delay 1 --endMP 204:10313 --enddatetime 2017-03-14T21:38:24 --enforcementcount 0 &gt;&gt;C:\Users\stu\Documents\GitHub\eaglep3-reporting\EC\2017-03-14-refined-times.txt</v>
      </c>
      <c r="AI267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{"issue":{"subject":"","project_id":79,"tracker_id":40,"status_id":1,"priority_id":2,"assigned_to_id":23,"start_date":"2017-03-14","description":"","custom_fields":[{"id":1,"name":"Subdivision","value":"Other"},{"id":4,"name":"Milepost","value":"1.0313"},{"id":17,"name":"Train ID","value":"82-14"},{"id":16,"name":"Locomotive ID","value":"4064"},{"id":130,"name":"Impact","value":""},{"id":150,"name":"Time of Event (Mountain Time)","value":"21:38:24"},{"id":151,"name":"Denver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7" s="48"/>
      <c r="AK267" s="48"/>
      <c r="AL267" s="48"/>
      <c r="AM267" s="154" t="str">
        <f t="shared" si="85"/>
        <v>start /low /b %USERPROFILE%\Documents\GitHub\eaglep3\Utilities\DownloadLogsFromS3.py --loco 4064 --day 2017-03-14</v>
      </c>
      <c r="AN267" s="163" t="str">
        <f>"grep -SE -B400 ""CHR.+\|PRM\|1\|D.+(SWITCH|SIGNAL).+UNKNOWN"" "&amp;search_path&amp;"\RTDC"&amp;B267&amp;"\*"&amp;B267&amp;"*"&amp;TEXT(AVERAGE(F267,I267)-utc_offset/24,"YYYYMMDD")&amp;"*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"%USERPROFILE%\AppData\Local\Temp\OnboardLogs"\RTDC4064\*4064*20170315* | grep -SE "(Enforcement Action)|(\[TIMEOUT)|(CHR.+\|PRM\|1\|D.+(SWITCH|SIGNAL).+UNKNOWN)" - &gt;&gt; 2017-03-14-UncaughtWiMAX.txt</v>
      </c>
    </row>
    <row r="268" spans="1:40" x14ac:dyDescent="0.25">
      <c r="A268" s="33" t="s">
        <v>783</v>
      </c>
      <c r="B268" s="7">
        <v>4064</v>
      </c>
      <c r="C268" s="21" t="s">
        <v>233</v>
      </c>
      <c r="D268" s="21" t="s">
        <v>986</v>
      </c>
      <c r="E268" s="13">
        <v>42808.92</v>
      </c>
      <c r="F268" s="13">
        <v>42808.920763888891</v>
      </c>
      <c r="G268" s="7">
        <v>1</v>
      </c>
      <c r="H268" s="21" t="s">
        <v>987</v>
      </c>
      <c r="I268" s="13">
        <v>42808.944340277776</v>
      </c>
      <c r="J268" s="7">
        <v>0</v>
      </c>
      <c r="K268" s="98" t="str">
        <f t="shared" si="72"/>
        <v>4063/4064</v>
      </c>
      <c r="L268" s="21" t="str">
        <f>VLOOKUP(A268,'Trips&amp;Operators'!$C$1:$G$99999,5,FALSE)</f>
        <v>YANG JAN</v>
      </c>
      <c r="M268" s="6">
        <f t="shared" si="73"/>
        <v>2.3576388884976041E-2</v>
      </c>
      <c r="N268" s="7">
        <f t="shared" si="91"/>
        <v>33.949999994365498</v>
      </c>
      <c r="O268" s="7"/>
      <c r="P268" s="7"/>
      <c r="Q268" s="22"/>
      <c r="R268" s="22"/>
      <c r="S268" s="31">
        <f t="shared" si="92"/>
        <v>0</v>
      </c>
      <c r="T268" s="46" t="e">
        <f t="shared" si="74"/>
        <v>#VALUE!</v>
      </c>
      <c r="U268" s="185">
        <f>IF(AG268="EC",COUNTIFS(Variables!$M$2:$M$19,IF(T268="NorthBound","&gt;=","&lt;=")&amp;Y268,Variables!$M$2:$M$19,IF(T268="NorthBound","&lt;=","&gt;=")&amp;Z268),COUNTIFS(Variables!$P$2:$P$19,IF(T268="NorthBound","&gt;=","&lt;=")&amp;Y268,Variables!$P$2:$P$19,IF(T268="NorthBound","&lt;=","&gt;=")&amp;Z268))</f>
        <v>0</v>
      </c>
      <c r="V268" s="186" t="str">
        <f t="shared" si="75"/>
        <v>https://d0f6bd738d7f1b3e5a7ca70fe4ff75f0.us-east-1.aws.found.io/app/kibana#/discover/Steve-Slow-Train-Analysis-(2080s-and-2083s)?_g=(refreshInterval:(display:Off,pause:!f,section:0,value:0),time:(from:'2017-03-14T21:04:48-0600',mode:absolute,to:'2017-03-14T23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68" s="187" t="str">
        <f t="shared" si="76"/>
        <v>N</v>
      </c>
      <c r="X268" s="187" t="e">
        <f t="shared" si="93"/>
        <v>#VALUE!</v>
      </c>
      <c r="Y268" s="62">
        <f t="shared" si="77"/>
        <v>12.8019</v>
      </c>
      <c r="Z268" s="62">
        <f t="shared" si="90"/>
        <v>1.0306999999999999</v>
      </c>
      <c r="AA268" s="62">
        <f t="shared" si="78"/>
        <v>11.7712</v>
      </c>
      <c r="AB268" s="59" t="e">
        <f>VLOOKUP(A268,Enforcements!$C$7:$K$13,8,0)</f>
        <v>#N/A</v>
      </c>
      <c r="AC268" s="55" t="e">
        <f>VLOOKUP(A268,Enforcements!$C$7:$E$13,3,0)</f>
        <v>#N/A</v>
      </c>
      <c r="AD268" s="56" t="str">
        <f t="shared" si="79"/>
        <v>82-14</v>
      </c>
      <c r="AE268" s="85" t="str">
        <f t="shared" si="80"/>
        <v>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 &amp; aws s3 cp s3://rtdc.mdm.uploadarchive.raw/RTDC4064/ "%USERPROFILE%\AppData\Local\Temp\OnboardLogs"\RTDC4064\2017-03-15 --exclude "*" --recursive --include "*20170315*" &amp; "%USERPROFILE%\Documents\GitHub\mrs-test-scripts\Headless Mode &amp; Sideloading\WalkAndUnGZ.bat" "%USERPROFILE%\AppData\Local\Temp\OnboardLogs"\RTDC4064\2017-03-15</v>
      </c>
      <c r="AF268" s="82" t="str">
        <f t="shared" si="81"/>
        <v>"C:\Program Files (x86)\AstroGrep\AstroGrep.exe" /e /r /s /spath="%USERPROFILE%\AppData\Local\Temp\OnboardLogs" /stypes="app*4064*20170315*" /stext=" 04:.+((SYSTEM_STATE.+slice.+state.+changed )|(ment ac)|(multiple cpu faults)|(system.+state.+changed )|(\[timeout)|(PRM\|1\|D)|(kpr)|(kdp)|(\|lc)|(penalty))"</v>
      </c>
      <c r="AG268" s="1" t="str">
        <f t="shared" si="82"/>
        <v>Other</v>
      </c>
      <c r="AH268" s="86" t="str">
        <f t="shared" si="83"/>
        <v>"%USERPROFILE%\Documents\GitHub\eaglep3\Utilities\RefineRTDCRunTimes.py" --tripid 82-14 --locoid 4064 --swversion DE.1.0.9.0 --startMP 204:128019 --initTime 2017-03-14T22:04:48 --startdatetime 2017-03-14T22:05:54 --delay 1 --endMP 204:10307 --enddatetime 2017-03-14T22:39:51 --enforcementcount 0 &gt;&gt;C:\Users\stu\Documents\GitHub\eaglep3-reporting\EC\2017-03-14-refined-times.txt</v>
      </c>
      <c r="AI268" s="108" t="str">
        <f t="shared" si="84"/>
        <v>echo {"issue":{"subject":"","project_id":79,"tracker_id":40,"status_id":1,"priority_id":2,"assigned_to_id":23,"start_date":"2017-03-14","description":"","custom_fields":[{"id":1,"name":"Subdivision","value":"Other"},{"id":4,"name":"Milepost","value":"1.0307"},{"id":17,"name":"Train ID","value":"82-14"},{"id":16,"name":"Locomotive ID","value":"4064"},{"id":130,"name":"Impact","value":""},{"id":150,"name":"Time of Event (Mountain Time)","value":"22:39:51"},{"id":151,"name":"Denver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8" s="48"/>
      <c r="AK268" s="48"/>
      <c r="AL268" s="48"/>
      <c r="AM268" s="154" t="str">
        <f t="shared" si="85"/>
        <v>start /low /b %USERPROFILE%\Documents\GitHub\eaglep3\Utilities\DownloadLogsFromS3.py --loco 4064 --day 2017-03-14</v>
      </c>
      <c r="AN268" s="163" t="str">
        <f>"grep -SE -B400 ""CHR.+\|PRM\|1\|D.+(SWITCH|SIGNAL).+UNKNOWN"" "&amp;search_path&amp;"\RTDC"&amp;B268&amp;"\*"&amp;B268&amp;"*"&amp;TEXT(AVERAGE(F268,I268)-utc_offset/24,"YYYYMMDD")&amp;"*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"%USERPROFILE%\AppData\Local\Temp\OnboardLogs"\RTDC4064\*4064*20170315* | grep -SE "(Enforcement Action)|(\[TIMEOUT)|(CHR.+\|PRM\|1\|D.+(SWITCH|SIGNAL).+UNKNOWN)" - &gt;&gt; 2017-03-14-UncaughtWiMAX.txt</v>
      </c>
    </row>
    <row r="269" spans="1:40" x14ac:dyDescent="0.25">
      <c r="A269" s="33" t="s">
        <v>783</v>
      </c>
      <c r="B269" s="7">
        <v>4064</v>
      </c>
      <c r="C269" s="21" t="s">
        <v>233</v>
      </c>
      <c r="D269" s="21" t="s">
        <v>988</v>
      </c>
      <c r="E269" s="13">
        <v>42808.961458333331</v>
      </c>
      <c r="F269" s="13">
        <v>42808.96234953704</v>
      </c>
      <c r="G269" s="7">
        <v>1</v>
      </c>
      <c r="H269" s="21" t="s">
        <v>207</v>
      </c>
      <c r="I269" s="13">
        <v>42808.980312500003</v>
      </c>
      <c r="J269" s="7">
        <v>0</v>
      </c>
      <c r="K269" s="98" t="str">
        <f t="shared" si="72"/>
        <v>4063/4064</v>
      </c>
      <c r="L269" s="21" t="str">
        <f>VLOOKUP(A269,'Trips&amp;Operators'!$C$1:$G$99999,5,FALSE)</f>
        <v>YANG JAN</v>
      </c>
      <c r="M269" s="6">
        <f t="shared" si="73"/>
        <v>1.7962962963792961E-2</v>
      </c>
      <c r="N269" s="7">
        <f t="shared" si="91"/>
        <v>25.866666667861864</v>
      </c>
      <c r="O269" s="7"/>
      <c r="P269" s="7"/>
      <c r="Q269" s="22"/>
      <c r="R269" s="22"/>
      <c r="S269" s="31">
        <f t="shared" si="92"/>
        <v>0</v>
      </c>
      <c r="T269" s="46" t="e">
        <f t="shared" si="74"/>
        <v>#VALUE!</v>
      </c>
      <c r="U269" s="185">
        <f>IF(AG269="EC",COUNTIFS(Variables!$M$2:$M$19,IF(T269="NorthBound","&gt;=","&lt;=")&amp;Y269,Variables!$M$2:$M$19,IF(T269="NorthBound","&lt;=","&gt;=")&amp;Z269),COUNTIFS(Variables!$P$2:$P$19,IF(T269="NorthBound","&gt;=","&lt;=")&amp;Y269,Variables!$P$2:$P$19,IF(T269="NorthBound","&lt;=","&gt;=")&amp;Z269))</f>
        <v>0</v>
      </c>
      <c r="V269" s="186" t="str">
        <f t="shared" si="75"/>
        <v>https://d0f6bd738d7f1b3e5a7ca70fe4ff75f0.us-east-1.aws.found.io/app/kibana#/discover/Steve-Slow-Train-Analysis-(2080s-and-2083s)?_g=(refreshInterval:(display:Off,pause:!f,section:0,value:0),time:(from:'2017-03-14T22:04:30-0600',mode:absolute,to:'2017-03-15T00:31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69" s="187" t="str">
        <f t="shared" si="76"/>
        <v>N</v>
      </c>
      <c r="X269" s="187" t="e">
        <f t="shared" si="93"/>
        <v>#VALUE!</v>
      </c>
      <c r="Y269" s="62">
        <f t="shared" si="77"/>
        <v>12.802099999999999</v>
      </c>
      <c r="Z269" s="62">
        <f t="shared" si="90"/>
        <v>1.54E-2</v>
      </c>
      <c r="AA269" s="62">
        <f t="shared" ref="AA269" si="94">ABS(Z269-Y269)</f>
        <v>12.7867</v>
      </c>
      <c r="AB269" s="59" t="e">
        <f>VLOOKUP(A269,Enforcements!$C$7:$K$13,8,0)</f>
        <v>#N/A</v>
      </c>
      <c r="AC269" s="55" t="e">
        <f>VLOOKUP(A269,Enforcements!$C$7:$E$13,3,0)</f>
        <v>#N/A</v>
      </c>
      <c r="AD269" s="56" t="str">
        <f t="shared" si="79"/>
        <v>82-14</v>
      </c>
      <c r="AE269" s="85" t="str">
        <f t="shared" si="80"/>
        <v>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 &amp; aws s3 cp s3://rtdc.mdm.uploadarchive.raw/RTDC4064/ "%USERPROFILE%\AppData\Local\Temp\OnboardLogs"\RTDC4064\2017-03-15 --exclude "*" --recursive --include "*20170315*" &amp; "%USERPROFILE%\Documents\GitHub\mrs-test-scripts\Headless Mode &amp; Sideloading\WalkAndUnGZ.bat" "%USERPROFILE%\AppData\Local\Temp\OnboardLogs"\RTDC4064\2017-03-15</v>
      </c>
      <c r="AF269" s="82" t="str">
        <f t="shared" si="81"/>
        <v>"C:\Program Files (x86)\AstroGrep\AstroGrep.exe" /e /r /s /spath="%USERPROFILE%\AppData\Local\Temp\OnboardLogs" /stypes="app*4064*20170315*" /stext=" 05:.+((SYSTEM_STATE.+slice.+state.+changed )|(ment ac)|(multiple cpu faults)|(system.+state.+changed )|(\[timeout)|(PRM\|1\|D)|(kpr)|(kdp)|(\|lc)|(penalty))"</v>
      </c>
      <c r="AG269" s="1" t="str">
        <f t="shared" si="82"/>
        <v>Other</v>
      </c>
      <c r="AH269" s="86" t="str">
        <f t="shared" ref="AH269" si="95">refinertdcruntimes&amp;" --tripid "&amp;A269&amp;" --locoid "&amp;B269&amp;" --swversion "&amp;C269&amp;" --startMP "&amp;D269&amp;" --initTime "&amp;TEXT(E269,"yyyy-mm-ddTHH:MM:SS")&amp;" --startdatetime "&amp;TEXT(F269,"yyyy-mm-ddTHH:MM:SS")&amp;" --delay "&amp;G269&amp;" --endMP "&amp;H269&amp;" --enddatetime "&amp;TEXT(I269,"yyyy-mm-ddTHH:MM:SS")&amp;" --enforcementcount "&amp;J269&amp;IF(outputrefinedruntimes," &gt;&gt;"&amp;RefinedRTDCRunTimesOutputFile,"")</f>
        <v>"%USERPROFILE%\Documents\GitHub\eaglep3\Utilities\RefineRTDCRunTimes.py" --tripid 82-14 --locoid 4064 --swversion DE.1.0.9.0 --startMP 204:128021 --initTime 2017-03-14T23:04:30 --startdatetime 2017-03-14T23:05:47 --delay 1 --endMP 204:154 --enddatetime 2017-03-14T23:31:39 --enforcementcount 0 &gt;&gt;C:\Users\stu\Documents\GitHub\eaglep3-reporting\EC\2017-03-14-refined-times.txt</v>
      </c>
      <c r="AI269" s="108" t="str">
        <f t="shared" ref="AI269" si="96">"echo {""issue"":{""subject"":"""&amp;R269&amp;""",""project_id"":79,""tracker_id"":40,""status_id"":"&amp;redmine_status&amp;",""priority_id"":"&amp;redmine_priority&amp;",""assigned_to_id"":"&amp;redmine_assignee&amp;",""start_date"":"""&amp;TEXT(I269,"YYYY-mm-dd")&amp;""",""description"":"""&amp;AJ269&amp;""",""custom_fields"":[{""id"":1,""name"":""Subdivision"",""value"":"""&amp;AG269&amp;"""},{""id"":4,""name"":""Milepost"",""value"":"""&amp;Z269&amp;"""},{""id"":17,""name"":""Train ID"",""value"":"""&amp;A269&amp;"""},{""id"":16,""name"":""Locomotive ID"",""value"":"""&amp;B269&amp;"""},{""id"":130,""name"":""Impact"",""value"":"""&amp;AK269&amp;"""},{""id"":150,""name"":""Time of Event (Mountain Time)"",""value"":"""&amp;TEXT(I269,"hh:mm:ss")&amp;"""},{""id"":151,""name"":""Denver Issue ID"",""value"":"""&amp;"""},{""id"":178,""name"":""Operational Impact"",""value"":"""&amp;redmine_op_impact&amp;"""},{""id"":179,""name"":""Denver Segment Assigned"",""value"":"""&amp;AL269&amp;"""}]}}"&amp;"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{"issue":{"subject":"","project_id":79,"tracker_id":40,"status_id":1,"priority_id":2,"assigned_to_id":23,"start_date":"2017-03-14","description":"","custom_fields":[{"id":1,"name":"Subdivision","value":"Other"},{"id":4,"name":"Milepost","value":"0.0154"},{"id":17,"name":"Train ID","value":"82-14"},{"id":16,"name":"Locomotive ID","value":"4064"},{"id":130,"name":"Impact","value":""},{"id":150,"name":"Time of Event (Mountain Time)","value":"23:31:39"},{"id":151,"name":"Denver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9" s="48"/>
      <c r="AK269" s="48"/>
      <c r="AL269" s="48"/>
      <c r="AM269" s="154" t="str">
        <f t="shared" ref="AM269" si="97">"start /low /b "&amp;dls3logs&amp;" --loco "&amp;B269&amp;" --day "&amp;TEXT(F269,"YYYY-MM-DD")</f>
        <v>start /low /b %USERPROFILE%\Documents\GitHub\eaglep3\Utilities\DownloadLogsFromS3.py --loco 4064 --day 2017-03-14</v>
      </c>
      <c r="AN269" s="163" t="str">
        <f>"grep -SE -B400 ""CHR.+\|PRM\|1\|D.+(SWITCH|SIGNAL).+UNKNOWN"" "&amp;search_path&amp;"\RTDC"&amp;B269&amp;"\*"&amp;B269&amp;"*"&amp;TEXT(AVERAGE(F269,I269)-utc_offset/24,"YYYYMMDD")&amp;"*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"%USERPROFILE%\AppData\Local\Temp\OnboardLogs"\RTDC4064\*4064*20170315* | grep -SE "(Enforcement Action)|(\[TIMEOUT)|(CHR.+\|PRM\|1\|D.+(SWITCH|SIGNAL).+UNKNOWN)" - &gt;&gt; 2017-03-14-UncaughtWiMAX.txt</v>
      </c>
    </row>
    <row r="270" spans="1:4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4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40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69">
    <sortState ref="A13:AG270">
      <sortCondition ref="AG13:AG270"/>
      <sortCondition ref="AD13:AD270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69">
    <cfRule type="cellIs" dxfId="10" priority="363" operator="equal">
      <formula>"Y"</formula>
    </cfRule>
  </conditionalFormatting>
  <conditionalFormatting sqref="X276:X1048576 X13:X269">
    <cfRule type="cellIs" dxfId="9" priority="346" operator="greaterThan">
      <formula>1</formula>
    </cfRule>
  </conditionalFormatting>
  <conditionalFormatting sqref="X276:X1048576 X12:X269">
    <cfRule type="cellIs" dxfId="8" priority="343" operator="equal">
      <formula>0</formula>
    </cfRule>
  </conditionalFormatting>
  <conditionalFormatting sqref="A13:S269">
    <cfRule type="expression" dxfId="7" priority="337" stopIfTrue="1">
      <formula>$P13&gt;0</formula>
    </cfRule>
    <cfRule type="expression" dxfId="6" priority="338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A13:S269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AK13:AK269</xm:sqref>
        </x14:dataValidation>
        <x14:dataValidation type="list" allowBlank="1" showInputMessage="1" showErrorMessage="1">
          <x14:formula1>
            <xm:f>'Redmine List Values'!$C$2:$C$15</xm:f>
          </x14:formula1>
          <xm:sqref>AL13:AL269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0" workbookViewId="0">
      <selection activeCell="A42" sqref="A4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46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- 2017-03-14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204</v>
      </c>
    </row>
    <row r="7" spans="1:32" s="1" customFormat="1" x14ac:dyDescent="0.25">
      <c r="A7" s="32">
        <v>42808.644803240742</v>
      </c>
      <c r="B7" s="30" t="s">
        <v>448</v>
      </c>
      <c r="C7" s="30" t="s">
        <v>584</v>
      </c>
      <c r="D7" s="30" t="s">
        <v>49</v>
      </c>
      <c r="E7" s="30" t="s">
        <v>194</v>
      </c>
      <c r="F7" s="43">
        <v>60</v>
      </c>
      <c r="G7" s="43">
        <v>126</v>
      </c>
      <c r="H7" s="43">
        <v>27582</v>
      </c>
      <c r="I7" s="43">
        <v>27505</v>
      </c>
      <c r="J7" s="30" t="s">
        <v>195</v>
      </c>
      <c r="K7" s="43">
        <v>27350</v>
      </c>
      <c r="L7" s="143" t="s">
        <v>51</v>
      </c>
      <c r="M7" s="144">
        <f t="shared" ref="M7:M53" si="0">CONVERT((I7-K7)/10000,"mi","ft")*IF(L7="Increasing Mileposts (1)",-1,1)</f>
        <v>81.84</v>
      </c>
      <c r="N7" s="145" t="str">
        <f>VLOOKUP(C7,'Trips&amp;Operators'!$C$1:$G$99999,5,FALSE)</f>
        <v>ROMERO CHAD</v>
      </c>
      <c r="O7" s="194" t="s">
        <v>185</v>
      </c>
      <c r="P7" s="146" t="s">
        <v>495</v>
      </c>
      <c r="Q7" s="30"/>
      <c r="R7" s="89" t="str">
        <f>IF(VLOOKUP(C7,'Train Runs'!$A$13:$AE$9945,1,1)=C7,VLOOKUP(C7,'Train Runs'!$A$13:$AE$9945,31,1),NA())</f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S7" s="92" t="str">
        <f>IF(VLOOKUP(C7,'Train Runs'!$A$13:$AE$9945,1,1)=C7,VLOOKUP(C7,'Train Runs'!$A$13:$AE$9945,22,1),NA())</f>
        <v>https://d0f6bd738d7f1b3e5a7ca70fe4ff75f0.us-east-1.aws.found.io/app/kibana#/discover/Steve-Slow-Train-Analysis-(2080s-and-2083s)?_g=(refreshInterval:(display:Off,pause:!f,section:0,value:0),time:(from:'2017-03-14T13:37:45-0600',mode:absolute,to:'2017-03-14T16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7" s="94" t="str">
        <f t="shared" ref="T7:T5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/stypes="*4017*201703142*" /stext=" 21:.+((SYSTEM_STATE.+slice.+state.+changed )|(ment ac)|(multiple cpu faults)|(system.+state.+changed )|(\[timeout)|(PRM\|1\|D)|(kpr)|(kdp)|(\|lc)|(penalty))"</v>
      </c>
      <c r="U7" s="9" t="str">
        <f t="shared" ref="U7:U53" si="2">MID(B7,13,4)</f>
        <v>4017</v>
      </c>
      <c r="V7" s="32">
        <f t="shared" ref="V7:V53" si="3">A7-utc_offset/24</f>
        <v>42808.894803240742</v>
      </c>
      <c r="W7" s="46" t="str">
        <f t="shared" ref="W7:W5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53" si="5">IF(AND(E7="TRACK WARRANT AUTHORITY",G7&lt;10),"OMIT","KEEP")</f>
        <v>KEEP</v>
      </c>
      <c r="Y7" s="108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arrival","project_id":79,"tracker_id":40,"status_id":1,"priority_id":2,"assigned_to_id":23,"start_date":"2017-03-14","description":"","custom_fields":[{"id":1,"name":"Subdivision","value":"EC"},{"id":4,"name":"Milepost","value":"2.735"},{"id":17,"name":"Train ID","value":"184-14"},{"id":16,"name":"Locomotive ID","value":"4017"},{"id":130,"name":"Impact","value":""},{"id":150,"name":"Time of Event (Mountain Time)","value":"15:28:31"},{"id":151,"name":"Denver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"%USERPROFILE%\AppData\Local\Temp\OnboardLogs"\RTDC4017\*4017*201703142*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"%USERPROFILE%\AppData\Local\Temp\OnboardLogs"\RTDC4017\*4017*201703142* &gt;&gt; 2017-03-14-SliceDisagreementCheck.txt</v>
      </c>
      <c r="AE7" s="157" t="str">
        <f t="shared" ref="AE7" si="7">"start /low /b "&amp;dls3logs&amp;" --loco "&amp;U7&amp;" --day "&amp;TEXT(V7,"YYYY-MM-DD")</f>
        <v>start /low /b %USERPROFILE%\Documents\GitHub\eaglep3\Utilities\DownloadLogsFromS3.py --loco 4017 --day 2017-03-14</v>
      </c>
    </row>
    <row r="8" spans="1:32" s="1" customFormat="1" x14ac:dyDescent="0.25">
      <c r="A8" s="32">
        <v>42808.645798611113</v>
      </c>
      <c r="B8" s="30" t="s">
        <v>448</v>
      </c>
      <c r="C8" s="30" t="s">
        <v>584</v>
      </c>
      <c r="D8" s="30" t="s">
        <v>98</v>
      </c>
      <c r="E8" s="30" t="s">
        <v>194</v>
      </c>
      <c r="F8" s="43">
        <v>60</v>
      </c>
      <c r="G8" s="43">
        <v>115</v>
      </c>
      <c r="H8" s="43">
        <v>27225</v>
      </c>
      <c r="I8" s="43">
        <v>27105</v>
      </c>
      <c r="J8" s="30" t="s">
        <v>195</v>
      </c>
      <c r="K8" s="43">
        <v>27350</v>
      </c>
      <c r="L8" s="143" t="s">
        <v>51</v>
      </c>
      <c r="M8" s="144">
        <f t="shared" si="0"/>
        <v>-129.36000000000001</v>
      </c>
      <c r="N8" s="145" t="str">
        <f>VLOOKUP(C8,'Trips&amp;Operators'!$C$1:$G$99999,5,FALSE)</f>
        <v>ROMERO CHAD</v>
      </c>
      <c r="O8" s="194" t="s">
        <v>185</v>
      </c>
      <c r="P8" s="146" t="s">
        <v>495</v>
      </c>
      <c r="Q8" s="30"/>
      <c r="R8" s="89" t="str">
        <f>IF(VLOOKUP(C8,'Train Runs'!$A$13:$AE$9945,1,1)=C8,VLOOKUP(C8,'Train Runs'!$A$13:$AE$9945,31,1),NA())</f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S8" s="92" t="str">
        <f>IF(VLOOKUP(C8,'Train Runs'!$A$13:$AE$9945,1,1)=C8,VLOOKUP(C8,'Train Runs'!$A$13:$AE$9945,22,1),NA())</f>
        <v>https://d0f6bd738d7f1b3e5a7ca70fe4ff75f0.us-east-1.aws.found.io/app/kibana#/discover/Steve-Slow-Train-Analysis-(2080s-and-2083s)?_g=(refreshInterval:(display:Off,pause:!f,section:0,value:0),time:(from:'2017-03-14T13:37:45-0600',mode:absolute,to:'2017-03-14T16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8" s="94" t="str">
        <f t="shared" si="1"/>
        <v>"C:\Program Files (x86)\AstroGrep\AstroGrep.exe" /e /r /s /spath="%USERPROFILE%\AppData\Local\Temp\OnboardLogs" /stypes="*4017*201703142*" /stext=" 21:.+((SYSTEM_STATE.+slice.+state.+changed )|(ment ac)|(multiple cpu faults)|(system.+state.+changed )|(\[timeout)|(PRM\|1\|D)|(kpr)|(kdp)|(\|lc)|(penalty))"</v>
      </c>
      <c r="U8" s="9" t="str">
        <f t="shared" si="2"/>
        <v>4017</v>
      </c>
      <c r="V8" s="32">
        <f t="shared" si="3"/>
        <v>42808.895798611113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arrival","project_id":79,"tracker_id":40,"status_id":1,"priority_id":2,"assigned_to_id":23,"start_date":"2017-03-14","description":"","custom_fields":[{"id":1,"name":"Subdivision","value":"EC"},{"id":4,"name":"Milepost","value":"2.735"},{"id":17,"name":"Train ID","value":"184-14"},{"id":16,"name":"Locomotive ID","value":"4017"},{"id":130,"name":"Impact","value":""},{"id":150,"name":"Time of Event (Mountain Time)","value":"15:29:57"},{"id":151,"name":"Denver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"%USERPROFILE%\AppData\Local\Temp\OnboardLogs"\RTDC4017\*4017*201703142*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"%USERPROFILE%\AppData\Local\Temp\OnboardLogs"\RTDC4017\*4017*201703142* &gt;&gt; 2017-03-14-SliceDisagreementCheck.txt</v>
      </c>
      <c r="AE8" s="157" t="str">
        <f t="shared" ref="AE8:AE53" si="8">"start /low /b "&amp;dls3logs&amp;" --loco "&amp;U8&amp;" --day "&amp;TEXT(V8,"YYYY-MM-DD")</f>
        <v>start /low /b %USERPROFILE%\Documents\GitHub\eaglep3\Utilities\DownloadLogsFromS3.py --loco 4017 --day 2017-03-14</v>
      </c>
    </row>
    <row r="9" spans="1:32" s="1" customFormat="1" x14ac:dyDescent="0.25">
      <c r="A9" s="32">
        <v>42808.203634259262</v>
      </c>
      <c r="B9" s="30" t="s">
        <v>461</v>
      </c>
      <c r="C9" s="30" t="s">
        <v>561</v>
      </c>
      <c r="D9" s="30" t="s">
        <v>98</v>
      </c>
      <c r="E9" s="30" t="s">
        <v>194</v>
      </c>
      <c r="F9" s="43">
        <v>0</v>
      </c>
      <c r="G9" s="43">
        <v>144</v>
      </c>
      <c r="H9" s="43">
        <v>30838</v>
      </c>
      <c r="I9" s="43">
        <v>30950</v>
      </c>
      <c r="J9" s="30" t="s">
        <v>195</v>
      </c>
      <c r="K9" s="43">
        <v>30830</v>
      </c>
      <c r="L9" s="143" t="s">
        <v>50</v>
      </c>
      <c r="M9" s="144">
        <f t="shared" si="0"/>
        <v>-63.36</v>
      </c>
      <c r="N9" s="145" t="str">
        <f>VLOOKUP(C9,'Trips&amp;Operators'!$C$1:$G$99999,5,FALSE)</f>
        <v>DAVIS WENDY</v>
      </c>
      <c r="O9" s="194" t="s">
        <v>185</v>
      </c>
      <c r="P9" s="146" t="s">
        <v>495</v>
      </c>
      <c r="Q9" s="30"/>
      <c r="R9" s="89" t="str">
        <f>IF(VLOOKUP(C9,'Train Runs'!$A$13:$AE$9945,1,1)=C9,VLOOKUP(C9,'Train Runs'!$A$13:$AE$9945,31,1),NA())</f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S9" s="92" t="str">
        <f>IF(VLOOKUP(C9,'Train Runs'!$A$13:$AE$9945,1,1)=C9,VLOOKUP(C9,'Train Runs'!$A$13:$AE$9945,22,1),NA())</f>
        <v>https://d0f6bd738d7f1b3e5a7ca70fe4ff75f0.us-east-1.aws.found.io/app/kibana#/discover/Steve-Slow-Train-Analysis-(2080s-and-2083s)?_g=(refreshInterval:(display:Off,pause:!f,section:0,value:0),time:(from:'2017-03-14T03:39:14-0600',mode:absolute,to:'2017-03-14T06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94" t="str">
        <f t="shared" si="1"/>
        <v>"C:\Program Files (x86)\AstroGrep\AstroGrep.exe" /e /r /s /spath="%USERPROFILE%\AppData\Local\Temp\OnboardLogs" /stypes="*4053*201703141*" /stext=" 10:.+((SYSTEM_STATE.+slice.+state.+changed )|(ment ac)|(multiple cpu faults)|(system.+state.+changed )|(\[timeout)|(PRM\|1\|D)|(kpr)|(kdp)|(\|lc)|(penalty))"</v>
      </c>
      <c r="U9" s="9" t="str">
        <f t="shared" si="2"/>
        <v>4053</v>
      </c>
      <c r="V9" s="32">
        <f t="shared" si="3"/>
        <v>42808.453634259262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arrival","project_id":79,"tracker_id":40,"status_id":1,"priority_id":2,"assigned_to_id":23,"start_date":"2017-03-14","description":"","custom_fields":[{"id":1,"name":"Subdivision","value":"EC"},{"id":4,"name":"Milepost","value":"3.083"},{"id":17,"name":"Train ID","value":"109-14"},{"id":16,"name":"Locomotive ID","value":"4053"},{"id":130,"name":"Impact","value":""},{"id":150,"name":"Time of Event (Mountain Time)","value":"04:53:14"},{"id":151,"name":"Denver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Ac)|(PRM.+XING))"" -"</f>
        <v>grep -hSE -A400 "Enforcement Action" "%USERPROFILE%\AppData\Local\Temp\OnboardLogs"\RTDC4053\*4053*201703141*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"%USERPROFILE%\AppData\Local\Temp\OnboardLogs"\RTDC4053\*4053*201703141* &gt;&gt; 2017-03-14-SliceDisagreementCheck.txt</v>
      </c>
      <c r="AE9" s="157" t="str">
        <f t="shared" si="8"/>
        <v>start /low /b %USERPROFILE%\Documents\GitHub\eaglep3\Utilities\DownloadLogsFromS3.py --loco 4053 --day 2017-03-14</v>
      </c>
    </row>
    <row r="10" spans="1:32" s="1" customFormat="1" x14ac:dyDescent="0.25">
      <c r="A10" s="32">
        <v>42808.349710648145</v>
      </c>
      <c r="B10" s="30" t="s">
        <v>461</v>
      </c>
      <c r="C10" s="30" t="s">
        <v>566</v>
      </c>
      <c r="D10" s="30" t="s">
        <v>98</v>
      </c>
      <c r="E10" s="30" t="s">
        <v>194</v>
      </c>
      <c r="F10" s="43">
        <v>0</v>
      </c>
      <c r="G10" s="43">
        <v>64</v>
      </c>
      <c r="H10" s="43">
        <v>30833</v>
      </c>
      <c r="I10" s="43">
        <v>30867</v>
      </c>
      <c r="J10" s="30" t="s">
        <v>195</v>
      </c>
      <c r="K10" s="43">
        <v>30830</v>
      </c>
      <c r="L10" s="143" t="s">
        <v>50</v>
      </c>
      <c r="M10" s="144">
        <f t="shared" si="0"/>
        <v>-19.536000000000001</v>
      </c>
      <c r="N10" s="145" t="str">
        <f>VLOOKUP(C10,'Trips&amp;Operators'!$C$1:$G$99999,5,FALSE)</f>
        <v>DAVIS WENDY</v>
      </c>
      <c r="O10" s="194" t="s">
        <v>185</v>
      </c>
      <c r="P10" s="146" t="s">
        <v>495</v>
      </c>
      <c r="Q10" s="30"/>
      <c r="R10" s="89" t="str">
        <f>IF(VLOOKUP(C10,'Train Runs'!$A$13:$AE$9945,1,1)=C10,VLOOKUP(C10,'Train Runs'!$A$13:$AE$9945,31,1),NA())</f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S10" s="92" t="str">
        <f>IF(VLOOKUP(C10,'Train Runs'!$A$13:$AE$9945,1,1)=C10,VLOOKUP(C10,'Train Runs'!$A$13:$AE$9945,22,1),NA())</f>
        <v>https://d0f6bd738d7f1b3e5a7ca70fe4ff75f0.us-east-1.aws.found.io/app/kibana#/discover/Steve-Slow-Train-Analysis-(2080s-and-2083s)?_g=(refreshInterval:(display:Off,pause:!f,section:0,value:0),time:(from:'2017-03-14T07:08:18-0600',mode:absolute,to:'2017-03-14T09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0" s="94" t="str">
        <f t="shared" si="1"/>
        <v>"C:\Program Files (x86)\AstroGrep\AstroGrep.exe" /e /r /s /spath="%USERPROFILE%\AppData\Local\Temp\OnboardLogs" /stypes="*4053*201703141*" /stext=" 14:.+((SYSTEM_STATE.+slice.+state.+changed )|(ment ac)|(multiple cpu faults)|(system.+state.+changed )|(\[timeout)|(PRM\|1\|D)|(kpr)|(kdp)|(\|lc)|(penalty))"</v>
      </c>
      <c r="U10" s="9" t="str">
        <f t="shared" si="2"/>
        <v>4053</v>
      </c>
      <c r="V10" s="32">
        <f t="shared" si="3"/>
        <v>42808.599710648145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arrival","project_id":79,"tracker_id":40,"status_id":1,"priority_id":2,"assigned_to_id":23,"start_date":"2017-03-14","description":"","custom_fields":[{"id":1,"name":"Subdivision","value":"EC"},{"id":4,"name":"Milepost","value":"3.083"},{"id":17,"name":"Train ID","value":"137-14"},{"id":16,"name":"Locomotive ID","value":"4053"},{"id":130,"name":"Impact","value":""},{"id":150,"name":"Time of Event (Mountain Time)","value":"08:23:35"},{"id":151,"name":"Denver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>"grep -hSE -A400 ""Enforcement Action"" "&amp;search_path&amp;"\RTDC"&amp;U10&amp;"\*"&amp;U10&amp;"*"&amp;TEXT(A10-utc_offset/24,"YYYYMMDD")&amp;LEFT(TEXT(A10-utc_offset/24,"HH"),1)&amp;"* | grep -SE ""((Enforcement Ac)|(PRM.+XING))"" -"</f>
        <v>grep -hSE -A400 "Enforcement Action" "%USERPROFILE%\AppData\Local\Temp\OnboardLogs"\RTDC4053\*4053*201703141*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"%USERPROFILE%\AppData\Local\Temp\OnboardLogs"\RTDC4053\*4053*201703141* &gt;&gt; 2017-03-14-SliceDisagreementCheck.txt</v>
      </c>
      <c r="AE10" s="157" t="str">
        <f t="shared" si="8"/>
        <v>start /low /b %USERPROFILE%\Documents\GitHub\eaglep3\Utilities\DownloadLogsFromS3.py --loco 4053 --day 2017-03-14</v>
      </c>
    </row>
    <row r="11" spans="1:32" s="1" customFormat="1" x14ac:dyDescent="0.25">
      <c r="A11" s="32">
        <v>42808.257731481484</v>
      </c>
      <c r="B11" s="30" t="s">
        <v>390</v>
      </c>
      <c r="C11" s="30" t="s">
        <v>565</v>
      </c>
      <c r="D11" s="30" t="s">
        <v>98</v>
      </c>
      <c r="E11" s="30" t="s">
        <v>194</v>
      </c>
      <c r="F11" s="43">
        <v>160</v>
      </c>
      <c r="G11" s="43">
        <v>215</v>
      </c>
      <c r="H11" s="43">
        <v>30990</v>
      </c>
      <c r="I11" s="43">
        <v>33615</v>
      </c>
      <c r="J11" s="30" t="s">
        <v>195</v>
      </c>
      <c r="K11" s="43">
        <v>30830</v>
      </c>
      <c r="L11" s="143" t="s">
        <v>50</v>
      </c>
      <c r="M11" s="144">
        <f t="shared" si="0"/>
        <v>-1470.48</v>
      </c>
      <c r="N11" s="145" t="str">
        <f>VLOOKUP(C11,'Trips&amp;Operators'!$C$1:$G$99999,5,FALSE)</f>
        <v>STARKS ANGELINA</v>
      </c>
      <c r="O11" s="194" t="s">
        <v>185</v>
      </c>
      <c r="P11" s="146" t="s">
        <v>495</v>
      </c>
      <c r="Q11" s="30"/>
      <c r="R11" s="89" t="str">
        <f>IF(VLOOKUP(C11,'Train Runs'!$A$13:$AE$9945,1,1)=C11,VLOOKUP(C11,'Train Runs'!$A$13:$AE$9945,31,1),NA())</f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S11" s="92" t="str">
        <f>IF(VLOOKUP(C11,'Train Runs'!$A$13:$AE$9945,1,1)=C11,VLOOKUP(C11,'Train Runs'!$A$13:$AE$9945,22,1),NA())</f>
        <v>https://d0f6bd738d7f1b3e5a7ca70fe4ff75f0.us-east-1.aws.found.io/app/kibana#/discover/Steve-Slow-Train-Analysis-(2080s-and-2083s)?_g=(refreshInterval:(display:Off,pause:!f,section:0,value:0),time:(from:'2017-03-14T04:56:12-0600',mode:absolute,to:'2017-03-14T07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94" t="str">
        <f t="shared" si="1"/>
        <v>"C:\Program Files (x86)\AstroGrep\AstroGrep.exe" /e /r /s /spath="%USERPROFILE%\AppData\Local\Temp\OnboardLogs" /stypes="*4009*201703141*" /stext=" 12:.+((SYSTEM_STATE.+slice.+state.+changed )|(ment ac)|(multiple cpu faults)|(system.+state.+changed )|(\[timeout)|(PRM\|1\|D)|(kpr)|(kdp)|(\|lc)|(penalty))"</v>
      </c>
      <c r="U11" s="9" t="str">
        <f t="shared" si="2"/>
        <v>4009</v>
      </c>
      <c r="V11" s="32">
        <f t="shared" si="3"/>
        <v>42808.507731481484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arrival","project_id":79,"tracker_id":40,"status_id":1,"priority_id":2,"assigned_to_id":23,"start_date":"2017-03-14","description":"","custom_fields":[{"id":1,"name":"Subdivision","value":"EC"},{"id":4,"name":"Milepost","value":"3.083"},{"id":17,"name":"Train ID","value":"119-14"},{"id":16,"name":"Locomotive ID","value":"4009"},{"id":130,"name":"Impact","value":""},{"id":150,"name":"Time of Event (Mountain Time)","value":"06:11:08"},{"id":151,"name":"Denver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"%USERPROFILE%\AppData\Local\Temp\OnboardLogs"\RTDC4009\*4009*201703141*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"%USERPROFILE%\AppData\Local\Temp\OnboardLogs"\RTDC4009\*4009*201703141* &gt;&gt; 2017-03-14-SliceDisagreementCheck.txt</v>
      </c>
      <c r="AE11" s="157" t="str">
        <f t="shared" si="8"/>
        <v>start /low /b %USERPROFILE%\Documents\GitHub\eaglep3\Utilities\DownloadLogsFromS3.py --loco 4009 --day 2017-03-14</v>
      </c>
    </row>
    <row r="12" spans="1:32" s="1" customFormat="1" x14ac:dyDescent="0.25">
      <c r="A12" s="32">
        <v>42808.790162037039</v>
      </c>
      <c r="B12" s="30" t="s">
        <v>448</v>
      </c>
      <c r="C12" s="30" t="s">
        <v>593</v>
      </c>
      <c r="D12" s="30" t="s">
        <v>98</v>
      </c>
      <c r="E12" s="30" t="s">
        <v>194</v>
      </c>
      <c r="F12" s="43">
        <v>0</v>
      </c>
      <c r="G12" s="43">
        <v>199</v>
      </c>
      <c r="H12" s="43">
        <v>30970</v>
      </c>
      <c r="I12" s="43">
        <v>30853</v>
      </c>
      <c r="J12" s="30" t="s">
        <v>195</v>
      </c>
      <c r="K12" s="43">
        <v>30970</v>
      </c>
      <c r="L12" s="143" t="s">
        <v>51</v>
      </c>
      <c r="M12" s="144">
        <f t="shared" si="0"/>
        <v>-61.776000000000003</v>
      </c>
      <c r="N12" s="145" t="str">
        <f>VLOOKUP(C12,'Trips&amp;Operators'!$C$1:$G$99999,5,FALSE)</f>
        <v>MOSES BRADLEY</v>
      </c>
      <c r="O12" s="194" t="s">
        <v>185</v>
      </c>
      <c r="P12" s="146" t="s">
        <v>495</v>
      </c>
      <c r="Q12" s="30"/>
      <c r="R12" s="89" t="str">
        <f>IF(VLOOKUP(C12,'Train Runs'!$A$13:$AE$9945,1,1)=C12,VLOOKUP(C12,'Train Runs'!$A$13:$AE$9945,31,1),NA())</f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S12" s="92" t="str">
        <f>IF(VLOOKUP(C12,'Train Runs'!$A$13:$AE$9945,1,1)=C12,VLOOKUP(C12,'Train Runs'!$A$13:$AE$9945,22,1),NA())</f>
        <v>https://d0f6bd738d7f1b3e5a7ca70fe4ff75f0.us-east-1.aws.found.io/app/kibana#/discover/Steve-Slow-Train-Analysis-(2080s-and-2083s)?_g=(refreshInterval:(display:Off,pause:!f,section:0,value:0),time:(from:'2017-03-14T17:21:15-0600',mode:absolute,to:'2017-03-14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94" t="str">
        <f t="shared" si="1"/>
        <v>"C:\Program Files (x86)\AstroGrep\AstroGrep.exe" /e /r /s /spath="%USERPROFILE%\AppData\Local\Temp\OnboardLogs" /stypes="*4017*201703150*" /stext=" 00:.+((SYSTEM_STATE.+slice.+state.+changed )|(ment ac)|(multiple cpu faults)|(system.+state.+changed )|(\[timeout)|(PRM\|1\|D)|(kpr)|(kdp)|(\|lc)|(penalty))"</v>
      </c>
      <c r="U12" s="9" t="str">
        <f t="shared" si="2"/>
        <v>4017</v>
      </c>
      <c r="V12" s="32">
        <f t="shared" si="3"/>
        <v>42809.040162037039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arrival","project_id":79,"tracker_id":40,"status_id":1,"priority_id":2,"assigned_to_id":23,"start_date":"2017-03-14","description":"","custom_fields":[{"id":1,"name":"Subdivision","value":"EC"},{"id":4,"name":"Milepost","value":"3.097"},{"id":17,"name":"Train ID","value":"212-14"},{"id":16,"name":"Locomotive ID","value":"4017"},{"id":130,"name":"Impact","value":""},{"id":150,"name":"Time of Event (Mountain Time)","value":"18:57:50"},{"id":151,"name":"Denver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>"grep -hSE -A400 ""Enforcement Action"" "&amp;search_path&amp;"\RTDC"&amp;U12&amp;"\*"&amp;U12&amp;"*"&amp;TEXT(A12-utc_offset/24,"YYYYMMDD")&amp;LEFT(TEXT(A12-utc_offset/24,"HH"),1)&amp;"* | grep -SE ""((Enforcement Ac)|(PRM.+XING))"" -"</f>
        <v>grep -hSE -A400 "Enforcement Action" "%USERPROFILE%\AppData\Local\Temp\OnboardLogs"\RTDC4017\*4017*201703150*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"%USERPROFILE%\AppData\Local\Temp\OnboardLogs"\RTDC4017\*4017*201703150* &gt;&gt; 2017-03-14-SliceDisagreementCheck.txt</v>
      </c>
      <c r="AE12" s="157" t="str">
        <f t="shared" si="8"/>
        <v>start /low /b %USERPROFILE%\Documents\GitHub\eaglep3\Utilities\DownloadLogsFromS3.py --loco 4017 --day 2017-03-15</v>
      </c>
    </row>
    <row r="13" spans="1:32" s="1" customFormat="1" x14ac:dyDescent="0.25">
      <c r="A13" s="32">
        <v>42808.757916666669</v>
      </c>
      <c r="B13" s="30" t="s">
        <v>449</v>
      </c>
      <c r="C13" s="30" t="s">
        <v>592</v>
      </c>
      <c r="D13" s="30" t="s">
        <v>98</v>
      </c>
      <c r="E13" s="30" t="s">
        <v>194</v>
      </c>
      <c r="F13" s="43">
        <v>450</v>
      </c>
      <c r="G13" s="43">
        <v>504</v>
      </c>
      <c r="H13" s="43">
        <v>42908</v>
      </c>
      <c r="I13" s="43">
        <v>44984</v>
      </c>
      <c r="J13" s="30" t="s">
        <v>195</v>
      </c>
      <c r="K13" s="43">
        <v>42779</v>
      </c>
      <c r="L13" s="143" t="s">
        <v>50</v>
      </c>
      <c r="M13" s="144">
        <f t="shared" si="0"/>
        <v>-1164.24</v>
      </c>
      <c r="N13" s="145" t="str">
        <f>VLOOKUP(C13,'Trips&amp;Operators'!$C$1:$G$99999,5,FALSE)</f>
        <v>HOLCOMB KAMDEN</v>
      </c>
      <c r="O13" s="194" t="s">
        <v>185</v>
      </c>
      <c r="P13" s="146" t="s">
        <v>495</v>
      </c>
      <c r="Q13" s="30"/>
      <c r="R13" s="89" t="str">
        <f>IF(VLOOKUP(C13,'Train Runs'!$A$13:$AE$9945,1,1)=C13,VLOOKUP(C13,'Train Runs'!$A$13:$AE$9945,31,1),NA())</f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S13" s="92" t="str">
        <f>IF(VLOOKUP(C13,'Train Runs'!$A$13:$AE$9945,1,1)=C13,VLOOKUP(C13,'Train Runs'!$A$13:$AE$9945,22,1),NA())</f>
        <v>https://d0f6bd738d7f1b3e5a7ca70fe4ff75f0.us-east-1.aws.found.io/app/kibana#/discover/Steve-Slow-Train-Analysis-(2080s-and-2083s)?_g=(refreshInterval:(display:Off,pause:!f,section:0,value:0),time:(from:'2017-03-14T16:56:09-0600',mode:absolute,to:'2017-03-14T19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3" s="94" t="str">
        <f t="shared" si="1"/>
        <v>"C:\Program Files (x86)\AstroGrep\AstroGrep.exe" /e /r /s /spath="%USERPROFILE%\AppData\Local\Temp\OnboardLogs" /stypes="*4022*201703150*" /stext=" 00:.+((SYSTEM_STATE.+slice.+state.+changed )|(ment ac)|(multiple cpu faults)|(system.+state.+changed )|(\[timeout)|(PRM\|1\|D)|(kpr)|(kdp)|(\|lc)|(penalty))"</v>
      </c>
      <c r="U13" s="9" t="str">
        <f t="shared" si="2"/>
        <v>4022</v>
      </c>
      <c r="V13" s="32">
        <f t="shared" si="3"/>
        <v>42809.007916666669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arrival","project_id":79,"tracker_id":40,"status_id":1,"priority_id":2,"assigned_to_id":23,"start_date":"2017-03-14","description":"","custom_fields":[{"id":1,"name":"Subdivision","value":"EC"},{"id":4,"name":"Milepost","value":"4.2779"},{"id":17,"name":"Train ID","value":"215-14"},{"id":16,"name":"Locomotive ID","value":"4022"},{"id":130,"name":"Impact","value":""},{"id":150,"name":"Time of Event (Mountain Time)","value":"18:11:24"},{"id":151,"name":"Denver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"%USERPROFILE%\AppData\Local\Temp\OnboardLogs"\RTDC4022\*4022*201703150*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"%USERPROFILE%\AppData\Local\Temp\OnboardLogs"\RTDC4022\*4022*201703150* &gt;&gt; 2017-03-14-SliceDisagreementCheck.txt</v>
      </c>
      <c r="AE13" s="157" t="str">
        <f t="shared" si="8"/>
        <v>start /low /b %USERPROFILE%\Documents\GitHub\eaglep3\Utilities\DownloadLogsFromS3.py --loco 4022 --day 2017-03-15</v>
      </c>
    </row>
    <row r="14" spans="1:32" x14ac:dyDescent="0.25">
      <c r="A14" s="32">
        <v>42808.568252314813</v>
      </c>
      <c r="B14" s="30" t="s">
        <v>448</v>
      </c>
      <c r="C14" s="30" t="s">
        <v>580</v>
      </c>
      <c r="D14" s="30" t="s">
        <v>49</v>
      </c>
      <c r="E14" s="30" t="s">
        <v>194</v>
      </c>
      <c r="F14" s="43">
        <v>0</v>
      </c>
      <c r="G14" s="43">
        <v>284</v>
      </c>
      <c r="H14" s="43">
        <v>58415</v>
      </c>
      <c r="I14" s="43">
        <v>57704</v>
      </c>
      <c r="J14" s="30" t="s">
        <v>195</v>
      </c>
      <c r="K14" s="43">
        <v>58301</v>
      </c>
      <c r="L14" s="143" t="s">
        <v>51</v>
      </c>
      <c r="M14" s="144">
        <f t="shared" si="0"/>
        <v>-315.21600000000001</v>
      </c>
      <c r="N14" s="145" t="str">
        <f>VLOOKUP(C14,'Trips&amp;Operators'!$C$1:$G$99999,5,FALSE)</f>
        <v>ROMERO CHAD</v>
      </c>
      <c r="O14" s="194" t="s">
        <v>185</v>
      </c>
      <c r="P14" s="146" t="s">
        <v>495</v>
      </c>
      <c r="Q14" s="30"/>
      <c r="R14" s="89" t="str">
        <f>IF(VLOOKUP(C14,'Train Runs'!$A$13:$AE$9945,1,1)=C14,VLOOKUP(C14,'Train Runs'!$A$13:$AE$9945,31,1),NA())</f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S14" s="92" t="str">
        <f>IF(VLOOKUP(C14,'Train Runs'!$A$13:$AE$9945,1,1)=C14,VLOOKUP(C14,'Train Runs'!$A$13:$AE$9945,22,1),NA())</f>
        <v>https://d0f6bd738d7f1b3e5a7ca70fe4ff75f0.us-east-1.aws.found.io/app/kibana#/discover/Steve-Slow-Train-Analysis-(2080s-and-2083s)?_g=(refreshInterval:(display:Off,pause:!f,section:0,value:0),time:(from:'2017-03-14T11:55:03-0600',mode:absolute,to:'2017-03-14T14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4" s="94" t="str">
        <f t="shared" si="1"/>
        <v>"C:\Program Files (x86)\AstroGrep\AstroGrep.exe" /e /r /s /spath="%USERPROFILE%\AppData\Local\Temp\OnboardLogs" /stypes="*4017*201703141*" /stext=" 19:.+((SYSTEM_STATE.+slice.+state.+changed )|(ment ac)|(multiple cpu faults)|(system.+state.+changed )|(\[timeout)|(PRM\|1\|D)|(kpr)|(kdp)|(\|lc)|(penalty))"</v>
      </c>
      <c r="U14" s="9" t="str">
        <f t="shared" si="2"/>
        <v>4017</v>
      </c>
      <c r="V14" s="32">
        <f t="shared" si="3"/>
        <v>42808.818252314813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arrival","project_id":79,"tracker_id":40,"status_id":1,"priority_id":2,"assigned_to_id":23,"start_date":"2017-03-14","description":"","custom_fields":[{"id":1,"name":"Subdivision","value":"EC"},{"id":4,"name":"Milepost","value":"5.8301"},{"id":17,"name":"Train ID","value":"170-14"},{"id":16,"name":"Locomotive ID","value":"4017"},{"id":130,"name":"Impact","value":""},{"id":150,"name":"Time of Event (Mountain Time)","value":"13:38:17"},{"id":151,"name":"Denver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>"grep -hSE -A400 ""Enforcement Action"" "&amp;search_path&amp;"\RTDC"&amp;U14&amp;"\*"&amp;U14&amp;"*"&amp;TEXT(A14-utc_offset/24,"YYYYMMDD")&amp;LEFT(TEXT(A14-utc_offset/24,"HH"),1)&amp;"* | grep -SE ""((Enforcement Ac)|(PRM.+XING))"" -"</f>
        <v>grep -hSE -A400 "Enforcement Action" "%USERPROFILE%\AppData\Local\Temp\OnboardLogs"\RTDC4017\*4017*201703141*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"%USERPROFILE%\AppData\Local\Temp\OnboardLogs"\RTDC4017\*4017*201703141* &gt;&gt; 2017-03-14-SliceDisagreementCheck.txt</v>
      </c>
      <c r="AE14" s="157" t="str">
        <f t="shared" si="8"/>
        <v>start /low /b %USERPROFILE%\Documents\GitHub\eaglep3\Utilities\DownloadLogsFromS3.py --loco 4017 --day 2017-03-14</v>
      </c>
      <c r="AF14" s="1"/>
    </row>
    <row r="15" spans="1:32" x14ac:dyDescent="0.25">
      <c r="A15" s="32">
        <v>42808.760069444441</v>
      </c>
      <c r="B15" s="30" t="s">
        <v>449</v>
      </c>
      <c r="C15" s="30" t="s">
        <v>592</v>
      </c>
      <c r="D15" s="30" t="s">
        <v>49</v>
      </c>
      <c r="E15" s="30" t="s">
        <v>194</v>
      </c>
      <c r="F15" s="43">
        <v>190</v>
      </c>
      <c r="G15" s="43">
        <v>397</v>
      </c>
      <c r="H15" s="43">
        <v>61929</v>
      </c>
      <c r="I15" s="43">
        <v>63129</v>
      </c>
      <c r="J15" s="30" t="s">
        <v>195</v>
      </c>
      <c r="K15" s="43">
        <v>63069</v>
      </c>
      <c r="L15" s="143" t="s">
        <v>50</v>
      </c>
      <c r="M15" s="144">
        <f t="shared" si="0"/>
        <v>-31.68</v>
      </c>
      <c r="N15" s="145" t="str">
        <f>VLOOKUP(C15,'Trips&amp;Operators'!$C$1:$G$99999,5,FALSE)</f>
        <v>HOLCOMB KAMDEN</v>
      </c>
      <c r="O15" s="194" t="s">
        <v>185</v>
      </c>
      <c r="P15" s="146" t="s">
        <v>495</v>
      </c>
      <c r="Q15" s="30"/>
      <c r="R15" s="89" t="str">
        <f>IF(VLOOKUP(C15,'Train Runs'!$A$13:$AE$9945,1,1)=C15,VLOOKUP(C15,'Train Runs'!$A$13:$AE$9945,31,1),NA())</f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S15" s="92" t="str">
        <f>IF(VLOOKUP(C15,'Train Runs'!$A$13:$AE$9945,1,1)=C15,VLOOKUP(C15,'Train Runs'!$A$13:$AE$9945,22,1),NA())</f>
        <v>https://d0f6bd738d7f1b3e5a7ca70fe4ff75f0.us-east-1.aws.found.io/app/kibana#/discover/Steve-Slow-Train-Analysis-(2080s-and-2083s)?_g=(refreshInterval:(display:Off,pause:!f,section:0,value:0),time:(from:'2017-03-14T16:56:09-0600',mode:absolute,to:'2017-03-14T19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5" s="94" t="str">
        <f t="shared" si="1"/>
        <v>"C:\Program Files (x86)\AstroGrep\AstroGrep.exe" /e /r /s /spath="%USERPROFILE%\AppData\Local\Temp\OnboardLogs" /stypes="*4022*201703150*" /stext=" 00:.+((SYSTEM_STATE.+slice.+state.+changed )|(ment ac)|(multiple cpu faults)|(system.+state.+changed )|(\[timeout)|(PRM\|1\|D)|(kpr)|(kdp)|(\|lc)|(penalty))"</v>
      </c>
      <c r="U15" s="9" t="str">
        <f t="shared" si="2"/>
        <v>4022</v>
      </c>
      <c r="V15" s="32">
        <f t="shared" si="3"/>
        <v>42809.010069444441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arrival","project_id":79,"tracker_id":40,"status_id":1,"priority_id":2,"assigned_to_id":23,"start_date":"2017-03-14","description":"","custom_fields":[{"id":1,"name":"Subdivision","value":"EC"},{"id":4,"name":"Milepost","value":"6.3069"},{"id":17,"name":"Train ID","value":"215-14"},{"id":16,"name":"Locomotive ID","value":"4022"},{"id":130,"name":"Impact","value":""},{"id":150,"name":"Time of Event (Mountain Time)","value":"18:14:30"},{"id":151,"name":"Denver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"%USERPROFILE%\AppData\Local\Temp\OnboardLogs"\RTDC4022\*4022*201703150*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"%USERPROFILE%\AppData\Local\Temp\OnboardLogs"\RTDC4022\*4022*201703150* &gt;&gt; 2017-03-14-SliceDisagreementCheck.txt</v>
      </c>
      <c r="AE15" s="157" t="str">
        <f t="shared" si="8"/>
        <v>start /low /b %USERPROFILE%\Documents\GitHub\eaglep3\Utilities\DownloadLogsFromS3.py --loco 4022 --day 2017-03-15</v>
      </c>
      <c r="AF15" s="1"/>
    </row>
    <row r="16" spans="1:32" x14ac:dyDescent="0.25">
      <c r="A16" s="32">
        <v>42808.744421296295</v>
      </c>
      <c r="B16" s="30" t="s">
        <v>498</v>
      </c>
      <c r="C16" s="30" t="s">
        <v>589</v>
      </c>
      <c r="D16" s="30" t="s">
        <v>49</v>
      </c>
      <c r="E16" s="30" t="s">
        <v>194</v>
      </c>
      <c r="F16" s="43">
        <v>220</v>
      </c>
      <c r="G16" s="43">
        <v>271</v>
      </c>
      <c r="H16" s="43">
        <v>63538</v>
      </c>
      <c r="I16" s="43">
        <v>62879</v>
      </c>
      <c r="J16" s="30" t="s">
        <v>195</v>
      </c>
      <c r="K16" s="43">
        <v>63309</v>
      </c>
      <c r="L16" s="143" t="s">
        <v>51</v>
      </c>
      <c r="M16" s="144">
        <f t="shared" si="0"/>
        <v>-227.04</v>
      </c>
      <c r="N16" s="145" t="str">
        <f>VLOOKUP(C16,'Trips&amp;Operators'!$C$1:$G$99999,5,FALSE)</f>
        <v>STRICKLAND EVAN</v>
      </c>
      <c r="O16" s="194" t="s">
        <v>185</v>
      </c>
      <c r="P16" s="146" t="s">
        <v>495</v>
      </c>
      <c r="Q16" s="30"/>
      <c r="R16" s="89" t="str">
        <f>IF(VLOOKUP(C16,'Train Runs'!$A$13:$AE$9945,1,1)=C16,VLOOKUP(C16,'Train Runs'!$A$13:$AE$9945,31,1),NA())</f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S16" s="92" t="str">
        <f>IF(VLOOKUP(C16,'Train Runs'!$A$13:$AE$9945,1,1)=C16,VLOOKUP(C16,'Train Runs'!$A$13:$AE$9945,22,1),NA())</f>
        <v>https://d0f6bd738d7f1b3e5a7ca70fe4ff75f0.us-east-1.aws.found.io/app/kibana#/discover/Steve-Slow-Train-Analysis-(2080s-and-2083s)?_g=(refreshInterval:(display:Off,pause:!f,section:0,value:0),time:(from:'2017-03-14T16:13:34-0600',mode:absolute,to:'2017-03-14T19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6" s="94" t="str">
        <f t="shared" si="1"/>
        <v>"C:\Program Files (x86)\AstroGrep\AstroGrep.exe" /e /r /s /spath="%USERPROFILE%\AppData\Local\Temp\OnboardLogs" /stypes="*4010*201703142*" /stext=" 23:.+((SYSTEM_STATE.+slice.+state.+changed )|(ment ac)|(multiple cpu faults)|(system.+state.+changed )|(\[timeout)|(PRM\|1\|D)|(kpr)|(kdp)|(\|lc)|(penalty))"</v>
      </c>
      <c r="U16" s="9" t="str">
        <f t="shared" si="2"/>
        <v>4010</v>
      </c>
      <c r="V16" s="32">
        <f t="shared" si="3"/>
        <v>42808.994421296295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arrival","project_id":79,"tracker_id":40,"status_id":1,"priority_id":2,"assigned_to_id":23,"start_date":"2017-03-14","description":"","custom_fields":[{"id":1,"name":"Subdivision","value":"EC"},{"id":4,"name":"Milepost","value":"6.3309"},{"id":17,"name":"Train ID","value":"204-14"},{"id":16,"name":"Locomotive ID","value":"4010"},{"id":130,"name":"Impact","value":""},{"id":150,"name":"Time of Event (Mountain Time)","value":"17:51:58"},{"id":151,"name":"Denver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"%USERPROFILE%\AppData\Local\Temp\OnboardLogs"\RTDC4010\*4010*201703142*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"%USERPROFILE%\AppData\Local\Temp\OnboardLogs"\RTDC4010\*4010*201703142* &gt;&gt; 2017-03-14-SliceDisagreementCheck.txt</v>
      </c>
      <c r="AE16" s="157" t="str">
        <f t="shared" si="8"/>
        <v>start /low /b %USERPROFILE%\Documents\GitHub\eaglep3\Utilities\DownloadLogsFromS3.py --loco 4010 --day 2017-03-14</v>
      </c>
      <c r="AF16" s="1"/>
    </row>
    <row r="17" spans="1:32" x14ac:dyDescent="0.25">
      <c r="A17" s="32">
        <v>42808.806539351855</v>
      </c>
      <c r="B17" s="30" t="s">
        <v>446</v>
      </c>
      <c r="C17" s="30" t="s">
        <v>596</v>
      </c>
      <c r="D17" s="30" t="s">
        <v>49</v>
      </c>
      <c r="E17" s="30" t="s">
        <v>194</v>
      </c>
      <c r="F17" s="43">
        <v>0</v>
      </c>
      <c r="G17" s="43">
        <v>369</v>
      </c>
      <c r="H17" s="43">
        <v>109486</v>
      </c>
      <c r="I17" s="43">
        <v>108962</v>
      </c>
      <c r="J17" s="30" t="s">
        <v>195</v>
      </c>
      <c r="K17" s="43">
        <v>109135</v>
      </c>
      <c r="L17" s="143" t="s">
        <v>51</v>
      </c>
      <c r="M17" s="144">
        <f t="shared" si="0"/>
        <v>-91.343999999999994</v>
      </c>
      <c r="N17" s="145" t="str">
        <f>VLOOKUP(C17,'Trips&amp;Operators'!$C$1:$G$99999,5,FALSE)</f>
        <v>HOLCOMB KAMDEN</v>
      </c>
      <c r="O17" s="194" t="s">
        <v>185</v>
      </c>
      <c r="P17" s="146" t="s">
        <v>495</v>
      </c>
      <c r="Q17" s="30"/>
      <c r="R17" s="89" t="str">
        <f>IF(VLOOKUP(C17,'Train Runs'!$A$13:$AE$9945,1,1)=C17,VLOOKUP(C17,'Train Runs'!$A$13:$AE$9945,31,1),NA())</f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S17" s="92" t="str">
        <f>IF(VLOOKUP(C17,'Train Runs'!$A$13:$AE$9945,1,1)=C17,VLOOKUP(C17,'Train Runs'!$A$13:$AE$9945,22,1),NA())</f>
        <v>https://d0f6bd738d7f1b3e5a7ca70fe4ff75f0.us-east-1.aws.found.io/app/kibana#/discover/Steve-Slow-Train-Analysis-(2080s-and-2083s)?_g=(refreshInterval:(display:Off,pause:!f,section:0,value:0),time:(from:'2017-03-14T17:51:12-0600',mode:absolute,to:'2017-03-14T20:45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7" s="94" t="str">
        <f t="shared" si="1"/>
        <v>"C:\Program Files (x86)\AstroGrep\AstroGrep.exe" /e /r /s /spath="%USERPROFILE%\AppData\Local\Temp\OnboardLogs" /stypes="*4021*201703150*" /stext=" 01:.+((SYSTEM_STATE.+slice.+state.+changed )|(ment ac)|(multiple cpu faults)|(system.+state.+changed )|(\[timeout)|(PRM\|1\|D)|(kpr)|(kdp)|(\|lc)|(penalty))"</v>
      </c>
      <c r="U17" s="9" t="str">
        <f t="shared" si="2"/>
        <v>4021</v>
      </c>
      <c r="V17" s="32">
        <f t="shared" si="3"/>
        <v>42809.056539351855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arrival","project_id":79,"tracker_id":40,"status_id":1,"priority_id":2,"assigned_to_id":23,"start_date":"2017-03-14","description":"","custom_fields":[{"id":1,"name":"Subdivision","value":"EC"},{"id":4,"name":"Milepost","value":"10.9135"},{"id":17,"name":"Train ID","value":"216-14"},{"id":16,"name":"Locomotive ID","value":"4021"},{"id":130,"name":"Impact","value":""},{"id":150,"name":"Time of Event (Mountain Time)","value":"19:21:25"},{"id":151,"name":"Denver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>"grep -hSE -A400 ""Enforcement Action"" "&amp;search_path&amp;"\RTDC"&amp;U17&amp;"\*"&amp;U17&amp;"*"&amp;TEXT(A17-utc_offset/24,"YYYYMMDD")&amp;LEFT(TEXT(A17-utc_offset/24,"HH"),1)&amp;"* | grep -SE ""((Enforcement Ac)|(PRM.+XING))"" -"</f>
        <v>grep -hSE -A400 "Enforcement Action" "%USERPROFILE%\AppData\Local\Temp\OnboardLogs"\RTDC4021\*4021*201703150*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"%USERPROFILE%\AppData\Local\Temp\OnboardLogs"\RTDC4021\*4021*201703150* &gt;&gt; 2017-03-14-SliceDisagreementCheck.txt</v>
      </c>
      <c r="AE17" s="157" t="str">
        <f t="shared" si="8"/>
        <v>start /low /b %USERPROFILE%\Documents\GitHub\eaglep3\Utilities\DownloadLogsFromS3.py --loco 4021 --day 2017-03-15</v>
      </c>
      <c r="AF17" s="1"/>
    </row>
    <row r="18" spans="1:32" ht="15" customHeight="1" x14ac:dyDescent="0.25">
      <c r="A18" s="32">
        <v>42808.657592592594</v>
      </c>
      <c r="B18" s="30" t="s">
        <v>446</v>
      </c>
      <c r="C18" s="30" t="s">
        <v>585</v>
      </c>
      <c r="D18" s="30" t="s">
        <v>49</v>
      </c>
      <c r="E18" s="30" t="s">
        <v>194</v>
      </c>
      <c r="F18" s="43">
        <v>370</v>
      </c>
      <c r="G18" s="43">
        <v>431</v>
      </c>
      <c r="H18" s="43">
        <v>110229</v>
      </c>
      <c r="I18" s="43">
        <v>108976</v>
      </c>
      <c r="J18" s="30" t="s">
        <v>195</v>
      </c>
      <c r="K18" s="43">
        <v>109135</v>
      </c>
      <c r="L18" s="143" t="s">
        <v>51</v>
      </c>
      <c r="M18" s="144">
        <f t="shared" si="0"/>
        <v>-83.951999999999998</v>
      </c>
      <c r="N18" s="145" t="str">
        <f>VLOOKUP(C18,'Trips&amp;Operators'!$C$1:$G$99999,5,FALSE)</f>
        <v>LALONDE GREGORY</v>
      </c>
      <c r="O18" s="194" t="s">
        <v>185</v>
      </c>
      <c r="P18" s="146" t="s">
        <v>495</v>
      </c>
      <c r="Q18" s="30"/>
      <c r="R18" s="89" t="str">
        <f>IF(VLOOKUP(C18,'Train Runs'!$A$13:$AE$9945,1,1)=C18,VLOOKUP(C18,'Train Runs'!$A$13:$AE$9945,31,1),NA())</f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S18" s="92" t="str">
        <f>IF(VLOOKUP(C18,'Train Runs'!$A$13:$AE$9945,1,1)=C18,VLOOKUP(C18,'Train Runs'!$A$13:$AE$9945,22,1),NA())</f>
        <v>https://d0f6bd738d7f1b3e5a7ca70fe4ff75f0.us-east-1.aws.found.io/app/kibana#/discover/Steve-Slow-Train-Analysis-(2080s-and-2083s)?_g=(refreshInterval:(display:Off,pause:!f,section:0,value:0),time:(from:'2017-03-14T14:10:04-0600',mode:absolute,to:'2017-03-14T17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8" s="94" t="str">
        <f t="shared" si="1"/>
        <v>"C:\Program Files (x86)\AstroGrep\AstroGrep.exe" /e /r /s /spath="%USERPROFILE%\AppData\Local\Temp\OnboardLogs" /stypes="*4021*201703142*" /stext=" 21:.+((SYSTEM_STATE.+slice.+state.+changed )|(ment ac)|(multiple cpu faults)|(system.+state.+changed )|(\[timeout)|(PRM\|1\|D)|(kpr)|(kdp)|(\|lc)|(penalty))"</v>
      </c>
      <c r="U18" s="9" t="str">
        <f t="shared" si="2"/>
        <v>4021</v>
      </c>
      <c r="V18" s="32">
        <f t="shared" si="3"/>
        <v>42808.907592592594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arrival","project_id":79,"tracker_id":40,"status_id":1,"priority_id":2,"assigned_to_id":23,"start_date":"2017-03-14","description":"","custom_fields":[{"id":1,"name":"Subdivision","value":"EC"},{"id":4,"name":"Milepost","value":"10.9135"},{"id":17,"name":"Train ID","value":"188-14"},{"id":16,"name":"Locomotive ID","value":"4021"},{"id":130,"name":"Impact","value":""},{"id":150,"name":"Time of Event (Mountain Time)","value":"15:46:56"},{"id":151,"name":"Denver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ref="AC18:AC53" si="9"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"%USERPROFILE%\AppData\Local\Temp\OnboardLogs"\RTDC4021\*4021*201703142*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"%USERPROFILE%\AppData\Local\Temp\OnboardLogs"\RTDC4021\*4021*201703142* &gt;&gt; 2017-03-14-SliceDisagreementCheck.txt</v>
      </c>
      <c r="AE18" s="157" t="str">
        <f t="shared" si="8"/>
        <v>start /low /b %USERPROFILE%\Documents\GitHub\eaglep3\Utilities\DownloadLogsFromS3.py --loco 4021 --day 2017-03-14</v>
      </c>
      <c r="AF18" s="1"/>
    </row>
    <row r="19" spans="1:32" x14ac:dyDescent="0.25">
      <c r="A19" s="32">
        <v>42808.218576388892</v>
      </c>
      <c r="B19" s="30" t="s">
        <v>446</v>
      </c>
      <c r="C19" s="30" t="s">
        <v>562</v>
      </c>
      <c r="D19" s="30" t="s">
        <v>49</v>
      </c>
      <c r="E19" s="30" t="s">
        <v>229</v>
      </c>
      <c r="F19" s="43">
        <v>300</v>
      </c>
      <c r="G19" s="43">
        <v>419</v>
      </c>
      <c r="H19" s="43">
        <v>23373</v>
      </c>
      <c r="I19" s="43">
        <v>22313</v>
      </c>
      <c r="J19" s="30" t="s">
        <v>230</v>
      </c>
      <c r="K19" s="43">
        <v>21848</v>
      </c>
      <c r="L19" s="143" t="s">
        <v>51</v>
      </c>
      <c r="M19" s="144">
        <f t="shared" si="0"/>
        <v>245.52</v>
      </c>
      <c r="N19" s="145" t="str">
        <f>VLOOKUP(C19,'Trips&amp;Operators'!$C$1:$G$99999,5,FALSE)</f>
        <v>MAELZER KURT</v>
      </c>
      <c r="O19" s="194" t="s">
        <v>185</v>
      </c>
      <c r="P19" s="146"/>
      <c r="Q19" s="30"/>
      <c r="R19" s="89" t="str">
        <f>IF(VLOOKUP(C19,'Train Runs'!$A$13:$AE$9945,1,1)=C19,VLOOKUP(C19,'Train Runs'!$A$13:$AE$9945,31,1),NA())</f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S19" s="92" t="str">
        <f>IF(VLOOKUP(C19,'Train Runs'!$A$13:$AE$9945,1,1)=C19,VLOOKUP(C19,'Train Runs'!$A$13:$AE$9945,22,1),NA())</f>
        <v>https://d0f6bd738d7f1b3e5a7ca70fe4ff75f0.us-east-1.aws.found.io/app/kibana#/discover/Steve-Slow-Train-Analysis-(2080s-and-2083s)?_g=(refreshInterval:(display:Off,pause:!f,section:0,value:0),time:(from:'2017-03-14T03:30:30-0600',mode:absolute,to:'2017-03-14T06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9" s="94" t="str">
        <f t="shared" si="1"/>
        <v>"C:\Program Files (x86)\AstroGrep\AstroGrep.exe" /e /r /s /spath="%USERPROFILE%\AppData\Local\Temp\OnboardLogs" /stypes="*4021*201703141*" /stext=" 11:.+((SYSTEM_STATE.+slice.+state.+changed )|(ment ac)|(multiple cpu faults)|(system.+state.+changed )|(\[timeout)|(PRM\|1\|D)|(kpr)|(kdp)|(\|lc)|(penalty))"</v>
      </c>
      <c r="U19" s="9" t="str">
        <f t="shared" si="2"/>
        <v>4021</v>
      </c>
      <c r="V19" s="32">
        <f t="shared" si="3"/>
        <v>42808.468576388892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{"issue":{"subject":"","project_id":79,"tracker_id":40,"status_id":1,"priority_id":2,"assigned_to_id":23,"start_date":"2017-03-14","description":"","custom_fields":[{"id":1,"name":"Subdivision","value":"EC"},{"id":4,"name":"Milepost","value":"2.1848"},{"id":17,"name":"Train ID","value":"104-14"},{"id":16,"name":"Locomotive ID","value":"4021"},{"id":130,"name":"Impact","value":""},{"id":150,"name":"Time of Event (Mountain Time)","value":"05:14:45"},{"id":151,"name":"Denver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9"/>
        <v>grep -hSE -A400 "Enforcement Action" "%USERPROFILE%\AppData\Local\Temp\OnboardLogs"\RTDC4021\*4021*201703141*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"%USERPROFILE%\AppData\Local\Temp\OnboardLogs"\RTDC4021\*4021*201703141* &gt;&gt; 2017-03-14-SliceDisagreementCheck.txt</v>
      </c>
      <c r="AE19" s="157" t="str">
        <f t="shared" si="8"/>
        <v>start /low /b %USERPROFILE%\Documents\GitHub\eaglep3\Utilities\DownloadLogsFromS3.py --loco 4021 --day 2017-03-14</v>
      </c>
      <c r="AF19" s="1"/>
    </row>
    <row r="20" spans="1:32" x14ac:dyDescent="0.25">
      <c r="A20" s="32">
        <v>42808.529143518521</v>
      </c>
      <c r="B20" s="30" t="s">
        <v>575</v>
      </c>
      <c r="C20" s="30" t="s">
        <v>576</v>
      </c>
      <c r="D20" s="30" t="s">
        <v>49</v>
      </c>
      <c r="E20" s="30" t="s">
        <v>229</v>
      </c>
      <c r="F20" s="43">
        <v>400</v>
      </c>
      <c r="G20" s="43">
        <v>581</v>
      </c>
      <c r="H20" s="43">
        <v>122610</v>
      </c>
      <c r="I20" s="43">
        <v>120172</v>
      </c>
      <c r="J20" s="30" t="s">
        <v>230</v>
      </c>
      <c r="K20" s="43">
        <v>119716</v>
      </c>
      <c r="L20" s="143" t="s">
        <v>51</v>
      </c>
      <c r="M20" s="144">
        <f t="shared" si="0"/>
        <v>240.768</v>
      </c>
      <c r="N20" s="145" t="str">
        <f>VLOOKUP(C20,'Trips&amp;Operators'!$C$1:$G$99999,5,FALSE)</f>
        <v>LEVERE CRAIG</v>
      </c>
      <c r="O20" s="194" t="s">
        <v>185</v>
      </c>
      <c r="P20" s="146"/>
      <c r="Q20" s="30"/>
      <c r="R20" s="89" t="str">
        <f>IF(VLOOKUP(C20,'Train Runs'!$A$13:$AE$9945,1,1)=C20,VLOOKUP(C20,'Train Runs'!$A$13:$AE$9945,31,1),NA())</f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S20" s="92" t="str">
        <f>IF(VLOOKUP(C20,'Train Runs'!$A$13:$AE$9945,1,1)=C20,VLOOKUP(C20,'Train Runs'!$A$13:$AE$9945,22,1),NA())</f>
        <v>https://d0f6bd738d7f1b3e5a7ca70fe4ff75f0.us-east-1.aws.found.io/app/kibana#/discover/Steve-Slow-Train-Analysis-(2080s-and-2083s)?_g=(refreshInterval:(display:Off,pause:!f,section:0,value:0),time:(from:'2017-03-14T11:18:20-0600',mode:absolute,to:'2017-03-14T14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0" s="94" t="str">
        <f t="shared" si="1"/>
        <v>"C:\Program Files (x86)\AstroGrep\AstroGrep.exe" /e /r /s /spath="%USERPROFILE%\AppData\Local\Temp\OnboardLogs" /stypes="*4032*201703141*" /stext=" 18:.+((SYSTEM_STATE.+slice.+state.+changed )|(ment ac)|(multiple cpu faults)|(system.+state.+changed )|(\[timeout)|(PRM\|1\|D)|(kpr)|(kdp)|(\|lc)|(penalty))"</v>
      </c>
      <c r="U20" s="9" t="str">
        <f t="shared" si="2"/>
        <v>4032</v>
      </c>
      <c r="V20" s="32">
        <f t="shared" si="3"/>
        <v>42808.779143518521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{"issue":{"subject":"","project_id":79,"tracker_id":40,"status_id":1,"priority_id":2,"assigned_to_id":23,"start_date":"2017-03-14","description":"","custom_fields":[{"id":1,"name":"Subdivision","value":"EC"},{"id":4,"name":"Milepost","value":"11.9716"},{"id":17,"name":"Train ID","value":"164-14"},{"id":16,"name":"Locomotive ID","value":"4032"},{"id":130,"name":"Impact","value":""},{"id":150,"name":"Time of Event (Mountain Time)","value":"12:41:58"},{"id":151,"name":"Denver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9"/>
        <v>grep -hSE -A400 "Enforcement Action" "%USERPROFILE%\AppData\Local\Temp\OnboardLogs"\RTDC4032\*4032*201703141*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"%USERPROFILE%\AppData\Local\Temp\OnboardLogs"\RTDC4032\*4032*201703141* &gt;&gt; 2017-03-14-SliceDisagreementCheck.txt</v>
      </c>
      <c r="AE20" s="157" t="str">
        <f t="shared" si="8"/>
        <v>start /low /b %USERPROFILE%\Documents\GitHub\eaglep3\Utilities\DownloadLogsFromS3.py --loco 4032 --day 2017-03-14</v>
      </c>
      <c r="AF20" s="1"/>
    </row>
    <row r="21" spans="1:32" x14ac:dyDescent="0.25">
      <c r="A21" s="32">
        <v>42809.070439814815</v>
      </c>
      <c r="B21" s="30" t="s">
        <v>575</v>
      </c>
      <c r="C21" s="30" t="s">
        <v>599</v>
      </c>
      <c r="D21" s="30" t="s">
        <v>49</v>
      </c>
      <c r="E21" s="30" t="s">
        <v>229</v>
      </c>
      <c r="F21" s="43">
        <v>400</v>
      </c>
      <c r="G21" s="43">
        <v>576</v>
      </c>
      <c r="H21" s="43">
        <v>122673</v>
      </c>
      <c r="I21" s="43">
        <v>120579</v>
      </c>
      <c r="J21" s="30" t="s">
        <v>230</v>
      </c>
      <c r="K21" s="43">
        <v>119716</v>
      </c>
      <c r="L21" s="143" t="s">
        <v>51</v>
      </c>
      <c r="M21" s="144">
        <f t="shared" si="0"/>
        <v>455.66399999999999</v>
      </c>
      <c r="N21" s="145" t="str">
        <f>VLOOKUP(C21,'Trips&amp;Operators'!$C$1:$G$99999,5,FALSE)</f>
        <v>STAMBAUGH JAMES</v>
      </c>
      <c r="O21" s="194" t="s">
        <v>185</v>
      </c>
      <c r="P21" s="146"/>
      <c r="Q21" s="30"/>
      <c r="R21" s="89" t="str">
        <f>IF(VLOOKUP(C21,'Train Runs'!$A$13:$AE$9945,1,1)=C21,VLOOKUP(C21,'Train Runs'!$A$13:$AE$9945,31,1),NA())</f>
        <v>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 &amp; aws s3 cp s3://rtdc.mdm.uploadarchive.raw/RTDC4032/ "%USERPROFILE%\AppData\Local\Temp\OnboardLogs"\RTDC4032\2017-03-16 --exclude "*" --recursive --include "*20170316*" &amp; "%USERPROFILE%\Documents\GitHub\mrs-test-scripts\Headless Mode &amp; Sideloading\WalkAndUnGZ.bat" "%USERPROFILE%\AppData\Local\Temp\OnboardLogs"\RTDC4032\2017-03-16</v>
      </c>
      <c r="S21" s="92" t="str">
        <f>IF(VLOOKUP(C21,'Train Runs'!$A$13:$AE$9945,1,1)=C21,VLOOKUP(C21,'Train Runs'!$A$13:$AE$9945,22,1),NA())</f>
        <v>https://d0f6bd738d7f1b3e5a7ca70fe4ff75f0.us-east-1.aws.found.io/app/kibana#/discover/Steve-Slow-Train-Analysis-(2080s-and-2083s)?_g=(refreshInterval:(display:Off,pause:!f,section:0,value:0),time:(from:'2017-03-15T00:22:37-0600',mode:absolute,to:'2017-03-15T03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1" s="94" t="str">
        <f t="shared" si="1"/>
        <v>"C:\Program Files (x86)\AstroGrep\AstroGrep.exe" /e /r /s /spath="%USERPROFILE%\AppData\Local\Temp\OnboardLogs" /stypes="*4032*201703150*" /stext=" 07:.+((SYSTEM_STATE.+slice.+state.+changed )|(ment ac)|(multiple cpu faults)|(system.+state.+changed )|(\[timeout)|(PRM\|1\|D)|(kpr)|(kdp)|(\|lc)|(penalty))"</v>
      </c>
      <c r="U21" s="9" t="str">
        <f t="shared" si="2"/>
        <v>4032</v>
      </c>
      <c r="V21" s="32">
        <f t="shared" si="3"/>
        <v>42809.320439814815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{"issue":{"subject":"","project_id":79,"tracker_id":40,"status_id":1,"priority_id":2,"assigned_to_id":23,"start_date":"2017-03-15","description":"","custom_fields":[{"id":1,"name":"Subdivision","value":"EC"},{"id":4,"name":"Milepost","value":"11.9716"},{"id":17,"name":"Train ID","value":"244-14"},{"id":16,"name":"Locomotive ID","value":"4032"},{"id":130,"name":"Impact","value":""},{"id":150,"name":"Time of Event (Mountain Time)","value":"01:41:26"},{"id":151,"name":"Denver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9"/>
        <v>grep -hSE -A400 "Enforcement Action" "%USERPROFILE%\AppData\Local\Temp\OnboardLogs"\RTDC4032\*4032*201703150*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"%USERPROFILE%\AppData\Local\Temp\OnboardLogs"\RTDC4032\*4032*201703150* &gt;&gt; 2017-03-14-SliceDisagreementCheck.txt</v>
      </c>
      <c r="AE21" s="157" t="str">
        <f t="shared" si="8"/>
        <v>start /low /b %USERPROFILE%\Documents\GitHub\eaglep3\Utilities\DownloadLogsFromS3.py --loco 4032 --day 2017-03-15</v>
      </c>
      <c r="AF21" s="1"/>
    </row>
    <row r="22" spans="1:32" x14ac:dyDescent="0.25">
      <c r="A22" s="32">
        <v>42808.698368055557</v>
      </c>
      <c r="B22" s="30" t="s">
        <v>448</v>
      </c>
      <c r="C22" s="30" t="s">
        <v>587</v>
      </c>
      <c r="D22" s="30" t="s">
        <v>49</v>
      </c>
      <c r="E22" s="30" t="s">
        <v>229</v>
      </c>
      <c r="F22" s="43">
        <v>750</v>
      </c>
      <c r="G22" s="43">
        <v>807</v>
      </c>
      <c r="H22" s="43">
        <v>202171</v>
      </c>
      <c r="I22" s="43">
        <v>198143</v>
      </c>
      <c r="J22" s="30" t="s">
        <v>230</v>
      </c>
      <c r="K22" s="43">
        <v>200463</v>
      </c>
      <c r="L22" s="143" t="s">
        <v>51</v>
      </c>
      <c r="M22" s="144">
        <f t="shared" si="0"/>
        <v>-1224.96</v>
      </c>
      <c r="N22" s="145" t="str">
        <f>VLOOKUP(C22,'Trips&amp;Operators'!$C$1:$G$99999,5,FALSE)</f>
        <v>ROMERO CHAD</v>
      </c>
      <c r="O22" s="194" t="s">
        <v>185</v>
      </c>
      <c r="P22" s="146"/>
      <c r="Q22" s="30"/>
      <c r="R22" s="89" t="str">
        <f>IF(VLOOKUP(C22,'Train Runs'!$A$13:$AE$9945,1,1)=C22,VLOOKUP(C22,'Train Runs'!$A$13:$AE$9945,31,1),NA())</f>
        <v>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 &amp; aws s3 cp s3://rtdc.mdm.uploadarchive.raw/RTDC4017/ "%USERPROFILE%\AppData\Local\Temp\OnboardLogs"\RTDC4017\2017-03-15 --exclude "*" --recursive --include "*20170315*" &amp; "%USERPROFILE%\Documents\GitHub\mrs-test-scripts\Headless Mode &amp; Sideloading\WalkAndUnGZ.bat" "%USERPROFILE%\AppData\Local\Temp\OnboardLogs"\RTDC4017\2017-03-15</v>
      </c>
      <c r="S22" s="92" t="str">
        <f>IF(VLOOKUP(C22,'Train Runs'!$A$13:$AE$9945,1,1)=C22,VLOOKUP(C22,'Train Runs'!$A$13:$AE$9945,22,1),NA())</f>
        <v>https://d0f6bd738d7f1b3e5a7ca70fe4ff75f0.us-east-1.aws.found.io/app/kibana#/discover/Steve-Slow-Train-Analysis-(2080s-and-2083s)?_g=(refreshInterval:(display:Off,pause:!f,section:0,value:0),time:(from:'2017-03-14T15:27:06-0600',mode:absolute,to:'2017-03-14T18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2" s="94" t="str">
        <f t="shared" si="1"/>
        <v>"C:\Program Files (x86)\AstroGrep\AstroGrep.exe" /e /r /s /spath="%USERPROFILE%\AppData\Local\Temp\OnboardLogs" /stypes="*4017*201703142*" /stext=" 22:.+((SYSTEM_STATE.+slice.+state.+changed )|(ment ac)|(multiple cpu faults)|(system.+state.+changed )|(\[timeout)|(PRM\|1\|D)|(kpr)|(kdp)|(\|lc)|(penalty))"</v>
      </c>
      <c r="U22" s="9" t="str">
        <f t="shared" si="2"/>
        <v>4017</v>
      </c>
      <c r="V22" s="32">
        <f t="shared" si="3"/>
        <v>42808.948368055557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{"issue":{"subject":"","project_id":79,"tracker_id":40,"status_id":1,"priority_id":2,"assigned_to_id":23,"start_date":"2017-03-14","description":"","custom_fields":[{"id":1,"name":"Subdivision","value":"EC"},{"id":4,"name":"Milepost","value":"20.0463"},{"id":17,"name":"Train ID","value":"198-14"},{"id":16,"name":"Locomotive ID","value":"4017"},{"id":130,"name":"Impact","value":""},{"id":150,"name":"Time of Event (Mountain Time)","value":"16:45:39"},{"id":151,"name":"Denver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9"/>
        <v>grep -hSE -A400 "Enforcement Action" "%USERPROFILE%\AppData\Local\Temp\OnboardLogs"\RTDC4017\*4017*201703142*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"%USERPROFILE%\AppData\Local\Temp\OnboardLogs"\RTDC4017\*4017*201703142* &gt;&gt; 2017-03-14-SliceDisagreementCheck.txt</v>
      </c>
      <c r="AE22" s="157" t="str">
        <f t="shared" si="8"/>
        <v>start /low /b %USERPROFILE%\Documents\GitHub\eaglep3\Utilities\DownloadLogsFromS3.py --loco 4017 --day 2017-03-14</v>
      </c>
      <c r="AF22" s="1"/>
    </row>
    <row r="23" spans="1:32" x14ac:dyDescent="0.25">
      <c r="A23" s="32">
        <v>42808.728865740741</v>
      </c>
      <c r="B23" s="30" t="s">
        <v>498</v>
      </c>
      <c r="C23" s="30" t="s">
        <v>589</v>
      </c>
      <c r="D23" s="30" t="s">
        <v>98</v>
      </c>
      <c r="E23" s="30" t="s">
        <v>229</v>
      </c>
      <c r="F23" s="43">
        <v>350</v>
      </c>
      <c r="G23" s="43">
        <v>403</v>
      </c>
      <c r="H23" s="43">
        <v>225973</v>
      </c>
      <c r="I23" s="43">
        <v>225043</v>
      </c>
      <c r="J23" s="30" t="s">
        <v>230</v>
      </c>
      <c r="K23" s="43">
        <v>230436</v>
      </c>
      <c r="L23" s="143" t="s">
        <v>51</v>
      </c>
      <c r="M23" s="144">
        <f t="shared" si="0"/>
        <v>-2847.5039999999999</v>
      </c>
      <c r="N23" s="145" t="str">
        <f>VLOOKUP(C23,'Trips&amp;Operators'!$C$1:$G$99999,5,FALSE)</f>
        <v>STRICKLAND EVAN</v>
      </c>
      <c r="O23" s="194" t="s">
        <v>185</v>
      </c>
      <c r="P23" s="146"/>
      <c r="Q23" s="30"/>
      <c r="R23" s="89" t="str">
        <f>IF(VLOOKUP(C23,'Train Runs'!$A$13:$AE$9945,1,1)=C23,VLOOKUP(C23,'Train Runs'!$A$13:$AE$9945,31,1),NA())</f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S23" s="92" t="str">
        <f>IF(VLOOKUP(C23,'Train Runs'!$A$13:$AE$9945,1,1)=C23,VLOOKUP(C23,'Train Runs'!$A$13:$AE$9945,22,1),NA())</f>
        <v>https://d0f6bd738d7f1b3e5a7ca70fe4ff75f0.us-east-1.aws.found.io/app/kibana#/discover/Steve-Slow-Train-Analysis-(2080s-and-2083s)?_g=(refreshInterval:(display:Off,pause:!f,section:0,value:0),time:(from:'2017-03-14T16:13:34-0600',mode:absolute,to:'2017-03-14T19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3" s="94" t="str">
        <f t="shared" si="1"/>
        <v>"C:\Program Files (x86)\AstroGrep\AstroGrep.exe" /e /r /s /spath="%USERPROFILE%\AppData\Local\Temp\OnboardLogs" /stypes="*4010*201703142*" /stext=" 23:.+((SYSTEM_STATE.+slice.+state.+changed )|(ment ac)|(multiple cpu faults)|(system.+state.+changed )|(\[timeout)|(PRM\|1\|D)|(kpr)|(kdp)|(\|lc)|(penalty))"</v>
      </c>
      <c r="U23" s="9" t="str">
        <f t="shared" si="2"/>
        <v>4010</v>
      </c>
      <c r="V23" s="32">
        <f t="shared" si="3"/>
        <v>42808.978865740741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{"issue":{"subject":"","project_id":79,"tracker_id":40,"status_id":1,"priority_id":2,"assigned_to_id":23,"start_date":"2017-03-14","description":"","custom_fields":[{"id":1,"name":"Subdivision","value":"EC"},{"id":4,"name":"Milepost","value":"23.0436"},{"id":17,"name":"Train ID","value":"204-14"},{"id":16,"name":"Locomotive ID","value":"4010"},{"id":130,"name":"Impact","value":""},{"id":150,"name":"Time of Event (Mountain Time)","value":"17:29:34"},{"id":151,"name":"Denver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9"/>
        <v>grep -hSE -A400 "Enforcement Action" "%USERPROFILE%\AppData\Local\Temp\OnboardLogs"\RTDC4010\*4010*201703142*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"%USERPROFILE%\AppData\Local\Temp\OnboardLogs"\RTDC4010\*4010*201703142* &gt;&gt; 2017-03-14-SliceDisagreementCheck.txt</v>
      </c>
      <c r="AE23" s="157" t="str">
        <f t="shared" si="8"/>
        <v>start /low /b %USERPROFILE%\Documents\GitHub\eaglep3\Utilities\DownloadLogsFromS3.py --loco 4010 --day 2017-03-14</v>
      </c>
      <c r="AF23" s="1"/>
    </row>
    <row r="24" spans="1:32" x14ac:dyDescent="0.25">
      <c r="A24" s="32">
        <v>42808.727465277778</v>
      </c>
      <c r="B24" s="30" t="s">
        <v>498</v>
      </c>
      <c r="C24" s="30" t="s">
        <v>589</v>
      </c>
      <c r="D24" s="30" t="s">
        <v>98</v>
      </c>
      <c r="E24" s="30" t="s">
        <v>229</v>
      </c>
      <c r="F24" s="43">
        <v>150</v>
      </c>
      <c r="G24" s="43">
        <v>205</v>
      </c>
      <c r="H24" s="43">
        <v>231224</v>
      </c>
      <c r="I24" s="43">
        <v>230727</v>
      </c>
      <c r="J24" s="30" t="s">
        <v>230</v>
      </c>
      <c r="K24" s="43">
        <v>231269</v>
      </c>
      <c r="L24" s="143" t="s">
        <v>51</v>
      </c>
      <c r="M24" s="144">
        <f t="shared" si="0"/>
        <v>-286.17599999999999</v>
      </c>
      <c r="N24" s="145" t="str">
        <f>VLOOKUP(C24,'Trips&amp;Operators'!$C$1:$G$99999,5,FALSE)</f>
        <v>STRICKLAND EVAN</v>
      </c>
      <c r="O24" s="194" t="s">
        <v>185</v>
      </c>
      <c r="P24" s="146"/>
      <c r="Q24" s="30"/>
      <c r="R24" s="89" t="str">
        <f>IF(VLOOKUP(C24,'Train Runs'!$A$13:$AE$9945,1,1)=C24,VLOOKUP(C24,'Train Runs'!$A$13:$AE$9945,31,1),NA())</f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S24" s="92" t="str">
        <f>IF(VLOOKUP(C24,'Train Runs'!$A$13:$AE$9945,1,1)=C24,VLOOKUP(C24,'Train Runs'!$A$13:$AE$9945,22,1),NA())</f>
        <v>https://d0f6bd738d7f1b3e5a7ca70fe4ff75f0.us-east-1.aws.found.io/app/kibana#/discover/Steve-Slow-Train-Analysis-(2080s-and-2083s)?_g=(refreshInterval:(display:Off,pause:!f,section:0,value:0),time:(from:'2017-03-14T16:13:34-0600',mode:absolute,to:'2017-03-14T19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4" s="94" t="str">
        <f t="shared" si="1"/>
        <v>"C:\Program Files (x86)\AstroGrep\AstroGrep.exe" /e /r /s /spath="%USERPROFILE%\AppData\Local\Temp\OnboardLogs" /stypes="*4010*201703142*" /stext=" 23:.+((SYSTEM_STATE.+slice.+state.+changed )|(ment ac)|(multiple cpu faults)|(system.+state.+changed )|(\[timeout)|(PRM\|1\|D)|(kpr)|(kdp)|(\|lc)|(penalty))"</v>
      </c>
      <c r="U24" s="9" t="str">
        <f t="shared" si="2"/>
        <v>4010</v>
      </c>
      <c r="V24" s="32">
        <f t="shared" si="3"/>
        <v>42808.977465277778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{"issue":{"subject":"","project_id":79,"tracker_id":40,"status_id":1,"priority_id":2,"assigned_to_id":23,"start_date":"2017-03-14","description":"","custom_fields":[{"id":1,"name":"Subdivision","value":"EC"},{"id":4,"name":"Milepost","value":"23.1269"},{"id":17,"name":"Train ID","value":"204-14"},{"id":16,"name":"Locomotive ID","value":"4010"},{"id":130,"name":"Impact","value":""},{"id":150,"name":"Time of Event (Mountain Time)","value":"17:27:33"},{"id":151,"name":"Denver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9"/>
        <v>grep -hSE -A400 "Enforcement Action" "%USERPROFILE%\AppData\Local\Temp\OnboardLogs"\RTDC4010\*4010*201703142*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"%USERPROFILE%\AppData\Local\Temp\OnboardLogs"\RTDC4010\*4010*201703142* &gt;&gt; 2017-03-14-SliceDisagreementCheck.txt</v>
      </c>
      <c r="AE24" s="157" t="str">
        <f t="shared" si="8"/>
        <v>start /low /b %USERPROFILE%\Documents\GitHub\eaglep3\Utilities\DownloadLogsFromS3.py --loco 4010 --day 2017-03-14</v>
      </c>
      <c r="AF24" s="1"/>
    </row>
    <row r="25" spans="1:32" x14ac:dyDescent="0.25">
      <c r="A25" s="32">
        <v>42808.238009259258</v>
      </c>
      <c r="B25" s="30" t="s">
        <v>462</v>
      </c>
      <c r="C25" s="30" t="s">
        <v>563</v>
      </c>
      <c r="D25" s="30" t="s">
        <v>98</v>
      </c>
      <c r="E25" s="30" t="s">
        <v>229</v>
      </c>
      <c r="F25" s="43">
        <v>350</v>
      </c>
      <c r="G25" s="43">
        <v>410</v>
      </c>
      <c r="H25" s="43">
        <v>229281</v>
      </c>
      <c r="I25" s="43">
        <v>228200</v>
      </c>
      <c r="J25" s="30" t="s">
        <v>230</v>
      </c>
      <c r="K25" s="43">
        <v>232080</v>
      </c>
      <c r="L25" s="143" t="s">
        <v>51</v>
      </c>
      <c r="M25" s="144">
        <f t="shared" si="0"/>
        <v>-2048.64</v>
      </c>
      <c r="N25" s="145" t="str">
        <f>VLOOKUP(C25,'Trips&amp;Operators'!$C$1:$G$99999,5,FALSE)</f>
        <v>DAVIS WENDY</v>
      </c>
      <c r="O25" s="194" t="s">
        <v>185</v>
      </c>
      <c r="P25" s="146"/>
      <c r="Q25" s="30"/>
      <c r="R25" s="89" t="str">
        <f>IF(VLOOKUP(C25,'Train Runs'!$A$13:$AE$9945,1,1)=C25,VLOOKUP(C25,'Train Runs'!$A$13:$AE$9945,31,1),NA())</f>
        <v>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 &amp; 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</v>
      </c>
      <c r="S25" s="92" t="str">
        <f>IF(VLOOKUP(C25,'Train Runs'!$A$13:$AE$9945,1,1)=C25,VLOOKUP(C25,'Train Runs'!$A$13:$AE$9945,22,1),NA())</f>
        <v>https://d0f6bd738d7f1b3e5a7ca70fe4ff75f0.us-east-1.aws.found.io/app/kibana#/discover/Steve-Slow-Train-Analysis-(2080s-and-2083s)?_g=(refreshInterval:(display:Off,pause:!f,section:0,value:0),time:(from:'2017-03-14T04:36:39-0600',mode:absolute,to:'2017-03-14T07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94" t="str">
        <f t="shared" si="1"/>
        <v>"C:\Program Files (x86)\AstroGrep\AstroGrep.exe" /e /r /s /spath="%USERPROFILE%\AppData\Local\Temp\OnboardLogs" /stypes="*4054*201703141*" /stext=" 11:.+((SYSTEM_STATE.+slice.+state.+changed )|(ment ac)|(multiple cpu faults)|(system.+state.+changed )|(\[timeout)|(PRM\|1\|D)|(kpr)|(kdp)|(\|lc)|(penalty))"</v>
      </c>
      <c r="U25" s="9" t="str">
        <f t="shared" si="2"/>
        <v>4054</v>
      </c>
      <c r="V25" s="32">
        <f t="shared" si="3"/>
        <v>42808.488009259258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{"issue":{"subject":"","project_id":79,"tracker_id":40,"status_id":1,"priority_id":2,"assigned_to_id":23,"start_date":"2017-03-14","description":"","custom_fields":[{"id":1,"name":"Subdivision","value":"EC"},{"id":4,"name":"Milepost","value":"23.208"},{"id":17,"name":"Train ID","value":"110-14"},{"id":16,"name":"Locomotive ID","value":"4054"},{"id":130,"name":"Impact","value":""},{"id":150,"name":"Time of Event (Mountain Time)","value":"05:42:44"},{"id":151,"name":"Denver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9"/>
        <v>grep -hSE -A400 "Enforcement Action" "%USERPROFILE%\AppData\Local\Temp\OnboardLogs"\RTDC4054\*4054*201703141*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"%USERPROFILE%\AppData\Local\Temp\OnboardLogs"\RTDC4054\*4054*201703141* &gt;&gt; 2017-03-14-SliceDisagreementCheck.txt</v>
      </c>
      <c r="AE25" s="157" t="str">
        <f t="shared" si="8"/>
        <v>start /low /b %USERPROFILE%\Documents\GitHub\eaglep3\Utilities\DownloadLogsFromS3.py --loco 4054 --day 2017-03-14</v>
      </c>
      <c r="AF25" s="1"/>
    </row>
    <row r="26" spans="1:32" x14ac:dyDescent="0.25">
      <c r="A26" s="32">
        <v>42808.985960648148</v>
      </c>
      <c r="B26" s="30" t="s">
        <v>575</v>
      </c>
      <c r="C26" s="30" t="s">
        <v>598</v>
      </c>
      <c r="D26" s="30" t="s">
        <v>49</v>
      </c>
      <c r="E26" s="30" t="s">
        <v>398</v>
      </c>
      <c r="F26" s="43">
        <v>0</v>
      </c>
      <c r="G26" s="43">
        <v>74</v>
      </c>
      <c r="H26" s="43">
        <v>149912</v>
      </c>
      <c r="I26" s="43">
        <v>149820</v>
      </c>
      <c r="J26" s="30" t="s">
        <v>399</v>
      </c>
      <c r="K26" s="43">
        <v>149700</v>
      </c>
      <c r="L26" s="143" t="s">
        <v>51</v>
      </c>
      <c r="M26" s="144">
        <f t="shared" si="0"/>
        <v>63.36</v>
      </c>
      <c r="N26" s="145" t="str">
        <f>VLOOKUP(C26,'Trips&amp;Operators'!$C$1:$G$99999,5,FALSE)</f>
        <v>STAMBAUGH JAMES</v>
      </c>
      <c r="O26" s="194" t="s">
        <v>185</v>
      </c>
      <c r="P26" s="146" t="s">
        <v>1027</v>
      </c>
      <c r="Q26" s="30"/>
      <c r="R26" s="89" t="str">
        <f>IF(VLOOKUP(C26,'Train Runs'!$A$13:$AE$9945,1,1)=C26,VLOOKUP(C26,'Train Runs'!$A$13:$AE$9945,31,1),NA())</f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S26" s="92" t="str">
        <f>IF(VLOOKUP(C26,'Train Runs'!$A$13:$AE$9945,1,1)=C26,VLOOKUP(C26,'Train Runs'!$A$13:$AE$9945,22,1),NA())</f>
        <v>https://d0f6bd738d7f1b3e5a7ca70fe4ff75f0.us-east-1.aws.found.io/app/kibana#/discover/Steve-Slow-Train-Analysis-(2080s-and-2083s)?_g=(refreshInterval:(display:Off,pause:!f,section:0,value:0),time:(from:'2017-03-14T22:24:04-0600',mode:absolute,to:'2017-03-15T01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94" t="str">
        <f t="shared" si="1"/>
        <v>"C:\Program Files (x86)\AstroGrep\AstroGrep.exe" /e /r /s /spath="%USERPROFILE%\AppData\Local\Temp\OnboardLogs" /stypes="*4032*201703150*" /stext=" 05:.+((SYSTEM_STATE.+slice.+state.+changed )|(ment ac)|(multiple cpu faults)|(system.+state.+changed )|(\[timeout)|(PRM\|1\|D)|(kpr)|(kdp)|(\|lc)|(penalty))"</v>
      </c>
      <c r="U26" s="9" t="str">
        <f t="shared" si="2"/>
        <v>4032</v>
      </c>
      <c r="V26" s="32">
        <f t="shared" si="3"/>
        <v>42809.235960648148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{"issue":{"subject":"Selected wrong track","project_id":79,"tracker_id":40,"status_id":1,"priority_id":2,"assigned_to_id":23,"start_date":"2017-03-14","description":"","custom_fields":[{"id":1,"name":"Subdivision","value":"EC"},{"id":4,"name":"Milepost","value":"14.97"},{"id":17,"name":"Train ID","value":"236-14"},{"id":16,"name":"Locomotive ID","value":"4032"},{"id":130,"name":"Impact","value":""},{"id":150,"name":"Time of Event (Mountain Time)","value":"23:39:47"},{"id":151,"name":"Denver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9"/>
        <v>grep -hSE -A400 "Enforcement Action" "%USERPROFILE%\AppData\Local\Temp\OnboardLogs"\RTDC4032\*4032*201703150*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"%USERPROFILE%\AppData\Local\Temp\OnboardLogs"\RTDC4032\*4032*201703150* &gt;&gt; 2017-03-14-SliceDisagreementCheck.txt</v>
      </c>
      <c r="AE26" s="157" t="str">
        <f t="shared" si="8"/>
        <v>start /low /b %USERPROFILE%\Documents\GitHub\eaglep3\Utilities\DownloadLogsFromS3.py --loco 4032 --day 2017-03-15</v>
      </c>
      <c r="AF26" s="1"/>
    </row>
    <row r="27" spans="1:32" x14ac:dyDescent="0.25">
      <c r="A27" s="32">
        <v>42808.986620370371</v>
      </c>
      <c r="B27" s="30" t="s">
        <v>575</v>
      </c>
      <c r="C27" s="30" t="s">
        <v>598</v>
      </c>
      <c r="D27" s="30" t="s">
        <v>98</v>
      </c>
      <c r="E27" s="30" t="s">
        <v>398</v>
      </c>
      <c r="F27" s="43">
        <v>0</v>
      </c>
      <c r="G27" s="43">
        <v>172</v>
      </c>
      <c r="H27" s="43">
        <v>148988</v>
      </c>
      <c r="I27" s="43">
        <v>148647</v>
      </c>
      <c r="J27" s="30" t="s">
        <v>399</v>
      </c>
      <c r="K27" s="43">
        <v>149700</v>
      </c>
      <c r="L27" s="143" t="s">
        <v>51</v>
      </c>
      <c r="M27" s="144">
        <f t="shared" si="0"/>
        <v>-555.98400000000004</v>
      </c>
      <c r="N27" s="145" t="str">
        <f>VLOOKUP(C27,'Trips&amp;Operators'!$C$1:$G$99999,5,FALSE)</f>
        <v>STAMBAUGH JAMES</v>
      </c>
      <c r="O27" s="194" t="s">
        <v>185</v>
      </c>
      <c r="P27" s="146" t="s">
        <v>1028</v>
      </c>
      <c r="Q27" s="30"/>
      <c r="R27" s="89" t="str">
        <f>IF(VLOOKUP(C27,'Train Runs'!$A$13:$AE$9945,1,1)=C27,VLOOKUP(C27,'Train Runs'!$A$13:$AE$9945,31,1),NA())</f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S27" s="92" t="str">
        <f>IF(VLOOKUP(C27,'Train Runs'!$A$13:$AE$9945,1,1)=C27,VLOOKUP(C27,'Train Runs'!$A$13:$AE$9945,22,1),NA())</f>
        <v>https://d0f6bd738d7f1b3e5a7ca70fe4ff75f0.us-east-1.aws.found.io/app/kibana#/discover/Steve-Slow-Train-Analysis-(2080s-and-2083s)?_g=(refreshInterval:(display:Off,pause:!f,section:0,value:0),time:(from:'2017-03-14T22:24:04-0600',mode:absolute,to:'2017-03-15T01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7" s="94" t="str">
        <f t="shared" si="1"/>
        <v>"C:\Program Files (x86)\AstroGrep\AstroGrep.exe" /e /r /s /spath="%USERPROFILE%\AppData\Local\Temp\OnboardLogs" /stypes="*4032*201703150*" /stext=" 05:.+((SYSTEM_STATE.+slice.+state.+changed )|(ment ac)|(multiple cpu faults)|(system.+state.+changed )|(\[timeout)|(PRM\|1\|D)|(kpr)|(kdp)|(\|lc)|(penalty))"</v>
      </c>
      <c r="U27" s="9" t="str">
        <f t="shared" si="2"/>
        <v>4032</v>
      </c>
      <c r="V27" s="32">
        <f t="shared" si="3"/>
        <v>42809.236620370371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{"issue":{"subject":"Went active too close to signal","project_id":79,"tracker_id":40,"status_id":1,"priority_id":2,"assigned_to_id":23,"start_date":"2017-03-14","description":"","custom_fields":[{"id":1,"name":"Subdivision","value":"EC"},{"id":4,"name":"Milepost","value":"14.97"},{"id":17,"name":"Train ID","value":"236-14"},{"id":16,"name":"Locomotive ID","value":"4032"},{"id":130,"name":"Impact","value":""},{"id":150,"name":"Time of Event (Mountain Time)","value":"23:40:44"},{"id":151,"name":"Denver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9"/>
        <v>grep -hSE -A400 "Enforcement Action" "%USERPROFILE%\AppData\Local\Temp\OnboardLogs"\RTDC4032\*4032*201703150*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"%USERPROFILE%\AppData\Local\Temp\OnboardLogs"\RTDC4032\*4032*201703150* &gt;&gt; 2017-03-14-SliceDisagreementCheck.txt</v>
      </c>
      <c r="AE27" s="157" t="str">
        <f t="shared" si="8"/>
        <v>start /low /b %USERPROFILE%\Documents\GitHub\eaglep3\Utilities\DownloadLogsFromS3.py --loco 4032 --day 2017-03-15</v>
      </c>
      <c r="AF27" s="1"/>
    </row>
    <row r="28" spans="1:32" x14ac:dyDescent="0.25">
      <c r="A28" s="32">
        <v>42808.561898148146</v>
      </c>
      <c r="B28" s="30" t="s">
        <v>463</v>
      </c>
      <c r="C28" s="30" t="s">
        <v>578</v>
      </c>
      <c r="D28" s="30" t="s">
        <v>49</v>
      </c>
      <c r="E28" s="30" t="s">
        <v>465</v>
      </c>
      <c r="F28" s="43">
        <v>0</v>
      </c>
      <c r="G28" s="43">
        <v>608</v>
      </c>
      <c r="H28" s="43">
        <v>220302</v>
      </c>
      <c r="I28" s="43">
        <v>217698</v>
      </c>
      <c r="J28" s="30" t="s">
        <v>466</v>
      </c>
      <c r="K28" s="43">
        <v>219875</v>
      </c>
      <c r="L28" s="143" t="s">
        <v>51</v>
      </c>
      <c r="M28" s="144">
        <f t="shared" si="0"/>
        <v>-1149.4559999999999</v>
      </c>
      <c r="N28" s="145" t="str">
        <f>VLOOKUP(C28,'Trips&amp;Operators'!$C$1:$G$99999,5,FALSE)</f>
        <v>LALONDE GREGORY</v>
      </c>
      <c r="O28" s="194" t="s">
        <v>401</v>
      </c>
      <c r="P28" s="146" t="s">
        <v>497</v>
      </c>
      <c r="Q28" s="30"/>
      <c r="R28" s="89" t="str">
        <f>IF(VLOOKUP(C28,'Train Runs'!$A$13:$AE$9945,1,1)=C28,VLOOKUP(C28,'Train Runs'!$A$13:$AE$9945,31,1),NA())</f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S28" s="92" t="str">
        <f>IF(VLOOKUP(C28,'Train Runs'!$A$13:$AE$9945,1,1)=C28,VLOOKUP(C28,'Train Runs'!$A$13:$AE$9945,22,1),NA())</f>
        <v>https://d0f6bd738d7f1b3e5a7ca70fe4ff75f0.us-east-1.aws.found.io/app/kibana#/discover/Steve-Slow-Train-Analysis-(2080s-and-2083s)?_g=(refreshInterval:(display:Off,pause:!f,section:0,value:0),time:(from:'2017-03-14T12:12:01-0600',mode:absolute,to:'2017-03-14T14:30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94" t="str">
        <f t="shared" si="1"/>
        <v>"C:\Program Files (x86)\AstroGrep\AstroGrep.exe" /e /r /s /spath="%USERPROFILE%\AppData\Local\Temp\OnboardLogs" /stypes="*4028*201703141*" /stext=" 19:.+((SYSTEM_STATE.+slice.+state.+changed )|(ment ac)|(multiple cpu faults)|(system.+state.+changed )|(\[timeout)|(PRM\|1\|D)|(kpr)|(kdp)|(\|lc)|(penalty))"</v>
      </c>
      <c r="U28" s="9" t="str">
        <f t="shared" si="2"/>
        <v>4028</v>
      </c>
      <c r="V28" s="32">
        <f t="shared" si="3"/>
        <v>42808.811898148146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{"issue":{"subject":"Wi-MAX data drop","project_id":79,"tracker_id":40,"status_id":1,"priority_id":2,"assigned_to_id":23,"start_date":"2017-03-14","description":"","custom_fields":[{"id":1,"name":"Subdivision","value":"EC"},{"id":4,"name":"Milepost","value":"21.9875"},{"id":17,"name":"Train ID","value":"172-14"},{"id":16,"name":"Locomotive ID","value":"4028"},{"id":130,"name":"Impact","value":""},{"id":150,"name":"Time of Event (Mountain Time)","value":"13:29:08"},{"id":151,"name":"Denver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9"/>
        <v>grep -hSE -A400 "Enforcement Action" "%USERPROFILE%\AppData\Local\Temp\OnboardLogs"\RTDC4028\*4028*201703141*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"%USERPROFILE%\AppData\Local\Temp\OnboardLogs"\RTDC4028\*4028*201703141* &gt;&gt; 2017-03-14-SliceDisagreementCheck.txt</v>
      </c>
      <c r="AE28" s="157" t="str">
        <f t="shared" si="8"/>
        <v>start /low /b %USERPROFILE%\Documents\GitHub\eaglep3\Utilities\DownloadLogsFromS3.py --loco 4028 --day 2017-03-14</v>
      </c>
      <c r="AF28" s="1"/>
    </row>
    <row r="29" spans="1:32" x14ac:dyDescent="0.25">
      <c r="A29" s="32">
        <v>42808.462534722225</v>
      </c>
      <c r="B29" s="30" t="s">
        <v>498</v>
      </c>
      <c r="C29" s="30" t="s">
        <v>572</v>
      </c>
      <c r="D29" s="30" t="s">
        <v>49</v>
      </c>
      <c r="E29" s="30" t="s">
        <v>186</v>
      </c>
      <c r="F29" s="43">
        <v>0</v>
      </c>
      <c r="G29" s="43">
        <v>60</v>
      </c>
      <c r="H29" s="43">
        <v>198</v>
      </c>
      <c r="I29" s="43">
        <v>143</v>
      </c>
      <c r="J29" s="30" t="s">
        <v>187</v>
      </c>
      <c r="K29" s="43">
        <v>1</v>
      </c>
      <c r="L29" s="143" t="s">
        <v>51</v>
      </c>
      <c r="M29" s="144">
        <f t="shared" si="0"/>
        <v>74.975999999999999</v>
      </c>
      <c r="N29" s="145" t="str">
        <f>VLOOKUP(C29,'Trips&amp;Operators'!$C$1:$G$99999,5,FALSE)</f>
        <v>STARKS ANGELINA</v>
      </c>
      <c r="O29" s="194" t="s">
        <v>185</v>
      </c>
      <c r="P29" s="146"/>
      <c r="Q29" s="30"/>
      <c r="R29" s="89" t="str">
        <f>IF(VLOOKUP(C29,'Train Runs'!$A$13:$AE$9945,1,1)=C29,VLOOKUP(C29,'Train Runs'!$A$13:$AE$9945,31,1),NA())</f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S29" s="92" t="str">
        <f>IF(VLOOKUP(C29,'Train Runs'!$A$13:$AE$9945,1,1)=C29,VLOOKUP(C29,'Train Runs'!$A$13:$AE$9945,22,1),NA())</f>
        <v>https://d0f6bd738d7f1b3e5a7ca70fe4ff75f0.us-east-1.aws.found.io/app/kibana#/discover/Steve-Slow-Train-Analysis-(2080s-and-2083s)?_g=(refreshInterval:(display:Off,pause:!f,section:0,value:0),time:(from:'2017-03-14T09:18:17-0600',mode:absolute,to:'2017-03-14T12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9" s="94" t="str">
        <f t="shared" si="1"/>
        <v>"C:\Program Files (x86)\AstroGrep\AstroGrep.exe" /e /r /s /spath="%USERPROFILE%\AppData\Local\Temp\OnboardLogs" /stypes="*4010*201703141*" /stext=" 17:.+((SYSTEM_STATE.+slice.+state.+changed )|(ment ac)|(multiple cpu faults)|(system.+state.+changed )|(\[timeout)|(PRM\|1\|D)|(kpr)|(kdp)|(\|lc)|(penalty))"</v>
      </c>
      <c r="U29" s="9" t="str">
        <f t="shared" si="2"/>
        <v>4010</v>
      </c>
      <c r="V29" s="32">
        <f t="shared" si="3"/>
        <v>42808.712534722225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{"issue":{"subject":"","project_id":79,"tracker_id":40,"status_id":1,"priority_id":2,"assigned_to_id":23,"start_date":"2017-03-14","description":"","custom_fields":[{"id":1,"name":"Subdivision","value":"EC"},{"id":4,"name":"Milepost","value":"0.0001"},{"id":17,"name":"Train ID","value":"148-14"},{"id":16,"name":"Locomotive ID","value":"4010"},{"id":130,"name":"Impact","value":""},{"id":150,"name":"Time of Event (Mountain Time)","value":"11:06:03"},{"id":151,"name":"Denver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9"/>
        <v>grep -hSE -A400 "Enforcement Action" "%USERPROFILE%\AppData\Local\Temp\OnboardLogs"\RTDC4010\*4010*201703141*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"%USERPROFILE%\AppData\Local\Temp\OnboardLogs"\RTDC4010\*4010*201703141* &gt;&gt; 2017-03-14-SliceDisagreementCheck.txt</v>
      </c>
      <c r="AE29" s="157" t="str">
        <f t="shared" si="8"/>
        <v>start /low /b %USERPROFILE%\Documents\GitHub\eaglep3\Utilities\DownloadLogsFromS3.py --loco 4010 --day 2017-03-14</v>
      </c>
      <c r="AF29" s="1"/>
    </row>
    <row r="30" spans="1:32" x14ac:dyDescent="0.25">
      <c r="A30" s="32">
        <v>42808.513773148145</v>
      </c>
      <c r="B30" s="30" t="s">
        <v>463</v>
      </c>
      <c r="C30" s="30" t="s">
        <v>574</v>
      </c>
      <c r="D30" s="30" t="s">
        <v>49</v>
      </c>
      <c r="E30" s="30" t="s">
        <v>186</v>
      </c>
      <c r="F30" s="43">
        <v>0</v>
      </c>
      <c r="G30" s="43">
        <v>44</v>
      </c>
      <c r="H30" s="43">
        <v>154</v>
      </c>
      <c r="I30" s="43">
        <v>114</v>
      </c>
      <c r="J30" s="30" t="s">
        <v>187</v>
      </c>
      <c r="K30" s="43">
        <v>1</v>
      </c>
      <c r="L30" s="143" t="s">
        <v>51</v>
      </c>
      <c r="M30" s="144">
        <f t="shared" si="0"/>
        <v>59.664000000000001</v>
      </c>
      <c r="N30" s="145" t="str">
        <f>VLOOKUP(C30,'Trips&amp;Operators'!$C$1:$G$99999,5,FALSE)</f>
        <v>ROCHA YAOTL</v>
      </c>
      <c r="O30" s="194" t="s">
        <v>185</v>
      </c>
      <c r="P30" s="146"/>
      <c r="Q30" s="30"/>
      <c r="R30" s="89" t="str">
        <f>IF(VLOOKUP(C30,'Train Runs'!$A$13:$AE$9945,1,1)=C30,VLOOKUP(C30,'Train Runs'!$A$13:$AE$9945,31,1),NA())</f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S30" s="92" t="str">
        <f>IF(VLOOKUP(C30,'Train Runs'!$A$13:$AE$9945,1,1)=C30,VLOOKUP(C30,'Train Runs'!$A$13:$AE$9945,22,1),NA())</f>
        <v>https://d0f6bd738d7f1b3e5a7ca70fe4ff75f0.us-east-1.aws.found.io/app/kibana#/discover/Steve-Slow-Train-Analysis-(2080s-and-2083s)?_g=(refreshInterval:(display:Off,pause:!f,section:0,value:0),time:(from:'2017-03-14T10:38:56-0600',mode:absolute,to:'2017-03-14T13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94" t="str">
        <f t="shared" si="1"/>
        <v>"C:\Program Files (x86)\AstroGrep\AstroGrep.exe" /e /r /s /spath="%USERPROFILE%\AppData\Local\Temp\OnboardLogs" /stypes="*4028*201703141*" /stext=" 18:.+((SYSTEM_STATE.+slice.+state.+changed )|(ment ac)|(multiple cpu faults)|(system.+state.+changed )|(\[timeout)|(PRM\|1\|D)|(kpr)|(kdp)|(\|lc)|(penalty))"</v>
      </c>
      <c r="U30" s="9" t="str">
        <f t="shared" si="2"/>
        <v>4028</v>
      </c>
      <c r="V30" s="32">
        <f t="shared" si="3"/>
        <v>42808.763773148145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{"issue":{"subject":"","project_id":79,"tracker_id":40,"status_id":1,"priority_id":2,"assigned_to_id":23,"start_date":"2017-03-14","description":"","custom_fields":[{"id":1,"name":"Subdivision","value":"EC"},{"id":4,"name":"Milepost","value":"0.0001"},{"id":17,"name":"Train ID","value":"158-14"},{"id":16,"name":"Locomotive ID","value":"4028"},{"id":130,"name":"Impact","value":""},{"id":150,"name":"Time of Event (Mountain Time)","value":"12:19:50"},{"id":151,"name":"Denver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9"/>
        <v>grep -hSE -A400 "Enforcement Action" "%USERPROFILE%\AppData\Local\Temp\OnboardLogs"\RTDC4028\*4028*201703141*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"%USERPROFILE%\AppData\Local\Temp\OnboardLogs"\RTDC4028\*4028*201703141* &gt;&gt; 2017-03-14-SliceDisagreementCheck.txt</v>
      </c>
      <c r="AE30" s="157" t="str">
        <f t="shared" si="8"/>
        <v>start /low /b %USERPROFILE%\Documents\GitHub\eaglep3\Utilities\DownloadLogsFromS3.py --loco 4028 --day 2017-03-14</v>
      </c>
      <c r="AF30" s="1"/>
    </row>
    <row r="31" spans="1:32" x14ac:dyDescent="0.25">
      <c r="A31" s="32">
        <v>42808.536111111112</v>
      </c>
      <c r="B31" s="30" t="s">
        <v>498</v>
      </c>
      <c r="C31" s="30" t="s">
        <v>577</v>
      </c>
      <c r="D31" s="30" t="s">
        <v>49</v>
      </c>
      <c r="E31" s="30" t="s">
        <v>186</v>
      </c>
      <c r="F31" s="43">
        <v>0</v>
      </c>
      <c r="G31" s="43">
        <v>56</v>
      </c>
      <c r="H31" s="43">
        <v>170</v>
      </c>
      <c r="I31" s="43">
        <v>139</v>
      </c>
      <c r="J31" s="30" t="s">
        <v>187</v>
      </c>
      <c r="K31" s="43">
        <v>1</v>
      </c>
      <c r="L31" s="143" t="s">
        <v>51</v>
      </c>
      <c r="M31" s="144">
        <f t="shared" si="0"/>
        <v>72.864000000000004</v>
      </c>
      <c r="N31" s="145" t="str">
        <f>VLOOKUP(C31,'Trips&amp;Operators'!$C$1:$G$99999,5,FALSE)</f>
        <v>STRICKLAND EVAN</v>
      </c>
      <c r="O31" s="194" t="s">
        <v>185</v>
      </c>
      <c r="P31" s="146"/>
      <c r="Q31" s="30"/>
      <c r="R31" s="89" t="str">
        <f>IF(VLOOKUP(C31,'Train Runs'!$A$13:$AE$9945,1,1)=C31,VLOOKUP(C31,'Train Runs'!$A$13:$AE$9945,31,1),NA())</f>
        <v>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 &amp; aws s3 cp s3://rtdc.mdm.uploadarchive.raw/RTDC4010/ "%USERPROFILE%\AppData\Local\Temp\OnboardLogs"\RTDC4010\2017-03-15 --exclude "*" --recursive --include "*20170315*" &amp; "%USERPROFILE%\Documents\GitHub\mrs-test-scripts\Headless Mode &amp; Sideloading\WalkAndUnGZ.bat" "%USERPROFILE%\AppData\Local\Temp\OnboardLogs"\RTDC4010\2017-03-15</v>
      </c>
      <c r="S31" s="92" t="str">
        <f>IF(VLOOKUP(C31,'Train Runs'!$A$13:$AE$9945,1,1)=C31,VLOOKUP(C31,'Train Runs'!$A$13:$AE$9945,22,1),NA())</f>
        <v>https://d0f6bd738d7f1b3e5a7ca70fe4ff75f0.us-east-1.aws.found.io/app/kibana#/discover/Steve-Slow-Train-Analysis-(2080s-and-2083s)?_g=(refreshInterval:(display:Off,pause:!f,section:0,value:0),time:(from:'2017-03-14T10:55:14-0600',mode:absolute,to:'2017-03-14T13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1" s="94" t="str">
        <f t="shared" si="1"/>
        <v>"C:\Program Files (x86)\AstroGrep\AstroGrep.exe" /e /r /s /spath="%USERPROFILE%\AppData\Local\Temp\OnboardLogs" /stypes="*4010*201703141*" /stext=" 18:.+((SYSTEM_STATE.+slice.+state.+changed )|(ment ac)|(multiple cpu faults)|(system.+state.+changed )|(\[timeout)|(PRM\|1\|D)|(kpr)|(kdp)|(\|lc)|(penalty))"</v>
      </c>
      <c r="U31" s="9" t="str">
        <f t="shared" si="2"/>
        <v>4010</v>
      </c>
      <c r="V31" s="32">
        <f t="shared" si="3"/>
        <v>42808.786111111112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{"issue":{"subject":"","project_id":79,"tracker_id":40,"status_id":1,"priority_id":2,"assigned_to_id":23,"start_date":"2017-03-14","description":"","custom_fields":[{"id":1,"name":"Subdivision","value":"EC"},{"id":4,"name":"Milepost","value":"0.0001"},{"id":17,"name":"Train ID","value":"162-14"},{"id":16,"name":"Locomotive ID","value":"4010"},{"id":130,"name":"Impact","value":""},{"id":150,"name":"Time of Event (Mountain Time)","value":"12:52:00"},{"id":151,"name":"Denver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9"/>
        <v>grep -hSE -A400 "Enforcement Action" "%USERPROFILE%\AppData\Local\Temp\OnboardLogs"\RTDC4010\*4010*201703141*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"%USERPROFILE%\AppData\Local\Temp\OnboardLogs"\RTDC4010\*4010*201703141* &gt;&gt; 2017-03-14-SliceDisagreementCheck.txt</v>
      </c>
      <c r="AE31" s="157" t="str">
        <f t="shared" si="8"/>
        <v>start /low /b %USERPROFILE%\Documents\GitHub\eaglep3\Utilities\DownloadLogsFromS3.py --loco 4010 --day 2017-03-14</v>
      </c>
      <c r="AF31" s="1"/>
    </row>
    <row r="32" spans="1:32" x14ac:dyDescent="0.25">
      <c r="A32" s="32">
        <v>42808.661585648151</v>
      </c>
      <c r="B32" s="30" t="s">
        <v>463</v>
      </c>
      <c r="C32" s="30" t="s">
        <v>586</v>
      </c>
      <c r="D32" s="30" t="s">
        <v>49</v>
      </c>
      <c r="E32" s="30" t="s">
        <v>186</v>
      </c>
      <c r="F32" s="43">
        <v>0</v>
      </c>
      <c r="G32" s="43">
        <v>61</v>
      </c>
      <c r="H32" s="43">
        <v>201</v>
      </c>
      <c r="I32" s="43">
        <v>127</v>
      </c>
      <c r="J32" s="30" t="s">
        <v>187</v>
      </c>
      <c r="K32" s="43">
        <v>1</v>
      </c>
      <c r="L32" s="143" t="s">
        <v>51</v>
      </c>
      <c r="M32" s="144">
        <f t="shared" si="0"/>
        <v>66.528000000000006</v>
      </c>
      <c r="N32" s="145" t="str">
        <f>VLOOKUP(C32,'Trips&amp;Operators'!$C$1:$G$99999,5,FALSE)</f>
        <v>HOLCOMB KAMDEN</v>
      </c>
      <c r="O32" s="194" t="s">
        <v>185</v>
      </c>
      <c r="P32" s="146"/>
      <c r="Q32" s="30"/>
      <c r="R32" s="89" t="str">
        <f>IF(VLOOKUP(C32,'Train Runs'!$A$13:$AE$9945,1,1)=C32,VLOOKUP(C32,'Train Runs'!$A$13:$AE$9945,31,1),NA())</f>
        <v>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 &amp; 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</v>
      </c>
      <c r="S32" s="92" t="str">
        <f>IF(VLOOKUP(C32,'Train Runs'!$A$13:$AE$9945,1,1)=C32,VLOOKUP(C32,'Train Runs'!$A$13:$AE$9945,22,1),NA())</f>
        <v>https://d0f6bd738d7f1b3e5a7ca70fe4ff75f0.us-east-1.aws.found.io/app/kibana#/discover/Steve-Slow-Train-Analysis-(2080s-and-2083s)?_g=(refreshInterval:(display:Off,pause:!f,section:0,value:0),time:(from:'2017-03-14T13:54:14-0600',mode:absolute,to:'2017-03-14T16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2" s="94" t="str">
        <f t="shared" si="1"/>
        <v>"C:\Program Files (x86)\AstroGrep\AstroGrep.exe" /e /r /s /spath="%USERPROFILE%\AppData\Local\Temp\OnboardLogs" /stypes="*4028*201703142*" /stext=" 21:.+((SYSTEM_STATE.+slice.+state.+changed )|(ment ac)|(multiple cpu faults)|(system.+state.+changed )|(\[timeout)|(PRM\|1\|D)|(kpr)|(kdp)|(\|lc)|(penalty))"</v>
      </c>
      <c r="U32" s="9" t="str">
        <f t="shared" si="2"/>
        <v>4028</v>
      </c>
      <c r="V32" s="32">
        <f t="shared" si="3"/>
        <v>42808.911585648151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{"issue":{"subject":"","project_id":79,"tracker_id":40,"status_id":1,"priority_id":2,"assigned_to_id":23,"start_date":"2017-03-14","description":"","custom_fields":[{"id":1,"name":"Subdivision","value":"EC"},{"id":4,"name":"Milepost","value":"0.0001"},{"id":17,"name":"Train ID","value":"186-14"},{"id":16,"name":"Locomotive ID","value":"4028"},{"id":130,"name":"Impact","value":""},{"id":150,"name":"Time of Event (Mountain Time)","value":"15:52:41"},{"id":151,"name":"Denver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9"/>
        <v>grep -hSE -A400 "Enforcement Action" "%USERPROFILE%\AppData\Local\Temp\OnboardLogs"\RTDC4028\*4028*201703142*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"%USERPROFILE%\AppData\Local\Temp\OnboardLogs"\RTDC4028\*4028*201703142* &gt;&gt; 2017-03-14-SliceDisagreementCheck.txt</v>
      </c>
      <c r="AE32" s="157" t="str">
        <f t="shared" si="8"/>
        <v>start /low /b %USERPROFILE%\Documents\GitHub\eaglep3\Utilities\DownloadLogsFromS3.py --loco 4028 --day 2017-03-14</v>
      </c>
      <c r="AF32" s="1"/>
    </row>
    <row r="33" spans="1:32" x14ac:dyDescent="0.25">
      <c r="A33" s="32">
        <v>42808.822881944441</v>
      </c>
      <c r="B33" s="30" t="s">
        <v>446</v>
      </c>
      <c r="C33" s="30" t="s">
        <v>596</v>
      </c>
      <c r="D33" s="30" t="s">
        <v>49</v>
      </c>
      <c r="E33" s="30" t="s">
        <v>186</v>
      </c>
      <c r="F33" s="43">
        <v>0</v>
      </c>
      <c r="G33" s="43">
        <v>51</v>
      </c>
      <c r="H33" s="43">
        <v>156</v>
      </c>
      <c r="I33" s="43">
        <v>110</v>
      </c>
      <c r="J33" s="30" t="s">
        <v>187</v>
      </c>
      <c r="K33" s="43">
        <v>1</v>
      </c>
      <c r="L33" s="143" t="s">
        <v>51</v>
      </c>
      <c r="M33" s="144">
        <f t="shared" si="0"/>
        <v>57.552</v>
      </c>
      <c r="N33" s="145" t="str">
        <f>VLOOKUP(C33,'Trips&amp;Operators'!$C$1:$G$99999,5,FALSE)</f>
        <v>HOLCOMB KAMDEN</v>
      </c>
      <c r="O33" s="194" t="s">
        <v>185</v>
      </c>
      <c r="P33" s="146"/>
      <c r="Q33" s="30"/>
      <c r="R33" s="89" t="str">
        <f>IF(VLOOKUP(C33,'Train Runs'!$A$13:$AE$9945,1,1)=C33,VLOOKUP(C33,'Train Runs'!$A$13:$AE$9945,31,1),NA())</f>
        <v>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 &amp; aws s3 cp s3://rtdc.mdm.uploadarchive.raw/RTDC4021/ "%USERPROFILE%\AppData\Local\Temp\OnboardLogs"\RTDC4021\2017-03-15 --exclude "*" --recursive --include "*20170315*" &amp; "%USERPROFILE%\Documents\GitHub\mrs-test-scripts\Headless Mode &amp; Sideloading\WalkAndUnGZ.bat" "%USERPROFILE%\AppData\Local\Temp\OnboardLogs"\RTDC4021\2017-03-15</v>
      </c>
      <c r="S33" s="92" t="str">
        <f>IF(VLOOKUP(C33,'Train Runs'!$A$13:$AE$9945,1,1)=C33,VLOOKUP(C33,'Train Runs'!$A$13:$AE$9945,22,1),NA())</f>
        <v>https://d0f6bd738d7f1b3e5a7ca70fe4ff75f0.us-east-1.aws.found.io/app/kibana#/discover/Steve-Slow-Train-Analysis-(2080s-and-2083s)?_g=(refreshInterval:(display:Off,pause:!f,section:0,value:0),time:(from:'2017-03-14T17:51:12-0600',mode:absolute,to:'2017-03-14T20:45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3" s="94" t="str">
        <f t="shared" si="1"/>
        <v>"C:\Program Files (x86)\AstroGrep\AstroGrep.exe" /e /r /s /spath="%USERPROFILE%\AppData\Local\Temp\OnboardLogs" /stypes="*4021*201703150*" /stext=" 01:.+((SYSTEM_STATE.+slice.+state.+changed )|(ment ac)|(multiple cpu faults)|(system.+state.+changed )|(\[timeout)|(PRM\|1\|D)|(kpr)|(kdp)|(\|lc)|(penalty))"</v>
      </c>
      <c r="U33" s="9" t="str">
        <f t="shared" si="2"/>
        <v>4021</v>
      </c>
      <c r="V33" s="32">
        <f t="shared" si="3"/>
        <v>42809.072881944441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{"issue":{"subject":"","project_id":79,"tracker_id":40,"status_id":1,"priority_id":2,"assigned_to_id":23,"start_date":"2017-03-14","description":"","custom_fields":[{"id":1,"name":"Subdivision","value":"EC"},{"id":4,"name":"Milepost","value":"0.0001"},{"id":17,"name":"Train ID","value":"216-14"},{"id":16,"name":"Locomotive ID","value":"4021"},{"id":130,"name":"Impact","value":""},{"id":150,"name":"Time of Event (Mountain Time)","value":"19:44:57"},{"id":151,"name":"Denver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9"/>
        <v>grep -hSE -A400 "Enforcement Action" "%USERPROFILE%\AppData\Local\Temp\OnboardLogs"\RTDC4021\*4021*201703150*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"%USERPROFILE%\AppData\Local\Temp\OnboardLogs"\RTDC4021\*4021*201703150* &gt;&gt; 2017-03-14-SliceDisagreementCheck.txt</v>
      </c>
      <c r="AE33" s="157" t="str">
        <f t="shared" si="8"/>
        <v>start /low /b %USERPROFILE%\Documents\GitHub\eaglep3\Utilities\DownloadLogsFromS3.py --loco 4021 --day 2017-03-15</v>
      </c>
      <c r="AF33" s="1"/>
    </row>
    <row r="34" spans="1:32" x14ac:dyDescent="0.25">
      <c r="A34" s="32">
        <v>42809.006979166668</v>
      </c>
      <c r="B34" s="30" t="s">
        <v>575</v>
      </c>
      <c r="C34" s="30" t="s">
        <v>598</v>
      </c>
      <c r="D34" s="30" t="s">
        <v>49</v>
      </c>
      <c r="E34" s="30" t="s">
        <v>186</v>
      </c>
      <c r="F34" s="43">
        <v>0</v>
      </c>
      <c r="G34" s="43">
        <v>47</v>
      </c>
      <c r="H34" s="43">
        <v>158</v>
      </c>
      <c r="I34" s="43">
        <v>119</v>
      </c>
      <c r="J34" s="30" t="s">
        <v>187</v>
      </c>
      <c r="K34" s="43">
        <v>1</v>
      </c>
      <c r="L34" s="143" t="s">
        <v>51</v>
      </c>
      <c r="M34" s="144">
        <f t="shared" si="0"/>
        <v>62.304000000000002</v>
      </c>
      <c r="N34" s="145" t="str">
        <f>VLOOKUP(C34,'Trips&amp;Operators'!$C$1:$G$99999,5,FALSE)</f>
        <v>STAMBAUGH JAMES</v>
      </c>
      <c r="O34" s="194" t="s">
        <v>185</v>
      </c>
      <c r="P34" s="146"/>
      <c r="Q34" s="30"/>
      <c r="R34" s="89" t="str">
        <f>IF(VLOOKUP(C34,'Train Runs'!$A$13:$AE$9945,1,1)=C34,VLOOKUP(C34,'Train Runs'!$A$13:$AE$9945,31,1),NA())</f>
        <v>aws s3 cp s3://rtdc.mdm.uploadarchive.raw/RTDC4032/ "%USERPROFILE%\AppData\Local\Temp\OnboardLogs"\RTDC4032\2017-03-14 --exclude "*" --recursive --include "*20170314*" &amp; "%USERPROFILE%\Documents\GitHub\mrs-test-scripts\Headless Mode &amp; Sideloading\WalkAndUnGZ.bat" "%USERPROFILE%\AppData\Local\Temp\OnboardLogs"\RTDC4032\2017-03-14 &amp; 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</v>
      </c>
      <c r="S34" s="92" t="str">
        <f>IF(VLOOKUP(C34,'Train Runs'!$A$13:$AE$9945,1,1)=C34,VLOOKUP(C34,'Train Runs'!$A$13:$AE$9945,22,1),NA())</f>
        <v>https://d0f6bd738d7f1b3e5a7ca70fe4ff75f0.us-east-1.aws.found.io/app/kibana#/discover/Steve-Slow-Train-Analysis-(2080s-and-2083s)?_g=(refreshInterval:(display:Off,pause:!f,section:0,value:0),time:(from:'2017-03-14T22:24:04-0600',mode:absolute,to:'2017-03-15T01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4" s="94" t="str">
        <f t="shared" si="1"/>
        <v>"C:\Program Files (x86)\AstroGrep\AstroGrep.exe" /e /r /s /spath="%USERPROFILE%\AppData\Local\Temp\OnboardLogs" /stypes="*4032*201703150*" /stext=" 06:.+((SYSTEM_STATE.+slice.+state.+changed )|(ment ac)|(multiple cpu faults)|(system.+state.+changed )|(\[timeout)|(PRM\|1\|D)|(kpr)|(kdp)|(\|lc)|(penalty))"</v>
      </c>
      <c r="U34" s="9" t="str">
        <f t="shared" si="2"/>
        <v>4032</v>
      </c>
      <c r="V34" s="32">
        <f t="shared" si="3"/>
        <v>42809.256979166668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ID","value":"236-14"},{"id":16,"name":"Locomotive ID","value":"4032"},{"id":130,"name":"Impact","value":""},{"id":150,"name":"Time of Event (Mountain Time)","value":"00:10:03"},{"id":151,"name":"Denver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9"/>
        <v>grep -hSE -A400 "Enforcement Action" "%USERPROFILE%\AppData\Local\Temp\OnboardLogs"\RTDC4032\*4032*201703150*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"%USERPROFILE%\AppData\Local\Temp\OnboardLogs"\RTDC4032\*4032*201703150* &gt;&gt; 2017-03-14-SliceDisagreementCheck.txt</v>
      </c>
      <c r="AE34" s="157" t="str">
        <f t="shared" si="8"/>
        <v>start /low /b %USERPROFILE%\Documents\GitHub\eaglep3\Utilities\DownloadLogsFromS3.py --loco 4032 --day 2017-03-15</v>
      </c>
      <c r="AF34" s="1"/>
    </row>
    <row r="35" spans="1:32" x14ac:dyDescent="0.25">
      <c r="A35" s="32">
        <v>42808.225011574075</v>
      </c>
      <c r="B35" s="30" t="s">
        <v>461</v>
      </c>
      <c r="C35" s="30" t="s">
        <v>561</v>
      </c>
      <c r="D35" s="30" t="s">
        <v>49</v>
      </c>
      <c r="E35" s="30" t="s">
        <v>186</v>
      </c>
      <c r="F35" s="43">
        <v>0</v>
      </c>
      <c r="G35" s="43">
        <v>58</v>
      </c>
      <c r="H35" s="43">
        <v>233253</v>
      </c>
      <c r="I35" s="43">
        <v>233307</v>
      </c>
      <c r="J35" s="30" t="s">
        <v>187</v>
      </c>
      <c r="K35" s="43">
        <v>233491</v>
      </c>
      <c r="L35" s="143" t="s">
        <v>50</v>
      </c>
      <c r="M35" s="144">
        <f t="shared" si="0"/>
        <v>97.152000000000001</v>
      </c>
      <c r="N35" s="145" t="str">
        <f>VLOOKUP(C35,'Trips&amp;Operators'!$C$1:$G$99999,5,FALSE)</f>
        <v>DAVIS WENDY</v>
      </c>
      <c r="O35" s="194" t="s">
        <v>185</v>
      </c>
      <c r="P35" s="146"/>
      <c r="Q35" s="30"/>
      <c r="R35" s="89" t="str">
        <f>IF(VLOOKUP(C35,'Train Runs'!$A$13:$AE$9945,1,1)=C35,VLOOKUP(C35,'Train Runs'!$A$13:$AE$9945,31,1),NA())</f>
        <v>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 &amp; 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</v>
      </c>
      <c r="S35" s="92" t="str">
        <f>IF(VLOOKUP(C35,'Train Runs'!$A$13:$AE$9945,1,1)=C35,VLOOKUP(C35,'Train Runs'!$A$13:$AE$9945,22,1),NA())</f>
        <v>https://d0f6bd738d7f1b3e5a7ca70fe4ff75f0.us-east-1.aws.found.io/app/kibana#/discover/Steve-Slow-Train-Analysis-(2080s-and-2083s)?_g=(refreshInterval:(display:Off,pause:!f,section:0,value:0),time:(from:'2017-03-14T03:39:14-0600',mode:absolute,to:'2017-03-14T06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5" s="94" t="str">
        <f t="shared" si="1"/>
        <v>"C:\Program Files (x86)\AstroGrep\AstroGrep.exe" /e /r /s /spath="%USERPROFILE%\AppData\Local\Temp\OnboardLogs" /stypes="*4053*201703141*" /stext=" 11:.+((SYSTEM_STATE.+slice.+state.+changed )|(ment ac)|(multiple cpu faults)|(system.+state.+changed )|(\[timeout)|(PRM\|1\|D)|(kpr)|(kdp)|(\|lc)|(penalty))"</v>
      </c>
      <c r="U35" s="9" t="str">
        <f t="shared" si="2"/>
        <v>4053</v>
      </c>
      <c r="V35" s="32">
        <f t="shared" si="3"/>
        <v>42808.475011574075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{"issue":{"subject":"","project_id":79,"tracker_id":40,"status_id":1,"priority_id":2,"assigned_to_id":23,"start_date":"2017-03-14","description":"","custom_fields":[{"id":1,"name":"Subdivision","value":"EC"},{"id":4,"name":"Milepost","value":"23.3491"},{"id":17,"name":"Train ID","value":"109-14"},{"id":16,"name":"Locomotive ID","value":"4053"},{"id":130,"name":"Impact","value":""},{"id":150,"name":"Time of Event (Mountain Time)","value":"05:24:01"},{"id":151,"name":"Denver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9"/>
        <v>grep -hSE -A400 "Enforcement Action" "%USERPROFILE%\AppData\Local\Temp\OnboardLogs"\RTDC4053\*4053*201703141*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"%USERPROFILE%\AppData\Local\Temp\OnboardLogs"\RTDC4053\*4053*201703141* &gt;&gt; 2017-03-14-SliceDisagreementCheck.txt</v>
      </c>
      <c r="AE35" s="157" t="str">
        <f t="shared" si="8"/>
        <v>start /low /b %USERPROFILE%\Documents\GitHub\eaglep3\Utilities\DownloadLogsFromS3.py --loco 4053 --day 2017-03-14</v>
      </c>
      <c r="AF35" s="1"/>
    </row>
    <row r="36" spans="1:32" x14ac:dyDescent="0.25">
      <c r="A36" s="32">
        <v>42808.246817129628</v>
      </c>
      <c r="B36" s="30" t="s">
        <v>447</v>
      </c>
      <c r="C36" s="30" t="s">
        <v>564</v>
      </c>
      <c r="D36" s="30" t="s">
        <v>49</v>
      </c>
      <c r="E36" s="30" t="s">
        <v>186</v>
      </c>
      <c r="F36" s="43">
        <v>0</v>
      </c>
      <c r="G36" s="43">
        <v>62</v>
      </c>
      <c r="H36" s="43">
        <v>233270</v>
      </c>
      <c r="I36" s="43">
        <v>233303</v>
      </c>
      <c r="J36" s="30" t="s">
        <v>187</v>
      </c>
      <c r="K36" s="43">
        <v>233491</v>
      </c>
      <c r="L36" s="143" t="s">
        <v>50</v>
      </c>
      <c r="M36" s="144">
        <f t="shared" si="0"/>
        <v>99.263999999999996</v>
      </c>
      <c r="N36" s="145" t="str">
        <f>VLOOKUP(C36,'Trips&amp;Operators'!$C$1:$G$99999,5,FALSE)</f>
        <v>SANTIZO D. EDY</v>
      </c>
      <c r="O36" s="194" t="s">
        <v>185</v>
      </c>
      <c r="P36" s="146"/>
      <c r="Q36" s="30"/>
      <c r="R36" s="89" t="str">
        <f>IF(VLOOKUP(C36,'Train Runs'!$A$13:$AE$9945,1,1)=C36,VLOOKUP(C36,'Train Runs'!$A$13:$AE$9945,31,1),NA())</f>
        <v>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 &amp; aws s3 cp s3://rtdc.mdm.uploadarchive.raw/RTDC4018/ "%USERPROFILE%\AppData\Local\Temp\OnboardLogs"\RTDC4018\2017-03-15 --exclude "*" --recursive --include "*20170315*" &amp; "%USERPROFILE%\Documents\GitHub\mrs-test-scripts\Headless Mode &amp; Sideloading\WalkAndUnGZ.bat" "%USERPROFILE%\AppData\Local\Temp\OnboardLogs"\RTDC4018\2017-03-15</v>
      </c>
      <c r="S36" s="92" t="str">
        <f>IF(VLOOKUP(C36,'Train Runs'!$A$13:$AE$9945,1,1)=C36,VLOOKUP(C36,'Train Runs'!$A$13:$AE$9945,22,1),NA())</f>
        <v>https://d0f6bd738d7f1b3e5a7ca70fe4ff75f0.us-east-1.aws.found.io/app/kibana#/discover/Steve-Slow-Train-Analysis-(2080s-and-2083s)?_g=(refreshInterval:(display:Off,pause:!f,section:0,value:0),time:(from:'2017-03-14T03:54:53-0600',mode:absolute,to:'2017-03-14T06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6" s="94" t="str">
        <f t="shared" si="1"/>
        <v>"C:\Program Files (x86)\AstroGrep\AstroGrep.exe" /e /r /s /spath="%USERPROFILE%\AppData\Local\Temp\OnboardLogs" /stypes="*4018*201703141*" /stext=" 11:.+((SYSTEM_STATE.+slice.+state.+changed )|(ment ac)|(multiple cpu faults)|(system.+state.+changed )|(\[timeout)|(PRM\|1\|D)|(kpr)|(kdp)|(\|lc)|(penalty))"</v>
      </c>
      <c r="U36" s="9" t="str">
        <f t="shared" si="2"/>
        <v>4018</v>
      </c>
      <c r="V36" s="32">
        <f t="shared" si="3"/>
        <v>42808.496817129628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{"issue":{"subject":"","project_id":79,"tracker_id":40,"status_id":1,"priority_id":2,"assigned_to_id":23,"start_date":"2017-03-14","description":"","custom_fields":[{"id":1,"name":"Subdivision","value":"EC"},{"id":4,"name":"Milepost","value":"23.3491"},{"id":17,"name":"Train ID","value":"113-14"},{"id":16,"name":"Locomotive ID","value":"4018"},{"id":130,"name":"Impact","value":""},{"id":150,"name":"Time of Event (Mountain Time)","value":"05:55:25"},{"id":151,"name":"Denver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9"/>
        <v>grep -hSE -A400 "Enforcement Action" "%USERPROFILE%\AppData\Local\Temp\OnboardLogs"\RTDC4018\*4018*201703141*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"%USERPROFILE%\AppData\Local\Temp\OnboardLogs"\RTDC4018\*4018*201703141* &gt;&gt; 2017-03-14-SliceDisagreementCheck.txt</v>
      </c>
      <c r="AE36" s="157" t="str">
        <f t="shared" si="8"/>
        <v>start /low /b %USERPROFILE%\Documents\GitHub\eaglep3\Utilities\DownloadLogsFromS3.py --loco 4018 --day 2017-03-14</v>
      </c>
      <c r="AF36" s="1"/>
    </row>
    <row r="37" spans="1:32" x14ac:dyDescent="0.25">
      <c r="A37" s="32">
        <v>42808.568171296298</v>
      </c>
      <c r="B37" s="30" t="s">
        <v>390</v>
      </c>
      <c r="C37" s="30" t="s">
        <v>579</v>
      </c>
      <c r="D37" s="30" t="s">
        <v>49</v>
      </c>
      <c r="E37" s="30" t="s">
        <v>186</v>
      </c>
      <c r="F37" s="43">
        <v>0</v>
      </c>
      <c r="G37" s="43">
        <v>161</v>
      </c>
      <c r="H37" s="43">
        <v>232672</v>
      </c>
      <c r="I37" s="43">
        <v>232823</v>
      </c>
      <c r="J37" s="30" t="s">
        <v>187</v>
      </c>
      <c r="K37" s="43">
        <v>233491</v>
      </c>
      <c r="L37" s="143" t="s">
        <v>50</v>
      </c>
      <c r="M37" s="144">
        <f t="shared" si="0"/>
        <v>352.70400000000001</v>
      </c>
      <c r="N37" s="145" t="str">
        <f>VLOOKUP(C37,'Trips&amp;Operators'!$C$1:$G$99999,5,FALSE)</f>
        <v>STRICKLAND EVAN</v>
      </c>
      <c r="O37" s="194" t="s">
        <v>185</v>
      </c>
      <c r="P37" s="146"/>
      <c r="Q37" s="30"/>
      <c r="R37" s="89" t="str">
        <f>IF(VLOOKUP(C37,'Train Runs'!$A$13:$AE$9945,1,1)=C37,VLOOKUP(C37,'Train Runs'!$A$13:$AE$9945,31,1),NA())</f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S37" s="92" t="str">
        <f>IF(VLOOKUP(C37,'Train Runs'!$A$13:$AE$9945,1,1)=C37,VLOOKUP(C37,'Train Runs'!$A$13:$AE$9945,22,1),NA())</f>
        <v>https://d0f6bd738d7f1b3e5a7ca70fe4ff75f0.us-east-1.aws.found.io/app/kibana#/discover/Steve-Slow-Train-Analysis-(2080s-and-2083s)?_g=(refreshInterval:(display:Off,pause:!f,section:0,value:0),time:(from:'2017-03-14T11:54:38-0600',mode:absolute,to:'2017-03-14T14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7" s="94" t="str">
        <f t="shared" si="1"/>
        <v>"C:\Program Files (x86)\AstroGrep\AstroGrep.exe" /e /r /s /spath="%USERPROFILE%\AppData\Local\Temp\OnboardLogs" /stypes="*4009*201703141*" /stext=" 19:.+((SYSTEM_STATE.+slice.+state.+changed )|(ment ac)|(multiple cpu faults)|(system.+state.+changed )|(\[timeout)|(PRM\|1\|D)|(kpr)|(kdp)|(\|lc)|(penalty))"</v>
      </c>
      <c r="U37" s="9" t="str">
        <f t="shared" si="2"/>
        <v>4009</v>
      </c>
      <c r="V37" s="32">
        <f t="shared" si="3"/>
        <v>42808.818171296298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{"issue":{"subject":"","project_id":79,"tracker_id":40,"status_id":1,"priority_id":2,"assigned_to_id":23,"start_date":"2017-03-14","description":"","custom_fields":[{"id":1,"name":"Subdivision","value":"EC"},{"id":4,"name":"Milepost","value":"23.3491"},{"id":17,"name":"Train ID","value":"175-14"},{"id":16,"name":"Locomotive ID","value":"4009"},{"id":130,"name":"Impact","value":""},{"id":150,"name":"Time of Event (Mountain Time)","value":"13:38:10"},{"id":151,"name":"Denver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9"/>
        <v>grep -hSE -A400 "Enforcement Action" "%USERPROFILE%\AppData\Local\Temp\OnboardLogs"\RTDC4009\*4009*201703141*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"%USERPROFILE%\AppData\Local\Temp\OnboardLogs"\RTDC4009\*4009*201703141* &gt;&gt; 2017-03-14-SliceDisagreementCheck.txt</v>
      </c>
      <c r="AE37" s="157" t="str">
        <f t="shared" si="8"/>
        <v>start /low /b %USERPROFILE%\Documents\GitHub\eaglep3\Utilities\DownloadLogsFromS3.py --loco 4009 --day 2017-03-14</v>
      </c>
      <c r="AF37" s="1"/>
    </row>
    <row r="38" spans="1:32" x14ac:dyDescent="0.25">
      <c r="A38" s="32">
        <v>42808.60832175926</v>
      </c>
      <c r="B38" s="30" t="s">
        <v>447</v>
      </c>
      <c r="C38" s="30" t="s">
        <v>582</v>
      </c>
      <c r="D38" s="30" t="s">
        <v>49</v>
      </c>
      <c r="E38" s="30" t="s">
        <v>186</v>
      </c>
      <c r="F38" s="43">
        <v>0</v>
      </c>
      <c r="G38" s="43">
        <v>24</v>
      </c>
      <c r="H38" s="43">
        <v>233440</v>
      </c>
      <c r="I38" s="43">
        <v>233461</v>
      </c>
      <c r="J38" s="30" t="s">
        <v>187</v>
      </c>
      <c r="K38" s="43">
        <v>233491</v>
      </c>
      <c r="L38" s="143" t="s">
        <v>50</v>
      </c>
      <c r="M38" s="144">
        <f t="shared" si="0"/>
        <v>15.84</v>
      </c>
      <c r="N38" s="145" t="str">
        <f>VLOOKUP(C38,'Trips&amp;Operators'!$C$1:$G$99999,5,FALSE)</f>
        <v>ROMERO CHAD</v>
      </c>
      <c r="O38" s="194" t="s">
        <v>185</v>
      </c>
      <c r="P38" s="146"/>
      <c r="Q38" s="30"/>
      <c r="R38" s="89" t="str">
        <f>IF(VLOOKUP(C38,'Train Runs'!$A$13:$AE$9945,1,1)=C38,VLOOKUP(C38,'Train Runs'!$A$13:$AE$9945,31,1),NA())</f>
        <v>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 &amp; aws s3 cp s3://rtdc.mdm.uploadarchive.raw/RTDC4018/ "%USERPROFILE%\AppData\Local\Temp\OnboardLogs"\RTDC4018\2017-03-15 --exclude "*" --recursive --include "*20170315*" &amp; "%USERPROFILE%\Documents\GitHub\mrs-test-scripts\Headless Mode &amp; Sideloading\WalkAndUnGZ.bat" "%USERPROFILE%\AppData\Local\Temp\OnboardLogs"\RTDC4018\2017-03-15</v>
      </c>
      <c r="S38" s="92" t="str">
        <f>IF(VLOOKUP(C38,'Train Runs'!$A$13:$AE$9945,1,1)=C38,VLOOKUP(C38,'Train Runs'!$A$13:$AE$9945,22,1),NA())</f>
        <v>https://d0f6bd738d7f1b3e5a7ca70fe4ff75f0.us-east-1.aws.found.io/app/kibana#/discover/Steve-Slow-Train-Analysis-(2080s-and-2083s)?_g=(refreshInterval:(display:Off,pause:!f,section:0,value:0),time:(from:'2017-03-14T12:54:22-0600',mode:absolute,to:'2017-03-14T15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8" s="94" t="str">
        <f t="shared" si="1"/>
        <v>"C:\Program Files (x86)\AstroGrep\AstroGrep.exe" /e /r /s /spath="%USERPROFILE%\AppData\Local\Temp\OnboardLogs" /stypes="*4018*201703142*" /stext=" 20:.+((SYSTEM_STATE.+slice.+state.+changed )|(ment ac)|(multiple cpu faults)|(system.+state.+changed )|(\[timeout)|(PRM\|1\|D)|(kpr)|(kdp)|(\|lc)|(penalty))"</v>
      </c>
      <c r="U38" s="9" t="str">
        <f t="shared" si="2"/>
        <v>4018</v>
      </c>
      <c r="V38" s="32">
        <f t="shared" si="3"/>
        <v>42808.85832175926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{"issue":{"subject":"","project_id":79,"tracker_id":40,"status_id":1,"priority_id":2,"assigned_to_id":23,"start_date":"2017-03-14","description":"","custom_fields":[{"id":1,"name":"Subdivision","value":"EC"},{"id":4,"name":"Milepost","value":"23.3491"},{"id":17,"name":"Train ID","value":"183-14"},{"id":16,"name":"Locomotive ID","value":"4018"},{"id":130,"name":"Impact","value":""},{"id":150,"name":"Time of Event (Mountain Time)","value":"14:35:59"},{"id":151,"name":"Denver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9"/>
        <v>grep -hSE -A400 "Enforcement Action" "%USERPROFILE%\AppData\Local\Temp\OnboardLogs"\RTDC4018\*4018*201703142*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"%USERPROFILE%\AppData\Local\Temp\OnboardLogs"\RTDC4018\*4018*201703142* &gt;&gt; 2017-03-14-SliceDisagreementCheck.txt</v>
      </c>
      <c r="AE38" s="157" t="str">
        <f t="shared" si="8"/>
        <v>start /low /b %USERPROFILE%\Documents\GitHub\eaglep3\Utilities\DownloadLogsFromS3.py --loco 4018 --day 2017-03-14</v>
      </c>
      <c r="AF38" s="1"/>
    </row>
    <row r="39" spans="1:32" x14ac:dyDescent="0.25">
      <c r="A39" s="32">
        <v>42808.63989583333</v>
      </c>
      <c r="B39" s="30" t="s">
        <v>390</v>
      </c>
      <c r="C39" s="30" t="s">
        <v>583</v>
      </c>
      <c r="D39" s="30" t="s">
        <v>49</v>
      </c>
      <c r="E39" s="30" t="s">
        <v>186</v>
      </c>
      <c r="F39" s="43">
        <v>0</v>
      </c>
      <c r="G39" s="43">
        <v>80</v>
      </c>
      <c r="H39" s="43">
        <v>233184</v>
      </c>
      <c r="I39" s="43">
        <v>233268</v>
      </c>
      <c r="J39" s="30" t="s">
        <v>187</v>
      </c>
      <c r="K39" s="43">
        <v>233491</v>
      </c>
      <c r="L39" s="143" t="s">
        <v>50</v>
      </c>
      <c r="M39" s="144">
        <f t="shared" si="0"/>
        <v>117.744</v>
      </c>
      <c r="N39" s="145" t="str">
        <f>VLOOKUP(C39,'Trips&amp;Operators'!$C$1:$G$99999,5,FALSE)</f>
        <v>STRICKLAND EVAN</v>
      </c>
      <c r="O39" s="194" t="s">
        <v>185</v>
      </c>
      <c r="P39" s="146"/>
      <c r="Q39" s="30"/>
      <c r="R39" s="89" t="str">
        <f>IF(VLOOKUP(C39,'Train Runs'!$A$13:$AE$9945,1,1)=C39,VLOOKUP(C39,'Train Runs'!$A$13:$AE$9945,31,1),NA())</f>
        <v>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 &amp; aws s3 cp s3://rtdc.mdm.uploadarchive.raw/RTDC4009/ "%USERPROFILE%\AppData\Local\Temp\OnboardLogs"\RTDC4009\2017-03-15 --exclude "*" --recursive --include "*20170315*" &amp; "%USERPROFILE%\Documents\GitHub\mrs-test-scripts\Headless Mode &amp; Sideloading\WalkAndUnGZ.bat" "%USERPROFILE%\AppData\Local\Temp\OnboardLogs"\RTDC4009\2017-03-15</v>
      </c>
      <c r="S39" s="92" t="str">
        <f>IF(VLOOKUP(C39,'Train Runs'!$A$13:$AE$9945,1,1)=C39,VLOOKUP(C39,'Train Runs'!$A$13:$AE$9945,22,1),NA())</f>
        <v>https://d0f6bd738d7f1b3e5a7ca70fe4ff75f0.us-east-1.aws.found.io/app/kibana#/discover/Steve-Slow-Train-Analysis-(2080s-and-2083s)?_g=(refreshInterval:(display:Off,pause:!f,section:0,value:0),time:(from:'2017-03-14T13:39:29-0600',mode:absolute,to:'2017-03-14T16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9" s="94" t="str">
        <f t="shared" si="1"/>
        <v>"C:\Program Files (x86)\AstroGrep\AstroGrep.exe" /e /r /s /spath="%USERPROFILE%\AppData\Local\Temp\OnboardLogs" /stypes="*4009*201703142*" /stext=" 21:.+((SYSTEM_STATE.+slice.+state.+changed )|(ment ac)|(multiple cpu faults)|(system.+state.+changed )|(\[timeout)|(PRM\|1\|D)|(kpr)|(kdp)|(\|lc)|(penalty))"</v>
      </c>
      <c r="U39" s="9" t="str">
        <f t="shared" si="2"/>
        <v>4009</v>
      </c>
      <c r="V39" s="32">
        <f t="shared" si="3"/>
        <v>42808.88989583333</v>
      </c>
      <c r="W39" s="46" t="str">
        <f t="shared" si="4"/>
        <v>EC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{"issue":{"subject":"","project_id":79,"tracker_id":40,"status_id":1,"priority_id":2,"assigned_to_id":23,"start_date":"2017-03-14","description":"","custom_fields":[{"id":1,"name":"Subdivision","value":"EC"},{"id":4,"name":"Milepost","value":"23.3491"},{"id":17,"name":"Train ID","value":"189-14"},{"id":16,"name":"Locomotive ID","value":"4009"},{"id":130,"name":"Impact","value":""},{"id":150,"name":"Time of Event (Mountain Time)","value":"15:21:27"},{"id":151,"name":"Denver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9"/>
        <v>grep -hSE -A400 "Enforcement Action" "%USERPROFILE%\AppData\Local\Temp\OnboardLogs"\RTDC4009\*4009*201703142*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"%USERPROFILE%\AppData\Local\Temp\OnboardLogs"\RTDC4009\*4009*201703142* &gt;&gt; 2017-03-14-SliceDisagreementCheck.txt</v>
      </c>
      <c r="AE39" s="157" t="str">
        <f t="shared" si="8"/>
        <v>start /low /b %USERPROFILE%\Documents\GitHub\eaglep3\Utilities\DownloadLogsFromS3.py --loco 4009 --day 2017-03-14</v>
      </c>
      <c r="AF39" s="1"/>
    </row>
    <row r="40" spans="1:32" x14ac:dyDescent="0.25">
      <c r="A40" s="32">
        <v>42808.776053240741</v>
      </c>
      <c r="B40" s="30" t="s">
        <v>449</v>
      </c>
      <c r="C40" s="30" t="s">
        <v>592</v>
      </c>
      <c r="D40" s="30" t="s">
        <v>49</v>
      </c>
      <c r="E40" s="30" t="s">
        <v>186</v>
      </c>
      <c r="F40" s="43">
        <v>0</v>
      </c>
      <c r="G40" s="43">
        <v>56</v>
      </c>
      <c r="H40" s="43">
        <v>233298</v>
      </c>
      <c r="I40" s="43">
        <v>233351</v>
      </c>
      <c r="J40" s="30" t="s">
        <v>187</v>
      </c>
      <c r="K40" s="43">
        <v>233491</v>
      </c>
      <c r="L40" s="143" t="s">
        <v>50</v>
      </c>
      <c r="M40" s="144">
        <f t="shared" si="0"/>
        <v>73.92</v>
      </c>
      <c r="N40" s="145" t="str">
        <f>VLOOKUP(C40,'Trips&amp;Operators'!$C$1:$G$99999,5,FALSE)</f>
        <v>HOLCOMB KAMDEN</v>
      </c>
      <c r="O40" s="194" t="s">
        <v>185</v>
      </c>
      <c r="P40" s="146"/>
      <c r="Q40" s="30"/>
      <c r="R40" s="89" t="str">
        <f>IF(VLOOKUP(C40,'Train Runs'!$A$13:$AE$9945,1,1)=C40,VLOOKUP(C40,'Train Runs'!$A$13:$AE$9945,31,1),NA())</f>
        <v>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 &amp; aws s3 cp s3://rtdc.mdm.uploadarchive.raw/RTDC4022/ "%USERPROFILE%\AppData\Local\Temp\OnboardLogs"\RTDC4022\2017-03-15 --exclude "*" --recursive --include "*20170315*" &amp; "%USERPROFILE%\Documents\GitHub\mrs-test-scripts\Headless Mode &amp; Sideloading\WalkAndUnGZ.bat" "%USERPROFILE%\AppData\Local\Temp\OnboardLogs"\RTDC4022\2017-03-15</v>
      </c>
      <c r="S40" s="92" t="str">
        <f>IF(VLOOKUP(C40,'Train Runs'!$A$13:$AE$9945,1,1)=C40,VLOOKUP(C40,'Train Runs'!$A$13:$AE$9945,22,1),NA())</f>
        <v>https://d0f6bd738d7f1b3e5a7ca70fe4ff75f0.us-east-1.aws.found.io/app/kibana#/discover/Steve-Slow-Train-Analysis-(2080s-and-2083s)?_g=(refreshInterval:(display:Off,pause:!f,section:0,value:0),time:(from:'2017-03-14T16:56:09-0600',mode:absolute,to:'2017-03-14T19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0" s="94" t="str">
        <f t="shared" si="1"/>
        <v>"C:\Program Files (x86)\AstroGrep\AstroGrep.exe" /e /r /s /spath="%USERPROFILE%\AppData\Local\Temp\OnboardLogs" /stypes="*4022*201703150*" /stext=" 00:.+((SYSTEM_STATE.+slice.+state.+changed )|(ment ac)|(multiple cpu faults)|(system.+state.+changed )|(\[timeout)|(PRM\|1\|D)|(kpr)|(kdp)|(\|lc)|(penalty))"</v>
      </c>
      <c r="U40" s="9" t="str">
        <f t="shared" si="2"/>
        <v>4022</v>
      </c>
      <c r="V40" s="32">
        <f t="shared" si="3"/>
        <v>42809.026053240741</v>
      </c>
      <c r="W40" s="46" t="str">
        <f t="shared" si="4"/>
        <v>EC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{"issue":{"subject":"","project_id":79,"tracker_id":40,"status_id":1,"priority_id":2,"assigned_to_id":23,"start_date":"2017-03-14","description":"","custom_fields":[{"id":1,"name":"Subdivision","value":"EC"},{"id":4,"name":"Milepost","value":"23.3491"},{"id":17,"name":"Train ID","value":"215-14"},{"id":16,"name":"Locomotive ID","value":"4022"},{"id":130,"name":"Impact","value":""},{"id":150,"name":"Time of Event (Mountain Time)","value":"18:37:31"},{"id":151,"name":"Denver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9"/>
        <v>grep -hSE -A400 "Enforcement Action" "%USERPROFILE%\AppData\Local\Temp\OnboardLogs"\RTDC4022\*4022*201703150*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"%USERPROFILE%\AppData\Local\Temp\OnboardLogs"\RTDC4022\*4022*201703150* &gt;&gt; 2017-03-14-SliceDisagreementCheck.txt</v>
      </c>
      <c r="AE40" s="157" t="str">
        <f t="shared" si="8"/>
        <v>start /low /b %USERPROFILE%\Documents\GitHub\eaglep3\Utilities\DownloadLogsFromS3.py --loco 4022 --day 2017-03-15</v>
      </c>
      <c r="AF40" s="1"/>
    </row>
    <row r="41" spans="1:32" x14ac:dyDescent="0.25">
      <c r="A41" s="32">
        <v>42808.796597222223</v>
      </c>
      <c r="B41" s="30" t="s">
        <v>594</v>
      </c>
      <c r="C41" s="30" t="s">
        <v>595</v>
      </c>
      <c r="D41" s="30" t="s">
        <v>49</v>
      </c>
      <c r="E41" s="30" t="s">
        <v>186</v>
      </c>
      <c r="F41" s="43">
        <v>0</v>
      </c>
      <c r="G41" s="43">
        <v>29</v>
      </c>
      <c r="H41" s="43">
        <v>233406</v>
      </c>
      <c r="I41" s="43">
        <v>233429</v>
      </c>
      <c r="J41" s="30" t="s">
        <v>187</v>
      </c>
      <c r="K41" s="43">
        <v>233491</v>
      </c>
      <c r="L41" s="143" t="s">
        <v>50</v>
      </c>
      <c r="M41" s="144">
        <f t="shared" si="0"/>
        <v>32.735999999999997</v>
      </c>
      <c r="N41" s="145" t="str">
        <f>VLOOKUP(C41,'Trips&amp;Operators'!$C$1:$G$99999,5,FALSE)</f>
        <v>STAMBAUGH JAMES</v>
      </c>
      <c r="O41" s="194" t="s">
        <v>185</v>
      </c>
      <c r="P41" s="146"/>
      <c r="Q41" s="30"/>
      <c r="R41" s="89" t="str">
        <f>IF(VLOOKUP(C41,'Train Runs'!$A$13:$AE$9945,1,1)=C41,VLOOKUP(C41,'Train Runs'!$A$13:$AE$9945,31,1),NA())</f>
        <v>aws s3 cp s3://rtdc.mdm.uploadarchive.raw/RTDC4031/ "%USERPROFILE%\AppData\Local\Temp\OnboardLogs"\RTDC4031\2017-03-14 --exclude "*" --recursive --include "*20170314*" &amp; "%USERPROFILE%\Documents\GitHub\mrs-test-scripts\Headless Mode &amp; Sideloading\WalkAndUnGZ.bat" "%USERPROFILE%\AppData\Local\Temp\OnboardLogs"\RTDC4031\2017-03-14 &amp; 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</v>
      </c>
      <c r="S41" s="92" t="str">
        <f>IF(VLOOKUP(C41,'Train Runs'!$A$13:$AE$9945,1,1)=C41,VLOOKUP(C41,'Train Runs'!$A$13:$AE$9945,22,1),NA())</f>
        <v>https://d0f6bd738d7f1b3e5a7ca70fe4ff75f0.us-east-1.aws.found.io/app/kibana#/discover/Steve-Slow-Train-Analysis-(2080s-and-2083s)?_g=(refreshInterval:(display:Off,pause:!f,section:0,value:0),time:(from:'2017-03-14T17:23:33-0600',mode:absolute,to:'2017-03-14T20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1" s="94" t="str">
        <f t="shared" si="1"/>
        <v>"C:\Program Files (x86)\AstroGrep\AstroGrep.exe" /e /r /s /spath="%USERPROFILE%\AppData\Local\Temp\OnboardLogs" /stypes="*4031*201703150*" /stext=" 01:.+((SYSTEM_STATE.+slice.+state.+changed )|(ment ac)|(multiple cpu faults)|(system.+state.+changed )|(\[timeout)|(PRM\|1\|D)|(kpr)|(kdp)|(\|lc)|(penalty))"</v>
      </c>
      <c r="U41" s="9" t="str">
        <f t="shared" si="2"/>
        <v>4031</v>
      </c>
      <c r="V41" s="32">
        <f t="shared" si="3"/>
        <v>42809.046597222223</v>
      </c>
      <c r="W41" s="46" t="str">
        <f t="shared" si="4"/>
        <v>EC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{"issue":{"subject":"","project_id":79,"tracker_id":40,"status_id":1,"priority_id":2,"assigned_to_id":23,"start_date":"2017-03-14","description":"","custom_fields":[{"id":1,"name":"Subdivision","value":"EC"},{"id":4,"name":"Milepost","value":"23.3491"},{"id":17,"name":"Train ID","value":"219-14"},{"id":16,"name":"Locomotive ID","value":"4031"},{"id":130,"name":"Impact","value":""},{"id":150,"name":"Time of Event (Mountain Time)","value":"19:07:06"},{"id":151,"name":"Denver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9"/>
        <v>grep -hSE -A400 "Enforcement Action" "%USERPROFILE%\AppData\Local\Temp\OnboardLogs"\RTDC4031\*4031*201703150*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"%USERPROFILE%\AppData\Local\Temp\OnboardLogs"\RTDC4031\*4031*201703150* &gt;&gt; 2017-03-14-SliceDisagreementCheck.txt</v>
      </c>
      <c r="AE41" s="157" t="str">
        <f t="shared" si="8"/>
        <v>start /low /b %USERPROFILE%\Documents\GitHub\eaglep3\Utilities\DownloadLogsFromS3.py --loco 4031 --day 2017-03-15</v>
      </c>
      <c r="AF41" s="1"/>
    </row>
    <row r="42" spans="1:32" x14ac:dyDescent="0.25">
      <c r="A42" s="32">
        <v>42808.493946759256</v>
      </c>
      <c r="B42" s="30" t="s">
        <v>222</v>
      </c>
      <c r="C42" s="30" t="s">
        <v>573</v>
      </c>
      <c r="D42" s="30" t="s">
        <v>49</v>
      </c>
      <c r="E42" s="30" t="s">
        <v>194</v>
      </c>
      <c r="F42" s="43">
        <v>0</v>
      </c>
      <c r="G42" s="43">
        <v>272</v>
      </c>
      <c r="H42" s="43">
        <v>11143</v>
      </c>
      <c r="I42" s="43">
        <v>10562</v>
      </c>
      <c r="J42" s="30" t="s">
        <v>195</v>
      </c>
      <c r="K42" s="43">
        <v>10988</v>
      </c>
      <c r="L42" s="143" t="s">
        <v>51</v>
      </c>
      <c r="M42" s="144">
        <f t="shared" si="0"/>
        <v>-224.928</v>
      </c>
      <c r="N42" s="145" t="str">
        <f>VLOOKUP(C42,'Trips&amp;Operators'!$C$1:$G$99999,5,FALSE)</f>
        <v>BROWN JACOB</v>
      </c>
      <c r="O42" s="194" t="s">
        <v>185</v>
      </c>
      <c r="P42" s="146" t="s">
        <v>495</v>
      </c>
      <c r="Q42" s="30"/>
      <c r="R42" s="89" t="e">
        <f>IF(VLOOKUP(C42,'Train Runs'!$A$13:$AE$9945,1,1)=C42,VLOOKUP(C42,'Train Runs'!$A$13:$AE$9945,31,1),NA())</f>
        <v>#N/A</v>
      </c>
      <c r="S42" s="92" t="e">
        <f>IF(VLOOKUP(C42,'Train Runs'!$A$13:$AE$9945,1,1)=C42,VLOOKUP(C42,'Train Runs'!$A$13:$AE$9945,22,1),NA())</f>
        <v>#N/A</v>
      </c>
      <c r="T42" s="94" t="str">
        <f t="shared" si="1"/>
        <v>"C:\Program Files (x86)\AstroGrep\AstroGrep.exe" /e /r /s /spath="%USERPROFILE%\AppData\Local\Temp\OnboardLogs" /stypes="*4012*201703141*" /stext=" 17:.+((SYSTEM_STATE.+slice.+state.+changed )|(ment ac)|(multiple cpu faults)|(system.+state.+changed )|(\[timeout)|(PRM\|1\|D)|(kpr)|(kdp)|(\|lc)|(penalty))"</v>
      </c>
      <c r="U42" s="9" t="str">
        <f t="shared" si="2"/>
        <v>4012</v>
      </c>
      <c r="V42" s="32">
        <f t="shared" si="3"/>
        <v>42808.743946759256</v>
      </c>
      <c r="W42" s="46" t="str">
        <f t="shared" si="4"/>
        <v>NW</v>
      </c>
      <c r="X42" s="46" t="str">
        <f t="shared" si="5"/>
        <v>KEEP</v>
      </c>
      <c r="Y42" s="108" t="str">
        <f t="shared" si="6"/>
        <v>echo {"issue":{"subject":"Early arrival","project_id":79,"tracker_id":40,"status_id":1,"priority_id":2,"assigned_to_id":23,"start_date":"2017-03-14","description":"","custom_fields":[{"id":1,"name":"Subdivision","value":"NW"},{"id":4,"name":"Milepost","value":"1.0988"},{"id":17,"name":"Train ID","value":"818-14"},{"id":16,"name":"Locomotive ID","value":"4012"},{"id":130,"name":"Impact","value":""},{"id":150,"name":"Time of Event (Mountain Time)","value":"11:51:17"},{"id":151,"name":"Denver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9"/>
        <v>grep -hSE -A400 "Enforcement Action" "%USERPROFILE%\AppData\Local\Temp\OnboardLogs"\RTDC4012\*4012*201703141*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"%USERPROFILE%\AppData\Local\Temp\OnboardLogs"\RTDC4012\*4012*201703141* &gt;&gt; 2017-03-14-SliceDisagreementCheck.txt</v>
      </c>
      <c r="AE42" s="157" t="str">
        <f t="shared" si="8"/>
        <v>start /low /b %USERPROFILE%\Documents\GitHub\eaglep3\Utilities\DownloadLogsFromS3.py --loco 4012 --day 2017-03-14</v>
      </c>
      <c r="AF42" s="1"/>
    </row>
    <row r="43" spans="1:32" x14ac:dyDescent="0.25">
      <c r="A43" s="32">
        <v>42808.413506944446</v>
      </c>
      <c r="B43" s="30" t="s">
        <v>222</v>
      </c>
      <c r="C43" s="30" t="s">
        <v>569</v>
      </c>
      <c r="D43" s="30" t="s">
        <v>49</v>
      </c>
      <c r="E43" s="30" t="s">
        <v>186</v>
      </c>
      <c r="F43" s="43">
        <v>0</v>
      </c>
      <c r="G43" s="43">
        <v>152</v>
      </c>
      <c r="H43" s="43">
        <v>1525</v>
      </c>
      <c r="I43" s="43">
        <v>1280</v>
      </c>
      <c r="J43" s="30" t="s">
        <v>187</v>
      </c>
      <c r="K43" s="43">
        <v>575</v>
      </c>
      <c r="L43" s="143" t="s">
        <v>51</v>
      </c>
      <c r="M43" s="144">
        <f t="shared" si="0"/>
        <v>372.24</v>
      </c>
      <c r="N43" s="145" t="str">
        <f>VLOOKUP(C43,'Trips&amp;Operators'!$C$1:$G$99999,5,FALSE)</f>
        <v>BROWN JACOB</v>
      </c>
      <c r="O43" s="194" t="s">
        <v>185</v>
      </c>
      <c r="P43" s="146"/>
      <c r="Q43" s="30"/>
      <c r="R43" s="89" t="e">
        <f>IF(VLOOKUP(C43,'Train Runs'!$A$13:$AE$9945,1,1)=C43,VLOOKUP(C43,'Train Runs'!$A$13:$AE$9945,31,1),NA())</f>
        <v>#N/A</v>
      </c>
      <c r="S43" s="92" t="e">
        <f>IF(VLOOKUP(C43,'Train Runs'!$A$13:$AE$9945,1,1)=C43,VLOOKUP(C43,'Train Runs'!$A$13:$AE$9945,22,1),NA())</f>
        <v>#N/A</v>
      </c>
      <c r="T43" s="94" t="str">
        <f t="shared" si="1"/>
        <v>"C:\Program Files (x86)\AstroGrep\AstroGrep.exe" /e /r /s /spath="%USERPROFILE%\AppData\Local\Temp\OnboardLogs" /stypes="*4012*201703141*" /stext=" 15:.+((SYSTEM_STATE.+slice.+state.+changed )|(ment ac)|(multiple cpu faults)|(system.+state.+changed )|(\[timeout)|(PRM\|1\|D)|(kpr)|(kdp)|(\|lc)|(penalty))"</v>
      </c>
      <c r="U43" s="9" t="str">
        <f t="shared" si="2"/>
        <v>4012</v>
      </c>
      <c r="V43" s="32">
        <f t="shared" si="3"/>
        <v>42808.663506944446</v>
      </c>
      <c r="W43" s="46" t="str">
        <f t="shared" si="4"/>
        <v>NW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{"issue":{"subject":"","project_id":79,"tracker_id":40,"status_id":1,"priority_id":2,"assigned_to_id":23,"start_date":"2017-03-14","description":"","custom_fields":[{"id":1,"name":"Subdivision","value":"NW"},{"id":4,"name":"Milepost","value":"0.0575"},{"id":17,"name":"Train ID","value":"814-14"},{"id":16,"name":"Locomotive ID","value":"4012"},{"id":130,"name":"Impact","value":""},{"id":150,"name":"Time of Event (Mountain Time)","value":"09:55:27"},{"id":151,"name":"Denver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9"/>
        <v>grep -hSE -A400 "Enforcement Action" "%USERPROFILE%\AppData\Local\Temp\OnboardLogs"\RTDC4012\*4012*201703141*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"%USERPROFILE%\AppData\Local\Temp\OnboardLogs"\RTDC4012\*4012*201703141* &gt;&gt; 2017-03-14-SliceDisagreementCheck.txt</v>
      </c>
      <c r="AE43" s="157" t="str">
        <f t="shared" si="8"/>
        <v>start /low /b %USERPROFILE%\Documents\GitHub\eaglep3\Utilities\DownloadLogsFromS3.py --loco 4012 --day 2017-03-14</v>
      </c>
      <c r="AF43" s="1"/>
    </row>
    <row r="44" spans="1:32" x14ac:dyDescent="0.25">
      <c r="A44" s="32">
        <v>42808.454895833333</v>
      </c>
      <c r="B44" s="30" t="s">
        <v>222</v>
      </c>
      <c r="C44" s="30" t="s">
        <v>571</v>
      </c>
      <c r="D44" s="30" t="s">
        <v>49</v>
      </c>
      <c r="E44" s="30" t="s">
        <v>186</v>
      </c>
      <c r="F44" s="43">
        <v>0</v>
      </c>
      <c r="G44" s="43">
        <v>53</v>
      </c>
      <c r="H44" s="43">
        <v>761</v>
      </c>
      <c r="I44" s="43">
        <v>717</v>
      </c>
      <c r="J44" s="30" t="s">
        <v>187</v>
      </c>
      <c r="K44" s="43">
        <v>575</v>
      </c>
      <c r="L44" s="143" t="s">
        <v>51</v>
      </c>
      <c r="M44" s="144">
        <f t="shared" si="0"/>
        <v>74.975999999999999</v>
      </c>
      <c r="N44" s="145" t="str">
        <f>VLOOKUP(C44,'Trips&amp;Operators'!$C$1:$G$99999,5,FALSE)</f>
        <v>BROWN JACOB</v>
      </c>
      <c r="O44" s="194" t="s">
        <v>185</v>
      </c>
      <c r="P44" s="146"/>
      <c r="Q44" s="30"/>
      <c r="R44" s="89" t="e">
        <f>IF(VLOOKUP(C44,'Train Runs'!$A$13:$AE$9945,1,1)=C44,VLOOKUP(C44,'Train Runs'!$A$13:$AE$9945,31,1),NA())</f>
        <v>#N/A</v>
      </c>
      <c r="S44" s="92" t="e">
        <f>IF(VLOOKUP(C44,'Train Runs'!$A$13:$AE$9945,1,1)=C44,VLOOKUP(C44,'Train Runs'!$A$13:$AE$9945,22,1),NA())</f>
        <v>#N/A</v>
      </c>
      <c r="T44" s="94" t="str">
        <f t="shared" si="1"/>
        <v>"C:\Program Files (x86)\AstroGrep\AstroGrep.exe" /e /r /s /spath="%USERPROFILE%\AppData\Local\Temp\OnboardLogs" /stypes="*4012*201703141*" /stext=" 16:.+((SYSTEM_STATE.+slice.+state.+changed )|(ment ac)|(multiple cpu faults)|(system.+state.+changed )|(\[timeout)|(PRM\|1\|D)|(kpr)|(kdp)|(\|lc)|(penalty))"</v>
      </c>
      <c r="U44" s="9" t="str">
        <f t="shared" si="2"/>
        <v>4012</v>
      </c>
      <c r="V44" s="32">
        <f t="shared" si="3"/>
        <v>42808.704895833333</v>
      </c>
      <c r="W44" s="46" t="str">
        <f t="shared" si="4"/>
        <v>NW</v>
      </c>
      <c r="X44" s="46" t="str">
        <f t="shared" si="5"/>
        <v>KEEP</v>
      </c>
      <c r="Y44" s="108" t="str">
        <f t="shared" si="6"/>
        <v>echo {"issue":{"subject":"","project_id":79,"tracker_id":40,"status_id":1,"priority_id":2,"assigned_to_id":23,"start_date":"2017-03-14","description":"","custom_fields":[{"id":1,"name":"Subdivision","value":"NW"},{"id":4,"name":"Milepost","value":"0.0575"},{"id":17,"name":"Train ID","value":"816-14"},{"id":16,"name":"Locomotive ID","value":"4012"},{"id":130,"name":"Impact","value":""},{"id":150,"name":"Time of Event (Mountain Time)","value":"10:55:03"},{"id":151,"name":"Denver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9"/>
        <v>grep -hSE -A400 "Enforcement Action" "%USERPROFILE%\AppData\Local\Temp\OnboardLogs"\RTDC4012\*4012*201703141*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"%USERPROFILE%\AppData\Local\Temp\OnboardLogs"\RTDC4012\*4012*201703141* &gt;&gt; 2017-03-14-SliceDisagreementCheck.txt</v>
      </c>
      <c r="AE44" s="157" t="str">
        <f t="shared" si="8"/>
        <v>start /low /b %USERPROFILE%\Documents\GitHub\eaglep3\Utilities\DownloadLogsFromS3.py --loco 4012 --day 2017-03-14</v>
      </c>
      <c r="AF44" s="1"/>
    </row>
    <row r="45" spans="1:32" x14ac:dyDescent="0.25">
      <c r="A45" s="32">
        <v>42808.579594907409</v>
      </c>
      <c r="B45" s="30" t="s">
        <v>222</v>
      </c>
      <c r="C45" s="30" t="s">
        <v>581</v>
      </c>
      <c r="D45" s="30" t="s">
        <v>49</v>
      </c>
      <c r="E45" s="30" t="s">
        <v>186</v>
      </c>
      <c r="F45" s="43">
        <v>0</v>
      </c>
      <c r="G45" s="43">
        <v>44</v>
      </c>
      <c r="H45" s="43">
        <v>729</v>
      </c>
      <c r="I45" s="43">
        <v>685</v>
      </c>
      <c r="J45" s="30" t="s">
        <v>187</v>
      </c>
      <c r="K45" s="43">
        <v>575</v>
      </c>
      <c r="L45" s="143" t="s">
        <v>51</v>
      </c>
      <c r="M45" s="144">
        <f t="shared" si="0"/>
        <v>58.08</v>
      </c>
      <c r="N45" s="145" t="str">
        <f>VLOOKUP(C45,'Trips&amp;Operators'!$C$1:$G$99999,5,FALSE)</f>
        <v>LEVIN SCOTT</v>
      </c>
      <c r="O45" s="194" t="s">
        <v>185</v>
      </c>
      <c r="P45" s="146"/>
      <c r="Q45" s="30"/>
      <c r="R45" s="89" t="e">
        <f>IF(VLOOKUP(C45,'Train Runs'!$A$13:$AE$9945,1,1)=C45,VLOOKUP(C45,'Train Runs'!$A$13:$AE$9945,31,1),NA())</f>
        <v>#N/A</v>
      </c>
      <c r="S45" s="92" t="e">
        <f>IF(VLOOKUP(C45,'Train Runs'!$A$13:$AE$9945,1,1)=C45,VLOOKUP(C45,'Train Runs'!$A$13:$AE$9945,22,1),NA())</f>
        <v>#N/A</v>
      </c>
      <c r="T45" s="94" t="str">
        <f t="shared" si="1"/>
        <v>"C:\Program Files (x86)\AstroGrep\AstroGrep.exe" /e /r /s /spath="%USERPROFILE%\AppData\Local\Temp\OnboardLogs" /stypes="*4012*201703141*" /stext=" 19:.+((SYSTEM_STATE.+slice.+state.+changed )|(ment ac)|(multiple cpu faults)|(system.+state.+changed )|(\[timeout)|(PRM\|1\|D)|(kpr)|(kdp)|(\|lc)|(penalty))"</v>
      </c>
      <c r="U45" s="9" t="str">
        <f t="shared" si="2"/>
        <v>4012</v>
      </c>
      <c r="V45" s="32">
        <f t="shared" si="3"/>
        <v>42808.829594907409</v>
      </c>
      <c r="W45" s="46" t="str">
        <f t="shared" si="4"/>
        <v>NW</v>
      </c>
      <c r="X45" s="46" t="str">
        <f t="shared" si="5"/>
        <v>KEEP</v>
      </c>
      <c r="Y45" s="108" t="str">
        <f t="shared" si="6"/>
        <v>echo {"issue":{"subject":"","project_id":79,"tracker_id":40,"status_id":1,"priority_id":2,"assigned_to_id":23,"start_date":"2017-03-14","description":"","custom_fields":[{"id":1,"name":"Subdivision","value":"NW"},{"id":4,"name":"Milepost","value":"0.0575"},{"id":17,"name":"Train ID","value":"822-14"},{"id":16,"name":"Locomotive ID","value":"4012"},{"id":130,"name":"Impact","value":""},{"id":150,"name":"Time of Event (Mountain Time)","value":"13:54:37"},{"id":151,"name":"Denver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9"/>
        <v>grep -hSE -A400 "Enforcement Action" "%USERPROFILE%\AppData\Local\Temp\OnboardLogs"\RTDC4012\*4012*201703141*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"%USERPROFILE%\AppData\Local\Temp\OnboardLogs"\RTDC4012\*4012*201703141* &gt;&gt; 2017-03-14-SliceDisagreementCheck.txt</v>
      </c>
      <c r="AE45" s="157" t="str">
        <f t="shared" si="8"/>
        <v>start /low /b %USERPROFILE%\Documents\GitHub\eaglep3\Utilities\DownloadLogsFromS3.py --loco 4012 --day 2017-03-14</v>
      </c>
      <c r="AF45" s="1"/>
    </row>
    <row r="46" spans="1:32" x14ac:dyDescent="0.25">
      <c r="A46" s="32">
        <v>42808.705127314817</v>
      </c>
      <c r="B46" s="30" t="s">
        <v>222</v>
      </c>
      <c r="C46" s="30" t="s">
        <v>588</v>
      </c>
      <c r="D46" s="30" t="s">
        <v>49</v>
      </c>
      <c r="E46" s="30" t="s">
        <v>186</v>
      </c>
      <c r="F46" s="43">
        <v>0</v>
      </c>
      <c r="G46" s="43">
        <v>49</v>
      </c>
      <c r="H46" s="43">
        <v>748</v>
      </c>
      <c r="I46" s="43">
        <v>705</v>
      </c>
      <c r="J46" s="30" t="s">
        <v>187</v>
      </c>
      <c r="K46" s="43">
        <v>575</v>
      </c>
      <c r="L46" s="143" t="s">
        <v>51</v>
      </c>
      <c r="M46" s="144">
        <f t="shared" si="0"/>
        <v>68.64</v>
      </c>
      <c r="N46" s="145" t="str">
        <f>VLOOKUP(C46,'Trips&amp;Operators'!$C$1:$G$99999,5,FALSE)</f>
        <v>LEVIN SCOTT</v>
      </c>
      <c r="O46" s="194" t="s">
        <v>185</v>
      </c>
      <c r="P46" s="146"/>
      <c r="Q46" s="30"/>
      <c r="R46" s="89" t="e">
        <f>IF(VLOOKUP(C46,'Train Runs'!$A$13:$AE$9945,1,1)=C46,VLOOKUP(C46,'Train Runs'!$A$13:$AE$9945,31,1),NA())</f>
        <v>#N/A</v>
      </c>
      <c r="S46" s="92" t="e">
        <f>IF(VLOOKUP(C46,'Train Runs'!$A$13:$AE$9945,1,1)=C46,VLOOKUP(C46,'Train Runs'!$A$13:$AE$9945,22,1),NA())</f>
        <v>#N/A</v>
      </c>
      <c r="T46" s="94" t="str">
        <f t="shared" si="1"/>
        <v>"C:\Program Files (x86)\AstroGrep\AstroGrep.exe" /e /r /s /spath="%USERPROFILE%\AppData\Local\Temp\OnboardLogs" /stypes="*4012*201703142*" /stext=" 22:.+((SYSTEM_STATE.+slice.+state.+changed )|(ment ac)|(multiple cpu faults)|(system.+state.+changed )|(\[timeout)|(PRM\|1\|D)|(kpr)|(kdp)|(\|lc)|(penalty))"</v>
      </c>
      <c r="U46" s="9" t="str">
        <f t="shared" si="2"/>
        <v>4012</v>
      </c>
      <c r="V46" s="32">
        <f t="shared" si="3"/>
        <v>42808.955127314817</v>
      </c>
      <c r="W46" s="46" t="str">
        <f t="shared" si="4"/>
        <v>NW</v>
      </c>
      <c r="X46" s="46" t="str">
        <f t="shared" si="5"/>
        <v>KEEP</v>
      </c>
      <c r="Y46" s="108" t="str">
        <f t="shared" si="6"/>
        <v>echo {"issue":{"subject":"","project_id":79,"tracker_id":40,"status_id":1,"priority_id":2,"assigned_to_id":23,"start_date":"2017-03-14","description":"","custom_fields":[{"id":1,"name":"Subdivision","value":"NW"},{"id":4,"name":"Milepost","value":"0.0575"},{"id":17,"name":"Train ID","value":"830-14"},{"id":16,"name":"Locomotive ID","value":"4012"},{"id":130,"name":"Impact","value":""},{"id":150,"name":"Time of Event (Mountain Time)","value":"16:55:23"},{"id":151,"name":"Denver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9"/>
        <v>grep -hSE -A400 "Enforcement Action" "%USERPROFILE%\AppData\Local\Temp\OnboardLogs"\RTDC4012\*4012*201703142*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"%USERPROFILE%\AppData\Local\Temp\OnboardLogs"\RTDC4012\*4012*201703142* &gt;&gt; 2017-03-14-SliceDisagreementCheck.txt</v>
      </c>
      <c r="AE46" s="157" t="str">
        <f t="shared" si="8"/>
        <v>start /low /b %USERPROFILE%\Documents\GitHub\eaglep3\Utilities\DownloadLogsFromS3.py --loco 4012 --day 2017-03-14</v>
      </c>
      <c r="AF46" s="1"/>
    </row>
    <row r="47" spans="1:32" x14ac:dyDescent="0.25">
      <c r="A47" s="32">
        <v>42808.44902777778</v>
      </c>
      <c r="B47" s="30" t="s">
        <v>570</v>
      </c>
      <c r="C47" s="30" t="s">
        <v>568</v>
      </c>
      <c r="D47" s="30" t="s">
        <v>49</v>
      </c>
      <c r="E47" s="30" t="s">
        <v>194</v>
      </c>
      <c r="F47" s="43">
        <v>340</v>
      </c>
      <c r="G47" s="43">
        <v>416</v>
      </c>
      <c r="H47" s="43">
        <v>8319</v>
      </c>
      <c r="I47" s="43">
        <v>9916</v>
      </c>
      <c r="J47" s="30" t="s">
        <v>195</v>
      </c>
      <c r="K47" s="43">
        <v>10714</v>
      </c>
      <c r="L47" s="143" t="s">
        <v>50</v>
      </c>
      <c r="M47" s="144">
        <f t="shared" si="0"/>
        <v>421.34399999999999</v>
      </c>
      <c r="N47" s="145" t="str">
        <f>VLOOKUP(C47,'Trips&amp;Operators'!$C$1:$G$99999,5,FALSE)</f>
        <v>ARNOLD PAUL</v>
      </c>
      <c r="O47" s="194" t="s">
        <v>185</v>
      </c>
      <c r="P47" s="146"/>
      <c r="Q47" s="30"/>
      <c r="R47" s="89" t="e">
        <f>IF(VLOOKUP(C47,'Train Runs'!$A$13:$AE$9945,1,1)=C47,VLOOKUP(C47,'Train Runs'!$A$13:$AE$9945,31,1),NA())</f>
        <v>#N/A</v>
      </c>
      <c r="S47" s="92" t="e">
        <f>IF(VLOOKUP(C47,'Train Runs'!$A$13:$AE$9945,1,1)=C47,VLOOKUP(C47,'Train Runs'!$A$13:$AE$9945,22,1),NA())</f>
        <v>#N/A</v>
      </c>
      <c r="T47" s="94" t="str">
        <f t="shared" si="1"/>
        <v>"C:\Program Files (x86)\AstroGrep\AstroGrep.exe" /e /r /s /spath="%USERPROFILE%\AppData\Local\Temp\OnboardLogs" /stypes="*4024*201703141*" /stext=" 16:.+((SYSTEM_STATE.+slice.+state.+changed )|(ment ac)|(multiple cpu faults)|(system.+state.+changed )|(\[timeout)|(PRM\|1\|D)|(kpr)|(kdp)|(\|lc)|(penalty))"</v>
      </c>
      <c r="U47" s="9" t="str">
        <f t="shared" si="2"/>
        <v>4024</v>
      </c>
      <c r="V47" s="32">
        <f t="shared" si="3"/>
        <v>42808.69902777778</v>
      </c>
      <c r="W47" s="46" t="str">
        <f t="shared" si="4"/>
        <v>Other</v>
      </c>
      <c r="X47" s="46" t="str">
        <f t="shared" si="5"/>
        <v>KEEP</v>
      </c>
      <c r="Y47" s="108" t="str">
        <f t="shared" si="6"/>
        <v>echo {"issue":{"subject":"","project_id":79,"tracker_id":40,"status_id":1,"priority_id":2,"assigned_to_id":23,"start_date":"2017-03-14","description":"","custom_fields":[{"id":1,"name":"Subdivision","value":"Other"},{"id":4,"name":"Milepost","value":"1.0714"},{"id":17,"name":"Train ID","value":"50-14"},{"id":16,"name":"Locomotive ID","value":"4024"},{"id":130,"name":"Impact","value":""},{"id":150,"name":"Time of Event (Mountain Time)","value":"10:46:36"},{"id":151,"name":"Denver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9"/>
        <v>grep -hSE -A400 "Enforcement Action" "%USERPROFILE%\AppData\Local\Temp\OnboardLogs"\RTDC4024\*4024*201703141*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"%USERPROFILE%\AppData\Local\Temp\OnboardLogs"\RTDC4024\*4024*201703141* &gt;&gt; 2017-03-14-SliceDisagreementCheck.txt</v>
      </c>
      <c r="AE47" s="157" t="str">
        <f t="shared" si="8"/>
        <v>start /low /b %USERPROFILE%\Documents\GitHub\eaglep3\Utilities\DownloadLogsFromS3.py --loco 4024 --day 2017-03-14</v>
      </c>
      <c r="AF47" s="1"/>
    </row>
    <row r="48" spans="1:32" x14ac:dyDescent="0.25">
      <c r="A48" s="32">
        <v>42808.479687500003</v>
      </c>
      <c r="B48" s="30" t="s">
        <v>570</v>
      </c>
      <c r="C48" s="30" t="s">
        <v>568</v>
      </c>
      <c r="D48" s="30" t="s">
        <v>49</v>
      </c>
      <c r="E48" s="30" t="s">
        <v>229</v>
      </c>
      <c r="F48" s="43">
        <v>300</v>
      </c>
      <c r="G48" s="43">
        <v>353</v>
      </c>
      <c r="H48" s="43">
        <v>19708</v>
      </c>
      <c r="I48" s="43">
        <v>20814</v>
      </c>
      <c r="J48" s="30" t="s">
        <v>230</v>
      </c>
      <c r="K48" s="43">
        <v>21299</v>
      </c>
      <c r="L48" s="143" t="s">
        <v>50</v>
      </c>
      <c r="M48" s="144">
        <f t="shared" si="0"/>
        <v>256.08</v>
      </c>
      <c r="N48" s="145" t="str">
        <f>VLOOKUP(C48,'Trips&amp;Operators'!$C$1:$G$99999,5,FALSE)</f>
        <v>ARNOLD PAUL</v>
      </c>
      <c r="O48" s="194" t="s">
        <v>185</v>
      </c>
      <c r="P48" s="146"/>
      <c r="Q48" s="30"/>
      <c r="R48" s="89" t="e">
        <f>IF(VLOOKUP(C48,'Train Runs'!$A$13:$AE$9945,1,1)=C48,VLOOKUP(C48,'Train Runs'!$A$13:$AE$9945,31,1),NA())</f>
        <v>#N/A</v>
      </c>
      <c r="S48" s="92" t="e">
        <f>IF(VLOOKUP(C48,'Train Runs'!$A$13:$AE$9945,1,1)=C48,VLOOKUP(C48,'Train Runs'!$A$13:$AE$9945,22,1),NA())</f>
        <v>#N/A</v>
      </c>
      <c r="T48" s="94" t="str">
        <f t="shared" si="1"/>
        <v>"C:\Program Files (x86)\AstroGrep\AstroGrep.exe" /e /r /s /spath="%USERPROFILE%\AppData\Local\Temp\OnboardLogs" /stypes="*4024*201703141*" /stext=" 17:.+((SYSTEM_STATE.+slice.+state.+changed )|(ment ac)|(multiple cpu faults)|(system.+state.+changed )|(\[timeout)|(PRM\|1\|D)|(kpr)|(kdp)|(\|lc)|(penalty))"</v>
      </c>
      <c r="U48" s="9" t="str">
        <f t="shared" si="2"/>
        <v>4024</v>
      </c>
      <c r="V48" s="32">
        <f t="shared" si="3"/>
        <v>42808.729687500003</v>
      </c>
      <c r="W48" s="46" t="str">
        <f t="shared" si="4"/>
        <v>Other</v>
      </c>
      <c r="X48" s="46" t="str">
        <f t="shared" si="5"/>
        <v>KEEP</v>
      </c>
      <c r="Y48" s="108" t="str">
        <f t="shared" si="6"/>
        <v>echo {"issue":{"subject":"","project_id":79,"tracker_id":40,"status_id":1,"priority_id":2,"assigned_to_id":23,"start_date":"2017-03-14","description":"","custom_fields":[{"id":1,"name":"Subdivision","value":"Other"},{"id":4,"name":"Milepost","value":"2.1299"},{"id":17,"name":"Train ID","value":"50-14"},{"id":16,"name":"Locomotive ID","value":"4024"},{"id":130,"name":"Impact","value":""},{"id":150,"name":"Time of Event (Mountain Time)","value":"11:30:45"},{"id":151,"name":"Denver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9"/>
        <v>grep -hSE -A400 "Enforcement Action" "%USERPROFILE%\AppData\Local\Temp\OnboardLogs"\RTDC4024\*4024*201703141*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"%USERPROFILE%\AppData\Local\Temp\OnboardLogs"\RTDC4024\*4024*201703141* &gt;&gt; 2017-03-14-SliceDisagreementCheck.txt</v>
      </c>
      <c r="AE48" s="157" t="str">
        <f t="shared" si="8"/>
        <v>start /low /b %USERPROFILE%\Documents\GitHub\eaglep3\Utilities\DownloadLogsFromS3.py --loco 4024 --day 2017-03-14</v>
      </c>
      <c r="AF48" s="1"/>
    </row>
    <row r="49" spans="1:32" x14ac:dyDescent="0.25">
      <c r="A49" s="32">
        <v>42808.734398148146</v>
      </c>
      <c r="B49" s="30" t="s">
        <v>464</v>
      </c>
      <c r="C49" s="30" t="s">
        <v>590</v>
      </c>
      <c r="D49" s="30" t="s">
        <v>98</v>
      </c>
      <c r="E49" s="30" t="s">
        <v>398</v>
      </c>
      <c r="F49" s="43">
        <v>0</v>
      </c>
      <c r="G49" s="43">
        <v>58</v>
      </c>
      <c r="H49" s="43">
        <v>1766</v>
      </c>
      <c r="I49" s="43">
        <v>1871</v>
      </c>
      <c r="J49" s="30" t="s">
        <v>399</v>
      </c>
      <c r="K49" s="43">
        <v>1692</v>
      </c>
      <c r="L49" s="143" t="s">
        <v>50</v>
      </c>
      <c r="M49" s="144">
        <f t="shared" si="0"/>
        <v>-94.512</v>
      </c>
      <c r="N49" s="145" t="str">
        <f>VLOOKUP(C49,'Trips&amp;Operators'!$C$1:$G$99999,5,FALSE)</f>
        <v>MAYBERRY BILL</v>
      </c>
      <c r="O49" s="194" t="s">
        <v>185</v>
      </c>
      <c r="P49" s="146"/>
      <c r="Q49" s="30"/>
      <c r="R49" s="89" t="e">
        <f>IF(VLOOKUP(C49,'Train Runs'!$A$13:$AE$9945,1,1)=C49,VLOOKUP(C49,'Train Runs'!$A$13:$AE$9945,31,1),NA())</f>
        <v>#N/A</v>
      </c>
      <c r="S49" s="92" t="e">
        <f>IF(VLOOKUP(C49,'Train Runs'!$A$13:$AE$9945,1,1)=C49,VLOOKUP(C49,'Train Runs'!$A$13:$AE$9945,22,1),NA())</f>
        <v>#N/A</v>
      </c>
      <c r="T49" s="94" t="str">
        <f t="shared" si="1"/>
        <v>"C:\Program Files (x86)\AstroGrep\AstroGrep.exe" /e /r /s /spath="%USERPROFILE%\AppData\Local\Temp\OnboardLogs" /stypes="*4025*201703142*" /stext=" 23:.+((SYSTEM_STATE.+slice.+state.+changed )|(ment ac)|(multiple cpu faults)|(system.+state.+changed )|(\[timeout)|(PRM\|1\|D)|(kpr)|(kdp)|(\|lc)|(penalty))"</v>
      </c>
      <c r="U49" s="9" t="str">
        <f t="shared" si="2"/>
        <v>4025</v>
      </c>
      <c r="V49" s="32">
        <f t="shared" si="3"/>
        <v>42808.984398148146</v>
      </c>
      <c r="W49" s="46" t="str">
        <f t="shared" si="4"/>
        <v>Other</v>
      </c>
      <c r="X49" s="46" t="str">
        <f t="shared" si="5"/>
        <v>KEEP</v>
      </c>
      <c r="Y49" s="108" t="str">
        <f t="shared" si="6"/>
        <v>echo {"issue":{"subject":"","project_id":79,"tracker_id":40,"status_id":1,"priority_id":2,"assigned_to_id":23,"start_date":"2017-03-14","description":"","custom_fields":[{"id":1,"name":"Subdivision","value":"Other"},{"id":4,"name":"Milepost","value":"0.1692"},{"id":17,"name":"Train ID","value":"71-14"},{"id":16,"name":"Locomotive ID","value":"4025"},{"id":130,"name":"Impact","value":""},{"id":150,"name":"Time of Event (Mountain Time)","value":"17:37:32"},{"id":151,"name":"Denver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>"grep -hSE -A400 ""Enforcement Action"" "&amp;search_path&amp;"\RTDC"&amp;U49&amp;"\*"&amp;U49&amp;"*"&amp;TEXT(A49-utc_offset/24,"YYYYMMDD")&amp;LEFT(TEXT(A49-utc_offset/24,"HH"),1)&amp;"* | grep -SE ""((Enforcement Ac)|(PRM))"" -"</f>
        <v>grep -hSE -A400 "Enforcement Action" "%USERPROFILE%\AppData\Local\Temp\OnboardLogs"\RTDC4025\*4025*201703142*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"%USERPROFILE%\AppData\Local\Temp\OnboardLogs"\RTDC4025\*4025*201703142* &gt;&gt; 2017-03-14-SliceDisagreementCheck.txt</v>
      </c>
      <c r="AE49" s="157" t="str">
        <f t="shared" si="8"/>
        <v>start /low /b %USERPROFILE%\Documents\GitHub\eaglep3\Utilities\DownloadLogsFromS3.py --loco 4025 --day 2017-03-14</v>
      </c>
      <c r="AF49" s="1"/>
    </row>
    <row r="50" spans="1:32" x14ac:dyDescent="0.25">
      <c r="A50" s="32">
        <v>42808.405532407407</v>
      </c>
      <c r="B50" s="30" t="s">
        <v>567</v>
      </c>
      <c r="C50" s="30" t="s">
        <v>568</v>
      </c>
      <c r="D50" s="30" t="s">
        <v>49</v>
      </c>
      <c r="E50" s="30" t="s">
        <v>398</v>
      </c>
      <c r="F50" s="43">
        <v>0</v>
      </c>
      <c r="G50" s="43">
        <v>100</v>
      </c>
      <c r="H50" s="43">
        <v>37928</v>
      </c>
      <c r="I50" s="43">
        <v>37779</v>
      </c>
      <c r="J50" s="30" t="s">
        <v>399</v>
      </c>
      <c r="K50" s="43">
        <v>37618</v>
      </c>
      <c r="L50" s="143" t="s">
        <v>51</v>
      </c>
      <c r="M50" s="144">
        <f t="shared" si="0"/>
        <v>85.007999999999996</v>
      </c>
      <c r="N50" s="145" t="str">
        <f>VLOOKUP(C50,'Trips&amp;Operators'!$C$1:$G$99999,5,FALSE)</f>
        <v>ARNOLD PAUL</v>
      </c>
      <c r="O50" s="194" t="s">
        <v>185</v>
      </c>
      <c r="P50" s="146"/>
      <c r="Q50" s="30"/>
      <c r="R50" s="89" t="e">
        <f>IF(VLOOKUP(C50,'Train Runs'!$A$13:$AE$9945,1,1)=C50,VLOOKUP(C50,'Train Runs'!$A$13:$AE$9945,31,1),NA())</f>
        <v>#N/A</v>
      </c>
      <c r="S50" s="92" t="e">
        <f>IF(VLOOKUP(C50,'Train Runs'!$A$13:$AE$9945,1,1)=C50,VLOOKUP(C50,'Train Runs'!$A$13:$AE$9945,22,1),NA())</f>
        <v>#N/A</v>
      </c>
      <c r="T50" s="94" t="str">
        <f t="shared" si="1"/>
        <v>"C:\Program Files (x86)\AstroGrep\AstroGrep.exe" /e /r /s /spath="%USERPROFILE%\AppData\Local\Temp\OnboardLogs" /stypes="*4023*201703141*" /stext=" 15:.+((SYSTEM_STATE.+slice.+state.+changed )|(ment ac)|(multiple cpu faults)|(system.+state.+changed )|(\[timeout)|(PRM\|1\|D)|(kpr)|(kdp)|(\|lc)|(penalty))"</v>
      </c>
      <c r="U50" s="9" t="str">
        <f t="shared" si="2"/>
        <v>4023</v>
      </c>
      <c r="V50" s="32">
        <f t="shared" si="3"/>
        <v>42808.655532407407</v>
      </c>
      <c r="W50" s="46" t="str">
        <f t="shared" si="4"/>
        <v>Other</v>
      </c>
      <c r="X50" s="46" t="str">
        <f t="shared" si="5"/>
        <v>KEEP</v>
      </c>
      <c r="Y50" s="108" t="str">
        <f t="shared" si="6"/>
        <v>echo {"issue":{"subject":"","project_id":79,"tracker_id":40,"status_id":1,"priority_id":2,"assigned_to_id":23,"start_date":"2017-03-14","description":"","custom_fields":[{"id":1,"name":"Subdivision","value":"Other"},{"id":4,"name":"Milepost","value":"3.7618"},{"id":17,"name":"Train ID","value":"50-14"},{"id":16,"name":"Locomotive ID","value":"4023"},{"id":130,"name":"Impact","value":""},{"id":150,"name":"Time of Event (Mountain Time)","value":"09:43:58"},{"id":151,"name":"Denver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9"/>
        <v>grep -hSE -A400 "Enforcement Action" "%USERPROFILE%\AppData\Local\Temp\OnboardLogs"\RTDC4023\*4023*201703141*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"%USERPROFILE%\AppData\Local\Temp\OnboardLogs"\RTDC4023\*4023*201703141* &gt;&gt; 2017-03-14-SliceDisagreementCheck.txt</v>
      </c>
      <c r="AE50" s="157" t="str">
        <f t="shared" si="8"/>
        <v>start /low /b %USERPROFILE%\Documents\GitHub\eaglep3\Utilities\DownloadLogsFromS3.py --loco 4023 --day 2017-03-14</v>
      </c>
      <c r="AF50" s="1"/>
    </row>
    <row r="51" spans="1:32" x14ac:dyDescent="0.25">
      <c r="A51" s="32">
        <v>42808.750428240739</v>
      </c>
      <c r="B51" s="30" t="s">
        <v>239</v>
      </c>
      <c r="C51" s="30" t="s">
        <v>591</v>
      </c>
      <c r="D51" s="30" t="s">
        <v>49</v>
      </c>
      <c r="E51" s="30" t="s">
        <v>186</v>
      </c>
      <c r="F51" s="43">
        <v>0</v>
      </c>
      <c r="G51" s="43">
        <v>25</v>
      </c>
      <c r="H51" s="43">
        <v>75</v>
      </c>
      <c r="I51" s="43">
        <v>50</v>
      </c>
      <c r="J51" s="30" t="s">
        <v>187</v>
      </c>
      <c r="K51" s="43">
        <v>1</v>
      </c>
      <c r="L51" s="143" t="s">
        <v>51</v>
      </c>
      <c r="M51" s="144">
        <f t="shared" si="0"/>
        <v>25.872</v>
      </c>
      <c r="N51" s="145" t="str">
        <f>VLOOKUP(C51,'Trips&amp;Operators'!$C$1:$G$99999,5,FALSE)</f>
        <v>STORY SAMANTHA</v>
      </c>
      <c r="O51" s="194" t="s">
        <v>185</v>
      </c>
      <c r="P51" s="146"/>
      <c r="Q51" s="30"/>
      <c r="R51" s="89" t="e">
        <f>IF(VLOOKUP(C51,'Train Runs'!$A$13:$AE$9945,1,1)=C51,VLOOKUP(C51,'Train Runs'!$A$13:$AE$9945,31,1),NA())</f>
        <v>#N/A</v>
      </c>
      <c r="S51" s="92" t="e">
        <f>IF(VLOOKUP(C51,'Train Runs'!$A$13:$AE$9945,1,1)=C51,VLOOKUP(C51,'Train Runs'!$A$13:$AE$9945,22,1),NA())</f>
        <v>#N/A</v>
      </c>
      <c r="T51" s="94" t="str">
        <f t="shared" si="1"/>
        <v>"C:\Program Files (x86)\AstroGrep\AstroGrep.exe" /e /r /s /spath="%USERPROFILE%\AppData\Local\Temp\OnboardLogs" /stypes="*4013*201703150*" /stext=" 00:.+((SYSTEM_STATE.+slice.+state.+changed )|(ment ac)|(multiple cpu faults)|(system.+state.+changed )|(\[timeout)|(PRM\|1\|D)|(kpr)|(kdp)|(\|lc)|(penalty))"</v>
      </c>
      <c r="U51" s="9" t="str">
        <f t="shared" si="2"/>
        <v>4013</v>
      </c>
      <c r="V51" s="32">
        <f t="shared" si="3"/>
        <v>42809.000428240739</v>
      </c>
      <c r="W51" s="46" t="str">
        <f t="shared" si="4"/>
        <v>Other</v>
      </c>
      <c r="X51" s="46" t="str">
        <f t="shared" si="5"/>
        <v>KEEP</v>
      </c>
      <c r="Y51" s="108" t="str">
        <f t="shared" si="6"/>
        <v>echo {"issue":{"subject":"","project_id":79,"tracker_id":40,"status_id":1,"priority_id":2,"assigned_to_id":23,"start_date":"2017-03-14","description":"","custom_fields":[{"id":1,"name":"Subdivision","value":"Other"},{"id":4,"name":"Milepost","value":"0.0001"},{"id":17,"name":"Train ID","value":"56-14"},{"id":16,"name":"Locomotive ID","value":"4013"},{"id":130,"name":"Impact","value":""},{"id":150,"name":"Time of Event (Mountain Time)","value":"18:00:37"},{"id":151,"name":"Denver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9"/>
        <v>grep -hSE -A400 "Enforcement Action" "%USERPROFILE%\AppData\Local\Temp\OnboardLogs"\RTDC4013\*4013*201703150*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"%USERPROFILE%\AppData\Local\Temp\OnboardLogs"\RTDC4013\*4013*201703150* &gt;&gt; 2017-03-14-SliceDisagreementCheck.txt</v>
      </c>
      <c r="AE51" s="157" t="str">
        <f t="shared" si="8"/>
        <v>start /low /b %USERPROFILE%\Documents\GitHub\eaglep3\Utilities\DownloadLogsFromS3.py --loco 4013 --day 2017-03-15</v>
      </c>
      <c r="AF51" s="1"/>
    </row>
    <row r="52" spans="1:32" x14ac:dyDescent="0.25">
      <c r="A52" s="32">
        <v>42808.382048611114</v>
      </c>
      <c r="B52" s="30" t="s">
        <v>567</v>
      </c>
      <c r="C52" s="30" t="s">
        <v>568</v>
      </c>
      <c r="D52" s="30" t="s">
        <v>49</v>
      </c>
      <c r="E52" s="30" t="s">
        <v>186</v>
      </c>
      <c r="F52" s="43">
        <v>0</v>
      </c>
      <c r="G52" s="43">
        <v>16</v>
      </c>
      <c r="H52" s="43">
        <v>878</v>
      </c>
      <c r="I52" s="43">
        <v>863</v>
      </c>
      <c r="J52" s="30" t="s">
        <v>187</v>
      </c>
      <c r="K52" s="43">
        <v>826</v>
      </c>
      <c r="L52" s="143" t="s">
        <v>51</v>
      </c>
      <c r="M52" s="144">
        <f t="shared" si="0"/>
        <v>19.536000000000001</v>
      </c>
      <c r="N52" s="145" t="str">
        <f>VLOOKUP(C52,'Trips&amp;Operators'!$C$1:$G$99999,5,FALSE)</f>
        <v>ARNOLD PAUL</v>
      </c>
      <c r="O52" s="194" t="s">
        <v>185</v>
      </c>
      <c r="P52" s="146"/>
      <c r="Q52" s="30"/>
      <c r="R52" s="89" t="e">
        <f>IF(VLOOKUP(C52,'Train Runs'!$A$13:$AE$9945,1,1)=C52,VLOOKUP(C52,'Train Runs'!$A$13:$AE$9945,31,1),NA())</f>
        <v>#N/A</v>
      </c>
      <c r="S52" s="92" t="e">
        <f>IF(VLOOKUP(C52,'Train Runs'!$A$13:$AE$9945,1,1)=C52,VLOOKUP(C52,'Train Runs'!$A$13:$AE$9945,22,1),NA())</f>
        <v>#N/A</v>
      </c>
      <c r="T52" s="94" t="str">
        <f t="shared" si="1"/>
        <v>"C:\Program Files (x86)\AstroGrep\AstroGrep.exe" /e /r /s /spath="%USERPROFILE%\AppData\Local\Temp\OnboardLogs" /stypes="*4023*201703141*" /stext=" 15:.+((SYSTEM_STATE.+slice.+state.+changed )|(ment ac)|(multiple cpu faults)|(system.+state.+changed )|(\[timeout)|(PRM\|1\|D)|(kpr)|(kdp)|(\|lc)|(penalty))"</v>
      </c>
      <c r="U52" s="9" t="str">
        <f t="shared" si="2"/>
        <v>4023</v>
      </c>
      <c r="V52" s="32">
        <f t="shared" si="3"/>
        <v>42808.632048611114</v>
      </c>
      <c r="W52" s="46" t="str">
        <f t="shared" si="4"/>
        <v>Other</v>
      </c>
      <c r="X52" s="46" t="str">
        <f t="shared" si="5"/>
        <v>KEEP</v>
      </c>
      <c r="Y52" s="108" t="str">
        <f t="shared" si="6"/>
        <v>echo {"issue":{"subject":"","project_id":79,"tracker_id":40,"status_id":1,"priority_id":2,"assigned_to_id":23,"start_date":"2017-03-14","description":"","custom_fields":[{"id":1,"name":"Subdivision","value":"Other"},{"id":4,"name":"Milepost","value":"0.0826"},{"id":17,"name":"Train ID","value":"50-14"},{"id":16,"name":"Locomotive ID","value":"4023"},{"id":130,"name":"Impact","value":""},{"id":150,"name":"Time of Event (Mountain Time)","value":"09:10:09"},{"id":151,"name":"Denver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9"/>
        <v>grep -hSE -A400 "Enforcement Action" "%USERPROFILE%\AppData\Local\Temp\OnboardLogs"\RTDC4023\*4023*201703141*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"%USERPROFILE%\AppData\Local\Temp\OnboardLogs"\RTDC4023\*4023*201703141* &gt;&gt; 2017-03-14-SliceDisagreementCheck.txt</v>
      </c>
      <c r="AE52" s="157" t="str">
        <f t="shared" si="8"/>
        <v>start /low /b %USERPROFILE%\Documents\GitHub\eaglep3\Utilities\DownloadLogsFromS3.py --loco 4023 --day 2017-03-14</v>
      </c>
      <c r="AF52" s="1"/>
    </row>
    <row r="53" spans="1:32" x14ac:dyDescent="0.25">
      <c r="A53" s="32">
        <v>42808.851087962961</v>
      </c>
      <c r="B53" s="30" t="s">
        <v>432</v>
      </c>
      <c r="C53" s="30" t="s">
        <v>597</v>
      </c>
      <c r="D53" s="30" t="s">
        <v>49</v>
      </c>
      <c r="E53" s="30" t="s">
        <v>186</v>
      </c>
      <c r="F53" s="43">
        <v>0</v>
      </c>
      <c r="G53" s="43">
        <v>112</v>
      </c>
      <c r="H53" s="43">
        <v>1517</v>
      </c>
      <c r="I53" s="43">
        <v>1393</v>
      </c>
      <c r="J53" s="30" t="s">
        <v>187</v>
      </c>
      <c r="K53" s="43">
        <v>826</v>
      </c>
      <c r="L53" s="143" t="s">
        <v>51</v>
      </c>
      <c r="M53" s="144">
        <f t="shared" si="0"/>
        <v>299.37599999999998</v>
      </c>
      <c r="N53" s="145" t="str">
        <f>VLOOKUP(C53,'Trips&amp;Operators'!$C$1:$G$99999,5,FALSE)</f>
        <v>YANG JAN</v>
      </c>
      <c r="O53" s="194" t="s">
        <v>185</v>
      </c>
      <c r="P53" s="146"/>
      <c r="Q53" s="30"/>
      <c r="R53" s="89" t="e">
        <f>IF(VLOOKUP(C53,'Train Runs'!$A$13:$AE$9945,1,1)=C53,VLOOKUP(C53,'Train Runs'!$A$13:$AE$9945,31,1),NA())</f>
        <v>#N/A</v>
      </c>
      <c r="S53" s="92" t="e">
        <f>IF(VLOOKUP(C53,'Train Runs'!$A$13:$AE$9945,1,1)=C53,VLOOKUP(C53,'Train Runs'!$A$13:$AE$9945,22,1),NA())</f>
        <v>#N/A</v>
      </c>
      <c r="T53" s="94" t="str">
        <f t="shared" si="1"/>
        <v>"C:\Program Files (x86)\AstroGrep\AstroGrep.exe" /e /r /s /spath="%USERPROFILE%\AppData\Local\Temp\OnboardLogs" /stypes="*4064*201703150*" /stext=" 02:.+((SYSTEM_STATE.+slice.+state.+changed )|(ment ac)|(multiple cpu faults)|(system.+state.+changed )|(\[timeout)|(PRM\|1\|D)|(kpr)|(kdp)|(\|lc)|(penalty))"</v>
      </c>
      <c r="U53" s="9" t="str">
        <f t="shared" si="2"/>
        <v>4064</v>
      </c>
      <c r="V53" s="32">
        <f t="shared" si="3"/>
        <v>42809.101087962961</v>
      </c>
      <c r="W53" s="46" t="str">
        <f t="shared" si="4"/>
        <v>Other</v>
      </c>
      <c r="X53" s="46" t="str">
        <f t="shared" si="5"/>
        <v>KEEP</v>
      </c>
      <c r="Y53" s="108" t="str">
        <f t="shared" si="6"/>
        <v>echo {"issue":{"subject":"","project_id":79,"tracker_id":40,"status_id":1,"priority_id":2,"assigned_to_id":23,"start_date":"2017-03-14","description":"","custom_fields":[{"id":1,"name":"Subdivision","value":"Other"},{"id":4,"name":"Milepost","value":"0.0826"},{"id":17,"name":"Train ID","value":"80-14"},{"id":16,"name":"Locomotive ID","value":"4064"},{"id":130,"name":"Impact","value":""},{"id":150,"name":"Time of Event (Mountain Time)","value":"20:25:34"},{"id":151,"name":"Denver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9"/>
        <v>grep -hSE -A400 "Enforcement Action" "%USERPROFILE%\AppData\Local\Temp\OnboardLogs"\RTDC4064\*4064*201703150*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"%USERPROFILE%\AppData\Local\Temp\OnboardLogs"\RTDC4064\*4064*201703150* &gt;&gt; 2017-03-14-SliceDisagreementCheck.txt</v>
      </c>
      <c r="AE53" s="157" t="str">
        <f t="shared" si="8"/>
        <v>start /low /b %USERPROFILE%\Documents\GitHub\eaglep3\Utilities\DownloadLogsFromS3.py --loco 4064 --day 2017-03-15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53"/>
      <sortCondition ref="E7:E53"/>
      <sortCondition ref="K7:K53"/>
      <sortCondition ref="F7:F5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9"/>
  <sheetViews>
    <sheetView workbookViewId="0">
      <selection activeCell="E3" sqref="E3:E5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2017-03-14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-14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1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" s="30" t="e">
        <f>VLOOKUP(B3,'Train Runs'!$A$13:$A$99942,1,FALSE)</f>
        <v>#N/A</v>
      </c>
    </row>
    <row r="4" spans="1:10" x14ac:dyDescent="0.25">
      <c r="A4" s="185"/>
      <c r="B4" s="43" t="str">
        <f>A4&amp;"-"&amp;IF(DAY(Variables!$A$2)&lt;10,0,"")&amp;DAY(Variables!$A$2)</f>
        <v>-14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" s="30" t="e">
        <f>VLOOKUP(B4,'Train Runs'!$A$13:$A$99942,1,FALSE)</f>
        <v>#N/A</v>
      </c>
    </row>
    <row r="5" spans="1:10" x14ac:dyDescent="0.25">
      <c r="A5" s="185"/>
      <c r="B5" s="43" t="str">
        <f>A5&amp;"-"&amp;IF(DAY(Variables!$A$2)&lt;10,0,"")&amp;DAY(Variables!$A$2)</f>
        <v>-14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Runs'!$A$13:$A$99942,1,FALSE)</f>
        <v>#N/A</v>
      </c>
    </row>
    <row r="6" spans="1:10" x14ac:dyDescent="0.25">
      <c r="A6" s="185"/>
      <c r="B6" s="43" t="str">
        <f>A6&amp;"-"&amp;IF(DAY(Variables!$A$2)&lt;10,0,"")&amp;DAY(Variables!$A$2)</f>
        <v>-14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Runs'!$A$13:$A$99942,1,FALSE)</f>
        <v>#N/A</v>
      </c>
    </row>
    <row r="7" spans="1:10" x14ac:dyDescent="0.25">
      <c r="A7" s="185"/>
      <c r="B7" s="43" t="str">
        <f>A7&amp;"-"&amp;IF(DAY(Variables!$A$2)&lt;10,0,"")&amp;DAY(Variables!$A$2)</f>
        <v>-14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Runs'!$A$13:$A$99942,1,FALSE)</f>
        <v>#N/A</v>
      </c>
    </row>
    <row r="8" spans="1:10" x14ac:dyDescent="0.25">
      <c r="A8" s="185"/>
      <c r="B8" s="43" t="str">
        <f>A8&amp;"-"&amp;IF(DAY(Variables!$A$2)&lt;10,0,"")&amp;DAY(Variables!$A$2)</f>
        <v>-14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Runs'!$A$13:$A$99942,1,FALSE)</f>
        <v>#N/A</v>
      </c>
    </row>
    <row r="9" spans="1:10" x14ac:dyDescent="0.25">
      <c r="A9" s="185"/>
      <c r="B9" s="43" t="str">
        <f>A9&amp;"-"&amp;IF(DAY(Variables!$A$2)&lt;10,0,"")&amp;DAY(Variables!$A$2)</f>
        <v>-14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Runs'!$A$13:$A$99942,1,FALSE)</f>
        <v>#N/A</v>
      </c>
    </row>
    <row r="10" spans="1:10" x14ac:dyDescent="0.25">
      <c r="A10" s="185"/>
      <c r="B10" s="43" t="str">
        <f>A10&amp;"-"&amp;IF(DAY(Variables!$A$2)&lt;10,0,"")&amp;DAY(Variables!$A$2)</f>
        <v>-14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Runs'!$A$13:$A$99942,1,FALSE)</f>
        <v>#N/A</v>
      </c>
    </row>
    <row r="11" spans="1:10" x14ac:dyDescent="0.25">
      <c r="A11" s="185"/>
      <c r="B11" s="43" t="str">
        <f>A11&amp;"-"&amp;IF(DAY(Variables!$A$2)&lt;10,0,"")&amp;DAY(Variables!$A$2)</f>
        <v>-14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Runs'!$A$13:$A$99942,1,FALSE)</f>
        <v>#N/A</v>
      </c>
    </row>
    <row r="12" spans="1:10" x14ac:dyDescent="0.25">
      <c r="A12" s="185"/>
      <c r="B12" s="43" t="str">
        <f>A12&amp;"-"&amp;IF(DAY(Variables!$A$2)&lt;10,0,"")&amp;DAY(Variables!$A$2)</f>
        <v>-14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Runs'!$A$13:$A$99942,1,FALSE)</f>
        <v>#N/A</v>
      </c>
    </row>
    <row r="13" spans="1:10" x14ac:dyDescent="0.25">
      <c r="A13" s="185"/>
      <c r="B13" s="43" t="str">
        <f>A13&amp;"-"&amp;IF(DAY(Variables!$A$2)&lt;10,0,"")&amp;DAY(Variables!$A$2)</f>
        <v>-14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Runs'!$A$13:$A$99942,1,FALSE)</f>
        <v>#N/A</v>
      </c>
    </row>
    <row r="14" spans="1:10" x14ac:dyDescent="0.25">
      <c r="A14" s="185"/>
      <c r="B14" s="43" t="str">
        <f>A14&amp;"-"&amp;IF(DAY(Variables!$A$2)&lt;10,0,"")&amp;DAY(Variables!$A$2)</f>
        <v>-14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ref="I14:I4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Runs'!$A$13:$A$99942,1,FALSE)</f>
        <v>#N/A</v>
      </c>
    </row>
    <row r="15" spans="1:10" x14ac:dyDescent="0.25">
      <c r="A15" s="185"/>
      <c r="B15" s="43" t="str">
        <f>A15&amp;"-"&amp;IF(DAY(Variables!$A$2)&lt;10,0,"")&amp;DAY(Variables!$A$2)</f>
        <v>-14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Runs'!$A$13:$A$99942,1,FALSE)</f>
        <v>#N/A</v>
      </c>
    </row>
    <row r="16" spans="1:10" x14ac:dyDescent="0.25">
      <c r="A16" s="185"/>
      <c r="B16" s="43" t="str">
        <f>A16&amp;"-"&amp;IF(DAY(Variables!$A$2)&lt;10,0,"")&amp;DAY(Variables!$A$2)</f>
        <v>-14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Runs'!$A$13:$A$99942,1,FALSE)</f>
        <v>#N/A</v>
      </c>
    </row>
    <row r="17" spans="1:10" x14ac:dyDescent="0.25">
      <c r="A17" s="185"/>
      <c r="B17" s="43" t="str">
        <f>A17&amp;"-"&amp;IF(DAY(Variables!$A$2)&lt;10,0,"")&amp;DAY(Variables!$A$2)</f>
        <v>-14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Runs'!$A$13:$A$99942,1,FALSE)</f>
        <v>#N/A</v>
      </c>
    </row>
    <row r="18" spans="1:10" x14ac:dyDescent="0.25">
      <c r="A18" s="185"/>
      <c r="B18" s="43" t="str">
        <f>A18&amp;"-"&amp;IF(DAY(Variables!$A$2)&lt;10,0,"")&amp;DAY(Variables!$A$2)</f>
        <v>-14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Runs'!$A$13:$A$99942,1,FALSE)</f>
        <v>#N/A</v>
      </c>
    </row>
    <row r="19" spans="1:10" x14ac:dyDescent="0.25">
      <c r="A19" s="185"/>
      <c r="B19" s="43" t="str">
        <f>A19&amp;"-"&amp;IF(DAY(Variables!$A$2)&lt;10,0,"")&amp;DAY(Variables!$A$2)</f>
        <v>-14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9" s="30" t="e">
        <f>VLOOKUP(B19,'Train Runs'!$A$13:$A$99942,1,FALSE)</f>
        <v>#N/A</v>
      </c>
    </row>
    <row r="20" spans="1:10" x14ac:dyDescent="0.25">
      <c r="A20" s="185"/>
      <c r="B20" s="43" t="str">
        <f>A20&amp;"-"&amp;IF(DAY(Variables!$A$2)&lt;10,0,"")&amp;DAY(Variables!$A$2)</f>
        <v>-14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0" s="30" t="e">
        <f>VLOOKUP(B20,'Train Runs'!$A$13:$A$99942,1,FALSE)</f>
        <v>#N/A</v>
      </c>
    </row>
    <row r="21" spans="1:10" x14ac:dyDescent="0.25">
      <c r="A21" s="185"/>
      <c r="B21" s="43" t="str">
        <f>A21&amp;"-"&amp;IF(DAY(Variables!$A$2)&lt;10,0,"")&amp;DAY(Variables!$A$2)</f>
        <v>-14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1" s="30" t="e">
        <f>VLOOKUP(B21,'Train Runs'!$A$13:$A$99942,1,FALSE)</f>
        <v>#N/A</v>
      </c>
    </row>
    <row r="22" spans="1:10" x14ac:dyDescent="0.25">
      <c r="A22" s="185"/>
      <c r="B22" s="43" t="str">
        <f>A22&amp;"-"&amp;IF(DAY(Variables!$A$2)&lt;10,0,"")&amp;DAY(Variables!$A$2)</f>
        <v>-14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2" s="30" t="e">
        <f>VLOOKUP(B22,'Train Runs'!$A$13:$A$99942,1,FALSE)</f>
        <v>#N/A</v>
      </c>
    </row>
    <row r="23" spans="1:10" x14ac:dyDescent="0.25">
      <c r="A23" s="185"/>
      <c r="B23" s="43" t="str">
        <f>A23&amp;"-"&amp;IF(DAY(Variables!$A$2)&lt;10,0,"")&amp;DAY(Variables!$A$2)</f>
        <v>-14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3" s="30" t="e">
        <f>VLOOKUP(B23,'Train Runs'!$A$13:$A$99942,1,FALSE)</f>
        <v>#N/A</v>
      </c>
    </row>
    <row r="24" spans="1:10" x14ac:dyDescent="0.25">
      <c r="A24" s="185"/>
      <c r="B24" s="43" t="str">
        <f>A24&amp;"-"&amp;IF(DAY(Variables!$A$2)&lt;10,0,"")&amp;DAY(Variables!$A$2)</f>
        <v>-14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4" s="30" t="e">
        <f>VLOOKUP(B24,'Train Runs'!$A$13:$A$99942,1,FALSE)</f>
        <v>#N/A</v>
      </c>
    </row>
    <row r="25" spans="1:10" x14ac:dyDescent="0.25">
      <c r="A25" s="185"/>
      <c r="B25" s="43" t="str">
        <f>A25&amp;"-"&amp;IF(DAY(Variables!$A$2)&lt;10,0,"")&amp;DAY(Variables!$A$2)</f>
        <v>-14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5" s="30" t="e">
        <f>VLOOKUP(B25,'Train Runs'!$A$13:$A$99942,1,FALSE)</f>
        <v>#N/A</v>
      </c>
    </row>
    <row r="26" spans="1:10" x14ac:dyDescent="0.25">
      <c r="A26" s="185"/>
      <c r="B26" s="43" t="str">
        <f>A26&amp;"-"&amp;IF(DAY(Variables!$A$2)&lt;10,0,"")&amp;DAY(Variables!$A$2)</f>
        <v>-14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6" s="30" t="e">
        <f>VLOOKUP(B26,'Train Runs'!$A$13:$A$99942,1,FALSE)</f>
        <v>#N/A</v>
      </c>
    </row>
    <row r="27" spans="1:10" x14ac:dyDescent="0.25">
      <c r="A27" s="185"/>
      <c r="B27" s="43" t="str">
        <f>A27&amp;"-"&amp;IF(DAY(Variables!$A$2)&lt;10,0,"")&amp;DAY(Variables!$A$2)</f>
        <v>-14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7" s="30" t="e">
        <f>VLOOKUP(B27,'Train Runs'!$A$13:$A$99942,1,FALSE)</f>
        <v>#N/A</v>
      </c>
    </row>
    <row r="28" spans="1:10" x14ac:dyDescent="0.25">
      <c r="A28" s="185"/>
      <c r="B28" s="43" t="str">
        <f>A28&amp;"-"&amp;IF(DAY(Variables!$A$2)&lt;10,0,"")&amp;DAY(Variables!$A$2)</f>
        <v>-14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8" s="30" t="e">
        <f>VLOOKUP(B28,'Train Runs'!$A$13:$A$99942,1,FALSE)</f>
        <v>#N/A</v>
      </c>
    </row>
    <row r="29" spans="1:10" x14ac:dyDescent="0.25">
      <c r="A29" s="185"/>
      <c r="B29" s="43" t="str">
        <f>A29&amp;"-"&amp;IF(DAY(Variables!$A$2)&lt;10,0,"")&amp;DAY(Variables!$A$2)</f>
        <v>-14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9" s="30" t="e">
        <f>VLOOKUP(B29,'Train Runs'!$A$13:$A$99942,1,FALSE)</f>
        <v>#N/A</v>
      </c>
    </row>
    <row r="30" spans="1:10" x14ac:dyDescent="0.25">
      <c r="A30" s="185"/>
      <c r="B30" s="43" t="str">
        <f>A30&amp;"-"&amp;IF(DAY(Variables!$A$2)&lt;10,0,"")&amp;DAY(Variables!$A$2)</f>
        <v>-14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0" s="30" t="e">
        <f>VLOOKUP(B30,'Train Runs'!$A$13:$A$99942,1,FALSE)</f>
        <v>#N/A</v>
      </c>
    </row>
    <row r="31" spans="1:10" x14ac:dyDescent="0.25">
      <c r="A31" s="185"/>
      <c r="B31" s="43" t="str">
        <f>A31&amp;"-"&amp;IF(DAY(Variables!$A$2)&lt;10,0,"")&amp;DAY(Variables!$A$2)</f>
        <v>-14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1" s="30" t="e">
        <f>VLOOKUP(B31,'Train Runs'!$A$13:$A$99942,1,FALSE)</f>
        <v>#N/A</v>
      </c>
    </row>
    <row r="32" spans="1:10" x14ac:dyDescent="0.25">
      <c r="A32" s="185"/>
      <c r="B32" s="43" t="str">
        <f>A32&amp;"-"&amp;IF(DAY(Variables!$A$2)&lt;10,0,"")&amp;DAY(Variables!$A$2)</f>
        <v>-14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2" s="30" t="e">
        <f>VLOOKUP(B32,'Train Runs'!$A$13:$A$99942,1,FALSE)</f>
        <v>#N/A</v>
      </c>
    </row>
    <row r="33" spans="1:10" x14ac:dyDescent="0.25">
      <c r="A33" s="185"/>
      <c r="B33" s="43" t="str">
        <f>A33&amp;"-"&amp;IF(DAY(Variables!$A$2)&lt;10,0,"")&amp;DAY(Variables!$A$2)</f>
        <v>-14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3" s="30" t="e">
        <f>VLOOKUP(B33,'Train Runs'!$A$13:$A$99942,1,FALSE)</f>
        <v>#N/A</v>
      </c>
    </row>
    <row r="34" spans="1:10" x14ac:dyDescent="0.25">
      <c r="A34" s="185"/>
      <c r="B34" s="43" t="str">
        <f>A34&amp;"-"&amp;IF(DAY(Variables!$A$2)&lt;10,0,"")&amp;DAY(Variables!$A$2)</f>
        <v>-14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4" s="30" t="e">
        <f>VLOOKUP(B34,'Train Runs'!$A$13:$A$99942,1,FALSE)</f>
        <v>#N/A</v>
      </c>
    </row>
    <row r="35" spans="1:10" x14ac:dyDescent="0.25">
      <c r="A35" s="185"/>
      <c r="B35" s="43" t="str">
        <f>A35&amp;"-"&amp;IF(DAY(Variables!$A$2)&lt;10,0,"")&amp;DAY(Variables!$A$2)</f>
        <v>-14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5" s="30" t="e">
        <f>VLOOKUP(B35,'Train Runs'!$A$13:$A$99942,1,FALSE)</f>
        <v>#N/A</v>
      </c>
    </row>
    <row r="36" spans="1:10" x14ac:dyDescent="0.25">
      <c r="A36" s="185"/>
      <c r="B36" s="43" t="str">
        <f>A36&amp;"-"&amp;IF(DAY(Variables!$A$2)&lt;10,0,"")&amp;DAY(Variables!$A$2)</f>
        <v>-14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6" s="30" t="e">
        <f>VLOOKUP(B36,'Train Runs'!$A$13:$A$99942,1,FALSE)</f>
        <v>#N/A</v>
      </c>
    </row>
    <row r="37" spans="1:10" x14ac:dyDescent="0.25">
      <c r="A37" s="185"/>
      <c r="B37" s="43" t="str">
        <f>A37&amp;"-"&amp;IF(DAY(Variables!$A$2)&lt;10,0,"")&amp;DAY(Variables!$A$2)</f>
        <v>-14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7" s="30" t="e">
        <f>VLOOKUP(B37,'Train Runs'!$A$13:$A$99942,1,FALSE)</f>
        <v>#N/A</v>
      </c>
    </row>
    <row r="38" spans="1:10" x14ac:dyDescent="0.25">
      <c r="A38" s="185"/>
      <c r="B38" s="43" t="str">
        <f>A38&amp;"-"&amp;IF(DAY(Variables!$A$2)&lt;10,0,"")&amp;DAY(Variables!$A$2)</f>
        <v>-14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8" s="30" t="e">
        <f>VLOOKUP(B38,'Train Runs'!$A$13:$A$99942,1,FALSE)</f>
        <v>#N/A</v>
      </c>
    </row>
    <row r="39" spans="1:10" x14ac:dyDescent="0.25">
      <c r="A39" s="185"/>
      <c r="B39" s="43" t="str">
        <f>A39&amp;"-"&amp;IF(DAY(Variables!$A$2)&lt;10,0,"")&amp;DAY(Variables!$A$2)</f>
        <v>-14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9" s="30" t="e">
        <f>VLOOKUP(B39,'Train Runs'!$A$13:$A$99942,1,FALSE)</f>
        <v>#N/A</v>
      </c>
    </row>
    <row r="40" spans="1:10" x14ac:dyDescent="0.25">
      <c r="A40" s="185"/>
      <c r="B40" s="43" t="str">
        <f>A40&amp;"-"&amp;IF(DAY(Variables!$A$2)&lt;10,0,"")&amp;DAY(Variables!$A$2)</f>
        <v>-14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0" s="30" t="e">
        <f>VLOOKUP(B40,'Train Runs'!$A$13:$A$99942,1,FALSE)</f>
        <v>#N/A</v>
      </c>
    </row>
    <row r="41" spans="1:10" x14ac:dyDescent="0.25">
      <c r="A41" s="185"/>
      <c r="B41" s="43" t="str">
        <f>A41&amp;"-"&amp;IF(DAY(Variables!$A$2)&lt;10,0,"")&amp;DAY(Variables!$A$2)</f>
        <v>-14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1" s="30" t="e">
        <f>VLOOKUP(B41,'Train Runs'!$A$13:$A$99942,1,FALSE)</f>
        <v>#N/A</v>
      </c>
    </row>
    <row r="42" spans="1:10" x14ac:dyDescent="0.25">
      <c r="A42" s="185"/>
      <c r="B42" s="43" t="str">
        <f>A42&amp;"-"&amp;IF(DAY(Variables!$A$2)&lt;10,0,"")&amp;DAY(Variables!$A$2)</f>
        <v>-14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2" s="30" t="e">
        <f>VLOOKUP(B42,'Train Runs'!$A$13:$A$99942,1,FALSE)</f>
        <v>#N/A</v>
      </c>
    </row>
    <row r="43" spans="1:10" x14ac:dyDescent="0.25">
      <c r="A43" s="185"/>
      <c r="B43" s="43" t="str">
        <f>A43&amp;"-"&amp;IF(DAY(Variables!$A$2)&lt;10,0,"")&amp;DAY(Variables!$A$2)</f>
        <v>-14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3" s="30" t="e">
        <f>VLOOKUP(B43,'Train Runs'!$A$13:$A$99942,1,FALSE)</f>
        <v>#N/A</v>
      </c>
    </row>
    <row r="44" spans="1:10" x14ac:dyDescent="0.25">
      <c r="A44" s="185"/>
      <c r="B44" s="43" t="str">
        <f>A44&amp;"-"&amp;IF(DAY(Variables!$A$2)&lt;10,0,"")&amp;DAY(Variables!$A$2)</f>
        <v>-14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4" s="30" t="e">
        <f>VLOOKUP(B44,'Train Runs'!$A$13:$A$99942,1,FALSE)</f>
        <v>#N/A</v>
      </c>
    </row>
    <row r="45" spans="1:10" x14ac:dyDescent="0.25">
      <c r="A45" s="185"/>
      <c r="B45" s="43" t="str">
        <f>A45&amp;"-"&amp;IF(DAY(Variables!$A$2)&lt;10,0,"")&amp;DAY(Variables!$A$2)</f>
        <v>-14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5" s="30" t="e">
        <f>VLOOKUP(B45,'Train Runs'!$A$13:$A$99942,1,FALSE)</f>
        <v>#N/A</v>
      </c>
    </row>
    <row r="46" spans="1:10" x14ac:dyDescent="0.25">
      <c r="A46" s="185"/>
      <c r="B46" s="43" t="str">
        <f>A46&amp;"-"&amp;IF(DAY(Variables!$A$2)&lt;10,0,"")&amp;DAY(Variables!$A$2)</f>
        <v>-14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ref="I46:I7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6" s="30" t="e">
        <f>VLOOKUP(B46,'Train Runs'!$A$13:$A$99942,1,FALSE)</f>
        <v>#N/A</v>
      </c>
    </row>
    <row r="47" spans="1:10" x14ac:dyDescent="0.25">
      <c r="A47" s="185"/>
      <c r="B47" s="43" t="str">
        <f>A47&amp;"-"&amp;IF(DAY(Variables!$A$2)&lt;10,0,"")&amp;DAY(Variables!$A$2)</f>
        <v>-14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7" s="30" t="e">
        <f>VLOOKUP(B47,'Train Runs'!$A$13:$A$99942,1,FALSE)</f>
        <v>#N/A</v>
      </c>
    </row>
    <row r="48" spans="1:10" x14ac:dyDescent="0.25">
      <c r="A48" s="185"/>
      <c r="B48" s="43" t="str">
        <f>A48&amp;"-"&amp;IF(DAY(Variables!$A$2)&lt;10,0,"")&amp;DAY(Variables!$A$2)</f>
        <v>-14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8" s="30" t="e">
        <f>VLOOKUP(B48,'Train Runs'!$A$13:$A$99942,1,FALSE)</f>
        <v>#N/A</v>
      </c>
    </row>
    <row r="49" spans="1:10" x14ac:dyDescent="0.25">
      <c r="A49" s="185"/>
      <c r="B49" s="43" t="str">
        <f>A49&amp;"-"&amp;IF(DAY(Variables!$A$2)&lt;10,0,"")&amp;DAY(Variables!$A$2)</f>
        <v>-14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9" s="30" t="e">
        <f>VLOOKUP(B49,'Train Runs'!$A$13:$A$99942,1,FALSE)</f>
        <v>#N/A</v>
      </c>
    </row>
    <row r="50" spans="1:10" x14ac:dyDescent="0.25">
      <c r="A50" s="185"/>
      <c r="B50" s="43" t="str">
        <f>A50&amp;"-"&amp;IF(DAY(Variables!$A$2)&lt;10,0,"")&amp;DAY(Variables!$A$2)</f>
        <v>-14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0" s="30" t="e">
        <f>VLOOKUP(B50,'Train Runs'!$A$13:$A$99942,1,FALSE)</f>
        <v>#N/A</v>
      </c>
    </row>
    <row r="51" spans="1:10" x14ac:dyDescent="0.25">
      <c r="A51" s="185"/>
      <c r="B51" s="43" t="str">
        <f>A51&amp;"-"&amp;IF(DAY(Variables!$A$2)&lt;10,0,"")&amp;DAY(Variables!$A$2)</f>
        <v>-14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1" s="30" t="e">
        <f>VLOOKUP(B51,'Train Runs'!$A$13:$A$99942,1,FALSE)</f>
        <v>#N/A</v>
      </c>
    </row>
    <row r="52" spans="1:10" x14ac:dyDescent="0.25">
      <c r="A52" s="185"/>
      <c r="B52" s="43" t="str">
        <f>A52&amp;"-"&amp;IF(DAY(Variables!$A$2)&lt;10,0,"")&amp;DAY(Variables!$A$2)</f>
        <v>-14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2" s="30" t="e">
        <f>VLOOKUP(B52,'Train Runs'!$A$13:$A$99942,1,FALSE)</f>
        <v>#N/A</v>
      </c>
    </row>
    <row r="53" spans="1:10" x14ac:dyDescent="0.25">
      <c r="A53" s="185"/>
      <c r="B53" s="43" t="str">
        <f>A53&amp;"-"&amp;IF(DAY(Variables!$A$2)&lt;10,0,"")&amp;DAY(Variables!$A$2)</f>
        <v>-14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3" s="30" t="e">
        <f>VLOOKUP(B53,'Train Runs'!$A$13:$A$99942,1,FALSE)</f>
        <v>#N/A</v>
      </c>
    </row>
    <row r="54" spans="1:10" x14ac:dyDescent="0.25">
      <c r="A54" s="185"/>
      <c r="B54" s="43" t="str">
        <f>A54&amp;"-"&amp;IF(DAY(Variables!$A$2)&lt;10,0,"")&amp;DAY(Variables!$A$2)</f>
        <v>-14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4" s="30" t="e">
        <f>VLOOKUP(B54,'Train Runs'!$A$13:$A$99942,1,FALSE)</f>
        <v>#N/A</v>
      </c>
    </row>
    <row r="55" spans="1:10" x14ac:dyDescent="0.25">
      <c r="A55" s="185"/>
      <c r="B55" s="43" t="str">
        <f>A55&amp;"-"&amp;IF(DAY(Variables!$A$2)&lt;10,0,"")&amp;DAY(Variables!$A$2)</f>
        <v>-14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5" s="30" t="e">
        <f>VLOOKUP(B55,'Train Runs'!$A$13:$A$99942,1,FALSE)</f>
        <v>#N/A</v>
      </c>
    </row>
    <row r="56" spans="1:10" x14ac:dyDescent="0.25">
      <c r="A56" s="185"/>
      <c r="B56" s="43" t="str">
        <f>A56&amp;"-"&amp;IF(DAY(Variables!$A$2)&lt;10,0,"")&amp;DAY(Variables!$A$2)</f>
        <v>-14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6" s="30" t="e">
        <f>VLOOKUP(B56,'Train Runs'!$A$13:$A$99942,1,FALSE)</f>
        <v>#N/A</v>
      </c>
    </row>
    <row r="57" spans="1:10" x14ac:dyDescent="0.25">
      <c r="A57" s="185"/>
      <c r="B57" s="43" t="str">
        <f>A57&amp;"-"&amp;IF(DAY(Variables!$A$2)&lt;10,0,"")&amp;DAY(Variables!$A$2)</f>
        <v>-14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7" s="30" t="e">
        <f>VLOOKUP(B57,'Train Runs'!$A$13:$A$99942,1,FALSE)</f>
        <v>#N/A</v>
      </c>
    </row>
    <row r="58" spans="1:10" x14ac:dyDescent="0.25">
      <c r="A58" s="185"/>
      <c r="B58" s="43" t="str">
        <f>A58&amp;"-"&amp;IF(DAY(Variables!$A$2)&lt;10,0,"")&amp;DAY(Variables!$A$2)</f>
        <v>-14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8" s="30" t="e">
        <f>VLOOKUP(B58,'Train Runs'!$A$13:$A$99942,1,FALSE)</f>
        <v>#N/A</v>
      </c>
    </row>
    <row r="59" spans="1:10" x14ac:dyDescent="0.25">
      <c r="A59" s="185"/>
      <c r="B59" s="43" t="str">
        <f>A59&amp;"-"&amp;IF(DAY(Variables!$A$2)&lt;10,0,"")&amp;DAY(Variables!$A$2)</f>
        <v>-14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9" s="30" t="e">
        <f>VLOOKUP(B59,'Train Runs'!$A$13:$A$99942,1,FALSE)</f>
        <v>#N/A</v>
      </c>
    </row>
    <row r="60" spans="1:10" x14ac:dyDescent="0.25">
      <c r="A60" s="185"/>
      <c r="B60" s="43" t="str">
        <f>A60&amp;"-"&amp;IF(DAY(Variables!$A$2)&lt;10,0,"")&amp;DAY(Variables!$A$2)</f>
        <v>-14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0" s="30" t="e">
        <f>VLOOKUP(B60,'Train Runs'!$A$13:$A$99942,1,FALSE)</f>
        <v>#N/A</v>
      </c>
    </row>
    <row r="61" spans="1:10" x14ac:dyDescent="0.25">
      <c r="A61" s="185"/>
      <c r="B61" s="43" t="str">
        <f>A61&amp;"-"&amp;IF(DAY(Variables!$A$2)&lt;10,0,"")&amp;DAY(Variables!$A$2)</f>
        <v>-14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1" s="30" t="e">
        <f>VLOOKUP(B61,'Train Runs'!$A$13:$A$99942,1,FALSE)</f>
        <v>#N/A</v>
      </c>
    </row>
    <row r="62" spans="1:10" x14ac:dyDescent="0.25">
      <c r="A62" s="185"/>
      <c r="B62" s="43" t="str">
        <f>A62&amp;"-"&amp;IF(DAY(Variables!$A$2)&lt;10,0,"")&amp;DAY(Variables!$A$2)</f>
        <v>-14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2" s="30" t="e">
        <f>VLOOKUP(B62,'Train Runs'!$A$13:$A$99942,1,FALSE)</f>
        <v>#N/A</v>
      </c>
    </row>
    <row r="63" spans="1:10" x14ac:dyDescent="0.25">
      <c r="A63" s="185"/>
      <c r="B63" s="43" t="str">
        <f>A63&amp;"-"&amp;IF(DAY(Variables!$A$2)&lt;10,0,"")&amp;DAY(Variables!$A$2)</f>
        <v>-14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3" s="30" t="e">
        <f>VLOOKUP(B63,'Train Runs'!$A$13:$A$99942,1,FALSE)</f>
        <v>#N/A</v>
      </c>
    </row>
    <row r="64" spans="1:10" x14ac:dyDescent="0.25">
      <c r="A64" s="185"/>
      <c r="B64" s="43" t="str">
        <f>A64&amp;"-"&amp;IF(DAY(Variables!$A$2)&lt;10,0,"")&amp;DAY(Variables!$A$2)</f>
        <v>-14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4" s="30" t="e">
        <f>VLOOKUP(B64,'Train Runs'!$A$13:$A$99942,1,FALSE)</f>
        <v>#N/A</v>
      </c>
    </row>
    <row r="65" spans="1:10" x14ac:dyDescent="0.25">
      <c r="A65" s="185"/>
      <c r="B65" s="43" t="str">
        <f>A65&amp;"-"&amp;IF(DAY(Variables!$A$2)&lt;10,0,"")&amp;DAY(Variables!$A$2)</f>
        <v>-14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5" s="30" t="e">
        <f>VLOOKUP(B65,'Train Runs'!$A$13:$A$99942,1,FALSE)</f>
        <v>#N/A</v>
      </c>
    </row>
    <row r="66" spans="1:10" x14ac:dyDescent="0.25">
      <c r="A66" s="185"/>
      <c r="B66" s="43" t="str">
        <f>A66&amp;"-"&amp;IF(DAY(Variables!$A$2)&lt;10,0,"")&amp;DAY(Variables!$A$2)</f>
        <v>-14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6" s="30" t="e">
        <f>VLOOKUP(B66,'Train Runs'!$A$13:$A$99942,1,FALSE)</f>
        <v>#N/A</v>
      </c>
    </row>
    <row r="67" spans="1:10" x14ac:dyDescent="0.25">
      <c r="A67" s="185"/>
      <c r="B67" s="43" t="str">
        <f>A67&amp;"-"&amp;IF(DAY(Variables!$A$2)&lt;10,0,"")&amp;DAY(Variables!$A$2)</f>
        <v>-14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7" s="30" t="e">
        <f>VLOOKUP(B67,'Train Runs'!$A$13:$A$99942,1,FALSE)</f>
        <v>#N/A</v>
      </c>
    </row>
    <row r="68" spans="1:10" x14ac:dyDescent="0.25">
      <c r="A68" s="185"/>
      <c r="B68" s="43" t="str">
        <f>A68&amp;"-"&amp;IF(DAY(Variables!$A$2)&lt;10,0,"")&amp;DAY(Variables!$A$2)</f>
        <v>-14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8" s="30" t="e">
        <f>VLOOKUP(B68,'Train Runs'!$A$13:$A$99942,1,FALSE)</f>
        <v>#N/A</v>
      </c>
    </row>
    <row r="69" spans="1:10" x14ac:dyDescent="0.25">
      <c r="A69" s="185"/>
      <c r="B69" s="43" t="str">
        <f>A69&amp;"-"&amp;IF(DAY(Variables!$A$2)&lt;10,0,"")&amp;DAY(Variables!$A$2)</f>
        <v>-14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9" s="30" t="e">
        <f>VLOOKUP(B69,'Train Runs'!$A$13:$A$99942,1,FALSE)</f>
        <v>#N/A</v>
      </c>
    </row>
    <row r="70" spans="1:10" x14ac:dyDescent="0.25">
      <c r="A70" s="185"/>
      <c r="B70" s="43" t="str">
        <f>A70&amp;"-"&amp;IF(DAY(Variables!$A$2)&lt;10,0,"")&amp;DAY(Variables!$A$2)</f>
        <v>-14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0" s="30" t="e">
        <f>VLOOKUP(B70,'Train Runs'!$A$13:$A$99942,1,FALSE)</f>
        <v>#N/A</v>
      </c>
    </row>
    <row r="71" spans="1:10" x14ac:dyDescent="0.25">
      <c r="A71" s="185"/>
      <c r="B71" s="43" t="str">
        <f>A71&amp;"-"&amp;IF(DAY(Variables!$A$2)&lt;10,0,"")&amp;DAY(Variables!$A$2)</f>
        <v>-14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1" s="30" t="e">
        <f>VLOOKUP(B71,'Train Runs'!$A$13:$A$99942,1,FALSE)</f>
        <v>#N/A</v>
      </c>
    </row>
    <row r="72" spans="1:10" x14ac:dyDescent="0.25">
      <c r="A72" s="185"/>
      <c r="B72" s="43" t="str">
        <f>A72&amp;"-"&amp;IF(DAY(Variables!$A$2)&lt;10,0,"")&amp;DAY(Variables!$A$2)</f>
        <v>-14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2" s="30" t="e">
        <f>VLOOKUP(B72,'Train Runs'!$A$13:$A$99942,1,FALSE)</f>
        <v>#N/A</v>
      </c>
    </row>
    <row r="73" spans="1:10" x14ac:dyDescent="0.25">
      <c r="A73" s="185"/>
      <c r="B73" s="43" t="str">
        <f>A73&amp;"-"&amp;IF(DAY(Variables!$A$2)&lt;10,0,"")&amp;DAY(Variables!$A$2)</f>
        <v>-14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3" s="30" t="e">
        <f>VLOOKUP(B73,'Train Runs'!$A$13:$A$99942,1,FALSE)</f>
        <v>#N/A</v>
      </c>
    </row>
    <row r="74" spans="1:10" x14ac:dyDescent="0.25">
      <c r="A74" s="185"/>
      <c r="B74" s="43" t="str">
        <f>A74&amp;"-"&amp;IF(DAY(Variables!$A$2)&lt;10,0,"")&amp;DAY(Variables!$A$2)</f>
        <v>-14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4" s="30" t="e">
        <f>VLOOKUP(B74,'Train Runs'!$A$13:$A$99942,1,FALSE)</f>
        <v>#N/A</v>
      </c>
    </row>
    <row r="75" spans="1:10" x14ac:dyDescent="0.25">
      <c r="A75" s="185"/>
      <c r="B75" s="43" t="str">
        <f>A75&amp;"-"&amp;IF(DAY(Variables!$A$2)&lt;10,0,"")&amp;DAY(Variables!$A$2)</f>
        <v>-14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5" s="30" t="e">
        <f>VLOOKUP(B75,'Train Runs'!$A$13:$A$99942,1,FALSE)</f>
        <v>#N/A</v>
      </c>
    </row>
    <row r="76" spans="1:10" x14ac:dyDescent="0.25">
      <c r="A76" s="185"/>
      <c r="B76" s="43" t="str">
        <f>A76&amp;"-"&amp;IF(DAY(Variables!$A$2)&lt;10,0,"")&amp;DAY(Variables!$A$2)</f>
        <v>-14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6" s="30" t="e">
        <f>VLOOKUP(B76,'Train Runs'!$A$13:$A$99942,1,FALSE)</f>
        <v>#N/A</v>
      </c>
    </row>
    <row r="77" spans="1:10" x14ac:dyDescent="0.25">
      <c r="A77" s="185"/>
      <c r="B77" s="43" t="str">
        <f>A77&amp;"-"&amp;IF(DAY(Variables!$A$2)&lt;10,0,"")&amp;DAY(Variables!$A$2)</f>
        <v>-14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7" s="30" t="e">
        <f>VLOOKUP(B77,'Train Runs'!$A$13:$A$99942,1,FALSE)</f>
        <v>#N/A</v>
      </c>
    </row>
    <row r="78" spans="1:10" x14ac:dyDescent="0.25">
      <c r="A78" s="185"/>
      <c r="B78" s="43" t="str">
        <f>A78&amp;"-"&amp;IF(DAY(Variables!$A$2)&lt;10,0,"")&amp;DAY(Variables!$A$2)</f>
        <v>-14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ref="I78:I99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8" s="30" t="e">
        <f>VLOOKUP(B78,'Train Runs'!$A$13:$A$99942,1,FALSE)</f>
        <v>#N/A</v>
      </c>
    </row>
    <row r="79" spans="1:10" x14ac:dyDescent="0.25">
      <c r="A79" s="185"/>
      <c r="B79" s="43" t="str">
        <f>A79&amp;"-"&amp;IF(DAY(Variables!$A$2)&lt;10,0,"")&amp;DAY(Variables!$A$2)</f>
        <v>-14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9" s="30" t="e">
        <f>VLOOKUP(B79,'Train Runs'!$A$13:$A$99942,1,FALSE)</f>
        <v>#N/A</v>
      </c>
    </row>
    <row r="80" spans="1:10" x14ac:dyDescent="0.25">
      <c r="A80" s="185"/>
      <c r="B80" s="43" t="str">
        <f>A80&amp;"-"&amp;IF(DAY(Variables!$A$2)&lt;10,0,"")&amp;DAY(Variables!$A$2)</f>
        <v>-14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0" s="30" t="e">
        <f>VLOOKUP(B80,'Train Runs'!$A$13:$A$99942,1,FALSE)</f>
        <v>#N/A</v>
      </c>
    </row>
    <row r="81" spans="1:10" x14ac:dyDescent="0.25">
      <c r="A81" s="185"/>
      <c r="B81" s="43" t="str">
        <f>A81&amp;"-"&amp;IF(DAY(Variables!$A$2)&lt;10,0,"")&amp;DAY(Variables!$A$2)</f>
        <v>-14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1" s="30" t="e">
        <f>VLOOKUP(B81,'Train Runs'!$A$13:$A$99942,1,FALSE)</f>
        <v>#N/A</v>
      </c>
    </row>
    <row r="82" spans="1:10" x14ac:dyDescent="0.25">
      <c r="A82" s="185"/>
      <c r="B82" s="43" t="str">
        <f>A82&amp;"-"&amp;IF(DAY(Variables!$A$2)&lt;10,0,"")&amp;DAY(Variables!$A$2)</f>
        <v>-14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2" s="30" t="e">
        <f>VLOOKUP(B82,'Train Runs'!$A$13:$A$99942,1,FALSE)</f>
        <v>#N/A</v>
      </c>
    </row>
    <row r="83" spans="1:10" x14ac:dyDescent="0.25">
      <c r="A83" s="185"/>
      <c r="B83" s="43" t="str">
        <f>A83&amp;"-"&amp;IF(DAY(Variables!$A$2)&lt;10,0,"")&amp;DAY(Variables!$A$2)</f>
        <v>-14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3" s="30" t="e">
        <f>VLOOKUP(B83,'Train Runs'!$A$13:$A$99942,1,FALSE)</f>
        <v>#N/A</v>
      </c>
    </row>
    <row r="84" spans="1:10" x14ac:dyDescent="0.25">
      <c r="A84" s="185"/>
      <c r="B84" s="43" t="str">
        <f>A84&amp;"-"&amp;IF(DAY(Variables!$A$2)&lt;10,0,"")&amp;DAY(Variables!$A$2)</f>
        <v>-14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4" s="30" t="e">
        <f>VLOOKUP(B84,'Train Runs'!$A$13:$A$99942,1,FALSE)</f>
        <v>#N/A</v>
      </c>
    </row>
    <row r="85" spans="1:10" x14ac:dyDescent="0.25">
      <c r="A85" s="185"/>
      <c r="B85" s="43" t="str">
        <f>A85&amp;"-"&amp;IF(DAY(Variables!$A$2)&lt;10,0,"")&amp;DAY(Variables!$A$2)</f>
        <v>-14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5" s="30" t="e">
        <f>VLOOKUP(B85,'Train Runs'!$A$13:$A$99942,1,FALSE)</f>
        <v>#N/A</v>
      </c>
    </row>
    <row r="86" spans="1:10" x14ac:dyDescent="0.25">
      <c r="A86" s="185"/>
      <c r="B86" s="43" t="str">
        <f>A86&amp;"-"&amp;IF(DAY(Variables!$A$2)&lt;10,0,"")&amp;DAY(Variables!$A$2)</f>
        <v>-14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6" s="30" t="e">
        <f>VLOOKUP(B86,'Train Runs'!$A$13:$A$99942,1,FALSE)</f>
        <v>#N/A</v>
      </c>
    </row>
    <row r="87" spans="1:10" x14ac:dyDescent="0.25">
      <c r="A87" s="185"/>
      <c r="B87" s="43" t="str">
        <f>A87&amp;"-"&amp;IF(DAY(Variables!$A$2)&lt;10,0,"")&amp;DAY(Variables!$A$2)</f>
        <v>-14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7" s="30" t="e">
        <f>VLOOKUP(B87,'Train Runs'!$A$13:$A$99942,1,FALSE)</f>
        <v>#N/A</v>
      </c>
    </row>
    <row r="88" spans="1:10" x14ac:dyDescent="0.25">
      <c r="A88" s="185"/>
      <c r="B88" s="43" t="str">
        <f>A88&amp;"-"&amp;IF(DAY(Variables!$A$2)&lt;10,0,"")&amp;DAY(Variables!$A$2)</f>
        <v>-14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8" s="30" t="e">
        <f>VLOOKUP(B88,'Train Runs'!$A$13:$A$99942,1,FALSE)</f>
        <v>#N/A</v>
      </c>
    </row>
    <row r="89" spans="1:10" x14ac:dyDescent="0.25">
      <c r="A89" s="185"/>
      <c r="B89" s="43" t="str">
        <f>A89&amp;"-"&amp;IF(DAY(Variables!$A$2)&lt;10,0,"")&amp;DAY(Variables!$A$2)</f>
        <v>-14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9" s="30" t="e">
        <f>VLOOKUP(B89,'Train Runs'!$A$13:$A$99942,1,FALSE)</f>
        <v>#N/A</v>
      </c>
    </row>
    <row r="90" spans="1:10" x14ac:dyDescent="0.25">
      <c r="A90" s="185"/>
      <c r="B90" s="43" t="str">
        <f>A90&amp;"-"&amp;IF(DAY(Variables!$A$2)&lt;10,0,"")&amp;DAY(Variables!$A$2)</f>
        <v>-14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0" s="30" t="e">
        <f>VLOOKUP(B90,'Train Runs'!$A$13:$A$99942,1,FALSE)</f>
        <v>#N/A</v>
      </c>
    </row>
    <row r="91" spans="1:10" x14ac:dyDescent="0.25">
      <c r="A91" s="185"/>
      <c r="B91" s="43" t="str">
        <f>A91&amp;"-"&amp;IF(DAY(Variables!$A$2)&lt;10,0,"")&amp;DAY(Variables!$A$2)</f>
        <v>-14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1" s="30" t="e">
        <f>VLOOKUP(B91,'Train Runs'!$A$13:$A$99942,1,FALSE)</f>
        <v>#N/A</v>
      </c>
    </row>
    <row r="92" spans="1:10" x14ac:dyDescent="0.25">
      <c r="A92" s="185"/>
      <c r="B92" s="43" t="str">
        <f>A92&amp;"-"&amp;IF(DAY(Variables!$A$2)&lt;10,0,"")&amp;DAY(Variables!$A$2)</f>
        <v>-14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2" s="30" t="e">
        <f>VLOOKUP(B92,'Train Runs'!$A$13:$A$99942,1,FALSE)</f>
        <v>#N/A</v>
      </c>
    </row>
    <row r="93" spans="1:10" x14ac:dyDescent="0.25">
      <c r="A93" s="185"/>
      <c r="B93" s="43" t="str">
        <f>A93&amp;"-"&amp;IF(DAY(Variables!$A$2)&lt;10,0,"")&amp;DAY(Variables!$A$2)</f>
        <v>-14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3" s="30" t="e">
        <f>VLOOKUP(B93,'Train Runs'!$A$13:$A$99942,1,FALSE)</f>
        <v>#N/A</v>
      </c>
    </row>
    <row r="94" spans="1:10" x14ac:dyDescent="0.25">
      <c r="A94" s="185"/>
      <c r="B94" s="43" t="str">
        <f>A94&amp;"-"&amp;IF(DAY(Variables!$A$2)&lt;10,0,"")&amp;DAY(Variables!$A$2)</f>
        <v>-14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4" s="30" t="e">
        <f>VLOOKUP(B94,'Train Runs'!$A$13:$A$99942,1,FALSE)</f>
        <v>#N/A</v>
      </c>
    </row>
    <row r="95" spans="1:10" x14ac:dyDescent="0.25">
      <c r="A95" s="185"/>
      <c r="B95" s="43" t="str">
        <f>A95&amp;"-"&amp;IF(DAY(Variables!$A$2)&lt;10,0,"")&amp;DAY(Variables!$A$2)</f>
        <v>-14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5" s="30" t="e">
        <f>VLOOKUP(B95,'Train Runs'!$A$13:$A$99942,1,FALSE)</f>
        <v>#N/A</v>
      </c>
    </row>
    <row r="96" spans="1:10" x14ac:dyDescent="0.25">
      <c r="A96" s="185"/>
      <c r="B96" s="43" t="str">
        <f>A96&amp;"-"&amp;IF(DAY(Variables!$A$2)&lt;10,0,"")&amp;DAY(Variables!$A$2)</f>
        <v>-14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6" s="30" t="e">
        <f>VLOOKUP(B96,'Train Runs'!$A$13:$A$99942,1,FALSE)</f>
        <v>#N/A</v>
      </c>
    </row>
    <row r="97" spans="1:10" x14ac:dyDescent="0.25">
      <c r="A97" s="185"/>
      <c r="B97" s="43" t="str">
        <f>A97&amp;"-"&amp;IF(DAY(Variables!$A$2)&lt;10,0,"")&amp;DAY(Variables!$A$2)</f>
        <v>-14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7" s="30" t="e">
        <f>VLOOKUP(B97,'Train Runs'!$A$13:$A$99942,1,FALSE)</f>
        <v>#N/A</v>
      </c>
    </row>
    <row r="98" spans="1:10" x14ac:dyDescent="0.25">
      <c r="A98" s="185"/>
      <c r="B98" s="43" t="str">
        <f>A98&amp;"-"&amp;IF(DAY(Variables!$A$2)&lt;10,0,"")&amp;DAY(Variables!$A$2)</f>
        <v>-14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8" s="30" t="e">
        <f>VLOOKUP(B98,'Train Runs'!$A$13:$A$99942,1,FALSE)</f>
        <v>#N/A</v>
      </c>
    </row>
    <row r="99" spans="1:10" x14ac:dyDescent="0.25">
      <c r="A99" s="185"/>
      <c r="B99" s="43" t="str">
        <f>A99&amp;"-"&amp;IF(DAY(Variables!$A$2)&lt;10,0,"")&amp;DAY(Variables!$A$2)</f>
        <v>-14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9" s="30" t="e">
        <f>VLOOKUP(B99,'Train Runs'!$A$13:$A$99942,1,FALSE)</f>
        <v>#N/A</v>
      </c>
    </row>
  </sheetData>
  <autoFilter ref="A2:J9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409</v>
      </c>
      <c r="B1" s="207" t="s">
        <v>410</v>
      </c>
      <c r="C1" s="199" t="s">
        <v>418</v>
      </c>
      <c r="D1" s="211" t="s">
        <v>58</v>
      </c>
      <c r="E1" s="196" t="s">
        <v>24</v>
      </c>
      <c r="F1" s="211" t="s">
        <v>424</v>
      </c>
      <c r="G1" s="215" t="s">
        <v>94</v>
      </c>
      <c r="H1" s="217" t="s">
        <v>428</v>
      </c>
      <c r="I1" s="213" t="s">
        <v>427</v>
      </c>
      <c r="J1" s="209" t="s">
        <v>84</v>
      </c>
      <c r="K1" s="209" t="s">
        <v>423</v>
      </c>
      <c r="L1" s="204" t="s">
        <v>420</v>
      </c>
      <c r="M1" s="204" t="s">
        <v>411</v>
      </c>
      <c r="N1" s="204" t="s">
        <v>413</v>
      </c>
      <c r="O1" s="204" t="s">
        <v>414</v>
      </c>
      <c r="P1" s="204" t="s">
        <v>415</v>
      </c>
      <c r="Q1" s="203" t="s">
        <v>412</v>
      </c>
    </row>
    <row r="2" spans="1:17" x14ac:dyDescent="0.25">
      <c r="A2" s="201">
        <v>42800.21875</v>
      </c>
      <c r="B2" s="208" t="s">
        <v>417</v>
      </c>
      <c r="C2" s="198" t="s">
        <v>419</v>
      </c>
      <c r="D2" s="212">
        <v>104</v>
      </c>
      <c r="E2" s="30" t="s">
        <v>422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/stypes="*4021*201703061*"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"%USERPROFILE%\AppData\Local\Temp\OnboardLogs"\RTDC4021\*4021*201703061*</v>
      </c>
      <c r="I2" s="214" t="str">
        <f>IF(VLOOKUP(K2,'Train Runs'!$A$13:$V$998,1,TRUE)=K2,VLOOKUP(K2,'Train Runs'!$A$13:$V$998,22,TRUE),NA())</f>
        <v>https://d0f6bd738d7f1b3e5a7ca70fe4ff75f0.us-east-1.aws.found.io/app/kibana#/discover/Steve-Slow-Train-Analysis-(2080s-and-2083s)?_g=(refreshInterval:(display:Off,pause:!f,section:0,value:0),time:(from:'2017-03-14T03:30:30-0600',mode:absolute,to:'2017-03-14T06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104-14</v>
      </c>
      <c r="L2" s="206">
        <f>IF(VLOOKUP(K2,'Train Runs'!$A$12:$B$998,1,TRUE)=K2,VLOOKUP(K2,'Train Runs'!$A$12:$B$998,2,TRUE),NA())</f>
        <v>4021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417</v>
      </c>
      <c r="C3" s="198" t="s">
        <v>419</v>
      </c>
      <c r="D3" s="212">
        <v>126</v>
      </c>
      <c r="E3" s="30" t="s">
        <v>421</v>
      </c>
      <c r="F3" s="212" t="b">
        <v>1</v>
      </c>
      <c r="G3" s="216" t="str">
        <f t="shared" si="0"/>
        <v>"C:\Program Files (x86)\AstroGrep\AstroGrep.exe" /e /r /s /spath="%USERPROFILE%\AppData\Local\Temp\OnboardLogs" /stypes="*4052*201703061*"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"%USERPROFILE%\AppData\Local\Temp\OnboardLogs"\RTDC4052\*4052*201703061*</v>
      </c>
      <c r="I3" s="214" t="str">
        <f>IF(VLOOKUP(K3,'Train Runs'!$A$13:$V$998,1,TRUE)=K3,VLOOKUP(K3,'Train Runs'!$A$13:$V$998,22,TRUE),NA())</f>
        <v>https://d0f6bd738d7f1b3e5a7ca70fe4ff75f0.us-east-1.aws.found.io/app/kibana#/discover/Steve-Slow-Train-Analysis-(2080s-and-2083s)?_g=(refreshInterval:(display:Off,pause:!f,section:0,value:0),time:(from:'2017-03-14T06:37:30-0600',mode:absolute,to:'2017-03-14T09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126-14</v>
      </c>
      <c r="L3" s="206">
        <f>IF(VLOOKUP(K3,'Train Runs'!$A$12:$B$998,1,TRUE)=K3,VLOOKUP(K3,'Train Runs'!$A$12:$B$998,2,TRUE),NA())</f>
        <v>4052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417</v>
      </c>
      <c r="C4" s="198" t="s">
        <v>419</v>
      </c>
      <c r="D4" s="212">
        <v>128</v>
      </c>
      <c r="E4" s="30" t="s">
        <v>421</v>
      </c>
      <c r="F4" s="212" t="b">
        <v>1</v>
      </c>
      <c r="G4" s="216" t="str">
        <f t="shared" si="0"/>
        <v>"C:\Program Files (x86)\AstroGrep\AstroGrep.exe" /e /r /s /spath="%USERPROFILE%\AppData\Local\Temp\OnboardLogs" /stypes="*4017*201703061*"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"%USERPROFILE%\AppData\Local\Temp\OnboardLogs"\RTDC4017\*4017*201703061*</v>
      </c>
      <c r="I4" s="214" t="str">
        <f>IF(VLOOKUP(K4,'Train Runs'!$A$13:$V$998,1,TRUE)=K4,VLOOKUP(K4,'Train Runs'!$A$13:$V$998,22,TRUE),NA())</f>
        <v>https://d0f6bd738d7f1b3e5a7ca70fe4ff75f0.us-east-1.aws.found.io/app/kibana#/discover/Steve-Slow-Train-Analysis-(2080s-and-2083s)?_g=(refreshInterval:(display:Off,pause:!f,section:0,value:0),time:(from:'2017-03-14T06:38:00-0600',mode:absolute,to:'2017-03-14T09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128-14</v>
      </c>
      <c r="L4" s="206">
        <f>IF(VLOOKUP(K4,'Train Runs'!$A$12:$B$998,1,TRUE)=K4,VLOOKUP(K4,'Train Runs'!$A$12:$B$998,2,TRUE),NA())</f>
        <v>4017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417</v>
      </c>
      <c r="C5" s="198" t="s">
        <v>419</v>
      </c>
      <c r="D5" s="212">
        <f>D4+2</f>
        <v>130</v>
      </c>
      <c r="E5" s="30" t="s">
        <v>421</v>
      </c>
      <c r="F5" s="212" t="b">
        <v>1</v>
      </c>
      <c r="G5" s="216" t="str">
        <f t="shared" si="0"/>
        <v>"C:\Program Files (x86)\AstroGrep\AstroGrep.exe" /e /r /s /spath="%USERPROFILE%\AppData\Local\Temp\OnboardLogs" /stypes="*4028*201703061*"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"%USERPROFILE%\AppData\Local\Temp\OnboardLogs"\RTDC4028\*4028*201703061*</v>
      </c>
      <c r="I5" s="214" t="str">
        <f>IF(VLOOKUP(K5,'Train Runs'!$A$13:$V$998,1,TRUE)=K5,VLOOKUP(K5,'Train Runs'!$A$13:$V$998,22,TRUE),NA())</f>
        <v>https://d0f6bd738d7f1b3e5a7ca70fe4ff75f0.us-east-1.aws.found.io/app/kibana#/discover/Steve-Slow-Train-Analysis-(2080s-and-2083s)?_g=(refreshInterval:(display:Off,pause:!f,section:0,value:0),time:(from:'2017-03-14T07:08:39-0600',mode:absolute,to:'2017-03-14T09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130-14</v>
      </c>
      <c r="L5" s="206">
        <f>IF(VLOOKUP(K5,'Train Runs'!$A$12:$B$998,1,TRUE)=K5,VLOOKUP(K5,'Train Runs'!$A$12:$B$998,2,TRUE),NA())</f>
        <v>4028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417</v>
      </c>
      <c r="C6" s="198" t="s">
        <v>419</v>
      </c>
      <c r="D6" s="212">
        <f>D5+2</f>
        <v>132</v>
      </c>
      <c r="E6" s="30" t="s">
        <v>421</v>
      </c>
      <c r="F6" s="212" t="b">
        <v>1</v>
      </c>
      <c r="G6" s="216" t="str">
        <f t="shared" si="0"/>
        <v>"C:\Program Files (x86)\AstroGrep\AstroGrep.exe" /e /r /s /spath="%USERPROFILE%\AppData\Local\Temp\OnboardLogs" /stypes="*4021*201703061*"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"%USERPROFILE%\AppData\Local\Temp\OnboardLogs"\RTDC4021\*4021*201703061*</v>
      </c>
      <c r="I6" s="214" t="str">
        <f>IF(VLOOKUP(K6,'Train Runs'!$A$13:$V$998,1,TRUE)=K6,VLOOKUP(K6,'Train Runs'!$A$13:$V$998,22,TRUE),NA())</f>
        <v>https://d0f6bd738d7f1b3e5a7ca70fe4ff75f0.us-east-1.aws.found.io/app/kibana#/discover/Steve-Slow-Train-Analysis-(2080s-and-2083s)?_g=(refreshInterval:(display:Off,pause:!f,section:0,value:0),time:(from:'2017-03-14T07:14:08-0600',mode:absolute,to:'2017-03-14T10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6" s="210">
        <f t="shared" si="2"/>
        <v>42800.625</v>
      </c>
      <c r="K6" s="210" t="str">
        <f>D6&amp;"-"&amp;IF(DAY(Variables!$A$2)&lt;10,0,"")&amp;DAY(Variables!$A$2)</f>
        <v>132-14</v>
      </c>
      <c r="L6" s="206">
        <f>IF(VLOOKUP(K6,'Train Runs'!$A$12:$B$998,1,TRUE)=K6,VLOOKUP(K6,'Train Runs'!$A$12:$B$998,2,TRUE),NA())</f>
        <v>4021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417</v>
      </c>
      <c r="C7" s="198" t="s">
        <v>419</v>
      </c>
      <c r="D7" s="212">
        <f t="shared" ref="D7:D11" si="4">D6+2</f>
        <v>134</v>
      </c>
      <c r="E7" s="30" t="s">
        <v>421</v>
      </c>
      <c r="F7" s="212" t="b">
        <v>1</v>
      </c>
      <c r="G7" s="216" t="str">
        <f t="shared" si="0"/>
        <v>"C:\Program Files (x86)\AstroGrep\AstroGrep.exe" /e /r /s /spath="%USERPROFILE%\AppData\Local\Temp\OnboardLogs" /stypes="*4010*201703061*"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"%USERPROFILE%\AppData\Local\Temp\OnboardLogs"\RTDC4010\*4010*201703061*</v>
      </c>
      <c r="I7" s="214" t="str">
        <f>IF(VLOOKUP(K7,'Train Runs'!$A$13:$V$998,1,TRUE)=K7,VLOOKUP(K7,'Train Runs'!$A$13:$V$998,22,TRUE),NA())</f>
        <v>https://d0f6bd738d7f1b3e5a7ca70fe4ff75f0.us-east-1.aws.found.io/app/kibana#/discover/Steve-Slow-Train-Analysis-(2080s-and-2083s)?_g=(refreshInterval:(display:Off,pause:!f,section:0,value:0),time:(from:'2017-03-14T07:38:22-0600',mode:absolute,to:'2017-03-14T10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134-14</v>
      </c>
      <c r="L7" s="206">
        <f>IF(VLOOKUP(K7,'Train Runs'!$A$12:$B$998,1,TRUE)=K7,VLOOKUP(K7,'Train Runs'!$A$12:$B$998,2,TRUE),NA())</f>
        <v>4010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417</v>
      </c>
      <c r="C8" s="198" t="s">
        <v>419</v>
      </c>
      <c r="D8" s="212">
        <f t="shared" si="4"/>
        <v>136</v>
      </c>
      <c r="E8" s="30" t="s">
        <v>421</v>
      </c>
      <c r="F8" s="212" t="b">
        <v>1</v>
      </c>
      <c r="G8" s="216" t="str">
        <f t="shared" si="0"/>
        <v>"C:\Program Files (x86)\AstroGrep\AstroGrep.exe" /e /r /s /spath="%USERPROFILE%\AppData\Local\Temp\OnboardLogs" /stypes="*4032*201703061*"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"%USERPROFILE%\AppData\Local\Temp\OnboardLogs"\RTDC4032\*4032*201703061*</v>
      </c>
      <c r="I8" s="214" t="str">
        <f>IF(VLOOKUP(K8,'Train Runs'!$A$13:$V$998,1,TRUE)=K8,VLOOKUP(K8,'Train Runs'!$A$13:$V$998,22,TRUE),NA())</f>
        <v>https://d0f6bd738d7f1b3e5a7ca70fe4ff75f0.us-east-1.aws.found.io/app/kibana#/discover/Steve-Slow-Train-Analysis-(2080s-and-2083s)?_g=(refreshInterval:(display:Off,pause:!f,section:0,value:0),time:(from:'2017-03-14T07:42:45-0600',mode:absolute,to:'2017-03-14T10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136-14</v>
      </c>
      <c r="L8" s="206">
        <f>IF(VLOOKUP(K8,'Train Runs'!$A$12:$B$998,1,TRUE)=K8,VLOOKUP(K8,'Train Runs'!$A$12:$B$998,2,TRUE),NA())</f>
        <v>4032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417</v>
      </c>
      <c r="C9" s="198" t="s">
        <v>419</v>
      </c>
      <c r="D9" s="212">
        <f t="shared" si="4"/>
        <v>138</v>
      </c>
      <c r="E9" s="30" t="s">
        <v>421</v>
      </c>
      <c r="F9" s="212" t="b">
        <v>1</v>
      </c>
      <c r="G9" s="216" t="str">
        <f t="shared" si="0"/>
        <v>"C:\Program Files (x86)\AstroGrep\AstroGrep.exe" /e /r /s /spath="%USERPROFILE%\AppData\Local\Temp\OnboardLogs" /stypes="*4054*201703061*"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"%USERPROFILE%\AppData\Local\Temp\OnboardLogs"\RTDC4054\*4054*201703061*</v>
      </c>
      <c r="I9" s="214" t="str">
        <f>IF(VLOOKUP(K9,'Train Runs'!$A$13:$V$998,1,TRUE)=K9,VLOOKUP(K9,'Train Runs'!$A$13:$V$998,22,TRUE),NA())</f>
        <v>https://d0f6bd738d7f1b3e5a7ca70fe4ff75f0.us-east-1.aws.found.io/app/kibana#/discover/Steve-Slow-Train-Analysis-(2080s-and-2083s)?_g=(refreshInterval:(display:Off,pause:!f,section:0,value:0),time:(from:'2017-03-14T08:08:15-0600',mode:absolute,to:'2017-03-14T10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138-14</v>
      </c>
      <c r="L9" s="206">
        <f>IF(VLOOKUP(K9,'Train Runs'!$A$12:$B$998,1,TRUE)=K9,VLOOKUP(K9,'Train Runs'!$A$12:$B$998,2,TRUE),NA())</f>
        <v>4054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417</v>
      </c>
      <c r="C10" s="198" t="s">
        <v>419</v>
      </c>
      <c r="D10" s="212">
        <f t="shared" si="4"/>
        <v>140</v>
      </c>
      <c r="E10" s="30" t="s">
        <v>421</v>
      </c>
      <c r="F10" s="212" t="b">
        <v>1</v>
      </c>
      <c r="G10" s="216" t="str">
        <f t="shared" si="0"/>
        <v>"C:\Program Files (x86)\AstroGrep\AstroGrep.exe" /e /r /s /spath="%USERPROFILE%\AppData\Local\Temp\OnboardLogs" /stypes="*4052*201703061*"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"%USERPROFILE%\AppData\Local\Temp\OnboardLogs"\RTDC4052\*4052*201703061*</v>
      </c>
      <c r="I10" s="214" t="str">
        <f>IF(VLOOKUP(K10,'Train Runs'!$A$13:$V$998,1,TRUE)=K10,VLOOKUP(K10,'Train Runs'!$A$13:$V$998,22,TRUE),NA())</f>
        <v>https://d0f6bd738d7f1b3e5a7ca70fe4ff75f0.us-east-1.aws.found.io/app/kibana#/discover/Steve-Slow-Train-Analysis-(2080s-and-2083s)?_g=(refreshInterval:(display:Off,pause:!f,section:0,value:0),time:(from:'2017-03-14T08:21:20-0600',mode:absolute,to:'2017-03-14T11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140-14</v>
      </c>
      <c r="L10" s="206">
        <f>IF(VLOOKUP(K10,'Train Runs'!$A$12:$B$998,1,TRUE)=K10,VLOOKUP(K10,'Train Runs'!$A$12:$B$998,2,TRUE),NA())</f>
        <v>4052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417</v>
      </c>
      <c r="C11" s="198" t="s">
        <v>419</v>
      </c>
      <c r="D11" s="212">
        <f t="shared" si="4"/>
        <v>142</v>
      </c>
      <c r="E11" s="30" t="s">
        <v>421</v>
      </c>
      <c r="F11" s="212" t="b">
        <v>1</v>
      </c>
      <c r="G11" s="216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"%USERPROFILE%\AppData\Local\Temp\OnboardLogs"\RTDC4017\*4017*201703061*</v>
      </c>
      <c r="I11" s="214" t="str">
        <f>IF(VLOOKUP(K11,'Train Runs'!$A$13:$V$998,1,TRUE)=K11,VLOOKUP(K11,'Train Runs'!$A$13:$V$998,22,TRUE),NA())</f>
        <v>https://d0f6bd738d7f1b3e5a7ca70fe4ff75f0.us-east-1.aws.found.io/app/kibana#/discover/Steve-Slow-Train-Analysis-(2080s-and-2083s)?_g=(refreshInterval:(display:Off,pause:!f,section:0,value:0),time:(from:'2017-03-14T08:22:52-0600',mode:absolute,to:'2017-03-14T11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142-14</v>
      </c>
      <c r="L11" s="206">
        <f>IF(VLOOKUP(K11,'Train Runs'!$A$12:$B$998,1,TRUE)=K11,VLOOKUP(K11,'Train Runs'!$A$12:$B$998,2,TRUE),NA())</f>
        <v>4017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417</v>
      </c>
      <c r="C12" s="198" t="s">
        <v>419</v>
      </c>
      <c r="D12" s="212">
        <v>144</v>
      </c>
      <c r="E12" s="30" t="s">
        <v>421</v>
      </c>
      <c r="F12" s="212" t="b">
        <v>1</v>
      </c>
      <c r="G12" s="216" t="str">
        <f t="shared" si="0"/>
        <v>"C:\Program Files (x86)\AstroGrep\AstroGrep.exe" /e /r /s /spath="%USERPROFILE%\AppData\Local\Temp\OnboardLogs" /stypes="*4028*201703061*"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"%USERPROFILE%\AppData\Local\Temp\OnboardLogs"\RTDC4028\*4028*201703061*</v>
      </c>
      <c r="I12" s="214" t="str">
        <f>IF(VLOOKUP(K12,'Train Runs'!$A$13:$V$998,1,TRUE)=K12,VLOOKUP(K12,'Train Runs'!$A$13:$V$998,22,TRUE),NA())</f>
        <v>https://d0f6bd738d7f1b3e5a7ca70fe4ff75f0.us-east-1.aws.found.io/app/kibana#/discover/Steve-Slow-Train-Analysis-(2080s-and-2083s)?_g=(refreshInterval:(display:Off,pause:!f,section:0,value:0),time:(from:'2017-03-14T08:55:21-0600',mode:absolute,to:'2017-03-14T11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144-14</v>
      </c>
      <c r="L12" s="206">
        <f>IF(VLOOKUP(K12,'Train Runs'!$A$12:$B$998,1,TRUE)=K12,VLOOKUP(K12,'Train Runs'!$A$12:$B$998,2,TRUE),NA())</f>
        <v>4028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417</v>
      </c>
      <c r="C13" s="198" t="s">
        <v>419</v>
      </c>
      <c r="D13" s="212">
        <v>146</v>
      </c>
      <c r="E13" s="30" t="s">
        <v>421</v>
      </c>
      <c r="F13" s="212" t="b">
        <v>1</v>
      </c>
      <c r="G13" s="216" t="str">
        <f t="shared" si="0"/>
        <v>"C:\Program Files (x86)\AstroGrep\AstroGrep.exe" /e /r /s /spath="%USERPROFILE%\AppData\Local\Temp\OnboardLogs" /stypes="*4021*201703061*"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"%USERPROFILE%\AppData\Local\Temp\OnboardLogs"\RTDC4021\*4021*201703061*</v>
      </c>
      <c r="I13" s="214" t="str">
        <f>IF(VLOOKUP(K13,'Train Runs'!$A$13:$V$998,1,TRUE)=K13,VLOOKUP(K13,'Train Runs'!$A$13:$V$998,22,TRUE),NA())</f>
        <v>https://d0f6bd738d7f1b3e5a7ca70fe4ff75f0.us-east-1.aws.found.io/app/kibana#/discover/Steve-Slow-Train-Analysis-(2080s-and-2083s)?_g=(refreshInterval:(display:Off,pause:!f,section:0,value:0),time:(from:'2017-03-14T09:03:09-0600',mode:absolute,to:'2017-03-14T11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146-14</v>
      </c>
      <c r="L13" s="206">
        <f>IF(VLOOKUP(K13,'Train Runs'!$A$12:$B$998,1,TRUE)=K13,VLOOKUP(K13,'Train Runs'!$A$12:$B$998,2,TRUE),NA())</f>
        <v>4021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417</v>
      </c>
      <c r="C14" s="198" t="s">
        <v>419</v>
      </c>
      <c r="D14" s="212">
        <v>148</v>
      </c>
      <c r="E14" s="30" t="s">
        <v>425</v>
      </c>
      <c r="F14" s="212" t="b">
        <v>1</v>
      </c>
      <c r="G14" s="216" t="str">
        <f t="shared" si="0"/>
        <v>"C:\Program Files (x86)\AstroGrep\AstroGrep.exe" /e /r /s /spath="%USERPROFILE%\AppData\Local\Temp\OnboardLogs" /stypes="*4010*201703061*"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"%USERPROFILE%\AppData\Local\Temp\OnboardLogs"\RTDC4010\*4010*201703061*</v>
      </c>
      <c r="I14" s="214" t="str">
        <f>IF(VLOOKUP(K14,'Train Runs'!$A$13:$V$998,1,TRUE)=K14,VLOOKUP(K14,'Train Runs'!$A$13:$V$998,22,TRUE),NA())</f>
        <v>https://d0f6bd738d7f1b3e5a7ca70fe4ff75f0.us-east-1.aws.found.io/app/kibana#/discover/Steve-Slow-Train-Analysis-(2080s-and-2083s)?_g=(refreshInterval:(display:Off,pause:!f,section:0,value:0),time:(from:'2017-03-14T09:18:17-0600',mode:absolute,to:'2017-03-14T12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148-14</v>
      </c>
      <c r="L14" s="206">
        <f>IF(VLOOKUP(K14,'Train Runs'!$A$12:$B$998,1,TRUE)=K14,VLOOKUP(K14,'Train Runs'!$A$12:$B$998,2,TRUE),NA())</f>
        <v>4010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417</v>
      </c>
      <c r="C15" s="198" t="s">
        <v>419</v>
      </c>
      <c r="D15" s="212">
        <v>178</v>
      </c>
      <c r="E15" s="30" t="s">
        <v>426</v>
      </c>
      <c r="F15" s="212" t="b">
        <v>1</v>
      </c>
      <c r="G15" s="216" t="str">
        <f t="shared" si="0"/>
        <v>"C:\Program Files (x86)\AstroGrep\AstroGrep.exe" /e /r /s /spath="%USERPROFILE%\AppData\Local\Temp\OnboardLogs" /stypes="*4032*201703062*"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"%USERPROFILE%\AppData\Local\Temp\OnboardLogs"\RTDC4032\*4032*201703062*</v>
      </c>
      <c r="I15" s="214" t="str">
        <f>IF(VLOOKUP(K15,'Train Runs'!$A$13:$V$998,1,TRUE)=K15,VLOOKUP(K15,'Train Runs'!$A$13:$V$998,22,TRUE),NA())</f>
        <v>https://d0f6bd738d7f1b3e5a7ca70fe4ff75f0.us-east-1.aws.found.io/app/kibana#/discover/Steve-Slow-Train-Analysis-(2080s-and-2083s)?_g=(refreshInterval:(display:Off,pause:!f,section:0,value:0),time:(from:'2017-03-14T13:00:20-0600',mode:absolute,to:'2017-03-14T15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178-14</v>
      </c>
      <c r="L15" s="206">
        <f>IF(VLOOKUP(K15,'Train Runs'!$A$12:$B$998,1,TRUE)=K15,VLOOKUP(K15,'Train Runs'!$A$12:$B$998,2,TRUE),NA())</f>
        <v>4032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417</v>
      </c>
      <c r="C16" s="198" t="s">
        <v>419</v>
      </c>
      <c r="D16" s="212">
        <v>194</v>
      </c>
      <c r="E16" s="30" t="s">
        <v>426</v>
      </c>
      <c r="F16" s="212" t="b">
        <v>1</v>
      </c>
      <c r="G16" s="216" t="str">
        <f t="shared" si="0"/>
        <v>"C:\Program Files (x86)\AstroGrep\AstroGrep.exe" /e /r /s /spath="%USERPROFILE%\AppData\Local\Temp\OnboardLogs" /stypes="*4054*201703062*"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"%USERPROFILE%\AppData\Local\Temp\OnboardLogs"\RTDC4054\*4054*201703062*</v>
      </c>
      <c r="I16" s="214" t="str">
        <f>IF(VLOOKUP(K16,'Train Runs'!$A$13:$V$998,1,TRUE)=K16,VLOOKUP(K16,'Train Runs'!$A$13:$V$998,22,TRUE),NA())</f>
        <v>https://d0f6bd738d7f1b3e5a7ca70fe4ff75f0.us-east-1.aws.found.io/app/kibana#/discover/Steve-Slow-Train-Analysis-(2080s-and-2083s)?_g=(refreshInterval:(display:Off,pause:!f,section:0,value:0),time:(from:'2017-03-14T15:06:22-0600',mode:absolute,to:'2017-03-14T17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194-14</v>
      </c>
      <c r="L16" s="206">
        <f>IF(VLOOKUP(K16,'Train Runs'!$A$12:$B$998,1,TRUE)=K16,VLOOKUP(K16,'Train Runs'!$A$12:$B$998,2,TRUE),NA())</f>
        <v>4054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417</v>
      </c>
      <c r="C17" s="198" t="s">
        <v>419</v>
      </c>
      <c r="D17" s="212">
        <v>206</v>
      </c>
      <c r="E17" s="30" t="s">
        <v>421</v>
      </c>
      <c r="F17" s="212" t="b">
        <v>1</v>
      </c>
      <c r="G17" s="216" t="str">
        <f t="shared" si="0"/>
        <v>"C:\Program Files (x86)\AstroGrep\AstroGrep.exe" /e /r /s /spath="%USERPROFILE%\AppData\Local\Temp\OnboardLogs" /stypes="*4032*201703070*"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"%USERPROFILE%\AppData\Local\Temp\OnboardLogs"\RTDC4032\*4032*201703070*</v>
      </c>
      <c r="I17" s="214" t="str">
        <f>IF(VLOOKUP(K17,'Train Runs'!$A$13:$V$998,1,TRUE)=K17,VLOOKUP(K17,'Train Runs'!$A$13:$V$998,22,TRUE),NA())</f>
        <v>https://d0f6bd738d7f1b3e5a7ca70fe4ff75f0.us-east-1.aws.found.io/app/kibana#/discover/Steve-Slow-Train-Analysis-(2080s-and-2083s)?_g=(refreshInterval:(display:Off,pause:!f,section:0,value:0),time:(from:'2017-03-14T16:32:32-0600',mode:absolute,to:'2017-03-14T19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206-14</v>
      </c>
      <c r="L17" s="206">
        <f>IF(VLOOKUP(K17,'Train Runs'!$A$12:$B$998,1,TRUE)=K17,VLOOKUP(K17,'Train Runs'!$A$12:$B$998,2,TRUE),NA())</f>
        <v>4032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417</v>
      </c>
      <c r="C18" s="198" t="s">
        <v>419</v>
      </c>
      <c r="D18" s="212">
        <v>210</v>
      </c>
      <c r="E18" s="30" t="s">
        <v>421</v>
      </c>
      <c r="F18" s="212" t="b">
        <v>1</v>
      </c>
      <c r="G18" s="216" t="str">
        <f t="shared" si="0"/>
        <v>"C:\Program Files (x86)\AstroGrep\AstroGrep.exe" /e /r /s /spath="%USERPROFILE%\AppData\Local\Temp\OnboardLogs" /stypes="*4052*201703070*"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"%USERPROFILE%\AppData\Local\Temp\OnboardLogs"\RTDC4052\*4052*201703070*</v>
      </c>
      <c r="I18" s="214" t="str">
        <f>IF(VLOOKUP(K18,'Train Runs'!$A$13:$V$998,1,TRUE)=K18,VLOOKUP(K18,'Train Runs'!$A$13:$V$998,22,TRUE),NA())</f>
        <v>https://d0f6bd738d7f1b3e5a7ca70fe4ff75f0.us-east-1.aws.found.io/app/kibana#/discover/Steve-Slow-Train-Analysis-(2080s-and-2083s)?_g=(refreshInterval:(display:Off,pause:!f,section:0,value:0),time:(from:'2017-03-14T17:08:10-0600',mode:absolute,to:'2017-03-14T19:53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210-14</v>
      </c>
      <c r="L18" s="206">
        <f>IF(VLOOKUP(K18,'Train Runs'!$A$12:$B$998,1,TRUE)=K18,VLOOKUP(K18,'Train Runs'!$A$12:$B$998,2,TRUE),NA())</f>
        <v>4052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417</v>
      </c>
      <c r="C19" s="198" t="s">
        <v>419</v>
      </c>
      <c r="D19" s="212">
        <f>D18+2</f>
        <v>212</v>
      </c>
      <c r="E19" s="30" t="s">
        <v>421</v>
      </c>
      <c r="F19" s="212" t="b">
        <v>1</v>
      </c>
      <c r="G19" s="216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"%USERPROFILE%\AppData\Local\Temp\OnboardLogs"\RTDC4017\*4017*201703070*</v>
      </c>
      <c r="I19" s="214" t="str">
        <f>IF(VLOOKUP(K19,'Train Runs'!$A$13:$V$998,1,TRUE)=K19,VLOOKUP(K19,'Train Runs'!$A$13:$V$998,22,TRUE),NA())</f>
        <v>https://d0f6bd738d7f1b3e5a7ca70fe4ff75f0.us-east-1.aws.found.io/app/kibana#/discover/Steve-Slow-Train-Analysis-(2080s-and-2083s)?_g=(refreshInterval:(display:Off,pause:!f,section:0,value:0),time:(from:'2017-03-14T17:21:15-0600',mode:absolute,to:'2017-03-14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212-14</v>
      </c>
      <c r="L19" s="206">
        <f>IF(VLOOKUP(K19,'Train Runs'!$A$12:$B$998,1,TRUE)=K19,VLOOKUP(K19,'Train Runs'!$A$12:$B$998,2,TRUE),NA())</f>
        <v>4017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417</v>
      </c>
      <c r="C20" s="198" t="s">
        <v>419</v>
      </c>
      <c r="D20" s="212">
        <v>214</v>
      </c>
      <c r="E20" s="30" t="s">
        <v>421</v>
      </c>
      <c r="F20" s="212" t="b">
        <v>1</v>
      </c>
      <c r="G20" s="216" t="str">
        <f t="shared" si="0"/>
        <v>"C:\Program Files (x86)\AstroGrep\AstroGrep.exe" /e /r /s /spath="%USERPROFILE%\AppData\Local\Temp\OnboardLogs" /stypes="*4028*201703070*"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"%USERPROFILE%\AppData\Local\Temp\OnboardLogs"\RTDC4028\*4028*201703070*</v>
      </c>
      <c r="I20" s="214" t="str">
        <f>IF(VLOOKUP(K20,'Train Runs'!$A$13:$V$998,1,TRUE)=K20,VLOOKUP(K20,'Train Runs'!$A$13:$V$998,22,TRUE),NA())</f>
        <v>https://d0f6bd738d7f1b3e5a7ca70fe4ff75f0.us-east-1.aws.found.io/app/kibana#/discover/Steve-Slow-Train-Analysis-(2080s-and-2083s)?_g=(refreshInterval:(display:Off,pause:!f,section:0,value:0),time:(from:'2017-03-14T17:30:15-0600',mode:absolute,to:'2017-03-14T20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214-14</v>
      </c>
      <c r="L20" s="206">
        <f>IF(VLOOKUP(K20,'Train Runs'!$A$12:$B$998,1,TRUE)=K20,VLOOKUP(K20,'Train Runs'!$A$12:$B$998,2,TRUE),NA())</f>
        <v>4028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417</v>
      </c>
      <c r="C21" s="198" t="s">
        <v>419</v>
      </c>
      <c r="D21" s="212">
        <v>216</v>
      </c>
      <c r="E21" s="30" t="s">
        <v>421</v>
      </c>
      <c r="F21" s="212" t="b">
        <v>1</v>
      </c>
      <c r="G21" s="216" t="str">
        <f t="shared" si="0"/>
        <v>"C:\Program Files (x86)\AstroGrep\AstroGrep.exe" /e /r /s /spath="%USERPROFILE%\AppData\Local\Temp\OnboardLogs" /stypes="*4021*201703070*"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"%USERPROFILE%\AppData\Local\Temp\OnboardLogs"\RTDC4021\*4021*201703070*</v>
      </c>
      <c r="I21" s="214" t="str">
        <f>IF(VLOOKUP(K21,'Train Runs'!$A$13:$V$998,1,TRUE)=K21,VLOOKUP(K21,'Train Runs'!$A$13:$V$998,22,TRUE),NA())</f>
        <v>https://d0f6bd738d7f1b3e5a7ca70fe4ff75f0.us-east-1.aws.found.io/app/kibana#/discover/Steve-Slow-Train-Analysis-(2080s-and-2083s)?_g=(refreshInterval:(display:Off,pause:!f,section:0,value:0),time:(from:'2017-03-14T17:51:12-0600',mode:absolute,to:'2017-03-14T20:45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216-14</v>
      </c>
      <c r="L21" s="206">
        <f>IF(VLOOKUP(K21,'Train Runs'!$A$12:$B$998,1,TRUE)=K21,VLOOKUP(K21,'Train Runs'!$A$12:$B$998,2,TRUE),NA())</f>
        <v>4021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417</v>
      </c>
      <c r="C22" s="198" t="s">
        <v>419</v>
      </c>
      <c r="D22" s="212">
        <f>D21+2</f>
        <v>218</v>
      </c>
      <c r="E22" s="30" t="s">
        <v>421</v>
      </c>
      <c r="F22" s="212" t="b">
        <v>1</v>
      </c>
      <c r="G22" s="216" t="str">
        <f t="shared" si="0"/>
        <v>"C:\Program Files (x86)\AstroGrep\AstroGrep.exe" /e /r /s /spath="%USERPROFILE%\AppData\Local\Temp\OnboardLogs" /stypes="*4010*201703070*"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"%USERPROFILE%\AppData\Local\Temp\OnboardLogs"\RTDC4010\*4010*201703070*</v>
      </c>
      <c r="I22" s="214" t="str">
        <f>IF(VLOOKUP(K22,'Train Runs'!$A$13:$V$998,1,TRUE)=K22,VLOOKUP(K22,'Train Runs'!$A$13:$V$998,22,TRUE),NA())</f>
        <v>https://d0f6bd738d7f1b3e5a7ca70fe4ff75f0.us-east-1.aws.found.io/app/kibana#/discover/Steve-Slow-Train-Analysis-(2080s-and-2083s)?_g=(refreshInterval:(display:Off,pause:!f,section:0,value:0),time:(from:'2017-03-14T18:08:23-0600',mode:absolute,to:'2017-03-14T20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218-14</v>
      </c>
      <c r="L22" s="206">
        <f>IF(VLOOKUP(K22,'Train Runs'!$A$12:$B$998,1,TRUE)=K22,VLOOKUP(K22,'Train Runs'!$A$12:$B$998,2,TRUE),NA())</f>
        <v>4010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417</v>
      </c>
      <c r="C23" s="198" t="s">
        <v>419</v>
      </c>
      <c r="D23" s="212">
        <f>D22+2</f>
        <v>220</v>
      </c>
      <c r="E23" s="30" t="s">
        <v>421</v>
      </c>
      <c r="F23" s="212" t="b">
        <v>1</v>
      </c>
      <c r="G23" s="216" t="str">
        <f t="shared" si="0"/>
        <v>"C:\Program Files (x86)\AstroGrep\AstroGrep.exe" /e /r /s /spath="%USERPROFILE%\AppData\Local\Temp\OnboardLogs" /stypes="*4032*201703070*"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"%USERPROFILE%\AppData\Local\Temp\OnboardLogs"\RTDC4032\*4032*201703070*</v>
      </c>
      <c r="I23" s="214" t="str">
        <f>IF(VLOOKUP(K23,'Train Runs'!$A$13:$V$998,1,TRUE)=K23,VLOOKUP(K23,'Train Runs'!$A$13:$V$998,22,TRUE),NA())</f>
        <v>https://d0f6bd738d7f1b3e5a7ca70fe4ff75f0.us-east-1.aws.found.io/app/kibana#/discover/Steve-Slow-Train-Analysis-(2080s-and-2083s)?_g=(refreshInterval:(display:Off,pause:!f,section:0,value:0),time:(from:'2017-03-14T18:12:00-0600',mode:absolute,to:'2017-03-14T21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220-14</v>
      </c>
      <c r="L23" s="206">
        <f>IF(VLOOKUP(K23,'Train Runs'!$A$12:$B$998,1,TRUE)=K23,VLOOKUP(K23,'Train Runs'!$A$12:$B$998,2,TRUE),NA())</f>
        <v>4032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417</v>
      </c>
      <c r="C24" s="198" t="s">
        <v>419</v>
      </c>
      <c r="D24" s="212">
        <f>D23+2</f>
        <v>222</v>
      </c>
      <c r="E24" s="30" t="s">
        <v>421</v>
      </c>
      <c r="F24" s="212" t="b">
        <v>1</v>
      </c>
      <c r="G24" s="216" t="str">
        <f t="shared" si="0"/>
        <v>"C:\Program Files (x86)\AstroGrep\AstroGrep.exe" /e /r /s /spath="%USERPROFILE%\AppData\Local\Temp\OnboardLogs" /stypes="*4052*201703070*"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"%USERPROFILE%\AppData\Local\Temp\OnboardLogs"\RTDC4052\*4052*201703070*</v>
      </c>
      <c r="I24" s="214" t="str">
        <f>IF(VLOOKUP(K24,'Train Runs'!$A$13:$V$998,1,TRUE)=K24,VLOOKUP(K24,'Train Runs'!$A$13:$V$998,22,TRUE),NA())</f>
        <v>https://d0f6bd738d7f1b3e5a7ca70fe4ff75f0.us-east-1.aws.found.io/app/kibana#/discover/Steve-Slow-Train-Analysis-(2080s-and-2083s)?_g=(refreshInterval:(display:Off,pause:!f,section:0,value:0),time:(from:'2017-03-14T18:54:14-0600',mode:absolute,to:'2017-03-14T21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222-14</v>
      </c>
      <c r="L24" s="206">
        <f>IF(VLOOKUP(K24,'Train Runs'!$A$12:$B$998,1,TRUE)=K24,VLOOKUP(K24,'Train Runs'!$A$12:$B$998,2,TRUE),NA())</f>
        <v>4052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417</v>
      </c>
      <c r="C25" s="198" t="s">
        <v>419</v>
      </c>
      <c r="D25" s="212">
        <f>D24+2</f>
        <v>224</v>
      </c>
      <c r="E25" s="30" t="s">
        <v>421</v>
      </c>
      <c r="F25" s="212" t="b">
        <v>1</v>
      </c>
      <c r="G25" s="216" t="str">
        <f t="shared" si="0"/>
        <v>"C:\Program Files (x86)\AstroGrep\AstroGrep.exe" /e /r /s /spath="%USERPROFILE%\AppData\Local\Temp\OnboardLogs" /stypes="*4028*201703070*"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"%USERPROFILE%\AppData\Local\Temp\OnboardLogs"\RTDC4028\*4028*201703070*</v>
      </c>
      <c r="I25" s="214" t="str">
        <f>IF(VLOOKUP(K25,'Train Runs'!$A$13:$V$998,1,TRUE)=K25,VLOOKUP(K25,'Train Runs'!$A$13:$V$998,22,TRUE),NA())</f>
        <v>https://d0f6bd738d7f1b3e5a7ca70fe4ff75f0.us-east-1.aws.found.io/app/kibana#/discover/Steve-Slow-Train-Analysis-(2080s-and-2083s)?_g=(refreshInterval:(display:Off,pause:!f,section:0,value:0),time:(from:'2017-03-14T19:15:31-0600',mode:absolute,to:'2017-03-14T22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224-14</v>
      </c>
      <c r="L25" s="206">
        <f>IF(VLOOKUP(K25,'Train Runs'!$A$12:$B$998,1,TRUE)=K25,VLOOKUP(K25,'Train Runs'!$A$12:$B$998,2,TRUE),NA())</f>
        <v>4028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417</v>
      </c>
      <c r="C26" s="198" t="s">
        <v>419</v>
      </c>
      <c r="D26" s="212">
        <f>D25+2</f>
        <v>226</v>
      </c>
      <c r="E26" s="30" t="s">
        <v>421</v>
      </c>
      <c r="F26" s="212" t="b">
        <v>1</v>
      </c>
      <c r="G26" s="216" t="str">
        <f t="shared" si="0"/>
        <v>"C:\Program Files (x86)\AstroGrep\AstroGrep.exe" /e /r /s /spath="%USERPROFILE%\AppData\Local\Temp\OnboardLogs" /stypes="*4010*201703070*"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"%USERPROFILE%\AppData\Local\Temp\OnboardLogs"\RTDC4010\*4010*201703070*</v>
      </c>
      <c r="I26" s="214" t="str">
        <f>IF(VLOOKUP(K26,'Train Runs'!$A$13:$V$998,1,TRUE)=K26,VLOOKUP(K26,'Train Runs'!$A$13:$V$998,22,TRUE),NA())</f>
        <v>https://d0f6bd738d7f1b3e5a7ca70fe4ff75f0.us-east-1.aws.found.io/app/kibana#/discover/Steve-Slow-Train-Analysis-(2080s-and-2083s)?_g=(refreshInterval:(display:Off,pause:!f,section:0,value:0),time:(from:'2017-03-14T19:47:51-0600',mode:absolute,to:'2017-03-14T22:48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226-14</v>
      </c>
      <c r="L26" s="206">
        <f>IF(VLOOKUP(K26,'Train Runs'!$A$12:$B$998,1,TRUE)=K26,VLOOKUP(K26,'Train Runs'!$A$12:$B$998,2,TRUE),NA())</f>
        <v>4010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417</v>
      </c>
      <c r="C27" s="198" t="s">
        <v>419</v>
      </c>
      <c r="D27" s="212">
        <f t="shared" ref="D27:D33" si="5">D26+2</f>
        <v>228</v>
      </c>
      <c r="E27" s="30" t="s">
        <v>421</v>
      </c>
      <c r="F27" s="212" t="b">
        <v>1</v>
      </c>
      <c r="G27" s="216" t="str">
        <f t="shared" si="0"/>
        <v>"C:\Program Files (x86)\AstroGrep\AstroGrep.exe" /e /r /s /spath="%USERPROFILE%\AppData\Local\Temp\OnboardLogs" /stypes="*4032*201703070*"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"%USERPROFILE%\AppData\Local\Temp\OnboardLogs"\RTDC4032\*4032*201703070*</v>
      </c>
      <c r="I27" s="214" t="str">
        <f>IF(VLOOKUP(K27,'Train Runs'!$A$13:$V$998,1,TRUE)=K27,VLOOKUP(K27,'Train Runs'!$A$13:$V$998,22,TRUE),NA())</f>
        <v>https://d0f6bd738d7f1b3e5a7ca70fe4ff75f0.us-east-1.aws.found.io/app/kibana#/discover/Steve-Slow-Train-Analysis-(2080s-and-2083s)?_g=(refreshInterval:(display:Off,pause:!f,section:0,value:0),time:(from:'2017-03-14T20:09:18-0600',mode:absolute,to:'2017-03-14T23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228-14</v>
      </c>
      <c r="L27" s="206">
        <f>IF(VLOOKUP(K27,'Train Runs'!$A$12:$B$998,1,TRUE)=K27,VLOOKUP(K27,'Train Runs'!$A$12:$B$998,2,TRUE),NA())</f>
        <v>4032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417</v>
      </c>
      <c r="C28" s="198" t="s">
        <v>419</v>
      </c>
      <c r="D28" s="212">
        <f t="shared" si="5"/>
        <v>230</v>
      </c>
      <c r="E28" s="30" t="s">
        <v>421</v>
      </c>
      <c r="F28" s="212" t="b">
        <v>1</v>
      </c>
      <c r="G28" s="216" t="str">
        <f t="shared" si="0"/>
        <v>"C:\Program Files (x86)\AstroGrep\AstroGrep.exe" /e /r /s /spath="%USERPROFILE%\AppData\Local\Temp\OnboardLogs" /stypes="*4052*201703070*"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"%USERPROFILE%\AppData\Local\Temp\OnboardLogs"\RTDC4052\*4052*201703070*</v>
      </c>
      <c r="I28" s="214" t="str">
        <f>IF(VLOOKUP(K28,'Train Runs'!$A$13:$V$998,1,TRUE)=K28,VLOOKUP(K28,'Train Runs'!$A$13:$V$998,22,TRUE),NA())</f>
        <v>https://d0f6bd738d7f1b3e5a7ca70fe4ff75f0.us-east-1.aws.found.io/app/kibana#/discover/Steve-Slow-Train-Analysis-(2080s-and-2083s)?_g=(refreshInterval:(display:Off,pause:!f,section:0,value:0),time:(from:'2017-03-14T20:53:58-0600',mode:absolute,to:'2017-03-14T23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230-14</v>
      </c>
      <c r="L28" s="206">
        <f>IF(VLOOKUP(K28,'Train Runs'!$A$12:$B$998,1,TRUE)=K28,VLOOKUP(K28,'Train Runs'!$A$12:$B$998,2,TRUE),NA())</f>
        <v>4052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417</v>
      </c>
      <c r="C29" s="198" t="s">
        <v>419</v>
      </c>
      <c r="D29" s="212">
        <f t="shared" si="5"/>
        <v>232</v>
      </c>
      <c r="E29" s="30" t="s">
        <v>421</v>
      </c>
      <c r="F29" s="212" t="b">
        <v>1</v>
      </c>
      <c r="G29" s="216" t="str">
        <f t="shared" si="0"/>
        <v>"C:\Program Files (x86)\AstroGrep\AstroGrep.exe" /e /r /s /spath="%USERPROFILE%\AppData\Local\Temp\OnboardLogs" /stypes="*4028*201703070*"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"%USERPROFILE%\AppData\Local\Temp\OnboardLogs"\RTDC4028\*4028*201703070*</v>
      </c>
      <c r="I29" s="214" t="str">
        <f>IF(VLOOKUP(K29,'Train Runs'!$A$13:$V$998,1,TRUE)=K29,VLOOKUP(K29,'Train Runs'!$A$13:$V$998,22,TRUE),NA())</f>
        <v>https://d0f6bd738d7f1b3e5a7ca70fe4ff75f0.us-east-1.aws.found.io/app/kibana#/discover/Steve-Slow-Train-Analysis-(2080s-and-2083s)?_g=(refreshInterval:(display:Off,pause:!f,section:0,value:0),time:(from:'2017-03-14T21:18:45-0600',mode:absolute,to:'2017-03-15T00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232-14</v>
      </c>
      <c r="L29" s="206">
        <f>IF(VLOOKUP(K29,'Train Runs'!$A$12:$B$998,1,TRUE)=K29,VLOOKUP(K29,'Train Runs'!$A$12:$B$998,2,TRUE),NA())</f>
        <v>4028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417</v>
      </c>
      <c r="C30" s="198" t="s">
        <v>419</v>
      </c>
      <c r="D30" s="212">
        <f t="shared" si="5"/>
        <v>234</v>
      </c>
      <c r="E30" s="30" t="s">
        <v>421</v>
      </c>
      <c r="F30" s="212" t="b">
        <v>1</v>
      </c>
      <c r="G30" s="216" t="str">
        <f t="shared" si="0"/>
        <v>"C:\Program Files (x86)\AstroGrep\AstroGrep.exe" /e /r /s /spath="%USERPROFILE%\AppData\Local\Temp\OnboardLogs" /stypes="*4030*201703070*"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"%USERPROFILE%\AppData\Local\Temp\OnboardLogs"\RTDC4030\*4030*201703070*</v>
      </c>
      <c r="I30" s="214" t="str">
        <f>IF(VLOOKUP(K30,'Train Runs'!$A$13:$V$998,1,TRUE)=K30,VLOOKUP(K30,'Train Runs'!$A$13:$V$998,22,TRUE),NA())</f>
        <v>https://d0f6bd738d7f1b3e5a7ca70fe4ff75f0.us-east-1.aws.found.io/app/kibana#/discover/Steve-Slow-Train-Analysis-(2080s-and-2083s)?_g=(refreshInterval:(display:Off,pause:!f,section:0,value:0),time:(from:'2017-03-14T21:46:16-0600',mode:absolute,to:'2017-03-15T00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234-14</v>
      </c>
      <c r="L30" s="206">
        <f>IF(VLOOKUP(K30,'Train Runs'!$A$12:$B$998,1,TRUE)=K30,VLOOKUP(K30,'Train Runs'!$A$12:$B$998,2,TRUE),NA())</f>
        <v>4030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417</v>
      </c>
      <c r="C31" s="198" t="s">
        <v>419</v>
      </c>
      <c r="D31" s="212">
        <f t="shared" si="5"/>
        <v>236</v>
      </c>
      <c r="E31" s="30" t="s">
        <v>421</v>
      </c>
      <c r="F31" s="212" t="b">
        <v>1</v>
      </c>
      <c r="G31" s="216" t="str">
        <f t="shared" si="0"/>
        <v>"C:\Program Files (x86)\AstroGrep\AstroGrep.exe" /e /r /s /spath="%USERPROFILE%\AppData\Local\Temp\OnboardLogs" /stypes="*4032*201703070*"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"%USERPROFILE%\AppData\Local\Temp\OnboardLogs"\RTDC4032\*4032*201703070*</v>
      </c>
      <c r="I31" s="214" t="str">
        <f>IF(VLOOKUP(K31,'Train Runs'!$A$13:$V$998,1,TRUE)=K31,VLOOKUP(K31,'Train Runs'!$A$13:$V$998,22,TRUE),NA())</f>
        <v>https://d0f6bd738d7f1b3e5a7ca70fe4ff75f0.us-east-1.aws.found.io/app/kibana#/discover/Steve-Slow-Train-Analysis-(2080s-and-2083s)?_g=(refreshInterval:(display:Off,pause:!f,section:0,value:0),time:(from:'2017-03-14T22:24:04-0600',mode:absolute,to:'2017-03-15T01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236-14</v>
      </c>
      <c r="L31" s="206">
        <f>IF(VLOOKUP(K31,'Train Runs'!$A$12:$B$998,1,TRUE)=K31,VLOOKUP(K31,'Train Runs'!$A$12:$B$998,2,TRUE),NA())</f>
        <v>4032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417</v>
      </c>
      <c r="C32" s="198" t="s">
        <v>419</v>
      </c>
      <c r="D32" s="212">
        <f t="shared" si="5"/>
        <v>238</v>
      </c>
      <c r="E32" s="30" t="s">
        <v>421</v>
      </c>
      <c r="F32" s="212" t="b">
        <v>1</v>
      </c>
      <c r="G32" s="216" t="str">
        <f t="shared" si="0"/>
        <v>"C:\Program Files (x86)\AstroGrep\AstroGrep.exe" /e /r /s /spath="%USERPROFILE%\AppData\Local\Temp\OnboardLogs" /stypes="*4052*201703070*"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"%USERPROFILE%\AppData\Local\Temp\OnboardLogs"\RTDC4052\*4052*201703070*</v>
      </c>
      <c r="I32" s="214" t="str">
        <f>IF(VLOOKUP(K32,'Train Runs'!$A$13:$V$998,1,TRUE)=K32,VLOOKUP(K32,'Train Runs'!$A$13:$V$998,22,TRUE),NA())</f>
        <v>https://d0f6bd738d7f1b3e5a7ca70fe4ff75f0.us-east-1.aws.found.io/app/kibana#/discover/Steve-Slow-Train-Analysis-(2080s-and-2083s)?_g=(refreshInterval:(display:Off,pause:!f,section:0,value:0),time:(from:'2017-03-14T22:54:18-0600',mode:absolute,to:'2017-03-15T01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238-14</v>
      </c>
      <c r="L32" s="206">
        <f>IF(VLOOKUP(K32,'Train Runs'!$A$12:$B$998,1,TRUE)=K32,VLOOKUP(K32,'Train Runs'!$A$12:$B$998,2,TRUE),NA())</f>
        <v>4052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417</v>
      </c>
      <c r="C33" s="198" t="s">
        <v>419</v>
      </c>
      <c r="D33" s="212">
        <f t="shared" si="5"/>
        <v>240</v>
      </c>
      <c r="E33" s="30" t="s">
        <v>421</v>
      </c>
      <c r="F33" s="212" t="b">
        <v>1</v>
      </c>
      <c r="G33" s="216" t="str">
        <f t="shared" si="0"/>
        <v>"C:\Program Files (x86)\AstroGrep\AstroGrep.exe" /e /r /s /spath="%USERPROFILE%\AppData\Local\Temp\OnboardLogs" /stypes="*4028*201703070*"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"%USERPROFILE%\AppData\Local\Temp\OnboardLogs"\RTDC4028\*4028*201703070*</v>
      </c>
      <c r="I33" s="214" t="str">
        <f>IF(VLOOKUP(K33,'Train Runs'!$A$13:$V$998,1,TRUE)=K33,VLOOKUP(K33,'Train Runs'!$A$13:$V$998,22,TRUE),NA())</f>
        <v>https://d0f6bd738d7f1b3e5a7ca70fe4ff75f0.us-east-1.aws.found.io/app/kibana#/discover/Steve-Slow-Train-Analysis-(2080s-and-2083s)?_g=(refreshInterval:(display:Off,pause:!f,section:0,value:0),time:(from:'2017-03-14T23:22:41-0600',mode:absolute,to:'2017-03-15T02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240-14</v>
      </c>
      <c r="L33" s="206">
        <f>IF(VLOOKUP(K33,'Train Runs'!$A$12:$B$998,1,TRUE)=K33,VLOOKUP(K33,'Train Runs'!$A$12:$B$998,2,TRUE),NA())</f>
        <v>4028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417</v>
      </c>
      <c r="C34" s="198" t="s">
        <v>419</v>
      </c>
      <c r="D34" s="212">
        <v>240</v>
      </c>
      <c r="E34" s="30" t="s">
        <v>421</v>
      </c>
      <c r="F34" s="212" t="b">
        <v>1</v>
      </c>
      <c r="G34" s="216" t="str">
        <f t="shared" si="0"/>
        <v>"C:\Program Files (x86)\AstroGrep\AstroGrep.exe" /e /r /s /spath="%USERPROFILE%\AppData\Local\Temp\OnboardLogs" /stypes="*4028*201703070*"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"%USERPROFILE%\AppData\Local\Temp\OnboardLogs"\RTDC4028\*4028*201703070*</v>
      </c>
      <c r="I34" s="214" t="str">
        <f>IF(VLOOKUP(K34,'Train Runs'!$A$13:$V$998,1,TRUE)=K34,VLOOKUP(K34,'Train Runs'!$A$13:$V$998,22,TRUE),NA())</f>
        <v>https://d0f6bd738d7f1b3e5a7ca70fe4ff75f0.us-east-1.aws.found.io/app/kibana#/discover/Steve-Slow-Train-Analysis-(2080s-and-2083s)?_g=(refreshInterval:(display:Off,pause:!f,section:0,value:0),time:(from:'2017-03-14T23:22:41-0600',mode:absolute,to:'2017-03-15T02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240-14</v>
      </c>
      <c r="L34" s="206">
        <f>IF(VLOOKUP(K34,'Train Runs'!$A$12:$B$998,1,TRUE)=K34,VLOOKUP(K34,'Train Runs'!$A$12:$B$998,2,TRUE),NA())</f>
        <v>4028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417</v>
      </c>
      <c r="C35" s="198" t="s">
        <v>419</v>
      </c>
      <c r="D35" s="212">
        <v>242</v>
      </c>
      <c r="E35" s="30" t="s">
        <v>421</v>
      </c>
      <c r="F35" s="212" t="b">
        <v>1</v>
      </c>
      <c r="G35" s="216" t="str">
        <f t="shared" si="0"/>
        <v>"C:\Program Files (x86)\AstroGrep\AstroGrep.exe" /e /r /s /spath="%USERPROFILE%\AppData\Local\Temp\OnboardLogs" /stypes="*4010*201703070*"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"%USERPROFILE%\AppData\Local\Temp\OnboardLogs"\RTDC4010\*4010*201703070*</v>
      </c>
      <c r="I35" s="214" t="str">
        <f>IF(VLOOKUP(K35,'Train Runs'!$A$13:$V$998,1,TRUE)=K35,VLOOKUP(K35,'Train Runs'!$A$13:$V$998,22,TRUE),NA())</f>
        <v>https://d0f6bd738d7f1b3e5a7ca70fe4ff75f0.us-east-1.aws.found.io/app/kibana#/discover/Steve-Slow-Train-Analysis-(2080s-and-2083s)?_g=(refreshInterval:(display:Off,pause:!f,section:0,value:0),time:(from:'2017-03-14T23:41:39-0600',mode:absolute,to:'2017-03-15T02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242-14</v>
      </c>
      <c r="L35" s="206">
        <f>IF(VLOOKUP(K35,'Train Runs'!$A$12:$B$998,1,TRUE)=K35,VLOOKUP(K35,'Train Runs'!$A$12:$B$998,2,TRUE),NA())</f>
        <v>4010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7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198</v>
      </c>
      <c r="G1" s="8" t="s">
        <v>197</v>
      </c>
    </row>
    <row r="2" spans="1:7" x14ac:dyDescent="0.25">
      <c r="A2" s="8">
        <v>42808.037118055552</v>
      </c>
      <c r="B2" s="20" t="s">
        <v>433</v>
      </c>
      <c r="C2" s="20" t="s">
        <v>499</v>
      </c>
      <c r="D2" s="150">
        <v>2000000</v>
      </c>
      <c r="E2" s="20" t="s">
        <v>480</v>
      </c>
      <c r="F2" s="20" t="s">
        <v>196</v>
      </c>
      <c r="G2" s="8" t="str">
        <f>E2&amp;" "&amp;F2</f>
        <v>STAMBAUGH JAMES</v>
      </c>
    </row>
    <row r="3" spans="1:7" x14ac:dyDescent="0.25">
      <c r="A3" s="8">
        <v>42808.044004629628</v>
      </c>
      <c r="B3" s="20" t="s">
        <v>432</v>
      </c>
      <c r="C3" s="20" t="s">
        <v>512</v>
      </c>
      <c r="D3" s="150">
        <v>2730000</v>
      </c>
      <c r="E3" s="20" t="s">
        <v>231</v>
      </c>
      <c r="F3" s="20" t="s">
        <v>232</v>
      </c>
      <c r="G3" s="8" t="str">
        <f t="shared" ref="G3:G66" si="0">E3&amp;" "&amp;F3</f>
        <v>YANG JAN</v>
      </c>
    </row>
    <row r="4" spans="1:7" x14ac:dyDescent="0.25">
      <c r="A4" s="8">
        <v>42808.045810185184</v>
      </c>
      <c r="B4" s="20" t="s">
        <v>432</v>
      </c>
      <c r="C4" s="20" t="s">
        <v>512</v>
      </c>
      <c r="D4" s="150">
        <v>2730000</v>
      </c>
      <c r="E4" s="20" t="s">
        <v>231</v>
      </c>
      <c r="F4" s="20" t="s">
        <v>232</v>
      </c>
      <c r="G4" s="8" t="str">
        <f t="shared" si="0"/>
        <v>YANG JAN</v>
      </c>
    </row>
    <row r="5" spans="1:7" x14ac:dyDescent="0.25">
      <c r="A5" s="8">
        <v>42808.047974537039</v>
      </c>
      <c r="B5" s="20" t="s">
        <v>389</v>
      </c>
      <c r="C5" s="20" t="s">
        <v>513</v>
      </c>
      <c r="D5" s="150">
        <v>2230000</v>
      </c>
      <c r="E5" s="20" t="s">
        <v>450</v>
      </c>
      <c r="F5" s="20" t="s">
        <v>199</v>
      </c>
      <c r="G5" s="8" t="str">
        <f t="shared" si="0"/>
        <v>SMITH MICHAEL</v>
      </c>
    </row>
    <row r="6" spans="1:7" x14ac:dyDescent="0.25">
      <c r="A6" s="8">
        <v>42808.054074074076</v>
      </c>
      <c r="B6" s="20" t="s">
        <v>387</v>
      </c>
      <c r="C6" s="20" t="s">
        <v>514</v>
      </c>
      <c r="D6" s="150">
        <v>1740000</v>
      </c>
      <c r="E6" s="20" t="s">
        <v>402</v>
      </c>
      <c r="F6" s="20" t="s">
        <v>403</v>
      </c>
      <c r="G6" s="8" t="str">
        <f t="shared" si="0"/>
        <v>STORY SAMANTHA</v>
      </c>
    </row>
    <row r="7" spans="1:7" x14ac:dyDescent="0.25">
      <c r="A7" s="8">
        <v>42808.066759259258</v>
      </c>
      <c r="B7" s="20" t="s">
        <v>435</v>
      </c>
      <c r="C7" s="20" t="s">
        <v>515</v>
      </c>
      <c r="D7" s="150">
        <v>2000000</v>
      </c>
      <c r="E7" s="20" t="s">
        <v>480</v>
      </c>
      <c r="F7" s="20" t="s">
        <v>196</v>
      </c>
      <c r="G7" s="8" t="str">
        <f t="shared" si="0"/>
        <v>STAMBAUGH JAMES</v>
      </c>
    </row>
    <row r="8" spans="1:7" x14ac:dyDescent="0.25">
      <c r="A8" s="8">
        <v>42808.08966435185</v>
      </c>
      <c r="B8" s="20" t="s">
        <v>251</v>
      </c>
      <c r="C8" s="20" t="s">
        <v>516</v>
      </c>
      <c r="D8" s="150">
        <v>1740000</v>
      </c>
      <c r="E8" s="20" t="s">
        <v>402</v>
      </c>
      <c r="F8" s="20" t="s">
        <v>403</v>
      </c>
      <c r="G8" s="8" t="str">
        <f t="shared" si="0"/>
        <v>STORY SAMANTHA</v>
      </c>
    </row>
    <row r="9" spans="1:7" ht="15.75" thickBot="1" x14ac:dyDescent="0.3">
      <c r="A9" s="24">
        <v>42808.100057870368</v>
      </c>
      <c r="B9" s="20" t="s">
        <v>434</v>
      </c>
      <c r="C9" s="20" t="s">
        <v>512</v>
      </c>
      <c r="D9" s="150">
        <v>2730000</v>
      </c>
      <c r="E9" s="20" t="s">
        <v>231</v>
      </c>
      <c r="F9" s="20" t="s">
        <v>232</v>
      </c>
      <c r="G9" s="8" t="str">
        <f t="shared" si="0"/>
        <v>YANG JAN</v>
      </c>
    </row>
    <row r="10" spans="1:7" x14ac:dyDescent="0.25">
      <c r="A10" s="8">
        <v>42808.101678240739</v>
      </c>
      <c r="B10" s="20" t="s">
        <v>434</v>
      </c>
      <c r="C10" s="20" t="s">
        <v>512</v>
      </c>
      <c r="D10" s="150">
        <v>2730000</v>
      </c>
      <c r="E10" s="20" t="s">
        <v>231</v>
      </c>
      <c r="F10" s="20" t="s">
        <v>232</v>
      </c>
      <c r="G10" s="8" t="str">
        <f t="shared" si="0"/>
        <v>YANG JAN</v>
      </c>
    </row>
    <row r="11" spans="1:7" x14ac:dyDescent="0.25">
      <c r="A11" s="8">
        <v>42808.120289351849</v>
      </c>
      <c r="B11" s="20" t="s">
        <v>448</v>
      </c>
      <c r="C11" s="20" t="s">
        <v>600</v>
      </c>
      <c r="D11" s="150">
        <v>1360000</v>
      </c>
      <c r="E11" s="20" t="s">
        <v>467</v>
      </c>
      <c r="F11" s="20" t="s">
        <v>468</v>
      </c>
      <c r="G11" s="8" t="str">
        <f t="shared" si="0"/>
        <v>SANTIZO D. EDY</v>
      </c>
    </row>
    <row r="12" spans="1:7" x14ac:dyDescent="0.25">
      <c r="A12" s="8">
        <v>42808.130219907405</v>
      </c>
      <c r="B12" s="20" t="s">
        <v>400</v>
      </c>
      <c r="C12" s="20" t="s">
        <v>601</v>
      </c>
      <c r="D12" s="150">
        <v>1360000</v>
      </c>
      <c r="E12" s="20" t="s">
        <v>467</v>
      </c>
      <c r="F12" s="20" t="s">
        <v>468</v>
      </c>
      <c r="G12" s="8" t="str">
        <f t="shared" si="0"/>
        <v>SANTIZO D. EDY</v>
      </c>
    </row>
    <row r="13" spans="1:7" x14ac:dyDescent="0.25">
      <c r="A13" s="8">
        <v>42808.141516203701</v>
      </c>
      <c r="B13" s="20" t="s">
        <v>446</v>
      </c>
      <c r="C13" s="20" t="s">
        <v>602</v>
      </c>
      <c r="D13" s="150">
        <v>2010000</v>
      </c>
      <c r="E13" s="20" t="s">
        <v>474</v>
      </c>
      <c r="F13" s="20" t="s">
        <v>475</v>
      </c>
      <c r="G13" s="8" t="str">
        <f t="shared" si="0"/>
        <v>MAELZER KURT</v>
      </c>
    </row>
    <row r="14" spans="1:7" x14ac:dyDescent="0.25">
      <c r="A14" s="8">
        <v>42808.153194444443</v>
      </c>
      <c r="B14" s="20" t="s">
        <v>469</v>
      </c>
      <c r="C14" s="20" t="s">
        <v>603</v>
      </c>
      <c r="D14" s="150">
        <v>2010000</v>
      </c>
      <c r="E14" s="20" t="s">
        <v>474</v>
      </c>
      <c r="F14" s="20" t="s">
        <v>475</v>
      </c>
      <c r="G14" s="8" t="str">
        <f t="shared" si="0"/>
        <v>MAELZER KURT</v>
      </c>
    </row>
    <row r="15" spans="1:7" x14ac:dyDescent="0.25">
      <c r="A15" s="8">
        <v>42808.157743055555</v>
      </c>
      <c r="B15" s="20" t="s">
        <v>432</v>
      </c>
      <c r="C15" s="20" t="s">
        <v>512</v>
      </c>
      <c r="D15" s="150">
        <v>2730000</v>
      </c>
      <c r="E15" s="20" t="s">
        <v>231</v>
      </c>
      <c r="F15" s="20" t="s">
        <v>232</v>
      </c>
      <c r="G15" s="8" t="str">
        <f t="shared" si="0"/>
        <v>YANG JAN</v>
      </c>
    </row>
    <row r="16" spans="1:7" x14ac:dyDescent="0.25">
      <c r="A16" s="8">
        <v>42808.162083333336</v>
      </c>
      <c r="B16" s="20" t="s">
        <v>604</v>
      </c>
      <c r="C16" s="20" t="s">
        <v>605</v>
      </c>
      <c r="D16" s="150">
        <v>1110000</v>
      </c>
      <c r="E16" s="20" t="s">
        <v>606</v>
      </c>
      <c r="F16" s="20" t="s">
        <v>607</v>
      </c>
      <c r="G16" s="8" t="str">
        <f t="shared" si="0"/>
        <v>STARKS ANGELINA</v>
      </c>
    </row>
    <row r="17" spans="1:7" x14ac:dyDescent="0.25">
      <c r="A17" s="8">
        <v>42808.167534722219</v>
      </c>
      <c r="B17" s="20" t="s">
        <v>448</v>
      </c>
      <c r="C17" s="20" t="s">
        <v>608</v>
      </c>
      <c r="D17" s="150">
        <v>1360000</v>
      </c>
      <c r="E17" s="20" t="s">
        <v>467</v>
      </c>
      <c r="F17" s="20" t="s">
        <v>468</v>
      </c>
      <c r="G17" s="8" t="str">
        <f t="shared" si="0"/>
        <v>SANTIZO D. EDY</v>
      </c>
    </row>
    <row r="18" spans="1:7" x14ac:dyDescent="0.25">
      <c r="A18" s="8">
        <v>42808.171388888892</v>
      </c>
      <c r="B18" s="20" t="s">
        <v>575</v>
      </c>
      <c r="C18" s="20" t="s">
        <v>609</v>
      </c>
      <c r="D18" s="150">
        <v>940000</v>
      </c>
      <c r="E18" s="20" t="s">
        <v>500</v>
      </c>
      <c r="F18" s="20" t="s">
        <v>501</v>
      </c>
      <c r="G18" s="8" t="str">
        <f t="shared" si="0"/>
        <v>BONDS REYNALDO</v>
      </c>
    </row>
    <row r="19" spans="1:7" x14ac:dyDescent="0.25">
      <c r="A19" s="8">
        <v>42808.173541666663</v>
      </c>
      <c r="B19" s="20" t="s">
        <v>390</v>
      </c>
      <c r="C19" s="20" t="s">
        <v>610</v>
      </c>
      <c r="D19" s="150">
        <v>1110000</v>
      </c>
      <c r="E19" s="20" t="s">
        <v>606</v>
      </c>
      <c r="F19" s="20" t="s">
        <v>607</v>
      </c>
      <c r="G19" s="8" t="str">
        <f t="shared" si="0"/>
        <v>STARKS ANGELINA</v>
      </c>
    </row>
    <row r="20" spans="1:7" x14ac:dyDescent="0.25">
      <c r="A20" s="8">
        <v>42808.180219907408</v>
      </c>
      <c r="B20" s="20" t="s">
        <v>462</v>
      </c>
      <c r="C20" s="20" t="s">
        <v>611</v>
      </c>
      <c r="D20" s="150">
        <v>1990000</v>
      </c>
      <c r="E20" s="20" t="s">
        <v>470</v>
      </c>
      <c r="F20" s="20" t="s">
        <v>471</v>
      </c>
      <c r="G20" s="8" t="str">
        <f t="shared" si="0"/>
        <v>DAVIS WENDY</v>
      </c>
    </row>
    <row r="21" spans="1:7" x14ac:dyDescent="0.25">
      <c r="A21" s="8">
        <v>42808.180300925924</v>
      </c>
      <c r="B21" s="20" t="s">
        <v>594</v>
      </c>
      <c r="C21" s="20" t="s">
        <v>612</v>
      </c>
      <c r="D21" s="150">
        <v>940000</v>
      </c>
      <c r="E21" s="20" t="s">
        <v>500</v>
      </c>
      <c r="F21" s="20" t="s">
        <v>501</v>
      </c>
      <c r="G21" s="8" t="str">
        <f t="shared" si="0"/>
        <v>BONDS REYNALDO</v>
      </c>
    </row>
    <row r="22" spans="1:7" x14ac:dyDescent="0.25">
      <c r="A22" s="26">
        <v>42808.18822916667</v>
      </c>
      <c r="B22" s="20" t="s">
        <v>446</v>
      </c>
      <c r="C22" s="20" t="s">
        <v>562</v>
      </c>
      <c r="D22" s="150">
        <v>2010000</v>
      </c>
      <c r="E22" s="20" t="s">
        <v>474</v>
      </c>
      <c r="F22" s="20" t="s">
        <v>475</v>
      </c>
      <c r="G22" s="8" t="str">
        <f t="shared" si="0"/>
        <v>MAELZER KURT</v>
      </c>
    </row>
    <row r="23" spans="1:7" x14ac:dyDescent="0.25">
      <c r="A23" s="8">
        <v>42808.194386574076</v>
      </c>
      <c r="B23" s="20" t="s">
        <v>461</v>
      </c>
      <c r="C23" s="20" t="s">
        <v>561</v>
      </c>
      <c r="D23" s="150">
        <v>1990000</v>
      </c>
      <c r="E23" s="20" t="s">
        <v>470</v>
      </c>
      <c r="F23" s="20" t="s">
        <v>471</v>
      </c>
      <c r="G23" s="8" t="str">
        <f t="shared" si="0"/>
        <v>DAVIS WENDY</v>
      </c>
    </row>
    <row r="24" spans="1:7" x14ac:dyDescent="0.25">
      <c r="A24" s="8">
        <v>42808.195648148147</v>
      </c>
      <c r="B24" s="20" t="s">
        <v>434</v>
      </c>
      <c r="C24" s="20" t="s">
        <v>512</v>
      </c>
      <c r="D24" s="150">
        <v>2730000</v>
      </c>
      <c r="E24" s="20" t="s">
        <v>231</v>
      </c>
      <c r="F24" s="20" t="s">
        <v>232</v>
      </c>
      <c r="G24" s="8" t="str">
        <f t="shared" si="0"/>
        <v>YANG JAN</v>
      </c>
    </row>
    <row r="25" spans="1:7" x14ac:dyDescent="0.25">
      <c r="A25" s="8">
        <v>42808.197199074071</v>
      </c>
      <c r="B25" s="20" t="s">
        <v>434</v>
      </c>
      <c r="C25" s="20" t="s">
        <v>512</v>
      </c>
      <c r="D25" s="150">
        <v>2730000</v>
      </c>
      <c r="E25" s="20" t="s">
        <v>231</v>
      </c>
      <c r="F25" s="20" t="s">
        <v>232</v>
      </c>
      <c r="G25" s="8" t="str">
        <f t="shared" si="0"/>
        <v>YANG JAN</v>
      </c>
    </row>
    <row r="26" spans="1:7" x14ac:dyDescent="0.25">
      <c r="A26" s="8">
        <v>42808.198530092595</v>
      </c>
      <c r="B26" s="20" t="s">
        <v>434</v>
      </c>
      <c r="C26" s="20" t="s">
        <v>512</v>
      </c>
      <c r="D26" s="150">
        <v>2730000</v>
      </c>
      <c r="E26" s="20" t="s">
        <v>231</v>
      </c>
      <c r="F26" s="20" t="s">
        <v>232</v>
      </c>
      <c r="G26" s="8" t="str">
        <f t="shared" si="0"/>
        <v>YANG JAN</v>
      </c>
    </row>
    <row r="27" spans="1:7" x14ac:dyDescent="0.25">
      <c r="A27" s="8">
        <v>42808.201620370368</v>
      </c>
      <c r="B27" s="20" t="s">
        <v>570</v>
      </c>
      <c r="C27" s="20" t="s">
        <v>613</v>
      </c>
      <c r="D27" s="150">
        <v>1830000</v>
      </c>
      <c r="E27" s="20" t="s">
        <v>614</v>
      </c>
      <c r="F27" s="20" t="s">
        <v>615</v>
      </c>
      <c r="G27" s="8" t="str">
        <f t="shared" si="0"/>
        <v>YORK EDGAR</v>
      </c>
    </row>
    <row r="28" spans="1:7" x14ac:dyDescent="0.25">
      <c r="A28" s="8">
        <v>42808.205300925925</v>
      </c>
      <c r="B28" s="20" t="s">
        <v>447</v>
      </c>
      <c r="C28" s="20" t="s">
        <v>564</v>
      </c>
      <c r="D28" s="150">
        <v>1360000</v>
      </c>
      <c r="E28" s="20" t="s">
        <v>467</v>
      </c>
      <c r="F28" s="20" t="s">
        <v>468</v>
      </c>
      <c r="G28" s="8" t="str">
        <f t="shared" si="0"/>
        <v>SANTIZO D. EDY</v>
      </c>
    </row>
    <row r="29" spans="1:7" x14ac:dyDescent="0.25">
      <c r="A29" s="8">
        <v>42808.20616898148</v>
      </c>
      <c r="B29" s="20" t="s">
        <v>400</v>
      </c>
      <c r="C29" s="20" t="s">
        <v>616</v>
      </c>
      <c r="D29" s="150">
        <v>890000</v>
      </c>
      <c r="E29" s="20" t="s">
        <v>617</v>
      </c>
      <c r="F29" s="20" t="s">
        <v>618</v>
      </c>
      <c r="G29" s="8" t="str">
        <f t="shared" si="0"/>
        <v>LOZA FIDEL</v>
      </c>
    </row>
    <row r="30" spans="1:7" x14ac:dyDescent="0.25">
      <c r="A30" s="8">
        <v>42808.213703703703</v>
      </c>
      <c r="B30" s="20" t="s">
        <v>604</v>
      </c>
      <c r="C30" s="20" t="s">
        <v>619</v>
      </c>
      <c r="D30" s="150">
        <v>1110000</v>
      </c>
      <c r="E30" s="20" t="s">
        <v>606</v>
      </c>
      <c r="F30" s="20" t="s">
        <v>607</v>
      </c>
      <c r="G30" s="8" t="str">
        <f t="shared" si="0"/>
        <v>STARKS ANGELINA</v>
      </c>
    </row>
    <row r="31" spans="1:7" x14ac:dyDescent="0.25">
      <c r="A31" s="8">
        <v>42808.214282407411</v>
      </c>
      <c r="B31" s="20" t="s">
        <v>567</v>
      </c>
      <c r="C31" s="20" t="s">
        <v>620</v>
      </c>
      <c r="D31" s="150">
        <v>1830000</v>
      </c>
      <c r="E31" s="20" t="s">
        <v>614</v>
      </c>
      <c r="F31" s="20" t="s">
        <v>615</v>
      </c>
      <c r="G31" s="8" t="str">
        <f t="shared" si="0"/>
        <v>YORK EDGAR</v>
      </c>
    </row>
    <row r="32" spans="1:7" x14ac:dyDescent="0.25">
      <c r="A32" s="8">
        <v>42808.223460648151</v>
      </c>
      <c r="B32" s="20" t="s">
        <v>575</v>
      </c>
      <c r="C32" s="20" t="s">
        <v>621</v>
      </c>
      <c r="D32" s="150">
        <v>940000</v>
      </c>
      <c r="E32" s="20" t="s">
        <v>500</v>
      </c>
      <c r="F32" s="20" t="s">
        <v>501</v>
      </c>
      <c r="G32" s="8" t="str">
        <f t="shared" si="0"/>
        <v>BONDS REYNALDO</v>
      </c>
    </row>
    <row r="33" spans="1:7" x14ac:dyDescent="0.25">
      <c r="A33" s="8">
        <v>42808.228020833332</v>
      </c>
      <c r="B33" s="20" t="s">
        <v>469</v>
      </c>
      <c r="C33" s="20" t="s">
        <v>622</v>
      </c>
      <c r="D33" s="150">
        <v>900000</v>
      </c>
      <c r="E33" s="20" t="s">
        <v>502</v>
      </c>
      <c r="F33" s="20" t="s">
        <v>503</v>
      </c>
      <c r="G33" s="8" t="str">
        <f t="shared" si="0"/>
        <v>ROCHA YAOTL</v>
      </c>
    </row>
    <row r="34" spans="1:7" x14ac:dyDescent="0.25">
      <c r="A34" s="8">
        <v>42808.228784722225</v>
      </c>
      <c r="B34" s="20" t="s">
        <v>570</v>
      </c>
      <c r="C34" s="20" t="s">
        <v>623</v>
      </c>
      <c r="D34" s="150">
        <v>1830000</v>
      </c>
      <c r="E34" s="20" t="s">
        <v>614</v>
      </c>
      <c r="F34" s="20" t="s">
        <v>615</v>
      </c>
      <c r="G34" s="8" t="str">
        <f t="shared" si="0"/>
        <v>YORK EDGAR</v>
      </c>
    </row>
    <row r="35" spans="1:7" x14ac:dyDescent="0.25">
      <c r="A35" s="8">
        <v>42808.229247685187</v>
      </c>
      <c r="B35" s="20" t="s">
        <v>449</v>
      </c>
      <c r="C35" s="20" t="s">
        <v>624</v>
      </c>
      <c r="D35" s="150">
        <v>2010000</v>
      </c>
      <c r="E35" s="20" t="s">
        <v>474</v>
      </c>
      <c r="F35" s="20" t="s">
        <v>475</v>
      </c>
      <c r="G35" s="8" t="str">
        <f t="shared" si="0"/>
        <v>MAELZER KURT</v>
      </c>
    </row>
    <row r="36" spans="1:7" x14ac:dyDescent="0.25">
      <c r="A36" s="8">
        <v>42808.234224537038</v>
      </c>
      <c r="B36" s="20" t="s">
        <v>462</v>
      </c>
      <c r="C36" s="20" t="s">
        <v>563</v>
      </c>
      <c r="D36" s="150">
        <v>1990000</v>
      </c>
      <c r="E36" s="20" t="s">
        <v>470</v>
      </c>
      <c r="F36" s="20" t="s">
        <v>471</v>
      </c>
      <c r="G36" s="8" t="str">
        <f t="shared" si="0"/>
        <v>DAVIS WENDY</v>
      </c>
    </row>
    <row r="37" spans="1:7" x14ac:dyDescent="0.25">
      <c r="A37" s="8">
        <v>42808.243298611109</v>
      </c>
      <c r="B37" s="20" t="s">
        <v>222</v>
      </c>
      <c r="C37" s="20" t="s">
        <v>625</v>
      </c>
      <c r="D37" s="150">
        <v>2270000</v>
      </c>
      <c r="E37" s="20" t="s">
        <v>212</v>
      </c>
      <c r="F37" s="20" t="s">
        <v>213</v>
      </c>
      <c r="G37" s="8" t="str">
        <f t="shared" si="0"/>
        <v>BROWN JACOB</v>
      </c>
    </row>
    <row r="38" spans="1:7" x14ac:dyDescent="0.25">
      <c r="A38" s="8">
        <v>42808.245775462965</v>
      </c>
      <c r="B38" s="20" t="s">
        <v>626</v>
      </c>
      <c r="C38" s="20" t="s">
        <v>627</v>
      </c>
      <c r="D38" s="150">
        <v>890000</v>
      </c>
      <c r="E38" s="20" t="s">
        <v>617</v>
      </c>
      <c r="F38" s="20" t="s">
        <v>618</v>
      </c>
      <c r="G38" s="8" t="str">
        <f t="shared" si="0"/>
        <v>LOZA FIDEL</v>
      </c>
    </row>
    <row r="39" spans="1:7" x14ac:dyDescent="0.25">
      <c r="A39" s="8">
        <v>42808.247650462959</v>
      </c>
      <c r="B39" s="20" t="s">
        <v>390</v>
      </c>
      <c r="C39" s="20" t="s">
        <v>565</v>
      </c>
      <c r="D39" s="150">
        <v>1110000</v>
      </c>
      <c r="E39" s="20" t="s">
        <v>606</v>
      </c>
      <c r="F39" s="20" t="s">
        <v>607</v>
      </c>
      <c r="G39" s="8" t="str">
        <f t="shared" si="0"/>
        <v>STARKS ANGELINA</v>
      </c>
    </row>
    <row r="40" spans="1:7" x14ac:dyDescent="0.25">
      <c r="A40" s="8">
        <v>42808.249050925922</v>
      </c>
      <c r="B40" s="25" t="s">
        <v>448</v>
      </c>
      <c r="C40" s="20" t="s">
        <v>628</v>
      </c>
      <c r="D40" s="150">
        <v>1360000</v>
      </c>
      <c r="E40" s="20" t="s">
        <v>467</v>
      </c>
      <c r="F40" s="20" t="s">
        <v>468</v>
      </c>
      <c r="G40" s="8" t="str">
        <f t="shared" si="0"/>
        <v>SANTIZO D. EDY</v>
      </c>
    </row>
    <row r="41" spans="1:7" x14ac:dyDescent="0.25">
      <c r="A41" s="8">
        <v>42808.255312499998</v>
      </c>
      <c r="B41" s="20" t="s">
        <v>567</v>
      </c>
      <c r="C41" s="20" t="s">
        <v>629</v>
      </c>
      <c r="D41" s="150">
        <v>1830000</v>
      </c>
      <c r="E41" s="20" t="s">
        <v>614</v>
      </c>
      <c r="F41" s="20" t="s">
        <v>615</v>
      </c>
      <c r="G41" s="8" t="str">
        <f t="shared" si="0"/>
        <v>YORK EDGAR</v>
      </c>
    </row>
    <row r="42" spans="1:7" x14ac:dyDescent="0.25">
      <c r="A42" s="8">
        <v>42808.257303240738</v>
      </c>
      <c r="B42" s="20" t="s">
        <v>594</v>
      </c>
      <c r="C42" s="20" t="s">
        <v>630</v>
      </c>
      <c r="D42" s="150">
        <v>940000</v>
      </c>
      <c r="E42" s="20" t="s">
        <v>500</v>
      </c>
      <c r="F42" s="20" t="s">
        <v>501</v>
      </c>
      <c r="G42" s="8" t="str">
        <f t="shared" si="0"/>
        <v>BONDS REYNALDO</v>
      </c>
    </row>
    <row r="43" spans="1:7" x14ac:dyDescent="0.25">
      <c r="A43" s="8">
        <v>42808.257928240739</v>
      </c>
      <c r="B43" s="20" t="s">
        <v>190</v>
      </c>
      <c r="C43" s="20" t="s">
        <v>631</v>
      </c>
      <c r="D43" s="150">
        <v>2270000</v>
      </c>
      <c r="E43" s="20" t="s">
        <v>212</v>
      </c>
      <c r="F43" s="20" t="s">
        <v>213</v>
      </c>
      <c r="G43" s="8" t="str">
        <f t="shared" si="0"/>
        <v>BROWN JACOB</v>
      </c>
    </row>
    <row r="44" spans="1:7" x14ac:dyDescent="0.25">
      <c r="A44" s="8">
        <v>42808.26803240741</v>
      </c>
      <c r="B44" s="20" t="s">
        <v>463</v>
      </c>
      <c r="C44" s="20" t="s">
        <v>632</v>
      </c>
      <c r="D44" s="150">
        <v>900000</v>
      </c>
      <c r="E44" s="20" t="s">
        <v>502</v>
      </c>
      <c r="F44" s="20" t="s">
        <v>503</v>
      </c>
      <c r="G44" s="8" t="str">
        <f t="shared" si="0"/>
        <v>ROCHA YAOTL</v>
      </c>
    </row>
    <row r="45" spans="1:7" x14ac:dyDescent="0.25">
      <c r="A45" s="8">
        <v>42808.269166666665</v>
      </c>
      <c r="B45" s="20" t="s">
        <v>461</v>
      </c>
      <c r="C45" s="20" t="s">
        <v>633</v>
      </c>
      <c r="D45" s="150">
        <v>1990000</v>
      </c>
      <c r="E45" s="20" t="s">
        <v>470</v>
      </c>
      <c r="F45" s="20" t="s">
        <v>471</v>
      </c>
      <c r="G45" s="8" t="str">
        <f t="shared" si="0"/>
        <v>DAVIS WENDY</v>
      </c>
    </row>
    <row r="46" spans="1:7" x14ac:dyDescent="0.25">
      <c r="A46" s="8">
        <v>42808.269629629627</v>
      </c>
      <c r="B46" s="20" t="s">
        <v>570</v>
      </c>
      <c r="C46" s="20" t="s">
        <v>634</v>
      </c>
      <c r="D46" s="150">
        <v>1830000</v>
      </c>
      <c r="E46" s="20" t="s">
        <v>614</v>
      </c>
      <c r="F46" s="20" t="s">
        <v>615</v>
      </c>
      <c r="G46" s="8" t="str">
        <f t="shared" si="0"/>
        <v>YORK EDGAR</v>
      </c>
    </row>
    <row r="47" spans="1:7" x14ac:dyDescent="0.25">
      <c r="A47" s="8">
        <v>42808.273425925923</v>
      </c>
      <c r="B47" s="20" t="s">
        <v>446</v>
      </c>
      <c r="C47" s="20" t="s">
        <v>635</v>
      </c>
      <c r="D47" s="150">
        <v>2010000</v>
      </c>
      <c r="E47" s="20" t="s">
        <v>474</v>
      </c>
      <c r="F47" s="20" t="s">
        <v>475</v>
      </c>
      <c r="G47" s="8" t="str">
        <f t="shared" si="0"/>
        <v>MAELZER KURT</v>
      </c>
    </row>
    <row r="48" spans="1:7" x14ac:dyDescent="0.25">
      <c r="A48" s="8">
        <v>42808.275937500002</v>
      </c>
      <c r="B48" s="20" t="s">
        <v>222</v>
      </c>
      <c r="C48" s="20" t="s">
        <v>636</v>
      </c>
      <c r="D48" s="150">
        <v>2270000</v>
      </c>
      <c r="E48" s="20" t="s">
        <v>212</v>
      </c>
      <c r="F48" s="20" t="s">
        <v>213</v>
      </c>
      <c r="G48" s="8" t="str">
        <f t="shared" si="0"/>
        <v>BROWN JACOB</v>
      </c>
    </row>
    <row r="49" spans="1:7" x14ac:dyDescent="0.25">
      <c r="A49" s="8">
        <v>42808.280115740738</v>
      </c>
      <c r="B49" s="20" t="s">
        <v>400</v>
      </c>
      <c r="C49" s="20" t="s">
        <v>637</v>
      </c>
      <c r="D49" s="150">
        <v>890000</v>
      </c>
      <c r="E49" s="20" t="s">
        <v>617</v>
      </c>
      <c r="F49" s="20" t="s">
        <v>618</v>
      </c>
      <c r="G49" s="8" t="str">
        <f t="shared" si="0"/>
        <v>LOZA FIDEL</v>
      </c>
    </row>
    <row r="50" spans="1:7" x14ac:dyDescent="0.25">
      <c r="A50" s="8">
        <v>42808.286921296298</v>
      </c>
      <c r="B50" s="20" t="s">
        <v>498</v>
      </c>
      <c r="C50" s="20" t="s">
        <v>638</v>
      </c>
      <c r="D50" s="150">
        <v>1110000</v>
      </c>
      <c r="E50" s="20" t="s">
        <v>606</v>
      </c>
      <c r="F50" s="20" t="s">
        <v>607</v>
      </c>
      <c r="G50" s="8" t="str">
        <f t="shared" si="0"/>
        <v>STARKS ANGELINA</v>
      </c>
    </row>
    <row r="51" spans="1:7" x14ac:dyDescent="0.25">
      <c r="A51" s="8">
        <v>42808.287118055552</v>
      </c>
      <c r="B51" s="20" t="s">
        <v>447</v>
      </c>
      <c r="C51" s="20" t="s">
        <v>639</v>
      </c>
      <c r="D51" s="150">
        <v>1360000</v>
      </c>
      <c r="E51" s="20" t="s">
        <v>467</v>
      </c>
      <c r="F51" s="20" t="s">
        <v>468</v>
      </c>
      <c r="G51" s="8" t="str">
        <f t="shared" si="0"/>
        <v>SANTIZO D. EDY</v>
      </c>
    </row>
    <row r="52" spans="1:7" x14ac:dyDescent="0.25">
      <c r="A52" s="8">
        <v>42808.296296296299</v>
      </c>
      <c r="B52" s="20" t="s">
        <v>567</v>
      </c>
      <c r="C52" s="20" t="s">
        <v>640</v>
      </c>
      <c r="D52" s="150">
        <v>1830000</v>
      </c>
      <c r="E52" s="20" t="s">
        <v>614</v>
      </c>
      <c r="F52" s="20" t="s">
        <v>615</v>
      </c>
      <c r="G52" s="8" t="str">
        <f t="shared" si="0"/>
        <v>YORK EDGAR</v>
      </c>
    </row>
    <row r="53" spans="1:7" x14ac:dyDescent="0.25">
      <c r="A53" s="8">
        <v>42808.296412037038</v>
      </c>
      <c r="B53" s="20" t="s">
        <v>575</v>
      </c>
      <c r="C53" s="20" t="s">
        <v>641</v>
      </c>
      <c r="D53" s="150">
        <v>940000</v>
      </c>
      <c r="E53" s="20" t="s">
        <v>500</v>
      </c>
      <c r="F53" s="20" t="s">
        <v>501</v>
      </c>
      <c r="G53" s="8" t="str">
        <f t="shared" si="0"/>
        <v>BONDS REYNALDO</v>
      </c>
    </row>
    <row r="54" spans="1:7" x14ac:dyDescent="0.25">
      <c r="A54" s="8">
        <v>42808.300983796296</v>
      </c>
      <c r="B54" s="20" t="s">
        <v>469</v>
      </c>
      <c r="C54" s="20" t="s">
        <v>642</v>
      </c>
      <c r="D54" s="150">
        <v>900000</v>
      </c>
      <c r="E54" s="20" t="s">
        <v>502</v>
      </c>
      <c r="F54" s="20" t="s">
        <v>503</v>
      </c>
      <c r="G54" s="8" t="str">
        <f t="shared" si="0"/>
        <v>ROCHA YAOTL</v>
      </c>
    </row>
    <row r="55" spans="1:7" x14ac:dyDescent="0.25">
      <c r="A55" s="8">
        <v>42808.303611111114</v>
      </c>
      <c r="B55" s="20" t="s">
        <v>190</v>
      </c>
      <c r="C55" s="20" t="s">
        <v>643</v>
      </c>
      <c r="D55" s="150">
        <v>2270000</v>
      </c>
      <c r="E55" s="20" t="s">
        <v>212</v>
      </c>
      <c r="F55" s="20" t="s">
        <v>213</v>
      </c>
      <c r="G55" s="8" t="str">
        <f t="shared" si="0"/>
        <v>BROWN JACOB</v>
      </c>
    </row>
    <row r="56" spans="1:7" x14ac:dyDescent="0.25">
      <c r="A56" s="8">
        <v>42808.306550925925</v>
      </c>
      <c r="B56" s="20" t="s">
        <v>462</v>
      </c>
      <c r="C56" s="20" t="s">
        <v>644</v>
      </c>
      <c r="D56" s="150">
        <v>1990000</v>
      </c>
      <c r="E56" s="20" t="s">
        <v>470</v>
      </c>
      <c r="F56" s="20" t="s">
        <v>471</v>
      </c>
      <c r="G56" s="8" t="str">
        <f t="shared" si="0"/>
        <v>DAVIS WENDY</v>
      </c>
    </row>
    <row r="57" spans="1:7" x14ac:dyDescent="0.25">
      <c r="A57" s="8">
        <v>42808.309317129628</v>
      </c>
      <c r="B57" s="20" t="s">
        <v>449</v>
      </c>
      <c r="C57" s="20" t="s">
        <v>645</v>
      </c>
      <c r="D57" s="150">
        <v>2010000</v>
      </c>
      <c r="E57" s="20" t="s">
        <v>474</v>
      </c>
      <c r="F57" s="20" t="s">
        <v>475</v>
      </c>
      <c r="G57" s="8" t="str">
        <f t="shared" si="0"/>
        <v>MAELZER KURT</v>
      </c>
    </row>
    <row r="58" spans="1:7" x14ac:dyDescent="0.25">
      <c r="A58" s="8">
        <v>42808.311157407406</v>
      </c>
      <c r="B58" s="20" t="s">
        <v>570</v>
      </c>
      <c r="C58" s="20" t="s">
        <v>646</v>
      </c>
      <c r="D58" s="150">
        <v>1830000</v>
      </c>
      <c r="E58" s="20" t="s">
        <v>614</v>
      </c>
      <c r="F58" s="20" t="s">
        <v>615</v>
      </c>
      <c r="G58" s="8" t="str">
        <f t="shared" si="0"/>
        <v>YORK EDGAR</v>
      </c>
    </row>
    <row r="59" spans="1:7" x14ac:dyDescent="0.25">
      <c r="A59" s="8">
        <v>42808.317430555559</v>
      </c>
      <c r="B59" s="20" t="s">
        <v>222</v>
      </c>
      <c r="C59" s="20" t="s">
        <v>647</v>
      </c>
      <c r="D59" s="150">
        <v>2270000</v>
      </c>
      <c r="E59" s="20" t="s">
        <v>212</v>
      </c>
      <c r="F59" s="20" t="s">
        <v>213</v>
      </c>
      <c r="G59" s="8" t="str">
        <f t="shared" si="0"/>
        <v>BROWN JACOB</v>
      </c>
    </row>
    <row r="60" spans="1:7" x14ac:dyDescent="0.25">
      <c r="A60" s="8">
        <v>42808.318171296298</v>
      </c>
      <c r="B60" s="20" t="s">
        <v>626</v>
      </c>
      <c r="C60" s="20" t="s">
        <v>648</v>
      </c>
      <c r="D60" s="150">
        <v>890000</v>
      </c>
      <c r="E60" s="20" t="s">
        <v>617</v>
      </c>
      <c r="F60" s="20" t="s">
        <v>618</v>
      </c>
      <c r="G60" s="8" t="str">
        <f t="shared" si="0"/>
        <v>LOZA FIDEL</v>
      </c>
    </row>
    <row r="61" spans="1:7" x14ac:dyDescent="0.25">
      <c r="A61" s="8">
        <v>42808.31832175926</v>
      </c>
      <c r="B61" s="20" t="s">
        <v>448</v>
      </c>
      <c r="C61" s="20" t="s">
        <v>649</v>
      </c>
      <c r="D61" s="150">
        <v>1360000</v>
      </c>
      <c r="E61" s="20" t="s">
        <v>467</v>
      </c>
      <c r="F61" s="20" t="s">
        <v>468</v>
      </c>
      <c r="G61" s="8" t="str">
        <f t="shared" si="0"/>
        <v>SANTIZO D. EDY</v>
      </c>
    </row>
    <row r="62" spans="1:7" x14ac:dyDescent="0.25">
      <c r="A62" s="8">
        <v>42808.320798611108</v>
      </c>
      <c r="B62" s="20" t="s">
        <v>390</v>
      </c>
      <c r="C62" s="20" t="s">
        <v>650</v>
      </c>
      <c r="D62" s="150">
        <v>1110000</v>
      </c>
      <c r="E62" s="20" t="s">
        <v>606</v>
      </c>
      <c r="F62" s="20" t="s">
        <v>607</v>
      </c>
      <c r="G62" s="8" t="str">
        <f t="shared" si="0"/>
        <v>STARKS ANGELINA</v>
      </c>
    </row>
    <row r="63" spans="1:7" x14ac:dyDescent="0.25">
      <c r="A63" s="8">
        <v>42808.329976851855</v>
      </c>
      <c r="B63" s="20" t="s">
        <v>594</v>
      </c>
      <c r="C63" s="20" t="s">
        <v>651</v>
      </c>
      <c r="D63" s="150">
        <v>1230000</v>
      </c>
      <c r="E63" s="20" t="s">
        <v>504</v>
      </c>
      <c r="F63" s="20" t="s">
        <v>505</v>
      </c>
      <c r="G63" s="8" t="str">
        <f t="shared" si="0"/>
        <v>YANAI IAN</v>
      </c>
    </row>
    <row r="64" spans="1:7" x14ac:dyDescent="0.25">
      <c r="A64" s="26">
        <v>42808.336851851855</v>
      </c>
      <c r="B64" s="20" t="s">
        <v>567</v>
      </c>
      <c r="C64" s="20" t="s">
        <v>652</v>
      </c>
      <c r="D64" s="150">
        <v>1830000</v>
      </c>
      <c r="E64" s="20" t="s">
        <v>614</v>
      </c>
      <c r="F64" s="20" t="s">
        <v>615</v>
      </c>
      <c r="G64" s="8" t="str">
        <f t="shared" si="0"/>
        <v>YORK EDGAR</v>
      </c>
    </row>
    <row r="65" spans="1:7" x14ac:dyDescent="0.25">
      <c r="A65" s="8">
        <v>42808.339409722219</v>
      </c>
      <c r="B65" s="20" t="s">
        <v>461</v>
      </c>
      <c r="C65" s="20" t="s">
        <v>566</v>
      </c>
      <c r="D65" s="150">
        <v>1990000</v>
      </c>
      <c r="E65" s="20" t="s">
        <v>470</v>
      </c>
      <c r="F65" s="20" t="s">
        <v>471</v>
      </c>
      <c r="G65" s="8" t="str">
        <f t="shared" si="0"/>
        <v>DAVIS WENDY</v>
      </c>
    </row>
    <row r="66" spans="1:7" x14ac:dyDescent="0.25">
      <c r="A66" s="8">
        <v>42808.339722222219</v>
      </c>
      <c r="B66" s="20" t="s">
        <v>463</v>
      </c>
      <c r="C66" s="20" t="s">
        <v>653</v>
      </c>
      <c r="D66" s="150">
        <v>900000</v>
      </c>
      <c r="E66" s="20" t="s">
        <v>502</v>
      </c>
      <c r="F66" s="20" t="s">
        <v>503</v>
      </c>
      <c r="G66" s="8" t="str">
        <f t="shared" si="0"/>
        <v>ROCHA YAOTL</v>
      </c>
    </row>
    <row r="67" spans="1:7" x14ac:dyDescent="0.25">
      <c r="A67" s="8">
        <v>42808.343425925923</v>
      </c>
      <c r="B67" s="20" t="s">
        <v>446</v>
      </c>
      <c r="C67" s="20" t="s">
        <v>654</v>
      </c>
      <c r="D67" s="150">
        <v>2010000</v>
      </c>
      <c r="E67" s="20" t="s">
        <v>474</v>
      </c>
      <c r="F67" s="20" t="s">
        <v>475</v>
      </c>
      <c r="G67" s="8" t="str">
        <f t="shared" ref="G67:G130" si="1">E67&amp;" "&amp;F67</f>
        <v>MAELZER KURT</v>
      </c>
    </row>
    <row r="68" spans="1:7" x14ac:dyDescent="0.25">
      <c r="A68" s="8">
        <v>42808.346875000003</v>
      </c>
      <c r="B68" s="20" t="s">
        <v>190</v>
      </c>
      <c r="C68" s="20" t="s">
        <v>655</v>
      </c>
      <c r="D68" s="150">
        <v>2270000</v>
      </c>
      <c r="E68" s="20" t="s">
        <v>212</v>
      </c>
      <c r="F68" s="20" t="s">
        <v>213</v>
      </c>
      <c r="G68" s="8" t="str">
        <f t="shared" si="1"/>
        <v>BROWN JACOB</v>
      </c>
    </row>
    <row r="69" spans="1:7" x14ac:dyDescent="0.25">
      <c r="A69" s="8">
        <v>42808.3515162037</v>
      </c>
      <c r="B69" s="20" t="s">
        <v>400</v>
      </c>
      <c r="C69" s="20" t="s">
        <v>656</v>
      </c>
      <c r="D69" s="150">
        <v>890000</v>
      </c>
      <c r="E69" s="20" t="s">
        <v>617</v>
      </c>
      <c r="F69" s="20" t="s">
        <v>618</v>
      </c>
      <c r="G69" s="8" t="str">
        <f t="shared" si="1"/>
        <v>LOZA FIDEL</v>
      </c>
    </row>
    <row r="70" spans="1:7" x14ac:dyDescent="0.25">
      <c r="A70" s="8">
        <v>42808.352175925924</v>
      </c>
      <c r="B70" s="20" t="s">
        <v>570</v>
      </c>
      <c r="C70" s="20" t="s">
        <v>657</v>
      </c>
      <c r="D70" s="150">
        <v>1830000</v>
      </c>
      <c r="E70" s="20" t="s">
        <v>614</v>
      </c>
      <c r="F70" s="20" t="s">
        <v>615</v>
      </c>
      <c r="G70" s="8" t="str">
        <f t="shared" si="1"/>
        <v>YORK EDGAR</v>
      </c>
    </row>
    <row r="71" spans="1:7" x14ac:dyDescent="0.25">
      <c r="A71" s="8">
        <v>42808.358495370368</v>
      </c>
      <c r="B71" s="20" t="s">
        <v>447</v>
      </c>
      <c r="C71" s="20" t="s">
        <v>658</v>
      </c>
      <c r="D71" s="150">
        <v>1360000</v>
      </c>
      <c r="E71" s="20" t="s">
        <v>467</v>
      </c>
      <c r="F71" s="20" t="s">
        <v>468</v>
      </c>
      <c r="G71" s="8" t="str">
        <f t="shared" si="1"/>
        <v>SANTIZO D. EDY</v>
      </c>
    </row>
    <row r="72" spans="1:7" x14ac:dyDescent="0.25">
      <c r="A72" s="8">
        <v>42808.359131944446</v>
      </c>
      <c r="B72" s="20" t="s">
        <v>222</v>
      </c>
      <c r="C72" s="20" t="s">
        <v>659</v>
      </c>
      <c r="D72" s="150">
        <v>2270000</v>
      </c>
      <c r="E72" s="20" t="s">
        <v>212</v>
      </c>
      <c r="F72" s="20" t="s">
        <v>213</v>
      </c>
      <c r="G72" s="8" t="str">
        <f t="shared" si="1"/>
        <v>BROWN JACOB</v>
      </c>
    </row>
    <row r="73" spans="1:7" x14ac:dyDescent="0.25">
      <c r="A73" s="8">
        <v>42808.360590277778</v>
      </c>
      <c r="B73" s="20" t="s">
        <v>498</v>
      </c>
      <c r="C73" s="20" t="s">
        <v>660</v>
      </c>
      <c r="D73" s="150">
        <v>1110000</v>
      </c>
      <c r="E73" s="20" t="s">
        <v>606</v>
      </c>
      <c r="F73" s="20" t="s">
        <v>607</v>
      </c>
      <c r="G73" s="8" t="str">
        <f t="shared" si="1"/>
        <v>STARKS ANGELINA</v>
      </c>
    </row>
    <row r="74" spans="1:7" x14ac:dyDescent="0.25">
      <c r="A74" s="8">
        <v>42808.363761574074</v>
      </c>
      <c r="B74" s="20" t="s">
        <v>575</v>
      </c>
      <c r="C74" s="20" t="s">
        <v>661</v>
      </c>
      <c r="D74" s="150">
        <v>1230000</v>
      </c>
      <c r="E74" s="20" t="s">
        <v>504</v>
      </c>
      <c r="F74" s="20" t="s">
        <v>505</v>
      </c>
      <c r="G74" s="8" t="str">
        <f t="shared" si="1"/>
        <v>YANAI IAN</v>
      </c>
    </row>
    <row r="75" spans="1:7" x14ac:dyDescent="0.25">
      <c r="A75" s="8">
        <v>42808.373368055552</v>
      </c>
      <c r="B75" s="20" t="s">
        <v>469</v>
      </c>
      <c r="C75" s="20" t="s">
        <v>662</v>
      </c>
      <c r="D75" s="150">
        <v>900000</v>
      </c>
      <c r="E75" s="20" t="s">
        <v>502</v>
      </c>
      <c r="F75" s="20" t="s">
        <v>503</v>
      </c>
      <c r="G75" s="8" t="str">
        <f t="shared" si="1"/>
        <v>ROCHA YAOTL</v>
      </c>
    </row>
    <row r="76" spans="1:7" x14ac:dyDescent="0.25">
      <c r="A76" s="8">
        <v>42808.373414351852</v>
      </c>
      <c r="B76" s="20" t="s">
        <v>567</v>
      </c>
      <c r="C76" s="20" t="s">
        <v>568</v>
      </c>
      <c r="D76" s="150">
        <v>860000</v>
      </c>
      <c r="E76" s="20" t="s">
        <v>663</v>
      </c>
      <c r="F76" s="20" t="s">
        <v>664</v>
      </c>
      <c r="G76" s="8" t="str">
        <f t="shared" si="1"/>
        <v>ARNOLD PAUL</v>
      </c>
    </row>
    <row r="77" spans="1:7" x14ac:dyDescent="0.25">
      <c r="A77" s="8">
        <v>42808.380324074074</v>
      </c>
      <c r="B77" s="20" t="s">
        <v>462</v>
      </c>
      <c r="C77" s="20" t="s">
        <v>665</v>
      </c>
      <c r="D77" s="150">
        <v>1990000</v>
      </c>
      <c r="E77" s="20" t="s">
        <v>470</v>
      </c>
      <c r="F77" s="20" t="s">
        <v>471</v>
      </c>
      <c r="G77" s="8" t="str">
        <f t="shared" si="1"/>
        <v>DAVIS WENDY</v>
      </c>
    </row>
    <row r="78" spans="1:7" x14ac:dyDescent="0.25">
      <c r="A78" s="8">
        <v>42808.380995370368</v>
      </c>
      <c r="B78" s="20" t="s">
        <v>462</v>
      </c>
      <c r="C78" s="20" t="s">
        <v>665</v>
      </c>
      <c r="D78" s="150">
        <v>1990000</v>
      </c>
      <c r="E78" s="20" t="s">
        <v>470</v>
      </c>
      <c r="F78" s="20" t="s">
        <v>471</v>
      </c>
      <c r="G78" s="8" t="str">
        <f t="shared" si="1"/>
        <v>DAVIS WENDY</v>
      </c>
    </row>
    <row r="79" spans="1:7" x14ac:dyDescent="0.25">
      <c r="A79" s="8">
        <v>42808.382939814815</v>
      </c>
      <c r="B79" s="20" t="s">
        <v>449</v>
      </c>
      <c r="C79" s="20" t="s">
        <v>666</v>
      </c>
      <c r="D79" s="150">
        <v>2010000</v>
      </c>
      <c r="E79" s="20" t="s">
        <v>474</v>
      </c>
      <c r="F79" s="20" t="s">
        <v>475</v>
      </c>
      <c r="G79" s="8" t="str">
        <f t="shared" si="1"/>
        <v>MAELZER KURT</v>
      </c>
    </row>
    <row r="80" spans="1:7" x14ac:dyDescent="0.25">
      <c r="A80" s="8">
        <v>42808.386076388888</v>
      </c>
      <c r="B80" s="20" t="s">
        <v>190</v>
      </c>
      <c r="C80" s="20" t="s">
        <v>667</v>
      </c>
      <c r="D80" s="150">
        <v>2270000</v>
      </c>
      <c r="E80" s="20" t="s">
        <v>212</v>
      </c>
      <c r="F80" s="20" t="s">
        <v>213</v>
      </c>
      <c r="G80" s="8" t="str">
        <f t="shared" si="1"/>
        <v>BROWN JACOB</v>
      </c>
    </row>
    <row r="81" spans="1:7" x14ac:dyDescent="0.25">
      <c r="A81" s="8">
        <v>42808.389803240738</v>
      </c>
      <c r="B81" s="20" t="s">
        <v>570</v>
      </c>
      <c r="C81" s="20" t="s">
        <v>568</v>
      </c>
      <c r="D81" s="150">
        <v>860000</v>
      </c>
      <c r="E81" s="20" t="s">
        <v>663</v>
      </c>
      <c r="F81" s="20" t="s">
        <v>664</v>
      </c>
      <c r="G81" s="8" t="str">
        <f t="shared" si="1"/>
        <v>ARNOLD PAUL</v>
      </c>
    </row>
    <row r="82" spans="1:7" x14ac:dyDescent="0.25">
      <c r="A82" s="8">
        <v>42808.3903125</v>
      </c>
      <c r="B82" s="20" t="s">
        <v>626</v>
      </c>
      <c r="C82" s="20" t="s">
        <v>668</v>
      </c>
      <c r="D82" s="150">
        <v>890000</v>
      </c>
      <c r="E82" s="20" t="s">
        <v>617</v>
      </c>
      <c r="F82" s="20" t="s">
        <v>618</v>
      </c>
      <c r="G82" s="8" t="str">
        <f t="shared" si="1"/>
        <v>LOZA FIDEL</v>
      </c>
    </row>
    <row r="83" spans="1:7" x14ac:dyDescent="0.25">
      <c r="A83" s="8">
        <v>42808.391284722224</v>
      </c>
      <c r="B83" s="20" t="s">
        <v>448</v>
      </c>
      <c r="C83" s="20" t="s">
        <v>669</v>
      </c>
      <c r="D83" s="150">
        <v>1360000</v>
      </c>
      <c r="E83" s="20" t="s">
        <v>467</v>
      </c>
      <c r="F83" s="20" t="s">
        <v>468</v>
      </c>
      <c r="G83" s="8" t="str">
        <f t="shared" si="1"/>
        <v>SANTIZO D. EDY</v>
      </c>
    </row>
    <row r="84" spans="1:7" x14ac:dyDescent="0.25">
      <c r="A84" s="8">
        <v>42808.392812500002</v>
      </c>
      <c r="B84" s="20" t="s">
        <v>390</v>
      </c>
      <c r="C84" s="20" t="s">
        <v>670</v>
      </c>
      <c r="D84" s="150">
        <v>1110000</v>
      </c>
      <c r="E84" s="20" t="s">
        <v>606</v>
      </c>
      <c r="F84" s="20" t="s">
        <v>607</v>
      </c>
      <c r="G84" s="8" t="str">
        <f t="shared" si="1"/>
        <v>STARKS ANGELINA</v>
      </c>
    </row>
    <row r="85" spans="1:7" x14ac:dyDescent="0.25">
      <c r="A85" s="8">
        <v>42808.400289351855</v>
      </c>
      <c r="B85" s="20" t="s">
        <v>222</v>
      </c>
      <c r="C85" s="20" t="s">
        <v>569</v>
      </c>
      <c r="D85" s="150">
        <v>2270000</v>
      </c>
      <c r="E85" s="20" t="s">
        <v>212</v>
      </c>
      <c r="F85" s="20" t="s">
        <v>213</v>
      </c>
      <c r="G85" s="8" t="str">
        <f t="shared" si="1"/>
        <v>BROWN JACOB</v>
      </c>
    </row>
    <row r="86" spans="1:7" x14ac:dyDescent="0.25">
      <c r="A86" s="8">
        <v>42808.400312500002</v>
      </c>
      <c r="B86" s="20" t="s">
        <v>567</v>
      </c>
      <c r="C86" s="20" t="s">
        <v>568</v>
      </c>
      <c r="D86" s="150">
        <v>860000</v>
      </c>
      <c r="E86" s="20" t="s">
        <v>663</v>
      </c>
      <c r="F86" s="20" t="s">
        <v>664</v>
      </c>
      <c r="G86" s="8" t="str">
        <f t="shared" si="1"/>
        <v>ARNOLD PAUL</v>
      </c>
    </row>
    <row r="87" spans="1:7" x14ac:dyDescent="0.25">
      <c r="A87" s="8">
        <v>42808.401655092595</v>
      </c>
      <c r="B87" s="20" t="s">
        <v>567</v>
      </c>
      <c r="C87" s="20" t="s">
        <v>568</v>
      </c>
      <c r="D87" s="150">
        <v>860000</v>
      </c>
      <c r="E87" s="20" t="s">
        <v>663</v>
      </c>
      <c r="F87" s="20" t="s">
        <v>664</v>
      </c>
      <c r="G87" s="8" t="str">
        <f t="shared" si="1"/>
        <v>ARNOLD PAUL</v>
      </c>
    </row>
    <row r="88" spans="1:7" x14ac:dyDescent="0.25">
      <c r="A88" s="8">
        <v>42808.401689814818</v>
      </c>
      <c r="B88" s="20" t="s">
        <v>594</v>
      </c>
      <c r="C88" s="20" t="s">
        <v>671</v>
      </c>
      <c r="D88" s="150">
        <v>940000</v>
      </c>
      <c r="E88" s="20" t="s">
        <v>500</v>
      </c>
      <c r="F88" s="20" t="s">
        <v>501</v>
      </c>
      <c r="G88" s="8" t="str">
        <f t="shared" si="1"/>
        <v>BONDS REYNALDO</v>
      </c>
    </row>
    <row r="89" spans="1:7" x14ac:dyDescent="0.25">
      <c r="A89" s="8">
        <v>42808.402129629627</v>
      </c>
      <c r="B89" s="20" t="s">
        <v>390</v>
      </c>
      <c r="C89" s="20" t="s">
        <v>670</v>
      </c>
      <c r="D89" s="150">
        <v>1110000</v>
      </c>
      <c r="E89" s="20" t="s">
        <v>606</v>
      </c>
      <c r="F89" s="20" t="s">
        <v>607</v>
      </c>
      <c r="G89" s="8" t="str">
        <f t="shared" si="1"/>
        <v>STARKS ANGELINA</v>
      </c>
    </row>
    <row r="90" spans="1:7" x14ac:dyDescent="0.25">
      <c r="A90" s="8">
        <v>42808.412523148145</v>
      </c>
      <c r="B90" s="20" t="s">
        <v>461</v>
      </c>
      <c r="C90" s="20" t="s">
        <v>672</v>
      </c>
      <c r="D90" s="150">
        <v>1990000</v>
      </c>
      <c r="E90" s="20" t="s">
        <v>470</v>
      </c>
      <c r="F90" s="20" t="s">
        <v>471</v>
      </c>
      <c r="G90" s="8" t="str">
        <f t="shared" si="1"/>
        <v>DAVIS WENDY</v>
      </c>
    </row>
    <row r="91" spans="1:7" x14ac:dyDescent="0.25">
      <c r="A91" s="8">
        <v>42808.41369212963</v>
      </c>
      <c r="B91" s="20" t="s">
        <v>463</v>
      </c>
      <c r="C91" s="20" t="s">
        <v>673</v>
      </c>
      <c r="D91" s="150">
        <v>900000</v>
      </c>
      <c r="E91" s="20" t="s">
        <v>502</v>
      </c>
      <c r="F91" s="20" t="s">
        <v>503</v>
      </c>
      <c r="G91" s="8" t="str">
        <f t="shared" si="1"/>
        <v>ROCHA YAOTL</v>
      </c>
    </row>
    <row r="92" spans="1:7" x14ac:dyDescent="0.25">
      <c r="A92" s="8">
        <v>42808.418749999997</v>
      </c>
      <c r="B92" s="20" t="s">
        <v>203</v>
      </c>
      <c r="C92" s="20" t="s">
        <v>674</v>
      </c>
      <c r="D92" s="150">
        <v>1340000</v>
      </c>
      <c r="E92" s="20" t="s">
        <v>675</v>
      </c>
      <c r="F92" s="20" t="s">
        <v>676</v>
      </c>
      <c r="G92" s="8" t="str">
        <f t="shared" si="1"/>
        <v>BEAM ROSS</v>
      </c>
    </row>
    <row r="93" spans="1:7" x14ac:dyDescent="0.25">
      <c r="A93" s="8">
        <v>42808.419236111113</v>
      </c>
      <c r="B93" s="20" t="s">
        <v>446</v>
      </c>
      <c r="C93" s="20" t="s">
        <v>677</v>
      </c>
      <c r="D93" s="150">
        <v>2010000</v>
      </c>
      <c r="E93" s="20" t="s">
        <v>474</v>
      </c>
      <c r="F93" s="20" t="s">
        <v>475</v>
      </c>
      <c r="G93" s="8" t="str">
        <f t="shared" si="1"/>
        <v>MAELZER KURT</v>
      </c>
    </row>
    <row r="94" spans="1:7" x14ac:dyDescent="0.25">
      <c r="A94" s="8">
        <v>42808.419548611113</v>
      </c>
      <c r="B94" s="20" t="s">
        <v>570</v>
      </c>
      <c r="C94" s="20" t="s">
        <v>568</v>
      </c>
      <c r="D94" s="150">
        <v>860000</v>
      </c>
      <c r="E94" s="20" t="s">
        <v>663</v>
      </c>
      <c r="F94" s="20" t="s">
        <v>664</v>
      </c>
      <c r="G94" s="8" t="str">
        <f t="shared" si="1"/>
        <v>ARNOLD PAUL</v>
      </c>
    </row>
    <row r="95" spans="1:7" x14ac:dyDescent="0.25">
      <c r="A95" s="8">
        <v>42808.42460648148</v>
      </c>
      <c r="B95" s="20" t="s">
        <v>400</v>
      </c>
      <c r="C95" s="20" t="s">
        <v>678</v>
      </c>
      <c r="D95" s="150">
        <v>890000</v>
      </c>
      <c r="E95" s="20" t="s">
        <v>617</v>
      </c>
      <c r="F95" s="20" t="s">
        <v>618</v>
      </c>
      <c r="G95" s="8" t="str">
        <f t="shared" si="1"/>
        <v>LOZA FIDEL</v>
      </c>
    </row>
    <row r="96" spans="1:7" x14ac:dyDescent="0.25">
      <c r="A96" s="8">
        <v>42808.428171296298</v>
      </c>
      <c r="B96" s="20" t="s">
        <v>190</v>
      </c>
      <c r="C96" s="20" t="s">
        <v>679</v>
      </c>
      <c r="D96" s="150">
        <v>2270000</v>
      </c>
      <c r="E96" s="20" t="s">
        <v>212</v>
      </c>
      <c r="F96" s="20" t="s">
        <v>213</v>
      </c>
      <c r="G96" s="8" t="str">
        <f t="shared" si="1"/>
        <v>BROWN JACOB</v>
      </c>
    </row>
    <row r="97" spans="1:7" x14ac:dyDescent="0.25">
      <c r="A97" s="8">
        <v>42808.428796296299</v>
      </c>
      <c r="B97" s="20" t="s">
        <v>389</v>
      </c>
      <c r="C97" s="20" t="s">
        <v>674</v>
      </c>
      <c r="D97" s="150">
        <v>1340000</v>
      </c>
      <c r="E97" s="20" t="s">
        <v>675</v>
      </c>
      <c r="F97" s="20" t="s">
        <v>676</v>
      </c>
      <c r="G97" s="8" t="str">
        <f t="shared" si="1"/>
        <v>BEAM ROSS</v>
      </c>
    </row>
    <row r="98" spans="1:7" x14ac:dyDescent="0.25">
      <c r="A98" s="8">
        <v>42808.429664351854</v>
      </c>
      <c r="B98" s="20" t="s">
        <v>498</v>
      </c>
      <c r="C98" s="20" t="s">
        <v>572</v>
      </c>
      <c r="D98" s="150">
        <v>1110000</v>
      </c>
      <c r="E98" s="20" t="s">
        <v>606</v>
      </c>
      <c r="F98" s="20" t="s">
        <v>607</v>
      </c>
      <c r="G98" s="8" t="str">
        <f t="shared" si="1"/>
        <v>STARKS ANGELINA</v>
      </c>
    </row>
    <row r="99" spans="1:7" x14ac:dyDescent="0.25">
      <c r="A99" s="8">
        <v>42808.432384259257</v>
      </c>
      <c r="B99" s="20" t="s">
        <v>567</v>
      </c>
      <c r="C99" s="20" t="s">
        <v>568</v>
      </c>
      <c r="D99" s="150">
        <v>860000</v>
      </c>
      <c r="E99" s="20" t="s">
        <v>663</v>
      </c>
      <c r="F99" s="20" t="s">
        <v>664</v>
      </c>
      <c r="G99" s="8" t="str">
        <f t="shared" si="1"/>
        <v>ARNOLD PAUL</v>
      </c>
    </row>
    <row r="100" spans="1:7" x14ac:dyDescent="0.25">
      <c r="A100" s="8">
        <v>42808.435995370368</v>
      </c>
      <c r="B100" s="20" t="s">
        <v>447</v>
      </c>
      <c r="C100" s="20" t="s">
        <v>680</v>
      </c>
      <c r="D100" s="150">
        <v>1830000</v>
      </c>
      <c r="E100" s="20" t="s">
        <v>614</v>
      </c>
      <c r="F100" s="20" t="s">
        <v>615</v>
      </c>
      <c r="G100" s="8" t="str">
        <f t="shared" si="1"/>
        <v>YORK EDGAR</v>
      </c>
    </row>
    <row r="101" spans="1:7" x14ac:dyDescent="0.25">
      <c r="A101" s="8">
        <v>42808.442719907405</v>
      </c>
      <c r="B101" s="20" t="s">
        <v>222</v>
      </c>
      <c r="C101" s="20" t="s">
        <v>571</v>
      </c>
      <c r="D101" s="150">
        <v>2270000</v>
      </c>
      <c r="E101" s="20" t="s">
        <v>212</v>
      </c>
      <c r="F101" s="20" t="s">
        <v>213</v>
      </c>
      <c r="G101" s="8" t="str">
        <f t="shared" si="1"/>
        <v>BROWN JACOB</v>
      </c>
    </row>
    <row r="102" spans="1:7" x14ac:dyDescent="0.25">
      <c r="A102" s="8">
        <v>42808.443842592591</v>
      </c>
      <c r="B102" s="20" t="s">
        <v>570</v>
      </c>
      <c r="C102" s="20" t="s">
        <v>568</v>
      </c>
      <c r="D102" s="150">
        <v>860000</v>
      </c>
      <c r="E102" s="20" t="s">
        <v>663</v>
      </c>
      <c r="F102" s="20" t="s">
        <v>664</v>
      </c>
      <c r="G102" s="8" t="str">
        <f t="shared" si="1"/>
        <v>ARNOLD PAUL</v>
      </c>
    </row>
    <row r="103" spans="1:7" x14ac:dyDescent="0.25">
      <c r="A103" s="8">
        <v>42808.444120370368</v>
      </c>
      <c r="B103" s="20" t="s">
        <v>575</v>
      </c>
      <c r="C103" s="20" t="s">
        <v>681</v>
      </c>
      <c r="D103" s="150">
        <v>940000</v>
      </c>
      <c r="E103" s="20" t="s">
        <v>500</v>
      </c>
      <c r="F103" s="20" t="s">
        <v>501</v>
      </c>
      <c r="G103" s="8" t="str">
        <f t="shared" si="1"/>
        <v>BONDS REYNALDO</v>
      </c>
    </row>
    <row r="104" spans="1:7" x14ac:dyDescent="0.25">
      <c r="A104" s="8">
        <v>42808.4450462963</v>
      </c>
      <c r="B104" s="20" t="s">
        <v>570</v>
      </c>
      <c r="C104" s="20" t="s">
        <v>568</v>
      </c>
      <c r="D104" s="150">
        <v>860000</v>
      </c>
      <c r="E104" s="20" t="s">
        <v>663</v>
      </c>
      <c r="F104" s="20" t="s">
        <v>664</v>
      </c>
      <c r="G104" s="8" t="str">
        <f t="shared" si="1"/>
        <v>ARNOLD PAUL</v>
      </c>
    </row>
    <row r="105" spans="1:7" x14ac:dyDescent="0.25">
      <c r="A105" s="8">
        <v>42808.445277777777</v>
      </c>
      <c r="B105" s="20" t="s">
        <v>203</v>
      </c>
      <c r="C105" s="20" t="s">
        <v>674</v>
      </c>
      <c r="D105" s="150">
        <v>1340000</v>
      </c>
      <c r="E105" s="20" t="s">
        <v>675</v>
      </c>
      <c r="F105" s="20" t="s">
        <v>676</v>
      </c>
      <c r="G105" s="8" t="str">
        <f t="shared" si="1"/>
        <v>BEAM ROSS</v>
      </c>
    </row>
    <row r="106" spans="1:7" x14ac:dyDescent="0.25">
      <c r="A106" s="8">
        <v>42808.445729166669</v>
      </c>
      <c r="B106" s="20" t="s">
        <v>469</v>
      </c>
      <c r="C106" s="20" t="s">
        <v>682</v>
      </c>
      <c r="D106" s="150">
        <v>900000</v>
      </c>
      <c r="E106" s="20" t="s">
        <v>502</v>
      </c>
      <c r="F106" s="20" t="s">
        <v>503</v>
      </c>
      <c r="G106" s="8" t="str">
        <f t="shared" si="1"/>
        <v>ROCHA YAOTL</v>
      </c>
    </row>
    <row r="107" spans="1:7" x14ac:dyDescent="0.25">
      <c r="A107" s="8">
        <v>42808.445960648147</v>
      </c>
      <c r="B107" s="20" t="s">
        <v>203</v>
      </c>
      <c r="C107" s="20" t="s">
        <v>674</v>
      </c>
      <c r="D107" s="150">
        <v>1340000</v>
      </c>
      <c r="E107" s="20" t="s">
        <v>675</v>
      </c>
      <c r="F107" s="20" t="s">
        <v>676</v>
      </c>
      <c r="G107" s="8" t="str">
        <f t="shared" si="1"/>
        <v>BEAM ROSS</v>
      </c>
    </row>
    <row r="108" spans="1:7" x14ac:dyDescent="0.25">
      <c r="A108" s="8">
        <v>42808.446851851855</v>
      </c>
      <c r="B108" s="20" t="s">
        <v>203</v>
      </c>
      <c r="C108" s="20" t="s">
        <v>674</v>
      </c>
      <c r="D108" s="150">
        <v>1340000</v>
      </c>
      <c r="E108" s="20" t="s">
        <v>675</v>
      </c>
      <c r="F108" s="20" t="s">
        <v>676</v>
      </c>
      <c r="G108" s="8" t="str">
        <f t="shared" si="1"/>
        <v>BEAM ROSS</v>
      </c>
    </row>
    <row r="109" spans="1:7" x14ac:dyDescent="0.25">
      <c r="A109" s="8">
        <v>42808.452094907407</v>
      </c>
      <c r="B109" s="20" t="s">
        <v>462</v>
      </c>
      <c r="C109" s="20" t="s">
        <v>683</v>
      </c>
      <c r="D109" s="150">
        <v>1990000</v>
      </c>
      <c r="E109" s="20" t="s">
        <v>470</v>
      </c>
      <c r="F109" s="20" t="s">
        <v>471</v>
      </c>
      <c r="G109" s="8" t="str">
        <f t="shared" si="1"/>
        <v>DAVIS WENDY</v>
      </c>
    </row>
    <row r="110" spans="1:7" x14ac:dyDescent="0.25">
      <c r="A110" s="8">
        <v>42808.453680555554</v>
      </c>
      <c r="B110" s="20" t="s">
        <v>239</v>
      </c>
      <c r="C110" s="20" t="s">
        <v>684</v>
      </c>
      <c r="D110" s="150">
        <v>1180000</v>
      </c>
      <c r="E110" s="20" t="s">
        <v>508</v>
      </c>
      <c r="F110" s="20" t="s">
        <v>509</v>
      </c>
      <c r="G110" s="8" t="str">
        <f t="shared" si="1"/>
        <v>LEVERE CRAIG</v>
      </c>
    </row>
    <row r="111" spans="1:7" x14ac:dyDescent="0.25">
      <c r="A111" s="8">
        <v>42808.455740740741</v>
      </c>
      <c r="B111" s="20" t="s">
        <v>449</v>
      </c>
      <c r="C111" s="20" t="s">
        <v>685</v>
      </c>
      <c r="D111" s="150">
        <v>920000</v>
      </c>
      <c r="E111" s="20" t="s">
        <v>470</v>
      </c>
      <c r="F111" s="20" t="s">
        <v>199</v>
      </c>
      <c r="G111" s="8" t="str">
        <f t="shared" si="1"/>
        <v>DAVIS MICHAEL</v>
      </c>
    </row>
    <row r="112" spans="1:7" x14ac:dyDescent="0.25">
      <c r="A112" s="8">
        <v>42808.456458333334</v>
      </c>
      <c r="B112" s="20" t="s">
        <v>567</v>
      </c>
      <c r="C112" s="20" t="s">
        <v>568</v>
      </c>
      <c r="D112" s="150">
        <v>860000</v>
      </c>
      <c r="E112" s="20" t="s">
        <v>663</v>
      </c>
      <c r="F112" s="20" t="s">
        <v>664</v>
      </c>
      <c r="G112" s="8" t="str">
        <f t="shared" si="1"/>
        <v>ARNOLD PAUL</v>
      </c>
    </row>
    <row r="113" spans="1:7" x14ac:dyDescent="0.25">
      <c r="A113" s="8">
        <v>42808.462789351855</v>
      </c>
      <c r="B113" s="20" t="s">
        <v>389</v>
      </c>
      <c r="C113" s="20" t="s">
        <v>674</v>
      </c>
      <c r="D113" s="150">
        <v>1340000</v>
      </c>
      <c r="E113" s="20" t="s">
        <v>675</v>
      </c>
      <c r="F113" s="20" t="s">
        <v>676</v>
      </c>
      <c r="G113" s="8" t="str">
        <f t="shared" si="1"/>
        <v>BEAM ROSS</v>
      </c>
    </row>
    <row r="114" spans="1:7" x14ac:dyDescent="0.25">
      <c r="A114" s="8">
        <v>42808.463472222225</v>
      </c>
      <c r="B114" s="20" t="s">
        <v>626</v>
      </c>
      <c r="C114" s="20" t="s">
        <v>686</v>
      </c>
      <c r="D114" s="150">
        <v>890000</v>
      </c>
      <c r="E114" s="20" t="s">
        <v>617</v>
      </c>
      <c r="F114" s="20" t="s">
        <v>618</v>
      </c>
      <c r="G114" s="8" t="str">
        <f t="shared" si="1"/>
        <v>LOZA FIDEL</v>
      </c>
    </row>
    <row r="115" spans="1:7" x14ac:dyDescent="0.25">
      <c r="A115" s="8">
        <v>42808.463935185187</v>
      </c>
      <c r="B115" s="20" t="s">
        <v>448</v>
      </c>
      <c r="C115" s="20" t="s">
        <v>687</v>
      </c>
      <c r="D115" s="150">
        <v>1830000</v>
      </c>
      <c r="E115" s="20" t="s">
        <v>614</v>
      </c>
      <c r="F115" s="20" t="s">
        <v>615</v>
      </c>
      <c r="G115" s="8" t="str">
        <f t="shared" si="1"/>
        <v>YORK EDGAR</v>
      </c>
    </row>
    <row r="116" spans="1:7" x14ac:dyDescent="0.25">
      <c r="A116" s="8">
        <v>42808.464733796296</v>
      </c>
      <c r="B116" s="20" t="s">
        <v>390</v>
      </c>
      <c r="C116" s="20" t="s">
        <v>688</v>
      </c>
      <c r="D116" s="150">
        <v>1760000</v>
      </c>
      <c r="E116" s="20" t="s">
        <v>689</v>
      </c>
      <c r="F116" s="20" t="s">
        <v>690</v>
      </c>
      <c r="G116" s="8" t="str">
        <f t="shared" si="1"/>
        <v>STRICKLAND EVAN</v>
      </c>
    </row>
    <row r="117" spans="1:7" x14ac:dyDescent="0.25">
      <c r="A117" s="8">
        <v>42808.465740740743</v>
      </c>
      <c r="B117" s="20" t="s">
        <v>390</v>
      </c>
      <c r="C117" s="20" t="s">
        <v>688</v>
      </c>
      <c r="D117" s="150">
        <v>1760000</v>
      </c>
      <c r="E117" s="20" t="s">
        <v>689</v>
      </c>
      <c r="F117" s="20" t="s">
        <v>690</v>
      </c>
      <c r="G117" s="8" t="str">
        <f t="shared" si="1"/>
        <v>STRICKLAND EVAN</v>
      </c>
    </row>
    <row r="118" spans="1:7" x14ac:dyDescent="0.25">
      <c r="A118" s="8">
        <v>42808.46974537037</v>
      </c>
      <c r="B118" s="20" t="s">
        <v>190</v>
      </c>
      <c r="C118" s="20" t="s">
        <v>691</v>
      </c>
      <c r="D118" s="150">
        <v>2270000</v>
      </c>
      <c r="E118" s="20" t="s">
        <v>212</v>
      </c>
      <c r="F118" s="20" t="s">
        <v>213</v>
      </c>
      <c r="G118" s="8" t="str">
        <f t="shared" si="1"/>
        <v>BROWN JACOB</v>
      </c>
    </row>
    <row r="119" spans="1:7" x14ac:dyDescent="0.25">
      <c r="A119" s="8">
        <v>42808.473692129628</v>
      </c>
      <c r="B119" s="20" t="s">
        <v>570</v>
      </c>
      <c r="C119" s="20" t="s">
        <v>568</v>
      </c>
      <c r="D119" s="150">
        <v>860000</v>
      </c>
      <c r="E119" s="20" t="s">
        <v>663</v>
      </c>
      <c r="F119" s="20" t="s">
        <v>664</v>
      </c>
      <c r="G119" s="8" t="str">
        <f t="shared" si="1"/>
        <v>ARNOLD PAUL</v>
      </c>
    </row>
    <row r="120" spans="1:7" x14ac:dyDescent="0.25">
      <c r="A120" s="8">
        <v>42808.476377314815</v>
      </c>
      <c r="B120" s="20" t="s">
        <v>594</v>
      </c>
      <c r="C120" s="20" t="s">
        <v>692</v>
      </c>
      <c r="D120" s="150">
        <v>1180000</v>
      </c>
      <c r="E120" s="20" t="s">
        <v>508</v>
      </c>
      <c r="F120" s="20" t="s">
        <v>509</v>
      </c>
      <c r="G120" s="8" t="str">
        <f t="shared" si="1"/>
        <v>LEVERE CRAIG</v>
      </c>
    </row>
    <row r="121" spans="1:7" x14ac:dyDescent="0.25">
      <c r="A121" s="8">
        <v>42808.48369212963</v>
      </c>
      <c r="B121" s="20" t="s">
        <v>222</v>
      </c>
      <c r="C121" s="20" t="s">
        <v>573</v>
      </c>
      <c r="D121" s="150">
        <v>2270000</v>
      </c>
      <c r="E121" s="20" t="s">
        <v>212</v>
      </c>
      <c r="F121" s="20" t="s">
        <v>213</v>
      </c>
      <c r="G121" s="8" t="str">
        <f t="shared" si="1"/>
        <v>BROWN JACOB</v>
      </c>
    </row>
    <row r="122" spans="1:7" x14ac:dyDescent="0.25">
      <c r="A122" s="8">
        <v>42808.485231481478</v>
      </c>
      <c r="B122" s="25" t="s">
        <v>461</v>
      </c>
      <c r="C122" s="20" t="s">
        <v>693</v>
      </c>
      <c r="D122" s="150">
        <v>930000</v>
      </c>
      <c r="E122" s="20" t="s">
        <v>506</v>
      </c>
      <c r="F122" s="20" t="s">
        <v>507</v>
      </c>
      <c r="G122" s="8" t="str">
        <f t="shared" si="1"/>
        <v>CLARK KATHLEEN</v>
      </c>
    </row>
    <row r="123" spans="1:7" x14ac:dyDescent="0.25">
      <c r="A123" s="8">
        <v>42808.485671296294</v>
      </c>
      <c r="B123" s="20" t="s">
        <v>463</v>
      </c>
      <c r="C123" s="20" t="s">
        <v>574</v>
      </c>
      <c r="D123" s="150">
        <v>900000</v>
      </c>
      <c r="E123" s="20" t="s">
        <v>502</v>
      </c>
      <c r="F123" s="20" t="s">
        <v>503</v>
      </c>
      <c r="G123" s="8" t="str">
        <f t="shared" si="1"/>
        <v>ROCHA YAOTL</v>
      </c>
    </row>
    <row r="124" spans="1:7" x14ac:dyDescent="0.25">
      <c r="A124" s="8">
        <v>42808.486157407409</v>
      </c>
      <c r="B124" s="20" t="s">
        <v>567</v>
      </c>
      <c r="C124" s="20" t="s">
        <v>568</v>
      </c>
      <c r="D124" s="150">
        <v>860000</v>
      </c>
      <c r="E124" s="20" t="s">
        <v>663</v>
      </c>
      <c r="F124" s="20" t="s">
        <v>664</v>
      </c>
      <c r="G124" s="8" t="str">
        <f t="shared" si="1"/>
        <v>ARNOLD PAUL</v>
      </c>
    </row>
    <row r="125" spans="1:7" x14ac:dyDescent="0.25">
      <c r="A125" s="8">
        <v>42808.487314814818</v>
      </c>
      <c r="B125" s="20" t="s">
        <v>567</v>
      </c>
      <c r="C125" s="20" t="s">
        <v>568</v>
      </c>
      <c r="D125" s="150">
        <v>860000</v>
      </c>
      <c r="E125" s="20" t="s">
        <v>663</v>
      </c>
      <c r="F125" s="20" t="s">
        <v>664</v>
      </c>
      <c r="G125" s="8" t="str">
        <f t="shared" si="1"/>
        <v>ARNOLD PAUL</v>
      </c>
    </row>
    <row r="126" spans="1:7" x14ac:dyDescent="0.25">
      <c r="A126" s="8">
        <v>42808.487905092596</v>
      </c>
      <c r="B126" s="20" t="s">
        <v>567</v>
      </c>
      <c r="C126" s="20" t="s">
        <v>568</v>
      </c>
      <c r="D126" s="150">
        <v>860000</v>
      </c>
      <c r="E126" s="20" t="s">
        <v>663</v>
      </c>
      <c r="F126" s="20" t="s">
        <v>664</v>
      </c>
      <c r="G126" s="8" t="str">
        <f t="shared" si="1"/>
        <v>ARNOLD PAUL</v>
      </c>
    </row>
    <row r="127" spans="1:7" x14ac:dyDescent="0.25">
      <c r="A127" s="8">
        <v>42808.488171296296</v>
      </c>
      <c r="B127" s="20" t="s">
        <v>240</v>
      </c>
      <c r="C127" s="20" t="s">
        <v>694</v>
      </c>
      <c r="D127" s="150">
        <v>1990000</v>
      </c>
      <c r="E127" s="20" t="s">
        <v>470</v>
      </c>
      <c r="F127" s="20" t="s">
        <v>471</v>
      </c>
      <c r="G127" s="8" t="str">
        <f t="shared" si="1"/>
        <v>DAVIS WENDY</v>
      </c>
    </row>
    <row r="128" spans="1:7" x14ac:dyDescent="0.25">
      <c r="A128" s="8">
        <v>42808.489363425928</v>
      </c>
      <c r="B128" s="20" t="s">
        <v>567</v>
      </c>
      <c r="C128" s="20" t="s">
        <v>568</v>
      </c>
      <c r="D128" s="150">
        <v>860000</v>
      </c>
      <c r="E128" s="20" t="s">
        <v>663</v>
      </c>
      <c r="F128" s="20" t="s">
        <v>664</v>
      </c>
      <c r="G128" s="8" t="str">
        <f t="shared" si="1"/>
        <v>ARNOLD PAUL</v>
      </c>
    </row>
    <row r="129" spans="1:7" x14ac:dyDescent="0.25">
      <c r="A129" s="8">
        <v>42808.49690972222</v>
      </c>
      <c r="B129" s="20" t="s">
        <v>446</v>
      </c>
      <c r="C129" s="20" t="s">
        <v>695</v>
      </c>
      <c r="D129" s="150">
        <v>920000</v>
      </c>
      <c r="E129" s="20" t="s">
        <v>470</v>
      </c>
      <c r="F129" s="20" t="s">
        <v>199</v>
      </c>
      <c r="G129" s="8" t="str">
        <f t="shared" si="1"/>
        <v>DAVIS MICHAEL</v>
      </c>
    </row>
    <row r="130" spans="1:7" x14ac:dyDescent="0.25">
      <c r="A130" s="8">
        <v>42808.497210648151</v>
      </c>
      <c r="B130" s="20" t="s">
        <v>400</v>
      </c>
      <c r="C130" s="20" t="s">
        <v>696</v>
      </c>
      <c r="D130" s="150">
        <v>2040000</v>
      </c>
      <c r="E130" s="20" t="s">
        <v>252</v>
      </c>
      <c r="F130" s="20" t="s">
        <v>253</v>
      </c>
      <c r="G130" s="8" t="str">
        <f t="shared" si="1"/>
        <v>MOSES BRADLEY</v>
      </c>
    </row>
    <row r="131" spans="1:7" x14ac:dyDescent="0.25">
      <c r="A131" s="8">
        <v>42808.497488425928</v>
      </c>
      <c r="B131" s="20" t="s">
        <v>498</v>
      </c>
      <c r="C131" s="20" t="s">
        <v>577</v>
      </c>
      <c r="D131" s="150">
        <v>1760000</v>
      </c>
      <c r="E131" s="20" t="s">
        <v>689</v>
      </c>
      <c r="F131" s="20" t="s">
        <v>690</v>
      </c>
      <c r="G131" s="8" t="str">
        <f t="shared" ref="G131:G194" si="2">E131&amp;" "&amp;F131</f>
        <v>STRICKLAND EVAN</v>
      </c>
    </row>
    <row r="132" spans="1:7" x14ac:dyDescent="0.25">
      <c r="A132" s="8">
        <v>42808.508657407408</v>
      </c>
      <c r="B132" s="20" t="s">
        <v>447</v>
      </c>
      <c r="C132" s="20" t="s">
        <v>697</v>
      </c>
      <c r="D132" s="150">
        <v>2470000</v>
      </c>
      <c r="E132" s="20" t="s">
        <v>476</v>
      </c>
      <c r="F132" s="20" t="s">
        <v>477</v>
      </c>
      <c r="G132" s="8" t="str">
        <f t="shared" si="2"/>
        <v>ROMERO CHAD</v>
      </c>
    </row>
    <row r="133" spans="1:7" x14ac:dyDescent="0.25">
      <c r="A133" s="8">
        <v>42808.51090277778</v>
      </c>
      <c r="B133" s="20" t="s">
        <v>190</v>
      </c>
      <c r="C133" s="20" t="s">
        <v>698</v>
      </c>
      <c r="D133" s="150">
        <v>2270000</v>
      </c>
      <c r="E133" s="20" t="s">
        <v>212</v>
      </c>
      <c r="F133" s="20" t="s">
        <v>213</v>
      </c>
      <c r="G133" s="8" t="str">
        <f t="shared" si="2"/>
        <v>BROWN JACOB</v>
      </c>
    </row>
    <row r="134" spans="1:7" x14ac:dyDescent="0.25">
      <c r="A134" s="8">
        <v>42808.513344907406</v>
      </c>
      <c r="B134" s="20" t="s">
        <v>575</v>
      </c>
      <c r="C134" s="20" t="s">
        <v>576</v>
      </c>
      <c r="D134" s="150">
        <v>1180000</v>
      </c>
      <c r="E134" s="20" t="s">
        <v>508</v>
      </c>
      <c r="F134" s="20" t="s">
        <v>509</v>
      </c>
      <c r="G134" s="8" t="str">
        <f t="shared" si="2"/>
        <v>LEVERE CRAIG</v>
      </c>
    </row>
    <row r="135" spans="1:7" x14ac:dyDescent="0.25">
      <c r="A135" s="8">
        <v>42808.519224537034</v>
      </c>
      <c r="B135" s="20" t="s">
        <v>469</v>
      </c>
      <c r="C135" s="20" t="s">
        <v>699</v>
      </c>
      <c r="D135" s="150">
        <v>2530000</v>
      </c>
      <c r="E135" s="20" t="s">
        <v>700</v>
      </c>
      <c r="F135" s="20" t="s">
        <v>701</v>
      </c>
      <c r="G135" s="8" t="str">
        <f t="shared" si="2"/>
        <v>LALONDE GREGORY</v>
      </c>
    </row>
    <row r="136" spans="1:7" x14ac:dyDescent="0.25">
      <c r="A136" s="8">
        <v>42808.524594907409</v>
      </c>
      <c r="B136" s="20" t="s">
        <v>462</v>
      </c>
      <c r="C136" s="20" t="s">
        <v>702</v>
      </c>
      <c r="D136" s="150">
        <v>930000</v>
      </c>
      <c r="E136" s="20" t="s">
        <v>506</v>
      </c>
      <c r="F136" s="20" t="s">
        <v>507</v>
      </c>
      <c r="G136" s="8" t="str">
        <f t="shared" si="2"/>
        <v>CLARK KATHLEEN</v>
      </c>
    </row>
    <row r="137" spans="1:7" x14ac:dyDescent="0.25">
      <c r="A137" s="8">
        <v>42808.525335648148</v>
      </c>
      <c r="B137" s="20" t="s">
        <v>570</v>
      </c>
      <c r="C137" s="20" t="s">
        <v>568</v>
      </c>
      <c r="D137" s="150">
        <v>860000</v>
      </c>
      <c r="E137" s="20" t="s">
        <v>663</v>
      </c>
      <c r="F137" s="20" t="s">
        <v>664</v>
      </c>
      <c r="G137" s="8" t="str">
        <f t="shared" si="2"/>
        <v>ARNOLD PAUL</v>
      </c>
    </row>
    <row r="138" spans="1:7" x14ac:dyDescent="0.25">
      <c r="A138" s="8">
        <v>42808.525625000002</v>
      </c>
      <c r="B138" s="20" t="s">
        <v>222</v>
      </c>
      <c r="C138" s="20" t="s">
        <v>703</v>
      </c>
      <c r="D138" s="150">
        <v>2270000</v>
      </c>
      <c r="E138" s="20" t="s">
        <v>212</v>
      </c>
      <c r="F138" s="20" t="s">
        <v>213</v>
      </c>
      <c r="G138" s="8" t="str">
        <f t="shared" si="2"/>
        <v>BROWN JACOB</v>
      </c>
    </row>
    <row r="139" spans="1:7" x14ac:dyDescent="0.25">
      <c r="A139" s="8">
        <v>42808.526712962965</v>
      </c>
      <c r="B139" s="20" t="s">
        <v>570</v>
      </c>
      <c r="C139" s="20" t="s">
        <v>568</v>
      </c>
      <c r="D139" s="150">
        <v>860000</v>
      </c>
      <c r="E139" s="20" t="s">
        <v>663</v>
      </c>
      <c r="F139" s="20" t="s">
        <v>664</v>
      </c>
      <c r="G139" s="8" t="str">
        <f t="shared" si="2"/>
        <v>ARNOLD PAUL</v>
      </c>
    </row>
    <row r="140" spans="1:7" x14ac:dyDescent="0.25">
      <c r="A140" s="8">
        <v>42808.528124999997</v>
      </c>
      <c r="B140" s="20" t="s">
        <v>570</v>
      </c>
      <c r="C140" s="20" t="s">
        <v>568</v>
      </c>
      <c r="D140" s="150">
        <v>860000</v>
      </c>
      <c r="E140" s="20" t="s">
        <v>663</v>
      </c>
      <c r="F140" s="20" t="s">
        <v>664</v>
      </c>
      <c r="G140" s="8" t="str">
        <f t="shared" si="2"/>
        <v>ARNOLD PAUL</v>
      </c>
    </row>
    <row r="141" spans="1:7" x14ac:dyDescent="0.25">
      <c r="A141" s="8">
        <v>42808.529236111113</v>
      </c>
      <c r="B141" s="20" t="s">
        <v>570</v>
      </c>
      <c r="C141" s="20" t="s">
        <v>568</v>
      </c>
      <c r="D141" s="150">
        <v>860000</v>
      </c>
      <c r="E141" s="20" t="s">
        <v>663</v>
      </c>
      <c r="F141" s="20" t="s">
        <v>664</v>
      </c>
      <c r="G141" s="8" t="str">
        <f t="shared" si="2"/>
        <v>ARNOLD PAUL</v>
      </c>
    </row>
    <row r="142" spans="1:7" x14ac:dyDescent="0.25">
      <c r="A142" s="8">
        <v>42808.529351851852</v>
      </c>
      <c r="B142" s="20" t="s">
        <v>449</v>
      </c>
      <c r="C142" s="20" t="s">
        <v>704</v>
      </c>
      <c r="D142" s="150">
        <v>920000</v>
      </c>
      <c r="E142" s="20" t="s">
        <v>470</v>
      </c>
      <c r="F142" s="20" t="s">
        <v>199</v>
      </c>
      <c r="G142" s="8" t="str">
        <f t="shared" si="2"/>
        <v>DAVIS MICHAEL</v>
      </c>
    </row>
    <row r="143" spans="1:7" x14ac:dyDescent="0.25">
      <c r="A143" s="8">
        <v>42808.53564814815</v>
      </c>
      <c r="B143" s="20" t="s">
        <v>626</v>
      </c>
      <c r="C143" s="20" t="s">
        <v>705</v>
      </c>
      <c r="D143" s="150">
        <v>2040000</v>
      </c>
      <c r="E143" s="20" t="s">
        <v>252</v>
      </c>
      <c r="F143" s="20" t="s">
        <v>253</v>
      </c>
      <c r="G143" s="8" t="str">
        <f t="shared" si="2"/>
        <v>MOSES BRADLEY</v>
      </c>
    </row>
    <row r="144" spans="1:7" x14ac:dyDescent="0.25">
      <c r="A144" s="8">
        <v>42808.538391203707</v>
      </c>
      <c r="B144" s="20" t="s">
        <v>390</v>
      </c>
      <c r="C144" s="20" t="s">
        <v>579</v>
      </c>
      <c r="D144" s="150">
        <v>1760000</v>
      </c>
      <c r="E144" s="20" t="s">
        <v>689</v>
      </c>
      <c r="F144" s="20" t="s">
        <v>690</v>
      </c>
      <c r="G144" s="8" t="str">
        <f t="shared" si="2"/>
        <v>STRICKLAND EVAN</v>
      </c>
    </row>
    <row r="145" spans="1:7" x14ac:dyDescent="0.25">
      <c r="A145" s="8">
        <v>42808.538807870369</v>
      </c>
      <c r="B145" s="20" t="s">
        <v>448</v>
      </c>
      <c r="C145" s="20" t="s">
        <v>580</v>
      </c>
      <c r="D145" s="150">
        <v>2470000</v>
      </c>
      <c r="E145" s="20" t="s">
        <v>476</v>
      </c>
      <c r="F145" s="20" t="s">
        <v>477</v>
      </c>
      <c r="G145" s="8" t="str">
        <f t="shared" si="2"/>
        <v>ROMERO CHAD</v>
      </c>
    </row>
    <row r="146" spans="1:7" x14ac:dyDescent="0.25">
      <c r="A146" s="8">
        <v>42808.539409722223</v>
      </c>
      <c r="B146" s="20" t="s">
        <v>567</v>
      </c>
      <c r="C146" s="20" t="s">
        <v>568</v>
      </c>
      <c r="D146" s="150">
        <v>860000</v>
      </c>
      <c r="E146" s="20" t="s">
        <v>663</v>
      </c>
      <c r="F146" s="20" t="s">
        <v>664</v>
      </c>
      <c r="G146" s="8" t="str">
        <f t="shared" si="2"/>
        <v>ARNOLD PAUL</v>
      </c>
    </row>
    <row r="147" spans="1:7" x14ac:dyDescent="0.25">
      <c r="A147" s="8">
        <v>42808.548564814817</v>
      </c>
      <c r="B147" s="20" t="s">
        <v>594</v>
      </c>
      <c r="C147" s="20" t="s">
        <v>706</v>
      </c>
      <c r="D147" s="150">
        <v>1180000</v>
      </c>
      <c r="E147" s="20" t="s">
        <v>508</v>
      </c>
      <c r="F147" s="20" t="s">
        <v>509</v>
      </c>
      <c r="G147" s="8" t="str">
        <f t="shared" si="2"/>
        <v>LEVERE CRAIG</v>
      </c>
    </row>
    <row r="148" spans="1:7" x14ac:dyDescent="0.25">
      <c r="A148" s="8">
        <v>42808.550451388888</v>
      </c>
      <c r="B148" s="20" t="s">
        <v>570</v>
      </c>
      <c r="C148" s="20" t="s">
        <v>568</v>
      </c>
      <c r="D148" s="150">
        <v>860000</v>
      </c>
      <c r="E148" s="20" t="s">
        <v>663</v>
      </c>
      <c r="F148" s="20" t="s">
        <v>664</v>
      </c>
      <c r="G148" s="8" t="str">
        <f t="shared" si="2"/>
        <v>ARNOLD PAUL</v>
      </c>
    </row>
    <row r="149" spans="1:7" x14ac:dyDescent="0.25">
      <c r="A149" s="8">
        <v>42808.550532407404</v>
      </c>
      <c r="B149" s="20" t="s">
        <v>463</v>
      </c>
      <c r="C149" s="20" t="s">
        <v>578</v>
      </c>
      <c r="D149" s="150">
        <v>2530000</v>
      </c>
      <c r="E149" s="20" t="s">
        <v>700</v>
      </c>
      <c r="F149" s="20" t="s">
        <v>701</v>
      </c>
      <c r="G149" s="8" t="str">
        <f t="shared" si="2"/>
        <v>LALONDE GREGORY</v>
      </c>
    </row>
    <row r="150" spans="1:7" x14ac:dyDescent="0.25">
      <c r="A150" s="8">
        <v>42808.550578703704</v>
      </c>
      <c r="B150" s="20" t="s">
        <v>190</v>
      </c>
      <c r="C150" s="20" t="s">
        <v>707</v>
      </c>
      <c r="D150" s="150">
        <v>1300000</v>
      </c>
      <c r="E150" s="20" t="s">
        <v>478</v>
      </c>
      <c r="F150" s="20" t="s">
        <v>479</v>
      </c>
      <c r="G150" s="8" t="str">
        <f t="shared" si="2"/>
        <v>LEVIN SCOTT</v>
      </c>
    </row>
    <row r="151" spans="1:7" x14ac:dyDescent="0.25">
      <c r="A151" s="8">
        <v>42808.558321759258</v>
      </c>
      <c r="B151" s="20" t="s">
        <v>461</v>
      </c>
      <c r="C151" s="20" t="s">
        <v>708</v>
      </c>
      <c r="D151" s="150">
        <v>930000</v>
      </c>
      <c r="E151" s="20" t="s">
        <v>506</v>
      </c>
      <c r="F151" s="20" t="s">
        <v>507</v>
      </c>
      <c r="G151" s="8" t="str">
        <f t="shared" si="2"/>
        <v>CLARK KATHLEEN</v>
      </c>
    </row>
    <row r="152" spans="1:7" x14ac:dyDescent="0.25">
      <c r="A152" s="8">
        <v>42808.562777777777</v>
      </c>
      <c r="B152" s="20" t="s">
        <v>567</v>
      </c>
      <c r="C152" s="20" t="s">
        <v>568</v>
      </c>
      <c r="D152" s="150">
        <v>860000</v>
      </c>
      <c r="E152" s="20" t="s">
        <v>663</v>
      </c>
      <c r="F152" s="20" t="s">
        <v>664</v>
      </c>
      <c r="G152" s="8" t="str">
        <f t="shared" si="2"/>
        <v>ARNOLD PAUL</v>
      </c>
    </row>
    <row r="153" spans="1:7" x14ac:dyDescent="0.25">
      <c r="A153" s="8">
        <v>42808.567523148151</v>
      </c>
      <c r="B153" s="20" t="s">
        <v>222</v>
      </c>
      <c r="C153" s="20" t="s">
        <v>581</v>
      </c>
      <c r="D153" s="150">
        <v>1300000</v>
      </c>
      <c r="E153" s="20" t="s">
        <v>478</v>
      </c>
      <c r="F153" s="20" t="s">
        <v>479</v>
      </c>
      <c r="G153" s="8" t="str">
        <f t="shared" si="2"/>
        <v>LEVIN SCOTT</v>
      </c>
    </row>
    <row r="154" spans="1:7" x14ac:dyDescent="0.25">
      <c r="A154" s="8">
        <v>42808.568379629629</v>
      </c>
      <c r="B154" s="20" t="s">
        <v>463</v>
      </c>
      <c r="C154" s="20" t="s">
        <v>578</v>
      </c>
      <c r="D154" s="150">
        <v>2530000</v>
      </c>
      <c r="E154" s="20" t="s">
        <v>700</v>
      </c>
      <c r="F154" s="20" t="s">
        <v>701</v>
      </c>
      <c r="G154" s="8" t="str">
        <f t="shared" si="2"/>
        <v>LALONDE GREGORY</v>
      </c>
    </row>
    <row r="155" spans="1:7" x14ac:dyDescent="0.25">
      <c r="A155" s="8">
        <v>42808.569004629629</v>
      </c>
      <c r="B155" s="20" t="s">
        <v>446</v>
      </c>
      <c r="C155" s="20" t="s">
        <v>709</v>
      </c>
      <c r="D155" s="150">
        <v>920000</v>
      </c>
      <c r="E155" s="20" t="s">
        <v>470</v>
      </c>
      <c r="F155" s="20" t="s">
        <v>199</v>
      </c>
      <c r="G155" s="8" t="str">
        <f t="shared" si="2"/>
        <v>DAVIS MICHAEL</v>
      </c>
    </row>
    <row r="156" spans="1:7" x14ac:dyDescent="0.25">
      <c r="A156" s="8">
        <v>42808.570879629631</v>
      </c>
      <c r="B156" s="20" t="s">
        <v>400</v>
      </c>
      <c r="C156" s="20" t="s">
        <v>710</v>
      </c>
      <c r="D156" s="150">
        <v>2040000</v>
      </c>
      <c r="E156" s="20" t="s">
        <v>252</v>
      </c>
      <c r="F156" s="20" t="s">
        <v>253</v>
      </c>
      <c r="G156" s="8" t="str">
        <f t="shared" si="2"/>
        <v>MOSES BRADLEY</v>
      </c>
    </row>
    <row r="157" spans="1:7" x14ac:dyDescent="0.25">
      <c r="A157" s="8">
        <v>42808.570983796293</v>
      </c>
      <c r="B157" s="20" t="s">
        <v>498</v>
      </c>
      <c r="C157" s="20" t="s">
        <v>711</v>
      </c>
      <c r="D157" s="150">
        <v>1760000</v>
      </c>
      <c r="E157" s="20" t="s">
        <v>689</v>
      </c>
      <c r="F157" s="20" t="s">
        <v>690</v>
      </c>
      <c r="G157" s="8" t="str">
        <f t="shared" si="2"/>
        <v>STRICKLAND EVAN</v>
      </c>
    </row>
    <row r="158" spans="1:7" x14ac:dyDescent="0.25">
      <c r="A158" s="8">
        <v>42808.577430555553</v>
      </c>
      <c r="B158" s="20" t="s">
        <v>570</v>
      </c>
      <c r="C158" s="20" t="s">
        <v>568</v>
      </c>
      <c r="D158" s="150">
        <v>860000</v>
      </c>
      <c r="E158" s="20" t="s">
        <v>663</v>
      </c>
      <c r="F158" s="20" t="s">
        <v>664</v>
      </c>
      <c r="G158" s="8" t="str">
        <f t="shared" si="2"/>
        <v>ARNOLD PAUL</v>
      </c>
    </row>
    <row r="159" spans="1:7" x14ac:dyDescent="0.25">
      <c r="A159" s="8">
        <v>42808.579768518517</v>
      </c>
      <c r="B159" s="20" t="s">
        <v>447</v>
      </c>
      <c r="C159" s="20" t="s">
        <v>582</v>
      </c>
      <c r="D159" s="150">
        <v>2470000</v>
      </c>
      <c r="E159" s="20" t="s">
        <v>476</v>
      </c>
      <c r="F159" s="20" t="s">
        <v>477</v>
      </c>
      <c r="G159" s="8" t="str">
        <f t="shared" si="2"/>
        <v>ROMERO CHAD</v>
      </c>
    </row>
    <row r="160" spans="1:7" x14ac:dyDescent="0.25">
      <c r="A160" s="8">
        <v>42808.583981481483</v>
      </c>
      <c r="B160" s="20" t="s">
        <v>575</v>
      </c>
      <c r="C160" s="20" t="s">
        <v>712</v>
      </c>
      <c r="D160" s="150">
        <v>1180000</v>
      </c>
      <c r="E160" s="20" t="s">
        <v>508</v>
      </c>
      <c r="F160" s="20" t="s">
        <v>509</v>
      </c>
      <c r="G160" s="8" t="str">
        <f t="shared" si="2"/>
        <v>LEVERE CRAIG</v>
      </c>
    </row>
    <row r="161" spans="1:7" x14ac:dyDescent="0.25">
      <c r="A161" s="8">
        <v>42808.591574074075</v>
      </c>
      <c r="B161" s="20" t="s">
        <v>469</v>
      </c>
      <c r="C161" s="20" t="s">
        <v>713</v>
      </c>
      <c r="D161" s="150">
        <v>2420000</v>
      </c>
      <c r="E161" s="20" t="s">
        <v>472</v>
      </c>
      <c r="F161" s="20" t="s">
        <v>473</v>
      </c>
      <c r="G161" s="8" t="str">
        <f t="shared" si="2"/>
        <v>HOLCOMB KAMDEN</v>
      </c>
    </row>
    <row r="162" spans="1:7" x14ac:dyDescent="0.25">
      <c r="A162" s="8">
        <v>42808.595289351855</v>
      </c>
      <c r="B162" s="20" t="s">
        <v>190</v>
      </c>
      <c r="C162" s="20" t="s">
        <v>714</v>
      </c>
      <c r="D162" s="150">
        <v>1300000</v>
      </c>
      <c r="E162" s="20" t="s">
        <v>478</v>
      </c>
      <c r="F162" s="20" t="s">
        <v>479</v>
      </c>
      <c r="G162" s="8" t="str">
        <f t="shared" si="2"/>
        <v>LEVIN SCOTT</v>
      </c>
    </row>
    <row r="163" spans="1:7" x14ac:dyDescent="0.25">
      <c r="A163" s="8">
        <v>42808.595590277779</v>
      </c>
      <c r="B163" s="20" t="s">
        <v>462</v>
      </c>
      <c r="C163" s="20" t="s">
        <v>715</v>
      </c>
      <c r="D163" s="150">
        <v>930000</v>
      </c>
      <c r="E163" s="20" t="s">
        <v>506</v>
      </c>
      <c r="F163" s="20" t="s">
        <v>507</v>
      </c>
      <c r="G163" s="8" t="str">
        <f t="shared" si="2"/>
        <v>CLARK KATHLEEN</v>
      </c>
    </row>
    <row r="164" spans="1:7" x14ac:dyDescent="0.25">
      <c r="A164" s="8">
        <v>42808.60297453704</v>
      </c>
      <c r="B164" s="20" t="s">
        <v>449</v>
      </c>
      <c r="C164" s="20" t="s">
        <v>716</v>
      </c>
      <c r="D164" s="150">
        <v>2530000</v>
      </c>
      <c r="E164" s="20" t="s">
        <v>700</v>
      </c>
      <c r="F164" s="20" t="s">
        <v>701</v>
      </c>
      <c r="G164" s="8" t="str">
        <f t="shared" si="2"/>
        <v>LALONDE GREGORY</v>
      </c>
    </row>
    <row r="165" spans="1:7" x14ac:dyDescent="0.25">
      <c r="A165" s="8">
        <v>42808.607835648145</v>
      </c>
      <c r="B165" s="20" t="s">
        <v>626</v>
      </c>
      <c r="C165" s="20" t="s">
        <v>717</v>
      </c>
      <c r="D165" s="150">
        <v>2040000</v>
      </c>
      <c r="E165" s="20" t="s">
        <v>252</v>
      </c>
      <c r="F165" s="20" t="s">
        <v>253</v>
      </c>
      <c r="G165" s="8" t="str">
        <f t="shared" si="2"/>
        <v>MOSES BRADLEY</v>
      </c>
    </row>
    <row r="166" spans="1:7" x14ac:dyDescent="0.25">
      <c r="A166" s="8">
        <v>42808.608807870369</v>
      </c>
      <c r="B166" s="20" t="s">
        <v>222</v>
      </c>
      <c r="C166" s="20" t="s">
        <v>718</v>
      </c>
      <c r="D166" s="150">
        <v>1300000</v>
      </c>
      <c r="E166" s="20" t="s">
        <v>478</v>
      </c>
      <c r="F166" s="20" t="s">
        <v>479</v>
      </c>
      <c r="G166" s="8" t="str">
        <f t="shared" si="2"/>
        <v>LEVIN SCOTT</v>
      </c>
    </row>
    <row r="167" spans="1:7" x14ac:dyDescent="0.25">
      <c r="A167" s="8">
        <v>42808.609988425924</v>
      </c>
      <c r="B167" s="20" t="s">
        <v>448</v>
      </c>
      <c r="C167" s="20" t="s">
        <v>584</v>
      </c>
      <c r="D167" s="150">
        <v>2470000</v>
      </c>
      <c r="E167" s="20" t="s">
        <v>476</v>
      </c>
      <c r="F167" s="20" t="s">
        <v>477</v>
      </c>
      <c r="G167" s="8" t="str">
        <f t="shared" si="2"/>
        <v>ROMERO CHAD</v>
      </c>
    </row>
    <row r="168" spans="1:7" x14ac:dyDescent="0.25">
      <c r="A168" s="8">
        <v>42808.611203703702</v>
      </c>
      <c r="B168" s="20" t="s">
        <v>390</v>
      </c>
      <c r="C168" s="20" t="s">
        <v>583</v>
      </c>
      <c r="D168" s="150">
        <v>1760000</v>
      </c>
      <c r="E168" s="20" t="s">
        <v>689</v>
      </c>
      <c r="F168" s="20" t="s">
        <v>690</v>
      </c>
      <c r="G168" s="8" t="str">
        <f t="shared" si="2"/>
        <v>STRICKLAND EVAN</v>
      </c>
    </row>
    <row r="169" spans="1:7" x14ac:dyDescent="0.25">
      <c r="A169" s="8">
        <v>42808.621412037035</v>
      </c>
      <c r="B169" s="20" t="s">
        <v>463</v>
      </c>
      <c r="C169" s="20" t="s">
        <v>586</v>
      </c>
      <c r="D169" s="150">
        <v>2420000</v>
      </c>
      <c r="E169" s="20" t="s">
        <v>472</v>
      </c>
      <c r="F169" s="20" t="s">
        <v>473</v>
      </c>
      <c r="G169" s="8" t="str">
        <f t="shared" si="2"/>
        <v>HOLCOMB KAMDEN</v>
      </c>
    </row>
    <row r="170" spans="1:7" x14ac:dyDescent="0.25">
      <c r="A170" s="8">
        <v>42808.621493055558</v>
      </c>
      <c r="B170" s="20" t="s">
        <v>594</v>
      </c>
      <c r="C170" s="20" t="s">
        <v>719</v>
      </c>
      <c r="D170" s="150">
        <v>1180000</v>
      </c>
      <c r="E170" s="20" t="s">
        <v>508</v>
      </c>
      <c r="F170" s="20" t="s">
        <v>509</v>
      </c>
      <c r="G170" s="8" t="str">
        <f t="shared" si="2"/>
        <v>LEVERE CRAIG</v>
      </c>
    </row>
    <row r="171" spans="1:7" x14ac:dyDescent="0.25">
      <c r="A171" s="8">
        <v>42808.631215277775</v>
      </c>
      <c r="B171" s="20" t="s">
        <v>461</v>
      </c>
      <c r="C171" s="20" t="s">
        <v>720</v>
      </c>
      <c r="D171" s="150">
        <v>930000</v>
      </c>
      <c r="E171" s="20" t="s">
        <v>506</v>
      </c>
      <c r="F171" s="20" t="s">
        <v>507</v>
      </c>
      <c r="G171" s="8" t="str">
        <f t="shared" si="2"/>
        <v>CLARK KATHLEEN</v>
      </c>
    </row>
    <row r="172" spans="1:7" x14ac:dyDescent="0.25">
      <c r="A172" s="8">
        <v>42808.632418981484</v>
      </c>
      <c r="B172" s="20" t="s">
        <v>446</v>
      </c>
      <c r="C172" s="20" t="s">
        <v>585</v>
      </c>
      <c r="D172" s="150">
        <v>2530000</v>
      </c>
      <c r="E172" s="20" t="s">
        <v>700</v>
      </c>
      <c r="F172" s="20" t="s">
        <v>701</v>
      </c>
      <c r="G172" s="8" t="str">
        <f t="shared" si="2"/>
        <v>LALONDE GREGORY</v>
      </c>
    </row>
    <row r="173" spans="1:7" x14ac:dyDescent="0.25">
      <c r="A173" s="8">
        <v>42808.636828703704</v>
      </c>
      <c r="B173" s="20" t="s">
        <v>190</v>
      </c>
      <c r="C173" s="20" t="s">
        <v>721</v>
      </c>
      <c r="D173" s="150">
        <v>1300000</v>
      </c>
      <c r="E173" s="20" t="s">
        <v>478</v>
      </c>
      <c r="F173" s="20" t="s">
        <v>479</v>
      </c>
      <c r="G173" s="8" t="str">
        <f t="shared" si="2"/>
        <v>LEVIN SCOTT</v>
      </c>
    </row>
    <row r="174" spans="1:7" x14ac:dyDescent="0.25">
      <c r="A174" s="8">
        <v>42808.642916666664</v>
      </c>
      <c r="B174" s="20" t="s">
        <v>400</v>
      </c>
      <c r="C174" s="20" t="s">
        <v>722</v>
      </c>
      <c r="D174" s="150">
        <v>2040000</v>
      </c>
      <c r="E174" s="20" t="s">
        <v>252</v>
      </c>
      <c r="F174" s="20" t="s">
        <v>253</v>
      </c>
      <c r="G174" s="8" t="str">
        <f t="shared" si="2"/>
        <v>MOSES BRADLEY</v>
      </c>
    </row>
    <row r="175" spans="1:7" x14ac:dyDescent="0.25">
      <c r="A175" s="8">
        <v>42808.643055555556</v>
      </c>
      <c r="B175" s="20" t="s">
        <v>567</v>
      </c>
      <c r="C175" s="20" t="s">
        <v>723</v>
      </c>
      <c r="D175" s="150">
        <v>2150000</v>
      </c>
      <c r="E175" s="20" t="s">
        <v>436</v>
      </c>
      <c r="F175" s="20" t="s">
        <v>437</v>
      </c>
      <c r="G175" s="8" t="str">
        <f t="shared" si="2"/>
        <v>SWANSON BRYCE</v>
      </c>
    </row>
    <row r="176" spans="1:7" x14ac:dyDescent="0.25">
      <c r="A176" s="8">
        <v>42808.645949074074</v>
      </c>
      <c r="B176" s="20" t="s">
        <v>498</v>
      </c>
      <c r="C176" s="20" t="s">
        <v>724</v>
      </c>
      <c r="D176" s="150">
        <v>1760000</v>
      </c>
      <c r="E176" s="20" t="s">
        <v>689</v>
      </c>
      <c r="F176" s="20" t="s">
        <v>690</v>
      </c>
      <c r="G176" s="8" t="str">
        <f t="shared" si="2"/>
        <v>STRICKLAND EVAN</v>
      </c>
    </row>
    <row r="177" spans="1:7" x14ac:dyDescent="0.25">
      <c r="A177" s="8">
        <v>42808.650462962964</v>
      </c>
      <c r="B177" s="20" t="s">
        <v>222</v>
      </c>
      <c r="C177" s="20" t="s">
        <v>725</v>
      </c>
      <c r="D177" s="150">
        <v>1300000</v>
      </c>
      <c r="E177" s="20" t="s">
        <v>478</v>
      </c>
      <c r="F177" s="20" t="s">
        <v>479</v>
      </c>
      <c r="G177" s="8" t="str">
        <f t="shared" si="2"/>
        <v>LEVIN SCOTT</v>
      </c>
    </row>
    <row r="178" spans="1:7" x14ac:dyDescent="0.25">
      <c r="A178" s="8">
        <v>42808.653379629628</v>
      </c>
      <c r="B178" s="20" t="s">
        <v>447</v>
      </c>
      <c r="C178" s="20" t="s">
        <v>726</v>
      </c>
      <c r="D178" s="150">
        <v>2470000</v>
      </c>
      <c r="E178" s="20" t="s">
        <v>476</v>
      </c>
      <c r="F178" s="20" t="s">
        <v>477</v>
      </c>
      <c r="G178" s="8" t="str">
        <f t="shared" si="2"/>
        <v>ROMERO CHAD</v>
      </c>
    </row>
    <row r="179" spans="1:7" x14ac:dyDescent="0.25">
      <c r="A179" s="8">
        <v>42808.656319444446</v>
      </c>
      <c r="B179" s="20" t="s">
        <v>570</v>
      </c>
      <c r="C179" s="20" t="s">
        <v>727</v>
      </c>
      <c r="D179" s="150">
        <v>2150000</v>
      </c>
      <c r="E179" s="20" t="s">
        <v>436</v>
      </c>
      <c r="F179" s="20" t="s">
        <v>437</v>
      </c>
      <c r="G179" s="8" t="str">
        <f t="shared" si="2"/>
        <v>SWANSON BRYCE</v>
      </c>
    </row>
    <row r="180" spans="1:7" x14ac:dyDescent="0.25">
      <c r="A180" s="8">
        <v>42808.657546296294</v>
      </c>
      <c r="B180" s="20" t="s">
        <v>575</v>
      </c>
      <c r="C180" s="20" t="s">
        <v>728</v>
      </c>
      <c r="D180" s="150">
        <v>1180000</v>
      </c>
      <c r="E180" s="20" t="s">
        <v>508</v>
      </c>
      <c r="F180" s="20" t="s">
        <v>509</v>
      </c>
      <c r="G180" s="8" t="str">
        <f t="shared" si="2"/>
        <v>LEVERE CRAIG</v>
      </c>
    </row>
    <row r="181" spans="1:7" x14ac:dyDescent="0.25">
      <c r="A181" s="8">
        <v>42808.665949074071</v>
      </c>
      <c r="B181" s="20" t="s">
        <v>469</v>
      </c>
      <c r="C181" s="20" t="s">
        <v>729</v>
      </c>
      <c r="D181" s="150">
        <v>2420000</v>
      </c>
      <c r="E181" s="20" t="s">
        <v>472</v>
      </c>
      <c r="F181" s="20" t="s">
        <v>473</v>
      </c>
      <c r="G181" s="8" t="str">
        <f t="shared" si="2"/>
        <v>HOLCOMB KAMDEN</v>
      </c>
    </row>
    <row r="182" spans="1:7" x14ac:dyDescent="0.25">
      <c r="A182" s="8">
        <v>42808.671435185184</v>
      </c>
      <c r="B182" s="20" t="s">
        <v>462</v>
      </c>
      <c r="C182" s="20" t="s">
        <v>730</v>
      </c>
      <c r="D182" s="150">
        <v>930000</v>
      </c>
      <c r="E182" s="20" t="s">
        <v>506</v>
      </c>
      <c r="F182" s="20" t="s">
        <v>507</v>
      </c>
      <c r="G182" s="8" t="str">
        <f t="shared" si="2"/>
        <v>CLARK KATHLEEN</v>
      </c>
    </row>
    <row r="183" spans="1:7" x14ac:dyDescent="0.25">
      <c r="A183" s="8">
        <v>42808.671863425923</v>
      </c>
      <c r="B183" s="20" t="s">
        <v>567</v>
      </c>
      <c r="C183" s="20" t="s">
        <v>731</v>
      </c>
      <c r="D183" s="150">
        <v>2150000</v>
      </c>
      <c r="E183" s="20" t="s">
        <v>436</v>
      </c>
      <c r="F183" s="20" t="s">
        <v>437</v>
      </c>
      <c r="G183" s="8" t="str">
        <f t="shared" si="2"/>
        <v>SWANSON BRYCE</v>
      </c>
    </row>
    <row r="184" spans="1:7" x14ac:dyDescent="0.25">
      <c r="A184" s="8">
        <v>42808.675173611111</v>
      </c>
      <c r="B184" s="20" t="s">
        <v>449</v>
      </c>
      <c r="C184" s="20" t="s">
        <v>732</v>
      </c>
      <c r="D184" s="150">
        <v>920000</v>
      </c>
      <c r="E184" s="20" t="s">
        <v>470</v>
      </c>
      <c r="F184" s="20" t="s">
        <v>199</v>
      </c>
      <c r="G184" s="8" t="str">
        <f t="shared" si="2"/>
        <v>DAVIS MICHAEL</v>
      </c>
    </row>
    <row r="185" spans="1:7" x14ac:dyDescent="0.25">
      <c r="A185" s="8">
        <v>42808.679907407408</v>
      </c>
      <c r="B185" s="20" t="s">
        <v>190</v>
      </c>
      <c r="C185" s="20" t="s">
        <v>733</v>
      </c>
      <c r="D185" s="150">
        <v>1300000</v>
      </c>
      <c r="E185" s="20" t="s">
        <v>478</v>
      </c>
      <c r="F185" s="20" t="s">
        <v>479</v>
      </c>
      <c r="G185" s="8" t="str">
        <f t="shared" si="2"/>
        <v>LEVIN SCOTT</v>
      </c>
    </row>
    <row r="186" spans="1:7" x14ac:dyDescent="0.25">
      <c r="A186" s="8">
        <v>42808.681747685187</v>
      </c>
      <c r="B186" s="20" t="s">
        <v>626</v>
      </c>
      <c r="C186" s="20" t="s">
        <v>734</v>
      </c>
      <c r="D186" s="150">
        <v>2040000</v>
      </c>
      <c r="E186" s="20" t="s">
        <v>252</v>
      </c>
      <c r="F186" s="20" t="s">
        <v>253</v>
      </c>
      <c r="G186" s="8" t="str">
        <f t="shared" si="2"/>
        <v>MOSES BRADLEY</v>
      </c>
    </row>
    <row r="187" spans="1:7" x14ac:dyDescent="0.25">
      <c r="A187" s="8">
        <v>42808.685601851852</v>
      </c>
      <c r="B187" s="20" t="s">
        <v>390</v>
      </c>
      <c r="C187" s="20" t="s">
        <v>735</v>
      </c>
      <c r="D187" s="150">
        <v>1760000</v>
      </c>
      <c r="E187" s="20" t="s">
        <v>689</v>
      </c>
      <c r="F187" s="20" t="s">
        <v>690</v>
      </c>
      <c r="G187" s="8" t="str">
        <f t="shared" si="2"/>
        <v>STRICKLAND EVAN</v>
      </c>
    </row>
    <row r="188" spans="1:7" x14ac:dyDescent="0.25">
      <c r="A188" s="8">
        <v>42808.68582175926</v>
      </c>
      <c r="B188" s="20" t="s">
        <v>448</v>
      </c>
      <c r="C188" s="20" t="s">
        <v>587</v>
      </c>
      <c r="D188" s="150">
        <v>2470000</v>
      </c>
      <c r="E188" s="20" t="s">
        <v>476</v>
      </c>
      <c r="F188" s="20" t="s">
        <v>477</v>
      </c>
      <c r="G188" s="8" t="str">
        <f t="shared" si="2"/>
        <v>ROMERO CHAD</v>
      </c>
    </row>
    <row r="189" spans="1:7" x14ac:dyDescent="0.25">
      <c r="A189" s="8">
        <v>42808.686782407407</v>
      </c>
      <c r="B189" s="20" t="s">
        <v>570</v>
      </c>
      <c r="C189" s="20" t="s">
        <v>736</v>
      </c>
      <c r="D189" s="150">
        <v>2150000</v>
      </c>
      <c r="E189" s="20" t="s">
        <v>436</v>
      </c>
      <c r="F189" s="20" t="s">
        <v>437</v>
      </c>
      <c r="G189" s="8" t="str">
        <f t="shared" si="2"/>
        <v>SWANSON BRYCE</v>
      </c>
    </row>
    <row r="190" spans="1:7" x14ac:dyDescent="0.25">
      <c r="A190" s="8">
        <v>42808.692083333335</v>
      </c>
      <c r="B190" s="20" t="s">
        <v>222</v>
      </c>
      <c r="C190" s="20" t="s">
        <v>588</v>
      </c>
      <c r="D190" s="150">
        <v>1300000</v>
      </c>
      <c r="E190" s="20" t="s">
        <v>478</v>
      </c>
      <c r="F190" s="20" t="s">
        <v>479</v>
      </c>
      <c r="G190" s="8" t="str">
        <f t="shared" si="2"/>
        <v>LEVIN SCOTT</v>
      </c>
    </row>
    <row r="191" spans="1:7" x14ac:dyDescent="0.25">
      <c r="A191" s="8">
        <v>42808.696122685185</v>
      </c>
      <c r="B191" s="20" t="s">
        <v>594</v>
      </c>
      <c r="C191" s="20" t="s">
        <v>737</v>
      </c>
      <c r="D191" s="150">
        <v>1180000</v>
      </c>
      <c r="E191" s="20" t="s">
        <v>508</v>
      </c>
      <c r="F191" s="20" t="s">
        <v>509</v>
      </c>
      <c r="G191" s="8" t="str">
        <f t="shared" si="2"/>
        <v>LEVERE CRAIG</v>
      </c>
    </row>
    <row r="192" spans="1:7" x14ac:dyDescent="0.25">
      <c r="A192" s="8">
        <v>42808.703043981484</v>
      </c>
      <c r="B192" s="20" t="s">
        <v>463</v>
      </c>
      <c r="C192" s="20" t="s">
        <v>738</v>
      </c>
      <c r="D192" s="150">
        <v>2420000</v>
      </c>
      <c r="E192" s="20" t="s">
        <v>472</v>
      </c>
      <c r="F192" s="20" t="s">
        <v>473</v>
      </c>
      <c r="G192" s="8" t="str">
        <f t="shared" si="2"/>
        <v>HOLCOMB KAMDEN</v>
      </c>
    </row>
    <row r="193" spans="1:7" x14ac:dyDescent="0.25">
      <c r="A193" s="8">
        <v>42808.705266203702</v>
      </c>
      <c r="B193" s="20" t="s">
        <v>461</v>
      </c>
      <c r="C193" s="20" t="s">
        <v>739</v>
      </c>
      <c r="D193" s="150">
        <v>930000</v>
      </c>
      <c r="E193" s="20" t="s">
        <v>506</v>
      </c>
      <c r="F193" s="20" t="s">
        <v>507</v>
      </c>
      <c r="G193" s="8" t="str">
        <f t="shared" si="2"/>
        <v>CLARK KATHLEEN</v>
      </c>
    </row>
    <row r="194" spans="1:7" x14ac:dyDescent="0.25">
      <c r="A194" s="8">
        <v>42808.71398148148</v>
      </c>
      <c r="B194" s="20" t="s">
        <v>567</v>
      </c>
      <c r="C194" s="20" t="s">
        <v>740</v>
      </c>
      <c r="D194" s="150">
        <v>2150000</v>
      </c>
      <c r="E194" s="20" t="s">
        <v>436</v>
      </c>
      <c r="F194" s="20" t="s">
        <v>437</v>
      </c>
      <c r="G194" s="8" t="str">
        <f t="shared" si="2"/>
        <v>SWANSON BRYCE</v>
      </c>
    </row>
    <row r="195" spans="1:7" x14ac:dyDescent="0.25">
      <c r="A195" s="8">
        <v>42808.714918981481</v>
      </c>
      <c r="B195" s="20" t="s">
        <v>446</v>
      </c>
      <c r="C195" s="20" t="s">
        <v>741</v>
      </c>
      <c r="D195" s="150">
        <v>920000</v>
      </c>
      <c r="E195" s="20" t="s">
        <v>470</v>
      </c>
      <c r="F195" s="20" t="s">
        <v>199</v>
      </c>
      <c r="G195" s="8" t="str">
        <f t="shared" ref="G195:G258" si="3">E195&amp;" "&amp;F195</f>
        <v>DAVIS MICHAEL</v>
      </c>
    </row>
    <row r="196" spans="1:7" x14ac:dyDescent="0.25">
      <c r="A196" s="8">
        <v>42808.717650462961</v>
      </c>
      <c r="B196" s="20" t="s">
        <v>400</v>
      </c>
      <c r="C196" s="20" t="s">
        <v>742</v>
      </c>
      <c r="D196" s="150">
        <v>1800000</v>
      </c>
      <c r="E196" s="20" t="s">
        <v>215</v>
      </c>
      <c r="F196" s="20" t="s">
        <v>216</v>
      </c>
      <c r="G196" s="8" t="str">
        <f t="shared" si="3"/>
        <v>CHANDLER KELVIN</v>
      </c>
    </row>
    <row r="197" spans="1:7" x14ac:dyDescent="0.25">
      <c r="A197" s="8">
        <v>42808.718460648146</v>
      </c>
      <c r="B197" s="20" t="s">
        <v>498</v>
      </c>
      <c r="C197" s="20" t="s">
        <v>589</v>
      </c>
      <c r="D197" s="150">
        <v>1760000</v>
      </c>
      <c r="E197" s="20" t="s">
        <v>689</v>
      </c>
      <c r="F197" s="20" t="s">
        <v>690</v>
      </c>
      <c r="G197" s="8" t="str">
        <f t="shared" si="3"/>
        <v>STRICKLAND EVAN</v>
      </c>
    </row>
    <row r="198" spans="1:7" x14ac:dyDescent="0.25">
      <c r="A198" s="8">
        <v>42808.720659722225</v>
      </c>
      <c r="B198" s="20" t="s">
        <v>190</v>
      </c>
      <c r="C198" s="20" t="s">
        <v>743</v>
      </c>
      <c r="D198" s="150">
        <v>1300000</v>
      </c>
      <c r="E198" s="20" t="s">
        <v>478</v>
      </c>
      <c r="F198" s="20" t="s">
        <v>479</v>
      </c>
      <c r="G198" s="8" t="str">
        <f t="shared" si="3"/>
        <v>LEVIN SCOTT</v>
      </c>
    </row>
    <row r="199" spans="1:7" x14ac:dyDescent="0.25">
      <c r="A199" s="8">
        <v>42808.724629629629</v>
      </c>
      <c r="B199" s="20" t="s">
        <v>447</v>
      </c>
      <c r="C199" s="20" t="s">
        <v>744</v>
      </c>
      <c r="D199" s="150">
        <v>2040000</v>
      </c>
      <c r="E199" s="20" t="s">
        <v>252</v>
      </c>
      <c r="F199" s="20" t="s">
        <v>253</v>
      </c>
      <c r="G199" s="8" t="str">
        <f t="shared" si="3"/>
        <v>MOSES BRADLEY</v>
      </c>
    </row>
    <row r="200" spans="1:7" x14ac:dyDescent="0.25">
      <c r="A200" s="8">
        <v>42808.728206018517</v>
      </c>
      <c r="B200" s="20" t="s">
        <v>570</v>
      </c>
      <c r="C200" s="20" t="s">
        <v>745</v>
      </c>
      <c r="D200" s="150">
        <v>2150000</v>
      </c>
      <c r="E200" s="20" t="s">
        <v>436</v>
      </c>
      <c r="F200" s="20" t="s">
        <v>437</v>
      </c>
      <c r="G200" s="8" t="str">
        <f t="shared" si="3"/>
        <v>SWANSON BRYCE</v>
      </c>
    </row>
    <row r="201" spans="1:7" x14ac:dyDescent="0.25">
      <c r="A201" s="8">
        <v>42808.731296296297</v>
      </c>
      <c r="B201" s="20" t="s">
        <v>575</v>
      </c>
      <c r="C201" s="20" t="s">
        <v>746</v>
      </c>
      <c r="D201" s="150">
        <v>1180000</v>
      </c>
      <c r="E201" s="20" t="s">
        <v>508</v>
      </c>
      <c r="F201" s="20" t="s">
        <v>509</v>
      </c>
      <c r="G201" s="8" t="str">
        <f t="shared" si="3"/>
        <v>LEVERE CRAIG</v>
      </c>
    </row>
    <row r="202" spans="1:7" x14ac:dyDescent="0.25">
      <c r="A202" s="26">
        <v>42808.732199074075</v>
      </c>
      <c r="B202" s="20" t="s">
        <v>464</v>
      </c>
      <c r="C202" s="20" t="s">
        <v>590</v>
      </c>
      <c r="D202" s="150">
        <v>1520000</v>
      </c>
      <c r="E202" s="20" t="s">
        <v>747</v>
      </c>
      <c r="F202" s="20" t="s">
        <v>748</v>
      </c>
      <c r="G202" s="8" t="str">
        <f t="shared" si="3"/>
        <v>MAYBERRY BILL</v>
      </c>
    </row>
    <row r="203" spans="1:7" x14ac:dyDescent="0.25">
      <c r="A203" s="8">
        <v>42808.734247685185</v>
      </c>
      <c r="B203" s="20" t="s">
        <v>222</v>
      </c>
      <c r="C203" s="20" t="s">
        <v>749</v>
      </c>
      <c r="D203" s="150">
        <v>1300000</v>
      </c>
      <c r="E203" s="20" t="s">
        <v>478</v>
      </c>
      <c r="F203" s="20" t="s">
        <v>479</v>
      </c>
      <c r="G203" s="8" t="str">
        <f t="shared" si="3"/>
        <v>LEVIN SCOTT</v>
      </c>
    </row>
    <row r="204" spans="1:7" x14ac:dyDescent="0.25">
      <c r="A204" s="8">
        <v>42808.735405092593</v>
      </c>
      <c r="B204" s="20" t="s">
        <v>239</v>
      </c>
      <c r="C204" s="20" t="s">
        <v>591</v>
      </c>
      <c r="D204" s="150">
        <v>1740000</v>
      </c>
      <c r="E204" s="20" t="s">
        <v>402</v>
      </c>
      <c r="F204" s="20" t="s">
        <v>403</v>
      </c>
      <c r="G204" s="8" t="str">
        <f t="shared" si="3"/>
        <v>STORY SAMANTHA</v>
      </c>
    </row>
    <row r="205" spans="1:7" x14ac:dyDescent="0.25">
      <c r="A205" s="8">
        <v>42808.73646990741</v>
      </c>
      <c r="B205" s="20" t="s">
        <v>464</v>
      </c>
      <c r="C205" s="20" t="s">
        <v>590</v>
      </c>
      <c r="D205" s="150">
        <v>1520000</v>
      </c>
      <c r="E205" s="20" t="s">
        <v>747</v>
      </c>
      <c r="F205" s="20" t="s">
        <v>748</v>
      </c>
      <c r="G205" s="8" t="str">
        <f t="shared" si="3"/>
        <v>MAYBERRY BILL</v>
      </c>
    </row>
    <row r="206" spans="1:7" x14ac:dyDescent="0.25">
      <c r="A206" s="8">
        <v>42808.739837962959</v>
      </c>
      <c r="B206" s="20" t="s">
        <v>469</v>
      </c>
      <c r="C206" s="20" t="s">
        <v>750</v>
      </c>
      <c r="D206" s="150">
        <v>740000</v>
      </c>
      <c r="E206" s="20" t="s">
        <v>751</v>
      </c>
      <c r="F206" s="20" t="s">
        <v>752</v>
      </c>
      <c r="G206" s="8" t="str">
        <f t="shared" si="3"/>
        <v>ALONZO MATTHEW</v>
      </c>
    </row>
    <row r="207" spans="1:7" x14ac:dyDescent="0.25">
      <c r="A207" s="8">
        <v>42808.743263888886</v>
      </c>
      <c r="B207" s="20" t="s">
        <v>462</v>
      </c>
      <c r="C207" s="20" t="s">
        <v>753</v>
      </c>
      <c r="D207" s="150">
        <v>930000</v>
      </c>
      <c r="E207" s="20" t="s">
        <v>506</v>
      </c>
      <c r="F207" s="20" t="s">
        <v>507</v>
      </c>
      <c r="G207" s="8" t="str">
        <f t="shared" si="3"/>
        <v>CLARK KATHLEEN</v>
      </c>
    </row>
    <row r="208" spans="1:7" x14ac:dyDescent="0.25">
      <c r="A208" s="8">
        <v>42808.746354166666</v>
      </c>
      <c r="B208" s="20" t="s">
        <v>203</v>
      </c>
      <c r="C208" s="20" t="s">
        <v>754</v>
      </c>
      <c r="D208" s="150">
        <v>2680000</v>
      </c>
      <c r="E208" s="20" t="s">
        <v>510</v>
      </c>
      <c r="F208" s="20" t="s">
        <v>511</v>
      </c>
      <c r="G208" s="8" t="str">
        <f t="shared" si="3"/>
        <v>DUNCAN SHEILA</v>
      </c>
    </row>
    <row r="209" spans="1:7" x14ac:dyDescent="0.25">
      <c r="A209" s="8">
        <v>42808.747974537036</v>
      </c>
      <c r="B209" s="20" t="s">
        <v>449</v>
      </c>
      <c r="C209" s="20" t="s">
        <v>592</v>
      </c>
      <c r="D209" s="150">
        <v>2420000</v>
      </c>
      <c r="E209" s="20" t="s">
        <v>472</v>
      </c>
      <c r="F209" s="20" t="s">
        <v>473</v>
      </c>
      <c r="G209" s="8" t="str">
        <f t="shared" si="3"/>
        <v>HOLCOMB KAMDEN</v>
      </c>
    </row>
    <row r="210" spans="1:7" x14ac:dyDescent="0.25">
      <c r="A210" s="8">
        <v>42808.755613425928</v>
      </c>
      <c r="B210" s="20" t="s">
        <v>567</v>
      </c>
      <c r="C210" s="20" t="s">
        <v>755</v>
      </c>
      <c r="D210" s="150">
        <v>2150000</v>
      </c>
      <c r="E210" s="20" t="s">
        <v>436</v>
      </c>
      <c r="F210" s="20" t="s">
        <v>437</v>
      </c>
      <c r="G210" s="8" t="str">
        <f t="shared" si="3"/>
        <v>SWANSON BRYCE</v>
      </c>
    </row>
    <row r="211" spans="1:7" x14ac:dyDescent="0.25">
      <c r="A211" s="8">
        <v>42808.756064814814</v>
      </c>
      <c r="B211" s="20" t="s">
        <v>626</v>
      </c>
      <c r="C211" s="20" t="s">
        <v>756</v>
      </c>
      <c r="D211" s="150">
        <v>1800000</v>
      </c>
      <c r="E211" s="20" t="s">
        <v>215</v>
      </c>
      <c r="F211" s="20" t="s">
        <v>216</v>
      </c>
      <c r="G211" s="8" t="str">
        <f t="shared" si="3"/>
        <v>CHANDLER KELVIN</v>
      </c>
    </row>
    <row r="212" spans="1:7" x14ac:dyDescent="0.25">
      <c r="A212" s="8">
        <v>42808.760104166664</v>
      </c>
      <c r="B212" s="20" t="s">
        <v>390</v>
      </c>
      <c r="C212" s="20" t="s">
        <v>757</v>
      </c>
      <c r="D212" s="150">
        <v>1740000</v>
      </c>
      <c r="E212" s="20" t="s">
        <v>402</v>
      </c>
      <c r="F212" s="20" t="s">
        <v>403</v>
      </c>
      <c r="G212" s="8" t="str">
        <f t="shared" si="3"/>
        <v>STORY SAMANTHA</v>
      </c>
    </row>
    <row r="213" spans="1:7" x14ac:dyDescent="0.25">
      <c r="A213" s="8">
        <v>42808.760416666664</v>
      </c>
      <c r="B213" s="20" t="s">
        <v>190</v>
      </c>
      <c r="C213" s="20" t="s">
        <v>758</v>
      </c>
      <c r="D213" s="150">
        <v>1300000</v>
      </c>
      <c r="E213" s="20" t="s">
        <v>478</v>
      </c>
      <c r="F213" s="20" t="s">
        <v>479</v>
      </c>
      <c r="G213" s="8" t="str">
        <f t="shared" si="3"/>
        <v>LEVIN SCOTT</v>
      </c>
    </row>
    <row r="214" spans="1:7" x14ac:dyDescent="0.25">
      <c r="A214" s="8">
        <v>42808.762488425928</v>
      </c>
      <c r="B214" s="20" t="s">
        <v>240</v>
      </c>
      <c r="C214" s="20" t="s">
        <v>759</v>
      </c>
      <c r="D214" s="150">
        <v>1760000</v>
      </c>
      <c r="E214" s="20" t="s">
        <v>689</v>
      </c>
      <c r="F214" s="20" t="s">
        <v>690</v>
      </c>
      <c r="G214" s="8" t="str">
        <f t="shared" si="3"/>
        <v>STRICKLAND EVAN</v>
      </c>
    </row>
    <row r="215" spans="1:7" x14ac:dyDescent="0.25">
      <c r="A215" s="8">
        <v>42808.765289351853</v>
      </c>
      <c r="B215" s="20" t="s">
        <v>448</v>
      </c>
      <c r="C215" s="20" t="s">
        <v>593</v>
      </c>
      <c r="D215" s="150">
        <v>2040000</v>
      </c>
      <c r="E215" s="20" t="s">
        <v>252</v>
      </c>
      <c r="F215" s="20" t="s">
        <v>253</v>
      </c>
      <c r="G215" s="8" t="str">
        <f t="shared" si="3"/>
        <v>MOSES BRADLEY</v>
      </c>
    </row>
    <row r="216" spans="1:7" x14ac:dyDescent="0.25">
      <c r="A216" s="8">
        <v>42808.767418981479</v>
      </c>
      <c r="B216" s="20" t="s">
        <v>594</v>
      </c>
      <c r="C216" s="20" t="s">
        <v>595</v>
      </c>
      <c r="D216" s="150">
        <v>2000000</v>
      </c>
      <c r="E216" s="20" t="s">
        <v>480</v>
      </c>
      <c r="F216" s="20" t="s">
        <v>196</v>
      </c>
      <c r="G216" s="8" t="str">
        <f t="shared" si="3"/>
        <v>STAMBAUGH JAMES</v>
      </c>
    </row>
    <row r="217" spans="1:7" x14ac:dyDescent="0.25">
      <c r="A217" s="8">
        <v>42808.771678240744</v>
      </c>
      <c r="B217" s="20" t="s">
        <v>463</v>
      </c>
      <c r="C217" s="20" t="s">
        <v>760</v>
      </c>
      <c r="D217" s="150">
        <v>1810000</v>
      </c>
      <c r="E217" s="20" t="s">
        <v>200</v>
      </c>
      <c r="F217" s="20" t="s">
        <v>196</v>
      </c>
      <c r="G217" s="8" t="str">
        <f t="shared" si="3"/>
        <v>NEWELL JAMES</v>
      </c>
    </row>
    <row r="218" spans="1:7" x14ac:dyDescent="0.25">
      <c r="A218" s="8">
        <v>42808.772314814814</v>
      </c>
      <c r="B218" s="20" t="s">
        <v>570</v>
      </c>
      <c r="C218" s="20" t="s">
        <v>761</v>
      </c>
      <c r="D218" s="150">
        <v>2150000</v>
      </c>
      <c r="E218" s="20" t="s">
        <v>436</v>
      </c>
      <c r="F218" s="20" t="s">
        <v>437</v>
      </c>
      <c r="G218" s="8" t="str">
        <f t="shared" si="3"/>
        <v>SWANSON BRYCE</v>
      </c>
    </row>
    <row r="219" spans="1:7" x14ac:dyDescent="0.25">
      <c r="A219" s="8">
        <v>42808.77553240741</v>
      </c>
      <c r="B219" s="20" t="s">
        <v>222</v>
      </c>
      <c r="C219" s="20" t="s">
        <v>762</v>
      </c>
      <c r="D219" s="150">
        <v>1300000</v>
      </c>
      <c r="E219" s="20" t="s">
        <v>478</v>
      </c>
      <c r="F219" s="20" t="s">
        <v>479</v>
      </c>
      <c r="G219" s="8" t="str">
        <f t="shared" si="3"/>
        <v>LEVIN SCOTT</v>
      </c>
    </row>
    <row r="220" spans="1:7" x14ac:dyDescent="0.25">
      <c r="A220" s="8">
        <v>42808.77884259259</v>
      </c>
      <c r="B220" s="20" t="s">
        <v>461</v>
      </c>
      <c r="C220" s="20" t="s">
        <v>763</v>
      </c>
      <c r="D220" s="150">
        <v>930000</v>
      </c>
      <c r="E220" s="20" t="s">
        <v>506</v>
      </c>
      <c r="F220" s="20" t="s">
        <v>507</v>
      </c>
      <c r="G220" s="8" t="str">
        <f t="shared" si="3"/>
        <v>CLARK KATHLEEN</v>
      </c>
    </row>
    <row r="221" spans="1:7" x14ac:dyDescent="0.25">
      <c r="A221" s="8">
        <v>42808.780844907407</v>
      </c>
      <c r="B221" s="20" t="s">
        <v>446</v>
      </c>
      <c r="C221" s="20" t="s">
        <v>596</v>
      </c>
      <c r="D221" s="150">
        <v>2420000</v>
      </c>
      <c r="E221" s="20" t="s">
        <v>472</v>
      </c>
      <c r="F221" s="20" t="s">
        <v>473</v>
      </c>
      <c r="G221" s="8" t="str">
        <f t="shared" si="3"/>
        <v>HOLCOMB KAMDEN</v>
      </c>
    </row>
    <row r="222" spans="1:7" x14ac:dyDescent="0.25">
      <c r="A222" s="8">
        <v>42808.78601851852</v>
      </c>
      <c r="B222" s="20" t="s">
        <v>446</v>
      </c>
      <c r="C222" s="20" t="s">
        <v>596</v>
      </c>
      <c r="D222" s="150">
        <v>2420000</v>
      </c>
      <c r="E222" s="20" t="s">
        <v>472</v>
      </c>
      <c r="F222" s="20" t="s">
        <v>473</v>
      </c>
      <c r="G222" s="8" t="str">
        <f t="shared" si="3"/>
        <v>HOLCOMB KAMDEN</v>
      </c>
    </row>
    <row r="223" spans="1:7" x14ac:dyDescent="0.25">
      <c r="A223" s="8">
        <v>42808.790347222224</v>
      </c>
      <c r="B223" s="20" t="s">
        <v>400</v>
      </c>
      <c r="C223" s="20" t="s">
        <v>764</v>
      </c>
      <c r="D223" s="150">
        <v>1800000</v>
      </c>
      <c r="E223" s="20" t="s">
        <v>215</v>
      </c>
      <c r="F223" s="20" t="s">
        <v>216</v>
      </c>
      <c r="G223" s="8" t="str">
        <f t="shared" si="3"/>
        <v>CHANDLER KELVIN</v>
      </c>
    </row>
    <row r="224" spans="1:7" x14ac:dyDescent="0.25">
      <c r="A224" s="8">
        <v>42808.797453703701</v>
      </c>
      <c r="B224" t="s">
        <v>567</v>
      </c>
      <c r="C224" t="s">
        <v>765</v>
      </c>
      <c r="D224" s="150">
        <v>2150000</v>
      </c>
      <c r="E224" t="s">
        <v>436</v>
      </c>
      <c r="F224" s="20" t="s">
        <v>437</v>
      </c>
      <c r="G224" s="8" t="str">
        <f t="shared" si="3"/>
        <v>SWANSON BRYCE</v>
      </c>
    </row>
    <row r="225" spans="1:7" x14ac:dyDescent="0.25">
      <c r="A225" s="8">
        <v>42808.797962962963</v>
      </c>
      <c r="B225" t="s">
        <v>498</v>
      </c>
      <c r="C225" t="s">
        <v>766</v>
      </c>
      <c r="D225" s="150">
        <v>1740000</v>
      </c>
      <c r="E225" t="s">
        <v>402</v>
      </c>
      <c r="F225" s="20" t="s">
        <v>403</v>
      </c>
      <c r="G225" s="8" t="str">
        <f t="shared" si="3"/>
        <v>STORY SAMANTHA</v>
      </c>
    </row>
    <row r="226" spans="1:7" x14ac:dyDescent="0.25">
      <c r="A226" s="8">
        <v>42808.79891203704</v>
      </c>
      <c r="B226" t="s">
        <v>447</v>
      </c>
      <c r="C226" t="s">
        <v>767</v>
      </c>
      <c r="D226" s="150">
        <v>2040000</v>
      </c>
      <c r="E226" t="s">
        <v>252</v>
      </c>
      <c r="F226" s="20" t="s">
        <v>253</v>
      </c>
      <c r="G226" s="8" t="str">
        <f t="shared" si="3"/>
        <v>MOSES BRADLEY</v>
      </c>
    </row>
    <row r="227" spans="1:7" x14ac:dyDescent="0.25">
      <c r="A227" s="8">
        <v>42808.799687500003</v>
      </c>
      <c r="B227" t="s">
        <v>446</v>
      </c>
      <c r="C227" t="s">
        <v>596</v>
      </c>
      <c r="D227" s="150">
        <v>2420000</v>
      </c>
      <c r="E227" t="s">
        <v>472</v>
      </c>
      <c r="F227" s="20" t="s">
        <v>473</v>
      </c>
      <c r="G227" s="8" t="str">
        <f t="shared" si="3"/>
        <v>HOLCOMB KAMDEN</v>
      </c>
    </row>
    <row r="228" spans="1:7" x14ac:dyDescent="0.25">
      <c r="A228" s="8">
        <v>42808.800532407404</v>
      </c>
      <c r="B228" t="s">
        <v>575</v>
      </c>
      <c r="C228" t="s">
        <v>768</v>
      </c>
      <c r="D228" s="150">
        <v>2000000</v>
      </c>
      <c r="E228" t="s">
        <v>480</v>
      </c>
      <c r="F228" s="20" t="s">
        <v>196</v>
      </c>
      <c r="G228" s="8" t="str">
        <f t="shared" si="3"/>
        <v>STAMBAUGH JAMES</v>
      </c>
    </row>
    <row r="229" spans="1:7" x14ac:dyDescent="0.25">
      <c r="A229" s="8">
        <v>42808.803564814814</v>
      </c>
      <c r="B229" t="s">
        <v>190</v>
      </c>
      <c r="C229" t="s">
        <v>769</v>
      </c>
      <c r="D229" s="150">
        <v>1300000</v>
      </c>
      <c r="E229" t="s">
        <v>478</v>
      </c>
      <c r="F229" s="20" t="s">
        <v>479</v>
      </c>
      <c r="G229" s="8" t="str">
        <f t="shared" si="3"/>
        <v>LEVIN SCOTT</v>
      </c>
    </row>
    <row r="230" spans="1:7" x14ac:dyDescent="0.25">
      <c r="A230" s="8">
        <v>42808.809155092589</v>
      </c>
      <c r="B230" t="s">
        <v>469</v>
      </c>
      <c r="C230" t="s">
        <v>770</v>
      </c>
      <c r="D230" s="150">
        <v>2630000</v>
      </c>
      <c r="E230" t="s">
        <v>481</v>
      </c>
      <c r="F230" s="20" t="s">
        <v>482</v>
      </c>
      <c r="G230" s="8" t="str">
        <f t="shared" si="3"/>
        <v>SAFIEF AEIMEN</v>
      </c>
    </row>
    <row r="231" spans="1:7" x14ac:dyDescent="0.25">
      <c r="A231" s="8">
        <v>42808.816990740743</v>
      </c>
      <c r="B231" t="s">
        <v>222</v>
      </c>
      <c r="C231" t="s">
        <v>771</v>
      </c>
      <c r="D231" s="150">
        <v>1300000</v>
      </c>
      <c r="E231" t="s">
        <v>478</v>
      </c>
      <c r="F231" s="20" t="s">
        <v>479</v>
      </c>
      <c r="G231" s="8" t="str">
        <f t="shared" si="3"/>
        <v>LEVIN SCOTT</v>
      </c>
    </row>
    <row r="232" spans="1:7" x14ac:dyDescent="0.25">
      <c r="A232" s="8">
        <v>42808.825057870374</v>
      </c>
      <c r="B232" t="s">
        <v>449</v>
      </c>
      <c r="C232" t="s">
        <v>772</v>
      </c>
      <c r="D232" s="150">
        <v>2420000</v>
      </c>
      <c r="E232" t="s">
        <v>472</v>
      </c>
      <c r="F232" s="20" t="s">
        <v>473</v>
      </c>
      <c r="G232" s="8" t="str">
        <f t="shared" si="3"/>
        <v>HOLCOMB KAMDEN</v>
      </c>
    </row>
    <row r="233" spans="1:7" x14ac:dyDescent="0.25">
      <c r="A233" s="8">
        <v>42808.829641203702</v>
      </c>
      <c r="B233" t="s">
        <v>626</v>
      </c>
      <c r="C233" t="s">
        <v>773</v>
      </c>
      <c r="D233" s="150">
        <v>1800000</v>
      </c>
      <c r="E233" t="s">
        <v>215</v>
      </c>
      <c r="F233" s="20" t="s">
        <v>216</v>
      </c>
      <c r="G233" s="8" t="str">
        <f t="shared" si="3"/>
        <v>CHANDLER KELVIN</v>
      </c>
    </row>
    <row r="234" spans="1:7" x14ac:dyDescent="0.25">
      <c r="A234" s="8">
        <v>42808.830243055556</v>
      </c>
      <c r="B234" t="s">
        <v>390</v>
      </c>
      <c r="C234" t="s">
        <v>774</v>
      </c>
      <c r="D234" s="150">
        <v>2680000</v>
      </c>
      <c r="E234" t="s">
        <v>510</v>
      </c>
      <c r="F234" s="20" t="s">
        <v>511</v>
      </c>
      <c r="G234" s="8" t="str">
        <f t="shared" si="3"/>
        <v>DUNCAN SHEILA</v>
      </c>
    </row>
    <row r="235" spans="1:7" x14ac:dyDescent="0.25">
      <c r="A235" s="8">
        <v>42808.840254629627</v>
      </c>
      <c r="B235" t="s">
        <v>594</v>
      </c>
      <c r="C235" t="s">
        <v>775</v>
      </c>
      <c r="D235" s="150">
        <v>2000000</v>
      </c>
      <c r="E235" t="s">
        <v>480</v>
      </c>
      <c r="F235" s="20" t="s">
        <v>196</v>
      </c>
      <c r="G235" s="8" t="str">
        <f t="shared" si="3"/>
        <v>STAMBAUGH JAMES</v>
      </c>
    </row>
    <row r="236" spans="1:7" x14ac:dyDescent="0.25">
      <c r="A236" s="8">
        <v>42808.842835648145</v>
      </c>
      <c r="B236" t="s">
        <v>190</v>
      </c>
      <c r="C236" t="s">
        <v>776</v>
      </c>
      <c r="D236" s="150">
        <v>1300000</v>
      </c>
      <c r="E236" t="s">
        <v>478</v>
      </c>
      <c r="F236" s="20" t="s">
        <v>479</v>
      </c>
      <c r="G236" s="8" t="str">
        <f t="shared" si="3"/>
        <v>LEVIN SCOTT</v>
      </c>
    </row>
    <row r="237" spans="1:7" x14ac:dyDescent="0.25">
      <c r="A237" s="8">
        <v>42808.844965277778</v>
      </c>
      <c r="B237" t="s">
        <v>463</v>
      </c>
      <c r="C237" t="s">
        <v>777</v>
      </c>
      <c r="D237" s="150">
        <v>2630000</v>
      </c>
      <c r="E237" t="s">
        <v>481</v>
      </c>
      <c r="F237" s="20" t="s">
        <v>482</v>
      </c>
      <c r="G237" s="8" t="str">
        <f t="shared" si="3"/>
        <v>SAFIEF AEIMEN</v>
      </c>
    </row>
    <row r="238" spans="1:7" x14ac:dyDescent="0.25">
      <c r="A238" s="8">
        <v>42808.844965277778</v>
      </c>
      <c r="B238" t="s">
        <v>432</v>
      </c>
      <c r="C238" t="s">
        <v>597</v>
      </c>
      <c r="D238" s="150">
        <v>2730000</v>
      </c>
      <c r="E238" t="s">
        <v>231</v>
      </c>
      <c r="F238" s="20" t="s">
        <v>232</v>
      </c>
      <c r="G238" s="8" t="str">
        <f t="shared" si="3"/>
        <v>YANG JAN</v>
      </c>
    </row>
    <row r="239" spans="1:7" x14ac:dyDescent="0.25">
      <c r="A239" s="8">
        <v>42808.858032407406</v>
      </c>
      <c r="B239" t="s">
        <v>434</v>
      </c>
      <c r="C239" t="s">
        <v>778</v>
      </c>
      <c r="D239" s="150">
        <v>2730000</v>
      </c>
      <c r="E239" t="s">
        <v>231</v>
      </c>
      <c r="F239" s="20" t="s">
        <v>232</v>
      </c>
      <c r="G239" s="8" t="str">
        <f t="shared" si="3"/>
        <v>YANG JAN</v>
      </c>
    </row>
    <row r="240" spans="1:7" x14ac:dyDescent="0.25">
      <c r="A240" s="8">
        <v>42808.858888888892</v>
      </c>
      <c r="B240" t="s">
        <v>222</v>
      </c>
      <c r="C240" t="s">
        <v>779</v>
      </c>
      <c r="D240" s="150">
        <v>1300000</v>
      </c>
      <c r="E240" t="s">
        <v>478</v>
      </c>
      <c r="F240" s="20" t="s">
        <v>479</v>
      </c>
      <c r="G240" s="8" t="str">
        <f t="shared" si="3"/>
        <v>LEVIN SCOTT</v>
      </c>
    </row>
    <row r="241" spans="1:7" x14ac:dyDescent="0.25">
      <c r="A241" s="8">
        <v>42808.8672337963</v>
      </c>
      <c r="B241" t="s">
        <v>498</v>
      </c>
      <c r="C241" t="s">
        <v>780</v>
      </c>
      <c r="D241" s="150">
        <v>2680000</v>
      </c>
      <c r="E241" t="s">
        <v>510</v>
      </c>
      <c r="F241" s="20" t="s">
        <v>511</v>
      </c>
      <c r="G241" s="8" t="str">
        <f t="shared" si="3"/>
        <v>DUNCAN SHEILA</v>
      </c>
    </row>
    <row r="242" spans="1:7" x14ac:dyDescent="0.25">
      <c r="A242" s="8">
        <v>42808.873599537037</v>
      </c>
      <c r="B242" t="s">
        <v>400</v>
      </c>
      <c r="C242" t="s">
        <v>781</v>
      </c>
      <c r="D242" s="150">
        <v>1800000</v>
      </c>
      <c r="E242" t="s">
        <v>215</v>
      </c>
      <c r="F242" s="20" t="s">
        <v>216</v>
      </c>
      <c r="G242" s="8" t="str">
        <f t="shared" si="3"/>
        <v>CHANDLER KELVIN</v>
      </c>
    </row>
    <row r="243" spans="1:7" x14ac:dyDescent="0.25">
      <c r="A243" s="8">
        <v>42808.877418981479</v>
      </c>
      <c r="B243" t="s">
        <v>190</v>
      </c>
      <c r="C243" t="s">
        <v>782</v>
      </c>
      <c r="D243" s="150">
        <v>2150000</v>
      </c>
      <c r="E243" t="s">
        <v>436</v>
      </c>
      <c r="F243" s="20" t="s">
        <v>437</v>
      </c>
      <c r="G243" s="8" t="str">
        <f t="shared" si="3"/>
        <v>SWANSON BRYCE</v>
      </c>
    </row>
    <row r="244" spans="1:7" x14ac:dyDescent="0.25">
      <c r="A244" s="8">
        <v>42808.882048611114</v>
      </c>
      <c r="B244" t="s">
        <v>432</v>
      </c>
      <c r="C244" t="s">
        <v>783</v>
      </c>
      <c r="D244" s="150">
        <v>2730000</v>
      </c>
      <c r="E244" t="s">
        <v>231</v>
      </c>
      <c r="F244" s="20" t="s">
        <v>232</v>
      </c>
      <c r="G244" s="8" t="str">
        <f t="shared" si="3"/>
        <v>YANG JAN</v>
      </c>
    </row>
    <row r="245" spans="1:7" x14ac:dyDescent="0.25">
      <c r="A245" s="8">
        <v>42808.882430555554</v>
      </c>
      <c r="B245" t="s">
        <v>575</v>
      </c>
      <c r="C245" t="s">
        <v>784</v>
      </c>
      <c r="D245" s="150">
        <v>2000000</v>
      </c>
      <c r="E245" t="s">
        <v>480</v>
      </c>
      <c r="F245" s="20" t="s">
        <v>196</v>
      </c>
      <c r="G245" s="8" t="str">
        <f t="shared" si="3"/>
        <v>STAMBAUGH JAMES</v>
      </c>
    </row>
    <row r="246" spans="1:7" x14ac:dyDescent="0.25">
      <c r="A246" s="8">
        <v>42808.887719907405</v>
      </c>
      <c r="B246" t="s">
        <v>469</v>
      </c>
      <c r="C246" t="s">
        <v>785</v>
      </c>
      <c r="D246" s="150">
        <v>1810000</v>
      </c>
      <c r="E246" t="s">
        <v>200</v>
      </c>
      <c r="F246" s="20" t="s">
        <v>196</v>
      </c>
      <c r="G246" s="8" t="str">
        <f t="shared" si="3"/>
        <v>NEWELL JAMES</v>
      </c>
    </row>
    <row r="247" spans="1:7" x14ac:dyDescent="0.25">
      <c r="A247" s="8">
        <v>42808.901724537034</v>
      </c>
      <c r="B247" t="s">
        <v>222</v>
      </c>
      <c r="C247" t="s">
        <v>786</v>
      </c>
      <c r="D247" s="150">
        <v>2150000</v>
      </c>
      <c r="E247" t="s">
        <v>436</v>
      </c>
      <c r="F247" s="20" t="s">
        <v>437</v>
      </c>
      <c r="G247" s="8" t="str">
        <f t="shared" si="3"/>
        <v>SWANSON BRYCE</v>
      </c>
    </row>
    <row r="248" spans="1:7" x14ac:dyDescent="0.25">
      <c r="A248" s="8">
        <v>42808.902870370373</v>
      </c>
      <c r="B248" t="s">
        <v>434</v>
      </c>
      <c r="C248" t="s">
        <v>778</v>
      </c>
      <c r="D248" s="150">
        <v>2730000</v>
      </c>
      <c r="E248" t="s">
        <v>231</v>
      </c>
      <c r="F248" s="20" t="s">
        <v>232</v>
      </c>
      <c r="G248" s="8" t="str">
        <f t="shared" si="3"/>
        <v>YANG JAN</v>
      </c>
    </row>
    <row r="249" spans="1:7" x14ac:dyDescent="0.25">
      <c r="A249" s="8">
        <v>42808.912789351853</v>
      </c>
      <c r="B249" t="s">
        <v>626</v>
      </c>
      <c r="C249" t="s">
        <v>787</v>
      </c>
      <c r="D249" s="150">
        <v>1800000</v>
      </c>
      <c r="E249" t="s">
        <v>215</v>
      </c>
      <c r="F249" s="20" t="s">
        <v>216</v>
      </c>
      <c r="G249" s="8" t="str">
        <f t="shared" si="3"/>
        <v>CHANDLER KELVIN</v>
      </c>
    </row>
    <row r="250" spans="1:7" x14ac:dyDescent="0.25">
      <c r="A250" s="8">
        <v>42808.915092592593</v>
      </c>
      <c r="B250" t="s">
        <v>389</v>
      </c>
      <c r="C250" t="s">
        <v>788</v>
      </c>
      <c r="D250" s="150">
        <v>1740000</v>
      </c>
      <c r="E250" t="s">
        <v>402</v>
      </c>
      <c r="F250" s="20" t="s">
        <v>403</v>
      </c>
      <c r="G250" s="8" t="str">
        <f t="shared" si="3"/>
        <v>STORY SAMANTHA</v>
      </c>
    </row>
    <row r="251" spans="1:7" x14ac:dyDescent="0.25">
      <c r="A251" s="8">
        <v>42808.915983796294</v>
      </c>
      <c r="B251" t="s">
        <v>190</v>
      </c>
      <c r="C251" t="s">
        <v>789</v>
      </c>
      <c r="D251" s="150">
        <v>2150000</v>
      </c>
      <c r="E251" t="s">
        <v>436</v>
      </c>
      <c r="F251" s="20" t="s">
        <v>437</v>
      </c>
      <c r="G251" s="8" t="str">
        <f t="shared" si="3"/>
        <v>SWANSON BRYCE</v>
      </c>
    </row>
    <row r="252" spans="1:7" x14ac:dyDescent="0.25">
      <c r="A252" s="8">
        <v>42808.920324074075</v>
      </c>
      <c r="B252" t="s">
        <v>432</v>
      </c>
      <c r="C252" t="s">
        <v>783</v>
      </c>
      <c r="D252" s="150">
        <v>2730000</v>
      </c>
      <c r="E252" t="s">
        <v>231</v>
      </c>
      <c r="F252" s="20" t="s">
        <v>232</v>
      </c>
      <c r="G252" s="8" t="str">
        <f t="shared" si="3"/>
        <v>YANG JAN</v>
      </c>
    </row>
    <row r="253" spans="1:7" x14ac:dyDescent="0.25">
      <c r="A253" s="8">
        <v>42808.923425925925</v>
      </c>
      <c r="B253" t="s">
        <v>594</v>
      </c>
      <c r="C253" t="s">
        <v>790</v>
      </c>
      <c r="D253" s="150">
        <v>2000000</v>
      </c>
      <c r="E253" t="s">
        <v>480</v>
      </c>
      <c r="F253" s="20" t="s">
        <v>196</v>
      </c>
      <c r="G253" s="8" t="str">
        <f t="shared" si="3"/>
        <v>STAMBAUGH JAMES</v>
      </c>
    </row>
    <row r="254" spans="1:7" x14ac:dyDescent="0.25">
      <c r="A254" s="8">
        <v>42808.930138888885</v>
      </c>
      <c r="B254" t="s">
        <v>463</v>
      </c>
      <c r="C254" t="s">
        <v>791</v>
      </c>
      <c r="D254" s="150">
        <v>1810000</v>
      </c>
      <c r="E254" t="s">
        <v>200</v>
      </c>
      <c r="F254" s="20" t="s">
        <v>196</v>
      </c>
      <c r="G254" s="8" t="str">
        <f t="shared" si="3"/>
        <v>NEWELL JAMES</v>
      </c>
    </row>
    <row r="255" spans="1:7" x14ac:dyDescent="0.25">
      <c r="A255" s="8">
        <v>42808.943043981482</v>
      </c>
      <c r="B255" t="s">
        <v>222</v>
      </c>
      <c r="C255" t="s">
        <v>792</v>
      </c>
      <c r="D255" s="150">
        <v>2150000</v>
      </c>
      <c r="E255" t="s">
        <v>436</v>
      </c>
      <c r="F255" s="20" t="s">
        <v>437</v>
      </c>
      <c r="G255" s="8" t="str">
        <f t="shared" si="3"/>
        <v>SWANSON BRYCE</v>
      </c>
    </row>
    <row r="256" spans="1:7" x14ac:dyDescent="0.25">
      <c r="A256" s="8">
        <v>42808.945451388892</v>
      </c>
      <c r="B256" t="s">
        <v>434</v>
      </c>
      <c r="C256" t="s">
        <v>778</v>
      </c>
      <c r="D256" s="150">
        <v>2730000</v>
      </c>
      <c r="E256" t="s">
        <v>231</v>
      </c>
      <c r="F256" s="20" t="s">
        <v>232</v>
      </c>
      <c r="G256" s="8" t="str">
        <f t="shared" si="3"/>
        <v>YANG JAN</v>
      </c>
    </row>
    <row r="257" spans="1:7" x14ac:dyDescent="0.25">
      <c r="A257" s="8">
        <v>42808.949513888889</v>
      </c>
      <c r="B257" t="s">
        <v>203</v>
      </c>
      <c r="C257" t="s">
        <v>793</v>
      </c>
      <c r="D257" s="150">
        <v>1740000</v>
      </c>
      <c r="E257" t="s">
        <v>402</v>
      </c>
      <c r="F257" s="20" t="s">
        <v>403</v>
      </c>
      <c r="G257" s="8" t="str">
        <f t="shared" si="3"/>
        <v>STORY SAMANTHA</v>
      </c>
    </row>
    <row r="258" spans="1:7" x14ac:dyDescent="0.25">
      <c r="A258" s="8">
        <v>42808.957430555558</v>
      </c>
      <c r="B258" t="s">
        <v>400</v>
      </c>
      <c r="C258" t="s">
        <v>794</v>
      </c>
      <c r="D258" s="150">
        <v>1800000</v>
      </c>
      <c r="E258" t="s">
        <v>215</v>
      </c>
      <c r="F258" s="20" t="s">
        <v>216</v>
      </c>
      <c r="G258" s="8" t="str">
        <f t="shared" si="3"/>
        <v>CHANDLER KELVIN</v>
      </c>
    </row>
    <row r="259" spans="1:7" x14ac:dyDescent="0.25">
      <c r="A259" s="8">
        <v>42808.961782407408</v>
      </c>
      <c r="B259" t="s">
        <v>432</v>
      </c>
      <c r="C259" t="s">
        <v>783</v>
      </c>
      <c r="D259" s="150">
        <v>2730000</v>
      </c>
      <c r="E259" t="s">
        <v>231</v>
      </c>
      <c r="F259" s="20" t="s">
        <v>232</v>
      </c>
      <c r="G259" s="8" t="str">
        <f t="shared" ref="G259:G322" si="4">E259&amp;" "&amp;F259</f>
        <v>YANG JAN</v>
      </c>
    </row>
    <row r="260" spans="1:7" x14ac:dyDescent="0.25">
      <c r="A260" s="8">
        <v>42808.963113425925</v>
      </c>
      <c r="B260" t="s">
        <v>469</v>
      </c>
      <c r="C260" t="s">
        <v>795</v>
      </c>
      <c r="D260" s="150">
        <v>1810000</v>
      </c>
      <c r="E260" t="s">
        <v>200</v>
      </c>
      <c r="F260" s="20" t="s">
        <v>196</v>
      </c>
      <c r="G260" s="8" t="str">
        <f t="shared" si="4"/>
        <v>NEWELL JAMES</v>
      </c>
    </row>
    <row r="261" spans="1:7" x14ac:dyDescent="0.25">
      <c r="A261" s="8">
        <v>42808.975474537037</v>
      </c>
      <c r="B261" t="s">
        <v>575</v>
      </c>
      <c r="C261" t="s">
        <v>598</v>
      </c>
      <c r="D261" s="150">
        <v>2000000</v>
      </c>
      <c r="E261" t="s">
        <v>480</v>
      </c>
      <c r="F261" s="20" t="s">
        <v>196</v>
      </c>
      <c r="G261" s="8" t="str">
        <f t="shared" si="4"/>
        <v>STAMBAUGH JAMES</v>
      </c>
    </row>
    <row r="262" spans="1:7" x14ac:dyDescent="0.25">
      <c r="A262" s="8">
        <v>42808.984259259261</v>
      </c>
      <c r="B262" t="s">
        <v>575</v>
      </c>
      <c r="C262" t="s">
        <v>598</v>
      </c>
      <c r="D262" s="150">
        <v>2000000</v>
      </c>
      <c r="E262" t="s">
        <v>480</v>
      </c>
      <c r="F262" s="20" t="s">
        <v>196</v>
      </c>
      <c r="G262" s="8" t="str">
        <f t="shared" si="4"/>
        <v>STAMBAUGH JAMES</v>
      </c>
    </row>
    <row r="263" spans="1:7" x14ac:dyDescent="0.25">
      <c r="A263" s="8">
        <v>42808.993217592593</v>
      </c>
      <c r="B263" t="s">
        <v>434</v>
      </c>
      <c r="C263" t="s">
        <v>778</v>
      </c>
      <c r="D263" s="150">
        <v>2730000</v>
      </c>
      <c r="E263" t="s">
        <v>231</v>
      </c>
      <c r="F263" s="20" t="s">
        <v>232</v>
      </c>
      <c r="G263" s="8" t="str">
        <f t="shared" si="4"/>
        <v>YANG JAN</v>
      </c>
    </row>
    <row r="264" spans="1:7" x14ac:dyDescent="0.25">
      <c r="A264" s="8">
        <v>42808.995312500003</v>
      </c>
      <c r="B264" t="s">
        <v>390</v>
      </c>
      <c r="C264" t="s">
        <v>796</v>
      </c>
      <c r="D264" s="150">
        <v>1740000</v>
      </c>
      <c r="E264" t="s">
        <v>402</v>
      </c>
      <c r="F264" s="20" t="s">
        <v>403</v>
      </c>
      <c r="G264" s="8" t="str">
        <f t="shared" si="4"/>
        <v>STORY SAMANTHA</v>
      </c>
    </row>
    <row r="265" spans="1:7" x14ac:dyDescent="0.25">
      <c r="A265" s="8">
        <v>42808.996435185189</v>
      </c>
      <c r="B265" t="s">
        <v>626</v>
      </c>
      <c r="C265" t="s">
        <v>797</v>
      </c>
      <c r="D265" s="150">
        <v>1800000</v>
      </c>
      <c r="E265" t="s">
        <v>215</v>
      </c>
      <c r="F265" s="20" t="s">
        <v>216</v>
      </c>
      <c r="G265" s="8" t="str">
        <f t="shared" si="4"/>
        <v>CHANDLER KELVIN</v>
      </c>
    </row>
    <row r="266" spans="1:7" x14ac:dyDescent="0.25">
      <c r="A266" s="8">
        <v>42809.009120370371</v>
      </c>
      <c r="B266" t="s">
        <v>594</v>
      </c>
      <c r="C266" t="s">
        <v>798</v>
      </c>
      <c r="D266" s="150">
        <v>2000000</v>
      </c>
      <c r="E266" t="s">
        <v>480</v>
      </c>
      <c r="F266" s="20" t="s">
        <v>196</v>
      </c>
      <c r="G266" s="8" t="str">
        <f t="shared" si="4"/>
        <v>STAMBAUGH JAMES</v>
      </c>
    </row>
    <row r="267" spans="1:7" x14ac:dyDescent="0.25">
      <c r="A267" s="8">
        <v>42809.014606481483</v>
      </c>
      <c r="B267" t="s">
        <v>432</v>
      </c>
      <c r="C267" t="s">
        <v>783</v>
      </c>
      <c r="D267" s="150">
        <v>2730000</v>
      </c>
      <c r="E267" t="s">
        <v>231</v>
      </c>
      <c r="F267" s="20" t="s">
        <v>232</v>
      </c>
      <c r="G267" s="8" t="str">
        <f t="shared" si="4"/>
        <v>YANG JAN</v>
      </c>
    </row>
    <row r="268" spans="1:7" x14ac:dyDescent="0.25">
      <c r="A268" s="8">
        <v>42809.016122685185</v>
      </c>
      <c r="B268" t="s">
        <v>463</v>
      </c>
      <c r="C268" t="s">
        <v>799</v>
      </c>
      <c r="D268" s="150">
        <v>1810000</v>
      </c>
      <c r="E268" t="s">
        <v>200</v>
      </c>
      <c r="F268" s="20" t="s">
        <v>196</v>
      </c>
      <c r="G268" s="8" t="str">
        <f t="shared" si="4"/>
        <v>NEWELL JAMES</v>
      </c>
    </row>
    <row r="269" spans="1:7" x14ac:dyDescent="0.25">
      <c r="A269" s="8">
        <v>42809.029895833337</v>
      </c>
      <c r="B269" t="s">
        <v>498</v>
      </c>
      <c r="C269" t="s">
        <v>800</v>
      </c>
      <c r="D269" s="150">
        <v>1740000</v>
      </c>
      <c r="E269" t="s">
        <v>402</v>
      </c>
      <c r="F269" s="20" t="s">
        <v>403</v>
      </c>
      <c r="G269" s="8" t="str">
        <f t="shared" si="4"/>
        <v>STORY SAMANTHA</v>
      </c>
    </row>
    <row r="270" spans="1:7" x14ac:dyDescent="0.25">
      <c r="A270" s="8">
        <v>42809.030381944445</v>
      </c>
      <c r="B270" t="s">
        <v>400</v>
      </c>
      <c r="C270" t="s">
        <v>801</v>
      </c>
      <c r="D270" s="150">
        <v>1800000</v>
      </c>
      <c r="E270" t="s">
        <v>215</v>
      </c>
      <c r="F270" s="20" t="s">
        <v>216</v>
      </c>
      <c r="G270" s="8" t="str">
        <f t="shared" si="4"/>
        <v>CHANDLER KELVIN</v>
      </c>
    </row>
    <row r="271" spans="1:7" x14ac:dyDescent="0.25">
      <c r="A271" s="8">
        <v>42809.041238425925</v>
      </c>
      <c r="B271" t="s">
        <v>434</v>
      </c>
      <c r="C271" t="s">
        <v>778</v>
      </c>
      <c r="D271" s="150">
        <v>2730000</v>
      </c>
      <c r="E271" t="s">
        <v>231</v>
      </c>
      <c r="F271" s="20" t="s">
        <v>232</v>
      </c>
      <c r="G271" s="8" t="str">
        <f t="shared" si="4"/>
        <v>YANG JAN</v>
      </c>
    </row>
    <row r="272" spans="1:7" x14ac:dyDescent="0.25">
      <c r="A272" s="8">
        <v>42809.048750000002</v>
      </c>
      <c r="B272" t="s">
        <v>469</v>
      </c>
      <c r="C272" t="s">
        <v>802</v>
      </c>
      <c r="D272" s="150">
        <v>1810000</v>
      </c>
      <c r="E272" t="s">
        <v>200</v>
      </c>
      <c r="F272" s="20" t="s">
        <v>196</v>
      </c>
      <c r="G272" s="8" t="str">
        <f t="shared" si="4"/>
        <v>NEWELL JAMES</v>
      </c>
    </row>
    <row r="273" spans="1:7" x14ac:dyDescent="0.25">
      <c r="A273" s="8">
        <v>42809.057754629626</v>
      </c>
      <c r="B273" t="s">
        <v>575</v>
      </c>
      <c r="C273" t="s">
        <v>599</v>
      </c>
      <c r="D273" s="150">
        <v>2000000</v>
      </c>
      <c r="E273" t="s">
        <v>480</v>
      </c>
      <c r="F273" s="20" t="s">
        <v>196</v>
      </c>
      <c r="G273" s="8" t="str">
        <f t="shared" si="4"/>
        <v>STAMBAUGH JAMES</v>
      </c>
    </row>
    <row r="274" spans="1:7" x14ac:dyDescent="0.25">
      <c r="A274" s="8">
        <v>42809.067384259259</v>
      </c>
      <c r="B274" t="s">
        <v>390</v>
      </c>
      <c r="C274" t="s">
        <v>803</v>
      </c>
      <c r="D274" s="150">
        <v>1740000</v>
      </c>
      <c r="E274" t="s">
        <v>402</v>
      </c>
      <c r="F274" s="20" t="s">
        <v>403</v>
      </c>
      <c r="G274" s="8" t="str">
        <f t="shared" si="4"/>
        <v>STORY SAMANTHA</v>
      </c>
    </row>
    <row r="275" spans="1:7" x14ac:dyDescent="0.25">
      <c r="A275" s="8">
        <v>42809.088877314818</v>
      </c>
      <c r="B275" t="s">
        <v>594</v>
      </c>
      <c r="C275" t="s">
        <v>804</v>
      </c>
      <c r="D275" s="150">
        <v>2000000</v>
      </c>
      <c r="E275" t="s">
        <v>480</v>
      </c>
      <c r="F275" s="20" t="s">
        <v>196</v>
      </c>
      <c r="G275" s="8" t="str">
        <f t="shared" si="4"/>
        <v>STAMBAUGH JAMES</v>
      </c>
    </row>
    <row r="276" spans="1:7" x14ac:dyDescent="0.25">
      <c r="A276" s="8">
        <v>42809.112395833334</v>
      </c>
      <c r="B276" t="s">
        <v>433</v>
      </c>
      <c r="C276" t="s">
        <v>805</v>
      </c>
      <c r="D276" s="150">
        <v>2550000</v>
      </c>
      <c r="E276" t="s">
        <v>806</v>
      </c>
      <c r="F276" s="20" t="s">
        <v>807</v>
      </c>
      <c r="G276" s="8" t="str">
        <f t="shared" si="4"/>
        <v>BADERTSCHER DIANE</v>
      </c>
    </row>
    <row r="277" spans="1:7" x14ac:dyDescent="0.25">
      <c r="F277" s="20">
        <f t="shared" ref="F277:F281" si="5">B277</f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46.67</v>
      </c>
      <c r="B2" s="168">
        <v>0.38</v>
      </c>
      <c r="C2" s="168">
        <v>26.26</v>
      </c>
      <c r="D2" s="8">
        <v>42808</v>
      </c>
      <c r="E2" s="168">
        <v>0.45</v>
      </c>
      <c r="F2" s="168" t="s">
        <v>391</v>
      </c>
      <c r="G2" s="168">
        <v>342.41</v>
      </c>
      <c r="H2" s="168">
        <v>0</v>
      </c>
      <c r="I2" s="168">
        <v>0</v>
      </c>
      <c r="J2" s="168">
        <v>1016.15</v>
      </c>
      <c r="K2" s="168" t="s">
        <v>392</v>
      </c>
      <c r="L2" s="168">
        <v>46.67</v>
      </c>
      <c r="M2" s="168">
        <v>1489471200</v>
      </c>
      <c r="N2" s="168">
        <v>3.82</v>
      </c>
      <c r="O2" s="168">
        <v>272</v>
      </c>
      <c r="P2" s="168">
        <v>2.75</v>
      </c>
      <c r="Q2"/>
      <c r="R2"/>
    </row>
    <row r="3" spans="1:18" x14ac:dyDescent="0.25">
      <c r="A3" s="168">
        <v>45.04</v>
      </c>
      <c r="B3" s="168">
        <v>0.32</v>
      </c>
      <c r="C3" s="168">
        <v>25.62</v>
      </c>
      <c r="D3" s="8">
        <v>42808.041666666664</v>
      </c>
      <c r="E3" s="168">
        <v>0.46</v>
      </c>
      <c r="F3" s="168" t="s">
        <v>391</v>
      </c>
      <c r="G3" s="168">
        <v>339.23</v>
      </c>
      <c r="H3" s="168">
        <v>0</v>
      </c>
      <c r="I3" s="168">
        <v>0</v>
      </c>
      <c r="J3" s="168">
        <v>1015.72</v>
      </c>
      <c r="K3" s="168" t="s">
        <v>392</v>
      </c>
      <c r="L3" s="168">
        <v>45.04</v>
      </c>
      <c r="M3" s="168">
        <v>1489474800</v>
      </c>
      <c r="N3" s="168">
        <v>3.92</v>
      </c>
      <c r="O3" s="168">
        <v>253</v>
      </c>
      <c r="P3" s="168">
        <v>2.56</v>
      </c>
      <c r="Q3"/>
      <c r="R3"/>
    </row>
    <row r="4" spans="1:18" x14ac:dyDescent="0.25">
      <c r="A4" s="168">
        <v>42.31</v>
      </c>
      <c r="B4" s="168">
        <v>0.31</v>
      </c>
      <c r="C4" s="168">
        <v>25.3</v>
      </c>
      <c r="D4" s="8">
        <v>42808.083333333336</v>
      </c>
      <c r="E4" s="168">
        <v>0.48</v>
      </c>
      <c r="F4" s="168" t="s">
        <v>391</v>
      </c>
      <c r="G4" s="168">
        <v>336.05</v>
      </c>
      <c r="H4" s="168">
        <v>0</v>
      </c>
      <c r="I4" s="168">
        <v>0</v>
      </c>
      <c r="J4" s="168">
        <v>1015.49</v>
      </c>
      <c r="K4" s="168" t="s">
        <v>392</v>
      </c>
      <c r="L4" s="168">
        <v>43.77</v>
      </c>
      <c r="M4" s="168">
        <v>1489478400</v>
      </c>
      <c r="N4" s="168">
        <v>4.01</v>
      </c>
      <c r="O4" s="168">
        <v>245</v>
      </c>
      <c r="P4" s="168">
        <v>3.31</v>
      </c>
      <c r="Q4"/>
      <c r="R4"/>
    </row>
    <row r="5" spans="1:18" x14ac:dyDescent="0.25">
      <c r="A5" s="168">
        <v>41.76</v>
      </c>
      <c r="B5" s="168">
        <v>0.25</v>
      </c>
      <c r="C5" s="168">
        <v>25.18</v>
      </c>
      <c r="D5" s="8">
        <v>42808.125</v>
      </c>
      <c r="E5" s="168">
        <v>0.49</v>
      </c>
      <c r="F5" s="168" t="s">
        <v>391</v>
      </c>
      <c r="G5" s="168">
        <v>332.86</v>
      </c>
      <c r="H5" s="168">
        <v>0</v>
      </c>
      <c r="I5" s="168">
        <v>0</v>
      </c>
      <c r="J5" s="168">
        <v>1015.33</v>
      </c>
      <c r="K5" s="168" t="s">
        <v>392</v>
      </c>
      <c r="L5" s="168">
        <v>43.08</v>
      </c>
      <c r="M5" s="168">
        <v>1489482000</v>
      </c>
      <c r="N5" s="168">
        <v>3.64</v>
      </c>
      <c r="O5" s="168">
        <v>255</v>
      </c>
      <c r="P5" s="168">
        <v>3.08</v>
      </c>
      <c r="Q5"/>
      <c r="R5"/>
    </row>
    <row r="6" spans="1:18" x14ac:dyDescent="0.25">
      <c r="A6" s="168">
        <v>44.75</v>
      </c>
      <c r="B6" s="168">
        <v>0.3</v>
      </c>
      <c r="C6" s="168">
        <v>25.25</v>
      </c>
      <c r="D6" s="8">
        <v>42808.166666666664</v>
      </c>
      <c r="E6" s="168">
        <v>0.46</v>
      </c>
      <c r="F6" s="168" t="s">
        <v>391</v>
      </c>
      <c r="G6" s="168">
        <v>330.59</v>
      </c>
      <c r="H6" s="168">
        <v>0</v>
      </c>
      <c r="I6" s="168">
        <v>0</v>
      </c>
      <c r="J6" s="168">
        <v>1015.01</v>
      </c>
      <c r="K6" s="168" t="s">
        <v>392</v>
      </c>
      <c r="L6" s="168">
        <v>44.75</v>
      </c>
      <c r="M6" s="168">
        <v>1489485600</v>
      </c>
      <c r="N6" s="168">
        <v>3.46</v>
      </c>
      <c r="O6" s="168">
        <v>268</v>
      </c>
      <c r="P6" s="168">
        <v>1.78</v>
      </c>
      <c r="Q6"/>
      <c r="R6"/>
    </row>
    <row r="7" spans="1:18" x14ac:dyDescent="0.25">
      <c r="A7" s="168">
        <v>44.76</v>
      </c>
      <c r="B7" s="168">
        <v>0.4</v>
      </c>
      <c r="C7" s="168">
        <v>24.04</v>
      </c>
      <c r="D7" s="8">
        <v>42808.208333333336</v>
      </c>
      <c r="E7" s="168">
        <v>0.44</v>
      </c>
      <c r="F7" s="168" t="s">
        <v>391</v>
      </c>
      <c r="G7" s="168">
        <v>328.75</v>
      </c>
      <c r="H7" s="168">
        <v>0</v>
      </c>
      <c r="I7" s="168">
        <v>0</v>
      </c>
      <c r="J7" s="168">
        <v>1014.66</v>
      </c>
      <c r="K7" s="168" t="s">
        <v>392</v>
      </c>
      <c r="L7" s="168">
        <v>44.76</v>
      </c>
      <c r="M7" s="168">
        <v>1489489200</v>
      </c>
      <c r="N7" s="168">
        <v>3.89</v>
      </c>
      <c r="O7" s="168">
        <v>290</v>
      </c>
      <c r="P7" s="168">
        <v>1.3</v>
      </c>
      <c r="Q7"/>
      <c r="R7"/>
    </row>
    <row r="8" spans="1:18" x14ac:dyDescent="0.25">
      <c r="A8" s="168">
        <v>47.22</v>
      </c>
      <c r="B8" s="168">
        <v>0.44</v>
      </c>
      <c r="C8" s="168">
        <v>25.88</v>
      </c>
      <c r="D8" s="8">
        <v>42808.25</v>
      </c>
      <c r="E8" s="168">
        <v>0.43</v>
      </c>
      <c r="F8" s="168" t="s">
        <v>391</v>
      </c>
      <c r="G8" s="168">
        <v>327.22000000000003</v>
      </c>
      <c r="H8" s="168">
        <v>0</v>
      </c>
      <c r="I8" s="168">
        <v>0</v>
      </c>
      <c r="J8" s="168">
        <v>1014.5</v>
      </c>
      <c r="K8" s="168" t="s">
        <v>392</v>
      </c>
      <c r="L8" s="168">
        <v>47.22</v>
      </c>
      <c r="M8" s="168">
        <v>1489492800</v>
      </c>
      <c r="N8" s="168">
        <v>5.42</v>
      </c>
      <c r="O8" s="168">
        <v>311</v>
      </c>
      <c r="P8" s="168">
        <v>1.88</v>
      </c>
      <c r="Q8"/>
      <c r="R8"/>
    </row>
    <row r="9" spans="1:18" x14ac:dyDescent="0.25">
      <c r="A9" s="168">
        <v>48.04</v>
      </c>
      <c r="B9" s="168">
        <v>0.38</v>
      </c>
      <c r="C9" s="168">
        <v>25.25</v>
      </c>
      <c r="D9" s="8">
        <v>42808.291666666664</v>
      </c>
      <c r="E9" s="168">
        <v>0.4</v>
      </c>
      <c r="F9" s="168" t="s">
        <v>391</v>
      </c>
      <c r="G9" s="168">
        <v>326.02</v>
      </c>
      <c r="H9" s="168">
        <v>0</v>
      </c>
      <c r="I9" s="168">
        <v>0</v>
      </c>
      <c r="J9" s="168">
        <v>1014.78</v>
      </c>
      <c r="K9" s="168" t="s">
        <v>392</v>
      </c>
      <c r="L9" s="168">
        <v>48.57</v>
      </c>
      <c r="M9" s="168">
        <v>1489496400</v>
      </c>
      <c r="N9" s="168">
        <v>4.12</v>
      </c>
      <c r="O9" s="168">
        <v>307</v>
      </c>
      <c r="P9" s="168">
        <v>3.02</v>
      </c>
      <c r="Q9"/>
      <c r="R9"/>
    </row>
    <row r="10" spans="1:18" x14ac:dyDescent="0.25">
      <c r="A10" s="168">
        <v>51.31</v>
      </c>
      <c r="B10" s="168">
        <v>0.28999999999999998</v>
      </c>
      <c r="C10" s="168">
        <v>25.47</v>
      </c>
      <c r="D10" s="8">
        <v>42808.333333333336</v>
      </c>
      <c r="E10" s="168">
        <v>0.36</v>
      </c>
      <c r="F10" s="168" t="s">
        <v>393</v>
      </c>
      <c r="G10" s="168">
        <v>325.13</v>
      </c>
      <c r="H10" s="168">
        <v>0</v>
      </c>
      <c r="I10" s="168">
        <v>0</v>
      </c>
      <c r="J10" s="168">
        <v>1015.16</v>
      </c>
      <c r="K10" s="168" t="s">
        <v>392</v>
      </c>
      <c r="L10" s="168">
        <v>51.31</v>
      </c>
      <c r="M10" s="168">
        <v>1489500000</v>
      </c>
      <c r="N10" s="168">
        <v>3.42</v>
      </c>
      <c r="O10" s="168">
        <v>307</v>
      </c>
      <c r="P10" s="168">
        <v>3.55</v>
      </c>
      <c r="Q10"/>
      <c r="R10"/>
    </row>
    <row r="11" spans="1:18" x14ac:dyDescent="0.25">
      <c r="A11" s="168">
        <v>53.74</v>
      </c>
      <c r="B11" s="168">
        <v>0.22</v>
      </c>
      <c r="C11" s="168">
        <v>19.53</v>
      </c>
      <c r="D11" s="8">
        <v>42808.375</v>
      </c>
      <c r="E11" s="168">
        <v>0.26</v>
      </c>
      <c r="F11" s="168" t="s">
        <v>808</v>
      </c>
      <c r="G11" s="168">
        <v>324.43</v>
      </c>
      <c r="H11" s="168">
        <v>0</v>
      </c>
      <c r="I11" s="168">
        <v>0</v>
      </c>
      <c r="J11" s="168">
        <v>1015.43</v>
      </c>
      <c r="K11" s="168" t="s">
        <v>809</v>
      </c>
      <c r="L11" s="168">
        <v>53.74</v>
      </c>
      <c r="M11" s="168">
        <v>1489503600</v>
      </c>
      <c r="N11" s="168">
        <v>3.13</v>
      </c>
      <c r="O11" s="168">
        <v>316</v>
      </c>
      <c r="P11" s="168">
        <v>5.96</v>
      </c>
      <c r="Q11"/>
      <c r="R11"/>
    </row>
    <row r="12" spans="1:18" x14ac:dyDescent="0.25">
      <c r="A12" s="168">
        <v>58.67</v>
      </c>
      <c r="B12" s="168">
        <v>0.27</v>
      </c>
      <c r="C12" s="168">
        <v>20.37</v>
      </c>
      <c r="D12" s="8">
        <v>42808.416666666664</v>
      </c>
      <c r="E12" s="168">
        <v>0.22</v>
      </c>
      <c r="F12" s="168" t="s">
        <v>393</v>
      </c>
      <c r="G12" s="168">
        <v>323.86</v>
      </c>
      <c r="H12" s="168">
        <v>0</v>
      </c>
      <c r="I12" s="168">
        <v>0</v>
      </c>
      <c r="J12" s="168">
        <v>1015.32</v>
      </c>
      <c r="K12" s="168" t="s">
        <v>392</v>
      </c>
      <c r="L12" s="168">
        <v>58.67</v>
      </c>
      <c r="M12" s="168">
        <v>1489507200</v>
      </c>
      <c r="N12" s="168">
        <v>3.09</v>
      </c>
      <c r="O12" s="168">
        <v>320</v>
      </c>
      <c r="P12" s="168">
        <v>6.67</v>
      </c>
      <c r="Q12"/>
      <c r="R12"/>
    </row>
    <row r="13" spans="1:18" x14ac:dyDescent="0.25">
      <c r="A13" s="168">
        <v>60.62</v>
      </c>
      <c r="B13" s="168">
        <v>0.32</v>
      </c>
      <c r="C13" s="168">
        <v>21.48</v>
      </c>
      <c r="D13" s="8">
        <v>42808.458333333336</v>
      </c>
      <c r="E13" s="168">
        <v>0.22</v>
      </c>
      <c r="F13" s="168" t="s">
        <v>393</v>
      </c>
      <c r="G13" s="168">
        <v>323.48</v>
      </c>
      <c r="H13" s="168">
        <v>0</v>
      </c>
      <c r="I13" s="168">
        <v>0</v>
      </c>
      <c r="J13" s="168">
        <v>1014.96</v>
      </c>
      <c r="K13" s="168" t="s">
        <v>392</v>
      </c>
      <c r="L13" s="168">
        <v>60.62</v>
      </c>
      <c r="M13" s="168">
        <v>1489510800</v>
      </c>
      <c r="N13" s="168">
        <v>3.02</v>
      </c>
      <c r="O13" s="168">
        <v>305</v>
      </c>
      <c r="P13" s="168">
        <v>9.82</v>
      </c>
      <c r="Q13"/>
      <c r="R13"/>
    </row>
    <row r="14" spans="1:18" x14ac:dyDescent="0.25">
      <c r="A14" s="168">
        <v>65.36</v>
      </c>
      <c r="B14" s="168">
        <v>0.36</v>
      </c>
      <c r="C14" s="168">
        <v>24.65</v>
      </c>
      <c r="D14" s="8">
        <v>42808.5</v>
      </c>
      <c r="E14" s="168">
        <v>0.21</v>
      </c>
      <c r="F14" s="168" t="s">
        <v>393</v>
      </c>
      <c r="G14" s="168">
        <v>323.26</v>
      </c>
      <c r="H14" s="168">
        <v>0</v>
      </c>
      <c r="I14" s="168">
        <v>0</v>
      </c>
      <c r="J14" s="168">
        <v>1014.7</v>
      </c>
      <c r="K14" s="168" t="s">
        <v>392</v>
      </c>
      <c r="L14" s="168">
        <v>65.36</v>
      </c>
      <c r="M14" s="168">
        <v>1489514400</v>
      </c>
      <c r="N14" s="168">
        <v>3.05</v>
      </c>
      <c r="O14" s="168">
        <v>308</v>
      </c>
      <c r="P14" s="168">
        <v>8.15</v>
      </c>
      <c r="Q14"/>
      <c r="R14"/>
    </row>
    <row r="15" spans="1:18" x14ac:dyDescent="0.25">
      <c r="A15" s="168">
        <v>66.69</v>
      </c>
      <c r="B15" s="168">
        <v>0.37</v>
      </c>
      <c r="C15" s="168">
        <v>26.03</v>
      </c>
      <c r="D15" s="8">
        <v>42808.541666666664</v>
      </c>
      <c r="E15" s="168">
        <v>0.21</v>
      </c>
      <c r="F15" s="168" t="s">
        <v>393</v>
      </c>
      <c r="G15" s="168">
        <v>323.39</v>
      </c>
      <c r="H15" s="168">
        <v>0</v>
      </c>
      <c r="I15" s="168">
        <v>0</v>
      </c>
      <c r="J15" s="168">
        <v>1014.64</v>
      </c>
      <c r="K15" s="168" t="s">
        <v>392</v>
      </c>
      <c r="L15" s="168">
        <v>66.69</v>
      </c>
      <c r="M15" s="168">
        <v>1489518000</v>
      </c>
      <c r="N15" s="168">
        <v>10</v>
      </c>
      <c r="O15" s="168">
        <v>308</v>
      </c>
      <c r="P15" s="168">
        <v>9.5</v>
      </c>
      <c r="Q15"/>
      <c r="R15"/>
    </row>
    <row r="16" spans="1:18" x14ac:dyDescent="0.25">
      <c r="A16" s="168">
        <v>67.58</v>
      </c>
      <c r="B16" s="168">
        <v>0.25</v>
      </c>
      <c r="C16" s="168">
        <v>26.02</v>
      </c>
      <c r="D16" s="8">
        <v>42808.583333333336</v>
      </c>
      <c r="E16" s="168">
        <v>0.21</v>
      </c>
      <c r="F16" s="168" t="s">
        <v>393</v>
      </c>
      <c r="G16" s="168">
        <v>323.67</v>
      </c>
      <c r="H16" s="168">
        <v>0</v>
      </c>
      <c r="I16" s="168">
        <v>0</v>
      </c>
      <c r="J16" s="168">
        <v>1014.68</v>
      </c>
      <c r="K16" s="168" t="s">
        <v>392</v>
      </c>
      <c r="L16" s="168">
        <v>67.58</v>
      </c>
      <c r="M16" s="168">
        <v>1489521600</v>
      </c>
      <c r="N16" s="168">
        <v>3.04</v>
      </c>
      <c r="O16" s="168">
        <v>314</v>
      </c>
      <c r="P16" s="168">
        <v>8.59</v>
      </c>
      <c r="Q16"/>
      <c r="R16"/>
    </row>
    <row r="17" spans="1:18" x14ac:dyDescent="0.25">
      <c r="A17" s="168">
        <v>68.72</v>
      </c>
      <c r="B17" s="168">
        <v>0.2</v>
      </c>
      <c r="C17" s="168">
        <v>26.6</v>
      </c>
      <c r="D17" s="8">
        <v>42808.625</v>
      </c>
      <c r="E17" s="168">
        <v>0.2</v>
      </c>
      <c r="F17" s="168" t="s">
        <v>808</v>
      </c>
      <c r="G17" s="168">
        <v>323.55</v>
      </c>
      <c r="H17" s="168">
        <v>0</v>
      </c>
      <c r="I17" s="168">
        <v>0</v>
      </c>
      <c r="J17" s="168">
        <v>1014.78</v>
      </c>
      <c r="K17" s="168" t="s">
        <v>809</v>
      </c>
      <c r="L17" s="168">
        <v>68.72</v>
      </c>
      <c r="M17" s="168">
        <v>1489525200</v>
      </c>
      <c r="N17" s="168">
        <v>3.27</v>
      </c>
      <c r="O17" s="168">
        <v>321</v>
      </c>
      <c r="P17" s="168">
        <v>8.68</v>
      </c>
      <c r="Q17"/>
      <c r="R17"/>
    </row>
    <row r="18" spans="1:18" x14ac:dyDescent="0.25">
      <c r="A18" s="168">
        <v>68.61</v>
      </c>
      <c r="B18" s="168">
        <v>0.26</v>
      </c>
      <c r="C18" s="168">
        <v>26.26</v>
      </c>
      <c r="D18" s="8">
        <v>42808.666666666664</v>
      </c>
      <c r="E18" s="168">
        <v>0.2</v>
      </c>
      <c r="F18" s="168" t="s">
        <v>393</v>
      </c>
      <c r="G18" s="168">
        <v>322.55</v>
      </c>
      <c r="H18" s="168">
        <v>0</v>
      </c>
      <c r="I18" s="168">
        <v>0</v>
      </c>
      <c r="J18" s="168">
        <v>1014.86</v>
      </c>
      <c r="K18" s="168" t="s">
        <v>392</v>
      </c>
      <c r="L18" s="168">
        <v>68.61</v>
      </c>
      <c r="M18" s="168">
        <v>1489528800</v>
      </c>
      <c r="N18" s="168">
        <v>3.39</v>
      </c>
      <c r="O18" s="168">
        <v>314</v>
      </c>
      <c r="P18" s="168">
        <v>8.11</v>
      </c>
      <c r="Q18"/>
      <c r="R18"/>
    </row>
    <row r="19" spans="1:18" x14ac:dyDescent="0.25">
      <c r="A19" s="168">
        <v>68.86</v>
      </c>
      <c r="B19" s="168">
        <v>0.31</v>
      </c>
      <c r="C19" s="168">
        <v>26.46</v>
      </c>
      <c r="D19" s="8">
        <v>42808.708333333336</v>
      </c>
      <c r="E19" s="168">
        <v>0.2</v>
      </c>
      <c r="F19" s="168" t="s">
        <v>393</v>
      </c>
      <c r="G19" s="168">
        <v>321.16000000000003</v>
      </c>
      <c r="H19" s="168">
        <v>0</v>
      </c>
      <c r="I19" s="168">
        <v>0</v>
      </c>
      <c r="J19" s="168">
        <v>1015.02</v>
      </c>
      <c r="K19" s="168" t="s">
        <v>392</v>
      </c>
      <c r="L19" s="168">
        <v>68.86</v>
      </c>
      <c r="M19" s="168">
        <v>1489532400</v>
      </c>
      <c r="N19" s="168">
        <v>6.09</v>
      </c>
      <c r="O19" s="168">
        <v>328</v>
      </c>
      <c r="P19" s="168">
        <v>7.39</v>
      </c>
      <c r="Q19"/>
      <c r="R19"/>
    </row>
    <row r="20" spans="1:18" x14ac:dyDescent="0.25">
      <c r="A20" s="168">
        <v>65.989999999999995</v>
      </c>
      <c r="B20" s="168">
        <v>0.35</v>
      </c>
      <c r="C20" s="168">
        <v>25.8</v>
      </c>
      <c r="D20" s="8">
        <v>42808.75</v>
      </c>
      <c r="E20" s="168">
        <v>0.22</v>
      </c>
      <c r="F20" s="168" t="s">
        <v>393</v>
      </c>
      <c r="G20" s="168">
        <v>320.19</v>
      </c>
      <c r="H20" s="168">
        <v>0</v>
      </c>
      <c r="I20" s="168">
        <v>0</v>
      </c>
      <c r="J20" s="168">
        <v>1015.44</v>
      </c>
      <c r="K20" s="168" t="s">
        <v>392</v>
      </c>
      <c r="L20" s="168">
        <v>65.989999999999995</v>
      </c>
      <c r="M20" s="168">
        <v>1489536000</v>
      </c>
      <c r="N20" s="168">
        <v>6.49</v>
      </c>
      <c r="O20" s="168">
        <v>341</v>
      </c>
      <c r="P20" s="168">
        <v>7.07</v>
      </c>
      <c r="Q20"/>
      <c r="R20"/>
    </row>
    <row r="21" spans="1:18" x14ac:dyDescent="0.25">
      <c r="A21" s="168">
        <v>62.31</v>
      </c>
      <c r="B21" s="168">
        <v>0.47</v>
      </c>
      <c r="C21" s="168">
        <v>23.84</v>
      </c>
      <c r="D21" s="8">
        <v>42808.791666666664</v>
      </c>
      <c r="E21" s="168">
        <v>0.23</v>
      </c>
      <c r="F21" s="168" t="s">
        <v>393</v>
      </c>
      <c r="G21" s="168">
        <v>320.33</v>
      </c>
      <c r="H21" s="168">
        <v>0</v>
      </c>
      <c r="I21" s="168">
        <v>0</v>
      </c>
      <c r="J21" s="168">
        <v>1016.35</v>
      </c>
      <c r="K21" s="168" t="s">
        <v>392</v>
      </c>
      <c r="L21" s="168">
        <v>62.31</v>
      </c>
      <c r="M21" s="168">
        <v>1489539600</v>
      </c>
      <c r="N21" s="168">
        <v>7.16</v>
      </c>
      <c r="O21" s="168">
        <v>342</v>
      </c>
      <c r="P21" s="168">
        <v>4.43</v>
      </c>
      <c r="Q21"/>
      <c r="R21"/>
    </row>
    <row r="22" spans="1:18" x14ac:dyDescent="0.25">
      <c r="A22" s="168">
        <v>57.5</v>
      </c>
      <c r="B22" s="168">
        <v>0.32</v>
      </c>
      <c r="C22" s="168">
        <v>24.83</v>
      </c>
      <c r="D22" s="8">
        <v>42808.833333333336</v>
      </c>
      <c r="E22" s="168">
        <v>0.28000000000000003</v>
      </c>
      <c r="F22" s="168" t="s">
        <v>391</v>
      </c>
      <c r="G22" s="168">
        <v>320.89999999999998</v>
      </c>
      <c r="H22" s="168">
        <v>0</v>
      </c>
      <c r="I22" s="168">
        <v>0</v>
      </c>
      <c r="J22" s="168">
        <v>1017.64</v>
      </c>
      <c r="K22" s="168" t="s">
        <v>392</v>
      </c>
      <c r="L22" s="168">
        <v>57.5</v>
      </c>
      <c r="M22" s="168">
        <v>1489543200</v>
      </c>
      <c r="N22" s="168">
        <v>8.1300000000000008</v>
      </c>
      <c r="O22" s="168">
        <v>316</v>
      </c>
      <c r="P22" s="168">
        <v>2.23</v>
      </c>
      <c r="Q22"/>
      <c r="R22"/>
    </row>
    <row r="23" spans="1:18" x14ac:dyDescent="0.25">
      <c r="A23" s="168">
        <v>53.87</v>
      </c>
      <c r="B23" s="168">
        <v>0.21</v>
      </c>
      <c r="C23" s="168">
        <v>25.58</v>
      </c>
      <c r="D23" s="8">
        <v>42808.875</v>
      </c>
      <c r="E23" s="168">
        <v>0.33</v>
      </c>
      <c r="F23" s="168" t="s">
        <v>810</v>
      </c>
      <c r="G23" s="168">
        <v>320.70999999999998</v>
      </c>
      <c r="H23" s="168">
        <v>0</v>
      </c>
      <c r="I23" s="168">
        <v>0</v>
      </c>
      <c r="J23" s="168">
        <v>1018.64</v>
      </c>
      <c r="K23" s="168" t="s">
        <v>809</v>
      </c>
      <c r="L23" s="168">
        <v>53.87</v>
      </c>
      <c r="M23" s="168">
        <v>1489546800</v>
      </c>
      <c r="N23" s="168">
        <v>7.69</v>
      </c>
      <c r="O23" s="168">
        <v>274</v>
      </c>
      <c r="P23" s="168">
        <v>2.4900000000000002</v>
      </c>
      <c r="Q23"/>
      <c r="R23"/>
    </row>
    <row r="24" spans="1:18" x14ac:dyDescent="0.25">
      <c r="A24" s="168">
        <v>52.13</v>
      </c>
      <c r="B24" s="168">
        <v>0.24</v>
      </c>
      <c r="C24" s="168">
        <v>25.65</v>
      </c>
      <c r="D24" s="8">
        <v>42808.916666666664</v>
      </c>
      <c r="E24" s="168">
        <v>0.35</v>
      </c>
      <c r="F24" s="168" t="s">
        <v>810</v>
      </c>
      <c r="G24" s="168">
        <v>319.07</v>
      </c>
      <c r="H24" s="168">
        <v>0</v>
      </c>
      <c r="I24" s="168">
        <v>0</v>
      </c>
      <c r="J24" s="168">
        <v>1018.92</v>
      </c>
      <c r="K24" s="168" t="s">
        <v>809</v>
      </c>
      <c r="L24" s="168">
        <v>52.13</v>
      </c>
      <c r="M24" s="168">
        <v>1489550400</v>
      </c>
      <c r="N24" s="168">
        <v>6.84</v>
      </c>
      <c r="O24" s="168">
        <v>264</v>
      </c>
      <c r="P24" s="168">
        <v>3</v>
      </c>
      <c r="Q24"/>
      <c r="R24"/>
    </row>
    <row r="25" spans="1:18" x14ac:dyDescent="0.25">
      <c r="A25" s="168">
        <v>48.49</v>
      </c>
      <c r="B25" s="168">
        <v>0.27</v>
      </c>
      <c r="C25" s="168">
        <v>23.93</v>
      </c>
      <c r="D25" s="8">
        <v>42808.958333333336</v>
      </c>
      <c r="E25" s="168">
        <v>0.36</v>
      </c>
      <c r="F25" s="168" t="s">
        <v>391</v>
      </c>
      <c r="G25" s="168">
        <v>316.67</v>
      </c>
      <c r="H25" s="168">
        <v>0</v>
      </c>
      <c r="I25" s="168">
        <v>0</v>
      </c>
      <c r="J25" s="168">
        <v>1018.85</v>
      </c>
      <c r="K25" s="168" t="s">
        <v>392</v>
      </c>
      <c r="L25" s="168">
        <v>49.74</v>
      </c>
      <c r="M25" s="168">
        <v>1489554000</v>
      </c>
      <c r="N25" s="168">
        <v>10</v>
      </c>
      <c r="O25" s="168">
        <v>255</v>
      </c>
      <c r="P25" s="168">
        <v>4.1100000000000003</v>
      </c>
      <c r="Q25"/>
      <c r="R25"/>
    </row>
    <row r="26" spans="1:18" x14ac:dyDescent="0.25">
      <c r="A26" s="168">
        <v>47.74</v>
      </c>
      <c r="B26" s="168">
        <v>0.23</v>
      </c>
      <c r="C26" s="168">
        <v>21.83</v>
      </c>
      <c r="D26" s="8">
        <v>42809</v>
      </c>
      <c r="E26" s="168">
        <v>0.34</v>
      </c>
      <c r="F26" s="168" t="s">
        <v>810</v>
      </c>
      <c r="G26" s="168">
        <v>314.45999999999998</v>
      </c>
      <c r="H26" s="168">
        <v>0</v>
      </c>
      <c r="I26" s="168">
        <v>0</v>
      </c>
      <c r="J26" s="168">
        <v>1018.99</v>
      </c>
      <c r="K26" s="168" t="s">
        <v>809</v>
      </c>
      <c r="L26" s="168">
        <v>48.64</v>
      </c>
      <c r="M26" s="168">
        <v>1489557600</v>
      </c>
      <c r="N26" s="168">
        <v>6.9</v>
      </c>
      <c r="O26" s="168">
        <v>257</v>
      </c>
      <c r="P26" s="168">
        <v>3.44</v>
      </c>
      <c r="Q26"/>
      <c r="R26"/>
    </row>
    <row r="27" spans="1:18" x14ac:dyDescent="0.25">
      <c r="A27" s="168">
        <v>47.03</v>
      </c>
      <c r="B27" s="168">
        <v>0.28999999999999998</v>
      </c>
      <c r="C27" s="168">
        <v>21.51</v>
      </c>
      <c r="D27" s="8">
        <v>42809.041666666664</v>
      </c>
      <c r="E27" s="168">
        <v>0.36</v>
      </c>
      <c r="F27" s="168" t="s">
        <v>391</v>
      </c>
      <c r="G27" s="168">
        <v>312.93</v>
      </c>
      <c r="H27" s="168">
        <v>0</v>
      </c>
      <c r="I27" s="168">
        <v>0</v>
      </c>
      <c r="J27" s="168">
        <v>1019.76</v>
      </c>
      <c r="K27" s="168" t="s">
        <v>392</v>
      </c>
      <c r="L27" s="168">
        <v>47.03</v>
      </c>
      <c r="M27" s="168">
        <v>1489561200</v>
      </c>
      <c r="N27" s="168">
        <v>7.08</v>
      </c>
      <c r="O27" s="168">
        <v>255</v>
      </c>
      <c r="P27" s="168">
        <v>2.04</v>
      </c>
      <c r="Q27"/>
      <c r="R27"/>
    </row>
    <row r="28" spans="1:18" x14ac:dyDescent="0.25">
      <c r="A28" s="168">
        <v>45.04</v>
      </c>
      <c r="B28" s="168">
        <v>0.23</v>
      </c>
      <c r="C28" s="168">
        <v>20.65</v>
      </c>
      <c r="D28" s="8">
        <v>42809.083333333336</v>
      </c>
      <c r="E28" s="168">
        <v>0.37</v>
      </c>
      <c r="F28" s="168" t="s">
        <v>810</v>
      </c>
      <c r="G28" s="168">
        <v>311.39999999999998</v>
      </c>
      <c r="H28" s="168">
        <v>0</v>
      </c>
      <c r="I28" s="168">
        <v>0</v>
      </c>
      <c r="J28" s="168">
        <v>1020.51</v>
      </c>
      <c r="K28" s="168" t="s">
        <v>809</v>
      </c>
      <c r="L28" s="168">
        <v>45.04</v>
      </c>
      <c r="M28" s="168">
        <v>1489564800</v>
      </c>
      <c r="N28" s="168">
        <v>7.14</v>
      </c>
      <c r="O28" s="168">
        <v>245</v>
      </c>
      <c r="P28" s="168">
        <v>2.92</v>
      </c>
      <c r="Q28"/>
      <c r="R28"/>
    </row>
    <row r="29" spans="1:18" x14ac:dyDescent="0.25">
      <c r="A29" s="168">
        <v>42.72</v>
      </c>
      <c r="B29" s="168">
        <v>0.31</v>
      </c>
      <c r="C29" s="168">
        <v>20.6</v>
      </c>
      <c r="D29" s="8">
        <v>42809.125</v>
      </c>
      <c r="E29" s="168">
        <v>0.41</v>
      </c>
      <c r="F29" s="168" t="s">
        <v>391</v>
      </c>
      <c r="G29" s="168">
        <v>309.87</v>
      </c>
      <c r="H29" s="168">
        <v>0</v>
      </c>
      <c r="I29" s="168">
        <v>0</v>
      </c>
      <c r="J29" s="168">
        <v>1021.23</v>
      </c>
      <c r="K29" s="168" t="s">
        <v>392</v>
      </c>
      <c r="L29" s="168">
        <v>42.72</v>
      </c>
      <c r="M29" s="168">
        <v>1489568400</v>
      </c>
      <c r="N29" s="168">
        <v>5.52</v>
      </c>
      <c r="O29" s="168">
        <v>238</v>
      </c>
      <c r="P29" s="168">
        <v>2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2"/>
  <sheetViews>
    <sheetView workbookViewId="0">
      <selection activeCell="M23" sqref="M2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416</v>
      </c>
      <c r="U1" s="219"/>
      <c r="V1" s="219"/>
      <c r="W1" s="219"/>
      <c r="X1" s="219"/>
    </row>
    <row r="2" spans="1:24" ht="15.75" thickBot="1" x14ac:dyDescent="0.3">
      <c r="A2" s="12">
        <v>42808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417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429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430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431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1012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1013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1014</v>
      </c>
      <c r="J20" s="152" t="s">
        <v>87</v>
      </c>
      <c r="M20" s="168" t="s">
        <v>408</v>
      </c>
      <c r="N20" s="168" t="s">
        <v>408</v>
      </c>
      <c r="T20" s="197"/>
      <c r="U20" s="197"/>
      <c r="V20" s="197"/>
      <c r="W20" s="197"/>
      <c r="X20" s="197"/>
    </row>
    <row r="21" spans="3:24" x14ac:dyDescent="0.25">
      <c r="C21" t="s">
        <v>1015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560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1016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1017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1018</v>
      </c>
      <c r="J25" s="152" t="s">
        <v>150</v>
      </c>
      <c r="M25" s="168" t="b">
        <v>1</v>
      </c>
    </row>
    <row r="26" spans="3:24" x14ac:dyDescent="0.25">
      <c r="C26" t="s">
        <v>1019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C:\Users\stu\Documents\GitHub\eaglep3-reporting\EC\2017-03-14-refined-times.txt</v>
      </c>
    </row>
    <row r="27" spans="3:24" x14ac:dyDescent="0.25">
      <c r="C27" t="s">
        <v>1020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C:\Users\stu\Documents\GitHub\eaglep3-reporting\EC\2017-03-14-Enforcements.txt</v>
      </c>
    </row>
    <row r="28" spans="3:24" x14ac:dyDescent="0.25">
      <c r="C28" t="s">
        <v>1021</v>
      </c>
      <c r="J28" s="152" t="s">
        <v>181</v>
      </c>
      <c r="M28" s="168" t="str">
        <f>"C:\Users\stu\Documents\GitHub\eaglep3-reporting\EC\"&amp;TEXT(A2,"YYYY-MM-DD")&amp;"-Runs.txt"</f>
        <v>C:\Users\stu\Documents\GitHub\eaglep3-reporting\EC\2017-03-14-Runs.txt</v>
      </c>
    </row>
    <row r="29" spans="3:24" x14ac:dyDescent="0.25">
      <c r="C29" t="s">
        <v>1022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C:\Users\stu\Documents\GitHub\eaglep3-reporting\EC\2017-03-14-Trips.txt</v>
      </c>
    </row>
    <row r="30" spans="3:24" x14ac:dyDescent="0.25">
      <c r="C30" t="s">
        <v>1023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C:\Users\stu\Documents\GitHub\eaglep3-reporting\EC\2017-03-14-Weather.txt</v>
      </c>
    </row>
    <row r="31" spans="3:24" x14ac:dyDescent="0.25">
      <c r="C31" t="s">
        <v>1024</v>
      </c>
      <c r="J31" s="152" t="s">
        <v>205</v>
      </c>
      <c r="M31" s="168" t="s">
        <v>206</v>
      </c>
    </row>
    <row r="32" spans="3:24" x14ac:dyDescent="0.25">
      <c r="C32" t="s">
        <v>1025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257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258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259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260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261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262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263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264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265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266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267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268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269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270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271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272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273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274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275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276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277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278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279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280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281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282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283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284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285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286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287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288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289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290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291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292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293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294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295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296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297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298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299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300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301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302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303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304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305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306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307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308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309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310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311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312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313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314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315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316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317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318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319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320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321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322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323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324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325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326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327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328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329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330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331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332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333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334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335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336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337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338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339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340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341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342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343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344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345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346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347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348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349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350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351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352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353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354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355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356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357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358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359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360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361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362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363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364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365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366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367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368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369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370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371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372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373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374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375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376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377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378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379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380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381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382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383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384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385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386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2017-03-15T18:02:29Z</dcterms:modified>
</cp:coreProperties>
</file>